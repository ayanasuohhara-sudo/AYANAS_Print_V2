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7822F9D0-E36A-4444-B466-9F4AFFE95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D28" i="3"/>
  <c r="C28" i="3"/>
  <c r="B28" i="3"/>
  <c r="O186" i="3"/>
  <c r="N186" i="3"/>
  <c r="O183" i="3"/>
  <c r="N183" i="3"/>
  <c r="O180" i="3"/>
  <c r="N180" i="3"/>
  <c r="O178" i="3"/>
  <c r="N178" i="3"/>
  <c r="O175" i="3"/>
  <c r="N175" i="3"/>
  <c r="O173" i="3"/>
  <c r="N173" i="3"/>
  <c r="O167" i="3"/>
  <c r="N167" i="3"/>
  <c r="O160" i="3"/>
  <c r="N160" i="3"/>
  <c r="O154" i="3"/>
  <c r="N154" i="3"/>
  <c r="O142" i="3"/>
  <c r="N142" i="3"/>
  <c r="O134" i="3"/>
  <c r="N134" i="3"/>
  <c r="O129" i="3"/>
  <c r="N129" i="3"/>
  <c r="O125" i="3"/>
  <c r="N125" i="3"/>
  <c r="O120" i="3"/>
  <c r="N120" i="3"/>
  <c r="O118" i="3"/>
  <c r="N118" i="3"/>
  <c r="O92" i="3"/>
  <c r="N92" i="3"/>
  <c r="O81" i="3"/>
  <c r="N81" i="3"/>
  <c r="O44" i="3"/>
  <c r="N44" i="3"/>
  <c r="O36" i="3"/>
  <c r="N36" i="3"/>
  <c r="O34" i="3"/>
  <c r="N34" i="3"/>
  <c r="O14" i="3"/>
  <c r="N14" i="3"/>
  <c r="O12" i="3"/>
  <c r="N12" i="3"/>
  <c r="O10" i="3"/>
  <c r="N10" i="3"/>
  <c r="O6" i="3"/>
  <c r="N6" i="3"/>
  <c r="N187" i="3" s="1"/>
  <c r="O3" i="3"/>
  <c r="O187" i="3" s="1"/>
  <c r="N3" i="3"/>
  <c r="U118" i="1"/>
  <c r="A241" i="1" l="1"/>
  <c r="AP814" i="3"/>
  <c r="AN814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N1096" i="3"/>
  <c r="BM1096" i="3"/>
  <c r="BN1091" i="3"/>
  <c r="BM1091" i="3"/>
  <c r="BN1089" i="3"/>
  <c r="BM1089" i="3"/>
  <c r="BN1075" i="3"/>
  <c r="BM1075" i="3"/>
  <c r="BN1057" i="3"/>
  <c r="BM1057" i="3"/>
  <c r="BN1046" i="3"/>
  <c r="BM1046" i="3"/>
  <c r="BN1012" i="3"/>
  <c r="BM1012" i="3"/>
  <c r="BN999" i="3"/>
  <c r="BM999" i="3"/>
  <c r="BN961" i="3"/>
  <c r="BM961" i="3"/>
  <c r="BN952" i="3"/>
  <c r="BM952" i="3"/>
  <c r="BN938" i="3"/>
  <c r="BM938" i="3"/>
  <c r="BN905" i="3"/>
  <c r="BM905" i="3"/>
  <c r="BN852" i="3"/>
  <c r="BM852" i="3"/>
  <c r="BN840" i="3"/>
  <c r="BM840" i="3"/>
  <c r="BN817" i="3"/>
  <c r="BM817" i="3"/>
  <c r="BN802" i="3"/>
  <c r="BM802" i="3"/>
  <c r="BN778" i="3"/>
  <c r="BM778" i="3"/>
  <c r="BN760" i="3"/>
  <c r="BM760" i="3"/>
  <c r="BN740" i="3"/>
  <c r="BM740" i="3"/>
  <c r="BN726" i="3"/>
  <c r="BM726" i="3"/>
  <c r="BN717" i="3"/>
  <c r="BM717" i="3"/>
  <c r="BN643" i="3"/>
  <c r="BM643" i="3"/>
  <c r="B61" i="1"/>
  <c r="A151" i="1"/>
  <c r="AB43" i="1"/>
  <c r="BM1097" i="3" l="1"/>
  <c r="BN1097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<sst xmlns="http://schemas.openxmlformats.org/spreadsheetml/2006/main" count="2737" uniqueCount="398">
  <si>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</si>
  <si>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</si>
  <si>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</si>
  <si>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</si>
  <si>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</si>
  <si>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</si>
  <si>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</si>
  <si>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</si>
  <si>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</si>
  <si>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</si>
  <si>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</si>
  <si>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</si>
  <si>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</si>
  <si>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</si>
  <si>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</si>
  <si>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</si>
  <si>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</si>
  <si>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</si>
  <si>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</si>
  <si>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</si>
  <si>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</si>
  <si>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</si>
  <si>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</si>
  <si>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</si>
  <si>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</si>
  <si>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</si>
  <si>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</si>
  <si>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</si>
  <si>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</si>
  <si>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</si>
  <si>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</si>
  <si>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</si>
  <si>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</si>
  <si>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</si>
  <si>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</si>
  <si>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</si>
  <si>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</si>
  <si>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</si>
  <si>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</si>
  <si>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</si>
  <si>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</si>
  <si>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</si>
  <si>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</si>
  <si>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</si>
  <si>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</si>
  <si>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</si>
  <si>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</si>
  <si>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</si>
  <si>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</si>
  <si>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</si>
  <si>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</si>
  <si>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</si>
  <si>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</si>
  <si>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</si>
  <si>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</si>
  <si>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</si>
  <si>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</si>
  <si>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</si>
  <si>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</si>
  <si>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</si>
  <si>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</si>
  <si>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</si>
  <si>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</si>
  <si>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</si>
  <si>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</si>
  <si>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</si>
  <si>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</si>
  <si>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</si>
  <si>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</si>
  <si>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</si>
  <si>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</si>
  <si>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</si>
  <si>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</si>
  <si>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</si>
  <si>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</si>
  <si>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</si>
  <si>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</si>
  <si>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</si>
  <si>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</si>
  <si>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</si>
  <si>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</si>
  <si>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</si>
  <si>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</si>
  <si>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</si>
  <si>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</si>
  <si>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</si>
  <si>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</si>
  <si>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</si>
  <si>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</si>
  <si>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</si>
  <si>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</si>
  <si>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</si>
  <si>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</si>
  <si>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</si>
  <si>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</si>
  <si>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</si>
  <si>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</si>
  <si>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</si>
  <si>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</si>
  <si>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</si>
  <si>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</si>
  <si>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</si>
  <si>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</si>
  <si>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</si>
  <si>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</si>
  <si>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</si>
  <si>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</si>
  <si>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</si>
  <si>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</si>
  <si>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</si>
  <si>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</si>
  <si>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</si>
  <si>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</si>
  <si>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</si>
  <si>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</si>
  <si>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</si>
  <si>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</si>
  <si>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</si>
  <si>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</si>
  <si>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</si>
  <si>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</si>
  <si>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</si>
  <si>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</si>
  <si>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</si>
  <si>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</si>
  <si>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</si>
  <si>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</si>
  <si>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</si>
  <si>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</si>
  <si>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</si>
  <si>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</si>
  <si>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</si>
  <si>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</si>
  <si>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</si>
  <si>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</si>
  <si>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</si>
  <si>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</si>
  <si>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</si>
  <si>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</si>
  <si>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</si>
  <si>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</si>
  <si>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</si>
  <si>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</si>
  <si>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</si>
  <si>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</si>
  <si>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</si>
  <si>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</si>
  <si>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</si>
  <si>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</si>
  <si>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</si>
  <si>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</si>
  <si>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</si>
  <si>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</si>
  <si>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</si>
  <si>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</si>
  <si>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</si>
  <si>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</si>
  <si>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</si>
  <si>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</si>
  <si>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</si>
  <si>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</si>
  <si>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</si>
  <si>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</si>
  <si>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</si>
  <si>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</si>
  <si>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</si>
  <si>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</si>
  <si>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</si>
  <si>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</si>
  <si>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</si>
  <si>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</si>
  <si>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</si>
  <si>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</si>
  <si>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</si>
  <si>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</si>
  <si>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</si>
  <si>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</si>
  <si>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</si>
  <si>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</si>
  <si>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</si>
  <si>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A700</t>
    <phoneticPr fontId="1"/>
  </si>
  <si>
    <t>S</t>
    <phoneticPr fontId="1"/>
  </si>
  <si>
    <t>E</t>
    <phoneticPr fontId="1"/>
  </si>
  <si>
    <t>M078</t>
    <phoneticPr fontId="1"/>
  </si>
  <si>
    <t>M070</t>
    <phoneticPr fontId="1"/>
  </si>
  <si>
    <t>M032</t>
    <phoneticPr fontId="1"/>
  </si>
  <si>
    <t>A732</t>
    <phoneticPr fontId="1"/>
  </si>
  <si>
    <t>M037</t>
    <phoneticPr fontId="1"/>
  </si>
  <si>
    <t>M074</t>
    <phoneticPr fontId="1"/>
  </si>
  <si>
    <t>A335</t>
    <phoneticPr fontId="1"/>
  </si>
  <si>
    <t>A505</t>
    <phoneticPr fontId="1"/>
  </si>
  <si>
    <t>P</t>
    <phoneticPr fontId="1"/>
  </si>
  <si>
    <t>A199</t>
    <phoneticPr fontId="1"/>
  </si>
  <si>
    <t>A545</t>
    <phoneticPr fontId="1"/>
  </si>
  <si>
    <t>A550</t>
    <phoneticPr fontId="1"/>
  </si>
  <si>
    <t>M079</t>
    <phoneticPr fontId="1"/>
  </si>
  <si>
    <t>A318</t>
    <phoneticPr fontId="1"/>
  </si>
  <si>
    <t>A611</t>
    <phoneticPr fontId="1"/>
  </si>
  <si>
    <t>AYG123</t>
    <phoneticPr fontId="1"/>
  </si>
  <si>
    <t>07100248</t>
    <phoneticPr fontId="1"/>
  </si>
  <si>
    <t>A330</t>
    <phoneticPr fontId="1"/>
  </si>
  <si>
    <t>07100249</t>
  </si>
  <si>
    <t>07100250</t>
  </si>
  <si>
    <t>07100251</t>
  </si>
  <si>
    <t>07100252</t>
  </si>
  <si>
    <t>07100253</t>
  </si>
  <si>
    <t>07100254</t>
  </si>
  <si>
    <t>07100255</t>
  </si>
  <si>
    <t>07100256</t>
  </si>
  <si>
    <t>07100257</t>
  </si>
  <si>
    <t>07100258</t>
  </si>
  <si>
    <t>07100259</t>
  </si>
  <si>
    <t>07100260</t>
  </si>
  <si>
    <t>07100261</t>
  </si>
  <si>
    <t>07100262</t>
  </si>
  <si>
    <t>07100296</t>
    <phoneticPr fontId="1"/>
  </si>
  <si>
    <t>07100297</t>
  </si>
  <si>
    <t>07100298</t>
  </si>
  <si>
    <t>07100299</t>
  </si>
  <si>
    <t>07100309</t>
    <phoneticPr fontId="1"/>
  </si>
  <si>
    <t>07100310</t>
    <phoneticPr fontId="1"/>
  </si>
  <si>
    <t>07100092</t>
    <phoneticPr fontId="1"/>
  </si>
  <si>
    <t>07100178</t>
    <phoneticPr fontId="1"/>
  </si>
  <si>
    <t>07100280</t>
    <phoneticPr fontId="1"/>
  </si>
  <si>
    <t>07100300</t>
    <phoneticPr fontId="1"/>
  </si>
  <si>
    <t>07100301</t>
  </si>
  <si>
    <t>07100302</t>
  </si>
  <si>
    <t>07100303</t>
  </si>
  <si>
    <t>07100304</t>
  </si>
  <si>
    <t>07100305</t>
  </si>
  <si>
    <t>07100306</t>
  </si>
  <si>
    <t>07100307</t>
  </si>
  <si>
    <t>A128</t>
    <phoneticPr fontId="1"/>
  </si>
  <si>
    <t>A120</t>
    <phoneticPr fontId="1"/>
  </si>
  <si>
    <t>07100409</t>
    <phoneticPr fontId="1"/>
  </si>
  <si>
    <t>07100413</t>
    <phoneticPr fontId="1"/>
  </si>
  <si>
    <t>07100417</t>
    <phoneticPr fontId="1"/>
  </si>
  <si>
    <t>07100424</t>
    <phoneticPr fontId="1"/>
  </si>
  <si>
    <t>07100425</t>
    <phoneticPr fontId="1"/>
  </si>
  <si>
    <t>07100139</t>
    <phoneticPr fontId="1"/>
  </si>
  <si>
    <t>07100182</t>
    <phoneticPr fontId="1"/>
  </si>
  <si>
    <t>07100183</t>
    <phoneticPr fontId="1"/>
  </si>
  <si>
    <t>07100185</t>
    <phoneticPr fontId="1"/>
  </si>
  <si>
    <t>07100186</t>
    <phoneticPr fontId="1"/>
  </si>
  <si>
    <t>A328</t>
    <phoneticPr fontId="1"/>
  </si>
  <si>
    <t>07090251</t>
    <phoneticPr fontId="1"/>
  </si>
  <si>
    <t>07100263</t>
    <phoneticPr fontId="1"/>
  </si>
  <si>
    <t>A623</t>
    <phoneticPr fontId="1"/>
  </si>
  <si>
    <t>07100264</t>
    <phoneticPr fontId="1"/>
  </si>
  <si>
    <t>07100265</t>
    <phoneticPr fontId="1"/>
  </si>
  <si>
    <t>07100266</t>
    <phoneticPr fontId="1"/>
  </si>
  <si>
    <t>07100267</t>
    <phoneticPr fontId="1"/>
  </si>
  <si>
    <t>M067</t>
    <phoneticPr fontId="1"/>
  </si>
  <si>
    <t>07100281</t>
    <phoneticPr fontId="1"/>
  </si>
  <si>
    <t>07100282</t>
    <phoneticPr fontId="1"/>
  </si>
  <si>
    <t>07100308</t>
    <phoneticPr fontId="1"/>
  </si>
  <si>
    <t>07100270</t>
    <phoneticPr fontId="1"/>
  </si>
  <si>
    <t>A680</t>
    <phoneticPr fontId="1"/>
  </si>
  <si>
    <t>07100271</t>
    <phoneticPr fontId="1"/>
  </si>
  <si>
    <t>07100272</t>
    <phoneticPr fontId="1"/>
  </si>
  <si>
    <t>07100273</t>
    <phoneticPr fontId="1"/>
  </si>
  <si>
    <t>07100274</t>
    <phoneticPr fontId="1"/>
  </si>
  <si>
    <t>07100268</t>
    <phoneticPr fontId="1"/>
  </si>
  <si>
    <t>07100388</t>
    <phoneticPr fontId="1"/>
  </si>
  <si>
    <t>A850</t>
    <phoneticPr fontId="1"/>
  </si>
  <si>
    <t>07100269</t>
    <phoneticPr fontId="1"/>
  </si>
  <si>
    <t>07100373</t>
    <phoneticPr fontId="1"/>
  </si>
  <si>
    <t>07100381</t>
    <phoneticPr fontId="1"/>
  </si>
  <si>
    <t>07100383</t>
    <phoneticPr fontId="1"/>
  </si>
  <si>
    <t>07100384</t>
    <phoneticPr fontId="1"/>
  </si>
  <si>
    <t>07100385</t>
    <phoneticPr fontId="1"/>
  </si>
  <si>
    <t>07100386</t>
    <phoneticPr fontId="1"/>
  </si>
  <si>
    <t>07100387</t>
    <phoneticPr fontId="1"/>
  </si>
  <si>
    <t>A632</t>
    <phoneticPr fontId="1"/>
  </si>
  <si>
    <t>07100446</t>
    <phoneticPr fontId="1"/>
  </si>
  <si>
    <t>07100447</t>
    <phoneticPr fontId="1"/>
  </si>
  <si>
    <t>07100448</t>
    <phoneticPr fontId="1"/>
  </si>
  <si>
    <t>07100449</t>
    <phoneticPr fontId="1"/>
  </si>
  <si>
    <t>07100179</t>
    <phoneticPr fontId="1"/>
  </si>
  <si>
    <t>07100219</t>
    <phoneticPr fontId="1"/>
  </si>
  <si>
    <t>07100241</t>
    <phoneticPr fontId="1"/>
  </si>
  <si>
    <t>07100276</t>
    <phoneticPr fontId="1"/>
  </si>
  <si>
    <t>07100278</t>
    <phoneticPr fontId="1"/>
  </si>
  <si>
    <t>07100279</t>
    <phoneticPr fontId="1"/>
  </si>
  <si>
    <t>07100318</t>
    <phoneticPr fontId="1"/>
  </si>
  <si>
    <t>07100319</t>
    <phoneticPr fontId="1"/>
  </si>
  <si>
    <t>07100324</t>
    <phoneticPr fontId="1"/>
  </si>
  <si>
    <t>07100325</t>
    <phoneticPr fontId="1"/>
  </si>
  <si>
    <t>07100326</t>
    <phoneticPr fontId="1"/>
  </si>
  <si>
    <t>M025</t>
    <phoneticPr fontId="1"/>
  </si>
  <si>
    <t>07100327</t>
    <phoneticPr fontId="1"/>
  </si>
  <si>
    <t>07100359</t>
    <phoneticPr fontId="1"/>
  </si>
  <si>
    <t>07100374</t>
    <phoneticPr fontId="1"/>
  </si>
  <si>
    <t>07100289</t>
    <phoneticPr fontId="1"/>
  </si>
  <si>
    <t>A501</t>
    <phoneticPr fontId="1"/>
  </si>
  <si>
    <t>07100352</t>
    <phoneticPr fontId="1"/>
  </si>
  <si>
    <t>07100353</t>
    <phoneticPr fontId="1"/>
  </si>
  <si>
    <t>07100371</t>
    <phoneticPr fontId="1"/>
  </si>
  <si>
    <t>07100378</t>
    <phoneticPr fontId="1"/>
  </si>
  <si>
    <t>07100379</t>
    <phoneticPr fontId="1"/>
  </si>
  <si>
    <t>07100380</t>
    <phoneticPr fontId="1"/>
  </si>
  <si>
    <t>07100382</t>
    <phoneticPr fontId="1"/>
  </si>
  <si>
    <t>07100395</t>
    <phoneticPr fontId="1"/>
  </si>
  <si>
    <t>07100401</t>
    <phoneticPr fontId="1"/>
  </si>
  <si>
    <t>07100403</t>
    <phoneticPr fontId="1"/>
  </si>
  <si>
    <t>07100429</t>
    <phoneticPr fontId="1"/>
  </si>
  <si>
    <t>07100431</t>
    <phoneticPr fontId="1"/>
  </si>
  <si>
    <t>07100432</t>
    <phoneticPr fontId="1"/>
  </si>
  <si>
    <t>07100433</t>
    <phoneticPr fontId="1"/>
  </si>
  <si>
    <t>07100206</t>
    <phoneticPr fontId="1"/>
  </si>
  <si>
    <t>07100210</t>
    <phoneticPr fontId="1"/>
  </si>
  <si>
    <t>07100212</t>
    <phoneticPr fontId="1"/>
  </si>
  <si>
    <t>07100242</t>
    <phoneticPr fontId="1"/>
  </si>
  <si>
    <t>07100347</t>
    <phoneticPr fontId="1"/>
  </si>
  <si>
    <t>07100348</t>
    <phoneticPr fontId="1"/>
  </si>
  <si>
    <t>07100372</t>
    <phoneticPr fontId="1"/>
  </si>
  <si>
    <t>A640</t>
    <phoneticPr fontId="1"/>
  </si>
  <si>
    <t>07090412</t>
    <phoneticPr fontId="1"/>
  </si>
  <si>
    <t>07100434</t>
    <phoneticPr fontId="1"/>
  </si>
  <si>
    <t>07100435</t>
    <phoneticPr fontId="1"/>
  </si>
  <si>
    <t>07100345</t>
    <phoneticPr fontId="1"/>
  </si>
  <si>
    <t>07100346</t>
    <phoneticPr fontId="1"/>
  </si>
  <si>
    <t>07100349</t>
    <phoneticPr fontId="1"/>
  </si>
  <si>
    <t>07100350</t>
    <phoneticPr fontId="1"/>
  </si>
  <si>
    <t>07100194</t>
    <phoneticPr fontId="1"/>
  </si>
  <si>
    <t>07100211</t>
    <phoneticPr fontId="1"/>
  </si>
  <si>
    <t>07100236</t>
    <phoneticPr fontId="1"/>
  </si>
  <si>
    <t>07100277</t>
    <phoneticPr fontId="1"/>
  </si>
  <si>
    <t>07100292</t>
    <phoneticPr fontId="1"/>
  </si>
  <si>
    <t>07100293</t>
    <phoneticPr fontId="1"/>
  </si>
  <si>
    <t>07100322</t>
    <phoneticPr fontId="1"/>
  </si>
  <si>
    <t>07100323</t>
    <phoneticPr fontId="1"/>
  </si>
  <si>
    <t>07100354</t>
    <phoneticPr fontId="1"/>
  </si>
  <si>
    <t>A913</t>
    <phoneticPr fontId="1"/>
  </si>
  <si>
    <t>07100360</t>
    <phoneticPr fontId="1"/>
  </si>
  <si>
    <t>07100361</t>
    <phoneticPr fontId="1"/>
  </si>
  <si>
    <t>07100444</t>
    <phoneticPr fontId="1"/>
  </si>
  <si>
    <t>07100445</t>
    <phoneticPr fontId="1"/>
  </si>
  <si>
    <t>07090300</t>
    <phoneticPr fontId="1"/>
  </si>
  <si>
    <t>07090405</t>
    <phoneticPr fontId="1"/>
  </si>
  <si>
    <t>07090550</t>
    <phoneticPr fontId="1"/>
  </si>
  <si>
    <t>07090588</t>
    <phoneticPr fontId="1"/>
  </si>
  <si>
    <t>07090599</t>
    <phoneticPr fontId="1"/>
  </si>
  <si>
    <t>07100004</t>
    <phoneticPr fontId="1"/>
  </si>
  <si>
    <t>07100005</t>
    <phoneticPr fontId="1"/>
  </si>
  <si>
    <t>07100006</t>
    <phoneticPr fontId="1"/>
  </si>
  <si>
    <t>07100363</t>
    <phoneticPr fontId="1"/>
  </si>
  <si>
    <t>07100364</t>
    <phoneticPr fontId="1"/>
  </si>
  <si>
    <t>07100365</t>
    <phoneticPr fontId="1"/>
  </si>
  <si>
    <t>07100366</t>
    <phoneticPr fontId="1"/>
  </si>
  <si>
    <t>07100367</t>
    <phoneticPr fontId="1"/>
  </si>
  <si>
    <t>07100368</t>
    <phoneticPr fontId="1"/>
  </si>
  <si>
    <t>07100404</t>
    <phoneticPr fontId="1"/>
  </si>
  <si>
    <t>07100405</t>
    <phoneticPr fontId="1"/>
  </si>
  <si>
    <t>07100406</t>
  </si>
  <si>
    <t>07100407</t>
  </si>
  <si>
    <t>07100408</t>
  </si>
  <si>
    <t>07100410</t>
    <phoneticPr fontId="1"/>
  </si>
  <si>
    <t>07100411</t>
  </si>
  <si>
    <t>07100412</t>
  </si>
  <si>
    <t>07100414</t>
    <phoneticPr fontId="1"/>
  </si>
  <si>
    <t>07100415</t>
  </si>
  <si>
    <t>07100416</t>
  </si>
  <si>
    <t>07100418</t>
    <phoneticPr fontId="1"/>
  </si>
  <si>
    <t>07100419</t>
  </si>
  <si>
    <t>07100420</t>
  </si>
  <si>
    <t>07100421</t>
  </si>
  <si>
    <t>07100422</t>
  </si>
  <si>
    <t>07100423</t>
  </si>
  <si>
    <t>07100426</t>
    <phoneticPr fontId="1"/>
  </si>
  <si>
    <t>07100450</t>
    <phoneticPr fontId="1"/>
  </si>
  <si>
    <t>07100457</t>
    <phoneticPr fontId="1"/>
  </si>
  <si>
    <t>07100209</t>
    <phoneticPr fontId="1"/>
  </si>
  <si>
    <t>2025/11/8 個数</t>
  </si>
  <si>
    <t>2025/11/9 個数</t>
  </si>
  <si>
    <t>2025/11/10 個数</t>
  </si>
  <si>
    <t>2025/11/11 個数</t>
  </si>
  <si>
    <t>2025/11/12 個数</t>
  </si>
  <si>
    <t>2025/11/13 個数</t>
  </si>
  <si>
    <t>2025/11/14 個数</t>
  </si>
  <si>
    <t>2025/11/15 個数</t>
  </si>
  <si>
    <t>2025/11/16 個数</t>
  </si>
  <si>
    <t>2025/11/17 個数</t>
  </si>
  <si>
    <t>2025/11/18 個数</t>
  </si>
  <si>
    <t>2025/11/19 個数</t>
  </si>
  <si>
    <t>2025/11/23 個数</t>
  </si>
  <si>
    <t>2025/11/24 個数</t>
  </si>
  <si>
    <t>2025/11/25 個数</t>
  </si>
  <si>
    <t>2025/11/26 個数</t>
  </si>
  <si>
    <t>2025/11/28 個数</t>
  </si>
  <si>
    <t>2025/11/30 個数</t>
  </si>
  <si>
    <t>2025/12/2 個数</t>
  </si>
  <si>
    <t>2025/12/3 個数</t>
  </si>
  <si>
    <t>2025/12/13 個数</t>
  </si>
  <si>
    <t>2025/12/16 個数</t>
  </si>
  <si>
    <t>2025/12/18 個数</t>
  </si>
  <si>
    <t>2025/12/21 個数</t>
  </si>
  <si>
    <t>2025/12/25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</si>
</sst>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H12" sqref="H12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198</v>
      </c>
      <c r="B1" s="24">
        <v>45953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3" t="s">
        <v>105</v>
      </c>
      <c r="Y2" s="149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0">
        <v>1</v>
      </c>
      <c r="B3" s="140">
        <v>23</v>
      </c>
      <c r="C3" s="85" t="s">
        <v>199</v>
      </c>
      <c r="D3" s="109" t="s">
        <v>200</v>
      </c>
      <c r="E3" s="15" t="s">
        <v>38</v>
      </c>
      <c r="F3" s="14"/>
      <c r="G3" s="12" t="s">
        <v>181</v>
      </c>
      <c r="H3" s="13"/>
      <c r="I3" s="13"/>
      <c r="J3" s="13">
        <v>1</v>
      </c>
      <c r="K3" s="13"/>
      <c r="L3" s="13"/>
      <c r="M3" s="13"/>
      <c r="N3" s="13"/>
      <c r="O3" s="13"/>
      <c r="P3" s="13"/>
      <c r="Q3" s="13"/>
      <c r="R3" s="13"/>
      <c r="S3" s="13"/>
      <c r="T3" s="25">
        <v>45974</v>
      </c>
      <c r="U3" s="13" t="s">
        <v>146</v>
      </c>
      <c r="V3">
        <v>1</v>
      </c>
      <c r="X3" s="51" t="s">
        <v>106</v>
      </c>
      <c r="Y3" s="52">
        <f>COUNTIF(U3:U27,"K")</f>
        <v>15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1"/>
      <c r="B4" s="141"/>
      <c r="C4" s="85" t="s">
        <v>201</v>
      </c>
      <c r="D4" s="109" t="s">
        <v>200</v>
      </c>
      <c r="E4" s="15" t="s">
        <v>38</v>
      </c>
      <c r="F4" s="16"/>
      <c r="G4" s="12" t="s">
        <v>181</v>
      </c>
      <c r="H4" s="15"/>
      <c r="I4" s="13"/>
      <c r="J4" s="13">
        <v>1</v>
      </c>
      <c r="K4" s="15"/>
      <c r="L4" s="17"/>
      <c r="M4" s="17"/>
      <c r="N4" s="13"/>
      <c r="O4" s="17"/>
      <c r="P4" s="17"/>
      <c r="Q4" s="17"/>
      <c r="R4" s="17"/>
      <c r="S4" s="15"/>
      <c r="T4" s="25">
        <v>45974</v>
      </c>
      <c r="U4" s="13" t="s">
        <v>146</v>
      </c>
      <c r="V4">
        <v>2</v>
      </c>
      <c r="X4" s="51" t="s">
        <v>107</v>
      </c>
      <c r="Y4" s="52">
        <f>COUNTIF(U3:U27,"R")</f>
        <v>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1"/>
      <c r="B5" s="141"/>
      <c r="C5" s="85" t="s">
        <v>202</v>
      </c>
      <c r="D5" s="109" t="s">
        <v>200</v>
      </c>
      <c r="E5" s="15" t="s">
        <v>38</v>
      </c>
      <c r="F5" s="16"/>
      <c r="G5" s="12" t="s">
        <v>181</v>
      </c>
      <c r="H5" s="13"/>
      <c r="I5" s="13"/>
      <c r="J5" s="13">
        <v>1</v>
      </c>
      <c r="K5" s="15"/>
      <c r="L5" s="17"/>
      <c r="M5" s="17"/>
      <c r="N5" s="13"/>
      <c r="O5" s="17"/>
      <c r="P5" s="17"/>
      <c r="Q5" s="17"/>
      <c r="R5" s="17"/>
      <c r="S5" s="15"/>
      <c r="T5" s="25">
        <v>45974</v>
      </c>
      <c r="U5" s="13" t="s">
        <v>146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1"/>
      <c r="B6" s="141"/>
      <c r="C6" s="85" t="s">
        <v>203</v>
      </c>
      <c r="D6" s="109" t="s">
        <v>200</v>
      </c>
      <c r="E6" s="15" t="s">
        <v>38</v>
      </c>
      <c r="F6" s="16"/>
      <c r="G6" s="12" t="s">
        <v>181</v>
      </c>
      <c r="H6" s="15"/>
      <c r="I6" s="13"/>
      <c r="J6" s="13">
        <v>1</v>
      </c>
      <c r="K6" s="15"/>
      <c r="L6" s="17"/>
      <c r="M6" s="17"/>
      <c r="N6" s="13"/>
      <c r="O6" s="17"/>
      <c r="P6" s="17"/>
      <c r="Q6" s="17"/>
      <c r="R6" s="17"/>
      <c r="S6" s="15"/>
      <c r="T6" s="25">
        <v>45974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1"/>
      <c r="B7" s="141"/>
      <c r="C7" s="85" t="s">
        <v>204</v>
      </c>
      <c r="D7" s="109" t="s">
        <v>200</v>
      </c>
      <c r="E7" s="15" t="s">
        <v>38</v>
      </c>
      <c r="F7" s="16"/>
      <c r="G7" s="12" t="s">
        <v>181</v>
      </c>
      <c r="H7" s="15"/>
      <c r="I7" s="13"/>
      <c r="J7" s="13">
        <v>1</v>
      </c>
      <c r="K7" s="15"/>
      <c r="L7" s="17"/>
      <c r="M7" s="17"/>
      <c r="N7" s="13"/>
      <c r="O7" s="17"/>
      <c r="P7" s="17"/>
      <c r="Q7" s="17"/>
      <c r="R7" s="17"/>
      <c r="S7" s="15"/>
      <c r="T7" s="25">
        <v>45974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1"/>
      <c r="B8" s="141"/>
      <c r="C8" s="85" t="s">
        <v>205</v>
      </c>
      <c r="D8" s="109" t="s">
        <v>200</v>
      </c>
      <c r="E8" s="15" t="s">
        <v>44</v>
      </c>
      <c r="F8" s="16"/>
      <c r="G8" s="12" t="s">
        <v>181</v>
      </c>
      <c r="H8" s="13"/>
      <c r="I8" s="13"/>
      <c r="J8" s="13">
        <v>1</v>
      </c>
      <c r="K8" s="15"/>
      <c r="L8" s="17"/>
      <c r="M8" s="17"/>
      <c r="N8" s="13"/>
      <c r="O8" s="17"/>
      <c r="P8" s="17"/>
      <c r="Q8" s="17"/>
      <c r="R8" s="17"/>
      <c r="S8" s="15"/>
      <c r="T8" s="25">
        <v>45974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1"/>
      <c r="B9" s="141"/>
      <c r="C9" s="85" t="s">
        <v>206</v>
      </c>
      <c r="D9" s="109" t="s">
        <v>200</v>
      </c>
      <c r="E9" s="15" t="s">
        <v>37</v>
      </c>
      <c r="F9" s="16"/>
      <c r="G9" s="12" t="s">
        <v>181</v>
      </c>
      <c r="H9" s="15"/>
      <c r="I9" s="13"/>
      <c r="J9" s="13">
        <v>1</v>
      </c>
      <c r="K9" s="15"/>
      <c r="L9" s="17"/>
      <c r="M9" s="17"/>
      <c r="N9" s="13"/>
      <c r="O9" s="17"/>
      <c r="P9" s="17"/>
      <c r="Q9" s="17"/>
      <c r="R9" s="17"/>
      <c r="S9" s="15"/>
      <c r="T9" s="25">
        <v>45974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1"/>
      <c r="B10" s="141"/>
      <c r="C10" s="85" t="s">
        <v>207</v>
      </c>
      <c r="D10" s="109" t="s">
        <v>200</v>
      </c>
      <c r="E10" s="15" t="s">
        <v>44</v>
      </c>
      <c r="F10" s="16"/>
      <c r="G10" s="12" t="s">
        <v>181</v>
      </c>
      <c r="H10" s="15"/>
      <c r="I10" s="13"/>
      <c r="J10" s="13">
        <v>1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45974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1"/>
      <c r="B11" s="141"/>
      <c r="C11" s="85" t="s">
        <v>208</v>
      </c>
      <c r="D11" s="109" t="s">
        <v>200</v>
      </c>
      <c r="E11" s="15" t="s">
        <v>38</v>
      </c>
      <c r="F11" s="16"/>
      <c r="G11" s="12" t="s">
        <v>181</v>
      </c>
      <c r="H11" s="15"/>
      <c r="I11" s="13"/>
      <c r="J11" s="13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45974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1"/>
      <c r="B12" s="141"/>
      <c r="C12" s="85" t="s">
        <v>209</v>
      </c>
      <c r="D12" s="109" t="s">
        <v>200</v>
      </c>
      <c r="E12" s="15" t="s">
        <v>38</v>
      </c>
      <c r="F12" s="16"/>
      <c r="G12" s="12" t="s">
        <v>181</v>
      </c>
      <c r="H12" s="15"/>
      <c r="I12" s="15"/>
      <c r="J12" s="13">
        <v>1</v>
      </c>
      <c r="K12" s="15"/>
      <c r="L12" s="17"/>
      <c r="M12" s="17"/>
      <c r="N12" s="17"/>
      <c r="O12" s="17"/>
      <c r="P12" s="17"/>
      <c r="Q12" s="17"/>
      <c r="R12" s="17"/>
      <c r="S12" s="15"/>
      <c r="T12" s="25">
        <v>45974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1"/>
      <c r="B13" s="141"/>
      <c r="C13" s="85" t="s">
        <v>210</v>
      </c>
      <c r="D13" s="109" t="s">
        <v>200</v>
      </c>
      <c r="E13" s="15" t="s">
        <v>38</v>
      </c>
      <c r="F13" s="16"/>
      <c r="G13" s="12" t="s">
        <v>181</v>
      </c>
      <c r="H13" s="15"/>
      <c r="I13" s="15"/>
      <c r="J13" s="13">
        <v>1</v>
      </c>
      <c r="K13" s="15"/>
      <c r="L13" s="17"/>
      <c r="M13" s="17"/>
      <c r="N13" s="17"/>
      <c r="O13" s="17"/>
      <c r="P13" s="17"/>
      <c r="Q13" s="17"/>
      <c r="R13" s="17"/>
      <c r="S13" s="15"/>
      <c r="T13" s="25">
        <v>45974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1"/>
      <c r="B14" s="141"/>
      <c r="C14" s="85" t="s">
        <v>211</v>
      </c>
      <c r="D14" s="109" t="s">
        <v>200</v>
      </c>
      <c r="E14" s="15" t="s">
        <v>38</v>
      </c>
      <c r="F14" s="16"/>
      <c r="G14" s="12" t="s">
        <v>181</v>
      </c>
      <c r="H14" s="15"/>
      <c r="I14" s="15"/>
      <c r="J14" s="13">
        <v>1</v>
      </c>
      <c r="K14" s="15"/>
      <c r="L14" s="17"/>
      <c r="M14" s="17"/>
      <c r="N14" s="17"/>
      <c r="O14" s="17"/>
      <c r="P14" s="17"/>
      <c r="Q14" s="17"/>
      <c r="R14" s="17"/>
      <c r="S14" s="15"/>
      <c r="T14" s="25">
        <v>45974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1"/>
      <c r="B15" s="141"/>
      <c r="C15" s="85" t="s">
        <v>212</v>
      </c>
      <c r="D15" s="109" t="s">
        <v>200</v>
      </c>
      <c r="E15" s="15" t="s">
        <v>38</v>
      </c>
      <c r="F15" s="16"/>
      <c r="G15" s="12" t="s">
        <v>181</v>
      </c>
      <c r="H15" s="15"/>
      <c r="I15" s="15"/>
      <c r="J15" s="13">
        <v>1</v>
      </c>
      <c r="K15" s="15"/>
      <c r="L15" s="17"/>
      <c r="M15" s="17"/>
      <c r="N15" s="17"/>
      <c r="O15" s="17"/>
      <c r="P15" s="17"/>
      <c r="Q15" s="17"/>
      <c r="R15" s="17"/>
      <c r="S15" s="15"/>
      <c r="T15" s="25">
        <v>45974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1"/>
      <c r="B16" s="141"/>
      <c r="C16" s="85" t="s">
        <v>213</v>
      </c>
      <c r="D16" s="109" t="s">
        <v>200</v>
      </c>
      <c r="E16" s="15" t="s">
        <v>38</v>
      </c>
      <c r="F16" s="16"/>
      <c r="G16" s="12" t="s">
        <v>181</v>
      </c>
      <c r="H16" s="15"/>
      <c r="I16" s="15"/>
      <c r="J16" s="13">
        <v>1</v>
      </c>
      <c r="K16" s="15"/>
      <c r="L16" s="17"/>
      <c r="M16" s="17"/>
      <c r="N16" s="17"/>
      <c r="O16" s="17"/>
      <c r="P16" s="17"/>
      <c r="Q16" s="17"/>
      <c r="R16" s="17"/>
      <c r="S16" s="15"/>
      <c r="T16" s="25">
        <v>45974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1"/>
      <c r="B17" s="141"/>
      <c r="C17" s="85" t="s">
        <v>214</v>
      </c>
      <c r="D17" s="109" t="s">
        <v>200</v>
      </c>
      <c r="E17" s="15" t="s">
        <v>38</v>
      </c>
      <c r="F17" s="16"/>
      <c r="G17" s="12" t="s">
        <v>181</v>
      </c>
      <c r="H17" s="15"/>
      <c r="I17" s="15"/>
      <c r="J17" s="13">
        <v>1</v>
      </c>
      <c r="K17" s="15"/>
      <c r="L17" s="17"/>
      <c r="M17" s="17"/>
      <c r="N17" s="17"/>
      <c r="O17" s="17"/>
      <c r="P17" s="17"/>
      <c r="Q17" s="17"/>
      <c r="R17" s="17"/>
      <c r="S17" s="15"/>
      <c r="T17" s="25">
        <v>45974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1"/>
      <c r="B18" s="14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1"/>
      <c r="B19" s="14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1"/>
      <c r="B20" s="14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1"/>
      <c r="B21" s="14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1"/>
      <c r="B22" s="14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1"/>
      <c r="B23" s="14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1"/>
      <c r="B24" s="14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1"/>
      <c r="B25" s="14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252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1"/>
      <c r="B26" s="14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2"/>
      <c r="B27" s="14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161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15</v>
      </c>
      <c r="K28" s="29">
        <f t="shared" si="0"/>
        <v>0</v>
      </c>
      <c r="L28" s="29">
        <f t="shared" si="0"/>
        <v>0</v>
      </c>
      <c r="M28" s="29">
        <f t="shared" si="0"/>
        <v>0</v>
      </c>
      <c r="N28" s="29">
        <f t="shared" si="0"/>
        <v>0</v>
      </c>
      <c r="O28" s="29">
        <f t="shared" si="0"/>
        <v>0</v>
      </c>
      <c r="P28" s="29">
        <f t="shared" si="0"/>
        <v>0</v>
      </c>
      <c r="Q28" s="29">
        <f t="shared" si="0"/>
        <v>0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5" t="s">
        <v>104</v>
      </c>
      <c r="AB28" s="146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15</v>
      </c>
      <c r="T29" s="29"/>
      <c r="U29" s="29"/>
      <c r="X29" t="s">
        <v>136</v>
      </c>
      <c r="AA29" s="147"/>
      <c r="AB29" s="148"/>
      <c r="AC29" s="161">
        <f>SUM(AC28:AE28)</f>
        <v>0</v>
      </c>
      <c r="AD29" s="162"/>
      <c r="AE29" s="16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AYG123</v>
      </c>
      <c r="B31" s="24">
        <f>B1</f>
        <v>45953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3" t="s">
        <v>119</v>
      </c>
      <c r="Y32" s="149"/>
      <c r="AA32" s="156" t="s">
        <v>47</v>
      </c>
      <c r="AB32" s="157"/>
    </row>
    <row r="33" spans="1:29" ht="19.5" thickTop="1" x14ac:dyDescent="0.4">
      <c r="A33" s="150">
        <v>2</v>
      </c>
      <c r="B33" s="140">
        <v>20.8</v>
      </c>
      <c r="C33" s="85" t="s">
        <v>215</v>
      </c>
      <c r="D33" s="109" t="s">
        <v>180</v>
      </c>
      <c r="E33" s="15" t="s">
        <v>39</v>
      </c>
      <c r="F33" s="14"/>
      <c r="G33" s="12" t="s">
        <v>191</v>
      </c>
      <c r="H33" s="13"/>
      <c r="I33" s="13"/>
      <c r="J33" s="13">
        <v>1</v>
      </c>
      <c r="K33" s="13"/>
      <c r="L33" s="13">
        <v>1</v>
      </c>
      <c r="M33" s="13"/>
      <c r="N33" s="13"/>
      <c r="O33" s="13"/>
      <c r="P33" s="13"/>
      <c r="Q33" s="13"/>
      <c r="R33" s="13"/>
      <c r="S33" s="13"/>
      <c r="T33" s="25">
        <v>45979</v>
      </c>
      <c r="U33" s="13" t="s">
        <v>146</v>
      </c>
      <c r="V33">
        <v>1</v>
      </c>
      <c r="X33" s="51" t="s">
        <v>106</v>
      </c>
      <c r="Y33" s="52">
        <f>COUNTIF(U33:U57,"K")</f>
        <v>6</v>
      </c>
      <c r="AA33" s="31" t="s">
        <v>46</v>
      </c>
      <c r="AB33" s="32">
        <f>J28+J178+J148+J118+J208+J238+J268+J298+J328+J358</f>
        <v>63</v>
      </c>
    </row>
    <row r="34" spans="1:29" x14ac:dyDescent="0.4">
      <c r="A34" s="151"/>
      <c r="B34" s="141"/>
      <c r="C34" s="85" t="s">
        <v>216</v>
      </c>
      <c r="D34" s="109" t="s">
        <v>180</v>
      </c>
      <c r="E34" s="15" t="s">
        <v>39</v>
      </c>
      <c r="F34" s="16"/>
      <c r="G34" s="12" t="s">
        <v>191</v>
      </c>
      <c r="H34" s="15"/>
      <c r="I34" s="13"/>
      <c r="J34" s="15">
        <v>1</v>
      </c>
      <c r="K34" s="15"/>
      <c r="L34" s="17">
        <v>1</v>
      </c>
      <c r="M34" s="17"/>
      <c r="N34" s="13"/>
      <c r="O34" s="17"/>
      <c r="P34" s="17"/>
      <c r="Q34" s="17"/>
      <c r="R34" s="17"/>
      <c r="S34" s="15"/>
      <c r="T34" s="25">
        <v>45979</v>
      </c>
      <c r="U34" s="13" t="s">
        <v>146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27</v>
      </c>
    </row>
    <row r="35" spans="1:29" ht="19.5" thickBot="1" x14ac:dyDescent="0.45">
      <c r="A35" s="151"/>
      <c r="B35" s="141"/>
      <c r="C35" s="85" t="s">
        <v>217</v>
      </c>
      <c r="D35" s="109" t="s">
        <v>180</v>
      </c>
      <c r="E35" s="15" t="s">
        <v>39</v>
      </c>
      <c r="F35" s="16"/>
      <c r="G35" s="12" t="s">
        <v>191</v>
      </c>
      <c r="H35" s="13"/>
      <c r="I35" s="13"/>
      <c r="J35" s="15">
        <v>1</v>
      </c>
      <c r="K35" s="15"/>
      <c r="L35" s="17">
        <v>1</v>
      </c>
      <c r="M35" s="17"/>
      <c r="N35" s="13"/>
      <c r="O35" s="17"/>
      <c r="P35" s="17"/>
      <c r="Q35" s="17"/>
      <c r="R35" s="17"/>
      <c r="S35" s="15"/>
      <c r="T35" s="25">
        <v>45979</v>
      </c>
      <c r="U35" s="13" t="s">
        <v>146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4</v>
      </c>
    </row>
    <row r="36" spans="1:29" x14ac:dyDescent="0.4">
      <c r="A36" s="151"/>
      <c r="B36" s="141"/>
      <c r="C36" s="85" t="s">
        <v>218</v>
      </c>
      <c r="D36" s="109" t="s">
        <v>180</v>
      </c>
      <c r="E36" s="15" t="s">
        <v>39</v>
      </c>
      <c r="F36" s="16"/>
      <c r="G36" s="12" t="s">
        <v>191</v>
      </c>
      <c r="H36" s="15"/>
      <c r="I36" s="13"/>
      <c r="J36" s="13">
        <v>1</v>
      </c>
      <c r="K36" s="15"/>
      <c r="L36" s="17">
        <v>1</v>
      </c>
      <c r="M36" s="17"/>
      <c r="N36" s="13"/>
      <c r="O36" s="17"/>
      <c r="P36" s="17"/>
      <c r="Q36" s="17"/>
      <c r="R36" s="17"/>
      <c r="S36" s="15"/>
      <c r="T36" s="25">
        <v>45979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21</v>
      </c>
    </row>
    <row r="37" spans="1:29" x14ac:dyDescent="0.4">
      <c r="A37" s="151"/>
      <c r="B37" s="141"/>
      <c r="C37" s="85" t="s">
        <v>219</v>
      </c>
      <c r="D37" s="109" t="s">
        <v>180</v>
      </c>
      <c r="E37" s="15" t="s">
        <v>59</v>
      </c>
      <c r="F37" s="16"/>
      <c r="G37" s="12" t="s">
        <v>181</v>
      </c>
      <c r="H37" s="15" t="s">
        <v>182</v>
      </c>
      <c r="I37" s="13"/>
      <c r="J37" s="15">
        <v>2</v>
      </c>
      <c r="K37" s="15"/>
      <c r="L37" s="17"/>
      <c r="M37" s="17"/>
      <c r="N37" s="13"/>
      <c r="O37" s="17"/>
      <c r="P37" s="17"/>
      <c r="Q37" s="17"/>
      <c r="R37" s="17"/>
      <c r="S37" s="15"/>
      <c r="T37" s="25">
        <v>45979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23</v>
      </c>
    </row>
    <row r="38" spans="1:29" x14ac:dyDescent="0.4">
      <c r="A38" s="151"/>
      <c r="B38" s="141"/>
      <c r="C38" s="85" t="s">
        <v>220</v>
      </c>
      <c r="D38" s="109" t="s">
        <v>180</v>
      </c>
      <c r="E38" s="15" t="s">
        <v>59</v>
      </c>
      <c r="F38" s="16"/>
      <c r="G38" s="12" t="s">
        <v>181</v>
      </c>
      <c r="H38" s="13" t="s">
        <v>182</v>
      </c>
      <c r="I38" s="13"/>
      <c r="J38" s="15">
        <v>2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45979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23</v>
      </c>
    </row>
    <row r="39" spans="1:29" x14ac:dyDescent="0.4">
      <c r="A39" s="151"/>
      <c r="B39" s="141"/>
      <c r="C39" s="85"/>
      <c r="D39" s="109"/>
      <c r="E39" s="15"/>
      <c r="F39" s="16"/>
      <c r="G39" s="12"/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/>
      <c r="T39" s="25"/>
      <c r="U39" s="13"/>
      <c r="V39">
        <v>7</v>
      </c>
      <c r="AA39" s="31" t="s">
        <v>53</v>
      </c>
      <c r="AB39" s="32">
        <f>P28+P178+P148+P118+P208+P238+P268+P298+P328+P358</f>
        <v>23</v>
      </c>
    </row>
    <row r="40" spans="1:29" x14ac:dyDescent="0.4">
      <c r="A40" s="151"/>
      <c r="B40" s="141"/>
      <c r="C40" s="85"/>
      <c r="D40" s="109"/>
      <c r="E40" s="15"/>
      <c r="F40" s="16"/>
      <c r="G40" s="12"/>
      <c r="H40" s="15"/>
      <c r="I40" s="13"/>
      <c r="J40" s="15"/>
      <c r="K40" s="15"/>
      <c r="L40" s="17"/>
      <c r="M40" s="17"/>
      <c r="N40" s="13"/>
      <c r="O40" s="17"/>
      <c r="P40" s="17"/>
      <c r="Q40" s="17"/>
      <c r="R40" s="17"/>
      <c r="S40" s="15"/>
      <c r="T40" s="25"/>
      <c r="U40" s="13"/>
      <c r="V40">
        <v>8</v>
      </c>
      <c r="AA40" s="31" t="s">
        <v>54</v>
      </c>
      <c r="AB40" s="32">
        <f>Q28+Q178+Q148+Q118+Q208+Q238+Q268+Q298+Q328+Q358</f>
        <v>21</v>
      </c>
    </row>
    <row r="41" spans="1:29" x14ac:dyDescent="0.4">
      <c r="A41" s="151"/>
      <c r="B41" s="141"/>
      <c r="C41" s="85"/>
      <c r="D41" s="109"/>
      <c r="E41" s="15"/>
      <c r="F41" s="16"/>
      <c r="G41" s="12"/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/>
      <c r="T41" s="25"/>
      <c r="U41" s="13"/>
      <c r="V41">
        <v>9</v>
      </c>
      <c r="AA41" s="31" t="s">
        <v>55</v>
      </c>
      <c r="AB41" s="32">
        <f>R28+R178+R148+R118+R208+R238+R268+R298+R328+R358</f>
        <v>9</v>
      </c>
      <c r="AC41" t="s">
        <v>123</v>
      </c>
    </row>
    <row r="42" spans="1:29" ht="19.5" thickBot="1" x14ac:dyDescent="0.45">
      <c r="A42" s="151"/>
      <c r="B42" s="141"/>
      <c r="C42" s="85"/>
      <c r="D42" s="109"/>
      <c r="E42" s="15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3</v>
      </c>
      <c r="AC42" s="73">
        <f>SUM(AB33:AB42)</f>
        <v>217</v>
      </c>
    </row>
    <row r="43" spans="1:29" ht="19.5" thickBot="1" x14ac:dyDescent="0.45">
      <c r="A43" s="151"/>
      <c r="B43" s="141"/>
      <c r="C43" s="85"/>
      <c r="D43" s="109"/>
      <c r="E43" s="15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1"/>
      <c r="B44" s="141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3</v>
      </c>
    </row>
    <row r="45" spans="1:29" x14ac:dyDescent="0.4">
      <c r="A45" s="151"/>
      <c r="B45" s="141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1"/>
      <c r="B46" s="141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1"/>
      <c r="B47" s="141"/>
      <c r="C47" s="85"/>
      <c r="D47" s="109"/>
      <c r="E47" s="15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1"/>
      <c r="B48" s="141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51"/>
      <c r="B49" s="14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146</v>
      </c>
    </row>
    <row r="50" spans="1:28" ht="19.5" thickBot="1" x14ac:dyDescent="0.45">
      <c r="A50" s="151"/>
      <c r="B50" s="14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15</v>
      </c>
    </row>
    <row r="51" spans="1:28" ht="19.5" thickBot="1" x14ac:dyDescent="0.45">
      <c r="A51" s="151"/>
      <c r="B51" s="14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1"/>
      <c r="B52" s="14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8">
        <v>76</v>
      </c>
    </row>
    <row r="53" spans="1:28" ht="19.5" thickBot="1" x14ac:dyDescent="0.45">
      <c r="A53" s="151"/>
      <c r="B53" s="14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9"/>
    </row>
    <row r="54" spans="1:28" ht="19.5" thickBot="1" x14ac:dyDescent="0.45">
      <c r="A54" s="151"/>
      <c r="B54" s="14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1"/>
      <c r="B55" s="14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3" t="s">
        <v>73</v>
      </c>
      <c r="AB55" s="45"/>
    </row>
    <row r="56" spans="1:28" ht="19.5" thickBot="1" x14ac:dyDescent="0.45">
      <c r="A56" s="151"/>
      <c r="B56" s="14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4"/>
      <c r="AB56" s="46"/>
    </row>
    <row r="57" spans="1:28" ht="19.5" thickBot="1" x14ac:dyDescent="0.45">
      <c r="A57" s="152"/>
      <c r="B57" s="14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3"/>
      <c r="AB57" s="45">
        <v>7</v>
      </c>
    </row>
    <row r="58" spans="1:28" ht="19.5" thickBot="1" x14ac:dyDescent="0.45">
      <c r="A58" s="27"/>
      <c r="B58" s="28"/>
      <c r="C58" s="88">
        <f>COUNTA(C33:C57)</f>
        <v>6</v>
      </c>
      <c r="D58" s="112"/>
      <c r="E58" s="29"/>
      <c r="F58" s="29" t="s">
        <v>34</v>
      </c>
      <c r="G58" s="29">
        <f>COUNTIF(G33:G57,"S")</f>
        <v>2</v>
      </c>
      <c r="H58" s="29">
        <f>COUNTIF(H33:H57,"E")</f>
        <v>2</v>
      </c>
      <c r="I58" s="29">
        <f>SUM(I33:I57)</f>
        <v>0</v>
      </c>
      <c r="J58" s="29">
        <f t="shared" ref="J58:S58" si="1">SUM(J33:J57)</f>
        <v>8</v>
      </c>
      <c r="K58" s="29">
        <f t="shared" si="1"/>
        <v>0</v>
      </c>
      <c r="L58" s="29">
        <f t="shared" si="1"/>
        <v>4</v>
      </c>
      <c r="M58" s="29">
        <f t="shared" si="1"/>
        <v>0</v>
      </c>
      <c r="N58" s="29">
        <f t="shared" si="1"/>
        <v>0</v>
      </c>
      <c r="O58" s="29">
        <f t="shared" si="1"/>
        <v>0</v>
      </c>
      <c r="P58" s="29">
        <f t="shared" si="1"/>
        <v>0</v>
      </c>
      <c r="Q58" s="29">
        <f t="shared" si="1"/>
        <v>0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44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4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12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AYG123</v>
      </c>
      <c r="B61" s="24">
        <f>B1</f>
        <v>45953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3" t="s">
        <v>118</v>
      </c>
      <c r="Y62" s="149"/>
    </row>
    <row r="63" spans="1:28" ht="20.25" thickTop="1" thickBot="1" x14ac:dyDescent="0.45">
      <c r="A63" s="150">
        <v>3</v>
      </c>
      <c r="B63" s="153">
        <v>25.9</v>
      </c>
      <c r="C63" s="85" t="s">
        <v>221</v>
      </c>
      <c r="D63" s="109" t="s">
        <v>185</v>
      </c>
      <c r="E63" s="15" t="s">
        <v>37</v>
      </c>
      <c r="F63" s="16"/>
      <c r="G63" s="12" t="s">
        <v>181</v>
      </c>
      <c r="H63" s="15"/>
      <c r="I63" s="13"/>
      <c r="J63" s="15"/>
      <c r="K63" s="15"/>
      <c r="L63" s="17"/>
      <c r="M63" s="17">
        <v>1</v>
      </c>
      <c r="N63" s="13">
        <v>1</v>
      </c>
      <c r="O63" s="17"/>
      <c r="P63" s="17"/>
      <c r="Q63" s="17">
        <v>1</v>
      </c>
      <c r="R63" s="17"/>
      <c r="S63" s="15"/>
      <c r="T63" s="25">
        <v>45970</v>
      </c>
      <c r="U63" s="13" t="s">
        <v>147</v>
      </c>
      <c r="V63">
        <v>1</v>
      </c>
      <c r="X63" s="51" t="s">
        <v>106</v>
      </c>
      <c r="Y63" s="52">
        <f>COUNTIF(U63:U87,"K")</f>
        <v>11</v>
      </c>
      <c r="AA63" s="59" t="s">
        <v>120</v>
      </c>
      <c r="AB63" s="60" t="s">
        <v>121</v>
      </c>
    </row>
    <row r="64" spans="1:28" x14ac:dyDescent="0.4">
      <c r="A64" s="151"/>
      <c r="B64" s="154"/>
      <c r="C64" s="85" t="s">
        <v>222</v>
      </c>
      <c r="D64" s="109" t="s">
        <v>197</v>
      </c>
      <c r="E64" s="15" t="s">
        <v>39</v>
      </c>
      <c r="F64" s="16"/>
      <c r="G64" s="12" t="s">
        <v>181</v>
      </c>
      <c r="H64" s="15"/>
      <c r="I64" s="13"/>
      <c r="J64" s="15">
        <v>1</v>
      </c>
      <c r="K64" s="15">
        <v>1</v>
      </c>
      <c r="L64" s="17"/>
      <c r="M64" s="17"/>
      <c r="N64" s="13"/>
      <c r="O64" s="17"/>
      <c r="P64" s="17"/>
      <c r="Q64" s="17"/>
      <c r="R64" s="17"/>
      <c r="S64" s="15"/>
      <c r="T64" s="25">
        <v>45976</v>
      </c>
      <c r="U64" s="13" t="s">
        <v>146</v>
      </c>
      <c r="V64">
        <v>2</v>
      </c>
      <c r="X64" s="51" t="s">
        <v>107</v>
      </c>
      <c r="Y64" s="52">
        <f>COUNTIF(U63:U87,"R")</f>
        <v>4</v>
      </c>
      <c r="AA64" s="47" t="s">
        <v>81</v>
      </c>
      <c r="AB64" s="48" t="s">
        <v>60</v>
      </c>
    </row>
    <row r="65" spans="1:28" ht="19.5" thickBot="1" x14ac:dyDescent="0.45">
      <c r="A65" s="151"/>
      <c r="B65" s="154"/>
      <c r="C65" s="85" t="s">
        <v>223</v>
      </c>
      <c r="D65" s="109" t="s">
        <v>185</v>
      </c>
      <c r="E65" s="15" t="s">
        <v>37</v>
      </c>
      <c r="F65" s="16"/>
      <c r="G65" s="12" t="s">
        <v>181</v>
      </c>
      <c r="H65" s="15"/>
      <c r="I65" s="13"/>
      <c r="J65" s="15"/>
      <c r="K65" s="15"/>
      <c r="L65" s="17"/>
      <c r="M65" s="17">
        <v>1</v>
      </c>
      <c r="N65" s="13">
        <v>1</v>
      </c>
      <c r="O65" s="17"/>
      <c r="P65" s="17"/>
      <c r="Q65" s="17">
        <v>1</v>
      </c>
      <c r="R65" s="17"/>
      <c r="S65" s="15"/>
      <c r="T65" s="25">
        <v>45977</v>
      </c>
      <c r="U65" s="13" t="s">
        <v>147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51"/>
      <c r="B66" s="154"/>
      <c r="C66" s="85" t="s">
        <v>224</v>
      </c>
      <c r="D66" s="109" t="s">
        <v>180</v>
      </c>
      <c r="E66" s="15" t="s">
        <v>39</v>
      </c>
      <c r="F66" s="16"/>
      <c r="G66" s="12" t="s">
        <v>191</v>
      </c>
      <c r="H66" s="15"/>
      <c r="I66" s="15"/>
      <c r="J66" s="15">
        <v>1</v>
      </c>
      <c r="K66" s="15"/>
      <c r="L66" s="17">
        <v>1</v>
      </c>
      <c r="M66" s="17"/>
      <c r="N66" s="17"/>
      <c r="O66" s="17"/>
      <c r="P66" s="17"/>
      <c r="Q66" s="17"/>
      <c r="R66" s="17"/>
      <c r="S66" s="15"/>
      <c r="T66" s="25">
        <v>45979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1"/>
      <c r="B67" s="154"/>
      <c r="C67" s="85" t="s">
        <v>225</v>
      </c>
      <c r="D67" s="109" t="s">
        <v>180</v>
      </c>
      <c r="E67" s="15" t="s">
        <v>39</v>
      </c>
      <c r="F67" s="16"/>
      <c r="G67" s="12" t="s">
        <v>191</v>
      </c>
      <c r="H67" s="15"/>
      <c r="I67" s="15"/>
      <c r="J67" s="15">
        <v>1</v>
      </c>
      <c r="K67" s="15"/>
      <c r="L67" s="17">
        <v>1</v>
      </c>
      <c r="M67" s="17"/>
      <c r="N67" s="17"/>
      <c r="O67" s="17"/>
      <c r="P67" s="17"/>
      <c r="Q67" s="17"/>
      <c r="R67" s="17"/>
      <c r="S67" s="15"/>
      <c r="T67" s="25">
        <v>45979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1"/>
      <c r="B68" s="154"/>
      <c r="C68" s="85" t="s">
        <v>226</v>
      </c>
      <c r="D68" s="109" t="s">
        <v>180</v>
      </c>
      <c r="E68" s="15" t="s">
        <v>39</v>
      </c>
      <c r="F68" s="16"/>
      <c r="G68" s="12" t="s">
        <v>191</v>
      </c>
      <c r="H68" s="15"/>
      <c r="I68" s="15"/>
      <c r="J68" s="15">
        <v>1</v>
      </c>
      <c r="K68" s="15"/>
      <c r="L68" s="17">
        <v>1</v>
      </c>
      <c r="M68" s="17"/>
      <c r="N68" s="17"/>
      <c r="O68" s="17"/>
      <c r="P68" s="17"/>
      <c r="Q68" s="17"/>
      <c r="R68" s="17"/>
      <c r="S68" s="15"/>
      <c r="T68" s="25">
        <v>45979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1"/>
      <c r="B69" s="154"/>
      <c r="C69" s="85" t="s">
        <v>227</v>
      </c>
      <c r="D69" s="109" t="s">
        <v>180</v>
      </c>
      <c r="E69" s="15" t="s">
        <v>39</v>
      </c>
      <c r="F69" s="16"/>
      <c r="G69" s="12" t="s">
        <v>191</v>
      </c>
      <c r="H69" s="15"/>
      <c r="I69" s="15"/>
      <c r="J69" s="15">
        <v>1</v>
      </c>
      <c r="K69" s="15"/>
      <c r="L69" s="17">
        <v>1</v>
      </c>
      <c r="M69" s="17"/>
      <c r="N69" s="17"/>
      <c r="O69" s="17"/>
      <c r="P69" s="17"/>
      <c r="Q69" s="17"/>
      <c r="R69" s="17"/>
      <c r="S69" s="15"/>
      <c r="T69" s="25">
        <v>45979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1"/>
      <c r="B70" s="154"/>
      <c r="C70" s="85" t="s">
        <v>228</v>
      </c>
      <c r="D70" s="109" t="s">
        <v>180</v>
      </c>
      <c r="E70" s="15" t="s">
        <v>39</v>
      </c>
      <c r="F70" s="16"/>
      <c r="G70" s="12" t="s">
        <v>191</v>
      </c>
      <c r="H70" s="15"/>
      <c r="I70" s="15"/>
      <c r="J70" s="15">
        <v>1</v>
      </c>
      <c r="K70" s="15"/>
      <c r="L70" s="17">
        <v>1</v>
      </c>
      <c r="M70" s="17"/>
      <c r="N70" s="17"/>
      <c r="O70" s="17"/>
      <c r="P70" s="17"/>
      <c r="Q70" s="17"/>
      <c r="R70" s="17"/>
      <c r="S70" s="15"/>
      <c r="T70" s="25">
        <v>45979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1"/>
      <c r="B71" s="154"/>
      <c r="C71" s="85" t="s">
        <v>229</v>
      </c>
      <c r="D71" s="109" t="s">
        <v>180</v>
      </c>
      <c r="E71" s="15" t="s">
        <v>39</v>
      </c>
      <c r="F71" s="16"/>
      <c r="G71" s="12" t="s">
        <v>191</v>
      </c>
      <c r="H71" s="15"/>
      <c r="I71" s="15"/>
      <c r="J71" s="15">
        <v>1</v>
      </c>
      <c r="K71" s="15"/>
      <c r="L71" s="17">
        <v>1</v>
      </c>
      <c r="M71" s="17"/>
      <c r="N71" s="17"/>
      <c r="O71" s="17"/>
      <c r="P71" s="17"/>
      <c r="Q71" s="17"/>
      <c r="R71" s="17"/>
      <c r="S71" s="15"/>
      <c r="T71" s="25">
        <v>45979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1"/>
      <c r="B72" s="154"/>
      <c r="C72" s="85" t="s">
        <v>230</v>
      </c>
      <c r="D72" s="110" t="s">
        <v>232</v>
      </c>
      <c r="E72" s="18" t="s">
        <v>38</v>
      </c>
      <c r="F72" s="16"/>
      <c r="G72" s="18" t="s">
        <v>181</v>
      </c>
      <c r="H72" s="15"/>
      <c r="I72" s="15"/>
      <c r="J72" s="18">
        <v>1</v>
      </c>
      <c r="K72" s="15">
        <v>1</v>
      </c>
      <c r="L72" s="19"/>
      <c r="M72" s="19"/>
      <c r="N72" s="19"/>
      <c r="O72" s="19"/>
      <c r="P72" s="19"/>
      <c r="Q72" s="19"/>
      <c r="R72" s="19"/>
      <c r="S72" s="15"/>
      <c r="T72" s="25">
        <v>45978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51"/>
      <c r="B73" s="154"/>
      <c r="C73" s="85" t="s">
        <v>231</v>
      </c>
      <c r="D73" s="110" t="s">
        <v>233</v>
      </c>
      <c r="E73" s="18" t="s">
        <v>37</v>
      </c>
      <c r="F73" s="16"/>
      <c r="G73" s="18" t="s">
        <v>181</v>
      </c>
      <c r="H73" s="15"/>
      <c r="I73" s="15"/>
      <c r="J73" s="18"/>
      <c r="K73" s="15"/>
      <c r="L73" s="19"/>
      <c r="M73" s="19">
        <v>1</v>
      </c>
      <c r="N73" s="19">
        <v>1</v>
      </c>
      <c r="O73" s="19"/>
      <c r="P73" s="19"/>
      <c r="Q73" s="19">
        <v>1</v>
      </c>
      <c r="R73" s="19"/>
      <c r="S73" s="15"/>
      <c r="T73" s="26">
        <v>45978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51"/>
      <c r="B74" s="154"/>
      <c r="C74" s="86" t="s">
        <v>234</v>
      </c>
      <c r="D74" s="110" t="s">
        <v>189</v>
      </c>
      <c r="E74" s="18" t="s">
        <v>44</v>
      </c>
      <c r="F74" s="16"/>
      <c r="G74" s="18" t="s">
        <v>181</v>
      </c>
      <c r="H74" s="15"/>
      <c r="I74" s="15"/>
      <c r="J74" s="18">
        <v>1</v>
      </c>
      <c r="K74" s="15">
        <v>1</v>
      </c>
      <c r="L74" s="19"/>
      <c r="M74" s="19"/>
      <c r="N74" s="19"/>
      <c r="O74" s="19"/>
      <c r="P74" s="19"/>
      <c r="Q74" s="19"/>
      <c r="R74" s="19"/>
      <c r="S74" s="15"/>
      <c r="T74" s="26">
        <v>45977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1"/>
      <c r="B75" s="154"/>
      <c r="C75" s="86" t="s">
        <v>235</v>
      </c>
      <c r="D75" s="110" t="s">
        <v>189</v>
      </c>
      <c r="E75" s="18" t="s">
        <v>75</v>
      </c>
      <c r="F75" s="16"/>
      <c r="G75" s="18" t="s">
        <v>181</v>
      </c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/>
      <c r="T75" s="26">
        <v>45977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1"/>
      <c r="B76" s="154"/>
      <c r="C76" s="86" t="s">
        <v>236</v>
      </c>
      <c r="D76" s="110" t="s">
        <v>189</v>
      </c>
      <c r="E76" s="18" t="s">
        <v>36</v>
      </c>
      <c r="F76" s="16"/>
      <c r="G76" s="18" t="s">
        <v>181</v>
      </c>
      <c r="H76" s="15"/>
      <c r="I76" s="15"/>
      <c r="J76" s="18">
        <v>1</v>
      </c>
      <c r="K76" s="15">
        <v>1</v>
      </c>
      <c r="L76" s="19"/>
      <c r="M76" s="19"/>
      <c r="N76" s="19"/>
      <c r="O76" s="19"/>
      <c r="P76" s="19"/>
      <c r="Q76" s="19"/>
      <c r="R76" s="19"/>
      <c r="S76" s="15"/>
      <c r="T76" s="26">
        <v>45977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51"/>
      <c r="B77" s="154"/>
      <c r="C77" s="86" t="s">
        <v>237</v>
      </c>
      <c r="D77" s="110" t="s">
        <v>189</v>
      </c>
      <c r="E77" s="18" t="s">
        <v>39</v>
      </c>
      <c r="F77" s="16"/>
      <c r="G77" s="18" t="s">
        <v>181</v>
      </c>
      <c r="H77" s="15"/>
      <c r="I77" s="15"/>
      <c r="J77" s="18">
        <v>1</v>
      </c>
      <c r="K77" s="15">
        <v>1</v>
      </c>
      <c r="L77" s="19"/>
      <c r="M77" s="19"/>
      <c r="N77" s="19"/>
      <c r="O77" s="19"/>
      <c r="P77" s="19"/>
      <c r="Q77" s="19"/>
      <c r="R77" s="19"/>
      <c r="S77" s="15"/>
      <c r="T77" s="26">
        <v>45977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51"/>
      <c r="B78" s="154"/>
      <c r="C78" s="86" t="s">
        <v>238</v>
      </c>
      <c r="D78" s="106" t="s">
        <v>189</v>
      </c>
      <c r="E78" s="15" t="s">
        <v>133</v>
      </c>
      <c r="F78" s="16"/>
      <c r="G78" s="15" t="s">
        <v>181</v>
      </c>
      <c r="H78" s="15"/>
      <c r="I78" s="15"/>
      <c r="J78" s="15"/>
      <c r="K78" s="15"/>
      <c r="L78" s="17"/>
      <c r="M78" s="17"/>
      <c r="N78" s="17"/>
      <c r="O78" s="17">
        <v>1</v>
      </c>
      <c r="P78" s="17">
        <v>1</v>
      </c>
      <c r="Q78" s="17">
        <v>1</v>
      </c>
      <c r="R78" s="17"/>
      <c r="S78" s="15"/>
      <c r="T78" s="26">
        <v>45977</v>
      </c>
      <c r="U78" s="15" t="s">
        <v>148</v>
      </c>
      <c r="V78">
        <v>16</v>
      </c>
      <c r="AA78" s="49" t="s">
        <v>95</v>
      </c>
      <c r="AB78" s="50" t="s">
        <v>42</v>
      </c>
    </row>
    <row r="79" spans="1:28" x14ac:dyDescent="0.4">
      <c r="A79" s="151"/>
      <c r="B79" s="154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1"/>
      <c r="B80" s="15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1"/>
      <c r="B81" s="15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1"/>
      <c r="B82" s="15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1"/>
      <c r="B83" s="15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1"/>
      <c r="B84" s="15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1"/>
      <c r="B85" s="15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1"/>
      <c r="B86" s="15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2"/>
      <c r="B87" s="15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10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5</v>
      </c>
      <c r="L88" s="29">
        <f t="shared" si="2"/>
        <v>6</v>
      </c>
      <c r="M88" s="29">
        <f t="shared" si="2"/>
        <v>3</v>
      </c>
      <c r="N88" s="29">
        <f t="shared" si="2"/>
        <v>3</v>
      </c>
      <c r="O88" s="29">
        <f t="shared" si="2"/>
        <v>1</v>
      </c>
      <c r="P88" s="29">
        <f t="shared" si="2"/>
        <v>1</v>
      </c>
      <c r="Q88" s="29">
        <f t="shared" si="2"/>
        <v>4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6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23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AYG123</v>
      </c>
      <c r="B91" s="24">
        <f>B1</f>
        <v>45953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3" t="s">
        <v>117</v>
      </c>
      <c r="Y92" s="149"/>
    </row>
    <row r="93" spans="1:28" ht="20.25" thickTop="1" thickBot="1" x14ac:dyDescent="0.45">
      <c r="A93" s="150">
        <v>4</v>
      </c>
      <c r="B93" s="140">
        <v>21.9</v>
      </c>
      <c r="C93" s="85" t="s">
        <v>239</v>
      </c>
      <c r="D93" s="109" t="s">
        <v>185</v>
      </c>
      <c r="E93" s="15" t="s">
        <v>74</v>
      </c>
      <c r="F93" s="14"/>
      <c r="G93" s="12" t="s">
        <v>181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45970</v>
      </c>
      <c r="U93" s="13" t="s">
        <v>147</v>
      </c>
      <c r="V93">
        <v>1</v>
      </c>
      <c r="X93" s="51" t="s">
        <v>106</v>
      </c>
      <c r="Y93" s="52">
        <f>COUNTIF(U93:U117,"K")</f>
        <v>8</v>
      </c>
      <c r="AA93" s="59" t="s">
        <v>120</v>
      </c>
      <c r="AB93" s="60" t="s">
        <v>121</v>
      </c>
    </row>
    <row r="94" spans="1:28" x14ac:dyDescent="0.4">
      <c r="A94" s="151"/>
      <c r="B94" s="141"/>
      <c r="C94" s="85" t="s">
        <v>240</v>
      </c>
      <c r="D94" s="109" t="s">
        <v>197</v>
      </c>
      <c r="E94" s="15" t="s">
        <v>38</v>
      </c>
      <c r="F94" s="16"/>
      <c r="G94" s="12" t="s">
        <v>181</v>
      </c>
      <c r="H94" s="15"/>
      <c r="I94" s="15"/>
      <c r="J94" s="13">
        <v>1</v>
      </c>
      <c r="K94" s="15">
        <v>1</v>
      </c>
      <c r="L94" s="13"/>
      <c r="M94" s="17"/>
      <c r="N94" s="17"/>
      <c r="O94" s="17"/>
      <c r="P94" s="17"/>
      <c r="Q94" s="17"/>
      <c r="R94" s="17"/>
      <c r="S94" s="15"/>
      <c r="T94" s="25">
        <v>45976</v>
      </c>
      <c r="U94" s="13" t="s">
        <v>142</v>
      </c>
      <c r="V94">
        <v>2</v>
      </c>
      <c r="X94" s="51" t="s">
        <v>107</v>
      </c>
      <c r="Y94" s="52">
        <f>COUNTIF(U93:U117,"R")</f>
        <v>2</v>
      </c>
      <c r="AA94" s="47" t="s">
        <v>81</v>
      </c>
      <c r="AB94" s="48" t="s">
        <v>60</v>
      </c>
    </row>
    <row r="95" spans="1:28" ht="19.5" thickBot="1" x14ac:dyDescent="0.45">
      <c r="A95" s="151"/>
      <c r="B95" s="141"/>
      <c r="C95" s="85" t="s">
        <v>241</v>
      </c>
      <c r="D95" s="109" t="s">
        <v>197</v>
      </c>
      <c r="E95" s="15" t="s">
        <v>40</v>
      </c>
      <c r="F95" s="16"/>
      <c r="G95" s="12" t="s">
        <v>181</v>
      </c>
      <c r="H95" s="15"/>
      <c r="I95" s="15"/>
      <c r="J95" s="13"/>
      <c r="K95" s="15"/>
      <c r="L95" s="13"/>
      <c r="M95" s="17"/>
      <c r="N95" s="17">
        <v>1</v>
      </c>
      <c r="O95" s="17">
        <v>1</v>
      </c>
      <c r="P95" s="17">
        <v>1</v>
      </c>
      <c r="Q95" s="17"/>
      <c r="R95" s="17">
        <v>1</v>
      </c>
      <c r="S95" s="15"/>
      <c r="T95" s="25">
        <v>45976</v>
      </c>
      <c r="U95" s="13" t="s">
        <v>148</v>
      </c>
      <c r="V95">
        <v>3</v>
      </c>
      <c r="X95" s="53" t="s">
        <v>108</v>
      </c>
      <c r="Y95" s="54">
        <f>COUNTIF(U93:U117,"J")</f>
        <v>4</v>
      </c>
      <c r="AA95" s="49" t="s">
        <v>122</v>
      </c>
      <c r="AB95" s="50" t="s">
        <v>39</v>
      </c>
    </row>
    <row r="96" spans="1:28" x14ac:dyDescent="0.4">
      <c r="A96" s="151"/>
      <c r="B96" s="141"/>
      <c r="C96" s="85" t="s">
        <v>242</v>
      </c>
      <c r="D96" s="109" t="s">
        <v>197</v>
      </c>
      <c r="E96" s="15" t="s">
        <v>38</v>
      </c>
      <c r="F96" s="16"/>
      <c r="G96" s="12" t="s">
        <v>181</v>
      </c>
      <c r="H96" s="15"/>
      <c r="I96" s="15"/>
      <c r="J96" s="13"/>
      <c r="K96" s="15">
        <v>1</v>
      </c>
      <c r="L96" s="13"/>
      <c r="M96" s="17"/>
      <c r="N96" s="17"/>
      <c r="O96" s="17"/>
      <c r="P96" s="17"/>
      <c r="Q96" s="17"/>
      <c r="R96" s="17"/>
      <c r="S96" s="15"/>
      <c r="T96" s="25">
        <v>45976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1"/>
      <c r="B97" s="141"/>
      <c r="C97" s="85" t="s">
        <v>243</v>
      </c>
      <c r="D97" s="109" t="s">
        <v>197</v>
      </c>
      <c r="E97" s="15" t="s">
        <v>40</v>
      </c>
      <c r="F97" s="16"/>
      <c r="G97" s="12" t="s">
        <v>181</v>
      </c>
      <c r="H97" s="15"/>
      <c r="I97" s="15"/>
      <c r="J97" s="13"/>
      <c r="K97" s="15"/>
      <c r="L97" s="13"/>
      <c r="M97" s="17"/>
      <c r="N97" s="17">
        <v>1</v>
      </c>
      <c r="O97" s="17">
        <v>1</v>
      </c>
      <c r="P97" s="17">
        <v>1</v>
      </c>
      <c r="Q97" s="17"/>
      <c r="R97" s="17">
        <v>1</v>
      </c>
      <c r="S97" s="15"/>
      <c r="T97" s="25">
        <v>45976</v>
      </c>
      <c r="U97" s="13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51"/>
      <c r="B98" s="141"/>
      <c r="C98" s="85" t="s">
        <v>245</v>
      </c>
      <c r="D98" s="109" t="s">
        <v>244</v>
      </c>
      <c r="E98" s="15" t="s">
        <v>37</v>
      </c>
      <c r="F98" s="16"/>
      <c r="G98" s="12" t="s">
        <v>181</v>
      </c>
      <c r="H98" s="13"/>
      <c r="I98" s="15"/>
      <c r="J98" s="13"/>
      <c r="K98" s="15"/>
      <c r="L98" s="13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45984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51"/>
      <c r="B99" s="141"/>
      <c r="C99" s="85" t="s">
        <v>246</v>
      </c>
      <c r="D99" s="109" t="s">
        <v>247</v>
      </c>
      <c r="E99" s="15" t="s">
        <v>39</v>
      </c>
      <c r="F99" s="16"/>
      <c r="G99" s="12" t="s">
        <v>181</v>
      </c>
      <c r="H99" s="15"/>
      <c r="I99" s="15"/>
      <c r="J99" s="13">
        <v>1</v>
      </c>
      <c r="K99" s="15">
        <v>1</v>
      </c>
      <c r="L99" s="13"/>
      <c r="M99" s="17"/>
      <c r="N99" s="17"/>
      <c r="O99" s="17"/>
      <c r="P99" s="17"/>
      <c r="Q99" s="17"/>
      <c r="R99" s="17"/>
      <c r="S99" s="15"/>
      <c r="T99" s="25">
        <v>45977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1"/>
      <c r="B100" s="141"/>
      <c r="C100" s="85" t="s">
        <v>248</v>
      </c>
      <c r="D100" s="109" t="s">
        <v>247</v>
      </c>
      <c r="E100" s="15" t="s">
        <v>133</v>
      </c>
      <c r="F100" s="16"/>
      <c r="G100" s="12" t="s">
        <v>181</v>
      </c>
      <c r="H100" s="15"/>
      <c r="I100" s="15"/>
      <c r="J100" s="13"/>
      <c r="K100" s="15"/>
      <c r="L100" s="13"/>
      <c r="M100" s="17"/>
      <c r="N100" s="17"/>
      <c r="O100" s="17">
        <v>1</v>
      </c>
      <c r="P100" s="17">
        <v>1</v>
      </c>
      <c r="Q100" s="17">
        <v>1</v>
      </c>
      <c r="R100" s="17">
        <v>1</v>
      </c>
      <c r="S100" s="15"/>
      <c r="T100" s="25">
        <v>45977</v>
      </c>
      <c r="U100" s="13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51"/>
      <c r="B101" s="141"/>
      <c r="C101" s="85" t="s">
        <v>249</v>
      </c>
      <c r="D101" s="109" t="s">
        <v>247</v>
      </c>
      <c r="E101" s="15" t="s">
        <v>39</v>
      </c>
      <c r="F101" s="16"/>
      <c r="G101" s="12" t="s">
        <v>181</v>
      </c>
      <c r="H101" s="15"/>
      <c r="I101" s="15"/>
      <c r="J101" s="13">
        <v>1</v>
      </c>
      <c r="K101" s="15">
        <v>1</v>
      </c>
      <c r="L101" s="13"/>
      <c r="M101" s="17"/>
      <c r="N101" s="17"/>
      <c r="O101" s="17"/>
      <c r="P101" s="17"/>
      <c r="Q101" s="17"/>
      <c r="R101" s="17"/>
      <c r="S101" s="15"/>
      <c r="T101" s="25">
        <v>45977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1"/>
      <c r="B102" s="141"/>
      <c r="C102" s="85" t="s">
        <v>250</v>
      </c>
      <c r="D102" s="109" t="s">
        <v>247</v>
      </c>
      <c r="E102" s="15" t="s">
        <v>39</v>
      </c>
      <c r="F102" s="16"/>
      <c r="G102" s="12" t="s">
        <v>181</v>
      </c>
      <c r="H102" s="15"/>
      <c r="I102" s="15"/>
      <c r="J102" s="13">
        <v>1</v>
      </c>
      <c r="K102" s="15">
        <v>1</v>
      </c>
      <c r="L102" s="13"/>
      <c r="M102" s="17"/>
      <c r="N102" s="17"/>
      <c r="O102" s="17"/>
      <c r="P102" s="17"/>
      <c r="Q102" s="17"/>
      <c r="R102" s="17"/>
      <c r="S102" s="15"/>
      <c r="T102" s="25">
        <v>45977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1"/>
      <c r="B103" s="141"/>
      <c r="C103" s="85" t="s">
        <v>251</v>
      </c>
      <c r="D103" s="109" t="s">
        <v>247</v>
      </c>
      <c r="E103" s="15" t="s">
        <v>39</v>
      </c>
      <c r="F103" s="16"/>
      <c r="G103" s="12" t="s">
        <v>181</v>
      </c>
      <c r="H103" s="15"/>
      <c r="I103" s="15"/>
      <c r="J103" s="13">
        <v>1</v>
      </c>
      <c r="K103" s="15">
        <v>1</v>
      </c>
      <c r="L103" s="13"/>
      <c r="M103" s="17"/>
      <c r="N103" s="17"/>
      <c r="O103" s="17"/>
      <c r="P103" s="17"/>
      <c r="Q103" s="17"/>
      <c r="R103" s="17"/>
      <c r="S103" s="15"/>
      <c r="T103" s="25">
        <v>45977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1"/>
      <c r="B104" s="141"/>
      <c r="C104" s="85" t="s">
        <v>253</v>
      </c>
      <c r="D104" s="109" t="s">
        <v>252</v>
      </c>
      <c r="E104" s="15" t="s">
        <v>39</v>
      </c>
      <c r="F104" s="16"/>
      <c r="G104" s="12" t="s">
        <v>181</v>
      </c>
      <c r="H104" s="15"/>
      <c r="I104" s="15"/>
      <c r="J104" s="13">
        <v>1</v>
      </c>
      <c r="K104" s="15">
        <v>1</v>
      </c>
      <c r="L104" s="13"/>
      <c r="M104" s="17"/>
      <c r="N104" s="17"/>
      <c r="O104" s="17"/>
      <c r="P104" s="17"/>
      <c r="Q104" s="17"/>
      <c r="R104" s="17"/>
      <c r="S104" s="15"/>
      <c r="T104" s="25">
        <v>45978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51"/>
      <c r="B105" s="141"/>
      <c r="C105" s="85" t="s">
        <v>254</v>
      </c>
      <c r="D105" s="109" t="s">
        <v>252</v>
      </c>
      <c r="E105" s="15" t="s">
        <v>133</v>
      </c>
      <c r="F105" s="16"/>
      <c r="G105" s="12" t="s">
        <v>181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>
        <v>1</v>
      </c>
      <c r="Q105" s="17"/>
      <c r="R105" s="17">
        <v>1</v>
      </c>
      <c r="S105" s="15"/>
      <c r="T105" s="25">
        <v>45978</v>
      </c>
      <c r="U105" s="132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51"/>
      <c r="B106" s="141"/>
      <c r="C106" s="85" t="s">
        <v>255</v>
      </c>
      <c r="D106" s="109" t="s">
        <v>180</v>
      </c>
      <c r="E106" s="15" t="s">
        <v>39</v>
      </c>
      <c r="F106" s="16"/>
      <c r="G106" s="12" t="s">
        <v>191</v>
      </c>
      <c r="H106" s="15"/>
      <c r="I106" s="15"/>
      <c r="J106" s="15">
        <v>1</v>
      </c>
      <c r="K106" s="15"/>
      <c r="L106" s="17">
        <v>1</v>
      </c>
      <c r="M106" s="17"/>
      <c r="N106" s="17"/>
      <c r="O106" s="17"/>
      <c r="P106" s="17"/>
      <c r="Q106" s="17"/>
      <c r="R106" s="17"/>
      <c r="S106" s="15"/>
      <c r="T106" s="25">
        <v>45979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51"/>
      <c r="B107" s="141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51"/>
      <c r="B108" s="141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51"/>
      <c r="B109" s="14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1"/>
      <c r="B110" s="14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1"/>
      <c r="B111" s="14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1"/>
      <c r="B112" s="14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1"/>
      <c r="B113" s="14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1"/>
      <c r="B114" s="14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1"/>
      <c r="B115" s="14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1"/>
      <c r="B116" s="14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2"/>
      <c r="B117" s="14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13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7</v>
      </c>
      <c r="L118" s="29">
        <f t="shared" ref="L118" si="5">SUM(L93:L117)</f>
        <v>1</v>
      </c>
      <c r="M118" s="29">
        <f t="shared" ref="M118" si="6">SUM(M93:M117)</f>
        <v>2</v>
      </c>
      <c r="N118" s="29">
        <f t="shared" ref="N118" si="7">SUM(N93:N117)</f>
        <v>4</v>
      </c>
      <c r="O118" s="29">
        <f t="shared" ref="O118" si="8">SUM(O93:O117)</f>
        <v>4</v>
      </c>
      <c r="P118" s="29">
        <f t="shared" ref="P118" si="9">SUM(P93:P117)</f>
        <v>4</v>
      </c>
      <c r="Q118" s="29">
        <f t="shared" ref="Q118" si="10">SUM(Q93:Q117)</f>
        <v>3</v>
      </c>
      <c r="R118" s="29">
        <f t="shared" ref="R118" si="11">SUM(R93:R117)</f>
        <v>4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1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36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AYG123</v>
      </c>
      <c r="B121" s="24">
        <f>B1</f>
        <v>45953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3" t="s">
        <v>116</v>
      </c>
      <c r="Y122" s="149"/>
    </row>
    <row r="123" spans="1:28" ht="20.25" thickTop="1" thickBot="1" x14ac:dyDescent="0.45">
      <c r="A123" s="150">
        <v>5</v>
      </c>
      <c r="B123" s="140">
        <v>23.8</v>
      </c>
      <c r="C123" s="85" t="s">
        <v>256</v>
      </c>
      <c r="D123" s="109" t="s">
        <v>257</v>
      </c>
      <c r="E123" s="15" t="s">
        <v>39</v>
      </c>
      <c r="F123" s="14"/>
      <c r="G123" s="12" t="s">
        <v>181</v>
      </c>
      <c r="H123" s="13"/>
      <c r="I123" s="13"/>
      <c r="J123" s="13">
        <v>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45985</v>
      </c>
      <c r="U123" s="13" t="s">
        <v>146</v>
      </c>
      <c r="V123">
        <v>1</v>
      </c>
      <c r="X123" s="51" t="s">
        <v>106</v>
      </c>
      <c r="Y123" s="52">
        <f>COUNTIF(U123:U147,"K")</f>
        <v>12</v>
      </c>
      <c r="AA123" s="59" t="s">
        <v>120</v>
      </c>
      <c r="AB123" s="60" t="s">
        <v>121</v>
      </c>
    </row>
    <row r="124" spans="1:28" x14ac:dyDescent="0.4">
      <c r="A124" s="151"/>
      <c r="B124" s="141"/>
      <c r="C124" s="85" t="s">
        <v>258</v>
      </c>
      <c r="D124" s="109" t="s">
        <v>257</v>
      </c>
      <c r="E124" s="15" t="s">
        <v>39</v>
      </c>
      <c r="F124" s="16"/>
      <c r="G124" s="12" t="s">
        <v>181</v>
      </c>
      <c r="H124" s="15"/>
      <c r="I124" s="15"/>
      <c r="J124" s="15">
        <v>1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45979</v>
      </c>
      <c r="U124" s="13" t="s">
        <v>146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51"/>
      <c r="B125" s="141"/>
      <c r="C125" s="85" t="s">
        <v>259</v>
      </c>
      <c r="D125" s="109" t="s">
        <v>257</v>
      </c>
      <c r="E125" s="15" t="s">
        <v>74</v>
      </c>
      <c r="F125" s="16"/>
      <c r="G125" s="12" t="s">
        <v>181</v>
      </c>
      <c r="H125" s="15"/>
      <c r="I125" s="15"/>
      <c r="J125" s="13">
        <v>1</v>
      </c>
      <c r="K125" s="13"/>
      <c r="L125" s="13"/>
      <c r="M125" s="17"/>
      <c r="N125" s="17"/>
      <c r="O125" s="17"/>
      <c r="P125" s="17"/>
      <c r="Q125" s="17"/>
      <c r="R125" s="17"/>
      <c r="S125" s="15"/>
      <c r="T125" s="25">
        <v>45977</v>
      </c>
      <c r="U125" s="13" t="s">
        <v>146</v>
      </c>
      <c r="V125">
        <v>3</v>
      </c>
      <c r="X125" s="53" t="s">
        <v>108</v>
      </c>
      <c r="Y125" s="54">
        <f>COUNTIF(U123:U147,"J")</f>
        <v>6</v>
      </c>
      <c r="AA125" s="49" t="s">
        <v>82</v>
      </c>
      <c r="AB125" s="50" t="s">
        <v>39</v>
      </c>
    </row>
    <row r="126" spans="1:28" x14ac:dyDescent="0.4">
      <c r="A126" s="151"/>
      <c r="B126" s="141"/>
      <c r="C126" s="85" t="s">
        <v>260</v>
      </c>
      <c r="D126" s="109" t="s">
        <v>257</v>
      </c>
      <c r="E126" s="15" t="s">
        <v>40</v>
      </c>
      <c r="F126" s="16"/>
      <c r="G126" s="12" t="s">
        <v>181</v>
      </c>
      <c r="H126" s="15"/>
      <c r="I126" s="15"/>
      <c r="J126" s="15"/>
      <c r="K126" s="15"/>
      <c r="L126" s="17"/>
      <c r="M126" s="17"/>
      <c r="N126" s="17"/>
      <c r="O126" s="17">
        <v>1</v>
      </c>
      <c r="P126" s="17">
        <v>1</v>
      </c>
      <c r="Q126" s="17">
        <v>1</v>
      </c>
      <c r="R126" s="17">
        <v>1</v>
      </c>
      <c r="S126" s="15"/>
      <c r="T126" s="25">
        <v>45977</v>
      </c>
      <c r="U126" s="13" t="s">
        <v>148</v>
      </c>
      <c r="V126">
        <v>4</v>
      </c>
      <c r="AA126" s="49" t="s">
        <v>83</v>
      </c>
      <c r="AB126" s="50" t="s">
        <v>38</v>
      </c>
    </row>
    <row r="127" spans="1:28" x14ac:dyDescent="0.4">
      <c r="A127" s="151"/>
      <c r="B127" s="141"/>
      <c r="C127" s="85" t="s">
        <v>261</v>
      </c>
      <c r="D127" s="109" t="s">
        <v>257</v>
      </c>
      <c r="E127" s="15" t="s">
        <v>39</v>
      </c>
      <c r="F127" s="16"/>
      <c r="G127" s="12" t="s">
        <v>181</v>
      </c>
      <c r="H127" s="15"/>
      <c r="I127" s="15"/>
      <c r="J127" s="13">
        <v>1</v>
      </c>
      <c r="K127" s="13"/>
      <c r="L127" s="13"/>
      <c r="M127" s="17"/>
      <c r="N127" s="17"/>
      <c r="O127" s="17"/>
      <c r="P127" s="17"/>
      <c r="Q127" s="17"/>
      <c r="R127" s="17"/>
      <c r="S127" s="15"/>
      <c r="T127" s="25">
        <v>45985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1"/>
      <c r="B128" s="141"/>
      <c r="C128" s="85" t="s">
        <v>262</v>
      </c>
      <c r="D128" s="109" t="s">
        <v>257</v>
      </c>
      <c r="E128" s="15" t="s">
        <v>39</v>
      </c>
      <c r="F128" s="16"/>
      <c r="G128" s="12" t="s">
        <v>181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45985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51"/>
      <c r="B129" s="141"/>
      <c r="C129" s="85" t="s">
        <v>263</v>
      </c>
      <c r="D129" s="109" t="s">
        <v>264</v>
      </c>
      <c r="E129" s="15" t="s">
        <v>38</v>
      </c>
      <c r="F129" s="16"/>
      <c r="G129" s="12" t="s">
        <v>181</v>
      </c>
      <c r="H129" s="15"/>
      <c r="I129" s="15"/>
      <c r="J129" s="13">
        <v>1</v>
      </c>
      <c r="K129" s="13"/>
      <c r="L129" s="13"/>
      <c r="M129" s="17"/>
      <c r="N129" s="17"/>
      <c r="O129" s="17"/>
      <c r="P129" s="17"/>
      <c r="Q129" s="17"/>
      <c r="R129" s="17"/>
      <c r="S129" s="15"/>
      <c r="T129" s="25">
        <v>45994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51"/>
      <c r="B130" s="141"/>
      <c r="C130" s="85" t="s">
        <v>265</v>
      </c>
      <c r="D130" s="109" t="s">
        <v>257</v>
      </c>
      <c r="E130" s="15" t="s">
        <v>39</v>
      </c>
      <c r="F130" s="16"/>
      <c r="G130" s="12" t="s">
        <v>181</v>
      </c>
      <c r="H130" s="15"/>
      <c r="I130" s="15"/>
      <c r="J130" s="15">
        <v>1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45977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1"/>
      <c r="B131" s="141"/>
      <c r="C131" s="85" t="s">
        <v>266</v>
      </c>
      <c r="D131" s="109" t="s">
        <v>193</v>
      </c>
      <c r="E131" s="15" t="s">
        <v>38</v>
      </c>
      <c r="F131" s="16"/>
      <c r="G131" s="12" t="s">
        <v>181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/>
      <c r="T131" s="25">
        <v>45989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1"/>
      <c r="B132" s="141"/>
      <c r="C132" s="85" t="s">
        <v>267</v>
      </c>
      <c r="D132" s="109" t="s">
        <v>183</v>
      </c>
      <c r="E132" s="15" t="s">
        <v>40</v>
      </c>
      <c r="F132" s="16"/>
      <c r="G132" s="12" t="s">
        <v>181</v>
      </c>
      <c r="H132" s="15"/>
      <c r="I132" s="15"/>
      <c r="J132" s="15"/>
      <c r="K132" s="15"/>
      <c r="L132" s="17"/>
      <c r="M132" s="17"/>
      <c r="N132" s="17"/>
      <c r="O132" s="17">
        <v>1</v>
      </c>
      <c r="P132" s="17">
        <v>1</v>
      </c>
      <c r="Q132" s="17"/>
      <c r="R132" s="17"/>
      <c r="S132" s="15"/>
      <c r="T132" s="25">
        <v>45987</v>
      </c>
      <c r="U132" s="13" t="s">
        <v>148</v>
      </c>
      <c r="V132">
        <v>10</v>
      </c>
      <c r="AA132" s="49" t="s">
        <v>89</v>
      </c>
      <c r="AB132" s="50" t="s">
        <v>36</v>
      </c>
    </row>
    <row r="133" spans="1:28" x14ac:dyDescent="0.4">
      <c r="A133" s="151"/>
      <c r="B133" s="141"/>
      <c r="C133" s="85" t="s">
        <v>268</v>
      </c>
      <c r="D133" s="109" t="s">
        <v>183</v>
      </c>
      <c r="E133" s="15" t="s">
        <v>40</v>
      </c>
      <c r="F133" s="16"/>
      <c r="G133" s="12" t="s">
        <v>181</v>
      </c>
      <c r="H133" s="15"/>
      <c r="I133" s="15"/>
      <c r="J133" s="13"/>
      <c r="K133" s="13"/>
      <c r="L133" s="13"/>
      <c r="M133" s="17"/>
      <c r="N133" s="17"/>
      <c r="O133" s="17">
        <v>1</v>
      </c>
      <c r="P133" s="17">
        <v>1</v>
      </c>
      <c r="Q133" s="17"/>
      <c r="R133" s="17"/>
      <c r="S133" s="15"/>
      <c r="T133" s="25">
        <v>45977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51"/>
      <c r="B134" s="141"/>
      <c r="C134" s="85" t="s">
        <v>269</v>
      </c>
      <c r="D134" s="109" t="s">
        <v>264</v>
      </c>
      <c r="E134" s="15" t="s">
        <v>38</v>
      </c>
      <c r="F134" s="16"/>
      <c r="G134" s="12" t="s">
        <v>181</v>
      </c>
      <c r="H134" s="15"/>
      <c r="I134" s="15"/>
      <c r="J134" s="15">
        <v>1</v>
      </c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45994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51"/>
      <c r="B135" s="141"/>
      <c r="C135" s="85" t="s">
        <v>270</v>
      </c>
      <c r="D135" s="109" t="s">
        <v>264</v>
      </c>
      <c r="E135" s="15" t="s">
        <v>38</v>
      </c>
      <c r="F135" s="16"/>
      <c r="G135" s="12" t="s">
        <v>181</v>
      </c>
      <c r="H135" s="15"/>
      <c r="I135" s="15"/>
      <c r="J135" s="15">
        <v>1</v>
      </c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45994</v>
      </c>
      <c r="U135" s="132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51"/>
      <c r="B136" s="141"/>
      <c r="C136" s="85" t="s">
        <v>271</v>
      </c>
      <c r="D136" s="109" t="s">
        <v>264</v>
      </c>
      <c r="E136" s="15" t="s">
        <v>38</v>
      </c>
      <c r="F136" s="16"/>
      <c r="G136" s="12" t="s">
        <v>181</v>
      </c>
      <c r="H136" s="15"/>
      <c r="I136" s="15"/>
      <c r="J136" s="15">
        <v>1</v>
      </c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45994</v>
      </c>
      <c r="U136" s="15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51"/>
      <c r="B137" s="141"/>
      <c r="C137" s="85" t="s">
        <v>272</v>
      </c>
      <c r="D137" s="109" t="s">
        <v>264</v>
      </c>
      <c r="E137" s="15" t="s">
        <v>38</v>
      </c>
      <c r="F137" s="16"/>
      <c r="G137" s="15" t="s">
        <v>181</v>
      </c>
      <c r="H137" s="15"/>
      <c r="I137" s="15"/>
      <c r="J137" s="15">
        <v>1</v>
      </c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45994</v>
      </c>
      <c r="U137" s="15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51"/>
      <c r="B138" s="141"/>
      <c r="C138" s="85" t="s">
        <v>274</v>
      </c>
      <c r="D138" s="106" t="s">
        <v>273</v>
      </c>
      <c r="E138" s="15" t="s">
        <v>36</v>
      </c>
      <c r="F138" s="16"/>
      <c r="G138" s="12" t="s">
        <v>181</v>
      </c>
      <c r="H138" s="15"/>
      <c r="I138" s="15"/>
      <c r="J138" s="18"/>
      <c r="K138" s="15"/>
      <c r="L138" s="19"/>
      <c r="M138" s="19">
        <v>1</v>
      </c>
      <c r="N138" s="13"/>
      <c r="O138" s="19"/>
      <c r="P138" s="19"/>
      <c r="Q138" s="19">
        <v>1</v>
      </c>
      <c r="R138" s="19"/>
      <c r="S138" s="15"/>
      <c r="T138" s="25">
        <v>45991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51"/>
      <c r="B139" s="141"/>
      <c r="C139" s="85" t="s">
        <v>275</v>
      </c>
      <c r="D139" s="106" t="s">
        <v>273</v>
      </c>
      <c r="E139" s="15" t="s">
        <v>40</v>
      </c>
      <c r="F139" s="16"/>
      <c r="G139" s="12" t="s">
        <v>191</v>
      </c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>
        <v>45991</v>
      </c>
      <c r="U139" s="13" t="s">
        <v>148</v>
      </c>
      <c r="V139">
        <v>17</v>
      </c>
      <c r="AA139" s="49" t="s">
        <v>96</v>
      </c>
      <c r="AB139" s="50" t="s">
        <v>61</v>
      </c>
    </row>
    <row r="140" spans="1:28" x14ac:dyDescent="0.4">
      <c r="A140" s="151"/>
      <c r="B140" s="141"/>
      <c r="C140" s="85" t="s">
        <v>276</v>
      </c>
      <c r="D140" s="106" t="s">
        <v>273</v>
      </c>
      <c r="E140" s="15" t="s">
        <v>40</v>
      </c>
      <c r="F140" s="16"/>
      <c r="G140" s="12" t="s">
        <v>191</v>
      </c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>
        <v>45991</v>
      </c>
      <c r="U140" s="13" t="s">
        <v>148</v>
      </c>
      <c r="V140">
        <v>18</v>
      </c>
      <c r="AA140" s="49" t="s">
        <v>97</v>
      </c>
      <c r="AB140" s="50" t="s">
        <v>76</v>
      </c>
    </row>
    <row r="141" spans="1:28" x14ac:dyDescent="0.4">
      <c r="A141" s="151"/>
      <c r="B141" s="141"/>
      <c r="C141" s="85" t="s">
        <v>277</v>
      </c>
      <c r="D141" s="106" t="s">
        <v>273</v>
      </c>
      <c r="E141" s="106" t="s">
        <v>40</v>
      </c>
      <c r="F141" s="16"/>
      <c r="G141" s="12" t="s">
        <v>191</v>
      </c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>
        <v>45991</v>
      </c>
      <c r="U141" s="13" t="s">
        <v>148</v>
      </c>
      <c r="V141">
        <v>19</v>
      </c>
      <c r="AA141" s="49" t="s">
        <v>98</v>
      </c>
      <c r="AB141" s="50" t="s">
        <v>77</v>
      </c>
    </row>
    <row r="142" spans="1:28" x14ac:dyDescent="0.4">
      <c r="A142" s="151"/>
      <c r="B142" s="14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1"/>
      <c r="B143" s="14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1"/>
      <c r="B144" s="14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1"/>
      <c r="B145" s="14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1"/>
      <c r="B146" s="14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2"/>
      <c r="B147" s="14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19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11</v>
      </c>
      <c r="K148" s="29">
        <f t="shared" ref="K148" si="14">SUM(K123:K147)</f>
        <v>0</v>
      </c>
      <c r="L148" s="29">
        <f t="shared" ref="L148" si="15">SUM(L123:L147)</f>
        <v>0</v>
      </c>
      <c r="M148" s="29">
        <f t="shared" ref="M148" si="16">SUM(M123:M147)</f>
        <v>1</v>
      </c>
      <c r="N148" s="29">
        <f t="shared" ref="N148" si="17">SUM(N123:N147)</f>
        <v>0</v>
      </c>
      <c r="O148" s="29">
        <f t="shared" ref="O148" si="18">SUM(O123:O147)</f>
        <v>3</v>
      </c>
      <c r="P148" s="29">
        <f t="shared" ref="P148" si="19">SUM(P123:P147)</f>
        <v>3</v>
      </c>
      <c r="Q148" s="29">
        <f t="shared" ref="Q148" si="20">SUM(Q123:Q147)</f>
        <v>2</v>
      </c>
      <c r="R148" s="29">
        <f t="shared" ref="R148" si="21">SUM(R123:R147)</f>
        <v>1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3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AYG123</v>
      </c>
      <c r="B151" s="24">
        <f>B1</f>
        <v>45953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3" t="s">
        <v>115</v>
      </c>
      <c r="Y152" s="149"/>
    </row>
    <row r="153" spans="1:28" ht="20.25" thickTop="1" thickBot="1" x14ac:dyDescent="0.45">
      <c r="A153" s="150">
        <v>6</v>
      </c>
      <c r="B153" s="153">
        <v>19.2</v>
      </c>
      <c r="C153" s="85" t="s">
        <v>278</v>
      </c>
      <c r="D153" s="109" t="s">
        <v>197</v>
      </c>
      <c r="E153" s="13" t="s">
        <v>36</v>
      </c>
      <c r="F153" s="14"/>
      <c r="G153" s="12" t="s">
        <v>181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45976</v>
      </c>
      <c r="U153" s="13" t="s">
        <v>146</v>
      </c>
      <c r="V153">
        <v>1</v>
      </c>
      <c r="X153" s="51" t="s">
        <v>106</v>
      </c>
      <c r="Y153" s="52">
        <f>COUNTIF(U153:U177,"K")</f>
        <v>5</v>
      </c>
      <c r="AA153" s="59" t="s">
        <v>120</v>
      </c>
      <c r="AB153" s="60" t="s">
        <v>121</v>
      </c>
    </row>
    <row r="154" spans="1:28" x14ac:dyDescent="0.4">
      <c r="A154" s="151"/>
      <c r="B154" s="154"/>
      <c r="C154" s="85" t="s">
        <v>279</v>
      </c>
      <c r="D154" s="109" t="s">
        <v>185</v>
      </c>
      <c r="E154" s="13" t="s">
        <v>75</v>
      </c>
      <c r="F154" s="16"/>
      <c r="G154" s="12" t="s">
        <v>181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/>
      <c r="T154" s="26">
        <v>45972</v>
      </c>
      <c r="U154" s="13" t="s">
        <v>147</v>
      </c>
      <c r="V154">
        <v>2</v>
      </c>
      <c r="X154" s="51" t="s">
        <v>107</v>
      </c>
      <c r="Y154" s="52">
        <f>COUNTIF(U153:U177,"R")</f>
        <v>8</v>
      </c>
      <c r="AA154" s="47" t="s">
        <v>81</v>
      </c>
      <c r="AB154" s="48" t="s">
        <v>60</v>
      </c>
    </row>
    <row r="155" spans="1:28" ht="19.5" thickBot="1" x14ac:dyDescent="0.45">
      <c r="A155" s="151"/>
      <c r="B155" s="154"/>
      <c r="C155" s="85" t="s">
        <v>280</v>
      </c>
      <c r="D155" s="109" t="s">
        <v>183</v>
      </c>
      <c r="E155" s="13" t="s">
        <v>58</v>
      </c>
      <c r="F155" s="16"/>
      <c r="G155" s="12" t="s">
        <v>181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45971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51"/>
      <c r="B156" s="154"/>
      <c r="C156" s="85" t="s">
        <v>281</v>
      </c>
      <c r="D156" s="109" t="s">
        <v>185</v>
      </c>
      <c r="E156" s="13" t="s">
        <v>74</v>
      </c>
      <c r="F156" s="16"/>
      <c r="G156" s="12" t="s">
        <v>181</v>
      </c>
      <c r="H156" s="15"/>
      <c r="I156" s="15"/>
      <c r="J156" s="15">
        <v>1</v>
      </c>
      <c r="K156" s="15">
        <v>1</v>
      </c>
      <c r="L156" s="17"/>
      <c r="M156" s="17"/>
      <c r="N156" s="17"/>
      <c r="O156" s="17"/>
      <c r="P156" s="17"/>
      <c r="Q156" s="17"/>
      <c r="R156" s="17"/>
      <c r="S156" s="15"/>
      <c r="T156" s="26">
        <v>45973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51"/>
      <c r="B157" s="154"/>
      <c r="C157" s="85" t="s">
        <v>282</v>
      </c>
      <c r="D157" s="109" t="s">
        <v>185</v>
      </c>
      <c r="E157" s="13" t="s">
        <v>37</v>
      </c>
      <c r="F157" s="16"/>
      <c r="G157" s="12" t="s">
        <v>181</v>
      </c>
      <c r="H157" s="15"/>
      <c r="I157" s="15"/>
      <c r="J157" s="13"/>
      <c r="K157" s="15"/>
      <c r="L157" s="13"/>
      <c r="M157" s="17">
        <v>1</v>
      </c>
      <c r="N157" s="17">
        <v>1</v>
      </c>
      <c r="O157" s="17"/>
      <c r="P157" s="17"/>
      <c r="Q157" s="17">
        <v>1</v>
      </c>
      <c r="R157" s="17"/>
      <c r="S157" s="15"/>
      <c r="T157" s="26">
        <v>45978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51"/>
      <c r="B158" s="154"/>
      <c r="C158" s="85" t="s">
        <v>283</v>
      </c>
      <c r="D158" s="109" t="s">
        <v>185</v>
      </c>
      <c r="E158" s="13" t="s">
        <v>75</v>
      </c>
      <c r="F158" s="16"/>
      <c r="G158" s="12" t="s">
        <v>181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45978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51"/>
      <c r="B159" s="154"/>
      <c r="C159" s="85" t="s">
        <v>284</v>
      </c>
      <c r="D159" s="109" t="s">
        <v>184</v>
      </c>
      <c r="E159" s="13" t="s">
        <v>58</v>
      </c>
      <c r="F159" s="16"/>
      <c r="G159" s="12" t="s">
        <v>181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45978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51"/>
      <c r="B160" s="154"/>
      <c r="C160" s="85" t="s">
        <v>285</v>
      </c>
      <c r="D160" s="109" t="s">
        <v>184</v>
      </c>
      <c r="E160" s="13" t="s">
        <v>58</v>
      </c>
      <c r="F160" s="16"/>
      <c r="G160" s="12" t="s">
        <v>181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45978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51"/>
      <c r="B161" s="154"/>
      <c r="C161" s="85" t="s">
        <v>286</v>
      </c>
      <c r="D161" s="109" t="s">
        <v>185</v>
      </c>
      <c r="E161" s="13" t="s">
        <v>36</v>
      </c>
      <c r="F161" s="16"/>
      <c r="G161" s="12" t="s">
        <v>181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6">
        <v>45984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51"/>
      <c r="B162" s="154"/>
      <c r="C162" s="85" t="s">
        <v>287</v>
      </c>
      <c r="D162" s="109" t="s">
        <v>185</v>
      </c>
      <c r="E162" s="13" t="s">
        <v>75</v>
      </c>
      <c r="F162" s="138"/>
      <c r="G162" s="137" t="s">
        <v>181</v>
      </c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45979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51"/>
      <c r="B163" s="154"/>
      <c r="C163" s="85" t="s">
        <v>288</v>
      </c>
      <c r="D163" s="109" t="s">
        <v>185</v>
      </c>
      <c r="E163" s="13" t="s">
        <v>37</v>
      </c>
      <c r="F163" s="16"/>
      <c r="G163" s="12" t="s">
        <v>181</v>
      </c>
      <c r="H163" s="15"/>
      <c r="I163" s="15"/>
      <c r="J163" s="15"/>
      <c r="K163" s="15"/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6">
        <v>45984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51"/>
      <c r="B164" s="154"/>
      <c r="C164" s="85" t="s">
        <v>290</v>
      </c>
      <c r="D164" s="109" t="s">
        <v>289</v>
      </c>
      <c r="E164" s="13" t="s">
        <v>41</v>
      </c>
      <c r="F164" s="16"/>
      <c r="G164" s="12" t="s">
        <v>191</v>
      </c>
      <c r="H164" s="15"/>
      <c r="I164" s="15"/>
      <c r="J164" s="15">
        <v>1</v>
      </c>
      <c r="K164" s="15"/>
      <c r="L164" s="17"/>
      <c r="M164" s="17"/>
      <c r="N164" s="17"/>
      <c r="O164" s="17"/>
      <c r="P164" s="17"/>
      <c r="Q164" s="17"/>
      <c r="R164" s="17"/>
      <c r="S164" s="15"/>
      <c r="T164" s="26">
        <v>45979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51"/>
      <c r="B165" s="154"/>
      <c r="C165" s="85" t="s">
        <v>291</v>
      </c>
      <c r="D165" s="109" t="s">
        <v>185</v>
      </c>
      <c r="E165" s="13" t="s">
        <v>40</v>
      </c>
      <c r="F165" s="16"/>
      <c r="G165" s="12" t="s">
        <v>181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>
        <v>1</v>
      </c>
      <c r="R165" s="17">
        <v>1</v>
      </c>
      <c r="S165" s="15"/>
      <c r="T165" s="26">
        <v>45977</v>
      </c>
      <c r="U165" s="13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51"/>
      <c r="B166" s="154"/>
      <c r="C166" s="85" t="s">
        <v>292</v>
      </c>
      <c r="D166" s="109" t="s">
        <v>180</v>
      </c>
      <c r="E166" s="13" t="s">
        <v>59</v>
      </c>
      <c r="F166" s="16"/>
      <c r="G166" s="12" t="s">
        <v>181</v>
      </c>
      <c r="H166" s="15" t="s">
        <v>182</v>
      </c>
      <c r="I166" s="15"/>
      <c r="J166" s="15">
        <v>2</v>
      </c>
      <c r="K166" s="15"/>
      <c r="L166" s="17"/>
      <c r="M166" s="17"/>
      <c r="N166" s="17"/>
      <c r="O166" s="17"/>
      <c r="P166" s="17"/>
      <c r="Q166" s="17"/>
      <c r="R166" s="17"/>
      <c r="S166" s="15"/>
      <c r="T166" s="26">
        <v>45979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51"/>
      <c r="B167" s="154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1"/>
      <c r="B168" s="154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1"/>
      <c r="B169" s="15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1"/>
      <c r="B170" s="15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1"/>
      <c r="B171" s="15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1"/>
      <c r="B172" s="15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1"/>
      <c r="B173" s="15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1"/>
      <c r="B174" s="15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1"/>
      <c r="B175" s="15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1"/>
      <c r="B176" s="15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2"/>
      <c r="B177" s="15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1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3</v>
      </c>
      <c r="L178" s="29">
        <f t="shared" ref="L178" si="25">SUM(L153:L177)</f>
        <v>0</v>
      </c>
      <c r="M178" s="29">
        <f t="shared" ref="M178" si="26">SUM(M153:M177)</f>
        <v>2</v>
      </c>
      <c r="N178" s="29">
        <f t="shared" ref="N178" si="27">SUM(N153:N177)</f>
        <v>2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3</v>
      </c>
      <c r="R178" s="29">
        <f t="shared" ref="R178" si="31">SUM(R153:R177)</f>
        <v>1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1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19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3" t="s">
        <v>114</v>
      </c>
      <c r="Y182" s="149"/>
    </row>
    <row r="183" spans="1:28" ht="20.25" thickTop="1" thickBot="1" x14ac:dyDescent="0.45">
      <c r="A183" s="150">
        <v>7</v>
      </c>
      <c r="B183" s="153">
        <v>19.2</v>
      </c>
      <c r="C183" s="85" t="s">
        <v>293</v>
      </c>
      <c r="D183" s="110" t="s">
        <v>183</v>
      </c>
      <c r="E183" s="18" t="s">
        <v>40</v>
      </c>
      <c r="F183" s="16"/>
      <c r="G183" s="18" t="s">
        <v>181</v>
      </c>
      <c r="H183" s="15"/>
      <c r="I183" s="15"/>
      <c r="J183" s="18"/>
      <c r="K183" s="15"/>
      <c r="L183" s="19"/>
      <c r="M183" s="19"/>
      <c r="N183" s="19"/>
      <c r="O183" s="19">
        <v>1</v>
      </c>
      <c r="P183" s="19">
        <v>1</v>
      </c>
      <c r="Q183" s="19"/>
      <c r="R183" s="19"/>
      <c r="S183" s="15"/>
      <c r="T183" s="25">
        <v>45987</v>
      </c>
      <c r="U183" s="15" t="s">
        <v>148</v>
      </c>
      <c r="V183">
        <v>1</v>
      </c>
      <c r="X183" s="51" t="s">
        <v>106</v>
      </c>
      <c r="Y183" s="52">
        <f>COUNTIF(U183:U207,"K")</f>
        <v>4</v>
      </c>
      <c r="AA183" s="59" t="s">
        <v>120</v>
      </c>
      <c r="AB183" s="60" t="s">
        <v>121</v>
      </c>
    </row>
    <row r="184" spans="1:28" x14ac:dyDescent="0.4">
      <c r="A184" s="151"/>
      <c r="B184" s="154"/>
      <c r="C184" s="85" t="s">
        <v>295</v>
      </c>
      <c r="D184" s="110" t="s">
        <v>294</v>
      </c>
      <c r="E184" s="18" t="s">
        <v>36</v>
      </c>
      <c r="F184" s="16"/>
      <c r="G184" s="18" t="s">
        <v>181</v>
      </c>
      <c r="H184" s="15"/>
      <c r="I184" s="15"/>
      <c r="J184" s="18"/>
      <c r="K184" s="15"/>
      <c r="L184" s="19"/>
      <c r="M184" s="19">
        <v>1</v>
      </c>
      <c r="N184" s="19">
        <v>1</v>
      </c>
      <c r="O184" s="19"/>
      <c r="P184" s="19"/>
      <c r="Q184" s="19"/>
      <c r="R184" s="19"/>
      <c r="S184" s="132"/>
      <c r="T184" s="25">
        <v>45989</v>
      </c>
      <c r="U184" s="15" t="s">
        <v>147</v>
      </c>
      <c r="V184">
        <v>2</v>
      </c>
      <c r="X184" s="51" t="s">
        <v>107</v>
      </c>
      <c r="Y184" s="52">
        <f>COUNTIF(U183:U207,"R")</f>
        <v>5</v>
      </c>
      <c r="AA184" s="47" t="s">
        <v>81</v>
      </c>
      <c r="AB184" s="48" t="s">
        <v>60</v>
      </c>
    </row>
    <row r="185" spans="1:28" ht="19.5" thickBot="1" x14ac:dyDescent="0.45">
      <c r="A185" s="151"/>
      <c r="B185" s="154"/>
      <c r="C185" s="85" t="s">
        <v>296</v>
      </c>
      <c r="D185" s="110" t="s">
        <v>294</v>
      </c>
      <c r="E185" s="18" t="s">
        <v>36</v>
      </c>
      <c r="F185" s="16"/>
      <c r="G185" s="18" t="s">
        <v>181</v>
      </c>
      <c r="H185" s="15"/>
      <c r="I185" s="15"/>
      <c r="J185" s="18"/>
      <c r="K185" s="15"/>
      <c r="L185" s="19"/>
      <c r="M185" s="17">
        <v>1</v>
      </c>
      <c r="N185" s="17">
        <v>1</v>
      </c>
      <c r="O185" s="17"/>
      <c r="P185" s="17"/>
      <c r="Q185" s="17"/>
      <c r="R185" s="17"/>
      <c r="S185" s="15"/>
      <c r="T185" s="25">
        <v>45989</v>
      </c>
      <c r="U185" s="15" t="s">
        <v>147</v>
      </c>
      <c r="V185">
        <v>3</v>
      </c>
      <c r="X185" s="53" t="s">
        <v>108</v>
      </c>
      <c r="Y185" s="54">
        <f>COUNTIF(U183:U207,"J")</f>
        <v>6</v>
      </c>
      <c r="AA185" s="49" t="s">
        <v>82</v>
      </c>
      <c r="AB185" s="50" t="s">
        <v>39</v>
      </c>
    </row>
    <row r="186" spans="1:28" x14ac:dyDescent="0.4">
      <c r="A186" s="151"/>
      <c r="B186" s="154"/>
      <c r="C186" s="85" t="s">
        <v>297</v>
      </c>
      <c r="D186" s="110" t="s">
        <v>194</v>
      </c>
      <c r="E186" s="18" t="s">
        <v>74</v>
      </c>
      <c r="F186" s="16"/>
      <c r="G186" s="18" t="s">
        <v>181</v>
      </c>
      <c r="H186" s="15"/>
      <c r="I186" s="15"/>
      <c r="J186" s="18">
        <v>1</v>
      </c>
      <c r="K186" s="15">
        <v>1</v>
      </c>
      <c r="L186" s="19"/>
      <c r="M186" s="17"/>
      <c r="N186" s="17"/>
      <c r="O186" s="17"/>
      <c r="P186" s="17"/>
      <c r="Q186" s="17"/>
      <c r="R186" s="17"/>
      <c r="S186" s="15"/>
      <c r="T186" s="25">
        <v>45971</v>
      </c>
      <c r="U186" s="15" t="s">
        <v>142</v>
      </c>
      <c r="V186">
        <v>4</v>
      </c>
      <c r="AA186" s="49" t="s">
        <v>83</v>
      </c>
      <c r="AB186" s="50" t="s">
        <v>38</v>
      </c>
    </row>
    <row r="187" spans="1:28" x14ac:dyDescent="0.4">
      <c r="A187" s="151"/>
      <c r="B187" s="154"/>
      <c r="C187" s="85" t="s">
        <v>298</v>
      </c>
      <c r="D187" s="110" t="s">
        <v>183</v>
      </c>
      <c r="E187" s="18" t="s">
        <v>40</v>
      </c>
      <c r="F187" s="16"/>
      <c r="G187" s="18" t="s">
        <v>181</v>
      </c>
      <c r="H187" s="15"/>
      <c r="I187" s="15"/>
      <c r="J187" s="18"/>
      <c r="K187" s="15"/>
      <c r="L187" s="19"/>
      <c r="M187" s="17"/>
      <c r="N187" s="17"/>
      <c r="O187" s="17">
        <v>1</v>
      </c>
      <c r="P187" s="17">
        <v>1</v>
      </c>
      <c r="Q187" s="17"/>
      <c r="R187" s="17"/>
      <c r="S187" s="15"/>
      <c r="T187" s="25">
        <v>45977</v>
      </c>
      <c r="U187" s="15" t="s">
        <v>148</v>
      </c>
      <c r="V187">
        <v>5</v>
      </c>
      <c r="AA187" s="49" t="s">
        <v>84</v>
      </c>
      <c r="AB187" s="50" t="s">
        <v>44</v>
      </c>
    </row>
    <row r="188" spans="1:28" x14ac:dyDescent="0.4">
      <c r="A188" s="151"/>
      <c r="B188" s="154"/>
      <c r="C188" s="85" t="s">
        <v>299</v>
      </c>
      <c r="D188" s="110" t="s">
        <v>183</v>
      </c>
      <c r="E188" s="18" t="s">
        <v>40</v>
      </c>
      <c r="F188" s="16"/>
      <c r="G188" s="18" t="s">
        <v>181</v>
      </c>
      <c r="H188" s="13"/>
      <c r="I188" s="15"/>
      <c r="J188" s="18"/>
      <c r="K188" s="15"/>
      <c r="L188" s="19"/>
      <c r="M188" s="17"/>
      <c r="N188" s="17"/>
      <c r="O188" s="17">
        <v>1</v>
      </c>
      <c r="P188" s="17">
        <v>1</v>
      </c>
      <c r="Q188" s="17"/>
      <c r="R188" s="17"/>
      <c r="S188" s="15"/>
      <c r="T188" s="25">
        <v>45987</v>
      </c>
      <c r="U188" s="1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51"/>
      <c r="B189" s="154"/>
      <c r="C189" s="85" t="s">
        <v>300</v>
      </c>
      <c r="D189" s="110" t="s">
        <v>183</v>
      </c>
      <c r="E189" s="18" t="s">
        <v>40</v>
      </c>
      <c r="F189" s="16"/>
      <c r="G189" s="18" t="s">
        <v>181</v>
      </c>
      <c r="H189" s="15"/>
      <c r="I189" s="15"/>
      <c r="J189" s="18"/>
      <c r="K189" s="15"/>
      <c r="L189" s="19"/>
      <c r="M189" s="17"/>
      <c r="N189" s="17"/>
      <c r="O189" s="17">
        <v>1</v>
      </c>
      <c r="P189" s="17">
        <v>1</v>
      </c>
      <c r="Q189" s="17"/>
      <c r="R189" s="17"/>
      <c r="S189" s="15"/>
      <c r="T189" s="25">
        <v>45987</v>
      </c>
      <c r="U189" s="15" t="s">
        <v>148</v>
      </c>
      <c r="V189">
        <v>7</v>
      </c>
      <c r="AA189" s="49" t="s">
        <v>86</v>
      </c>
      <c r="AB189" s="50" t="s">
        <v>45</v>
      </c>
    </row>
    <row r="190" spans="1:28" x14ac:dyDescent="0.4">
      <c r="A190" s="151"/>
      <c r="B190" s="154"/>
      <c r="C190" s="85" t="s">
        <v>301</v>
      </c>
      <c r="D190" s="110" t="s">
        <v>183</v>
      </c>
      <c r="E190" s="18" t="s">
        <v>40</v>
      </c>
      <c r="F190" s="16"/>
      <c r="G190" s="18" t="s">
        <v>181</v>
      </c>
      <c r="H190" s="15"/>
      <c r="I190" s="15"/>
      <c r="J190" s="18"/>
      <c r="K190" s="15"/>
      <c r="L190" s="19"/>
      <c r="M190" s="17"/>
      <c r="N190" s="17"/>
      <c r="O190" s="17">
        <v>1</v>
      </c>
      <c r="P190" s="17">
        <v>1</v>
      </c>
      <c r="Q190" s="17"/>
      <c r="R190" s="17"/>
      <c r="S190" s="15"/>
      <c r="T190" s="25">
        <v>45987</v>
      </c>
      <c r="U190" s="15" t="s">
        <v>148</v>
      </c>
      <c r="V190">
        <v>8</v>
      </c>
      <c r="AA190" s="49" t="s">
        <v>87</v>
      </c>
      <c r="AB190" s="50" t="s">
        <v>37</v>
      </c>
    </row>
    <row r="191" spans="1:28" x14ac:dyDescent="0.4">
      <c r="A191" s="151"/>
      <c r="B191" s="154"/>
      <c r="C191" s="85" t="s">
        <v>302</v>
      </c>
      <c r="D191" s="110" t="s">
        <v>185</v>
      </c>
      <c r="E191" s="18" t="s">
        <v>37</v>
      </c>
      <c r="F191" s="16"/>
      <c r="G191" s="18" t="s">
        <v>181</v>
      </c>
      <c r="H191" s="15"/>
      <c r="I191" s="15"/>
      <c r="J191" s="18"/>
      <c r="K191" s="15"/>
      <c r="L191" s="19"/>
      <c r="M191" s="17">
        <v>1</v>
      </c>
      <c r="N191" s="17">
        <v>1</v>
      </c>
      <c r="O191" s="17"/>
      <c r="P191" s="17"/>
      <c r="Q191" s="17"/>
      <c r="R191" s="17"/>
      <c r="S191" s="15"/>
      <c r="T191" s="25">
        <v>45976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51"/>
      <c r="B192" s="154"/>
      <c r="C192" s="85" t="s">
        <v>303</v>
      </c>
      <c r="D192" s="110" t="s">
        <v>185</v>
      </c>
      <c r="E192" s="18" t="s">
        <v>36</v>
      </c>
      <c r="F192" s="16"/>
      <c r="G192" s="18" t="s">
        <v>181</v>
      </c>
      <c r="H192" s="15"/>
      <c r="I192" s="15"/>
      <c r="J192" s="18"/>
      <c r="K192" s="15"/>
      <c r="L192" s="19"/>
      <c r="M192" s="17">
        <v>1</v>
      </c>
      <c r="N192" s="17">
        <v>1</v>
      </c>
      <c r="O192" s="17"/>
      <c r="P192" s="17"/>
      <c r="Q192" s="17">
        <v>1</v>
      </c>
      <c r="R192" s="17"/>
      <c r="S192" s="15"/>
      <c r="T192" s="25">
        <v>45979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51"/>
      <c r="B193" s="154"/>
      <c r="C193" s="85" t="s">
        <v>304</v>
      </c>
      <c r="D193" s="110" t="s">
        <v>187</v>
      </c>
      <c r="E193" s="18" t="s">
        <v>40</v>
      </c>
      <c r="F193" s="16"/>
      <c r="G193" s="18" t="s">
        <v>181</v>
      </c>
      <c r="H193" s="15"/>
      <c r="I193" s="15"/>
      <c r="J193" s="18"/>
      <c r="K193" s="15"/>
      <c r="L193" s="19"/>
      <c r="M193" s="17"/>
      <c r="N193" s="17"/>
      <c r="O193" s="17">
        <v>1</v>
      </c>
      <c r="P193" s="17">
        <v>1</v>
      </c>
      <c r="Q193" s="17">
        <v>1</v>
      </c>
      <c r="R193" s="17">
        <v>1</v>
      </c>
      <c r="S193" s="15"/>
      <c r="T193" s="25">
        <v>45989</v>
      </c>
      <c r="U193" s="15" t="s">
        <v>148</v>
      </c>
      <c r="V193">
        <v>11</v>
      </c>
      <c r="AA193" s="49" t="s">
        <v>90</v>
      </c>
      <c r="AB193" s="50" t="s">
        <v>58</v>
      </c>
    </row>
    <row r="194" spans="1:28" x14ac:dyDescent="0.4">
      <c r="A194" s="151"/>
      <c r="B194" s="154"/>
      <c r="C194" s="85" t="s">
        <v>305</v>
      </c>
      <c r="D194" s="110" t="s">
        <v>196</v>
      </c>
      <c r="E194" s="18" t="s">
        <v>37</v>
      </c>
      <c r="F194" s="16"/>
      <c r="G194" s="18" t="s">
        <v>181</v>
      </c>
      <c r="H194" s="15"/>
      <c r="I194" s="15"/>
      <c r="J194" s="18">
        <v>1</v>
      </c>
      <c r="K194" s="15">
        <v>1</v>
      </c>
      <c r="L194" s="19"/>
      <c r="M194" s="17"/>
      <c r="N194" s="17"/>
      <c r="O194" s="17"/>
      <c r="P194" s="17"/>
      <c r="Q194" s="17"/>
      <c r="R194" s="17"/>
      <c r="S194" s="15"/>
      <c r="T194" s="25">
        <v>45989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51"/>
      <c r="B195" s="154"/>
      <c r="C195" s="85" t="s">
        <v>306</v>
      </c>
      <c r="D195" s="106" t="s">
        <v>196</v>
      </c>
      <c r="E195" s="15" t="s">
        <v>38</v>
      </c>
      <c r="F195" s="16"/>
      <c r="G195" s="18" t="s">
        <v>181</v>
      </c>
      <c r="H195" s="15"/>
      <c r="I195" s="15"/>
      <c r="J195" s="15">
        <v>1</v>
      </c>
      <c r="K195" s="15"/>
      <c r="L195" s="17"/>
      <c r="M195" s="17"/>
      <c r="N195" s="17"/>
      <c r="O195" s="17"/>
      <c r="P195" s="17"/>
      <c r="Q195" s="17"/>
      <c r="R195" s="17"/>
      <c r="S195" s="15"/>
      <c r="T195" s="25">
        <v>45989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51"/>
      <c r="B196" s="154"/>
      <c r="C196" s="85" t="s">
        <v>307</v>
      </c>
      <c r="D196" s="106" t="s">
        <v>193</v>
      </c>
      <c r="E196" s="15" t="s">
        <v>37</v>
      </c>
      <c r="F196" s="16"/>
      <c r="G196" s="18" t="s">
        <v>181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45989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1"/>
      <c r="B197" s="154"/>
      <c r="C197" s="85" t="s">
        <v>308</v>
      </c>
      <c r="D197" s="106" t="s">
        <v>192</v>
      </c>
      <c r="E197" s="15" t="s">
        <v>38</v>
      </c>
      <c r="F197" s="16"/>
      <c r="G197" s="15" t="s">
        <v>181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45984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51"/>
      <c r="B198" s="15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51"/>
      <c r="B199" s="154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1"/>
      <c r="B200" s="15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1"/>
      <c r="B201" s="15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1"/>
      <c r="B202" s="15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1"/>
      <c r="B203" s="15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1"/>
      <c r="B204" s="15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1"/>
      <c r="B205" s="15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1"/>
      <c r="B206" s="15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2"/>
      <c r="B207" s="15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15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4</v>
      </c>
      <c r="K208" s="29">
        <f t="shared" ref="K208" si="34">SUM(K183:K207)</f>
        <v>3</v>
      </c>
      <c r="L208" s="29">
        <f t="shared" ref="L208" si="35">SUM(L183:L207)</f>
        <v>0</v>
      </c>
      <c r="M208" s="29">
        <f t="shared" ref="M208" si="36">SUM(M183:M207)</f>
        <v>5</v>
      </c>
      <c r="N208" s="29">
        <f t="shared" ref="N208" si="37">SUM(N183:N207)</f>
        <v>5</v>
      </c>
      <c r="O208" s="29">
        <f t="shared" ref="O208" si="38">SUM(O183:O207)</f>
        <v>6</v>
      </c>
      <c r="P208" s="29">
        <f t="shared" ref="P208" si="39">SUM(P183:P207)</f>
        <v>6</v>
      </c>
      <c r="Q208" s="29">
        <f t="shared" ref="Q208" si="40">SUM(Q183:Q207)</f>
        <v>3</v>
      </c>
      <c r="R208" s="29">
        <f t="shared" ref="R208" si="41">SUM(R183:R207)</f>
        <v>1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33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AYG123</v>
      </c>
      <c r="B211" s="24">
        <f>B1</f>
        <v>45953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3" t="s">
        <v>113</v>
      </c>
      <c r="Y212" s="149"/>
    </row>
    <row r="213" spans="1:28" ht="20.25" thickTop="1" thickBot="1" x14ac:dyDescent="0.45">
      <c r="A213" s="150">
        <v>8</v>
      </c>
      <c r="B213" s="153">
        <v>19.899999999999999</v>
      </c>
      <c r="C213" s="85" t="s">
        <v>309</v>
      </c>
      <c r="D213" s="106" t="s">
        <v>188</v>
      </c>
      <c r="E213" s="15" t="s">
        <v>37</v>
      </c>
      <c r="F213" s="16"/>
      <c r="G213" s="15" t="s">
        <v>181</v>
      </c>
      <c r="H213" s="15"/>
      <c r="I213" s="15"/>
      <c r="J213" s="15"/>
      <c r="K213" s="15"/>
      <c r="L213" s="17"/>
      <c r="M213" s="17">
        <v>1</v>
      </c>
      <c r="N213" s="17">
        <v>1</v>
      </c>
      <c r="O213" s="17"/>
      <c r="P213" s="17"/>
      <c r="Q213" s="17"/>
      <c r="R213" s="17"/>
      <c r="S213" s="15"/>
      <c r="T213" s="25">
        <v>46016</v>
      </c>
      <c r="U213" s="15" t="s">
        <v>147</v>
      </c>
      <c r="V213">
        <v>1</v>
      </c>
      <c r="X213" s="51" t="s">
        <v>106</v>
      </c>
      <c r="Y213" s="52">
        <f>COUNTIF(U213:U237,"K")</f>
        <v>7</v>
      </c>
      <c r="AA213" s="59" t="s">
        <v>120</v>
      </c>
      <c r="AB213" s="60" t="s">
        <v>121</v>
      </c>
    </row>
    <row r="214" spans="1:28" x14ac:dyDescent="0.4">
      <c r="A214" s="151"/>
      <c r="B214" s="154"/>
      <c r="C214" s="85" t="s">
        <v>310</v>
      </c>
      <c r="D214" s="106" t="s">
        <v>188</v>
      </c>
      <c r="E214" s="15" t="s">
        <v>58</v>
      </c>
      <c r="F214" s="16"/>
      <c r="G214" s="15" t="s">
        <v>181</v>
      </c>
      <c r="H214" s="15"/>
      <c r="I214" s="15"/>
      <c r="J214" s="15"/>
      <c r="K214" s="15"/>
      <c r="L214" s="19"/>
      <c r="M214" s="19"/>
      <c r="N214" s="19"/>
      <c r="O214" s="19"/>
      <c r="P214" s="19"/>
      <c r="Q214" s="19"/>
      <c r="R214" s="19"/>
      <c r="S214" s="15"/>
      <c r="T214" s="25">
        <v>46012</v>
      </c>
      <c r="U214" s="15" t="s">
        <v>147</v>
      </c>
      <c r="V214">
        <v>2</v>
      </c>
      <c r="X214" s="51" t="s">
        <v>107</v>
      </c>
      <c r="Y214" s="52">
        <f>COUNTIF(U213:U237,"R")</f>
        <v>8</v>
      </c>
      <c r="AA214" s="47" t="s">
        <v>81</v>
      </c>
      <c r="AB214" s="48" t="s">
        <v>60</v>
      </c>
    </row>
    <row r="215" spans="1:28" ht="19.5" thickBot="1" x14ac:dyDescent="0.45">
      <c r="A215" s="151"/>
      <c r="B215" s="154"/>
      <c r="C215" s="85" t="s">
        <v>311</v>
      </c>
      <c r="D215" s="106" t="s">
        <v>188</v>
      </c>
      <c r="E215" s="15" t="s">
        <v>37</v>
      </c>
      <c r="F215" s="16"/>
      <c r="G215" s="15" t="s">
        <v>181</v>
      </c>
      <c r="H215" s="15"/>
      <c r="I215" s="15"/>
      <c r="J215" s="18"/>
      <c r="K215" s="15"/>
      <c r="L215" s="19"/>
      <c r="M215" s="19">
        <v>1</v>
      </c>
      <c r="N215" s="19">
        <v>1</v>
      </c>
      <c r="O215" s="19"/>
      <c r="P215" s="19"/>
      <c r="Q215" s="19">
        <v>1</v>
      </c>
      <c r="R215" s="19"/>
      <c r="S215" s="15"/>
      <c r="T215" s="25">
        <v>46016</v>
      </c>
      <c r="U215" s="15" t="s">
        <v>147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1"/>
      <c r="B216" s="154"/>
      <c r="C216" s="85" t="s">
        <v>312</v>
      </c>
      <c r="D216" s="106" t="s">
        <v>183</v>
      </c>
      <c r="E216" s="15" t="s">
        <v>58</v>
      </c>
      <c r="F216" s="16"/>
      <c r="G216" s="15" t="s">
        <v>181</v>
      </c>
      <c r="H216" s="15"/>
      <c r="I216" s="15"/>
      <c r="J216" s="18"/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45971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51"/>
      <c r="B217" s="154"/>
      <c r="C217" s="85" t="s">
        <v>313</v>
      </c>
      <c r="D217" s="106" t="s">
        <v>264</v>
      </c>
      <c r="E217" s="15" t="s">
        <v>41</v>
      </c>
      <c r="F217" s="16"/>
      <c r="G217" s="15" t="s">
        <v>181</v>
      </c>
      <c r="H217" s="15"/>
      <c r="I217" s="15"/>
      <c r="J217" s="18">
        <v>1</v>
      </c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45979</v>
      </c>
      <c r="U217" s="15" t="s">
        <v>142</v>
      </c>
      <c r="V217">
        <v>5</v>
      </c>
      <c r="AA217" s="49" t="s">
        <v>84</v>
      </c>
      <c r="AB217" s="50" t="s">
        <v>44</v>
      </c>
    </row>
    <row r="218" spans="1:28" x14ac:dyDescent="0.4">
      <c r="A218" s="151"/>
      <c r="B218" s="154"/>
      <c r="C218" s="85" t="s">
        <v>314</v>
      </c>
      <c r="D218" s="106" t="s">
        <v>264</v>
      </c>
      <c r="E218" s="15" t="s">
        <v>42</v>
      </c>
      <c r="F218" s="16"/>
      <c r="G218" s="15" t="s">
        <v>181</v>
      </c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>
        <v>1</v>
      </c>
      <c r="T218" s="25">
        <v>45979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51"/>
      <c r="B219" s="154"/>
      <c r="C219" s="85" t="s">
        <v>315</v>
      </c>
      <c r="D219" s="106" t="s">
        <v>316</v>
      </c>
      <c r="E219" s="15" t="s">
        <v>75</v>
      </c>
      <c r="F219" s="16"/>
      <c r="G219" s="15" t="s">
        <v>181</v>
      </c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>
        <v>45986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51"/>
      <c r="B220" s="154"/>
      <c r="C220" s="85" t="s">
        <v>317</v>
      </c>
      <c r="D220" s="106" t="s">
        <v>195</v>
      </c>
      <c r="E220" s="15" t="s">
        <v>38</v>
      </c>
      <c r="F220" s="16"/>
      <c r="G220" s="15" t="s">
        <v>181</v>
      </c>
      <c r="H220" s="15"/>
      <c r="I220" s="15"/>
      <c r="J220" s="13">
        <v>1</v>
      </c>
      <c r="K220" s="15">
        <v>1</v>
      </c>
      <c r="L220" s="13"/>
      <c r="M220" s="17"/>
      <c r="N220" s="17"/>
      <c r="O220" s="17"/>
      <c r="P220" s="17"/>
      <c r="Q220" s="17"/>
      <c r="R220" s="17"/>
      <c r="S220" s="15"/>
      <c r="T220" s="25">
        <v>46007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51"/>
      <c r="B221" s="154"/>
      <c r="C221" s="85" t="s">
        <v>318</v>
      </c>
      <c r="D221" s="106" t="s">
        <v>316</v>
      </c>
      <c r="E221" s="15" t="s">
        <v>41</v>
      </c>
      <c r="F221" s="16"/>
      <c r="G221" s="15" t="s">
        <v>181</v>
      </c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>
        <v>45986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51"/>
      <c r="B222" s="154"/>
      <c r="C222" s="85" t="s">
        <v>319</v>
      </c>
      <c r="D222" s="106" t="s">
        <v>316</v>
      </c>
      <c r="E222" s="15" t="s">
        <v>41</v>
      </c>
      <c r="F222" s="138"/>
      <c r="G222" s="15" t="s">
        <v>181</v>
      </c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45986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51"/>
      <c r="B223" s="154"/>
      <c r="C223" s="85" t="s">
        <v>320</v>
      </c>
      <c r="D223" s="106" t="s">
        <v>264</v>
      </c>
      <c r="E223" s="15" t="s">
        <v>41</v>
      </c>
      <c r="F223" s="16"/>
      <c r="G223" s="15" t="s">
        <v>181</v>
      </c>
      <c r="H223" s="15"/>
      <c r="I223" s="15"/>
      <c r="J223" s="15">
        <v>1</v>
      </c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45979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51"/>
      <c r="B224" s="154"/>
      <c r="C224" s="85" t="s">
        <v>321</v>
      </c>
      <c r="D224" s="106" t="s">
        <v>264</v>
      </c>
      <c r="E224" s="15" t="s">
        <v>42</v>
      </c>
      <c r="F224" s="16"/>
      <c r="G224" s="15" t="s">
        <v>181</v>
      </c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>
        <v>1</v>
      </c>
      <c r="T224" s="25">
        <v>45979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51"/>
      <c r="B225" s="154"/>
      <c r="C225" s="85" t="s">
        <v>322</v>
      </c>
      <c r="D225" s="106" t="s">
        <v>264</v>
      </c>
      <c r="E225" s="15" t="s">
        <v>41</v>
      </c>
      <c r="F225" s="16"/>
      <c r="G225" s="15" t="s">
        <v>181</v>
      </c>
      <c r="H225" s="15"/>
      <c r="I225" s="15"/>
      <c r="J225" s="15">
        <v>1</v>
      </c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45979</v>
      </c>
      <c r="U225" s="13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51"/>
      <c r="B226" s="154"/>
      <c r="C226" s="85" t="s">
        <v>323</v>
      </c>
      <c r="D226" s="106" t="s">
        <v>264</v>
      </c>
      <c r="E226" s="106" t="s">
        <v>42</v>
      </c>
      <c r="F226" s="16"/>
      <c r="G226" s="15" t="s">
        <v>181</v>
      </c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>
        <v>1</v>
      </c>
      <c r="T226" s="25">
        <v>45979</v>
      </c>
      <c r="U226" s="13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51"/>
      <c r="B227" s="154"/>
      <c r="C227" s="85" t="s">
        <v>372</v>
      </c>
      <c r="D227" s="106" t="s">
        <v>188</v>
      </c>
      <c r="E227" s="106" t="s">
        <v>58</v>
      </c>
      <c r="F227" s="16"/>
      <c r="G227" s="15" t="s">
        <v>181</v>
      </c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>
        <v>46012</v>
      </c>
      <c r="U227" s="13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51"/>
      <c r="B228" s="154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51"/>
      <c r="B229" s="154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1"/>
      <c r="B230" s="154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1"/>
      <c r="B231" s="15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1"/>
      <c r="B232" s="15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1"/>
      <c r="B233" s="15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1"/>
      <c r="B234" s="15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1"/>
      <c r="B235" s="15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1"/>
      <c r="B236" s="15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2"/>
      <c r="B237" s="15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4</v>
      </c>
      <c r="K238" s="29">
        <f t="shared" ref="K238" si="44">SUM(K213:K237)</f>
        <v>1</v>
      </c>
      <c r="L238" s="29">
        <f t="shared" ref="L238" si="45">SUM(L213:L237)</f>
        <v>0</v>
      </c>
      <c r="M238" s="29">
        <f t="shared" ref="M238" si="46">SUM(M213:M237)</f>
        <v>2</v>
      </c>
      <c r="N238" s="29">
        <f t="shared" ref="N238" si="47">SUM(N213:N237)</f>
        <v>2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1</v>
      </c>
      <c r="R238" s="29">
        <f t="shared" ref="R238" si="51">SUM(R213:R237)</f>
        <v>0</v>
      </c>
      <c r="S238" s="29">
        <f t="shared" ref="S238" si="52">SUM(S213:S237)</f>
        <v>3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13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AYG123</v>
      </c>
      <c r="B241" s="24">
        <f>B1</f>
        <v>45953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0" t="s">
        <v>112</v>
      </c>
      <c r="Y242" s="160"/>
    </row>
    <row r="243" spans="1:28" ht="20.25" thickTop="1" thickBot="1" x14ac:dyDescent="0.45">
      <c r="A243" s="150">
        <v>9</v>
      </c>
      <c r="B243" s="153">
        <v>19</v>
      </c>
      <c r="C243" s="85" t="s">
        <v>324</v>
      </c>
      <c r="D243" s="106" t="s">
        <v>187</v>
      </c>
      <c r="E243" s="106" t="s">
        <v>75</v>
      </c>
      <c r="F243" s="14"/>
      <c r="G243" s="12" t="s">
        <v>181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45974</v>
      </c>
      <c r="U243" s="13" t="s">
        <v>147</v>
      </c>
      <c r="V243">
        <v>1</v>
      </c>
      <c r="X243" t="s">
        <v>106</v>
      </c>
      <c r="Y243">
        <f>COUNTIF(U243:U267,"K")</f>
        <v>3</v>
      </c>
      <c r="AA243" s="59" t="s">
        <v>120</v>
      </c>
      <c r="AB243" s="60" t="s">
        <v>121</v>
      </c>
    </row>
    <row r="244" spans="1:28" x14ac:dyDescent="0.4">
      <c r="A244" s="151"/>
      <c r="B244" s="154"/>
      <c r="C244" s="85" t="s">
        <v>325</v>
      </c>
      <c r="D244" s="106" t="s">
        <v>188</v>
      </c>
      <c r="E244" s="106" t="s">
        <v>38</v>
      </c>
      <c r="F244" s="16"/>
      <c r="G244" s="12" t="s">
        <v>181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46004</v>
      </c>
      <c r="U244" s="13" t="s">
        <v>147</v>
      </c>
      <c r="V244">
        <v>2</v>
      </c>
      <c r="X244" t="s">
        <v>107</v>
      </c>
      <c r="Y244">
        <f>COUNTIF(U243:U267,"R")</f>
        <v>8</v>
      </c>
      <c r="AA244" s="47" t="s">
        <v>81</v>
      </c>
      <c r="AB244" s="48" t="s">
        <v>60</v>
      </c>
    </row>
    <row r="245" spans="1:28" x14ac:dyDescent="0.4">
      <c r="A245" s="151"/>
      <c r="B245" s="154"/>
      <c r="C245" s="85" t="s">
        <v>326</v>
      </c>
      <c r="D245" s="106" t="s">
        <v>195</v>
      </c>
      <c r="E245" s="106" t="s">
        <v>41</v>
      </c>
      <c r="F245" s="16"/>
      <c r="G245" s="12" t="s">
        <v>181</v>
      </c>
      <c r="H245" s="13"/>
      <c r="I245" s="15"/>
      <c r="J245" s="13"/>
      <c r="K245" s="15"/>
      <c r="L245" s="13"/>
      <c r="M245" s="17"/>
      <c r="N245" s="17">
        <v>1</v>
      </c>
      <c r="O245" s="17"/>
      <c r="P245" s="17"/>
      <c r="Q245" s="17"/>
      <c r="R245" s="17"/>
      <c r="S245" s="15"/>
      <c r="T245" s="25">
        <v>45977</v>
      </c>
      <c r="U245" s="13" t="s">
        <v>147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51"/>
      <c r="B246" s="154"/>
      <c r="C246" s="85" t="s">
        <v>327</v>
      </c>
      <c r="D246" s="106" t="s">
        <v>185</v>
      </c>
      <c r="E246" s="106" t="s">
        <v>38</v>
      </c>
      <c r="F246" s="16"/>
      <c r="G246" s="12" t="s">
        <v>181</v>
      </c>
      <c r="H246" s="15"/>
      <c r="I246" s="15"/>
      <c r="J246" s="13">
        <v>1</v>
      </c>
      <c r="K246" s="15">
        <v>1</v>
      </c>
      <c r="L246" s="13"/>
      <c r="M246" s="17"/>
      <c r="N246" s="17"/>
      <c r="O246" s="17"/>
      <c r="P246" s="17"/>
      <c r="Q246" s="17"/>
      <c r="R246" s="17"/>
      <c r="S246" s="15"/>
      <c r="T246" s="25">
        <v>45979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51"/>
      <c r="B247" s="154"/>
      <c r="C247" s="85" t="s">
        <v>328</v>
      </c>
      <c r="D247" s="106" t="s">
        <v>188</v>
      </c>
      <c r="E247" s="106" t="s">
        <v>38</v>
      </c>
      <c r="F247" s="16"/>
      <c r="G247" s="12" t="s">
        <v>181</v>
      </c>
      <c r="H247" s="15"/>
      <c r="I247" s="15"/>
      <c r="J247" s="13"/>
      <c r="K247" s="15"/>
      <c r="L247" s="13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5">
        <v>46007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51"/>
      <c r="B248" s="154"/>
      <c r="C248" s="85" t="s">
        <v>329</v>
      </c>
      <c r="D248" s="106" t="s">
        <v>188</v>
      </c>
      <c r="E248" s="106" t="s">
        <v>41</v>
      </c>
      <c r="F248" s="16"/>
      <c r="G248" s="12" t="s">
        <v>181</v>
      </c>
      <c r="H248" s="13"/>
      <c r="I248" s="15"/>
      <c r="J248" s="13">
        <v>1</v>
      </c>
      <c r="K248" s="15">
        <v>1</v>
      </c>
      <c r="L248" s="13"/>
      <c r="M248" s="17"/>
      <c r="N248" s="17"/>
      <c r="O248" s="17"/>
      <c r="P248" s="17"/>
      <c r="Q248" s="17"/>
      <c r="R248" s="17"/>
      <c r="S248" s="15"/>
      <c r="T248" s="25">
        <v>46009</v>
      </c>
      <c r="U248" s="13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51"/>
      <c r="B249" s="154"/>
      <c r="C249" s="85" t="s">
        <v>330</v>
      </c>
      <c r="D249" s="106" t="s">
        <v>190</v>
      </c>
      <c r="E249" s="106" t="s">
        <v>39</v>
      </c>
      <c r="F249" s="16"/>
      <c r="G249" s="12" t="s">
        <v>181</v>
      </c>
      <c r="H249" s="15"/>
      <c r="I249" s="15"/>
      <c r="J249" s="13">
        <v>1</v>
      </c>
      <c r="K249" s="15">
        <v>1</v>
      </c>
      <c r="L249" s="13"/>
      <c r="M249" s="17"/>
      <c r="N249" s="17"/>
      <c r="O249" s="17"/>
      <c r="P249" s="17"/>
      <c r="Q249" s="17"/>
      <c r="R249" s="17"/>
      <c r="S249" s="15"/>
      <c r="T249" s="25">
        <v>45978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51"/>
      <c r="B250" s="154"/>
      <c r="C250" s="85" t="s">
        <v>331</v>
      </c>
      <c r="D250" s="106" t="s">
        <v>190</v>
      </c>
      <c r="E250" s="106" t="s">
        <v>133</v>
      </c>
      <c r="F250" s="16"/>
      <c r="G250" s="12" t="s">
        <v>181</v>
      </c>
      <c r="H250" s="15"/>
      <c r="I250" s="15"/>
      <c r="J250" s="13"/>
      <c r="K250" s="15"/>
      <c r="L250" s="13"/>
      <c r="M250" s="17"/>
      <c r="N250" s="17"/>
      <c r="O250" s="17">
        <v>1</v>
      </c>
      <c r="P250" s="17">
        <v>1</v>
      </c>
      <c r="Q250" s="17"/>
      <c r="R250" s="17"/>
      <c r="S250" s="15"/>
      <c r="T250" s="25">
        <v>45978</v>
      </c>
      <c r="U250" s="13" t="s">
        <v>148</v>
      </c>
      <c r="V250">
        <v>8</v>
      </c>
      <c r="AA250" s="49" t="s">
        <v>87</v>
      </c>
      <c r="AB250" s="50" t="s">
        <v>37</v>
      </c>
    </row>
    <row r="251" spans="1:28" x14ac:dyDescent="0.4">
      <c r="A251" s="151"/>
      <c r="B251" s="154"/>
      <c r="C251" s="85" t="s">
        <v>332</v>
      </c>
      <c r="D251" s="106" t="s">
        <v>333</v>
      </c>
      <c r="E251" s="106" t="s">
        <v>75</v>
      </c>
      <c r="F251" s="16"/>
      <c r="G251" s="12" t="s">
        <v>181</v>
      </c>
      <c r="H251" s="15"/>
      <c r="I251" s="15"/>
      <c r="J251" s="13"/>
      <c r="K251" s="15"/>
      <c r="L251" s="13"/>
      <c r="M251" s="17"/>
      <c r="N251" s="17">
        <v>1</v>
      </c>
      <c r="O251" s="17"/>
      <c r="P251" s="17"/>
      <c r="Q251" s="17"/>
      <c r="R251" s="17"/>
      <c r="S251" s="15"/>
      <c r="T251" s="25">
        <v>45980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51"/>
      <c r="B252" s="154"/>
      <c r="C252" s="85" t="s">
        <v>334</v>
      </c>
      <c r="D252" s="106" t="s">
        <v>190</v>
      </c>
      <c r="E252" s="106" t="s">
        <v>74</v>
      </c>
      <c r="F252" s="138"/>
      <c r="G252" s="137" t="s">
        <v>181</v>
      </c>
      <c r="H252" s="15"/>
      <c r="I252" s="15"/>
      <c r="J252" s="13">
        <v>1</v>
      </c>
      <c r="K252" s="15"/>
      <c r="L252" s="13"/>
      <c r="M252" s="17"/>
      <c r="N252" s="17"/>
      <c r="O252" s="17"/>
      <c r="P252" s="17"/>
      <c r="Q252" s="17"/>
      <c r="R252" s="17"/>
      <c r="S252" s="15"/>
      <c r="T252" s="25">
        <v>45989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51"/>
      <c r="B253" s="154"/>
      <c r="C253" s="85" t="s">
        <v>335</v>
      </c>
      <c r="D253" s="106" t="s">
        <v>190</v>
      </c>
      <c r="E253" s="106" t="s">
        <v>40</v>
      </c>
      <c r="F253" s="16"/>
      <c r="G253" s="12" t="s">
        <v>181</v>
      </c>
      <c r="H253" s="15"/>
      <c r="I253" s="15"/>
      <c r="J253" s="15"/>
      <c r="K253" s="15"/>
      <c r="L253" s="17"/>
      <c r="M253" s="17"/>
      <c r="N253" s="17"/>
      <c r="O253" s="17">
        <v>1</v>
      </c>
      <c r="P253" s="17">
        <v>1</v>
      </c>
      <c r="Q253" s="17">
        <v>1</v>
      </c>
      <c r="R253" s="17">
        <v>1</v>
      </c>
      <c r="S253" s="15"/>
      <c r="T253" s="25">
        <v>45989</v>
      </c>
      <c r="U253" s="13" t="s">
        <v>148</v>
      </c>
      <c r="V253">
        <v>11</v>
      </c>
      <c r="AA253" s="49" t="s">
        <v>90</v>
      </c>
      <c r="AB253" s="50" t="s">
        <v>58</v>
      </c>
    </row>
    <row r="254" spans="1:28" x14ac:dyDescent="0.4">
      <c r="A254" s="151"/>
      <c r="B254" s="154"/>
      <c r="C254" s="85" t="s">
        <v>336</v>
      </c>
      <c r="D254" s="106" t="s">
        <v>193</v>
      </c>
      <c r="E254" s="106" t="s">
        <v>44</v>
      </c>
      <c r="F254" s="16"/>
      <c r="G254" s="12" t="s">
        <v>181</v>
      </c>
      <c r="H254" s="15"/>
      <c r="I254" s="15"/>
      <c r="J254" s="15"/>
      <c r="K254" s="15"/>
      <c r="L254" s="17"/>
      <c r="M254" s="17">
        <v>1</v>
      </c>
      <c r="N254" s="17"/>
      <c r="O254" s="17"/>
      <c r="P254" s="17"/>
      <c r="Q254" s="17">
        <v>1</v>
      </c>
      <c r="R254" s="17"/>
      <c r="S254" s="15"/>
      <c r="T254" s="25">
        <v>45989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51"/>
      <c r="B255" s="154"/>
      <c r="C255" s="85" t="s">
        <v>337</v>
      </c>
      <c r="D255" s="106" t="s">
        <v>233</v>
      </c>
      <c r="E255" s="106" t="s">
        <v>37</v>
      </c>
      <c r="F255" s="16"/>
      <c r="G255" s="12" t="s">
        <v>181</v>
      </c>
      <c r="H255" s="15"/>
      <c r="I255" s="15"/>
      <c r="J255" s="15"/>
      <c r="K255" s="15"/>
      <c r="L255" s="17"/>
      <c r="M255" s="17">
        <v>1</v>
      </c>
      <c r="N255" s="17">
        <v>1</v>
      </c>
      <c r="O255" s="17"/>
      <c r="P255" s="17"/>
      <c r="Q255" s="17">
        <v>1</v>
      </c>
      <c r="R255" s="17"/>
      <c r="S255" s="15"/>
      <c r="T255" s="25">
        <v>45986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51"/>
      <c r="B256" s="154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1"/>
      <c r="B257" s="154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1"/>
      <c r="B258" s="154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1"/>
      <c r="B259" s="154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1"/>
      <c r="B260" s="154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1"/>
      <c r="B261" s="15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1"/>
      <c r="B262" s="15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1"/>
      <c r="B263" s="15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1"/>
      <c r="B264" s="15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1"/>
      <c r="B265" s="15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1"/>
      <c r="B266" s="15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2"/>
      <c r="B267" s="15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13</v>
      </c>
      <c r="D268" s="112"/>
      <c r="E268" s="29"/>
      <c r="F268" s="29" t="s">
        <v>34</v>
      </c>
      <c r="G268" s="29">
        <f>COUNTIF(G243:G267,"S")</f>
        <v>13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4</v>
      </c>
      <c r="K268" s="29">
        <f t="shared" ref="K268" si="54">SUM(K243:K267)</f>
        <v>3</v>
      </c>
      <c r="L268" s="29">
        <f t="shared" ref="L268" si="55">SUM(L243:L267)</f>
        <v>0</v>
      </c>
      <c r="M268" s="29">
        <f t="shared" ref="M268" si="56">SUM(M243:M267)</f>
        <v>4</v>
      </c>
      <c r="N268" s="29">
        <f t="shared" ref="N268" si="57">SUM(N243:N267)</f>
        <v>5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5</v>
      </c>
      <c r="R268" s="29">
        <f t="shared" ref="R268" si="61">SUM(R243:R267)</f>
        <v>1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26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AYG123</v>
      </c>
      <c r="B271" s="24">
        <f>B1</f>
        <v>45953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3" t="s">
        <v>111</v>
      </c>
      <c r="Y272" s="149"/>
    </row>
    <row r="273" spans="1:28" ht="20.25" thickTop="1" thickBot="1" x14ac:dyDescent="0.45">
      <c r="A273" s="150">
        <v>10</v>
      </c>
      <c r="B273" s="153">
        <v>19</v>
      </c>
      <c r="C273" s="85" t="s">
        <v>338</v>
      </c>
      <c r="D273" s="109" t="s">
        <v>289</v>
      </c>
      <c r="E273" s="13" t="s">
        <v>60</v>
      </c>
      <c r="F273" s="14"/>
      <c r="G273" s="12" t="s">
        <v>181</v>
      </c>
      <c r="H273" s="13"/>
      <c r="I273" s="13"/>
      <c r="J273" s="13">
        <v>1</v>
      </c>
      <c r="K273" s="13"/>
      <c r="L273" s="13">
        <v>1</v>
      </c>
      <c r="M273" s="13"/>
      <c r="N273" s="13"/>
      <c r="O273" s="13"/>
      <c r="P273" s="13"/>
      <c r="Q273" s="13"/>
      <c r="R273" s="13"/>
      <c r="S273" s="13"/>
      <c r="T273" s="26">
        <v>45975</v>
      </c>
      <c r="U273" s="13" t="s">
        <v>146</v>
      </c>
      <c r="V273">
        <v>1</v>
      </c>
      <c r="X273" s="51" t="s">
        <v>106</v>
      </c>
      <c r="Y273" s="52">
        <f>COUNTIF(U273:U297,"K")</f>
        <v>8</v>
      </c>
      <c r="AA273" s="59" t="s">
        <v>120</v>
      </c>
      <c r="AB273" s="60" t="s">
        <v>121</v>
      </c>
    </row>
    <row r="274" spans="1:28" x14ac:dyDescent="0.4">
      <c r="A274" s="151"/>
      <c r="B274" s="154"/>
      <c r="C274" s="85" t="s">
        <v>339</v>
      </c>
      <c r="D274" s="109" t="s">
        <v>252</v>
      </c>
      <c r="E274" s="13" t="s">
        <v>39</v>
      </c>
      <c r="F274" s="16"/>
      <c r="G274" s="12" t="s">
        <v>181</v>
      </c>
      <c r="H274" s="15"/>
      <c r="I274" s="15"/>
      <c r="J274" s="15">
        <v>1</v>
      </c>
      <c r="K274" s="15">
        <v>1</v>
      </c>
      <c r="L274" s="17"/>
      <c r="M274" s="17"/>
      <c r="N274" s="17"/>
      <c r="O274" s="17"/>
      <c r="P274" s="17"/>
      <c r="Q274" s="17"/>
      <c r="R274" s="17"/>
      <c r="S274" s="15"/>
      <c r="T274" s="26">
        <v>45987</v>
      </c>
      <c r="U274" s="13" t="s">
        <v>146</v>
      </c>
      <c r="V274">
        <v>2</v>
      </c>
      <c r="X274" s="51" t="s">
        <v>107</v>
      </c>
      <c r="Y274" s="52">
        <f>COUNTIF(U273:U297,"R")</f>
        <v>1</v>
      </c>
      <c r="AA274" s="47" t="s">
        <v>81</v>
      </c>
      <c r="AB274" s="48" t="s">
        <v>60</v>
      </c>
    </row>
    <row r="275" spans="1:28" ht="19.5" thickBot="1" x14ac:dyDescent="0.45">
      <c r="A275" s="151"/>
      <c r="B275" s="154"/>
      <c r="C275" s="85" t="s">
        <v>340</v>
      </c>
      <c r="D275" s="109" t="s">
        <v>193</v>
      </c>
      <c r="E275" s="13" t="s">
        <v>36</v>
      </c>
      <c r="F275" s="16"/>
      <c r="G275" s="12" t="s">
        <v>181</v>
      </c>
      <c r="H275" s="15"/>
      <c r="I275" s="15"/>
      <c r="J275" s="15">
        <v>1</v>
      </c>
      <c r="K275" s="15"/>
      <c r="L275" s="17">
        <v>1</v>
      </c>
      <c r="M275" s="17"/>
      <c r="N275" s="17"/>
      <c r="O275" s="17"/>
      <c r="P275" s="17"/>
      <c r="Q275" s="17"/>
      <c r="R275" s="17"/>
      <c r="S275" s="15"/>
      <c r="T275" s="26">
        <v>45989</v>
      </c>
      <c r="U275" s="13" t="s">
        <v>146</v>
      </c>
      <c r="V275">
        <v>3</v>
      </c>
      <c r="X275" s="53" t="s">
        <v>108</v>
      </c>
      <c r="Y275" s="54">
        <f>COUNTIF(U273:U297,"J")</f>
        <v>5</v>
      </c>
      <c r="AA275" s="49" t="s">
        <v>82</v>
      </c>
      <c r="AB275" s="50" t="s">
        <v>39</v>
      </c>
    </row>
    <row r="276" spans="1:28" x14ac:dyDescent="0.4">
      <c r="A276" s="151"/>
      <c r="B276" s="154"/>
      <c r="C276" s="85" t="s">
        <v>341</v>
      </c>
      <c r="D276" s="109" t="s">
        <v>185</v>
      </c>
      <c r="E276" s="13" t="s">
        <v>38</v>
      </c>
      <c r="F276" s="16"/>
      <c r="G276" s="12" t="s">
        <v>181</v>
      </c>
      <c r="H276" s="15"/>
      <c r="I276" s="15"/>
      <c r="J276" s="15">
        <v>1</v>
      </c>
      <c r="K276" s="15">
        <v>1</v>
      </c>
      <c r="L276" s="17"/>
      <c r="M276" s="17"/>
      <c r="N276" s="17"/>
      <c r="O276" s="17"/>
      <c r="P276" s="17"/>
      <c r="Q276" s="17"/>
      <c r="R276" s="17"/>
      <c r="S276" s="15"/>
      <c r="T276" s="26">
        <v>45969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51"/>
      <c r="B277" s="154"/>
      <c r="C277" s="85" t="s">
        <v>342</v>
      </c>
      <c r="D277" s="109" t="s">
        <v>252</v>
      </c>
      <c r="E277" s="13" t="s">
        <v>133</v>
      </c>
      <c r="F277" s="16"/>
      <c r="G277" s="12" t="s">
        <v>181</v>
      </c>
      <c r="H277" s="15"/>
      <c r="I277" s="15"/>
      <c r="J277" s="15"/>
      <c r="K277" s="15"/>
      <c r="L277" s="17"/>
      <c r="M277" s="17"/>
      <c r="N277" s="17"/>
      <c r="O277" s="17">
        <v>1</v>
      </c>
      <c r="P277" s="17">
        <v>1</v>
      </c>
      <c r="Q277" s="17"/>
      <c r="R277" s="17">
        <v>1</v>
      </c>
      <c r="S277" s="15"/>
      <c r="T277" s="26">
        <v>45987</v>
      </c>
      <c r="U277" s="13" t="s">
        <v>148</v>
      </c>
      <c r="V277">
        <v>5</v>
      </c>
      <c r="AA277" s="49" t="s">
        <v>84</v>
      </c>
      <c r="AB277" s="50" t="s">
        <v>44</v>
      </c>
    </row>
    <row r="278" spans="1:28" x14ac:dyDescent="0.4">
      <c r="A278" s="151"/>
      <c r="B278" s="154"/>
      <c r="C278" s="85" t="s">
        <v>343</v>
      </c>
      <c r="D278" s="109" t="s">
        <v>185</v>
      </c>
      <c r="E278" s="13" t="s">
        <v>36</v>
      </c>
      <c r="F278" s="16"/>
      <c r="G278" s="12" t="s">
        <v>181</v>
      </c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45974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51"/>
      <c r="B279" s="154"/>
      <c r="C279" s="85" t="s">
        <v>344</v>
      </c>
      <c r="D279" s="109" t="s">
        <v>185</v>
      </c>
      <c r="E279" s="13" t="s">
        <v>36</v>
      </c>
      <c r="F279" s="16"/>
      <c r="G279" s="12" t="s">
        <v>181</v>
      </c>
      <c r="H279" s="15"/>
      <c r="I279" s="15"/>
      <c r="J279" s="15">
        <v>1</v>
      </c>
      <c r="K279" s="15">
        <v>1</v>
      </c>
      <c r="L279" s="17"/>
      <c r="M279" s="17"/>
      <c r="N279" s="17"/>
      <c r="O279" s="17"/>
      <c r="P279" s="17"/>
      <c r="Q279" s="17"/>
      <c r="R279" s="17"/>
      <c r="S279" s="15"/>
      <c r="T279" s="26">
        <v>45974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51"/>
      <c r="B280" s="154"/>
      <c r="C280" s="85" t="s">
        <v>345</v>
      </c>
      <c r="D280" s="109" t="s">
        <v>185</v>
      </c>
      <c r="E280" s="13" t="s">
        <v>36</v>
      </c>
      <c r="F280" s="16"/>
      <c r="G280" s="12" t="s">
        <v>181</v>
      </c>
      <c r="H280" s="15"/>
      <c r="I280" s="15"/>
      <c r="J280" s="15">
        <v>1</v>
      </c>
      <c r="K280" s="15">
        <v>1</v>
      </c>
      <c r="L280" s="17"/>
      <c r="M280" s="17"/>
      <c r="N280" s="17"/>
      <c r="O280" s="17"/>
      <c r="P280" s="17"/>
      <c r="Q280" s="17"/>
      <c r="R280" s="17"/>
      <c r="S280" s="15"/>
      <c r="T280" s="26">
        <v>45974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51"/>
      <c r="B281" s="154"/>
      <c r="C281" s="85" t="s">
        <v>346</v>
      </c>
      <c r="D281" s="109" t="s">
        <v>186</v>
      </c>
      <c r="E281" s="13" t="s">
        <v>40</v>
      </c>
      <c r="F281" s="16"/>
      <c r="G281" s="12" t="s">
        <v>181</v>
      </c>
      <c r="H281" s="15"/>
      <c r="I281" s="15"/>
      <c r="J281" s="15"/>
      <c r="K281" s="15"/>
      <c r="L281" s="17"/>
      <c r="M281" s="17"/>
      <c r="N281" s="17"/>
      <c r="O281" s="17">
        <v>1</v>
      </c>
      <c r="P281" s="17">
        <v>1</v>
      </c>
      <c r="Q281" s="17"/>
      <c r="R281" s="17"/>
      <c r="S281" s="15"/>
      <c r="T281" s="26">
        <v>45993</v>
      </c>
      <c r="U281" s="13" t="s">
        <v>148</v>
      </c>
      <c r="V281">
        <v>9</v>
      </c>
      <c r="AA281" s="49" t="s">
        <v>88</v>
      </c>
      <c r="AB281" s="50" t="s">
        <v>74</v>
      </c>
    </row>
    <row r="282" spans="1:28" x14ac:dyDescent="0.4">
      <c r="A282" s="151"/>
      <c r="B282" s="154"/>
      <c r="C282" s="85" t="s">
        <v>347</v>
      </c>
      <c r="D282" s="109" t="s">
        <v>186</v>
      </c>
      <c r="E282" s="13" t="s">
        <v>40</v>
      </c>
      <c r="F282" s="16"/>
      <c r="G282" s="12" t="s">
        <v>181</v>
      </c>
      <c r="H282" s="15"/>
      <c r="I282" s="15"/>
      <c r="J282" s="15"/>
      <c r="K282" s="15"/>
      <c r="L282" s="17"/>
      <c r="M282" s="17"/>
      <c r="N282" s="17"/>
      <c r="O282" s="17">
        <v>1</v>
      </c>
      <c r="P282" s="17">
        <v>1</v>
      </c>
      <c r="Q282" s="17"/>
      <c r="R282" s="17"/>
      <c r="S282" s="15"/>
      <c r="T282" s="26">
        <v>45993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51"/>
      <c r="B283" s="154"/>
      <c r="C283" s="85" t="s">
        <v>348</v>
      </c>
      <c r="D283" s="109" t="s">
        <v>186</v>
      </c>
      <c r="E283" s="13" t="s">
        <v>40</v>
      </c>
      <c r="F283" s="16"/>
      <c r="G283" s="12" t="s">
        <v>181</v>
      </c>
      <c r="H283" s="15"/>
      <c r="I283" s="15"/>
      <c r="J283" s="15"/>
      <c r="K283" s="15"/>
      <c r="L283" s="17"/>
      <c r="M283" s="17"/>
      <c r="N283" s="17"/>
      <c r="O283" s="17">
        <v>1</v>
      </c>
      <c r="P283" s="17">
        <v>1</v>
      </c>
      <c r="Q283" s="17"/>
      <c r="R283" s="17"/>
      <c r="S283" s="15"/>
      <c r="T283" s="26">
        <v>45993</v>
      </c>
      <c r="U283" s="13" t="s">
        <v>148</v>
      </c>
      <c r="V283">
        <v>11</v>
      </c>
      <c r="AA283" s="49" t="s">
        <v>90</v>
      </c>
      <c r="AB283" s="50" t="s">
        <v>58</v>
      </c>
    </row>
    <row r="284" spans="1:28" x14ac:dyDescent="0.4">
      <c r="A284" s="151"/>
      <c r="B284" s="154"/>
      <c r="C284" s="85" t="s">
        <v>349</v>
      </c>
      <c r="D284" s="109" t="s">
        <v>186</v>
      </c>
      <c r="E284" s="13" t="s">
        <v>40</v>
      </c>
      <c r="F284" s="16"/>
      <c r="G284" s="12" t="s">
        <v>181</v>
      </c>
      <c r="H284" s="15"/>
      <c r="I284" s="15"/>
      <c r="J284" s="15"/>
      <c r="K284" s="15"/>
      <c r="L284" s="17"/>
      <c r="M284" s="17"/>
      <c r="N284" s="17"/>
      <c r="O284" s="17">
        <v>1</v>
      </c>
      <c r="P284" s="17">
        <v>1</v>
      </c>
      <c r="Q284" s="17"/>
      <c r="R284" s="17"/>
      <c r="S284" s="15"/>
      <c r="T284" s="26">
        <v>45993</v>
      </c>
      <c r="U284" s="13" t="s">
        <v>148</v>
      </c>
      <c r="V284">
        <v>12</v>
      </c>
      <c r="AA284" s="49" t="s">
        <v>91</v>
      </c>
      <c r="AB284" s="50" t="s">
        <v>75</v>
      </c>
    </row>
    <row r="285" spans="1:28" x14ac:dyDescent="0.4">
      <c r="A285" s="151"/>
      <c r="B285" s="154"/>
      <c r="C285" s="85" t="s">
        <v>350</v>
      </c>
      <c r="D285" s="109" t="s">
        <v>186</v>
      </c>
      <c r="E285" s="13" t="s">
        <v>38</v>
      </c>
      <c r="F285" s="16"/>
      <c r="G285" s="12" t="s">
        <v>181</v>
      </c>
      <c r="H285" s="15"/>
      <c r="I285" s="15"/>
      <c r="J285" s="15">
        <v>1</v>
      </c>
      <c r="K285" s="15">
        <v>1</v>
      </c>
      <c r="L285" s="17"/>
      <c r="M285" s="17"/>
      <c r="N285" s="17"/>
      <c r="O285" s="17"/>
      <c r="P285" s="17"/>
      <c r="Q285" s="17"/>
      <c r="R285" s="17"/>
      <c r="S285" s="15"/>
      <c r="T285" s="26">
        <v>45993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51"/>
      <c r="B286" s="154"/>
      <c r="C286" s="85" t="s">
        <v>351</v>
      </c>
      <c r="D286" s="109" t="s">
        <v>186</v>
      </c>
      <c r="E286" s="15" t="s">
        <v>74</v>
      </c>
      <c r="F286" s="16"/>
      <c r="G286" s="12" t="s">
        <v>181</v>
      </c>
      <c r="H286" s="15"/>
      <c r="I286" s="15"/>
      <c r="J286" s="15">
        <v>1</v>
      </c>
      <c r="K286" s="15">
        <v>1</v>
      </c>
      <c r="L286" s="17"/>
      <c r="M286" s="17"/>
      <c r="N286" s="17">
        <v>1</v>
      </c>
      <c r="O286" s="17"/>
      <c r="P286" s="17"/>
      <c r="Q286" s="17"/>
      <c r="R286" s="17"/>
      <c r="S286" s="15"/>
      <c r="T286" s="26">
        <v>45993</v>
      </c>
      <c r="U286" s="13" t="s">
        <v>147</v>
      </c>
      <c r="V286">
        <v>14</v>
      </c>
      <c r="AA286" s="49" t="s">
        <v>93</v>
      </c>
      <c r="AB286" s="50" t="s">
        <v>57</v>
      </c>
    </row>
    <row r="287" spans="1:28" x14ac:dyDescent="0.4">
      <c r="A287" s="151"/>
      <c r="B287" s="154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51"/>
      <c r="B288" s="15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1"/>
      <c r="B289" s="15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1"/>
      <c r="B290" s="15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1"/>
      <c r="B291" s="15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1"/>
      <c r="B292" s="15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1"/>
      <c r="B293" s="15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1"/>
      <c r="B294" s="15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1"/>
      <c r="B295" s="15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1"/>
      <c r="B296" s="15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2"/>
      <c r="B297" s="15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14</v>
      </c>
      <c r="D298" s="112"/>
      <c r="E298" s="29"/>
      <c r="F298" s="29" t="s">
        <v>34</v>
      </c>
      <c r="G298" s="29">
        <f>COUNTIF(G273:G297,"S")</f>
        <v>14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6</v>
      </c>
      <c r="L298" s="29">
        <f t="shared" ref="L298" si="65">SUM(L273:L297)</f>
        <v>2</v>
      </c>
      <c r="M298" s="29">
        <f t="shared" ref="M298" si="66">SUM(M273:M297)</f>
        <v>0</v>
      </c>
      <c r="N298" s="29">
        <f t="shared" ref="N298" si="67">SUM(N273:N297)</f>
        <v>1</v>
      </c>
      <c r="O298" s="29">
        <f t="shared" ref="O298" si="68">SUM(O273:O297)</f>
        <v>5</v>
      </c>
      <c r="P298" s="29">
        <f t="shared" ref="P298" si="69">SUM(P273:P297)</f>
        <v>5</v>
      </c>
      <c r="Q298" s="29">
        <f t="shared" ref="Q298" si="70">SUM(Q273:Q297)</f>
        <v>0</v>
      </c>
      <c r="R298" s="29">
        <f t="shared" ref="R298" si="71">SUM(R273:R297)</f>
        <v>1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28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AYG123</v>
      </c>
      <c r="B301" s="24">
        <f>B1</f>
        <v>45953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3" t="s">
        <v>110</v>
      </c>
      <c r="Y302" s="149"/>
    </row>
    <row r="303" spans="1:28" ht="20.25" thickTop="1" thickBot="1" x14ac:dyDescent="0.45">
      <c r="A303" s="150">
        <v>11</v>
      </c>
      <c r="B303" s="153">
        <v>23</v>
      </c>
      <c r="C303" s="85" t="s">
        <v>352</v>
      </c>
      <c r="D303" s="109" t="s">
        <v>189</v>
      </c>
      <c r="E303" s="13" t="s">
        <v>41</v>
      </c>
      <c r="F303" s="14"/>
      <c r="G303" s="12" t="s">
        <v>181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45977</v>
      </c>
      <c r="U303" s="13" t="s">
        <v>147</v>
      </c>
      <c r="V303">
        <v>1</v>
      </c>
      <c r="X303" s="51" t="s">
        <v>106</v>
      </c>
      <c r="Y303" s="52">
        <f>COUNTIF(U303:U327,"K")</f>
        <v>2</v>
      </c>
      <c r="AA303" s="59" t="s">
        <v>120</v>
      </c>
      <c r="AB303" s="60" t="s">
        <v>121</v>
      </c>
    </row>
    <row r="304" spans="1:28" x14ac:dyDescent="0.4">
      <c r="A304" s="151"/>
      <c r="B304" s="154"/>
      <c r="C304" s="85" t="s">
        <v>353</v>
      </c>
      <c r="D304" s="109" t="s">
        <v>189</v>
      </c>
      <c r="E304" s="13" t="s">
        <v>40</v>
      </c>
      <c r="F304" s="16"/>
      <c r="G304" s="12" t="s">
        <v>181</v>
      </c>
      <c r="H304" s="15"/>
      <c r="I304" s="15"/>
      <c r="J304" s="15"/>
      <c r="K304" s="15"/>
      <c r="L304" s="17"/>
      <c r="M304" s="13"/>
      <c r="N304" s="13"/>
      <c r="O304" s="17"/>
      <c r="P304" s="17">
        <v>1</v>
      </c>
      <c r="Q304" s="17"/>
      <c r="R304" s="17"/>
      <c r="S304" s="15"/>
      <c r="T304" s="26">
        <v>45977</v>
      </c>
      <c r="U304" s="13" t="s">
        <v>148</v>
      </c>
      <c r="V304">
        <v>2</v>
      </c>
      <c r="X304" s="51" t="s">
        <v>107</v>
      </c>
      <c r="Y304" s="52">
        <f>COUNTIF(U303:U327,"R")</f>
        <v>16</v>
      </c>
      <c r="AA304" s="47" t="s">
        <v>81</v>
      </c>
      <c r="AB304" s="48" t="s">
        <v>60</v>
      </c>
    </row>
    <row r="305" spans="1:28" ht="19.5" thickBot="1" x14ac:dyDescent="0.45">
      <c r="A305" s="151"/>
      <c r="B305" s="154"/>
      <c r="C305" s="85" t="s">
        <v>354</v>
      </c>
      <c r="D305" s="109" t="s">
        <v>189</v>
      </c>
      <c r="E305" s="13" t="s">
        <v>36</v>
      </c>
      <c r="F305" s="16"/>
      <c r="G305" s="12" t="s">
        <v>181</v>
      </c>
      <c r="H305" s="15"/>
      <c r="I305" s="15"/>
      <c r="J305" s="15"/>
      <c r="K305" s="15"/>
      <c r="L305" s="17">
        <v>1</v>
      </c>
      <c r="M305" s="13">
        <v>1</v>
      </c>
      <c r="N305" s="13"/>
      <c r="O305" s="17"/>
      <c r="P305" s="17"/>
      <c r="Q305" s="17"/>
      <c r="R305" s="17"/>
      <c r="S305" s="15"/>
      <c r="T305" s="26">
        <v>45977</v>
      </c>
      <c r="U305" s="13" t="s">
        <v>147</v>
      </c>
      <c r="V305">
        <v>3</v>
      </c>
      <c r="X305" s="53" t="s">
        <v>108</v>
      </c>
      <c r="Y305" s="54">
        <f>COUNTIF(U303:U327,"J")</f>
        <v>2</v>
      </c>
      <c r="AA305" s="49" t="s">
        <v>82</v>
      </c>
      <c r="AB305" s="50" t="s">
        <v>39</v>
      </c>
    </row>
    <row r="306" spans="1:28" x14ac:dyDescent="0.4">
      <c r="A306" s="151"/>
      <c r="B306" s="154"/>
      <c r="C306" s="85" t="s">
        <v>355</v>
      </c>
      <c r="D306" s="109" t="s">
        <v>189</v>
      </c>
      <c r="E306" s="13" t="s">
        <v>39</v>
      </c>
      <c r="F306" s="16"/>
      <c r="G306" s="12" t="s">
        <v>181</v>
      </c>
      <c r="H306" s="15"/>
      <c r="I306" s="15"/>
      <c r="J306" s="15">
        <v>1</v>
      </c>
      <c r="K306" s="15">
        <v>1</v>
      </c>
      <c r="L306" s="17"/>
      <c r="M306" s="13"/>
      <c r="N306" s="13"/>
      <c r="O306" s="17"/>
      <c r="P306" s="17"/>
      <c r="Q306" s="17"/>
      <c r="R306" s="17"/>
      <c r="S306" s="15"/>
      <c r="T306" s="26">
        <v>45977</v>
      </c>
      <c r="U306" s="13" t="s">
        <v>146</v>
      </c>
      <c r="V306">
        <v>4</v>
      </c>
      <c r="AA306" s="49" t="s">
        <v>83</v>
      </c>
      <c r="AB306" s="50" t="s">
        <v>38</v>
      </c>
    </row>
    <row r="307" spans="1:28" x14ac:dyDescent="0.4">
      <c r="A307" s="151"/>
      <c r="B307" s="154"/>
      <c r="C307" s="85" t="s">
        <v>356</v>
      </c>
      <c r="D307" s="109" t="s">
        <v>189</v>
      </c>
      <c r="E307" s="13" t="s">
        <v>44</v>
      </c>
      <c r="F307" s="16"/>
      <c r="G307" s="12" t="s">
        <v>181</v>
      </c>
      <c r="H307" s="15"/>
      <c r="I307" s="15"/>
      <c r="J307" s="15">
        <v>1</v>
      </c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45977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51"/>
      <c r="B308" s="154"/>
      <c r="C308" s="85" t="s">
        <v>357</v>
      </c>
      <c r="D308" s="109" t="s">
        <v>189</v>
      </c>
      <c r="E308" s="13" t="s">
        <v>37</v>
      </c>
      <c r="F308" s="16"/>
      <c r="G308" s="12" t="s">
        <v>181</v>
      </c>
      <c r="H308" s="13"/>
      <c r="I308" s="15"/>
      <c r="J308" s="15"/>
      <c r="K308" s="15"/>
      <c r="L308" s="17"/>
      <c r="M308" s="13">
        <v>1</v>
      </c>
      <c r="N308" s="13">
        <v>1</v>
      </c>
      <c r="O308" s="17"/>
      <c r="P308" s="17"/>
      <c r="Q308" s="17">
        <v>1</v>
      </c>
      <c r="R308" s="17"/>
      <c r="S308" s="15"/>
      <c r="T308" s="26">
        <v>45977</v>
      </c>
      <c r="U308" s="13" t="s">
        <v>147</v>
      </c>
      <c r="V308">
        <v>6</v>
      </c>
      <c r="AA308" s="49" t="s">
        <v>85</v>
      </c>
      <c r="AB308" s="50" t="s">
        <v>43</v>
      </c>
    </row>
    <row r="309" spans="1:28" x14ac:dyDescent="0.4">
      <c r="A309" s="151"/>
      <c r="B309" s="154"/>
      <c r="C309" s="85" t="s">
        <v>358</v>
      </c>
      <c r="D309" s="109" t="s">
        <v>189</v>
      </c>
      <c r="E309" s="13" t="s">
        <v>36</v>
      </c>
      <c r="F309" s="16"/>
      <c r="G309" s="12" t="s">
        <v>181</v>
      </c>
      <c r="H309" s="15"/>
      <c r="I309" s="15"/>
      <c r="J309" s="15"/>
      <c r="K309" s="15"/>
      <c r="L309" s="17"/>
      <c r="M309" s="13">
        <v>1</v>
      </c>
      <c r="N309" s="13">
        <v>1</v>
      </c>
      <c r="O309" s="17"/>
      <c r="P309" s="17"/>
      <c r="Q309" s="17">
        <v>1</v>
      </c>
      <c r="R309" s="17"/>
      <c r="S309" s="15"/>
      <c r="T309" s="26">
        <v>45977</v>
      </c>
      <c r="U309" s="13" t="s">
        <v>147</v>
      </c>
      <c r="V309">
        <v>7</v>
      </c>
      <c r="AA309" s="49" t="s">
        <v>86</v>
      </c>
      <c r="AB309" s="50" t="s">
        <v>45</v>
      </c>
    </row>
    <row r="310" spans="1:28" x14ac:dyDescent="0.4">
      <c r="A310" s="151"/>
      <c r="B310" s="154"/>
      <c r="C310" s="85" t="s">
        <v>359</v>
      </c>
      <c r="D310" s="109" t="s">
        <v>189</v>
      </c>
      <c r="E310" s="13" t="s">
        <v>75</v>
      </c>
      <c r="F310" s="16"/>
      <c r="G310" s="12" t="s">
        <v>181</v>
      </c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>
        <v>45977</v>
      </c>
      <c r="U310" s="13" t="s">
        <v>147</v>
      </c>
      <c r="V310">
        <v>8</v>
      </c>
      <c r="AA310" s="49" t="s">
        <v>87</v>
      </c>
      <c r="AB310" s="50" t="s">
        <v>37</v>
      </c>
    </row>
    <row r="311" spans="1:28" x14ac:dyDescent="0.4">
      <c r="A311" s="151"/>
      <c r="B311" s="154"/>
      <c r="C311" s="85" t="s">
        <v>360</v>
      </c>
      <c r="D311" s="109" t="s">
        <v>189</v>
      </c>
      <c r="E311" s="13" t="s">
        <v>37</v>
      </c>
      <c r="F311" s="16"/>
      <c r="G311" s="12" t="s">
        <v>181</v>
      </c>
      <c r="H311" s="15"/>
      <c r="I311" s="15"/>
      <c r="J311" s="15"/>
      <c r="K311" s="15"/>
      <c r="L311" s="17"/>
      <c r="M311" s="13">
        <v>1</v>
      </c>
      <c r="N311" s="13">
        <v>1</v>
      </c>
      <c r="O311" s="17"/>
      <c r="P311" s="17"/>
      <c r="Q311" s="17">
        <v>1</v>
      </c>
      <c r="R311" s="17"/>
      <c r="S311" s="15"/>
      <c r="T311" s="26">
        <v>45977</v>
      </c>
      <c r="U311" s="13" t="s">
        <v>147</v>
      </c>
      <c r="V311">
        <v>9</v>
      </c>
      <c r="AA311" s="49" t="s">
        <v>88</v>
      </c>
      <c r="AB311" s="50" t="s">
        <v>74</v>
      </c>
    </row>
    <row r="312" spans="1:28" x14ac:dyDescent="0.4">
      <c r="A312" s="151"/>
      <c r="B312" s="154"/>
      <c r="C312" s="85" t="s">
        <v>361</v>
      </c>
      <c r="D312" s="109" t="s">
        <v>189</v>
      </c>
      <c r="E312" s="13" t="s">
        <v>36</v>
      </c>
      <c r="F312" s="16"/>
      <c r="G312" s="12" t="s">
        <v>181</v>
      </c>
      <c r="H312" s="15"/>
      <c r="I312" s="15"/>
      <c r="J312" s="15"/>
      <c r="K312" s="15"/>
      <c r="L312" s="17"/>
      <c r="M312" s="13">
        <v>1</v>
      </c>
      <c r="N312" s="13">
        <v>1</v>
      </c>
      <c r="O312" s="17"/>
      <c r="P312" s="17"/>
      <c r="Q312" s="17">
        <v>1</v>
      </c>
      <c r="R312" s="17"/>
      <c r="S312" s="15"/>
      <c r="T312" s="26">
        <v>45977</v>
      </c>
      <c r="U312" s="13" t="s">
        <v>147</v>
      </c>
      <c r="V312">
        <v>10</v>
      </c>
      <c r="AA312" s="49" t="s">
        <v>89</v>
      </c>
      <c r="AB312" s="50" t="s">
        <v>36</v>
      </c>
    </row>
    <row r="313" spans="1:28" x14ac:dyDescent="0.4">
      <c r="A313" s="151"/>
      <c r="B313" s="154"/>
      <c r="C313" s="85" t="s">
        <v>362</v>
      </c>
      <c r="D313" s="109" t="s">
        <v>189</v>
      </c>
      <c r="E313" s="13" t="s">
        <v>58</v>
      </c>
      <c r="F313" s="16"/>
      <c r="G313" s="12" t="s">
        <v>181</v>
      </c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45977</v>
      </c>
      <c r="U313" s="13" t="s">
        <v>147</v>
      </c>
      <c r="V313">
        <v>11</v>
      </c>
      <c r="AA313" s="49" t="s">
        <v>90</v>
      </c>
      <c r="AB313" s="50" t="s">
        <v>58</v>
      </c>
    </row>
    <row r="314" spans="1:28" x14ac:dyDescent="0.4">
      <c r="A314" s="151"/>
      <c r="B314" s="154"/>
      <c r="C314" s="85" t="s">
        <v>363</v>
      </c>
      <c r="D314" s="109" t="s">
        <v>189</v>
      </c>
      <c r="E314" s="13" t="s">
        <v>78</v>
      </c>
      <c r="F314" s="16"/>
      <c r="G314" s="12" t="s">
        <v>181</v>
      </c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>
        <v>45977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51"/>
      <c r="B315" s="154"/>
      <c r="C315" s="85" t="s">
        <v>364</v>
      </c>
      <c r="D315" s="109" t="s">
        <v>189</v>
      </c>
      <c r="E315" s="13" t="s">
        <v>38</v>
      </c>
      <c r="F315" s="16"/>
      <c r="G315" s="12" t="s">
        <v>181</v>
      </c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>
        <v>45977</v>
      </c>
      <c r="U315" s="13" t="s">
        <v>147</v>
      </c>
      <c r="V315">
        <v>13</v>
      </c>
      <c r="AA315" s="49" t="s">
        <v>92</v>
      </c>
      <c r="AB315" s="50" t="s">
        <v>40</v>
      </c>
    </row>
    <row r="316" spans="1:28" x14ac:dyDescent="0.4">
      <c r="A316" s="151"/>
      <c r="B316" s="154"/>
      <c r="C316" s="85" t="s">
        <v>365</v>
      </c>
      <c r="D316" s="109" t="s">
        <v>189</v>
      </c>
      <c r="E316" s="13" t="s">
        <v>44</v>
      </c>
      <c r="F316" s="16"/>
      <c r="G316" s="12" t="s">
        <v>181</v>
      </c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>
        <v>45977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51"/>
      <c r="B317" s="154"/>
      <c r="C317" s="85" t="s">
        <v>366</v>
      </c>
      <c r="D317" s="109" t="s">
        <v>189</v>
      </c>
      <c r="E317" s="13" t="s">
        <v>44</v>
      </c>
      <c r="F317" s="16"/>
      <c r="G317" s="12" t="s">
        <v>181</v>
      </c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>
        <v>45977</v>
      </c>
      <c r="U317" s="13" t="s">
        <v>147</v>
      </c>
      <c r="V317">
        <v>15</v>
      </c>
      <c r="AA317" s="49" t="s">
        <v>94</v>
      </c>
      <c r="AB317" s="50" t="s">
        <v>41</v>
      </c>
    </row>
    <row r="318" spans="1:28" x14ac:dyDescent="0.4">
      <c r="A318" s="151"/>
      <c r="B318" s="154"/>
      <c r="C318" s="85" t="s">
        <v>367</v>
      </c>
      <c r="D318" s="109" t="s">
        <v>189</v>
      </c>
      <c r="E318" s="13" t="s">
        <v>38</v>
      </c>
      <c r="F318" s="16"/>
      <c r="G318" s="12" t="s">
        <v>181</v>
      </c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>
        <v>45977</v>
      </c>
      <c r="U318" s="13" t="s">
        <v>147</v>
      </c>
      <c r="V318">
        <v>16</v>
      </c>
      <c r="AA318" s="49" t="s">
        <v>95</v>
      </c>
      <c r="AB318" s="50" t="s">
        <v>42</v>
      </c>
    </row>
    <row r="319" spans="1:28" x14ac:dyDescent="0.4">
      <c r="A319" s="151"/>
      <c r="B319" s="154"/>
      <c r="C319" s="85" t="s">
        <v>368</v>
      </c>
      <c r="D319" s="110" t="s">
        <v>189</v>
      </c>
      <c r="E319" s="18" t="s">
        <v>44</v>
      </c>
      <c r="F319" s="16"/>
      <c r="G319" s="15" t="s">
        <v>181</v>
      </c>
      <c r="H319" s="15"/>
      <c r="I319" s="15"/>
      <c r="J319" s="18">
        <v>1</v>
      </c>
      <c r="K319" s="15">
        <v>1</v>
      </c>
      <c r="L319" s="19"/>
      <c r="M319" s="19"/>
      <c r="N319" s="19"/>
      <c r="O319" s="19"/>
      <c r="P319" s="19"/>
      <c r="Q319" s="19"/>
      <c r="R319" s="19"/>
      <c r="S319" s="15"/>
      <c r="T319" s="26">
        <v>45977</v>
      </c>
      <c r="U319" s="15" t="s">
        <v>147</v>
      </c>
      <c r="V319">
        <v>17</v>
      </c>
      <c r="AA319" s="49" t="s">
        <v>96</v>
      </c>
      <c r="AB319" s="50" t="s">
        <v>61</v>
      </c>
    </row>
    <row r="320" spans="1:28" x14ac:dyDescent="0.4">
      <c r="A320" s="151"/>
      <c r="B320" s="154"/>
      <c r="C320" s="85" t="s">
        <v>369</v>
      </c>
      <c r="D320" s="110" t="s">
        <v>189</v>
      </c>
      <c r="E320" s="18" t="s">
        <v>36</v>
      </c>
      <c r="F320" s="16"/>
      <c r="G320" s="18" t="s">
        <v>181</v>
      </c>
      <c r="H320" s="15"/>
      <c r="I320" s="15"/>
      <c r="J320" s="18">
        <v>1</v>
      </c>
      <c r="K320" s="15">
        <v>1</v>
      </c>
      <c r="L320" s="19"/>
      <c r="M320" s="19"/>
      <c r="N320" s="19"/>
      <c r="O320" s="19"/>
      <c r="P320" s="19"/>
      <c r="Q320" s="19"/>
      <c r="R320" s="19"/>
      <c r="S320" s="15"/>
      <c r="T320" s="26">
        <v>45977</v>
      </c>
      <c r="U320" s="15" t="s">
        <v>147</v>
      </c>
      <c r="V320">
        <v>18</v>
      </c>
      <c r="AA320" s="49" t="s">
        <v>97</v>
      </c>
      <c r="AB320" s="50" t="s">
        <v>76</v>
      </c>
    </row>
    <row r="321" spans="1:28" x14ac:dyDescent="0.4">
      <c r="A321" s="151"/>
      <c r="B321" s="154"/>
      <c r="C321" s="86" t="s">
        <v>370</v>
      </c>
      <c r="D321" s="110" t="s">
        <v>273</v>
      </c>
      <c r="E321" s="18" t="s">
        <v>40</v>
      </c>
      <c r="F321" s="16"/>
      <c r="G321" s="18" t="s">
        <v>181</v>
      </c>
      <c r="H321" s="15"/>
      <c r="I321" s="15"/>
      <c r="J321" s="18"/>
      <c r="K321" s="15"/>
      <c r="L321" s="19"/>
      <c r="M321" s="19"/>
      <c r="N321" s="19"/>
      <c r="O321" s="19">
        <v>1</v>
      </c>
      <c r="P321" s="19"/>
      <c r="Q321" s="19"/>
      <c r="R321" s="19"/>
      <c r="S321" s="15"/>
      <c r="T321" s="26">
        <v>45991</v>
      </c>
      <c r="U321" s="15" t="s">
        <v>148</v>
      </c>
      <c r="V321">
        <v>19</v>
      </c>
      <c r="AA321" s="49" t="s">
        <v>98</v>
      </c>
      <c r="AB321" s="50" t="s">
        <v>77</v>
      </c>
    </row>
    <row r="322" spans="1:28" x14ac:dyDescent="0.4">
      <c r="A322" s="151"/>
      <c r="B322" s="154"/>
      <c r="C322" s="86" t="s">
        <v>371</v>
      </c>
      <c r="D322" s="110" t="s">
        <v>185</v>
      </c>
      <c r="E322" s="18" t="s">
        <v>40</v>
      </c>
      <c r="F322" s="16"/>
      <c r="G322" s="18" t="s">
        <v>181</v>
      </c>
      <c r="H322" s="15"/>
      <c r="I322" s="15"/>
      <c r="J322" s="18"/>
      <c r="K322" s="15"/>
      <c r="L322" s="19"/>
      <c r="M322" s="19"/>
      <c r="N322" s="19"/>
      <c r="O322" s="19">
        <v>1</v>
      </c>
      <c r="P322" s="19">
        <v>1</v>
      </c>
      <c r="Q322" s="19"/>
      <c r="R322" s="19"/>
      <c r="S322" s="15"/>
      <c r="T322" s="26">
        <v>45979</v>
      </c>
      <c r="U322" s="15" t="s">
        <v>147</v>
      </c>
      <c r="V322">
        <v>20</v>
      </c>
      <c r="AA322" s="49" t="s">
        <v>99</v>
      </c>
      <c r="AB322" s="50" t="s">
        <v>78</v>
      </c>
    </row>
    <row r="323" spans="1:28" x14ac:dyDescent="0.4">
      <c r="A323" s="151"/>
      <c r="B323" s="15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1"/>
      <c r="B324" s="15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1"/>
      <c r="B325" s="15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1"/>
      <c r="B326" s="15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2"/>
      <c r="B327" s="15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20</v>
      </c>
      <c r="D328" s="112"/>
      <c r="E328" s="29"/>
      <c r="F328" s="29" t="s">
        <v>34</v>
      </c>
      <c r="G328" s="29">
        <f>COUNTIF(G303:G327,"S")</f>
        <v>20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4</v>
      </c>
      <c r="K328" s="29">
        <f t="shared" ref="K328" si="74">SUM(K303:K327)</f>
        <v>4</v>
      </c>
      <c r="L328" s="29">
        <f t="shared" ref="L328" si="75">SUM(L303:L327)</f>
        <v>1</v>
      </c>
      <c r="M328" s="29">
        <f t="shared" ref="M328" si="76">SUM(M303:M327)</f>
        <v>5</v>
      </c>
      <c r="N328" s="29">
        <f t="shared" ref="N328" si="77">SUM(N303:N327)</f>
        <v>4</v>
      </c>
      <c r="O328" s="29">
        <f t="shared" ref="O328" si="78">SUM(O303:O327)</f>
        <v>2</v>
      </c>
      <c r="P328" s="29">
        <f t="shared" ref="P328" si="79">SUM(P303:P327)</f>
        <v>2</v>
      </c>
      <c r="Q328" s="29">
        <f t="shared" ref="Q328" si="80">SUM(Q303:Q327)</f>
        <v>4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26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AYG123</v>
      </c>
      <c r="B331" s="24">
        <f>B151</f>
        <v>45953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3" t="s">
        <v>109</v>
      </c>
      <c r="Y332" s="149"/>
    </row>
    <row r="333" spans="1:28" ht="20.25" thickTop="1" thickBot="1" x14ac:dyDescent="0.45">
      <c r="A333" s="150">
        <v>12</v>
      </c>
      <c r="B333" s="153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1"/>
      <c r="B334" s="154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1"/>
      <c r="B335" s="154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1"/>
      <c r="B336" s="154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1"/>
      <c r="B337" s="154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1"/>
      <c r="B338" s="154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1"/>
      <c r="B339" s="154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1"/>
      <c r="B340" s="154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1"/>
      <c r="B341" s="15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1"/>
      <c r="B342" s="15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1"/>
      <c r="B343" s="15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1"/>
      <c r="B344" s="15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1"/>
      <c r="B345" s="15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1"/>
      <c r="B346" s="15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1"/>
      <c r="B347" s="15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1"/>
      <c r="B348" s="15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1"/>
      <c r="B349" s="15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1"/>
      <c r="B350" s="15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1"/>
      <c r="B351" s="15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1"/>
      <c r="B352" s="15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1"/>
      <c r="B353" s="15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1"/>
      <c r="B354" s="15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1"/>
      <c r="B355" s="15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1"/>
      <c r="B356" s="15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2"/>
      <c r="B357" s="15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3" t="s">
        <v>138</v>
      </c>
      <c r="Y362" s="149"/>
    </row>
    <row r="363" spans="1:28" ht="19.5" thickTop="1" x14ac:dyDescent="0.4">
      <c r="A363" s="150">
        <v>13</v>
      </c>
      <c r="B363" s="15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1"/>
      <c r="B364" s="15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1"/>
      <c r="B365" s="15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1"/>
      <c r="B366" s="15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1"/>
      <c r="B367" s="15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1"/>
      <c r="B368" s="15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1"/>
      <c r="B369" s="15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1"/>
      <c r="B370" s="15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1"/>
      <c r="B371" s="15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1"/>
      <c r="B372" s="15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1"/>
      <c r="B373" s="15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1"/>
      <c r="B374" s="15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1"/>
      <c r="B375" s="154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1"/>
      <c r="B376" s="15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1"/>
      <c r="B377" s="15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1"/>
      <c r="B378" s="15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1"/>
      <c r="B379" s="15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1"/>
      <c r="B380" s="15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1"/>
      <c r="B381" s="15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1"/>
      <c r="B382" s="15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1"/>
      <c r="B383" s="15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1"/>
      <c r="B384" s="15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1"/>
      <c r="B385" s="15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1"/>
      <c r="B386" s="15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2"/>
      <c r="B387" s="15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3" t="s">
        <v>139</v>
      </c>
      <c r="Y392" s="149"/>
    </row>
    <row r="393" spans="1:25" ht="19.5" thickTop="1" x14ac:dyDescent="0.4">
      <c r="A393" s="150">
        <v>14</v>
      </c>
      <c r="B393" s="15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1"/>
      <c r="B394" s="15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1"/>
      <c r="B395" s="15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1"/>
      <c r="B396" s="15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1"/>
      <c r="B397" s="15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1"/>
      <c r="B398" s="15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1"/>
      <c r="B399" s="15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1"/>
      <c r="B400" s="15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1"/>
      <c r="B401" s="15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1"/>
      <c r="B402" s="15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1"/>
      <c r="B403" s="15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1"/>
      <c r="B404" s="15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1"/>
      <c r="B405" s="15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1"/>
      <c r="B406" s="15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1"/>
      <c r="B407" s="15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1"/>
      <c r="B408" s="15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1"/>
      <c r="B409" s="15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1"/>
      <c r="B410" s="15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1"/>
      <c r="B411" s="15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1"/>
      <c r="B412" s="15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1"/>
      <c r="B413" s="15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1"/>
      <c r="B414" s="15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1"/>
      <c r="B415" s="15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1"/>
      <c r="B416" s="15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2"/>
      <c r="B417" s="15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3" t="s">
        <v>140</v>
      </c>
      <c r="Y422" s="149"/>
    </row>
    <row r="423" spans="1:25" ht="19.5" thickTop="1" x14ac:dyDescent="0.4">
      <c r="A423" s="150">
        <v>15</v>
      </c>
      <c r="B423" s="15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1"/>
      <c r="B424" s="15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1"/>
      <c r="B425" s="15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1"/>
      <c r="B426" s="15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1"/>
      <c r="B427" s="15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1"/>
      <c r="B428" s="15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1"/>
      <c r="B429" s="15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1"/>
      <c r="B430" s="15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1"/>
      <c r="B431" s="15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1"/>
      <c r="B432" s="15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1"/>
      <c r="B433" s="15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1"/>
      <c r="B434" s="15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1"/>
      <c r="B435" s="15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1"/>
      <c r="B436" s="15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1"/>
      <c r="B437" s="15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1"/>
      <c r="B438" s="15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1"/>
      <c r="B439" s="15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1"/>
      <c r="B440" s="15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1"/>
      <c r="B441" s="15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1"/>
      <c r="B442" s="15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1"/>
      <c r="B443" s="15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1"/>
      <c r="B444" s="15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1"/>
      <c r="B445" s="15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1"/>
      <c r="B446" s="15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2"/>
      <c r="B447" s="15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3" t="s">
        <v>105</v>
      </c>
      <c r="Y451" s="149"/>
    </row>
    <row r="452" spans="1:25" ht="19.5" thickTop="1" x14ac:dyDescent="0.4">
      <c r="A452" s="150">
        <v>16</v>
      </c>
      <c r="B452" s="14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1"/>
      <c r="B453" s="14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1"/>
      <c r="B454" s="14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1"/>
      <c r="B455" s="14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1"/>
      <c r="B456" s="14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1"/>
      <c r="B457" s="14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1"/>
      <c r="B458" s="14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1"/>
      <c r="B459" s="14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1"/>
      <c r="B460" s="14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1"/>
      <c r="B461" s="14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1"/>
      <c r="B462" s="14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1"/>
      <c r="B463" s="14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1"/>
      <c r="B464" s="14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1"/>
      <c r="B465" s="14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1"/>
      <c r="B466" s="14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1"/>
      <c r="B467" s="14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1"/>
      <c r="B468" s="14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1"/>
      <c r="B469" s="14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1"/>
      <c r="B470" s="14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1"/>
      <c r="B471" s="14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1"/>
      <c r="B472" s="14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1"/>
      <c r="B473" s="14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1"/>
      <c r="B474" s="14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1"/>
      <c r="B475" s="14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2"/>
      <c r="B476" s="14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4" t="s">
        <v>47</v>
      </c>
      <c r="C26" s="16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5"/>
      <c r="C27" s="165"/>
      <c r="D27" s="166">
        <f>SUM(D26:F26)</f>
        <v>116</v>
      </c>
      <c r="E27" s="166"/>
      <c r="F27" s="16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U1779"/>
  <sheetViews>
    <sheetView topLeftCell="A3" zoomScaleNormal="100" workbookViewId="0">
      <selection sqref="A1:D29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6" width="16.625" customWidth="1"/>
    <col min="47" max="47" width="11" customWidth="1"/>
    <col min="48" max="48" width="10.5" style="121" customWidth="1"/>
    <col min="49" max="49" width="10.25" style="121" customWidth="1"/>
    <col min="50" max="50" width="10.875" style="121" customWidth="1"/>
    <col min="51" max="64" width="16.625" customWidth="1"/>
    <col min="65" max="65" width="20.5" customWidth="1"/>
    <col min="70" max="70" width="12.375" customWidth="1"/>
    <col min="71" max="71" width="11.25" customWidth="1"/>
    <col min="72" max="72" width="10.5" customWidth="1"/>
    <col min="73" max="73" width="10.25" customWidth="1"/>
  </cols>
  <sheetData>
    <row r="1" spans="1:69" x14ac:dyDescent="0.4">
      <c r="A1" s="120" t="s">
        <v>198</v>
      </c>
      <c r="B1" s="121"/>
      <c r="C1" s="121"/>
      <c r="D1" s="121"/>
      <c r="N1" t="s">
        <v>143</v>
      </c>
      <c r="O1" t="s">
        <v>144</v>
      </c>
      <c r="AO1" t="s">
        <v>143</v>
      </c>
      <c r="AP1" t="s">
        <v>144</v>
      </c>
      <c r="AU1" s="120"/>
      <c r="BM1" t="s">
        <v>143</v>
      </c>
      <c r="BN1" t="s">
        <v>144</v>
      </c>
    </row>
    <row r="2" spans="1:69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N2" s="25">
        <v>45969</v>
      </c>
      <c r="O2" s="13" t="s">
        <v>146</v>
      </c>
      <c r="AD2" s="127"/>
      <c r="AE2" s="29"/>
      <c r="AO2" s="25">
        <v>45669</v>
      </c>
      <c r="AP2" s="13" t="s">
        <v>147</v>
      </c>
      <c r="AU2" s="116"/>
      <c r="AV2" s="123"/>
      <c r="AW2" s="123"/>
      <c r="AX2" s="123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25">
        <v>45258</v>
      </c>
      <c r="BN2" s="13" t="s">
        <v>162</v>
      </c>
      <c r="BQ2" s="114"/>
    </row>
    <row r="3" spans="1:69" ht="20.100000000000001" customHeight="1" x14ac:dyDescent="0.4">
      <c r="A3" s="117">
        <v>45969</v>
      </c>
      <c r="B3" s="123">
        <v>1</v>
      </c>
      <c r="C3" s="123"/>
      <c r="D3" s="123"/>
      <c r="M3" s="115" t="s">
        <v>373</v>
      </c>
      <c r="N3" s="13">
        <f>SUBTOTAL(3,N2:N2)</f>
        <v>1</v>
      </c>
      <c r="O3" s="13">
        <f>SUBTOTAL(3,O2:O2)</f>
        <v>1</v>
      </c>
      <c r="AD3" s="127"/>
      <c r="AE3" s="29"/>
      <c r="AO3" s="25"/>
      <c r="AP3" s="13"/>
      <c r="AU3" s="116"/>
      <c r="AV3" s="123"/>
      <c r="AW3" s="123"/>
      <c r="AX3" s="123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25"/>
      <c r="BN3" s="13"/>
      <c r="BQ3" s="114"/>
    </row>
    <row r="4" spans="1:69" ht="20.100000000000001" customHeight="1" x14ac:dyDescent="0.4">
      <c r="A4" s="117">
        <v>45970</v>
      </c>
      <c r="B4" s="123"/>
      <c r="C4" s="123">
        <v>2</v>
      </c>
      <c r="D4" s="123"/>
      <c r="L4" s="115"/>
      <c r="M4" s="115"/>
      <c r="N4" s="25">
        <v>45970</v>
      </c>
      <c r="O4" s="13" t="s">
        <v>147</v>
      </c>
      <c r="AD4" s="127"/>
      <c r="AE4" s="29"/>
      <c r="AO4" s="25"/>
      <c r="AP4" s="13"/>
      <c r="AU4" s="116"/>
      <c r="AV4" s="123"/>
      <c r="AW4" s="123"/>
      <c r="AX4" s="123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25"/>
      <c r="BN4" s="13"/>
      <c r="BQ4" s="114"/>
    </row>
    <row r="5" spans="1:69" ht="20.100000000000001" customHeight="1" x14ac:dyDescent="0.4">
      <c r="A5" s="117">
        <v>45971</v>
      </c>
      <c r="B5" s="123">
        <v>1</v>
      </c>
      <c r="C5" s="123">
        <v>2</v>
      </c>
      <c r="D5" s="123"/>
      <c r="J5" s="115"/>
      <c r="K5" s="115"/>
      <c r="L5" s="115"/>
      <c r="M5" s="115"/>
      <c r="N5" s="25">
        <v>45970</v>
      </c>
      <c r="O5" s="13" t="s">
        <v>147</v>
      </c>
      <c r="AD5" s="127"/>
      <c r="AE5" s="29"/>
      <c r="AO5" s="25"/>
      <c r="AP5" s="13"/>
      <c r="AU5" s="116"/>
      <c r="AV5" s="123"/>
      <c r="AW5" s="123"/>
      <c r="AX5" s="123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25"/>
      <c r="BN5" s="13"/>
      <c r="BQ5" s="114"/>
    </row>
    <row r="6" spans="1:69" ht="20.100000000000001" customHeight="1" x14ac:dyDescent="0.4">
      <c r="A6" s="117">
        <v>45972</v>
      </c>
      <c r="B6" s="123"/>
      <c r="C6" s="123">
        <v>1</v>
      </c>
      <c r="D6" s="123"/>
      <c r="J6" s="115"/>
      <c r="K6" s="115"/>
      <c r="L6" s="115"/>
      <c r="M6" s="115" t="s">
        <v>374</v>
      </c>
      <c r="N6" s="13">
        <f>SUBTOTAL(3,N4:N5)</f>
        <v>2</v>
      </c>
      <c r="O6" s="13">
        <f>SUBTOTAL(3,O4:O5)</f>
        <v>2</v>
      </c>
      <c r="AD6" s="127"/>
      <c r="AE6" s="29"/>
      <c r="AO6" s="25"/>
      <c r="AP6" s="13"/>
      <c r="AU6" s="116"/>
      <c r="AV6" s="123"/>
      <c r="AW6" s="123"/>
      <c r="AX6" s="123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25"/>
      <c r="BN6" s="13"/>
      <c r="BQ6" s="114"/>
    </row>
    <row r="7" spans="1:69" ht="20.100000000000001" customHeight="1" x14ac:dyDescent="0.4">
      <c r="A7" s="117">
        <v>45973</v>
      </c>
      <c r="B7" s="123">
        <v>1</v>
      </c>
      <c r="C7" s="123"/>
      <c r="D7" s="123"/>
      <c r="J7" s="115"/>
      <c r="K7" s="115"/>
      <c r="L7" s="115"/>
      <c r="M7" s="115"/>
      <c r="N7" s="25">
        <v>45971</v>
      </c>
      <c r="O7" s="13" t="s">
        <v>147</v>
      </c>
      <c r="AD7" s="127"/>
      <c r="AE7" s="29"/>
      <c r="AO7" s="25"/>
      <c r="AP7" s="13"/>
      <c r="AU7" s="116"/>
      <c r="AV7" s="123"/>
      <c r="AW7" s="123"/>
      <c r="AX7" s="123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25"/>
      <c r="BN7" s="13"/>
      <c r="BQ7" s="114"/>
    </row>
    <row r="8" spans="1:69" ht="20.100000000000001" customHeight="1" x14ac:dyDescent="0.4">
      <c r="A8" s="117">
        <v>45974</v>
      </c>
      <c r="B8" s="123">
        <v>19</v>
      </c>
      <c r="C8" s="123"/>
      <c r="D8" s="123"/>
      <c r="I8" s="115"/>
      <c r="J8" s="115"/>
      <c r="K8" s="115"/>
      <c r="L8" s="115"/>
      <c r="M8" s="115"/>
      <c r="N8" s="25">
        <v>45971</v>
      </c>
      <c r="O8" s="13" t="s">
        <v>142</v>
      </c>
      <c r="AD8" s="127"/>
      <c r="AE8" s="29"/>
      <c r="AO8" s="25"/>
      <c r="AP8" s="13"/>
      <c r="AU8" s="116"/>
      <c r="AV8" s="123"/>
      <c r="AW8" s="123"/>
      <c r="AX8" s="123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25"/>
      <c r="BN8" s="13"/>
      <c r="BQ8" s="114"/>
    </row>
    <row r="9" spans="1:69" ht="20.100000000000001" customHeight="1" x14ac:dyDescent="0.4">
      <c r="A9" s="117">
        <v>45975</v>
      </c>
      <c r="B9" s="123">
        <v>1</v>
      </c>
      <c r="C9" s="123"/>
      <c r="D9" s="123"/>
      <c r="I9" s="115"/>
      <c r="J9" s="115"/>
      <c r="K9" s="115"/>
      <c r="L9" s="115"/>
      <c r="M9" s="115"/>
      <c r="N9" s="25">
        <v>45971</v>
      </c>
      <c r="O9" s="13" t="s">
        <v>147</v>
      </c>
      <c r="AD9" s="127"/>
      <c r="AE9" s="29"/>
      <c r="AO9" s="25"/>
      <c r="AP9" s="13"/>
      <c r="AU9" s="116"/>
      <c r="AV9" s="123"/>
      <c r="AW9" s="123"/>
      <c r="AX9" s="123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25"/>
      <c r="BN9" s="13"/>
      <c r="BQ9" s="114"/>
    </row>
    <row r="10" spans="1:69" ht="20.100000000000001" customHeight="1" x14ac:dyDescent="0.4">
      <c r="A10" s="117">
        <v>45976</v>
      </c>
      <c r="B10" s="123">
        <v>4</v>
      </c>
      <c r="C10" s="123">
        <v>1</v>
      </c>
      <c r="D10" s="123">
        <v>2</v>
      </c>
      <c r="I10" s="115"/>
      <c r="J10" s="115"/>
      <c r="K10" s="115"/>
      <c r="L10" s="115"/>
      <c r="M10" s="115" t="s">
        <v>375</v>
      </c>
      <c r="N10" s="13">
        <f>SUBTOTAL(3,N7:N9)</f>
        <v>3</v>
      </c>
      <c r="O10" s="13">
        <f>SUBTOTAL(3,O7:O9)</f>
        <v>3</v>
      </c>
      <c r="AD10" s="127"/>
      <c r="AE10" s="29"/>
      <c r="AO10" s="25"/>
      <c r="AP10" s="13"/>
      <c r="AU10" s="116"/>
      <c r="AV10" s="123"/>
      <c r="AW10" s="123"/>
      <c r="AX10" s="123"/>
      <c r="BC10" s="115"/>
      <c r="BD10" s="115"/>
      <c r="BE10" s="115"/>
      <c r="BF10" s="115"/>
      <c r="BG10" s="115"/>
      <c r="BH10" s="115"/>
      <c r="BI10" s="115"/>
      <c r="BJ10" s="115"/>
      <c r="BK10" s="115"/>
      <c r="BL10" s="115"/>
      <c r="BM10" s="25"/>
      <c r="BN10" s="13"/>
      <c r="BQ10" s="114"/>
    </row>
    <row r="11" spans="1:69" ht="20.100000000000001" customHeight="1" x14ac:dyDescent="0.4">
      <c r="A11" s="117">
        <v>45977</v>
      </c>
      <c r="B11" s="123">
        <v>11</v>
      </c>
      <c r="C11" s="123">
        <v>18</v>
      </c>
      <c r="D11" s="123">
        <v>7</v>
      </c>
      <c r="H11" s="115"/>
      <c r="I11" s="115"/>
      <c r="J11" s="115"/>
      <c r="K11" s="115"/>
      <c r="L11" s="115"/>
      <c r="M11" s="115"/>
      <c r="N11" s="25">
        <v>45972</v>
      </c>
      <c r="O11" s="13" t="s">
        <v>147</v>
      </c>
      <c r="AD11" s="127"/>
      <c r="AE11" s="29"/>
      <c r="AO11" s="25"/>
      <c r="AP11" s="13"/>
      <c r="AU11" s="116"/>
      <c r="AV11" s="123"/>
      <c r="AW11" s="123"/>
      <c r="AX11" s="123"/>
      <c r="BC11" s="115"/>
      <c r="BD11" s="115"/>
      <c r="BE11" s="115"/>
      <c r="BF11" s="115"/>
      <c r="BG11" s="115"/>
      <c r="BH11" s="115"/>
      <c r="BI11" s="115"/>
      <c r="BJ11" s="115"/>
      <c r="BK11" s="115"/>
      <c r="BL11" s="115"/>
      <c r="BM11" s="25"/>
      <c r="BN11" s="13"/>
      <c r="BQ11" s="114"/>
    </row>
    <row r="12" spans="1:69" ht="20.100000000000001" customHeight="1" x14ac:dyDescent="0.4">
      <c r="A12" s="117">
        <v>45978</v>
      </c>
      <c r="B12" s="123">
        <v>3</v>
      </c>
      <c r="C12" s="123">
        <v>5</v>
      </c>
      <c r="D12" s="123">
        <v>2</v>
      </c>
      <c r="H12" s="115"/>
      <c r="I12" s="115"/>
      <c r="J12" s="115"/>
      <c r="K12" s="115"/>
      <c r="L12" s="115"/>
      <c r="M12" s="115" t="s">
        <v>376</v>
      </c>
      <c r="N12" s="13">
        <f>SUBTOTAL(3,N11:N11)</f>
        <v>1</v>
      </c>
      <c r="O12" s="13">
        <f>SUBTOTAL(3,O11:O11)</f>
        <v>1</v>
      </c>
      <c r="AD12" s="127"/>
      <c r="AE12" s="29"/>
      <c r="AO12" s="25"/>
      <c r="AP12" s="13"/>
      <c r="AU12" s="116"/>
      <c r="AV12" s="123"/>
      <c r="AW12" s="123"/>
      <c r="AX12" s="123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25"/>
      <c r="BN12" s="13"/>
      <c r="BQ12" s="114"/>
    </row>
    <row r="13" spans="1:69" ht="20.100000000000001" customHeight="1" x14ac:dyDescent="0.4">
      <c r="A13" s="117">
        <v>45979</v>
      </c>
      <c r="B13" s="123">
        <v>22</v>
      </c>
      <c r="C13" s="123">
        <v>3</v>
      </c>
      <c r="D13" s="123"/>
      <c r="H13" s="115"/>
      <c r="I13" s="115"/>
      <c r="J13" s="115"/>
      <c r="K13" s="115"/>
      <c r="L13" s="115"/>
      <c r="M13" s="115"/>
      <c r="N13" s="25">
        <v>45973</v>
      </c>
      <c r="O13" s="13" t="s">
        <v>146</v>
      </c>
      <c r="AD13" s="127"/>
      <c r="AE13" s="29"/>
      <c r="AO13" s="25"/>
      <c r="AP13" s="13"/>
      <c r="AU13" s="116"/>
      <c r="AV13" s="123"/>
      <c r="AW13" s="123"/>
      <c r="AX13" s="123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25"/>
      <c r="BN13" s="13"/>
      <c r="BQ13" s="114"/>
    </row>
    <row r="14" spans="1:69" ht="20.100000000000001" customHeight="1" x14ac:dyDescent="0.4">
      <c r="A14" s="117">
        <v>45980</v>
      </c>
      <c r="B14" s="123"/>
      <c r="C14" s="123">
        <v>1</v>
      </c>
      <c r="D14" s="123"/>
      <c r="H14" s="115"/>
      <c r="I14" s="115"/>
      <c r="J14" s="115"/>
      <c r="K14" s="115"/>
      <c r="L14" s="115"/>
      <c r="M14" s="115" t="s">
        <v>377</v>
      </c>
      <c r="N14" s="13">
        <f>SUBTOTAL(3,N13:N13)</f>
        <v>1</v>
      </c>
      <c r="O14" s="13">
        <f>SUBTOTAL(3,O13:O13)</f>
        <v>1</v>
      </c>
      <c r="AD14" s="127"/>
      <c r="AE14" s="29"/>
      <c r="AO14" s="25"/>
      <c r="AP14" s="13"/>
      <c r="AU14" s="116"/>
      <c r="AV14" s="123"/>
      <c r="AW14" s="123"/>
      <c r="AX14" s="123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25"/>
      <c r="BN14" s="13"/>
      <c r="BQ14" s="114"/>
    </row>
    <row r="15" spans="1:69" ht="20.100000000000001" customHeight="1" x14ac:dyDescent="0.4">
      <c r="A15" s="117">
        <v>45984</v>
      </c>
      <c r="B15" s="123">
        <v>1</v>
      </c>
      <c r="C15" s="123">
        <v>3</v>
      </c>
      <c r="D15" s="123"/>
      <c r="H15" s="115"/>
      <c r="I15" s="115"/>
      <c r="J15" s="115"/>
      <c r="K15" s="115"/>
      <c r="L15" s="115"/>
      <c r="M15" s="115"/>
      <c r="N15" s="25">
        <v>45974</v>
      </c>
      <c r="O15" s="13" t="s">
        <v>146</v>
      </c>
      <c r="AD15" s="127"/>
      <c r="AE15" s="29"/>
      <c r="AO15" s="25"/>
      <c r="AP15" s="13"/>
      <c r="AU15" s="116"/>
      <c r="AV15" s="123"/>
      <c r="AW15" s="123"/>
      <c r="AX15" s="123"/>
      <c r="BC15" s="115"/>
      <c r="BD15" s="115"/>
      <c r="BE15" s="115"/>
      <c r="BF15" s="115"/>
      <c r="BG15" s="115"/>
      <c r="BH15" s="115"/>
      <c r="BI15" s="115"/>
      <c r="BJ15" s="115"/>
      <c r="BK15" s="115"/>
      <c r="BL15" s="115"/>
      <c r="BM15" s="25"/>
      <c r="BN15" s="13"/>
      <c r="BQ15" s="114"/>
    </row>
    <row r="16" spans="1:69" ht="20.100000000000001" customHeight="1" x14ac:dyDescent="0.4">
      <c r="A16" s="117">
        <v>45985</v>
      </c>
      <c r="B16" s="123">
        <v>3</v>
      </c>
      <c r="C16" s="123"/>
      <c r="D16" s="123"/>
      <c r="H16" s="115"/>
      <c r="I16" s="115"/>
      <c r="J16" s="115"/>
      <c r="K16" s="115"/>
      <c r="L16" s="115"/>
      <c r="M16" s="115"/>
      <c r="N16" s="25">
        <v>45974</v>
      </c>
      <c r="O16" s="13" t="s">
        <v>146</v>
      </c>
      <c r="AD16" s="127"/>
      <c r="AE16" s="29"/>
      <c r="AO16" s="25"/>
      <c r="AP16" s="13"/>
      <c r="AU16" s="116"/>
      <c r="AV16" s="123"/>
      <c r="AW16" s="123"/>
      <c r="AX16" s="123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25"/>
      <c r="BN16" s="13"/>
      <c r="BQ16" s="114"/>
    </row>
    <row r="17" spans="1:69" ht="20.100000000000001" customHeight="1" x14ac:dyDescent="0.4">
      <c r="A17" s="117">
        <v>45986</v>
      </c>
      <c r="B17" s="123"/>
      <c r="C17" s="123">
        <v>4</v>
      </c>
      <c r="D17" s="123"/>
      <c r="G17" s="115"/>
      <c r="H17" s="115"/>
      <c r="I17" s="115"/>
      <c r="J17" s="115"/>
      <c r="K17" s="115"/>
      <c r="L17" s="115"/>
      <c r="M17" s="115"/>
      <c r="N17" s="25">
        <v>45974</v>
      </c>
      <c r="O17" s="13" t="s">
        <v>146</v>
      </c>
      <c r="AD17" s="127"/>
      <c r="AE17" s="29"/>
      <c r="AO17" s="25"/>
      <c r="AP17" s="13"/>
      <c r="AU17" s="116"/>
      <c r="AV17" s="123"/>
      <c r="AW17" s="123"/>
      <c r="AX17" s="123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25"/>
      <c r="BN17" s="13"/>
      <c r="BQ17" s="114"/>
    </row>
    <row r="18" spans="1:69" ht="20.100000000000001" customHeight="1" x14ac:dyDescent="0.4">
      <c r="A18" s="117">
        <v>45987</v>
      </c>
      <c r="B18" s="123">
        <v>1</v>
      </c>
      <c r="C18" s="123"/>
      <c r="D18" s="123">
        <v>7</v>
      </c>
      <c r="G18" s="115"/>
      <c r="H18" s="115"/>
      <c r="I18" s="115"/>
      <c r="J18" s="115"/>
      <c r="K18" s="115"/>
      <c r="L18" s="115"/>
      <c r="M18" s="115"/>
      <c r="N18" s="25">
        <v>45974</v>
      </c>
      <c r="O18" s="13" t="s">
        <v>146</v>
      </c>
      <c r="AD18" s="127"/>
      <c r="AE18" s="29"/>
      <c r="AO18" s="25"/>
      <c r="AP18" s="13"/>
      <c r="AU18" s="116"/>
      <c r="AV18" s="123"/>
      <c r="AW18" s="123"/>
      <c r="AX18" s="123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25"/>
      <c r="BN18" s="13"/>
      <c r="BQ18" s="114"/>
    </row>
    <row r="19" spans="1:69" ht="20.100000000000001" customHeight="1" x14ac:dyDescent="0.4">
      <c r="A19" s="117">
        <v>45989</v>
      </c>
      <c r="B19" s="123">
        <v>6</v>
      </c>
      <c r="C19" s="123">
        <v>3</v>
      </c>
      <c r="D19" s="123">
        <v>2</v>
      </c>
      <c r="G19" s="115"/>
      <c r="H19" s="115"/>
      <c r="I19" s="115"/>
      <c r="J19" s="115"/>
      <c r="K19" s="115"/>
      <c r="L19" s="115"/>
      <c r="M19" s="115"/>
      <c r="N19" s="25">
        <v>45974</v>
      </c>
      <c r="O19" s="13" t="s">
        <v>146</v>
      </c>
      <c r="AD19" s="127"/>
      <c r="AE19" s="29"/>
      <c r="AO19" s="25"/>
      <c r="AP19" s="13"/>
      <c r="AU19" s="116"/>
      <c r="AV19" s="123"/>
      <c r="AW19" s="123"/>
      <c r="AX19" s="123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25"/>
      <c r="BN19" s="13"/>
      <c r="BQ19" s="114"/>
    </row>
    <row r="20" spans="1:69" ht="20.100000000000001" customHeight="1" x14ac:dyDescent="0.4">
      <c r="A20" s="117">
        <v>45991</v>
      </c>
      <c r="B20" s="123"/>
      <c r="C20" s="123">
        <v>1</v>
      </c>
      <c r="D20" s="123">
        <v>4</v>
      </c>
      <c r="G20" s="115"/>
      <c r="H20" s="115"/>
      <c r="I20" s="115"/>
      <c r="J20" s="115"/>
      <c r="K20" s="115"/>
      <c r="L20" s="115"/>
      <c r="M20" s="115"/>
      <c r="N20" s="25">
        <v>45974</v>
      </c>
      <c r="O20" s="13" t="s">
        <v>146</v>
      </c>
      <c r="AD20" s="127"/>
      <c r="AE20" s="29"/>
      <c r="AO20" s="25"/>
      <c r="AP20" s="13"/>
      <c r="AU20" s="116"/>
      <c r="AV20" s="123"/>
      <c r="AW20" s="123"/>
      <c r="AX20" s="123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25"/>
      <c r="BN20" s="13"/>
      <c r="BQ20" s="114"/>
    </row>
    <row r="21" spans="1:69" ht="20.100000000000001" customHeight="1" x14ac:dyDescent="0.4">
      <c r="A21" s="117">
        <v>45993</v>
      </c>
      <c r="B21" s="123">
        <v>1</v>
      </c>
      <c r="C21" s="123">
        <v>1</v>
      </c>
      <c r="D21" s="123">
        <v>4</v>
      </c>
      <c r="N21" s="25">
        <v>45974</v>
      </c>
      <c r="O21" s="13" t="s">
        <v>146</v>
      </c>
      <c r="AC21" s="115"/>
      <c r="AD21" s="29"/>
      <c r="AE21" s="29"/>
      <c r="AO21" s="25"/>
      <c r="AP21" s="13"/>
      <c r="AU21" s="116"/>
      <c r="AV21" s="123"/>
      <c r="AW21" s="123"/>
      <c r="AX21" s="123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25"/>
      <c r="BN21" s="13"/>
      <c r="BQ21" s="114"/>
    </row>
    <row r="22" spans="1:69" ht="20.100000000000001" customHeight="1" x14ac:dyDescent="0.4">
      <c r="A22" s="117">
        <v>45994</v>
      </c>
      <c r="B22" s="123">
        <v>5</v>
      </c>
      <c r="C22" s="123"/>
      <c r="D22" s="123"/>
      <c r="L22" s="115"/>
      <c r="M22" s="115"/>
      <c r="N22" s="25">
        <v>45974</v>
      </c>
      <c r="O22" s="13" t="s">
        <v>146</v>
      </c>
      <c r="AC22" s="115"/>
      <c r="AD22" s="29"/>
      <c r="AE22" s="29"/>
      <c r="AO22" s="25"/>
      <c r="AP22" s="13"/>
      <c r="AU22" s="116"/>
      <c r="AV22" s="123"/>
      <c r="AW22" s="123"/>
      <c r="AX22" s="123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25"/>
      <c r="BN22" s="13"/>
      <c r="BQ22" s="114"/>
    </row>
    <row r="23" spans="1:69" ht="20.100000000000001" customHeight="1" x14ac:dyDescent="0.4">
      <c r="A23" s="117">
        <v>46004</v>
      </c>
      <c r="B23" s="123"/>
      <c r="C23" s="123">
        <v>1</v>
      </c>
      <c r="D23" s="123"/>
      <c r="I23" s="115"/>
      <c r="J23" s="115"/>
      <c r="K23" s="115"/>
      <c r="L23" s="115"/>
      <c r="M23" s="115"/>
      <c r="N23" s="25">
        <v>45974</v>
      </c>
      <c r="O23" s="13" t="s">
        <v>146</v>
      </c>
      <c r="AC23" s="115"/>
      <c r="AD23" s="29"/>
      <c r="AE23" s="29"/>
      <c r="AO23" s="25"/>
      <c r="AP23" s="13"/>
      <c r="AU23" s="116"/>
      <c r="AV23" s="123"/>
      <c r="AW23" s="123"/>
      <c r="AX23" s="123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25"/>
      <c r="BN23" s="13"/>
      <c r="BQ23" s="114"/>
    </row>
    <row r="24" spans="1:69" ht="20.100000000000001" customHeight="1" x14ac:dyDescent="0.4">
      <c r="A24" s="117">
        <v>46007</v>
      </c>
      <c r="B24" s="123">
        <v>1</v>
      </c>
      <c r="C24" s="123">
        <v>1</v>
      </c>
      <c r="D24" s="123"/>
      <c r="I24" s="115"/>
      <c r="J24" s="115"/>
      <c r="K24" s="115"/>
      <c r="L24" s="115"/>
      <c r="M24" s="115"/>
      <c r="N24" s="25">
        <v>45974</v>
      </c>
      <c r="O24" s="13" t="s">
        <v>146</v>
      </c>
      <c r="AC24" s="115"/>
      <c r="AD24" s="29"/>
      <c r="AE24" s="29"/>
      <c r="AO24" s="25"/>
      <c r="AP24" s="13"/>
      <c r="AU24" s="116"/>
      <c r="AV24" s="123"/>
      <c r="AW24" s="123"/>
      <c r="AX24" s="123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25"/>
      <c r="BN24" s="13"/>
      <c r="BQ24" s="114"/>
    </row>
    <row r="25" spans="1:69" ht="20.100000000000001" customHeight="1" x14ac:dyDescent="0.4">
      <c r="A25" s="117">
        <v>46009</v>
      </c>
      <c r="B25" s="123"/>
      <c r="C25" s="123">
        <v>1</v>
      </c>
      <c r="D25" s="123"/>
      <c r="G25" s="115"/>
      <c r="H25" s="115"/>
      <c r="I25" s="115"/>
      <c r="J25" s="115"/>
      <c r="K25" s="115"/>
      <c r="L25" s="115"/>
      <c r="M25" s="115"/>
      <c r="N25" s="25">
        <v>45974</v>
      </c>
      <c r="O25" s="13" t="s">
        <v>146</v>
      </c>
      <c r="AC25" s="115"/>
      <c r="AD25" s="29"/>
      <c r="AE25" s="29"/>
      <c r="AO25" s="25"/>
      <c r="AP25" s="13"/>
      <c r="AU25" s="116"/>
      <c r="AV25" s="123"/>
      <c r="AW25" s="123"/>
      <c r="AX25" s="123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25"/>
      <c r="BN25" s="13"/>
      <c r="BQ25" s="114"/>
    </row>
    <row r="26" spans="1:69" ht="20.100000000000001" customHeight="1" x14ac:dyDescent="0.4">
      <c r="A26" s="117">
        <v>46012</v>
      </c>
      <c r="B26" s="123"/>
      <c r="C26" s="123">
        <v>2</v>
      </c>
      <c r="D26" s="123"/>
      <c r="G26" s="115"/>
      <c r="H26" s="115"/>
      <c r="I26" s="115"/>
      <c r="J26" s="115"/>
      <c r="K26" s="115"/>
      <c r="L26" s="115"/>
      <c r="M26" s="115"/>
      <c r="N26" s="25">
        <v>45974</v>
      </c>
      <c r="O26" s="13" t="s">
        <v>146</v>
      </c>
      <c r="AC26" s="115"/>
      <c r="AD26" s="29"/>
      <c r="AE26" s="29"/>
      <c r="AO26" s="25"/>
      <c r="AP26" s="13"/>
      <c r="AU26" s="116"/>
      <c r="AV26" s="123"/>
      <c r="AW26" s="123"/>
      <c r="AX26" s="123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25"/>
      <c r="BN26" s="13"/>
      <c r="BQ26" s="114"/>
    </row>
    <row r="27" spans="1:69" ht="20.100000000000001" customHeight="1" x14ac:dyDescent="0.4">
      <c r="A27" s="117">
        <v>46016</v>
      </c>
      <c r="B27" s="123"/>
      <c r="C27" s="123">
        <v>2</v>
      </c>
      <c r="D27" s="123"/>
      <c r="G27" s="115"/>
      <c r="H27" s="115"/>
      <c r="I27" s="115"/>
      <c r="J27" s="115"/>
      <c r="K27" s="115"/>
      <c r="L27" s="115"/>
      <c r="M27" s="115"/>
      <c r="N27" s="25">
        <v>45974</v>
      </c>
      <c r="O27" s="13" t="s">
        <v>146</v>
      </c>
      <c r="AC27" s="115"/>
      <c r="AD27" s="29"/>
      <c r="AE27" s="29"/>
      <c r="AO27" s="25"/>
      <c r="AP27" s="13"/>
      <c r="AU27" s="116"/>
      <c r="AV27" s="123"/>
      <c r="AW27" s="123"/>
      <c r="AX27" s="123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25"/>
      <c r="BN27" s="13"/>
      <c r="BQ27" s="114"/>
    </row>
    <row r="28" spans="1:69" ht="20.100000000000001" customHeight="1" x14ac:dyDescent="0.4">
      <c r="A28" s="117"/>
      <c r="B28" s="123">
        <f>SUM(B3:B27)</f>
        <v>81</v>
      </c>
      <c r="C28" s="123">
        <f>SUM(C3:C27)</f>
        <v>52</v>
      </c>
      <c r="D28" s="123">
        <f>SUM(D3:D27)</f>
        <v>28</v>
      </c>
      <c r="G28" s="115"/>
      <c r="H28" s="115"/>
      <c r="I28" s="115"/>
      <c r="J28" s="115"/>
      <c r="K28" s="115"/>
      <c r="L28" s="115"/>
      <c r="M28" s="115"/>
      <c r="N28" s="25">
        <v>45974</v>
      </c>
      <c r="O28" s="13" t="s">
        <v>146</v>
      </c>
      <c r="AC28" s="115"/>
      <c r="AD28" s="29"/>
      <c r="AE28" s="29"/>
      <c r="AO28" s="25"/>
      <c r="AP28" s="13"/>
      <c r="AU28" s="116"/>
      <c r="AV28" s="123"/>
      <c r="AW28" s="123"/>
      <c r="AX28" s="123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25"/>
      <c r="BN28" s="13"/>
      <c r="BQ28" s="114"/>
    </row>
    <row r="29" spans="1:69" ht="20.100000000000001" customHeight="1" x14ac:dyDescent="0.4">
      <c r="A29" s="117"/>
      <c r="B29" s="123"/>
      <c r="C29" s="123"/>
      <c r="D29" s="123">
        <f>SUM(B28:D28)</f>
        <v>161</v>
      </c>
      <c r="G29" s="115"/>
      <c r="H29" s="115"/>
      <c r="I29" s="115"/>
      <c r="J29" s="115"/>
      <c r="K29" s="115"/>
      <c r="L29" s="115"/>
      <c r="M29" s="115"/>
      <c r="N29" s="25">
        <v>45974</v>
      </c>
      <c r="O29" s="13" t="s">
        <v>146</v>
      </c>
      <c r="AC29" s="115"/>
      <c r="AD29" s="29"/>
      <c r="AE29" s="29"/>
      <c r="AO29" s="25"/>
      <c r="AP29" s="13"/>
      <c r="AU29" s="116"/>
      <c r="AV29" s="123"/>
      <c r="AW29" s="123"/>
      <c r="AX29" s="123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25"/>
      <c r="BN29" s="13"/>
      <c r="BQ29" s="114"/>
    </row>
    <row r="30" spans="1:69" ht="20.100000000000001" customHeight="1" x14ac:dyDescent="0.4">
      <c r="A30" s="117"/>
      <c r="B30" s="123"/>
      <c r="C30" s="123"/>
      <c r="D30" s="123"/>
      <c r="G30" s="115"/>
      <c r="H30" s="115"/>
      <c r="I30" s="115"/>
      <c r="J30" s="115"/>
      <c r="K30" s="115"/>
      <c r="L30" s="115"/>
      <c r="M30" s="115"/>
      <c r="N30" s="25">
        <v>45974</v>
      </c>
      <c r="O30" s="13" t="s">
        <v>147</v>
      </c>
      <c r="AC30" s="115"/>
      <c r="AD30" s="29"/>
      <c r="AE30" s="29"/>
      <c r="AO30" s="25"/>
      <c r="AP30" s="13"/>
      <c r="AU30" s="116"/>
      <c r="AV30" s="123"/>
      <c r="AW30" s="123"/>
      <c r="AX30" s="123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25"/>
      <c r="BN30" s="13"/>
      <c r="BQ30" s="114"/>
    </row>
    <row r="31" spans="1:69" ht="20.100000000000001" customHeight="1" x14ac:dyDescent="0.4">
      <c r="A31" s="117"/>
      <c r="B31" s="123"/>
      <c r="C31" s="123"/>
      <c r="D31" s="123"/>
      <c r="G31" s="115"/>
      <c r="H31" s="115"/>
      <c r="I31" s="115"/>
      <c r="J31" s="115"/>
      <c r="K31" s="115"/>
      <c r="L31" s="115"/>
      <c r="M31" s="115"/>
      <c r="N31" s="25">
        <v>45974</v>
      </c>
      <c r="O31" s="13" t="s">
        <v>146</v>
      </c>
      <c r="AC31" s="115"/>
      <c r="AD31" s="29"/>
      <c r="AE31" s="29"/>
      <c r="AO31" s="25"/>
      <c r="AP31" s="13"/>
      <c r="AU31" s="116"/>
      <c r="AV31" s="123"/>
      <c r="AW31" s="123"/>
      <c r="AX31" s="123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25"/>
      <c r="BN31" s="13"/>
      <c r="BQ31" s="114"/>
    </row>
    <row r="32" spans="1:69" ht="20.100000000000001" customHeight="1" x14ac:dyDescent="0.4">
      <c r="A32" s="117"/>
      <c r="B32" s="123"/>
      <c r="C32" s="123"/>
      <c r="D32" s="123"/>
      <c r="G32" s="115"/>
      <c r="H32" s="115"/>
      <c r="I32" s="115"/>
      <c r="J32" s="115"/>
      <c r="K32" s="115"/>
      <c r="L32" s="115"/>
      <c r="M32" s="115"/>
      <c r="N32" s="25">
        <v>45974</v>
      </c>
      <c r="O32" s="13" t="s">
        <v>146</v>
      </c>
      <c r="AC32" s="115"/>
      <c r="AD32" s="29"/>
      <c r="AE32" s="29"/>
      <c r="AO32" s="25"/>
      <c r="AP32" s="13"/>
      <c r="AU32" s="116"/>
      <c r="AV32" s="123"/>
      <c r="AW32" s="123"/>
      <c r="AX32" s="123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25"/>
      <c r="BN32" s="13"/>
      <c r="BQ32" s="114"/>
    </row>
    <row r="33" spans="1:69" ht="20.100000000000001" customHeight="1" x14ac:dyDescent="0.4">
      <c r="A33" s="117"/>
      <c r="B33" s="123"/>
      <c r="C33" s="123"/>
      <c r="D33" s="123"/>
      <c r="N33" s="25">
        <v>45974</v>
      </c>
      <c r="O33" s="13" t="s">
        <v>146</v>
      </c>
      <c r="AA33" s="115"/>
      <c r="AB33" s="115"/>
      <c r="AC33" s="115"/>
      <c r="AD33" s="127"/>
      <c r="AE33" s="29"/>
      <c r="AO33" s="25"/>
      <c r="AP33" s="13"/>
      <c r="AU33" s="116"/>
      <c r="AV33" s="123"/>
      <c r="AW33" s="123"/>
      <c r="AX33" s="123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25"/>
      <c r="BN33" s="13"/>
      <c r="BQ33" s="114"/>
    </row>
    <row r="34" spans="1:69" ht="20.100000000000001" customHeight="1" x14ac:dyDescent="0.4">
      <c r="A34" s="117"/>
      <c r="B34" s="123"/>
      <c r="C34" s="123"/>
      <c r="D34" s="123"/>
      <c r="M34" s="115" t="s">
        <v>378</v>
      </c>
      <c r="N34" s="13">
        <f>SUBTOTAL(3,N15:N33)</f>
        <v>19</v>
      </c>
      <c r="O34" s="13">
        <f>SUBTOTAL(3,O15:O33)</f>
        <v>19</v>
      </c>
      <c r="AA34" s="115"/>
      <c r="AB34" s="115"/>
      <c r="AC34" s="115"/>
      <c r="AD34" s="127"/>
      <c r="AE34" s="29"/>
      <c r="AO34" s="25"/>
      <c r="AP34" s="13"/>
      <c r="AU34" s="116"/>
      <c r="AV34" s="123"/>
      <c r="AW34" s="123"/>
      <c r="AX34" s="123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25"/>
      <c r="BN34" s="13"/>
      <c r="BQ34" s="114"/>
    </row>
    <row r="35" spans="1:69" ht="20.100000000000001" customHeight="1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45975</v>
      </c>
      <c r="O35" s="13" t="s">
        <v>146</v>
      </c>
      <c r="AA35" s="115"/>
      <c r="AB35" s="115"/>
      <c r="AC35" s="115"/>
      <c r="AD35" s="127"/>
      <c r="AE35" s="29"/>
      <c r="AO35" s="25"/>
      <c r="AP35" s="13"/>
      <c r="AU35" s="116"/>
      <c r="AV35" s="123"/>
      <c r="AW35" s="123"/>
      <c r="AX35" s="123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25"/>
      <c r="BN35" s="13"/>
      <c r="BQ35" s="114"/>
    </row>
    <row r="36" spans="1:69" ht="20.100000000000001" customHeight="1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 t="s">
        <v>379</v>
      </c>
      <c r="N36" s="13">
        <f>SUBTOTAL(3,N35:N35)</f>
        <v>1</v>
      </c>
      <c r="O36" s="13">
        <f>SUBTOTAL(3,O35:O35)</f>
        <v>1</v>
      </c>
      <c r="AA36" s="115"/>
      <c r="AB36" s="115"/>
      <c r="AC36" s="115"/>
      <c r="AD36" s="127"/>
      <c r="AE36" s="29"/>
      <c r="AO36" s="25"/>
      <c r="AP36" s="13"/>
      <c r="AU36" s="116"/>
      <c r="AV36" s="123"/>
      <c r="AW36" s="123"/>
      <c r="AX36" s="123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25"/>
      <c r="BN36" s="13"/>
      <c r="BQ36" s="114"/>
    </row>
    <row r="37" spans="1:69" ht="20.100000000000001" customHeight="1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45976</v>
      </c>
      <c r="O37" s="15" t="s">
        <v>146</v>
      </c>
      <c r="AA37" s="115"/>
      <c r="AB37" s="115"/>
      <c r="AC37" s="115"/>
      <c r="AD37" s="127"/>
      <c r="AE37" s="29"/>
      <c r="AO37" s="25"/>
      <c r="AP37" s="13"/>
      <c r="AU37" s="116"/>
      <c r="AV37" s="123"/>
      <c r="AW37" s="123"/>
      <c r="AX37" s="123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25"/>
      <c r="BN37" s="13"/>
      <c r="BQ37" s="114"/>
    </row>
    <row r="38" spans="1:69" ht="20.100000000000001" customHeight="1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45976</v>
      </c>
      <c r="O38" s="15" t="s">
        <v>142</v>
      </c>
      <c r="AA38" s="115"/>
      <c r="AB38" s="115"/>
      <c r="AC38" s="115"/>
      <c r="AD38" s="127"/>
      <c r="AE38" s="29"/>
      <c r="AO38" s="25"/>
      <c r="AP38" s="13"/>
      <c r="AU38" s="116"/>
      <c r="AV38" s="123"/>
      <c r="AW38" s="123"/>
      <c r="AX38" s="123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25"/>
      <c r="BN38" s="13"/>
      <c r="BQ38" s="114"/>
    </row>
    <row r="39" spans="1:69" ht="20.100000000000001" customHeight="1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6">
        <v>45976</v>
      </c>
      <c r="O39" s="15" t="s">
        <v>148</v>
      </c>
      <c r="AA39" s="115"/>
      <c r="AB39" s="115"/>
      <c r="AC39" s="115"/>
      <c r="AD39" s="127"/>
      <c r="AE39" s="29"/>
      <c r="AO39" s="25"/>
      <c r="AP39" s="13"/>
      <c r="AU39" s="116"/>
      <c r="AV39" s="123"/>
      <c r="AW39" s="123"/>
      <c r="AX39" s="123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25"/>
      <c r="BN39" s="13"/>
      <c r="BQ39" s="114"/>
    </row>
    <row r="40" spans="1:69" ht="20.100000000000001" customHeight="1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6">
        <v>45976</v>
      </c>
      <c r="O40" s="15" t="s">
        <v>146</v>
      </c>
      <c r="AA40" s="115"/>
      <c r="AB40" s="115"/>
      <c r="AC40" s="115"/>
      <c r="AD40" s="127"/>
      <c r="AE40" s="29"/>
      <c r="AO40" s="25"/>
      <c r="AP40" s="13"/>
      <c r="AU40" s="116"/>
      <c r="AV40" s="123"/>
      <c r="AW40" s="123"/>
      <c r="AX40" s="123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25"/>
      <c r="BN40" s="13"/>
      <c r="BQ40" s="114"/>
    </row>
    <row r="41" spans="1:69" ht="20.100000000000001" customHeight="1" x14ac:dyDescent="0.4">
      <c r="A41" s="117"/>
      <c r="B41" s="123"/>
      <c r="C41" s="123"/>
      <c r="D41" s="123"/>
      <c r="N41" s="26">
        <v>45976</v>
      </c>
      <c r="O41" s="15" t="s">
        <v>148</v>
      </c>
      <c r="AA41" s="115"/>
      <c r="AB41" s="115"/>
      <c r="AC41" s="115"/>
      <c r="AD41" s="29"/>
      <c r="AE41" s="29"/>
      <c r="AO41" s="25"/>
      <c r="AP41" s="13"/>
      <c r="AU41" s="116"/>
      <c r="AV41" s="123"/>
      <c r="AW41" s="123"/>
      <c r="AX41" s="123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25"/>
      <c r="BN41" s="13"/>
      <c r="BQ41" s="114"/>
    </row>
    <row r="42" spans="1:69" ht="20.100000000000001" customHeight="1" x14ac:dyDescent="0.4">
      <c r="A42" s="117"/>
      <c r="B42" s="123"/>
      <c r="C42" s="123"/>
      <c r="D42" s="123"/>
      <c r="N42" s="26">
        <v>45976</v>
      </c>
      <c r="O42" s="15" t="s">
        <v>146</v>
      </c>
      <c r="Z42" s="115"/>
      <c r="AA42" s="115"/>
      <c r="AB42" s="115"/>
      <c r="AC42" s="115"/>
      <c r="AD42" s="127"/>
      <c r="AE42" s="29"/>
      <c r="AO42" s="25"/>
      <c r="AP42" s="13"/>
      <c r="AU42" s="116"/>
      <c r="AV42" s="123"/>
      <c r="AW42" s="123"/>
      <c r="AX42" s="123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25"/>
      <c r="BN42" s="13"/>
      <c r="BQ42" s="114"/>
    </row>
    <row r="43" spans="1:69" ht="20.100000000000001" customHeight="1" x14ac:dyDescent="0.4">
      <c r="A43" s="117"/>
      <c r="B43" s="123"/>
      <c r="C43" s="123"/>
      <c r="D43" s="123"/>
      <c r="G43" s="115"/>
      <c r="H43" s="115"/>
      <c r="I43" s="115"/>
      <c r="J43" s="115"/>
      <c r="K43" s="115"/>
      <c r="L43" s="115"/>
      <c r="M43" s="115"/>
      <c r="N43" s="26">
        <v>45976</v>
      </c>
      <c r="O43" s="15" t="s">
        <v>147</v>
      </c>
      <c r="Z43" s="115"/>
      <c r="AA43" s="115"/>
      <c r="AB43" s="115"/>
      <c r="AC43" s="115"/>
      <c r="AD43" s="127"/>
      <c r="AE43" s="29"/>
      <c r="AO43" s="25"/>
      <c r="AP43" s="13"/>
      <c r="AU43" s="116"/>
      <c r="AV43" s="123"/>
      <c r="AW43" s="123"/>
      <c r="AX43" s="123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25"/>
      <c r="BN43" s="13"/>
      <c r="BQ43" s="114"/>
    </row>
    <row r="44" spans="1:69" ht="20.100000000000001" customHeight="1" x14ac:dyDescent="0.4">
      <c r="A44" s="117"/>
      <c r="B44" s="123"/>
      <c r="C44" s="123"/>
      <c r="D44" s="123"/>
      <c r="G44" s="115"/>
      <c r="H44" s="115"/>
      <c r="I44" s="115"/>
      <c r="J44" s="115"/>
      <c r="K44" s="115"/>
      <c r="L44" s="115"/>
      <c r="M44" s="115" t="s">
        <v>380</v>
      </c>
      <c r="N44" s="17">
        <f>SUBTOTAL(3,N37:N43)</f>
        <v>7</v>
      </c>
      <c r="O44" s="15">
        <f>SUBTOTAL(3,O37:O43)</f>
        <v>7</v>
      </c>
      <c r="Z44" s="115"/>
      <c r="AA44" s="115"/>
      <c r="AB44" s="115"/>
      <c r="AC44" s="115"/>
      <c r="AD44" s="127"/>
      <c r="AE44" s="29"/>
      <c r="AO44" s="25"/>
      <c r="AP44" s="13"/>
      <c r="AU44" s="116"/>
      <c r="AV44" s="123"/>
      <c r="AW44" s="123"/>
      <c r="AX44" s="123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25"/>
      <c r="BN44" s="13"/>
      <c r="BQ44" s="114"/>
    </row>
    <row r="45" spans="1:69" ht="20.100000000000001" customHeight="1" x14ac:dyDescent="0.4">
      <c r="A45" s="117"/>
      <c r="B45" s="123"/>
      <c r="C45" s="123"/>
      <c r="D45" s="123"/>
      <c r="G45" s="115"/>
      <c r="H45" s="115"/>
      <c r="I45" s="115"/>
      <c r="J45" s="115"/>
      <c r="K45" s="115"/>
      <c r="L45" s="115"/>
      <c r="M45" s="115"/>
      <c r="N45" s="26">
        <v>45977</v>
      </c>
      <c r="O45" s="15" t="s">
        <v>147</v>
      </c>
      <c r="Z45" s="115"/>
      <c r="AA45" s="115"/>
      <c r="AB45" s="115"/>
      <c r="AC45" s="115"/>
      <c r="AD45" s="127"/>
      <c r="AE45" s="29"/>
      <c r="AO45" s="25"/>
      <c r="AP45" s="13"/>
      <c r="AU45" s="116"/>
      <c r="AV45" s="123"/>
      <c r="AW45" s="123"/>
      <c r="AX45" s="123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25"/>
      <c r="BN45" s="13"/>
      <c r="BQ45" s="114"/>
    </row>
    <row r="46" spans="1:69" ht="20.100000000000001" customHeight="1" x14ac:dyDescent="0.4">
      <c r="A46" s="117"/>
      <c r="B46" s="123"/>
      <c r="C46" s="123"/>
      <c r="D46" s="123"/>
      <c r="G46" s="115"/>
      <c r="H46" s="115"/>
      <c r="I46" s="115"/>
      <c r="J46" s="115"/>
      <c r="K46" s="115"/>
      <c r="L46" s="115"/>
      <c r="M46" s="115"/>
      <c r="N46" s="25">
        <v>45977</v>
      </c>
      <c r="O46" s="13" t="s">
        <v>146</v>
      </c>
      <c r="Z46" s="115"/>
      <c r="AA46" s="115"/>
      <c r="AB46" s="115"/>
      <c r="AC46" s="115"/>
      <c r="AD46" s="127"/>
      <c r="AE46" s="29"/>
      <c r="AO46" s="25"/>
      <c r="AP46" s="13"/>
      <c r="AU46" s="116"/>
      <c r="AV46" s="123"/>
      <c r="AW46" s="123"/>
      <c r="AX46" s="123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25"/>
      <c r="BN46" s="13"/>
      <c r="BQ46" s="114"/>
    </row>
    <row r="47" spans="1:69" ht="20.100000000000001" customHeight="1" x14ac:dyDescent="0.4">
      <c r="A47" s="117"/>
      <c r="B47" s="123"/>
      <c r="C47" s="123"/>
      <c r="D47" s="123"/>
      <c r="G47" s="115"/>
      <c r="H47" s="115"/>
      <c r="I47" s="115"/>
      <c r="J47" s="115"/>
      <c r="K47" s="115"/>
      <c r="L47" s="115"/>
      <c r="M47" s="115"/>
      <c r="N47" s="25">
        <v>45977</v>
      </c>
      <c r="O47" s="13" t="s">
        <v>147</v>
      </c>
      <c r="Z47" s="115"/>
      <c r="AA47" s="115"/>
      <c r="AB47" s="115"/>
      <c r="AC47" s="115"/>
      <c r="AD47" s="127"/>
      <c r="AE47" s="29"/>
      <c r="AO47" s="25"/>
      <c r="AP47" s="13"/>
      <c r="AU47" s="116"/>
      <c r="AV47" s="123"/>
      <c r="AW47" s="123"/>
      <c r="AX47" s="123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25"/>
      <c r="BN47" s="13"/>
      <c r="BQ47" s="114"/>
    </row>
    <row r="48" spans="1:69" ht="20.100000000000001" customHeight="1" x14ac:dyDescent="0.4">
      <c r="A48" s="117"/>
      <c r="B48" s="123"/>
      <c r="C48" s="123"/>
      <c r="D48" s="123"/>
      <c r="G48" s="115"/>
      <c r="H48" s="115"/>
      <c r="I48" s="115"/>
      <c r="J48" s="115"/>
      <c r="K48" s="115"/>
      <c r="L48" s="115"/>
      <c r="M48" s="115"/>
      <c r="N48" s="25">
        <v>45977</v>
      </c>
      <c r="O48" s="13" t="s">
        <v>146</v>
      </c>
      <c r="Z48" s="115"/>
      <c r="AA48" s="115"/>
      <c r="AB48" s="115"/>
      <c r="AC48" s="115"/>
      <c r="AD48" s="127"/>
      <c r="AE48" s="29"/>
      <c r="AO48" s="25"/>
      <c r="AP48" s="13"/>
      <c r="AU48" s="116"/>
      <c r="AV48" s="123"/>
      <c r="AW48" s="123"/>
      <c r="AX48" s="123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25"/>
      <c r="BN48" s="13"/>
      <c r="BQ48" s="114"/>
    </row>
    <row r="49" spans="1:69" ht="20.100000000000001" customHeight="1" x14ac:dyDescent="0.4">
      <c r="A49" s="117"/>
      <c r="B49" s="123"/>
      <c r="C49" s="123"/>
      <c r="D49" s="123"/>
      <c r="N49" s="25">
        <v>45977</v>
      </c>
      <c r="O49" s="13" t="s">
        <v>146</v>
      </c>
      <c r="Z49" s="115"/>
      <c r="AA49" s="115"/>
      <c r="AB49" s="115"/>
      <c r="AC49" s="115"/>
      <c r="AD49" s="29"/>
      <c r="AE49" s="29"/>
      <c r="AO49" s="25"/>
      <c r="AP49" s="13"/>
      <c r="AU49" s="116"/>
      <c r="AV49" s="123"/>
      <c r="AW49" s="123"/>
      <c r="AX49" s="123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25"/>
      <c r="BN49" s="13"/>
      <c r="BQ49" s="114"/>
    </row>
    <row r="50" spans="1:69" ht="20.100000000000001" customHeight="1" x14ac:dyDescent="0.4">
      <c r="A50" s="117"/>
      <c r="B50" s="123"/>
      <c r="C50" s="123"/>
      <c r="D50" s="123"/>
      <c r="G50" s="115"/>
      <c r="H50" s="115"/>
      <c r="I50" s="115"/>
      <c r="J50" s="115"/>
      <c r="K50" s="115"/>
      <c r="L50" s="115"/>
      <c r="M50" s="115"/>
      <c r="N50" s="25">
        <v>45977</v>
      </c>
      <c r="O50" s="13" t="s">
        <v>148</v>
      </c>
      <c r="Z50" s="115"/>
      <c r="AA50" s="115"/>
      <c r="AB50" s="115"/>
      <c r="AC50" s="115"/>
      <c r="AD50" s="29"/>
      <c r="AE50" s="29"/>
      <c r="AO50" s="25"/>
      <c r="AP50" s="13"/>
      <c r="AU50" s="116"/>
      <c r="AV50" s="123"/>
      <c r="AW50" s="123"/>
      <c r="AX50" s="123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25"/>
      <c r="BN50" s="13"/>
      <c r="BQ50" s="114"/>
    </row>
    <row r="51" spans="1:69" ht="20.100000000000001" customHeight="1" x14ac:dyDescent="0.4">
      <c r="A51" s="117"/>
      <c r="B51" s="139"/>
      <c r="C51" s="123"/>
      <c r="D51" s="123"/>
      <c r="G51" s="115"/>
      <c r="H51" s="115"/>
      <c r="I51" s="115"/>
      <c r="J51" s="115"/>
      <c r="K51" s="115"/>
      <c r="L51" s="115"/>
      <c r="M51" s="115"/>
      <c r="N51" s="25">
        <v>45977</v>
      </c>
      <c r="O51" s="13" t="s">
        <v>146</v>
      </c>
      <c r="Z51" s="115"/>
      <c r="AA51" s="115"/>
      <c r="AB51" s="115"/>
      <c r="AC51" s="115"/>
      <c r="AD51" s="29"/>
      <c r="AE51" s="29"/>
      <c r="AO51" s="25"/>
      <c r="AP51" s="13"/>
      <c r="AU51" s="116"/>
      <c r="AV51" s="123"/>
      <c r="AW51" s="123"/>
      <c r="AX51" s="123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25"/>
      <c r="BN51" s="13"/>
      <c r="BQ51" s="114"/>
    </row>
    <row r="52" spans="1:69" ht="20.100000000000001" customHeight="1" x14ac:dyDescent="0.4">
      <c r="A52" s="117"/>
      <c r="B52" s="123"/>
      <c r="C52" s="123"/>
      <c r="D52" s="123"/>
      <c r="N52" s="25">
        <v>45977</v>
      </c>
      <c r="O52" s="13" t="s">
        <v>148</v>
      </c>
      <c r="Z52" s="115"/>
      <c r="AA52" s="115"/>
      <c r="AB52" s="115"/>
      <c r="AC52" s="115"/>
      <c r="AD52" s="127"/>
      <c r="AE52" s="29"/>
      <c r="AO52" s="25"/>
      <c r="AP52" s="13"/>
      <c r="AU52" s="116"/>
      <c r="AV52" s="123"/>
      <c r="AW52" s="123"/>
      <c r="AX52" s="123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25"/>
      <c r="BN52" s="13"/>
      <c r="BQ52" s="114"/>
    </row>
    <row r="53" spans="1:69" ht="20.100000000000001" customHeight="1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25">
        <v>45977</v>
      </c>
      <c r="O53" s="13" t="s">
        <v>146</v>
      </c>
      <c r="Z53" s="115"/>
      <c r="AA53" s="115"/>
      <c r="AB53" s="115"/>
      <c r="AC53" s="115"/>
      <c r="AD53" s="127"/>
      <c r="AE53" s="29"/>
      <c r="AO53" s="25"/>
      <c r="AP53" s="13"/>
      <c r="AU53" s="116"/>
      <c r="AV53" s="123"/>
      <c r="AW53" s="123"/>
      <c r="AX53" s="123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25"/>
      <c r="BN53" s="13"/>
      <c r="BQ53" s="114"/>
    </row>
    <row r="54" spans="1:69" ht="20.100000000000001" customHeight="1" x14ac:dyDescent="0.4">
      <c r="A54" s="117"/>
      <c r="B54" s="123"/>
      <c r="C54" s="123"/>
      <c r="D54" s="123"/>
      <c r="N54" s="25">
        <v>45977</v>
      </c>
      <c r="O54" s="13" t="s">
        <v>146</v>
      </c>
      <c r="Z54" s="115"/>
      <c r="AA54" s="115"/>
      <c r="AB54" s="115"/>
      <c r="AC54" s="115"/>
      <c r="AD54" s="29"/>
      <c r="AE54" s="29"/>
      <c r="AO54" s="25"/>
      <c r="AP54" s="13"/>
      <c r="AU54" s="116"/>
      <c r="AV54" s="123"/>
      <c r="AW54" s="123"/>
      <c r="AX54" s="123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25"/>
      <c r="BN54" s="13"/>
      <c r="BQ54" s="114"/>
    </row>
    <row r="55" spans="1:69" ht="20.100000000000001" customHeight="1" x14ac:dyDescent="0.4">
      <c r="A55" s="117"/>
      <c r="B55" s="123"/>
      <c r="C55" s="123"/>
      <c r="D55" s="123"/>
      <c r="N55" s="25">
        <v>45977</v>
      </c>
      <c r="O55" s="13" t="s">
        <v>146</v>
      </c>
      <c r="Y55" s="115"/>
      <c r="Z55" s="115"/>
      <c r="AA55" s="115"/>
      <c r="AB55" s="115"/>
      <c r="AC55" s="115"/>
      <c r="AD55" s="127"/>
      <c r="AE55" s="29"/>
      <c r="AO55" s="25"/>
      <c r="AP55" s="13"/>
      <c r="AU55" s="116"/>
      <c r="AV55" s="123"/>
      <c r="AW55" s="123"/>
      <c r="AX55" s="123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25"/>
      <c r="BN55" s="13"/>
      <c r="BQ55" s="114"/>
    </row>
    <row r="56" spans="1:69" ht="20.100000000000001" customHeight="1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45977</v>
      </c>
      <c r="O56" s="13" t="s">
        <v>146</v>
      </c>
      <c r="Y56" s="115"/>
      <c r="Z56" s="115"/>
      <c r="AA56" s="115"/>
      <c r="AB56" s="115"/>
      <c r="AC56" s="115"/>
      <c r="AD56" s="127"/>
      <c r="AE56" s="29"/>
      <c r="AO56" s="25"/>
      <c r="AP56" s="13"/>
      <c r="AU56" s="116"/>
      <c r="AV56" s="123"/>
      <c r="AW56" s="123"/>
      <c r="AX56" s="123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25"/>
      <c r="BN56" s="13"/>
      <c r="BQ56" s="114"/>
    </row>
    <row r="57" spans="1:69" ht="20.100000000000001" customHeight="1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25">
        <v>45977</v>
      </c>
      <c r="O57" s="13" t="s">
        <v>148</v>
      </c>
      <c r="Y57" s="115"/>
      <c r="Z57" s="115"/>
      <c r="AA57" s="115"/>
      <c r="AB57" s="115"/>
      <c r="AC57" s="115"/>
      <c r="AD57" s="127"/>
      <c r="AE57" s="29"/>
      <c r="AO57" s="25"/>
      <c r="AP57" s="13"/>
      <c r="AU57" s="116"/>
      <c r="AV57" s="123"/>
      <c r="AW57" s="123"/>
      <c r="AX57" s="123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25"/>
      <c r="BN57" s="13"/>
      <c r="BQ57" s="114"/>
    </row>
    <row r="58" spans="1:69" ht="20.100000000000001" customHeight="1" x14ac:dyDescent="0.4">
      <c r="A58" s="117"/>
      <c r="B58" s="123"/>
      <c r="C58" s="123"/>
      <c r="D58" s="123"/>
      <c r="N58" s="25">
        <v>45977</v>
      </c>
      <c r="O58" s="15" t="s">
        <v>146</v>
      </c>
      <c r="Y58" s="115"/>
      <c r="Z58" s="115"/>
      <c r="AA58" s="115"/>
      <c r="AB58" s="115"/>
      <c r="AC58" s="115"/>
      <c r="AD58" s="29"/>
      <c r="AE58" s="29"/>
      <c r="AO58" s="25"/>
      <c r="AP58" s="13"/>
      <c r="AU58" s="116"/>
      <c r="AV58" s="123"/>
      <c r="AW58" s="123"/>
      <c r="AX58" s="123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25"/>
      <c r="BN58" s="13"/>
      <c r="BQ58" s="114"/>
    </row>
    <row r="59" spans="1:69" ht="20.100000000000001" customHeight="1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25">
        <v>45977</v>
      </c>
      <c r="O59" s="15" t="s">
        <v>148</v>
      </c>
      <c r="Y59" s="115"/>
      <c r="Z59" s="115"/>
      <c r="AA59" s="115"/>
      <c r="AB59" s="115"/>
      <c r="AC59" s="115"/>
      <c r="AD59" s="29"/>
      <c r="AE59" s="29"/>
      <c r="AO59" s="25"/>
      <c r="AP59" s="13"/>
      <c r="AU59" s="116"/>
      <c r="AV59" s="123"/>
      <c r="AW59" s="123"/>
      <c r="AX59" s="123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25"/>
      <c r="BN59" s="13"/>
      <c r="BQ59" s="114"/>
    </row>
    <row r="60" spans="1:69" ht="20.100000000000001" customHeight="1" x14ac:dyDescent="0.4">
      <c r="A60" s="117"/>
      <c r="B60" s="123"/>
      <c r="C60" s="123"/>
      <c r="D60" s="123"/>
      <c r="N60" s="25">
        <v>45977</v>
      </c>
      <c r="O60" s="13" t="s">
        <v>148</v>
      </c>
      <c r="Y60" s="115"/>
      <c r="Z60" s="115"/>
      <c r="AA60" s="115"/>
      <c r="AB60" s="115"/>
      <c r="AC60" s="115"/>
      <c r="AD60" s="127"/>
      <c r="AE60" s="29"/>
      <c r="AO60" s="25"/>
      <c r="AP60" s="13"/>
      <c r="AU60" s="116"/>
      <c r="AV60" s="123"/>
      <c r="AW60" s="123"/>
      <c r="AX60" s="123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25"/>
      <c r="BN60" s="13"/>
      <c r="BQ60" s="114"/>
    </row>
    <row r="61" spans="1:69" ht="20.100000000000001" customHeight="1" x14ac:dyDescent="0.4">
      <c r="A61" s="117"/>
      <c r="B61" s="123"/>
      <c r="C61" s="123"/>
      <c r="D61" s="123"/>
      <c r="N61" s="25">
        <v>45977</v>
      </c>
      <c r="O61" s="13" t="s">
        <v>148</v>
      </c>
      <c r="X61" s="115"/>
      <c r="Y61" s="115"/>
      <c r="Z61" s="115"/>
      <c r="AA61" s="115"/>
      <c r="AB61" s="115"/>
      <c r="AC61" s="115"/>
      <c r="AD61" s="127"/>
      <c r="AE61" s="29"/>
      <c r="AO61" s="25"/>
      <c r="AP61" s="13"/>
      <c r="AU61" s="116"/>
      <c r="AV61" s="123"/>
      <c r="AW61" s="123"/>
      <c r="AX61" s="123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25"/>
      <c r="BN61" s="13"/>
      <c r="BQ61" s="114"/>
    </row>
    <row r="62" spans="1:69" ht="20.100000000000001" customHeight="1" x14ac:dyDescent="0.4">
      <c r="A62" s="117"/>
      <c r="B62" s="123"/>
      <c r="C62" s="123"/>
      <c r="D62" s="123"/>
      <c r="L62" s="115"/>
      <c r="M62" s="115"/>
      <c r="N62" s="25">
        <v>45977</v>
      </c>
      <c r="O62" s="13" t="s">
        <v>147</v>
      </c>
      <c r="X62" s="115"/>
      <c r="Y62" s="115"/>
      <c r="Z62" s="115"/>
      <c r="AA62" s="115"/>
      <c r="AB62" s="115"/>
      <c r="AC62" s="115"/>
      <c r="AD62" s="127"/>
      <c r="AE62" s="29"/>
      <c r="AO62" s="25"/>
      <c r="AP62" s="13"/>
      <c r="AU62" s="116"/>
      <c r="AV62" s="123"/>
      <c r="AW62" s="123"/>
      <c r="AX62" s="123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25"/>
      <c r="BN62" s="13"/>
      <c r="BQ62" s="114"/>
    </row>
    <row r="63" spans="1:69" ht="20.100000000000001" customHeight="1" x14ac:dyDescent="0.4">
      <c r="A63" s="117"/>
      <c r="B63" s="123"/>
      <c r="C63" s="123"/>
      <c r="D63" s="123"/>
      <c r="N63" s="25">
        <v>45977</v>
      </c>
      <c r="O63" s="13" t="s">
        <v>147</v>
      </c>
      <c r="X63" s="115"/>
      <c r="Y63" s="115"/>
      <c r="Z63" s="115"/>
      <c r="AA63" s="115"/>
      <c r="AB63" s="115"/>
      <c r="AC63" s="115"/>
      <c r="AD63" s="29"/>
      <c r="AE63" s="29"/>
      <c r="AO63" s="25"/>
      <c r="AP63" s="13"/>
      <c r="AU63" s="116"/>
      <c r="AV63" s="123"/>
      <c r="AW63" s="123"/>
      <c r="AX63" s="123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25"/>
      <c r="BN63" s="13"/>
      <c r="BQ63" s="114"/>
    </row>
    <row r="64" spans="1:69" ht="20.100000000000001" customHeight="1" x14ac:dyDescent="0.4">
      <c r="A64" s="117"/>
      <c r="B64" s="123"/>
      <c r="C64" s="123"/>
      <c r="D64" s="123"/>
      <c r="N64" s="25">
        <v>45977</v>
      </c>
      <c r="O64" s="13" t="s">
        <v>148</v>
      </c>
      <c r="X64" s="115"/>
      <c r="Y64" s="115"/>
      <c r="Z64" s="115"/>
      <c r="AA64" s="115"/>
      <c r="AB64" s="115"/>
      <c r="AC64" s="115"/>
      <c r="AD64" s="127"/>
      <c r="AE64" s="29"/>
      <c r="AO64" s="25"/>
      <c r="AP64" s="13"/>
      <c r="AU64" s="116"/>
      <c r="AV64" s="123"/>
      <c r="AW64" s="123"/>
      <c r="AX64" s="123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25"/>
      <c r="BN64" s="13"/>
      <c r="BQ64" s="114"/>
    </row>
    <row r="65" spans="1:69" ht="20.100000000000001" customHeight="1" x14ac:dyDescent="0.4">
      <c r="A65" s="117"/>
      <c r="B65" s="123"/>
      <c r="C65" s="123"/>
      <c r="D65" s="123"/>
      <c r="K65" s="115"/>
      <c r="L65" s="115"/>
      <c r="M65" s="115"/>
      <c r="N65" s="25">
        <v>45977</v>
      </c>
      <c r="O65" s="13" t="s">
        <v>147</v>
      </c>
      <c r="X65" s="115"/>
      <c r="Y65" s="115"/>
      <c r="Z65" s="115"/>
      <c r="AA65" s="115"/>
      <c r="AB65" s="115"/>
      <c r="AC65" s="115"/>
      <c r="AD65" s="127"/>
      <c r="AE65" s="29"/>
      <c r="AO65" s="25"/>
      <c r="AP65" s="13"/>
      <c r="AU65" s="116"/>
      <c r="AV65" s="123"/>
      <c r="AW65" s="123"/>
      <c r="AX65" s="123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25"/>
      <c r="BN65" s="13"/>
      <c r="BQ65" s="114"/>
    </row>
    <row r="66" spans="1:69" ht="20.100000000000001" customHeight="1" x14ac:dyDescent="0.4">
      <c r="A66" s="117"/>
      <c r="B66" s="123"/>
      <c r="C66" s="123"/>
      <c r="D66" s="123"/>
      <c r="N66" s="25">
        <v>45977</v>
      </c>
      <c r="O66" s="13" t="s">
        <v>146</v>
      </c>
      <c r="X66" s="115"/>
      <c r="Y66" s="115"/>
      <c r="Z66" s="115"/>
      <c r="AA66" s="115"/>
      <c r="AB66" s="115"/>
      <c r="AC66" s="115"/>
      <c r="AD66" s="127"/>
      <c r="AE66" s="29"/>
      <c r="AO66" s="25"/>
      <c r="AP66" s="13"/>
      <c r="AU66" s="116"/>
      <c r="AV66" s="123"/>
      <c r="AW66" s="123"/>
      <c r="AX66" s="123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25"/>
      <c r="BN66" s="13"/>
      <c r="BQ66" s="114"/>
    </row>
    <row r="67" spans="1:69" ht="20.100000000000001" customHeight="1" x14ac:dyDescent="0.4">
      <c r="A67" s="117"/>
      <c r="B67" s="123"/>
      <c r="C67" s="123"/>
      <c r="D67" s="123"/>
      <c r="G67" s="115"/>
      <c r="H67" s="115"/>
      <c r="I67" s="115"/>
      <c r="J67" s="115"/>
      <c r="K67" s="115"/>
      <c r="L67" s="115"/>
      <c r="M67" s="115"/>
      <c r="N67" s="25">
        <v>45977</v>
      </c>
      <c r="O67" s="13" t="s">
        <v>146</v>
      </c>
      <c r="X67" s="115"/>
      <c r="Y67" s="115"/>
      <c r="Z67" s="115"/>
      <c r="AA67" s="115"/>
      <c r="AB67" s="115"/>
      <c r="AC67" s="115"/>
      <c r="AD67" s="127"/>
      <c r="AE67" s="29"/>
      <c r="AO67" s="25"/>
      <c r="AP67" s="13"/>
      <c r="AU67" s="116"/>
      <c r="AV67" s="123"/>
      <c r="AW67" s="123"/>
      <c r="AX67" s="123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25"/>
      <c r="BN67" s="13"/>
      <c r="BQ67" s="114"/>
    </row>
    <row r="68" spans="1:69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115"/>
      <c r="M68" s="115"/>
      <c r="N68" s="25">
        <v>45977</v>
      </c>
      <c r="O68" s="13" t="s">
        <v>147</v>
      </c>
      <c r="X68" s="115"/>
      <c r="Y68" s="115"/>
      <c r="Z68" s="115"/>
      <c r="AA68" s="115"/>
      <c r="AB68" s="115"/>
      <c r="AC68" s="115"/>
      <c r="AD68" s="127"/>
      <c r="AE68" s="29"/>
      <c r="AO68" s="25"/>
      <c r="AP68" s="13"/>
      <c r="AU68" s="116"/>
      <c r="AV68" s="123"/>
      <c r="AW68" s="123"/>
      <c r="AX68" s="123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25"/>
      <c r="BN68" s="13"/>
      <c r="BQ68" s="114"/>
    </row>
    <row r="69" spans="1:69" ht="20.100000000000001" customHeight="1" x14ac:dyDescent="0.4">
      <c r="A69" s="117"/>
      <c r="B69" s="123"/>
      <c r="C69" s="123"/>
      <c r="D69" s="123"/>
      <c r="G69" s="115"/>
      <c r="H69" s="115"/>
      <c r="I69" s="115"/>
      <c r="J69" s="115"/>
      <c r="K69" s="115"/>
      <c r="L69" s="115"/>
      <c r="M69" s="115"/>
      <c r="N69" s="25">
        <v>45977</v>
      </c>
      <c r="O69" s="13" t="s">
        <v>147</v>
      </c>
      <c r="X69" s="115"/>
      <c r="Y69" s="115"/>
      <c r="Z69" s="115"/>
      <c r="AA69" s="115"/>
      <c r="AB69" s="115"/>
      <c r="AC69" s="115"/>
      <c r="AD69" s="127"/>
      <c r="AE69" s="29"/>
      <c r="AO69" s="25"/>
      <c r="AP69" s="13"/>
      <c r="AU69" s="116"/>
      <c r="AV69" s="123"/>
      <c r="AW69" s="123"/>
      <c r="AX69" s="123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25"/>
      <c r="BN69" s="13"/>
      <c r="BQ69" s="114"/>
    </row>
    <row r="70" spans="1:69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25">
        <v>45977</v>
      </c>
      <c r="O70" s="13" t="s">
        <v>147</v>
      </c>
      <c r="X70" s="115"/>
      <c r="Y70" s="115"/>
      <c r="Z70" s="115"/>
      <c r="AA70" s="115"/>
      <c r="AB70" s="115"/>
      <c r="AC70" s="115"/>
      <c r="AD70" s="127"/>
      <c r="AE70" s="29"/>
      <c r="AO70" s="25"/>
      <c r="AP70" s="13"/>
      <c r="AU70" s="116"/>
      <c r="AV70" s="123"/>
      <c r="AW70" s="123"/>
      <c r="AX70" s="123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25"/>
      <c r="BN70" s="13"/>
      <c r="BQ70" s="114"/>
    </row>
    <row r="71" spans="1:69" ht="20.100000000000001" customHeight="1" x14ac:dyDescent="0.4">
      <c r="A71" s="117"/>
      <c r="B71" s="123"/>
      <c r="C71" s="123"/>
      <c r="D71" s="123"/>
      <c r="N71" s="25">
        <v>45977</v>
      </c>
      <c r="O71" s="13" t="s">
        <v>147</v>
      </c>
      <c r="X71" s="115"/>
      <c r="Y71" s="115"/>
      <c r="Z71" s="115"/>
      <c r="AA71" s="115"/>
      <c r="AB71" s="115"/>
      <c r="AC71" s="115"/>
      <c r="AD71" s="127"/>
      <c r="AE71" s="29"/>
      <c r="AO71" s="25"/>
      <c r="AP71" s="13"/>
      <c r="AU71" s="116"/>
      <c r="AV71" s="123"/>
      <c r="AW71" s="123"/>
      <c r="AX71" s="123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25"/>
      <c r="BN71" s="13"/>
      <c r="BQ71" s="114"/>
    </row>
    <row r="72" spans="1:69" ht="20.100000000000001" customHeight="1" x14ac:dyDescent="0.4">
      <c r="A72" s="117"/>
      <c r="B72" s="123"/>
      <c r="C72" s="123"/>
      <c r="D72" s="123"/>
      <c r="N72" s="25">
        <v>45977</v>
      </c>
      <c r="O72" s="15" t="s">
        <v>147</v>
      </c>
      <c r="X72" s="115"/>
      <c r="Y72" s="115"/>
      <c r="Z72" s="115"/>
      <c r="AA72" s="115"/>
      <c r="AB72" s="115"/>
      <c r="AC72" s="115"/>
      <c r="AD72" s="29"/>
      <c r="AE72" s="29"/>
      <c r="AO72" s="25"/>
      <c r="AP72" s="13"/>
      <c r="AU72" s="116"/>
      <c r="AV72" s="123"/>
      <c r="AW72" s="123"/>
      <c r="AX72" s="123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25"/>
      <c r="BN72" s="13"/>
      <c r="BQ72" s="114"/>
    </row>
    <row r="73" spans="1:69" ht="20.100000000000001" customHeight="1" x14ac:dyDescent="0.4">
      <c r="A73" s="117"/>
      <c r="B73" s="123"/>
      <c r="C73" s="123"/>
      <c r="D73" s="123"/>
      <c r="J73" s="115"/>
      <c r="K73" s="115"/>
      <c r="L73" s="115"/>
      <c r="M73" s="115"/>
      <c r="N73" s="25">
        <v>45977</v>
      </c>
      <c r="O73" s="15" t="s">
        <v>147</v>
      </c>
      <c r="X73" s="115"/>
      <c r="Y73" s="115"/>
      <c r="Z73" s="115"/>
      <c r="AA73" s="115"/>
      <c r="AB73" s="115"/>
      <c r="AC73" s="115"/>
      <c r="AD73" s="29"/>
      <c r="AE73" s="29"/>
      <c r="AO73" s="25"/>
      <c r="AP73" s="13"/>
      <c r="AU73" s="116"/>
      <c r="AV73" s="123"/>
      <c r="AW73" s="123"/>
      <c r="AX73" s="123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25"/>
      <c r="BN73" s="13"/>
      <c r="BQ73" s="114"/>
    </row>
    <row r="74" spans="1:69" ht="20.100000000000001" customHeight="1" x14ac:dyDescent="0.4">
      <c r="A74" s="117"/>
      <c r="B74" s="123"/>
      <c r="C74" s="123"/>
      <c r="D74" s="123"/>
      <c r="N74" s="25">
        <v>45977</v>
      </c>
      <c r="O74" s="15" t="s">
        <v>147</v>
      </c>
      <c r="X74" s="115"/>
      <c r="Y74" s="115"/>
      <c r="Z74" s="115"/>
      <c r="AA74" s="115"/>
      <c r="AB74" s="115"/>
      <c r="AC74" s="115"/>
      <c r="AD74" s="127"/>
      <c r="AE74" s="29"/>
      <c r="AO74" s="25"/>
      <c r="AP74" s="13"/>
      <c r="AU74" s="116"/>
      <c r="AV74" s="123"/>
      <c r="AW74" s="123"/>
      <c r="AX74" s="123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25"/>
      <c r="BN74" s="13"/>
      <c r="BQ74" s="114"/>
    </row>
    <row r="75" spans="1:69" ht="20.100000000000001" customHeight="1" x14ac:dyDescent="0.4">
      <c r="A75" s="117"/>
      <c r="B75" s="123"/>
      <c r="C75" s="123"/>
      <c r="D75" s="123"/>
      <c r="N75" s="25">
        <v>45977</v>
      </c>
      <c r="O75" s="13" t="s">
        <v>147</v>
      </c>
      <c r="X75" s="115"/>
      <c r="Y75" s="115"/>
      <c r="Z75" s="115"/>
      <c r="AA75" s="115"/>
      <c r="AB75" s="115"/>
      <c r="AC75" s="115"/>
      <c r="AD75" s="29"/>
      <c r="AE75" s="29"/>
      <c r="AO75" s="25"/>
      <c r="AP75" s="13"/>
      <c r="AU75" s="116"/>
      <c r="AV75" s="123"/>
      <c r="AW75" s="123"/>
      <c r="AX75" s="123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25"/>
      <c r="BN75" s="13"/>
      <c r="BQ75" s="114"/>
    </row>
    <row r="76" spans="1:69" ht="20.100000000000001" customHeight="1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6">
        <v>45977</v>
      </c>
      <c r="O76" s="13" t="s">
        <v>147</v>
      </c>
      <c r="X76" s="115"/>
      <c r="Y76" s="115"/>
      <c r="Z76" s="115"/>
      <c r="AA76" s="115"/>
      <c r="AB76" s="115"/>
      <c r="AC76" s="115"/>
      <c r="AD76" s="29"/>
      <c r="AE76" s="29"/>
      <c r="AO76" s="25"/>
      <c r="AP76" s="13"/>
      <c r="AU76" s="116"/>
      <c r="AV76" s="123"/>
      <c r="AW76" s="123"/>
      <c r="AX76" s="123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25"/>
      <c r="BN76" s="13"/>
      <c r="BQ76" s="114"/>
    </row>
    <row r="77" spans="1:69" ht="20.100000000000001" customHeight="1" x14ac:dyDescent="0.4">
      <c r="A77" s="117"/>
      <c r="B77" s="123"/>
      <c r="C77" s="123"/>
      <c r="D77" s="123"/>
      <c r="N77" s="26">
        <v>45977</v>
      </c>
      <c r="O77" s="13" t="s">
        <v>147</v>
      </c>
      <c r="X77" s="115"/>
      <c r="Y77" s="115"/>
      <c r="Z77" s="115"/>
      <c r="AA77" s="115"/>
      <c r="AB77" s="115"/>
      <c r="AC77" s="115"/>
      <c r="AD77" s="127"/>
      <c r="AE77" s="29"/>
      <c r="AO77" s="25"/>
      <c r="AP77" s="13"/>
      <c r="AU77" s="116"/>
      <c r="AV77" s="123"/>
      <c r="AW77" s="123"/>
      <c r="AX77" s="123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25"/>
      <c r="BN77" s="13"/>
      <c r="BQ77" s="114"/>
    </row>
    <row r="78" spans="1:69" ht="20.100000000000001" customHeight="1" x14ac:dyDescent="0.4">
      <c r="A78" s="117"/>
      <c r="B78" s="123"/>
      <c r="C78" s="123"/>
      <c r="D78" s="123"/>
      <c r="G78" s="115"/>
      <c r="H78" s="115"/>
      <c r="I78" s="115"/>
      <c r="J78" s="115"/>
      <c r="K78" s="115"/>
      <c r="L78" s="115"/>
      <c r="M78" s="115"/>
      <c r="N78" s="25">
        <v>45977</v>
      </c>
      <c r="O78" s="13" t="s">
        <v>147</v>
      </c>
      <c r="X78" s="115"/>
      <c r="Y78" s="115"/>
      <c r="Z78" s="115"/>
      <c r="AA78" s="115"/>
      <c r="AB78" s="115"/>
      <c r="AC78" s="115"/>
      <c r="AD78" s="127"/>
      <c r="AE78" s="29"/>
      <c r="AO78" s="25"/>
      <c r="AP78" s="13"/>
      <c r="AU78" s="116"/>
      <c r="AV78" s="123"/>
      <c r="AW78" s="123"/>
      <c r="AX78" s="123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25"/>
      <c r="BN78" s="13"/>
      <c r="BQ78" s="114"/>
    </row>
    <row r="79" spans="1:69" ht="20.100000000000001" customHeight="1" x14ac:dyDescent="0.4">
      <c r="A79" s="117"/>
      <c r="B79" s="123"/>
      <c r="C79" s="123"/>
      <c r="D79" s="123"/>
      <c r="N79" s="26">
        <v>45977</v>
      </c>
      <c r="O79" s="13" t="s">
        <v>147</v>
      </c>
      <c r="X79" s="115"/>
      <c r="Y79" s="115"/>
      <c r="Z79" s="115"/>
      <c r="AA79" s="115"/>
      <c r="AB79" s="115"/>
      <c r="AC79" s="115"/>
      <c r="AD79" s="127"/>
      <c r="AE79" s="29"/>
      <c r="AO79" s="25"/>
      <c r="AP79" s="13"/>
      <c r="AU79" s="116"/>
      <c r="AV79" s="123"/>
      <c r="AW79" s="123"/>
      <c r="AX79" s="123"/>
      <c r="BC79" s="115"/>
      <c r="BD79" s="115"/>
      <c r="BE79" s="115"/>
      <c r="BF79" s="115"/>
      <c r="BG79" s="115"/>
      <c r="BH79" s="115"/>
      <c r="BI79" s="115"/>
      <c r="BJ79" s="115"/>
      <c r="BK79" s="115"/>
      <c r="BL79" s="115"/>
      <c r="BM79" s="25"/>
      <c r="BN79" s="13"/>
      <c r="BQ79" s="114"/>
    </row>
    <row r="80" spans="1:69" ht="20.100000000000001" customHeight="1" x14ac:dyDescent="0.4">
      <c r="A80" s="117"/>
      <c r="B80" s="123"/>
      <c r="C80" s="123"/>
      <c r="D80" s="123"/>
      <c r="K80" s="115"/>
      <c r="L80" s="115"/>
      <c r="M80" s="115"/>
      <c r="N80" s="26">
        <v>45977</v>
      </c>
      <c r="O80" s="13" t="s">
        <v>147</v>
      </c>
      <c r="X80" s="115"/>
      <c r="Y80" s="115"/>
      <c r="Z80" s="115"/>
      <c r="AA80" s="115"/>
      <c r="AB80" s="115"/>
      <c r="AC80" s="115"/>
      <c r="AD80" s="127"/>
      <c r="AE80" s="29"/>
      <c r="AO80" s="25"/>
      <c r="AP80" s="13"/>
      <c r="AU80" s="116"/>
      <c r="AV80" s="123"/>
      <c r="AW80" s="123"/>
      <c r="AX80" s="123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25"/>
      <c r="BN80" s="13"/>
      <c r="BQ80" s="114"/>
    </row>
    <row r="81" spans="1:69" ht="20.100000000000001" customHeight="1" x14ac:dyDescent="0.4">
      <c r="A81" s="117"/>
      <c r="B81" s="123"/>
      <c r="C81" s="123"/>
      <c r="D81" s="123"/>
      <c r="K81" s="115"/>
      <c r="L81" s="115"/>
      <c r="M81" s="115" t="s">
        <v>381</v>
      </c>
      <c r="N81" s="17">
        <f>SUBTOTAL(3,N45:N80)</f>
        <v>36</v>
      </c>
      <c r="O81" s="13">
        <f>SUBTOTAL(3,O45:O80)</f>
        <v>36</v>
      </c>
      <c r="X81" s="115"/>
      <c r="Y81" s="115"/>
      <c r="Z81" s="115"/>
      <c r="AA81" s="115"/>
      <c r="AB81" s="115"/>
      <c r="AC81" s="115"/>
      <c r="AD81" s="127"/>
      <c r="AE81" s="29"/>
      <c r="AO81" s="25"/>
      <c r="AP81" s="13"/>
      <c r="AU81" s="116"/>
      <c r="AV81" s="123"/>
      <c r="AW81" s="123"/>
      <c r="AX81" s="123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25"/>
      <c r="BN81" s="13"/>
      <c r="BQ81" s="114"/>
    </row>
    <row r="82" spans="1:69" ht="20.100000000000001" customHeight="1" x14ac:dyDescent="0.4">
      <c r="A82" s="117"/>
      <c r="B82" s="123"/>
      <c r="C82" s="123"/>
      <c r="D82" s="123"/>
      <c r="I82" s="115"/>
      <c r="J82" s="115"/>
      <c r="K82" s="115"/>
      <c r="L82" s="115"/>
      <c r="M82" s="115"/>
      <c r="N82" s="26">
        <v>45978</v>
      </c>
      <c r="O82" s="13" t="s">
        <v>146</v>
      </c>
      <c r="X82" s="115"/>
      <c r="Y82" s="115"/>
      <c r="Z82" s="115"/>
      <c r="AA82" s="115"/>
      <c r="AB82" s="115"/>
      <c r="AC82" s="115"/>
      <c r="AD82" s="127"/>
      <c r="AE82" s="29"/>
      <c r="AO82" s="25"/>
      <c r="AP82" s="13"/>
      <c r="AU82" s="116"/>
      <c r="AV82" s="123"/>
      <c r="AW82" s="123"/>
      <c r="AX82" s="123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25"/>
      <c r="BN82" s="13"/>
      <c r="BQ82" s="114"/>
    </row>
    <row r="83" spans="1:69" ht="20.100000000000001" customHeight="1" x14ac:dyDescent="0.4">
      <c r="A83" s="117"/>
      <c r="B83" s="123"/>
      <c r="C83" s="123"/>
      <c r="D83" s="123"/>
      <c r="N83" s="26">
        <v>45978</v>
      </c>
      <c r="O83" s="13" t="s">
        <v>147</v>
      </c>
      <c r="X83" s="115"/>
      <c r="Y83" s="115"/>
      <c r="Z83" s="115"/>
      <c r="AA83" s="115"/>
      <c r="AB83" s="115"/>
      <c r="AC83" s="115"/>
      <c r="AD83" s="29"/>
      <c r="AE83" s="29"/>
      <c r="AO83" s="25"/>
      <c r="AP83" s="13"/>
      <c r="AU83" s="116"/>
      <c r="AV83" s="123"/>
      <c r="AW83" s="123"/>
      <c r="AX83" s="123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25"/>
      <c r="BN83" s="13"/>
      <c r="BQ83" s="114"/>
    </row>
    <row r="84" spans="1:69" ht="20.100000000000001" customHeight="1" x14ac:dyDescent="0.4">
      <c r="A84" s="117"/>
      <c r="B84" s="123"/>
      <c r="C84" s="123"/>
      <c r="D84" s="123"/>
      <c r="L84" s="115"/>
      <c r="M84" s="115"/>
      <c r="N84" s="26">
        <v>45978</v>
      </c>
      <c r="O84" s="13" t="s">
        <v>146</v>
      </c>
      <c r="X84" s="115"/>
      <c r="Y84" s="115"/>
      <c r="Z84" s="115"/>
      <c r="AA84" s="115"/>
      <c r="AB84" s="115"/>
      <c r="AC84" s="115"/>
      <c r="AD84" s="29"/>
      <c r="AE84" s="29"/>
      <c r="AO84" s="25"/>
      <c r="AP84" s="13"/>
      <c r="AU84" s="116"/>
      <c r="AV84" s="123"/>
      <c r="AW84" s="123"/>
      <c r="AX84" s="123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25"/>
      <c r="BN84" s="13"/>
      <c r="BQ84" s="114"/>
    </row>
    <row r="85" spans="1:69" ht="20.100000000000001" customHeight="1" x14ac:dyDescent="0.4">
      <c r="A85" s="117"/>
      <c r="B85" s="123"/>
      <c r="C85" s="123"/>
      <c r="D85" s="123"/>
      <c r="N85" s="26">
        <v>45978</v>
      </c>
      <c r="O85" s="133" t="s">
        <v>148</v>
      </c>
      <c r="W85" s="115"/>
      <c r="X85" s="115"/>
      <c r="Y85" s="115"/>
      <c r="Z85" s="115"/>
      <c r="AA85" s="115"/>
      <c r="AB85" s="115"/>
      <c r="AC85" s="115"/>
      <c r="AD85" s="127"/>
      <c r="AE85" s="29"/>
      <c r="AO85" s="25"/>
      <c r="AP85" s="13"/>
      <c r="AU85" s="116"/>
      <c r="AV85" s="123"/>
      <c r="AW85" s="123"/>
      <c r="AX85" s="123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25"/>
      <c r="BN85" s="13"/>
      <c r="BQ85" s="114"/>
    </row>
    <row r="86" spans="1:69" ht="20.100000000000001" customHeight="1" x14ac:dyDescent="0.4">
      <c r="A86" s="117"/>
      <c r="B86" s="123"/>
      <c r="C86" s="123"/>
      <c r="D86" s="123"/>
      <c r="N86" s="26">
        <v>45978</v>
      </c>
      <c r="O86" s="13" t="s">
        <v>147</v>
      </c>
      <c r="W86" s="115"/>
      <c r="X86" s="115"/>
      <c r="Y86" s="115"/>
      <c r="Z86" s="115"/>
      <c r="AA86" s="115"/>
      <c r="AB86" s="115"/>
      <c r="AC86" s="115"/>
      <c r="AD86" s="127"/>
      <c r="AE86" s="134"/>
      <c r="AO86" s="25"/>
      <c r="AP86" s="13"/>
      <c r="AU86" s="116"/>
      <c r="AV86" s="123"/>
      <c r="AW86" s="123"/>
      <c r="AX86" s="123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25"/>
      <c r="BN86" s="13"/>
      <c r="BQ86" s="114"/>
    </row>
    <row r="87" spans="1:69" ht="20.100000000000001" customHeight="1" x14ac:dyDescent="0.4">
      <c r="A87" s="117"/>
      <c r="B87" s="123"/>
      <c r="C87" s="123"/>
      <c r="D87" s="123"/>
      <c r="N87" s="26">
        <v>45978</v>
      </c>
      <c r="O87" s="13" t="s">
        <v>147</v>
      </c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O87" s="25"/>
      <c r="AP87" s="13"/>
      <c r="AU87" s="116"/>
      <c r="AV87" s="123"/>
      <c r="AW87" s="123"/>
      <c r="AX87" s="123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25"/>
      <c r="BN87" s="13"/>
      <c r="BQ87" s="114"/>
    </row>
    <row r="88" spans="1:69" ht="20.100000000000001" customHeight="1" x14ac:dyDescent="0.4">
      <c r="A88" s="117"/>
      <c r="B88" s="123"/>
      <c r="C88" s="123"/>
      <c r="D88" s="123"/>
      <c r="N88" s="26">
        <v>45978</v>
      </c>
      <c r="O88" s="13" t="s">
        <v>147</v>
      </c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O88" s="25"/>
      <c r="AP88" s="13"/>
      <c r="AU88" s="116"/>
      <c r="AV88" s="123"/>
      <c r="AW88" s="123"/>
      <c r="AX88" s="123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25"/>
      <c r="BN88" s="13"/>
      <c r="BQ88" s="114"/>
    </row>
    <row r="89" spans="1:69" ht="20.100000000000001" customHeight="1" x14ac:dyDescent="0.4">
      <c r="A89" s="117"/>
      <c r="B89" s="123"/>
      <c r="C89" s="123"/>
      <c r="D89" s="123"/>
      <c r="N89" s="26">
        <v>45978</v>
      </c>
      <c r="O89" s="13" t="s">
        <v>147</v>
      </c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O89" s="25"/>
      <c r="AP89" s="13"/>
      <c r="AU89" s="116"/>
      <c r="AV89" s="123"/>
      <c r="AW89" s="123"/>
      <c r="AX89" s="123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25"/>
      <c r="BN89" s="13"/>
      <c r="BQ89" s="114"/>
    </row>
    <row r="90" spans="1:69" ht="20.100000000000001" customHeight="1" x14ac:dyDescent="0.4">
      <c r="A90" s="117"/>
      <c r="B90" s="123"/>
      <c r="C90" s="123"/>
      <c r="D90" s="123"/>
      <c r="N90" s="26">
        <v>45978</v>
      </c>
      <c r="O90" s="13" t="s">
        <v>146</v>
      </c>
      <c r="U90" s="115"/>
      <c r="V90" s="115"/>
      <c r="W90" s="115"/>
      <c r="X90" s="115"/>
      <c r="Y90" s="115"/>
      <c r="Z90" s="115"/>
      <c r="AA90" s="115"/>
      <c r="AB90" s="115"/>
      <c r="AC90" s="115"/>
      <c r="AD90" s="29"/>
      <c r="AE90" s="29"/>
      <c r="AO90" s="25"/>
      <c r="AP90" s="13"/>
      <c r="AU90" s="116"/>
      <c r="AV90" s="123"/>
      <c r="AW90" s="123"/>
      <c r="AX90" s="123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25"/>
      <c r="BN90" s="13"/>
      <c r="BQ90" s="114"/>
    </row>
    <row r="91" spans="1:69" ht="20.100000000000001" customHeight="1" x14ac:dyDescent="0.4">
      <c r="A91" s="117"/>
      <c r="B91" s="123"/>
      <c r="C91" s="123"/>
      <c r="D91" s="123"/>
      <c r="N91" s="26">
        <v>45978</v>
      </c>
      <c r="O91" s="13" t="s">
        <v>148</v>
      </c>
      <c r="U91" s="115"/>
      <c r="V91" s="115"/>
      <c r="W91" s="115"/>
      <c r="X91" s="115"/>
      <c r="Y91" s="115"/>
      <c r="Z91" s="115"/>
      <c r="AA91" s="115"/>
      <c r="AB91" s="115"/>
      <c r="AC91" s="115"/>
      <c r="AD91" s="127"/>
      <c r="AE91" s="29"/>
      <c r="AO91" s="25"/>
      <c r="AP91" s="13"/>
      <c r="AU91" s="116"/>
      <c r="AV91" s="123"/>
      <c r="AW91" s="123"/>
      <c r="AX91" s="123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25"/>
      <c r="BN91" s="13"/>
      <c r="BQ91" s="114"/>
    </row>
    <row r="92" spans="1:69" ht="20.100000000000001" customHeight="1" x14ac:dyDescent="0.4">
      <c r="A92" s="117"/>
      <c r="B92" s="123"/>
      <c r="C92" s="123"/>
      <c r="D92" s="123"/>
      <c r="M92" s="115" t="s">
        <v>382</v>
      </c>
      <c r="N92" s="17">
        <f>SUBTOTAL(3,N82:N91)</f>
        <v>10</v>
      </c>
      <c r="O92" s="13">
        <f>SUBTOTAL(3,O82:O91)</f>
        <v>10</v>
      </c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29"/>
      <c r="AO92" s="25"/>
      <c r="AP92" s="13"/>
      <c r="AU92" s="116"/>
      <c r="AV92" s="123"/>
      <c r="AW92" s="123"/>
      <c r="AX92" s="123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25"/>
      <c r="BN92" s="13"/>
      <c r="BQ92" s="114"/>
    </row>
    <row r="93" spans="1:69" ht="20.100000000000001" customHeight="1" x14ac:dyDescent="0.4">
      <c r="A93" s="117"/>
      <c r="B93" s="123"/>
      <c r="C93" s="123"/>
      <c r="D93" s="123"/>
      <c r="K93" s="115"/>
      <c r="L93" s="115"/>
      <c r="M93" s="115"/>
      <c r="N93" s="26">
        <v>45979</v>
      </c>
      <c r="O93" s="13" t="s">
        <v>146</v>
      </c>
      <c r="U93" s="115"/>
      <c r="V93" s="115"/>
      <c r="W93" s="115"/>
      <c r="X93" s="115"/>
      <c r="Y93" s="115"/>
      <c r="Z93" s="115"/>
      <c r="AA93" s="115"/>
      <c r="AB93" s="115"/>
      <c r="AC93" s="115"/>
      <c r="AD93" s="127"/>
      <c r="AE93" s="29"/>
      <c r="AO93" s="25"/>
      <c r="AP93" s="13"/>
      <c r="AU93" s="116"/>
      <c r="AV93" s="123"/>
      <c r="AW93" s="123"/>
      <c r="AX93" s="123"/>
      <c r="BC93" s="115"/>
      <c r="BD93" s="115"/>
      <c r="BE93" s="115"/>
      <c r="BF93" s="115"/>
      <c r="BG93" s="115"/>
      <c r="BH93" s="115"/>
      <c r="BI93" s="115"/>
      <c r="BJ93" s="115"/>
      <c r="BK93" s="115"/>
      <c r="BL93" s="115"/>
      <c r="BM93" s="25"/>
      <c r="BN93" s="13"/>
      <c r="BQ93" s="114"/>
    </row>
    <row r="94" spans="1:69" ht="20.100000000000001" customHeight="1" x14ac:dyDescent="0.4">
      <c r="A94" s="117"/>
      <c r="B94" s="123"/>
      <c r="C94" s="123"/>
      <c r="D94" s="123"/>
      <c r="N94" s="26">
        <v>45979</v>
      </c>
      <c r="O94" s="13" t="s">
        <v>146</v>
      </c>
      <c r="U94" s="115"/>
      <c r="V94" s="115"/>
      <c r="W94" s="115"/>
      <c r="X94" s="115"/>
      <c r="Y94" s="115"/>
      <c r="Z94" s="115"/>
      <c r="AA94" s="115"/>
      <c r="AB94" s="115"/>
      <c r="AC94" s="115"/>
      <c r="AD94" s="127"/>
      <c r="AE94" s="29"/>
      <c r="AO94" s="25"/>
      <c r="AP94" s="13"/>
      <c r="AU94" s="116"/>
      <c r="AV94" s="123"/>
      <c r="AW94" s="123"/>
      <c r="AX94" s="123"/>
      <c r="BC94" s="115"/>
      <c r="BD94" s="115"/>
      <c r="BE94" s="115"/>
      <c r="BF94" s="115"/>
      <c r="BG94" s="115"/>
      <c r="BH94" s="115"/>
      <c r="BI94" s="115"/>
      <c r="BJ94" s="115"/>
      <c r="BK94" s="115"/>
      <c r="BL94" s="115"/>
      <c r="BM94" s="25"/>
      <c r="BN94" s="13"/>
      <c r="BQ94" s="114"/>
    </row>
    <row r="95" spans="1:69" ht="20.100000000000001" customHeight="1" x14ac:dyDescent="0.4">
      <c r="A95" s="117"/>
      <c r="B95" s="123"/>
      <c r="C95" s="123"/>
      <c r="D95" s="123"/>
      <c r="N95" s="25">
        <v>45979</v>
      </c>
      <c r="O95" s="15" t="s">
        <v>146</v>
      </c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O95" s="25"/>
      <c r="AP95" s="13"/>
      <c r="AU95" s="116"/>
      <c r="AV95" s="123"/>
      <c r="AW95" s="123"/>
      <c r="AX95" s="123"/>
      <c r="BC95" s="115"/>
      <c r="BD95" s="115"/>
      <c r="BE95" s="115"/>
      <c r="BF95" s="115"/>
      <c r="BG95" s="115"/>
      <c r="BH95" s="115"/>
      <c r="BI95" s="115"/>
      <c r="BJ95" s="115"/>
      <c r="BK95" s="115"/>
      <c r="BL95" s="115"/>
      <c r="BM95" s="25"/>
      <c r="BN95" s="13"/>
      <c r="BQ95" s="114"/>
    </row>
    <row r="96" spans="1:69" ht="20.100000000000001" customHeight="1" x14ac:dyDescent="0.4">
      <c r="A96" s="117"/>
      <c r="B96" s="123"/>
      <c r="C96" s="123"/>
      <c r="D96" s="123"/>
      <c r="N96" s="25">
        <v>45979</v>
      </c>
      <c r="O96" s="15" t="s">
        <v>146</v>
      </c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O96" s="25"/>
      <c r="AP96" s="13"/>
      <c r="AU96" s="116"/>
      <c r="AV96" s="123"/>
      <c r="AW96" s="123"/>
      <c r="AX96" s="123"/>
      <c r="BC96" s="115"/>
      <c r="BD96" s="115"/>
      <c r="BE96" s="115"/>
      <c r="BF96" s="115"/>
      <c r="BG96" s="115"/>
      <c r="BH96" s="115"/>
      <c r="BI96" s="115"/>
      <c r="BJ96" s="115"/>
      <c r="BK96" s="115"/>
      <c r="BL96" s="115"/>
      <c r="BM96" s="25"/>
      <c r="BN96" s="13"/>
      <c r="BQ96" s="114"/>
    </row>
    <row r="97" spans="1:69" ht="20.100000000000001" customHeight="1" x14ac:dyDescent="0.4">
      <c r="A97" s="117"/>
      <c r="B97" s="123"/>
      <c r="C97" s="123"/>
      <c r="D97" s="123"/>
      <c r="I97" s="115"/>
      <c r="J97" s="115"/>
      <c r="K97" s="115"/>
      <c r="L97" s="115"/>
      <c r="M97" s="115"/>
      <c r="N97" s="25">
        <v>45979</v>
      </c>
      <c r="O97" s="15" t="s">
        <v>146</v>
      </c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O97" s="25"/>
      <c r="AP97" s="13"/>
      <c r="AU97" s="116"/>
      <c r="AV97" s="123"/>
      <c r="AW97" s="123"/>
      <c r="AX97" s="123"/>
      <c r="BC97" s="115"/>
      <c r="BD97" s="115"/>
      <c r="BE97" s="115"/>
      <c r="BF97" s="115"/>
      <c r="BG97" s="115"/>
      <c r="BH97" s="115"/>
      <c r="BI97" s="115"/>
      <c r="BJ97" s="115"/>
      <c r="BK97" s="115"/>
      <c r="BL97" s="115"/>
      <c r="BM97" s="25"/>
      <c r="BN97" s="13"/>
      <c r="BQ97" s="114"/>
    </row>
    <row r="98" spans="1:69" ht="20.100000000000001" customHeight="1" x14ac:dyDescent="0.4">
      <c r="A98" s="117"/>
      <c r="B98" s="123"/>
      <c r="C98" s="123"/>
      <c r="D98" s="123"/>
      <c r="N98" s="25">
        <v>45979</v>
      </c>
      <c r="O98" s="15" t="s">
        <v>146</v>
      </c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O98" s="25"/>
      <c r="AP98" s="13"/>
      <c r="AU98" s="116"/>
      <c r="AV98" s="123"/>
      <c r="AW98" s="123"/>
      <c r="AX98" s="123"/>
      <c r="BC98" s="115"/>
      <c r="BD98" s="115"/>
      <c r="BE98" s="115"/>
      <c r="BF98" s="115"/>
      <c r="BG98" s="115"/>
      <c r="BH98" s="115"/>
      <c r="BI98" s="115"/>
      <c r="BJ98" s="115"/>
      <c r="BK98" s="115"/>
      <c r="BL98" s="115"/>
      <c r="BM98" s="25"/>
      <c r="BN98" s="13"/>
      <c r="BQ98" s="114"/>
    </row>
    <row r="99" spans="1:69" ht="20.100000000000001" customHeight="1" x14ac:dyDescent="0.4">
      <c r="A99" s="117"/>
      <c r="B99" s="123"/>
      <c r="C99" s="123"/>
      <c r="D99" s="123"/>
      <c r="N99" s="25">
        <v>45979</v>
      </c>
      <c r="O99" s="15" t="s">
        <v>146</v>
      </c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O99" s="25"/>
      <c r="AP99" s="13"/>
      <c r="AU99" s="116"/>
      <c r="AV99" s="123"/>
      <c r="AW99" s="123"/>
      <c r="AX99" s="123"/>
      <c r="BC99" s="115"/>
      <c r="BD99" s="115"/>
      <c r="BE99" s="115"/>
      <c r="BF99" s="115"/>
      <c r="BG99" s="115"/>
      <c r="BH99" s="115"/>
      <c r="BI99" s="115"/>
      <c r="BJ99" s="115"/>
      <c r="BK99" s="115"/>
      <c r="BL99" s="115"/>
      <c r="BM99" s="25"/>
      <c r="BN99" s="13"/>
      <c r="BQ99" s="114"/>
    </row>
    <row r="100" spans="1:69" ht="20.100000000000001" customHeight="1" x14ac:dyDescent="0.4">
      <c r="A100" s="117"/>
      <c r="B100" s="123"/>
      <c r="C100" s="123"/>
      <c r="D100" s="123"/>
      <c r="N100" s="25">
        <v>45979</v>
      </c>
      <c r="O100" s="15" t="s">
        <v>146</v>
      </c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O100" s="25"/>
      <c r="AP100" s="13"/>
      <c r="AU100" s="116"/>
      <c r="AV100" s="123"/>
      <c r="AW100" s="123"/>
      <c r="AX100" s="123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25"/>
      <c r="BN100" s="13"/>
      <c r="BQ100" s="114"/>
    </row>
    <row r="101" spans="1:69" ht="20.100000000000001" customHeight="1" x14ac:dyDescent="0.4">
      <c r="A101" s="117"/>
      <c r="B101" s="123"/>
      <c r="C101" s="123"/>
      <c r="D101" s="123"/>
      <c r="N101" s="25">
        <v>45979</v>
      </c>
      <c r="O101" s="15" t="s">
        <v>146</v>
      </c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O101" s="25"/>
      <c r="AP101" s="13"/>
      <c r="AU101" s="116"/>
      <c r="AV101" s="123"/>
      <c r="AW101" s="123"/>
      <c r="AX101" s="123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25"/>
      <c r="BN101" s="13"/>
      <c r="BQ101" s="114"/>
    </row>
    <row r="102" spans="1:69" ht="20.100000000000001" customHeight="1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45979</v>
      </c>
      <c r="O102" s="15" t="s">
        <v>146</v>
      </c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O102" s="25"/>
      <c r="AP102" s="13"/>
      <c r="AU102" s="116"/>
      <c r="AV102" s="123"/>
      <c r="AW102" s="123"/>
      <c r="AX102" s="123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25"/>
      <c r="BN102" s="13"/>
      <c r="BQ102" s="114"/>
    </row>
    <row r="103" spans="1:69" ht="20.100000000000001" customHeight="1" x14ac:dyDescent="0.4">
      <c r="A103" s="117"/>
      <c r="B103" s="123"/>
      <c r="C103" s="123"/>
      <c r="D103" s="123"/>
      <c r="N103" s="25">
        <v>45979</v>
      </c>
      <c r="O103" s="15" t="s">
        <v>146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O103" s="25"/>
      <c r="AP103" s="13"/>
      <c r="AU103" s="116"/>
      <c r="AV103" s="123"/>
      <c r="AW103" s="123"/>
      <c r="AX103" s="123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25"/>
      <c r="BN103" s="13"/>
      <c r="BQ103" s="114"/>
    </row>
    <row r="104" spans="1:69" ht="20.100000000000001" customHeight="1" x14ac:dyDescent="0.4">
      <c r="A104" s="117"/>
      <c r="B104" s="123"/>
      <c r="C104" s="123"/>
      <c r="D104" s="123"/>
      <c r="N104" s="25">
        <v>45979</v>
      </c>
      <c r="O104" s="15" t="s">
        <v>146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O104" s="25"/>
      <c r="AP104" s="13"/>
      <c r="AU104" s="116"/>
      <c r="AV104" s="123"/>
      <c r="AW104" s="123"/>
      <c r="AX104" s="123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25"/>
      <c r="BN104" s="13"/>
      <c r="BQ104" s="114"/>
    </row>
    <row r="105" spans="1:69" ht="20.100000000000001" customHeight="1" x14ac:dyDescent="0.4">
      <c r="A105" s="117"/>
      <c r="B105" s="123"/>
      <c r="C105" s="123"/>
      <c r="D105" s="123"/>
      <c r="L105" s="115"/>
      <c r="M105" s="115"/>
      <c r="N105" s="25">
        <v>45979</v>
      </c>
      <c r="O105" s="15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O105" s="25"/>
      <c r="AP105" s="13"/>
      <c r="AU105" s="116"/>
      <c r="AV105" s="123"/>
      <c r="AW105" s="123"/>
      <c r="AX105" s="123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115"/>
      <c r="BM105" s="25"/>
      <c r="BN105" s="13"/>
      <c r="BQ105" s="114"/>
    </row>
    <row r="106" spans="1:69" ht="20.100000000000001" customHeight="1" x14ac:dyDescent="0.4">
      <c r="A106" s="117"/>
      <c r="B106" s="123"/>
      <c r="C106" s="123"/>
      <c r="D106" s="123"/>
      <c r="N106" s="25">
        <v>45979</v>
      </c>
      <c r="O106" s="15" t="s">
        <v>147</v>
      </c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29"/>
      <c r="AE106" s="29"/>
      <c r="AO106" s="25"/>
      <c r="AP106" s="13"/>
      <c r="AU106" s="116"/>
      <c r="AV106" s="123"/>
      <c r="AW106" s="123"/>
      <c r="AX106" s="123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25"/>
      <c r="BN106" s="13"/>
      <c r="BQ106" s="114"/>
    </row>
    <row r="107" spans="1:69" ht="20.100000000000001" customHeight="1" x14ac:dyDescent="0.4">
      <c r="A107" s="117"/>
      <c r="B107" s="123"/>
      <c r="C107" s="123"/>
      <c r="D107" s="123"/>
      <c r="N107" s="25">
        <v>45979</v>
      </c>
      <c r="O107" s="15" t="s">
        <v>146</v>
      </c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27"/>
      <c r="AE107" s="29"/>
      <c r="AO107" s="25"/>
      <c r="AP107" s="13"/>
      <c r="AU107" s="116"/>
      <c r="AV107" s="123"/>
      <c r="AW107" s="123"/>
      <c r="AX107" s="123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115"/>
      <c r="BM107" s="25"/>
      <c r="BN107" s="13"/>
      <c r="BQ107" s="114"/>
    </row>
    <row r="108" spans="1:69" ht="20.100000000000001" customHeight="1" x14ac:dyDescent="0.4">
      <c r="A108" s="117"/>
      <c r="B108" s="123"/>
      <c r="C108" s="123"/>
      <c r="D108" s="123"/>
      <c r="N108" s="25">
        <v>45979</v>
      </c>
      <c r="O108" s="15" t="s">
        <v>146</v>
      </c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O108" s="25"/>
      <c r="AP108" s="13"/>
      <c r="AU108" s="116"/>
      <c r="AV108" s="123"/>
      <c r="AW108" s="123"/>
      <c r="AX108" s="123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115"/>
      <c r="BM108" s="25"/>
      <c r="BN108" s="13"/>
      <c r="BQ108" s="114"/>
    </row>
    <row r="109" spans="1:69" ht="20.100000000000001" customHeight="1" x14ac:dyDescent="0.4">
      <c r="A109" s="117"/>
      <c r="B109" s="123"/>
      <c r="C109" s="123"/>
      <c r="D109" s="123"/>
      <c r="N109" s="25">
        <v>45979</v>
      </c>
      <c r="O109" s="15" t="s">
        <v>147</v>
      </c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O109" s="25"/>
      <c r="AP109" s="13"/>
      <c r="AU109" s="116"/>
      <c r="AV109" s="123"/>
      <c r="AW109" s="123"/>
      <c r="AX109" s="123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115"/>
      <c r="BM109" s="25"/>
      <c r="BN109" s="13"/>
      <c r="BQ109" s="114"/>
    </row>
    <row r="110" spans="1:69" ht="20.100000000000001" customHeight="1" x14ac:dyDescent="0.4">
      <c r="A110" s="117"/>
      <c r="B110" s="123"/>
      <c r="C110" s="123"/>
      <c r="D110" s="123"/>
      <c r="L110" s="115"/>
      <c r="M110" s="115"/>
      <c r="N110" s="25">
        <v>45979</v>
      </c>
      <c r="O110" s="15" t="s">
        <v>142</v>
      </c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29"/>
      <c r="AE110" s="29"/>
      <c r="AO110" s="25"/>
      <c r="AP110" s="13"/>
      <c r="AU110" s="116"/>
      <c r="AV110" s="123"/>
      <c r="AW110" s="123"/>
      <c r="AX110" s="123"/>
      <c r="BC110" s="115"/>
      <c r="BD110" s="115"/>
      <c r="BE110" s="115"/>
      <c r="BF110" s="115"/>
      <c r="BG110" s="115"/>
      <c r="BH110" s="115"/>
      <c r="BI110" s="115"/>
      <c r="BJ110" s="115"/>
      <c r="BK110" s="115"/>
      <c r="BL110" s="115"/>
      <c r="BM110" s="25"/>
      <c r="BN110" s="13"/>
      <c r="BQ110" s="114"/>
    </row>
    <row r="111" spans="1:69" ht="20.100000000000001" customHeight="1" x14ac:dyDescent="0.4">
      <c r="A111" s="117"/>
      <c r="B111" s="123"/>
      <c r="C111" s="123"/>
      <c r="D111" s="123"/>
      <c r="N111" s="25">
        <v>45979</v>
      </c>
      <c r="O111" s="15" t="s">
        <v>146</v>
      </c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27"/>
      <c r="AE111" s="29"/>
      <c r="AO111" s="25"/>
      <c r="AP111" s="13"/>
      <c r="AU111" s="116"/>
      <c r="AV111" s="123"/>
      <c r="AW111" s="123"/>
      <c r="AX111" s="123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25"/>
      <c r="BN111" s="13"/>
      <c r="BQ111" s="114"/>
    </row>
    <row r="112" spans="1:69" ht="20.100000000000001" customHeight="1" x14ac:dyDescent="0.4">
      <c r="A112" s="117"/>
      <c r="B112" s="123"/>
      <c r="C112" s="123"/>
      <c r="D112" s="123"/>
      <c r="N112" s="25">
        <v>45979</v>
      </c>
      <c r="O112" s="15" t="s">
        <v>146</v>
      </c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27"/>
      <c r="AE112" s="29"/>
      <c r="AO112" s="25"/>
      <c r="AP112" s="13"/>
      <c r="AU112" s="116"/>
      <c r="AV112" s="123"/>
      <c r="AW112" s="123"/>
      <c r="AX112" s="123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5"/>
      <c r="BM112" s="25"/>
      <c r="BN112" s="13"/>
      <c r="BQ112" s="114"/>
    </row>
    <row r="113" spans="1:69" ht="20.100000000000001" customHeight="1" x14ac:dyDescent="0.4">
      <c r="A113" s="117"/>
      <c r="B113" s="123"/>
      <c r="C113" s="123"/>
      <c r="D113" s="123"/>
      <c r="F113" s="117"/>
      <c r="G113" s="135"/>
      <c r="H113" s="135"/>
      <c r="I113" s="135"/>
      <c r="J113" s="135"/>
      <c r="K113" s="135"/>
      <c r="L113" s="136"/>
      <c r="M113" s="136"/>
      <c r="N113" s="25">
        <v>45979</v>
      </c>
      <c r="O113" s="15" t="s">
        <v>146</v>
      </c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O113" s="25"/>
      <c r="AP113" s="13"/>
      <c r="AU113" s="116"/>
      <c r="AV113" s="123"/>
      <c r="AW113" s="123"/>
      <c r="AX113" s="123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25"/>
      <c r="BN113" s="13"/>
      <c r="BQ113" s="114"/>
    </row>
    <row r="114" spans="1:69" ht="20.100000000000001" customHeight="1" x14ac:dyDescent="0.4">
      <c r="A114" s="117"/>
      <c r="B114" s="123"/>
      <c r="C114" s="123"/>
      <c r="D114" s="123"/>
      <c r="F114" s="117"/>
      <c r="G114" s="135"/>
      <c r="H114" s="135"/>
      <c r="I114" s="135"/>
      <c r="J114" s="135"/>
      <c r="K114" s="135"/>
      <c r="L114" s="136"/>
      <c r="M114" s="136"/>
      <c r="N114" s="25">
        <v>45979</v>
      </c>
      <c r="O114" s="15" t="s">
        <v>146</v>
      </c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O114" s="25"/>
      <c r="AP114" s="13"/>
      <c r="AU114" s="116"/>
      <c r="AV114" s="123"/>
      <c r="AW114" s="123"/>
      <c r="AX114" s="123"/>
      <c r="BC114" s="115"/>
      <c r="BD114" s="115"/>
      <c r="BE114" s="115"/>
      <c r="BF114" s="115"/>
      <c r="BG114" s="115"/>
      <c r="BH114" s="115"/>
      <c r="BI114" s="115"/>
      <c r="BJ114" s="115"/>
      <c r="BK114" s="115"/>
      <c r="BL114" s="115"/>
      <c r="BM114" s="25"/>
      <c r="BN114" s="13"/>
      <c r="BQ114" s="114"/>
    </row>
    <row r="115" spans="1:69" ht="20.100000000000001" customHeight="1" x14ac:dyDescent="0.4">
      <c r="A115" s="117"/>
      <c r="B115" s="123"/>
      <c r="C115" s="123"/>
      <c r="D115" s="123"/>
      <c r="F115" s="117"/>
      <c r="G115" s="135"/>
      <c r="H115" s="135"/>
      <c r="I115" s="135"/>
      <c r="J115" s="135"/>
      <c r="K115" s="135"/>
      <c r="L115" s="136"/>
      <c r="M115" s="136"/>
      <c r="N115" s="25">
        <v>45979</v>
      </c>
      <c r="O115" s="15" t="s">
        <v>146</v>
      </c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29"/>
      <c r="AE115" s="29"/>
      <c r="AO115" s="25"/>
      <c r="AP115" s="13"/>
      <c r="AU115" s="116"/>
      <c r="AV115" s="123"/>
      <c r="AW115" s="123"/>
      <c r="AX115" s="123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115"/>
      <c r="BM115" s="25"/>
      <c r="BN115" s="13"/>
      <c r="BQ115" s="114"/>
    </row>
    <row r="116" spans="1:69" ht="20.100000000000001" customHeight="1" x14ac:dyDescent="0.4">
      <c r="A116" s="117"/>
      <c r="B116" s="123"/>
      <c r="C116" s="123"/>
      <c r="D116" s="123"/>
      <c r="F116" s="117"/>
      <c r="G116" s="135"/>
      <c r="H116" s="135"/>
      <c r="I116" s="135"/>
      <c r="J116" s="135"/>
      <c r="K116" s="135"/>
      <c r="L116" s="136"/>
      <c r="M116" s="136"/>
      <c r="N116" s="25">
        <v>45979</v>
      </c>
      <c r="O116" s="15" t="s">
        <v>146</v>
      </c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O116" s="25"/>
      <c r="AP116" s="13"/>
      <c r="AU116" s="116"/>
      <c r="AV116" s="123"/>
      <c r="AW116" s="123"/>
      <c r="AX116" s="123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25"/>
      <c r="BN116" s="13"/>
      <c r="BQ116" s="114"/>
    </row>
    <row r="117" spans="1:69" ht="20.100000000000001" customHeight="1" x14ac:dyDescent="0.4">
      <c r="A117" s="117"/>
      <c r="B117" s="123"/>
      <c r="C117" s="123"/>
      <c r="D117" s="123"/>
      <c r="F117" s="117"/>
      <c r="G117" s="135"/>
      <c r="H117" s="135"/>
      <c r="I117" s="135"/>
      <c r="J117" s="135"/>
      <c r="K117" s="135"/>
      <c r="L117" s="136"/>
      <c r="M117" s="136"/>
      <c r="N117" s="25">
        <v>45979</v>
      </c>
      <c r="O117" s="15" t="s">
        <v>147</v>
      </c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O117" s="25"/>
      <c r="AP117" s="13"/>
      <c r="AU117" s="116"/>
      <c r="AV117" s="123"/>
      <c r="AW117" s="123"/>
      <c r="AX117" s="123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25"/>
      <c r="BN117" s="13"/>
      <c r="BQ117" s="114"/>
    </row>
    <row r="118" spans="1:69" ht="20.100000000000001" customHeight="1" x14ac:dyDescent="0.4">
      <c r="A118" s="117"/>
      <c r="B118" s="123"/>
      <c r="C118" s="123"/>
      <c r="D118" s="123"/>
      <c r="F118" s="117"/>
      <c r="G118" s="135"/>
      <c r="H118" s="135"/>
      <c r="I118" s="135"/>
      <c r="J118" s="135"/>
      <c r="K118" s="135"/>
      <c r="L118" s="136"/>
      <c r="M118" s="136" t="s">
        <v>383</v>
      </c>
      <c r="N118" s="13">
        <f>SUBTOTAL(3,N93:N117)</f>
        <v>25</v>
      </c>
      <c r="O118" s="15">
        <f>SUBTOTAL(3,O93:O117)</f>
        <v>25</v>
      </c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O118" s="25"/>
      <c r="AP118" s="13"/>
      <c r="AU118" s="116"/>
      <c r="AV118" s="123"/>
      <c r="AW118" s="123"/>
      <c r="AX118" s="123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25"/>
      <c r="BN118" s="13"/>
      <c r="BQ118" s="114"/>
    </row>
    <row r="119" spans="1:69" ht="20.100000000000001" customHeight="1" x14ac:dyDescent="0.4">
      <c r="A119" s="117"/>
      <c r="B119" s="123"/>
      <c r="C119" s="123"/>
      <c r="D119" s="123"/>
      <c r="F119" s="117"/>
      <c r="G119" s="135"/>
      <c r="H119" s="135"/>
      <c r="I119" s="135"/>
      <c r="J119" s="135"/>
      <c r="K119" s="135"/>
      <c r="L119" s="136"/>
      <c r="M119" s="136"/>
      <c r="N119" s="25">
        <v>45980</v>
      </c>
      <c r="O119" s="15" t="s">
        <v>147</v>
      </c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29"/>
      <c r="AE119" s="29"/>
      <c r="AO119" s="25"/>
      <c r="AP119" s="13"/>
      <c r="AU119" s="116"/>
      <c r="AV119" s="123"/>
      <c r="AW119" s="123"/>
      <c r="AX119" s="123"/>
      <c r="BC119" s="115"/>
      <c r="BD119" s="115"/>
      <c r="BE119" s="115"/>
      <c r="BF119" s="115"/>
      <c r="BG119" s="115"/>
      <c r="BH119" s="115"/>
      <c r="BI119" s="115"/>
      <c r="BJ119" s="115"/>
      <c r="BK119" s="115"/>
      <c r="BL119" s="115"/>
      <c r="BM119" s="25"/>
      <c r="BN119" s="13"/>
      <c r="BQ119" s="114"/>
    </row>
    <row r="120" spans="1:69" ht="20.100000000000001" customHeight="1" x14ac:dyDescent="0.4">
      <c r="A120" s="117"/>
      <c r="B120" s="123"/>
      <c r="C120" s="123"/>
      <c r="D120" s="123"/>
      <c r="F120" s="117"/>
      <c r="G120" s="135"/>
      <c r="H120" s="135"/>
      <c r="I120" s="135"/>
      <c r="J120" s="135"/>
      <c r="K120" s="135"/>
      <c r="L120" s="136"/>
      <c r="M120" s="136" t="s">
        <v>384</v>
      </c>
      <c r="N120" s="13">
        <f>SUBTOTAL(3,N119:N119)</f>
        <v>1</v>
      </c>
      <c r="O120" s="15">
        <f>SUBTOTAL(3,O119:O119)</f>
        <v>1</v>
      </c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29"/>
      <c r="AE120" s="29"/>
      <c r="AO120" s="25"/>
      <c r="AP120" s="13"/>
      <c r="AU120" s="116"/>
      <c r="AV120" s="123"/>
      <c r="AW120" s="123"/>
      <c r="AX120" s="123"/>
      <c r="BC120" s="115"/>
      <c r="BD120" s="115"/>
      <c r="BE120" s="115"/>
      <c r="BF120" s="115"/>
      <c r="BG120" s="115"/>
      <c r="BH120" s="115"/>
      <c r="BI120" s="115"/>
      <c r="BJ120" s="115"/>
      <c r="BK120" s="115"/>
      <c r="BL120" s="115"/>
      <c r="BM120" s="25"/>
      <c r="BN120" s="13"/>
      <c r="BQ120" s="114"/>
    </row>
    <row r="121" spans="1:69" ht="20.100000000000001" customHeight="1" x14ac:dyDescent="0.4">
      <c r="A121" s="117"/>
      <c r="B121" s="123"/>
      <c r="C121" s="123"/>
      <c r="D121" s="123"/>
      <c r="F121" s="117"/>
      <c r="G121" s="135"/>
      <c r="H121" s="135"/>
      <c r="I121" s="135"/>
      <c r="J121" s="135"/>
      <c r="K121" s="135"/>
      <c r="L121" s="136"/>
      <c r="M121" s="136"/>
      <c r="N121" s="25">
        <v>45984</v>
      </c>
      <c r="O121" s="15" t="s">
        <v>147</v>
      </c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29"/>
      <c r="AE121" s="29"/>
      <c r="AO121" s="25"/>
      <c r="AP121" s="13"/>
      <c r="AU121" s="116"/>
      <c r="AV121" s="123"/>
      <c r="AW121" s="123"/>
      <c r="AX121" s="123"/>
      <c r="BC121" s="115"/>
      <c r="BD121" s="115"/>
      <c r="BE121" s="115"/>
      <c r="BF121" s="115"/>
      <c r="BG121" s="115"/>
      <c r="BH121" s="115"/>
      <c r="BI121" s="115"/>
      <c r="BJ121" s="115"/>
      <c r="BK121" s="115"/>
      <c r="BL121" s="115"/>
      <c r="BM121" s="25"/>
      <c r="BN121" s="13"/>
      <c r="BQ121" s="114"/>
    </row>
    <row r="122" spans="1:69" ht="20.100000000000001" customHeight="1" x14ac:dyDescent="0.4">
      <c r="A122" s="117"/>
      <c r="B122" s="123"/>
      <c r="C122" s="123"/>
      <c r="D122" s="123"/>
      <c r="F122" s="117"/>
      <c r="G122" s="135"/>
      <c r="H122" s="135"/>
      <c r="I122" s="135"/>
      <c r="J122" s="135"/>
      <c r="K122" s="135"/>
      <c r="L122" s="136"/>
      <c r="M122" s="136"/>
      <c r="N122" s="25">
        <v>45984</v>
      </c>
      <c r="O122" s="13" t="s">
        <v>146</v>
      </c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O122" s="25"/>
      <c r="AP122" s="13"/>
      <c r="AU122" s="116"/>
      <c r="AV122" s="123"/>
      <c r="AW122" s="123"/>
      <c r="AX122" s="123"/>
      <c r="BC122" s="115"/>
      <c r="BD122" s="115"/>
      <c r="BE122" s="115"/>
      <c r="BF122" s="115"/>
      <c r="BG122" s="115"/>
      <c r="BH122" s="115"/>
      <c r="BI122" s="115"/>
      <c r="BJ122" s="115"/>
      <c r="BK122" s="115"/>
      <c r="BL122" s="115"/>
      <c r="BM122" s="25"/>
      <c r="BN122" s="13"/>
      <c r="BQ122" s="114"/>
    </row>
    <row r="123" spans="1:69" ht="20.100000000000001" customHeight="1" x14ac:dyDescent="0.4">
      <c r="A123" s="117"/>
      <c r="B123" s="123"/>
      <c r="C123" s="123"/>
      <c r="D123" s="123"/>
      <c r="F123" s="117"/>
      <c r="G123" s="135"/>
      <c r="H123" s="136"/>
      <c r="I123" s="136"/>
      <c r="J123" s="136"/>
      <c r="K123" s="136"/>
      <c r="L123" s="136"/>
      <c r="M123" s="136"/>
      <c r="N123" s="25">
        <v>45984</v>
      </c>
      <c r="O123" s="13" t="s">
        <v>147</v>
      </c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O123" s="25"/>
      <c r="AP123" s="13"/>
      <c r="AU123" s="116"/>
      <c r="AV123" s="123"/>
      <c r="AW123" s="123"/>
      <c r="AX123" s="123"/>
      <c r="BC123" s="115"/>
      <c r="BD123" s="115"/>
      <c r="BE123" s="115"/>
      <c r="BF123" s="115"/>
      <c r="BG123" s="115"/>
      <c r="BH123" s="115"/>
      <c r="BI123" s="115"/>
      <c r="BJ123" s="115"/>
      <c r="BK123" s="115"/>
      <c r="BL123" s="115"/>
      <c r="BM123" s="25"/>
      <c r="BN123" s="13"/>
      <c r="BQ123" s="114"/>
    </row>
    <row r="124" spans="1:69" ht="20.100000000000001" customHeight="1" x14ac:dyDescent="0.4">
      <c r="A124" s="117"/>
      <c r="B124" s="123"/>
      <c r="C124" s="123"/>
      <c r="D124" s="123"/>
      <c r="F124" s="117"/>
      <c r="G124" s="135"/>
      <c r="H124" s="136"/>
      <c r="I124" s="136"/>
      <c r="J124" s="136"/>
      <c r="K124" s="136"/>
      <c r="L124" s="136"/>
      <c r="M124" s="136"/>
      <c r="N124" s="25">
        <v>45984</v>
      </c>
      <c r="O124" s="13" t="s">
        <v>147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O124" s="25"/>
      <c r="AP124" s="13"/>
      <c r="AU124" s="116"/>
      <c r="AV124" s="123"/>
      <c r="AW124" s="123"/>
      <c r="AX124" s="123"/>
      <c r="BC124" s="115"/>
      <c r="BD124" s="115"/>
      <c r="BE124" s="115"/>
      <c r="BF124" s="115"/>
      <c r="BG124" s="115"/>
      <c r="BH124" s="115"/>
      <c r="BI124" s="115"/>
      <c r="BJ124" s="115"/>
      <c r="BK124" s="115"/>
      <c r="BL124" s="115"/>
      <c r="BM124" s="25"/>
      <c r="BN124" s="13"/>
      <c r="BQ124" s="114"/>
    </row>
    <row r="125" spans="1:69" ht="20.100000000000001" customHeight="1" x14ac:dyDescent="0.4">
      <c r="A125" s="117"/>
      <c r="B125" s="123"/>
      <c r="C125" s="123"/>
      <c r="D125" s="123"/>
      <c r="F125" s="117"/>
      <c r="G125" s="135"/>
      <c r="H125" s="136"/>
      <c r="I125" s="136"/>
      <c r="J125" s="136"/>
      <c r="K125" s="136"/>
      <c r="L125" s="136"/>
      <c r="M125" s="136" t="s">
        <v>385</v>
      </c>
      <c r="N125" s="13">
        <f>SUBTOTAL(3,N121:N124)</f>
        <v>4</v>
      </c>
      <c r="O125" s="13">
        <f>SUBTOTAL(3,O121:O124)</f>
        <v>4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O125" s="25"/>
      <c r="AP125" s="13"/>
      <c r="AU125" s="116"/>
      <c r="AV125" s="123"/>
      <c r="AW125" s="123"/>
      <c r="AX125" s="123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25"/>
      <c r="BN125" s="13"/>
      <c r="BQ125" s="114"/>
    </row>
    <row r="126" spans="1:69" ht="20.100000000000001" customHeight="1" x14ac:dyDescent="0.4">
      <c r="A126" s="117"/>
      <c r="B126" s="123"/>
      <c r="C126" s="123"/>
      <c r="D126" s="123"/>
      <c r="F126" s="117"/>
      <c r="G126" s="135"/>
      <c r="H126" s="136"/>
      <c r="I126" s="136"/>
      <c r="J126" s="136"/>
      <c r="K126" s="136"/>
      <c r="L126" s="136"/>
      <c r="M126" s="136"/>
      <c r="N126" s="25">
        <v>45985</v>
      </c>
      <c r="O126" s="13" t="s">
        <v>146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O126" s="25"/>
      <c r="AP126" s="13"/>
      <c r="AU126" s="116"/>
      <c r="AV126" s="123"/>
      <c r="AW126" s="123"/>
      <c r="AX126" s="123"/>
      <c r="BC126" s="115"/>
      <c r="BD126" s="115"/>
      <c r="BE126" s="115"/>
      <c r="BF126" s="115"/>
      <c r="BG126" s="115"/>
      <c r="BH126" s="115"/>
      <c r="BI126" s="115"/>
      <c r="BJ126" s="115"/>
      <c r="BK126" s="115"/>
      <c r="BL126" s="115"/>
      <c r="BM126" s="25"/>
      <c r="BN126" s="13"/>
      <c r="BQ126" s="114"/>
    </row>
    <row r="127" spans="1:69" ht="20.100000000000001" customHeight="1" x14ac:dyDescent="0.4">
      <c r="A127" s="117"/>
      <c r="B127" s="123"/>
      <c r="C127" s="123"/>
      <c r="D127" s="123"/>
      <c r="F127" s="117"/>
      <c r="G127" s="135"/>
      <c r="H127" s="136"/>
      <c r="I127" s="136"/>
      <c r="J127" s="136"/>
      <c r="K127" s="136"/>
      <c r="L127" s="136"/>
      <c r="M127" s="136"/>
      <c r="N127" s="25">
        <v>45985</v>
      </c>
      <c r="O127" s="13" t="s">
        <v>146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O127" s="25"/>
      <c r="AP127" s="13"/>
      <c r="AU127" s="116"/>
      <c r="AV127" s="123"/>
      <c r="AW127" s="123"/>
      <c r="AX127" s="123"/>
      <c r="BC127" s="115"/>
      <c r="BD127" s="115"/>
      <c r="BE127" s="115"/>
      <c r="BF127" s="115"/>
      <c r="BG127" s="115"/>
      <c r="BH127" s="115"/>
      <c r="BI127" s="115"/>
      <c r="BJ127" s="115"/>
      <c r="BK127" s="115"/>
      <c r="BL127" s="115"/>
      <c r="BM127" s="25"/>
      <c r="BN127" s="13"/>
      <c r="BQ127" s="114"/>
    </row>
    <row r="128" spans="1:69" ht="20.100000000000001" customHeight="1" x14ac:dyDescent="0.4">
      <c r="A128" s="117"/>
      <c r="B128" s="123"/>
      <c r="C128" s="123"/>
      <c r="D128" s="123"/>
      <c r="F128" s="117"/>
      <c r="G128" s="135"/>
      <c r="H128" s="136"/>
      <c r="I128" s="136"/>
      <c r="J128" s="136"/>
      <c r="K128" s="136"/>
      <c r="L128" s="136"/>
      <c r="M128" s="136"/>
      <c r="N128" s="25">
        <v>45985</v>
      </c>
      <c r="O128" s="13" t="s">
        <v>146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O128" s="25"/>
      <c r="AP128" s="13"/>
      <c r="AU128" s="116"/>
      <c r="AV128" s="123"/>
      <c r="AW128" s="123"/>
      <c r="AX128" s="123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25"/>
      <c r="BN128" s="13"/>
      <c r="BQ128" s="114"/>
    </row>
    <row r="129" spans="1:69" ht="20.100000000000001" customHeight="1" x14ac:dyDescent="0.4">
      <c r="A129" s="117"/>
      <c r="B129" s="123"/>
      <c r="C129" s="123"/>
      <c r="D129" s="123"/>
      <c r="F129" s="117"/>
      <c r="G129" s="135"/>
      <c r="H129" s="136"/>
      <c r="I129" s="136"/>
      <c r="J129" s="136"/>
      <c r="K129" s="136"/>
      <c r="L129" s="136"/>
      <c r="M129" s="136" t="s">
        <v>386</v>
      </c>
      <c r="N129" s="13">
        <f>SUBTOTAL(3,N126:N128)</f>
        <v>3</v>
      </c>
      <c r="O129" s="13">
        <f>SUBTOTAL(3,O126:O128)</f>
        <v>3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O129" s="25"/>
      <c r="AP129" s="13"/>
      <c r="AU129" s="116"/>
      <c r="AV129" s="123"/>
      <c r="AW129" s="123"/>
      <c r="AX129" s="123"/>
      <c r="BC129" s="115"/>
      <c r="BD129" s="115"/>
      <c r="BE129" s="115"/>
      <c r="BF129" s="115"/>
      <c r="BG129" s="115"/>
      <c r="BH129" s="115"/>
      <c r="BI129" s="115"/>
      <c r="BJ129" s="115"/>
      <c r="BK129" s="115"/>
      <c r="BL129" s="115"/>
      <c r="BM129" s="25"/>
      <c r="BN129" s="13"/>
      <c r="BQ129" s="114"/>
    </row>
    <row r="130" spans="1:69" ht="20.100000000000001" customHeight="1" x14ac:dyDescent="0.4">
      <c r="A130" s="117"/>
      <c r="B130" s="123"/>
      <c r="C130" s="123"/>
      <c r="D130" s="123"/>
      <c r="F130" s="117"/>
      <c r="G130" s="135"/>
      <c r="H130" s="136"/>
      <c r="I130" s="136"/>
      <c r="J130" s="136"/>
      <c r="K130" s="136"/>
      <c r="L130" s="136"/>
      <c r="M130" s="136"/>
      <c r="N130" s="25">
        <v>45986</v>
      </c>
      <c r="O130" s="13" t="s">
        <v>147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27"/>
      <c r="AE130" s="29"/>
      <c r="AO130" s="25"/>
      <c r="AP130" s="13"/>
      <c r="AU130" s="116"/>
      <c r="AV130" s="123"/>
      <c r="AW130" s="123"/>
      <c r="AX130" s="123"/>
      <c r="BC130" s="115"/>
      <c r="BD130" s="115"/>
      <c r="BE130" s="115"/>
      <c r="BF130" s="115"/>
      <c r="BG130" s="115"/>
      <c r="BH130" s="115"/>
      <c r="BI130" s="115"/>
      <c r="BJ130" s="115"/>
      <c r="BK130" s="115"/>
      <c r="BL130" s="115"/>
      <c r="BM130" s="25"/>
      <c r="BN130" s="13"/>
      <c r="BQ130" s="114"/>
    </row>
    <row r="131" spans="1:69" ht="20.100000000000001" customHeight="1" x14ac:dyDescent="0.4">
      <c r="A131" s="117"/>
      <c r="B131" s="123"/>
      <c r="C131" s="123"/>
      <c r="D131" s="123"/>
      <c r="F131" s="117"/>
      <c r="G131" s="135"/>
      <c r="H131" s="136"/>
      <c r="I131" s="136"/>
      <c r="J131" s="136"/>
      <c r="K131" s="136"/>
      <c r="L131" s="136"/>
      <c r="M131" s="136"/>
      <c r="N131" s="25">
        <v>45986</v>
      </c>
      <c r="O131" s="13" t="s">
        <v>147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27"/>
      <c r="AE131" s="29"/>
      <c r="AO131" s="25"/>
      <c r="AP131" s="13"/>
      <c r="AU131" s="116"/>
      <c r="AV131" s="123"/>
      <c r="AW131" s="123"/>
      <c r="AX131" s="123"/>
      <c r="BC131" s="115"/>
      <c r="BD131" s="115"/>
      <c r="BE131" s="115"/>
      <c r="BF131" s="115"/>
      <c r="BG131" s="115"/>
      <c r="BH131" s="115"/>
      <c r="BI131" s="115"/>
      <c r="BJ131" s="115"/>
      <c r="BK131" s="115"/>
      <c r="BL131" s="115"/>
      <c r="BM131" s="25"/>
      <c r="BN131" s="13"/>
      <c r="BQ131" s="114"/>
    </row>
    <row r="132" spans="1:69" ht="20.100000000000001" customHeight="1" x14ac:dyDescent="0.4">
      <c r="A132" s="117"/>
      <c r="B132" s="123"/>
      <c r="C132" s="123"/>
      <c r="D132" s="123"/>
      <c r="F132" s="117"/>
      <c r="G132" s="135"/>
      <c r="H132" s="136"/>
      <c r="I132" s="136"/>
      <c r="J132" s="136"/>
      <c r="K132" s="136"/>
      <c r="L132" s="136"/>
      <c r="M132" s="136"/>
      <c r="N132" s="25">
        <v>45986</v>
      </c>
      <c r="O132" s="13" t="s">
        <v>147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O132" s="25"/>
      <c r="AP132" s="13"/>
      <c r="AU132" s="116"/>
      <c r="AV132" s="123"/>
      <c r="AW132" s="123"/>
      <c r="AX132" s="123"/>
      <c r="BC132" s="115"/>
      <c r="BD132" s="115"/>
      <c r="BE132" s="115"/>
      <c r="BF132" s="115"/>
      <c r="BG132" s="115"/>
      <c r="BH132" s="115"/>
      <c r="BI132" s="115"/>
      <c r="BJ132" s="115"/>
      <c r="BK132" s="115"/>
      <c r="BL132" s="115"/>
      <c r="BM132" s="25"/>
      <c r="BN132" s="13"/>
      <c r="BQ132" s="114"/>
    </row>
    <row r="133" spans="1:69" ht="20.100000000000001" customHeight="1" x14ac:dyDescent="0.4">
      <c r="A133" s="117"/>
      <c r="B133" s="123"/>
      <c r="C133" s="123"/>
      <c r="D133" s="123"/>
      <c r="F133" s="117"/>
      <c r="G133" s="135"/>
      <c r="H133" s="136"/>
      <c r="I133" s="136"/>
      <c r="J133" s="136"/>
      <c r="K133" s="136"/>
      <c r="L133" s="136"/>
      <c r="M133" s="136"/>
      <c r="N133" s="25">
        <v>45986</v>
      </c>
      <c r="O133" s="13" t="s">
        <v>147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O133" s="25"/>
      <c r="AP133" s="13"/>
      <c r="AU133" s="116"/>
      <c r="AV133" s="123"/>
      <c r="AW133" s="123"/>
      <c r="AX133" s="123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25"/>
      <c r="BN133" s="13"/>
      <c r="BQ133" s="114"/>
    </row>
    <row r="134" spans="1:69" ht="20.100000000000001" customHeight="1" x14ac:dyDescent="0.4">
      <c r="A134" s="117"/>
      <c r="B134" s="123"/>
      <c r="C134" s="123"/>
      <c r="D134" s="123"/>
      <c r="F134" s="117"/>
      <c r="G134" s="135"/>
      <c r="H134" s="136"/>
      <c r="I134" s="136"/>
      <c r="J134" s="136"/>
      <c r="K134" s="136"/>
      <c r="L134" s="136"/>
      <c r="M134" s="136" t="s">
        <v>387</v>
      </c>
      <c r="N134" s="13">
        <f>SUBTOTAL(3,N130:N133)</f>
        <v>4</v>
      </c>
      <c r="O134" s="13">
        <f>SUBTOTAL(3,O130:O133)</f>
        <v>4</v>
      </c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27"/>
      <c r="AE134" s="29"/>
      <c r="AO134" s="25"/>
      <c r="AP134" s="13"/>
      <c r="AU134" s="116"/>
      <c r="AV134" s="123"/>
      <c r="AW134" s="123"/>
      <c r="AX134" s="123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25"/>
      <c r="BN134" s="13"/>
      <c r="BQ134" s="114"/>
    </row>
    <row r="135" spans="1:69" ht="20.100000000000001" customHeight="1" x14ac:dyDescent="0.4">
      <c r="A135" s="117"/>
      <c r="B135" s="123"/>
      <c r="C135" s="123"/>
      <c r="D135" s="123"/>
      <c r="F135" s="117"/>
      <c r="G135" s="135"/>
      <c r="H135" s="136"/>
      <c r="I135" s="136"/>
      <c r="J135" s="136"/>
      <c r="K135" s="136"/>
      <c r="L135" s="136"/>
      <c r="M135" s="136"/>
      <c r="N135" s="25">
        <v>45987</v>
      </c>
      <c r="O135" s="13" t="s">
        <v>148</v>
      </c>
      <c r="AD135" s="127"/>
      <c r="AE135" s="29"/>
      <c r="AO135" s="25"/>
      <c r="AP135" s="13"/>
      <c r="AU135" s="116"/>
      <c r="AV135" s="123"/>
      <c r="AW135" s="123"/>
      <c r="AX135" s="123"/>
      <c r="BC135" s="115"/>
      <c r="BD135" s="115"/>
      <c r="BE135" s="115"/>
      <c r="BF135" s="115"/>
      <c r="BG135" s="115"/>
      <c r="BH135" s="115"/>
      <c r="BI135" s="115"/>
      <c r="BJ135" s="115"/>
      <c r="BK135" s="115"/>
      <c r="BL135" s="115"/>
      <c r="BM135" s="25"/>
      <c r="BN135" s="13"/>
      <c r="BQ135" s="114"/>
    </row>
    <row r="136" spans="1:69" ht="20.100000000000001" customHeight="1" x14ac:dyDescent="0.4">
      <c r="A136" s="117"/>
      <c r="B136" s="123"/>
      <c r="C136" s="123"/>
      <c r="D136" s="123"/>
      <c r="F136" s="117"/>
      <c r="G136" s="135"/>
      <c r="H136" s="136"/>
      <c r="I136" s="136"/>
      <c r="J136" s="136"/>
      <c r="K136" s="136"/>
      <c r="L136" s="136"/>
      <c r="M136" s="136"/>
      <c r="N136" s="25">
        <v>45987</v>
      </c>
      <c r="O136" s="13" t="s">
        <v>148</v>
      </c>
      <c r="Z136" s="115"/>
      <c r="AA136" s="115"/>
      <c r="AB136" s="115"/>
      <c r="AC136" s="115"/>
      <c r="AD136" s="127"/>
      <c r="AE136" s="29"/>
      <c r="AO136" s="25"/>
      <c r="AP136" s="13"/>
      <c r="AU136" s="116"/>
      <c r="AV136" s="123"/>
      <c r="AW136" s="123"/>
      <c r="AX136" s="123"/>
      <c r="BC136" s="115"/>
      <c r="BD136" s="115"/>
      <c r="BE136" s="115"/>
      <c r="BF136" s="115"/>
      <c r="BG136" s="115"/>
      <c r="BH136" s="115"/>
      <c r="BI136" s="115"/>
      <c r="BJ136" s="115"/>
      <c r="BK136" s="115"/>
      <c r="BL136" s="115"/>
      <c r="BM136" s="25"/>
      <c r="BN136" s="13"/>
      <c r="BQ136" s="114"/>
    </row>
    <row r="137" spans="1:69" ht="20.100000000000001" customHeight="1" x14ac:dyDescent="0.4">
      <c r="A137" s="117"/>
      <c r="B137" s="123"/>
      <c r="C137" s="123"/>
      <c r="D137" s="123"/>
      <c r="F137" s="117"/>
      <c r="G137" s="135"/>
      <c r="H137" s="136"/>
      <c r="I137" s="136"/>
      <c r="J137" s="136"/>
      <c r="K137" s="136"/>
      <c r="L137" s="136"/>
      <c r="M137" s="136"/>
      <c r="N137" s="25">
        <v>45987</v>
      </c>
      <c r="O137" s="13" t="s">
        <v>148</v>
      </c>
      <c r="Z137" s="115"/>
      <c r="AA137" s="115"/>
      <c r="AB137" s="115"/>
      <c r="AC137" s="115"/>
      <c r="AD137" s="127"/>
      <c r="AE137" s="29"/>
      <c r="AO137" s="25"/>
      <c r="AP137" s="13"/>
      <c r="AU137" s="116"/>
      <c r="AV137" s="123"/>
      <c r="AW137" s="123"/>
      <c r="AX137" s="123"/>
      <c r="BC137" s="115"/>
      <c r="BD137" s="115"/>
      <c r="BE137" s="115"/>
      <c r="BF137" s="115"/>
      <c r="BG137" s="115"/>
      <c r="BH137" s="115"/>
      <c r="BI137" s="115"/>
      <c r="BJ137" s="115"/>
      <c r="BK137" s="115"/>
      <c r="BL137" s="115"/>
      <c r="BM137" s="25"/>
      <c r="BN137" s="13"/>
      <c r="BQ137" s="114"/>
    </row>
    <row r="138" spans="1:69" ht="20.100000000000001" customHeight="1" x14ac:dyDescent="0.4">
      <c r="A138" s="117"/>
      <c r="B138" s="123"/>
      <c r="C138" s="123"/>
      <c r="D138" s="123"/>
      <c r="F138" s="117"/>
      <c r="G138" s="135"/>
      <c r="H138" s="136"/>
      <c r="I138" s="136"/>
      <c r="J138" s="136"/>
      <c r="K138" s="136"/>
      <c r="L138" s="136"/>
      <c r="M138" s="136"/>
      <c r="N138" s="25">
        <v>45987</v>
      </c>
      <c r="O138" s="13" t="s">
        <v>148</v>
      </c>
      <c r="Z138" s="115"/>
      <c r="AA138" s="115"/>
      <c r="AB138" s="115"/>
      <c r="AC138" s="115"/>
      <c r="AD138" s="127"/>
      <c r="AE138" s="29"/>
      <c r="AO138" s="25"/>
      <c r="AP138" s="13"/>
      <c r="AU138" s="116"/>
      <c r="AV138" s="123"/>
      <c r="AW138" s="123"/>
      <c r="AX138" s="123"/>
      <c r="BC138" s="115"/>
      <c r="BD138" s="115"/>
      <c r="BE138" s="115"/>
      <c r="BF138" s="115"/>
      <c r="BG138" s="115"/>
      <c r="BH138" s="115"/>
      <c r="BI138" s="115"/>
      <c r="BJ138" s="115"/>
      <c r="BK138" s="115"/>
      <c r="BL138" s="115"/>
      <c r="BM138" s="25"/>
      <c r="BN138" s="13"/>
      <c r="BQ138" s="114"/>
    </row>
    <row r="139" spans="1:69" ht="20.100000000000001" customHeight="1" x14ac:dyDescent="0.4">
      <c r="A139" s="117"/>
      <c r="B139" s="123"/>
      <c r="C139" s="123"/>
      <c r="D139" s="123"/>
      <c r="F139" s="117"/>
      <c r="G139" s="135"/>
      <c r="H139" s="136"/>
      <c r="I139" s="136"/>
      <c r="J139" s="136"/>
      <c r="K139" s="136"/>
      <c r="L139" s="136"/>
      <c r="M139" s="136"/>
      <c r="N139" s="25">
        <v>45987</v>
      </c>
      <c r="O139" s="13" t="s">
        <v>148</v>
      </c>
      <c r="Z139" s="115"/>
      <c r="AA139" s="115"/>
      <c r="AB139" s="115"/>
      <c r="AC139" s="115"/>
      <c r="AD139" s="127"/>
      <c r="AE139" s="29"/>
      <c r="AO139" s="25"/>
      <c r="AP139" s="13"/>
      <c r="AU139" s="116"/>
      <c r="AV139" s="123"/>
      <c r="AW139" s="123"/>
      <c r="AX139" s="123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25"/>
      <c r="BN139" s="13"/>
      <c r="BQ139" s="114"/>
    </row>
    <row r="140" spans="1:69" ht="20.100000000000001" customHeight="1" x14ac:dyDescent="0.4">
      <c r="A140" s="117"/>
      <c r="B140" s="123"/>
      <c r="C140" s="123"/>
      <c r="D140" s="123"/>
      <c r="F140" s="117"/>
      <c r="G140" s="135"/>
      <c r="H140" s="136"/>
      <c r="I140" s="136"/>
      <c r="J140" s="136"/>
      <c r="K140" s="136"/>
      <c r="L140" s="136"/>
      <c r="M140" s="136"/>
      <c r="N140" s="25">
        <v>45987</v>
      </c>
      <c r="O140" s="13" t="s">
        <v>146</v>
      </c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O140" s="25"/>
      <c r="AP140" s="13"/>
      <c r="AU140" s="116"/>
      <c r="AV140" s="123"/>
      <c r="AW140" s="123"/>
      <c r="AX140" s="123"/>
      <c r="BC140" s="115"/>
      <c r="BD140" s="115"/>
      <c r="BE140" s="115"/>
      <c r="BF140" s="115"/>
      <c r="BG140" s="115"/>
      <c r="BH140" s="115"/>
      <c r="BI140" s="115"/>
      <c r="BJ140" s="115"/>
      <c r="BK140" s="115"/>
      <c r="BL140" s="115"/>
      <c r="BM140" s="25"/>
      <c r="BN140" s="13"/>
      <c r="BQ140" s="114"/>
    </row>
    <row r="141" spans="1:69" ht="20.100000000000001" customHeight="1" x14ac:dyDescent="0.4">
      <c r="A141" s="117"/>
      <c r="B141" s="123"/>
      <c r="C141" s="123"/>
      <c r="D141" s="123"/>
      <c r="F141" s="117"/>
      <c r="G141" s="135"/>
      <c r="H141" s="136"/>
      <c r="I141" s="136"/>
      <c r="J141" s="136"/>
      <c r="K141" s="136"/>
      <c r="L141" s="136"/>
      <c r="M141" s="136"/>
      <c r="N141" s="25">
        <v>45987</v>
      </c>
      <c r="O141" s="13" t="s">
        <v>148</v>
      </c>
      <c r="V141" s="115"/>
      <c r="W141" s="115"/>
      <c r="X141" s="115"/>
      <c r="Y141" s="115"/>
      <c r="Z141" s="115"/>
      <c r="AA141" s="115"/>
      <c r="AB141" s="115"/>
      <c r="AC141" s="115"/>
      <c r="AD141" s="29"/>
      <c r="AE141" s="29"/>
      <c r="AO141" s="25"/>
      <c r="AP141" s="13"/>
      <c r="AU141" s="116"/>
      <c r="AV141" s="123"/>
      <c r="AW141" s="123"/>
      <c r="AX141" s="123"/>
      <c r="BC141" s="115"/>
      <c r="BD141" s="115"/>
      <c r="BE141" s="115"/>
      <c r="BF141" s="115"/>
      <c r="BG141" s="115"/>
      <c r="BH141" s="115"/>
      <c r="BI141" s="115"/>
      <c r="BJ141" s="115"/>
      <c r="BK141" s="115"/>
      <c r="BL141" s="115"/>
      <c r="BM141" s="25"/>
      <c r="BN141" s="13"/>
      <c r="BQ141" s="114"/>
    </row>
    <row r="142" spans="1:69" ht="20.100000000000001" customHeight="1" x14ac:dyDescent="0.4">
      <c r="A142" s="117"/>
      <c r="B142" s="123"/>
      <c r="C142" s="123"/>
      <c r="D142" s="123"/>
      <c r="F142" s="117"/>
      <c r="G142" s="135"/>
      <c r="H142" s="136"/>
      <c r="I142" s="136"/>
      <c r="J142" s="136"/>
      <c r="K142" s="136"/>
      <c r="L142" s="136"/>
      <c r="M142" s="136" t="s">
        <v>388</v>
      </c>
      <c r="N142" s="13">
        <f>SUBTOTAL(3,N135:N141)</f>
        <v>7</v>
      </c>
      <c r="O142" s="13">
        <f>SUBTOTAL(3,O135:O141)</f>
        <v>7</v>
      </c>
      <c r="V142" s="115"/>
      <c r="W142" s="115"/>
      <c r="X142" s="115"/>
      <c r="Y142" s="115"/>
      <c r="Z142" s="115"/>
      <c r="AA142" s="115"/>
      <c r="AB142" s="115"/>
      <c r="AC142" s="115"/>
      <c r="AD142" s="29"/>
      <c r="AE142" s="29"/>
      <c r="AO142" s="25"/>
      <c r="AP142" s="13"/>
      <c r="AU142" s="116"/>
      <c r="AV142" s="123"/>
      <c r="AW142" s="123"/>
      <c r="AX142" s="123"/>
      <c r="BC142" s="115"/>
      <c r="BD142" s="115"/>
      <c r="BE142" s="115"/>
      <c r="BF142" s="115"/>
      <c r="BG142" s="115"/>
      <c r="BH142" s="115"/>
      <c r="BI142" s="115"/>
      <c r="BJ142" s="115"/>
      <c r="BK142" s="115"/>
      <c r="BL142" s="115"/>
      <c r="BM142" s="25"/>
      <c r="BN142" s="13"/>
      <c r="BQ142" s="114"/>
    </row>
    <row r="143" spans="1:69" ht="20.100000000000001" customHeight="1" x14ac:dyDescent="0.4">
      <c r="A143" s="117"/>
      <c r="B143" s="123"/>
      <c r="C143" s="123"/>
      <c r="D143" s="123"/>
      <c r="F143" s="117"/>
      <c r="G143" s="135"/>
      <c r="H143" s="136"/>
      <c r="I143" s="136"/>
      <c r="J143" s="136"/>
      <c r="K143" s="136"/>
      <c r="L143" s="136"/>
      <c r="M143" s="136"/>
      <c r="N143" s="25">
        <v>45989</v>
      </c>
      <c r="O143" s="13" t="s">
        <v>146</v>
      </c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O143" s="25"/>
      <c r="AP143" s="13"/>
      <c r="AU143" s="116"/>
      <c r="AV143" s="123"/>
      <c r="AW143" s="123"/>
      <c r="AX143" s="123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25"/>
      <c r="BN143" s="13"/>
      <c r="BQ143" s="114"/>
    </row>
    <row r="144" spans="1:69" ht="20.100000000000001" customHeight="1" x14ac:dyDescent="0.4">
      <c r="A144" s="117"/>
      <c r="B144" s="123"/>
      <c r="C144" s="123"/>
      <c r="D144" s="123"/>
      <c r="F144" s="125"/>
      <c r="G144" s="125"/>
      <c r="H144" s="125"/>
      <c r="I144" s="125"/>
      <c r="J144" s="125"/>
      <c r="K144" s="125"/>
      <c r="L144" s="125"/>
      <c r="M144" s="125"/>
      <c r="N144" s="26">
        <v>45989</v>
      </c>
      <c r="O144" s="13" t="s">
        <v>147</v>
      </c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O144" s="25"/>
      <c r="AP144" s="13"/>
      <c r="AU144" s="116"/>
      <c r="AV144" s="123"/>
      <c r="AW144" s="123"/>
      <c r="AX144" s="123"/>
      <c r="BC144" s="115"/>
      <c r="BD144" s="115"/>
      <c r="BE144" s="115"/>
      <c r="BF144" s="115"/>
      <c r="BG144" s="115"/>
      <c r="BH144" s="115"/>
      <c r="BI144" s="115"/>
      <c r="BJ144" s="115"/>
      <c r="BK144" s="115"/>
      <c r="BL144" s="115"/>
      <c r="BM144" s="25"/>
      <c r="BN144" s="13"/>
      <c r="BQ144" s="114"/>
    </row>
    <row r="145" spans="1:69" ht="20.100000000000001" customHeight="1" x14ac:dyDescent="0.4">
      <c r="A145" s="117"/>
      <c r="B145" s="123"/>
      <c r="C145" s="123"/>
      <c r="D145" s="123"/>
      <c r="F145" s="125"/>
      <c r="G145" s="125"/>
      <c r="H145" s="125"/>
      <c r="I145" s="125"/>
      <c r="J145" s="125"/>
      <c r="K145" s="125"/>
      <c r="L145" s="125"/>
      <c r="M145" s="125"/>
      <c r="N145" s="26">
        <v>45989</v>
      </c>
      <c r="O145" s="13" t="s">
        <v>147</v>
      </c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O145" s="25"/>
      <c r="AP145" s="13"/>
      <c r="AU145" s="116"/>
      <c r="AV145" s="123"/>
      <c r="AW145" s="123"/>
      <c r="AX145" s="123"/>
      <c r="BC145" s="115"/>
      <c r="BD145" s="115"/>
      <c r="BE145" s="115"/>
      <c r="BF145" s="115"/>
      <c r="BG145" s="115"/>
      <c r="BH145" s="115"/>
      <c r="BI145" s="115"/>
      <c r="BJ145" s="115"/>
      <c r="BK145" s="115"/>
      <c r="BL145" s="115"/>
      <c r="BM145" s="25"/>
      <c r="BN145" s="13"/>
      <c r="BQ145" s="114"/>
    </row>
    <row r="146" spans="1:69" ht="20.100000000000001" customHeight="1" x14ac:dyDescent="0.4">
      <c r="A146" s="117"/>
      <c r="B146" s="123"/>
      <c r="C146" s="123"/>
      <c r="D146" s="123"/>
      <c r="F146" s="125"/>
      <c r="G146" s="125"/>
      <c r="H146" s="125"/>
      <c r="I146" s="125"/>
      <c r="J146" s="125"/>
      <c r="K146" s="125"/>
      <c r="L146" s="125"/>
      <c r="M146" s="125"/>
      <c r="N146" s="26">
        <v>45989</v>
      </c>
      <c r="O146" s="13" t="s">
        <v>148</v>
      </c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O146" s="25"/>
      <c r="AP146" s="13"/>
      <c r="AU146" s="116"/>
      <c r="AV146" s="123"/>
      <c r="AW146" s="123"/>
      <c r="AX146" s="123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25"/>
      <c r="BN146" s="13"/>
      <c r="BQ146" s="114"/>
    </row>
    <row r="147" spans="1:69" ht="20.100000000000001" customHeight="1" x14ac:dyDescent="0.4">
      <c r="A147" s="117"/>
      <c r="B147" s="123"/>
      <c r="C147" s="123"/>
      <c r="D147" s="123"/>
      <c r="F147" s="125"/>
      <c r="G147" s="125"/>
      <c r="H147" s="125"/>
      <c r="I147" s="125"/>
      <c r="J147" s="125"/>
      <c r="K147" s="125"/>
      <c r="L147" s="125"/>
      <c r="M147" s="125"/>
      <c r="N147" s="26">
        <v>45989</v>
      </c>
      <c r="O147" s="13" t="s">
        <v>146</v>
      </c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O147" s="25"/>
      <c r="AP147" s="13"/>
      <c r="AU147" s="116"/>
      <c r="AV147" s="123"/>
      <c r="AW147" s="123"/>
      <c r="AX147" s="123"/>
      <c r="BC147" s="115"/>
      <c r="BD147" s="115"/>
      <c r="BE147" s="115"/>
      <c r="BF147" s="115"/>
      <c r="BG147" s="115"/>
      <c r="BH147" s="115"/>
      <c r="BI147" s="115"/>
      <c r="BJ147" s="115"/>
      <c r="BK147" s="115"/>
      <c r="BL147" s="115"/>
      <c r="BM147" s="25"/>
      <c r="BN147" s="13"/>
      <c r="BQ147" s="114"/>
    </row>
    <row r="148" spans="1:69" ht="20.100000000000001" customHeight="1" x14ac:dyDescent="0.4">
      <c r="A148" s="117"/>
      <c r="B148" s="123"/>
      <c r="C148" s="123"/>
      <c r="D148" s="123"/>
      <c r="N148" s="26">
        <v>45989</v>
      </c>
      <c r="O148" s="13" t="s">
        <v>146</v>
      </c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O148" s="25"/>
      <c r="AP148" s="13"/>
      <c r="AU148" s="116"/>
      <c r="AV148" s="123"/>
      <c r="AW148" s="123"/>
      <c r="AX148" s="123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25"/>
      <c r="BN148" s="13"/>
      <c r="BQ148" s="114"/>
    </row>
    <row r="149" spans="1:69" ht="20.100000000000001" customHeight="1" x14ac:dyDescent="0.4">
      <c r="A149" s="117"/>
      <c r="B149" s="123"/>
      <c r="C149" s="123"/>
      <c r="D149" s="123"/>
      <c r="K149" s="115"/>
      <c r="L149" s="115"/>
      <c r="M149" s="115"/>
      <c r="N149" s="26">
        <v>45989</v>
      </c>
      <c r="O149" s="13" t="s">
        <v>146</v>
      </c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O149" s="25"/>
      <c r="AP149" s="13"/>
      <c r="AU149" s="116"/>
      <c r="AV149" s="123"/>
      <c r="AW149" s="123"/>
      <c r="AX149" s="123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25"/>
      <c r="BN149" s="13"/>
      <c r="BQ149" s="114"/>
    </row>
    <row r="150" spans="1:69" ht="20.100000000000001" customHeight="1" x14ac:dyDescent="0.4">
      <c r="A150" s="117"/>
      <c r="B150" s="123"/>
      <c r="C150" s="123"/>
      <c r="D150" s="123"/>
      <c r="K150" s="115"/>
      <c r="L150" s="115"/>
      <c r="M150" s="115"/>
      <c r="N150" s="26">
        <v>45989</v>
      </c>
      <c r="O150" s="13" t="s">
        <v>146</v>
      </c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27"/>
      <c r="AE150" s="29"/>
      <c r="AO150" s="25"/>
      <c r="AP150" s="13"/>
      <c r="AU150" s="116"/>
      <c r="AV150" s="123"/>
      <c r="AW150" s="123"/>
      <c r="AX150" s="123"/>
      <c r="BC150" s="115"/>
      <c r="BD150" s="115"/>
      <c r="BE150" s="115"/>
      <c r="BF150" s="115"/>
      <c r="BG150" s="115"/>
      <c r="BH150" s="115"/>
      <c r="BI150" s="115"/>
      <c r="BJ150" s="115"/>
      <c r="BK150" s="115"/>
      <c r="BL150" s="115"/>
      <c r="BM150" s="25"/>
      <c r="BN150" s="13"/>
      <c r="BQ150" s="114"/>
    </row>
    <row r="151" spans="1:69" ht="20.100000000000001" customHeight="1" x14ac:dyDescent="0.4">
      <c r="A151" s="117"/>
      <c r="B151" s="123"/>
      <c r="C151" s="123"/>
      <c r="D151" s="123"/>
      <c r="N151" s="26">
        <v>45989</v>
      </c>
      <c r="O151" s="13" t="s">
        <v>148</v>
      </c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O151" s="25"/>
      <c r="AP151" s="13"/>
      <c r="AU151" s="116"/>
      <c r="AV151" s="123"/>
      <c r="AW151" s="123"/>
      <c r="AX151" s="123"/>
      <c r="BC151" s="115"/>
      <c r="BD151" s="115"/>
      <c r="BE151" s="115"/>
      <c r="BF151" s="115"/>
      <c r="BG151" s="115"/>
      <c r="BH151" s="115"/>
      <c r="BI151" s="115"/>
      <c r="BJ151" s="115"/>
      <c r="BK151" s="115"/>
      <c r="BL151" s="115"/>
      <c r="BM151" s="25"/>
      <c r="BN151" s="13"/>
      <c r="BQ151" s="114"/>
    </row>
    <row r="152" spans="1:69" ht="20.100000000000001" customHeight="1" x14ac:dyDescent="0.4">
      <c r="A152" s="117"/>
      <c r="B152" s="123"/>
      <c r="C152" s="123"/>
      <c r="D152" s="123"/>
      <c r="N152" s="26">
        <v>45989</v>
      </c>
      <c r="O152" s="13" t="s">
        <v>147</v>
      </c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134"/>
      <c r="AO152" s="25"/>
      <c r="AP152" s="13"/>
      <c r="AU152" s="116"/>
      <c r="AV152" s="123"/>
      <c r="AW152" s="123"/>
      <c r="AX152" s="123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25"/>
      <c r="BN152" s="13"/>
      <c r="BQ152" s="114"/>
    </row>
    <row r="153" spans="1:69" ht="20.100000000000001" customHeight="1" x14ac:dyDescent="0.4">
      <c r="A153" s="117"/>
      <c r="B153" s="123"/>
      <c r="C153" s="123"/>
      <c r="D153" s="123"/>
      <c r="L153" s="115"/>
      <c r="M153" s="115"/>
      <c r="N153" s="26">
        <v>45989</v>
      </c>
      <c r="O153" s="13" t="s">
        <v>146</v>
      </c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134"/>
      <c r="AO153" s="25"/>
      <c r="AP153" s="13"/>
      <c r="AU153" s="116"/>
      <c r="AV153" s="123"/>
      <c r="AW153" s="123"/>
      <c r="AX153" s="123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25"/>
      <c r="BN153" s="13"/>
      <c r="BQ153" s="114"/>
    </row>
    <row r="154" spans="1:69" ht="20.100000000000001" customHeight="1" x14ac:dyDescent="0.4">
      <c r="A154" s="117"/>
      <c r="B154" s="123"/>
      <c r="C154" s="123"/>
      <c r="D154" s="123"/>
      <c r="L154" s="115"/>
      <c r="M154" s="115" t="s">
        <v>389</v>
      </c>
      <c r="N154" s="17">
        <f>SUBTOTAL(3,N143:N153)</f>
        <v>11</v>
      </c>
      <c r="O154" s="13">
        <f>SUBTOTAL(3,O143:O153)</f>
        <v>11</v>
      </c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134"/>
      <c r="AO154" s="25"/>
      <c r="AP154" s="13"/>
      <c r="AU154" s="116"/>
      <c r="AV154" s="123"/>
      <c r="AW154" s="123"/>
      <c r="AX154" s="123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25"/>
      <c r="BN154" s="13"/>
      <c r="BQ154" s="114"/>
    </row>
    <row r="155" spans="1:69" ht="20.100000000000001" customHeight="1" x14ac:dyDescent="0.4">
      <c r="A155" s="117"/>
      <c r="B155" s="123"/>
      <c r="C155" s="123"/>
      <c r="D155" s="123"/>
      <c r="J155" s="115"/>
      <c r="K155" s="115"/>
      <c r="L155" s="115"/>
      <c r="M155" s="115"/>
      <c r="N155" s="26">
        <v>45991</v>
      </c>
      <c r="O155" s="13" t="s">
        <v>147</v>
      </c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27"/>
      <c r="AE155" s="134"/>
      <c r="AO155" s="25"/>
      <c r="AP155" s="13"/>
      <c r="AU155" s="116"/>
      <c r="AV155" s="123"/>
      <c r="AW155" s="123"/>
      <c r="AX155" s="123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25"/>
      <c r="BN155" s="13"/>
      <c r="BQ155" s="114"/>
    </row>
    <row r="156" spans="1:69" ht="20.100000000000001" customHeight="1" x14ac:dyDescent="0.4">
      <c r="A156" s="117"/>
      <c r="B156" s="123"/>
      <c r="C156" s="123"/>
      <c r="D156" s="123"/>
      <c r="J156" s="115"/>
      <c r="K156" s="115"/>
      <c r="L156" s="115"/>
      <c r="M156" s="115"/>
      <c r="N156" s="26">
        <v>45991</v>
      </c>
      <c r="O156" s="13" t="s">
        <v>148</v>
      </c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134"/>
      <c r="AO156" s="25"/>
      <c r="AP156" s="13"/>
      <c r="AU156" s="116"/>
      <c r="AV156" s="123"/>
      <c r="AW156" s="123"/>
      <c r="AX156" s="123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25"/>
      <c r="BN156" s="13"/>
      <c r="BQ156" s="114"/>
    </row>
    <row r="157" spans="1:69" ht="20.100000000000001" customHeight="1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>
        <v>45991</v>
      </c>
      <c r="O157" s="13" t="s">
        <v>148</v>
      </c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134"/>
      <c r="AO157" s="25"/>
      <c r="AP157" s="13"/>
      <c r="AU157" s="116"/>
      <c r="AV157" s="123"/>
      <c r="AW157" s="123"/>
      <c r="AX157" s="123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25"/>
      <c r="BN157" s="13"/>
      <c r="BQ157" s="114"/>
    </row>
    <row r="158" spans="1:69" ht="20.100000000000001" customHeight="1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>
        <v>45991</v>
      </c>
      <c r="O158" s="13" t="s">
        <v>148</v>
      </c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27"/>
      <c r="AE158" s="134"/>
      <c r="AO158" s="25"/>
      <c r="AP158" s="13"/>
      <c r="AU158" s="116"/>
      <c r="AV158" s="123"/>
      <c r="AW158" s="123"/>
      <c r="AX158" s="123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25"/>
      <c r="BN158" s="13"/>
      <c r="BQ158" s="114"/>
    </row>
    <row r="159" spans="1:69" ht="20.100000000000001" customHeight="1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>
        <v>45991</v>
      </c>
      <c r="O159" s="13" t="s">
        <v>148</v>
      </c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134"/>
      <c r="AO159" s="25"/>
      <c r="AP159" s="13"/>
      <c r="AU159" s="116"/>
      <c r="AV159" s="123"/>
      <c r="AW159" s="123"/>
      <c r="AX159" s="123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25"/>
      <c r="BN159" s="13"/>
      <c r="BQ159" s="114"/>
    </row>
    <row r="160" spans="1:69" ht="20.100000000000001" customHeight="1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 t="s">
        <v>390</v>
      </c>
      <c r="N160" s="17">
        <f>SUBTOTAL(3,N155:N159)</f>
        <v>5</v>
      </c>
      <c r="O160" s="13">
        <f>SUBTOTAL(3,O155:O159)</f>
        <v>5</v>
      </c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27"/>
      <c r="AE160" s="134"/>
      <c r="AO160" s="25"/>
      <c r="AP160" s="13"/>
      <c r="AU160" s="116"/>
      <c r="AV160" s="123"/>
      <c r="AW160" s="123"/>
      <c r="AX160" s="123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25"/>
      <c r="BN160" s="13"/>
      <c r="BQ160" s="114"/>
    </row>
    <row r="161" spans="1:69" ht="20.100000000000001" customHeight="1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>
        <v>45993</v>
      </c>
      <c r="O161" s="13" t="s">
        <v>148</v>
      </c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27"/>
      <c r="AE161" s="134"/>
      <c r="AO161" s="25"/>
      <c r="AP161" s="13"/>
      <c r="AU161" s="116"/>
      <c r="AV161" s="123"/>
      <c r="AW161" s="123"/>
      <c r="AX161" s="123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25"/>
      <c r="BN161" s="13"/>
      <c r="BQ161" s="114"/>
    </row>
    <row r="162" spans="1:69" ht="20.100000000000001" customHeight="1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>
        <v>45993</v>
      </c>
      <c r="O162" s="13" t="s">
        <v>148</v>
      </c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134"/>
      <c r="AO162" s="25"/>
      <c r="AP162" s="13"/>
      <c r="AU162" s="116"/>
      <c r="AV162" s="123"/>
      <c r="AW162" s="123"/>
      <c r="AX162" s="123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25"/>
      <c r="BN162" s="13"/>
      <c r="BQ162" s="114"/>
    </row>
    <row r="163" spans="1:69" ht="20.100000000000001" customHeight="1" x14ac:dyDescent="0.4">
      <c r="A163" s="117"/>
      <c r="B163" s="123"/>
      <c r="C163" s="123"/>
      <c r="D163" s="123"/>
      <c r="N163" s="26">
        <v>45993</v>
      </c>
      <c r="O163" s="13" t="s">
        <v>148</v>
      </c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O163" s="25"/>
      <c r="AP163" s="13"/>
      <c r="AU163" s="116"/>
      <c r="AV163" s="123"/>
      <c r="AW163" s="123"/>
      <c r="AX163" s="123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25"/>
      <c r="BN163" s="13"/>
      <c r="BQ163" s="114"/>
    </row>
    <row r="164" spans="1:69" ht="20.100000000000001" customHeight="1" x14ac:dyDescent="0.4">
      <c r="A164" s="117"/>
      <c r="B164" s="123"/>
      <c r="C164" s="123"/>
      <c r="D164" s="123"/>
      <c r="N164" s="26">
        <v>45993</v>
      </c>
      <c r="O164" s="13" t="s">
        <v>148</v>
      </c>
      <c r="U164" s="115"/>
      <c r="V164" s="115"/>
      <c r="W164" s="115"/>
      <c r="X164" s="115"/>
      <c r="Y164" s="115"/>
      <c r="Z164" s="115"/>
      <c r="AA164" s="115"/>
      <c r="AB164" s="115"/>
      <c r="AC164" s="115"/>
      <c r="AD164" s="29"/>
      <c r="AE164" s="29"/>
      <c r="AO164" s="25"/>
      <c r="AP164" s="13"/>
      <c r="AU164" s="116"/>
      <c r="AV164" s="123"/>
      <c r="AW164" s="123"/>
      <c r="AX164" s="123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25"/>
      <c r="BN164" s="13"/>
      <c r="BQ164" s="114"/>
    </row>
    <row r="165" spans="1:69" ht="20.100000000000001" customHeight="1" x14ac:dyDescent="0.4">
      <c r="A165" s="117"/>
      <c r="B165" s="123"/>
      <c r="C165" s="123"/>
      <c r="D165" s="123"/>
      <c r="N165" s="26">
        <v>45993</v>
      </c>
      <c r="O165" s="13" t="s">
        <v>146</v>
      </c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O165" s="25"/>
      <c r="AP165" s="13"/>
      <c r="AU165" s="116"/>
      <c r="AV165" s="123"/>
      <c r="AW165" s="123"/>
      <c r="AX165" s="123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25"/>
      <c r="BN165" s="13"/>
      <c r="BQ165" s="114"/>
    </row>
    <row r="166" spans="1:69" ht="20.100000000000001" customHeight="1" x14ac:dyDescent="0.4">
      <c r="A166" s="117"/>
      <c r="B166" s="123"/>
      <c r="C166" s="123"/>
      <c r="D166" s="123"/>
      <c r="N166" s="26">
        <v>45993</v>
      </c>
      <c r="O166" s="13" t="s">
        <v>147</v>
      </c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O166" s="25"/>
      <c r="AP166" s="13"/>
      <c r="AU166" s="116"/>
      <c r="AV166" s="123"/>
      <c r="AW166" s="123"/>
      <c r="AX166" s="123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25"/>
      <c r="BN166" s="13"/>
      <c r="BQ166" s="114"/>
    </row>
    <row r="167" spans="1:69" ht="20.100000000000001" customHeight="1" x14ac:dyDescent="0.4">
      <c r="A167" s="117"/>
      <c r="B167" s="123"/>
      <c r="C167" s="123"/>
      <c r="D167" s="123"/>
      <c r="M167" s="115" t="s">
        <v>391</v>
      </c>
      <c r="N167" s="17">
        <f>SUBTOTAL(3,N161:N166)</f>
        <v>6</v>
      </c>
      <c r="O167" s="13">
        <f>SUBTOTAL(3,O161:O166)</f>
        <v>6</v>
      </c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O167" s="25"/>
      <c r="AP167" s="13"/>
      <c r="AU167" s="116"/>
      <c r="AV167" s="123"/>
      <c r="AW167" s="123"/>
      <c r="AX167" s="123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25"/>
      <c r="BN167" s="13"/>
      <c r="BQ167" s="114"/>
    </row>
    <row r="168" spans="1:69" ht="20.100000000000001" customHeight="1" x14ac:dyDescent="0.4">
      <c r="A168" s="117"/>
      <c r="B168" s="123"/>
      <c r="C168" s="123"/>
      <c r="D168" s="123"/>
      <c r="I168" s="115"/>
      <c r="J168" s="115"/>
      <c r="K168" s="115"/>
      <c r="L168" s="115"/>
      <c r="M168" s="115"/>
      <c r="N168" s="26">
        <v>45994</v>
      </c>
      <c r="O168" s="13" t="s">
        <v>146</v>
      </c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O168" s="25"/>
      <c r="AP168" s="13"/>
      <c r="AU168" s="116"/>
      <c r="AV168" s="123"/>
      <c r="AW168" s="123"/>
      <c r="AX168" s="123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25"/>
      <c r="BN168" s="13"/>
      <c r="BQ168" s="114"/>
    </row>
    <row r="169" spans="1:69" ht="20.100000000000001" customHeight="1" x14ac:dyDescent="0.4">
      <c r="A169" s="117"/>
      <c r="B169" s="123"/>
      <c r="C169" s="123"/>
      <c r="D169" s="123"/>
      <c r="I169" s="115"/>
      <c r="J169" s="115"/>
      <c r="K169" s="115"/>
      <c r="L169" s="115"/>
      <c r="M169" s="115"/>
      <c r="N169" s="26">
        <v>45994</v>
      </c>
      <c r="O169" s="13" t="s">
        <v>146</v>
      </c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O169" s="25"/>
      <c r="AP169" s="13"/>
      <c r="AU169" s="116"/>
      <c r="AV169" s="123"/>
      <c r="AW169" s="123"/>
      <c r="AX169" s="123"/>
      <c r="BC169" s="115"/>
      <c r="BD169" s="115"/>
      <c r="BE169" s="115"/>
      <c r="BF169" s="115"/>
      <c r="BG169" s="115"/>
      <c r="BH169" s="115"/>
      <c r="BI169" s="115"/>
      <c r="BJ169" s="115"/>
      <c r="BK169" s="115"/>
      <c r="BL169" s="115"/>
      <c r="BM169" s="25"/>
      <c r="BN169" s="13"/>
      <c r="BQ169" s="114"/>
    </row>
    <row r="170" spans="1:69" ht="20.100000000000001" customHeight="1" x14ac:dyDescent="0.4">
      <c r="A170" s="117"/>
      <c r="B170" s="123"/>
      <c r="C170" s="123"/>
      <c r="D170" s="123"/>
      <c r="N170" s="26">
        <v>45994</v>
      </c>
      <c r="O170" s="133" t="s">
        <v>146</v>
      </c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O170" s="25"/>
      <c r="AP170" s="13"/>
      <c r="AU170" s="116"/>
      <c r="AV170" s="123"/>
      <c r="AW170" s="123"/>
      <c r="AX170" s="123"/>
      <c r="BC170" s="115"/>
      <c r="BD170" s="115"/>
      <c r="BE170" s="115"/>
      <c r="BF170" s="115"/>
      <c r="BG170" s="115"/>
      <c r="BH170" s="115"/>
      <c r="BI170" s="115"/>
      <c r="BJ170" s="115"/>
      <c r="BK170" s="115"/>
      <c r="BL170" s="115"/>
      <c r="BM170" s="25"/>
      <c r="BN170" s="13"/>
      <c r="BQ170" s="114"/>
    </row>
    <row r="171" spans="1:69" ht="20.100000000000001" customHeight="1" x14ac:dyDescent="0.4">
      <c r="A171" s="117"/>
      <c r="B171" s="123"/>
      <c r="C171" s="123"/>
      <c r="D171" s="123"/>
      <c r="N171" s="26">
        <v>45994</v>
      </c>
      <c r="O171" s="13" t="s">
        <v>146</v>
      </c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O171" s="25"/>
      <c r="AP171" s="13"/>
      <c r="AU171" s="116"/>
      <c r="AV171" s="123"/>
      <c r="AW171" s="123"/>
      <c r="AX171" s="123"/>
      <c r="BC171" s="115"/>
      <c r="BD171" s="115"/>
      <c r="BE171" s="115"/>
      <c r="BF171" s="115"/>
      <c r="BG171" s="115"/>
      <c r="BH171" s="115"/>
      <c r="BI171" s="115"/>
      <c r="BJ171" s="115"/>
      <c r="BK171" s="115"/>
      <c r="BL171" s="115"/>
      <c r="BM171" s="25"/>
      <c r="BN171" s="13"/>
      <c r="BQ171" s="114"/>
    </row>
    <row r="172" spans="1:69" ht="20.100000000000001" customHeight="1" x14ac:dyDescent="0.4">
      <c r="A172" s="117"/>
      <c r="B172" s="123"/>
      <c r="C172" s="123"/>
      <c r="D172" s="123"/>
      <c r="J172" s="115"/>
      <c r="K172" s="115"/>
      <c r="L172" s="115"/>
      <c r="M172" s="115"/>
      <c r="N172" s="26">
        <v>45994</v>
      </c>
      <c r="O172" s="13" t="s">
        <v>146</v>
      </c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O172" s="25"/>
      <c r="AP172" s="13"/>
      <c r="AU172" s="116"/>
      <c r="AV172" s="123"/>
      <c r="AW172" s="123"/>
      <c r="AX172" s="123"/>
      <c r="BC172" s="115"/>
      <c r="BD172" s="115"/>
      <c r="BE172" s="115"/>
      <c r="BF172" s="115"/>
      <c r="BG172" s="115"/>
      <c r="BH172" s="115"/>
      <c r="BI172" s="115"/>
      <c r="BJ172" s="115"/>
      <c r="BK172" s="115"/>
      <c r="BL172" s="115"/>
      <c r="BM172" s="25"/>
      <c r="BN172" s="13"/>
      <c r="BQ172" s="114"/>
    </row>
    <row r="173" spans="1:69" ht="20.100000000000001" customHeight="1" x14ac:dyDescent="0.4">
      <c r="A173" s="117"/>
      <c r="B173" s="123"/>
      <c r="C173" s="123"/>
      <c r="D173" s="123"/>
      <c r="J173" s="115"/>
      <c r="K173" s="115"/>
      <c r="L173" s="115"/>
      <c r="M173" s="115" t="s">
        <v>392</v>
      </c>
      <c r="N173" s="17">
        <f>SUBTOTAL(3,N168:N172)</f>
        <v>5</v>
      </c>
      <c r="O173" s="13">
        <f>SUBTOTAL(3,O168:O172)</f>
        <v>5</v>
      </c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O173" s="25"/>
      <c r="AP173" s="13"/>
      <c r="AU173" s="116"/>
      <c r="AV173" s="123"/>
      <c r="AW173" s="123"/>
      <c r="AX173" s="123"/>
      <c r="BC173" s="115"/>
      <c r="BD173" s="115"/>
      <c r="BE173" s="115"/>
      <c r="BF173" s="115"/>
      <c r="BG173" s="115"/>
      <c r="BH173" s="115"/>
      <c r="BI173" s="115"/>
      <c r="BJ173" s="115"/>
      <c r="BK173" s="115"/>
      <c r="BL173" s="115"/>
      <c r="BM173" s="25"/>
      <c r="BN173" s="13"/>
      <c r="BQ173" s="114"/>
    </row>
    <row r="174" spans="1:69" ht="20.100000000000001" customHeight="1" x14ac:dyDescent="0.4">
      <c r="A174" s="117"/>
      <c r="B174" s="123"/>
      <c r="C174" s="123"/>
      <c r="D174" s="123"/>
      <c r="N174" s="26">
        <v>46004</v>
      </c>
      <c r="O174" s="13" t="s">
        <v>147</v>
      </c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O174" s="25"/>
      <c r="AP174" s="13"/>
      <c r="AU174" s="116"/>
      <c r="AV174" s="123"/>
      <c r="AW174" s="123"/>
      <c r="AX174" s="123"/>
      <c r="BC174" s="115"/>
      <c r="BD174" s="115"/>
      <c r="BE174" s="115"/>
      <c r="BF174" s="115"/>
      <c r="BG174" s="115"/>
      <c r="BH174" s="115"/>
      <c r="BI174" s="115"/>
      <c r="BJ174" s="115"/>
      <c r="BK174" s="115"/>
      <c r="BL174" s="115"/>
      <c r="BM174" s="25"/>
      <c r="BN174" s="13"/>
      <c r="BQ174" s="114"/>
    </row>
    <row r="175" spans="1:69" ht="20.100000000000001" customHeight="1" x14ac:dyDescent="0.4">
      <c r="A175" s="117"/>
      <c r="B175" s="123"/>
      <c r="C175" s="123"/>
      <c r="D175" s="123"/>
      <c r="M175" s="115" t="s">
        <v>393</v>
      </c>
      <c r="N175" s="17">
        <f>SUBTOTAL(3,N174:N174)</f>
        <v>1</v>
      </c>
      <c r="O175" s="13">
        <f>SUBTOTAL(3,O174:O174)</f>
        <v>1</v>
      </c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O175" s="25"/>
      <c r="AP175" s="13"/>
      <c r="AU175" s="116"/>
      <c r="AV175" s="123"/>
      <c r="AW175" s="123"/>
      <c r="AX175" s="123"/>
      <c r="BC175" s="115"/>
      <c r="BD175" s="115"/>
      <c r="BE175" s="115"/>
      <c r="BF175" s="115"/>
      <c r="BG175" s="115"/>
      <c r="BH175" s="115"/>
      <c r="BI175" s="115"/>
      <c r="BJ175" s="115"/>
      <c r="BK175" s="115"/>
      <c r="BL175" s="115"/>
      <c r="BM175" s="25"/>
      <c r="BN175" s="13"/>
      <c r="BQ175" s="114"/>
    </row>
    <row r="176" spans="1:69" ht="20.100000000000001" customHeight="1" x14ac:dyDescent="0.4">
      <c r="A176" s="117"/>
      <c r="B176" s="123"/>
      <c r="C176" s="123"/>
      <c r="D176" s="123"/>
      <c r="J176" s="115"/>
      <c r="K176" s="115"/>
      <c r="L176" s="115"/>
      <c r="M176" s="115"/>
      <c r="N176" s="26">
        <v>46007</v>
      </c>
      <c r="O176" s="13" t="s">
        <v>146</v>
      </c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O176" s="25"/>
      <c r="AP176" s="13"/>
      <c r="AU176" s="116"/>
      <c r="AV176" s="123"/>
      <c r="AW176" s="123"/>
      <c r="AX176" s="123"/>
      <c r="BC176" s="115"/>
      <c r="BD176" s="115"/>
      <c r="BE176" s="115"/>
      <c r="BF176" s="115"/>
      <c r="BG176" s="115"/>
      <c r="BH176" s="115"/>
      <c r="BI176" s="115"/>
      <c r="BJ176" s="115"/>
      <c r="BK176" s="115"/>
      <c r="BL176" s="115"/>
      <c r="BM176" s="25"/>
      <c r="BN176" s="13"/>
      <c r="BQ176" s="114"/>
    </row>
    <row r="177" spans="1:69" ht="20.100000000000001" customHeight="1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>
        <v>46007</v>
      </c>
      <c r="O177" s="13" t="s">
        <v>147</v>
      </c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O177" s="25"/>
      <c r="AP177" s="13"/>
      <c r="AU177" s="116"/>
      <c r="AV177" s="123"/>
      <c r="AW177" s="123"/>
      <c r="AX177" s="123"/>
      <c r="BC177" s="115"/>
      <c r="BD177" s="115"/>
      <c r="BE177" s="115"/>
      <c r="BF177" s="115"/>
      <c r="BG177" s="115"/>
      <c r="BH177" s="115"/>
      <c r="BI177" s="115"/>
      <c r="BJ177" s="115"/>
      <c r="BK177" s="115"/>
      <c r="BL177" s="115"/>
      <c r="BM177" s="25"/>
      <c r="BN177" s="13"/>
      <c r="BQ177" s="114"/>
    </row>
    <row r="178" spans="1:69" ht="20.100000000000001" customHeight="1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 t="s">
        <v>394</v>
      </c>
      <c r="N178" s="17">
        <f>SUBTOTAL(3,N176:N177)</f>
        <v>2</v>
      </c>
      <c r="O178" s="13">
        <f>SUBTOTAL(3,O176:O177)</f>
        <v>2</v>
      </c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O178" s="25"/>
      <c r="AP178" s="13"/>
      <c r="AU178" s="116"/>
      <c r="AV178" s="123"/>
      <c r="AW178" s="123"/>
      <c r="AX178" s="123"/>
      <c r="BC178" s="115"/>
      <c r="BD178" s="115"/>
      <c r="BE178" s="115"/>
      <c r="BF178" s="115"/>
      <c r="BG178" s="115"/>
      <c r="BH178" s="115"/>
      <c r="BI178" s="115"/>
      <c r="BJ178" s="115"/>
      <c r="BK178" s="115"/>
      <c r="BL178" s="115"/>
      <c r="BM178" s="25"/>
      <c r="BN178" s="13"/>
      <c r="BQ178" s="114"/>
    </row>
    <row r="179" spans="1:69" ht="20.100000000000001" customHeight="1" x14ac:dyDescent="0.4">
      <c r="A179" s="117"/>
      <c r="B179" s="123"/>
      <c r="C179" s="123"/>
      <c r="D179" s="123"/>
      <c r="N179" s="26">
        <v>46009</v>
      </c>
      <c r="O179" s="133" t="s">
        <v>147</v>
      </c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29"/>
      <c r="AE179" s="29"/>
      <c r="AO179" s="25"/>
      <c r="AP179" s="13"/>
      <c r="AU179" s="116"/>
      <c r="AV179" s="123"/>
      <c r="AW179" s="123"/>
      <c r="AX179" s="123"/>
      <c r="BC179" s="115"/>
      <c r="BD179" s="115"/>
      <c r="BE179" s="115"/>
      <c r="BF179" s="115"/>
      <c r="BG179" s="115"/>
      <c r="BH179" s="115"/>
      <c r="BI179" s="115"/>
      <c r="BJ179" s="115"/>
      <c r="BK179" s="115"/>
      <c r="BL179" s="115"/>
      <c r="BM179" s="25"/>
      <c r="BN179" s="13"/>
      <c r="BQ179" s="114"/>
    </row>
    <row r="180" spans="1:69" ht="20.100000000000001" customHeight="1" x14ac:dyDescent="0.4">
      <c r="A180" s="117"/>
      <c r="B180" s="123"/>
      <c r="C180" s="123"/>
      <c r="D180" s="123"/>
      <c r="M180" s="115" t="s">
        <v>395</v>
      </c>
      <c r="N180" s="17">
        <f>SUBTOTAL(3,N179:N179)</f>
        <v>1</v>
      </c>
      <c r="O180" s="13">
        <f>SUBTOTAL(3,O179:O179)</f>
        <v>1</v>
      </c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29"/>
      <c r="AE180" s="29"/>
      <c r="AO180" s="25"/>
      <c r="AP180" s="13"/>
      <c r="AU180" s="116"/>
      <c r="AV180" s="123"/>
      <c r="AW180" s="123"/>
      <c r="AX180" s="123"/>
      <c r="BC180" s="115"/>
      <c r="BD180" s="115"/>
      <c r="BE180" s="115"/>
      <c r="BF180" s="115"/>
      <c r="BG180" s="115"/>
      <c r="BH180" s="115"/>
      <c r="BI180" s="115"/>
      <c r="BJ180" s="115"/>
      <c r="BK180" s="115"/>
      <c r="BL180" s="115"/>
      <c r="BM180" s="25"/>
      <c r="BN180" s="13"/>
      <c r="BQ180" s="114"/>
    </row>
    <row r="181" spans="1:69" ht="20.100000000000001" customHeight="1" x14ac:dyDescent="0.4">
      <c r="A181" s="117"/>
      <c r="B181" s="123"/>
      <c r="C181" s="123"/>
      <c r="D181" s="123"/>
      <c r="N181" s="26">
        <v>46012</v>
      </c>
      <c r="O181" s="15" t="s">
        <v>147</v>
      </c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O181" s="25"/>
      <c r="AP181" s="13"/>
      <c r="AU181" s="116"/>
      <c r="AV181" s="123"/>
      <c r="AW181" s="123"/>
      <c r="AX181" s="123"/>
      <c r="BC181" s="115"/>
      <c r="BD181" s="115"/>
      <c r="BE181" s="115"/>
      <c r="BF181" s="115"/>
      <c r="BG181" s="115"/>
      <c r="BH181" s="115"/>
      <c r="BI181" s="115"/>
      <c r="BJ181" s="115"/>
      <c r="BK181" s="115"/>
      <c r="BL181" s="115"/>
      <c r="BM181" s="25"/>
      <c r="BN181" s="13"/>
      <c r="BQ181" s="114"/>
    </row>
    <row r="182" spans="1:69" ht="20.100000000000001" customHeight="1" x14ac:dyDescent="0.4">
      <c r="A182" s="117"/>
      <c r="B182" s="123"/>
      <c r="C182" s="123"/>
      <c r="D182" s="123"/>
      <c r="J182" s="115"/>
      <c r="K182" s="115"/>
      <c r="L182" s="115"/>
      <c r="M182" s="115"/>
      <c r="N182" s="26">
        <v>46012</v>
      </c>
      <c r="O182" s="15" t="s">
        <v>147</v>
      </c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O182" s="25"/>
      <c r="AP182" s="13"/>
      <c r="AU182" s="116"/>
      <c r="AV182" s="123"/>
      <c r="AW182" s="123"/>
      <c r="AX182" s="123"/>
      <c r="BC182" s="115"/>
      <c r="BD182" s="115"/>
      <c r="BE182" s="115"/>
      <c r="BF182" s="115"/>
      <c r="BG182" s="115"/>
      <c r="BH182" s="115"/>
      <c r="BI182" s="115"/>
      <c r="BJ182" s="115"/>
      <c r="BK182" s="115"/>
      <c r="BL182" s="115"/>
      <c r="BM182" s="25"/>
      <c r="BN182" s="13"/>
      <c r="BQ182" s="114"/>
    </row>
    <row r="183" spans="1:69" ht="20.100000000000001" customHeight="1" x14ac:dyDescent="0.4">
      <c r="A183" s="117"/>
      <c r="B183" s="123"/>
      <c r="C183" s="123"/>
      <c r="D183" s="123"/>
      <c r="J183" s="115"/>
      <c r="K183" s="115"/>
      <c r="L183" s="115"/>
      <c r="M183" s="115" t="s">
        <v>396</v>
      </c>
      <c r="N183" s="17">
        <f>SUBTOTAL(3,N181:N182)</f>
        <v>2</v>
      </c>
      <c r="O183" s="15">
        <f>SUBTOTAL(3,O181:O182)</f>
        <v>2</v>
      </c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O183" s="25"/>
      <c r="AP183" s="13"/>
      <c r="AU183" s="116"/>
      <c r="AV183" s="123"/>
      <c r="AW183" s="123"/>
      <c r="AX183" s="123"/>
      <c r="BC183" s="115"/>
      <c r="BD183" s="115"/>
      <c r="BE183" s="115"/>
      <c r="BF183" s="115"/>
      <c r="BG183" s="115"/>
      <c r="BH183" s="115"/>
      <c r="BI183" s="115"/>
      <c r="BJ183" s="115"/>
      <c r="BK183" s="115"/>
      <c r="BL183" s="115"/>
      <c r="BM183" s="25"/>
      <c r="BN183" s="13"/>
      <c r="BQ183" s="114"/>
    </row>
    <row r="184" spans="1:69" ht="20.100000000000001" customHeight="1" x14ac:dyDescent="0.4">
      <c r="A184" s="117"/>
      <c r="B184" s="123"/>
      <c r="C184" s="123"/>
      <c r="D184" s="123"/>
      <c r="N184" s="26">
        <v>46016</v>
      </c>
      <c r="O184" s="15" t="s">
        <v>147</v>
      </c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O184" s="25"/>
      <c r="AP184" s="13"/>
      <c r="AU184" s="116"/>
      <c r="AV184" s="123"/>
      <c r="AW184" s="123"/>
      <c r="AX184" s="123"/>
      <c r="BC184" s="115"/>
      <c r="BD184" s="115"/>
      <c r="BE184" s="115"/>
      <c r="BF184" s="115"/>
      <c r="BG184" s="115"/>
      <c r="BH184" s="115"/>
      <c r="BI184" s="115"/>
      <c r="BJ184" s="115"/>
      <c r="BK184" s="115"/>
      <c r="BL184" s="115"/>
      <c r="BM184" s="25"/>
      <c r="BN184" s="13"/>
      <c r="BQ184" s="114"/>
    </row>
    <row r="185" spans="1:69" ht="20.100000000000001" customHeight="1" x14ac:dyDescent="0.4">
      <c r="A185" s="117"/>
      <c r="B185" s="123"/>
      <c r="C185" s="123"/>
      <c r="D185" s="123"/>
      <c r="K185" s="115"/>
      <c r="L185" s="115"/>
      <c r="M185" s="115"/>
      <c r="N185" s="26">
        <v>46016</v>
      </c>
      <c r="O185" s="15" t="s">
        <v>147</v>
      </c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O185" s="25"/>
      <c r="AP185" s="13"/>
      <c r="AU185" s="116"/>
      <c r="AV185" s="123"/>
      <c r="AW185" s="123"/>
      <c r="AX185" s="123"/>
      <c r="BC185" s="115"/>
      <c r="BD185" s="115"/>
      <c r="BE185" s="115"/>
      <c r="BF185" s="115"/>
      <c r="BG185" s="115"/>
      <c r="BH185" s="115"/>
      <c r="BI185" s="115"/>
      <c r="BJ185" s="115"/>
      <c r="BK185" s="115"/>
      <c r="BL185" s="115"/>
      <c r="BM185" s="25"/>
      <c r="BN185" s="13"/>
      <c r="BQ185" s="114"/>
    </row>
    <row r="186" spans="1:69" ht="20.100000000000001" customHeight="1" x14ac:dyDescent="0.4">
      <c r="A186" s="117"/>
      <c r="B186" s="123"/>
      <c r="C186" s="123"/>
      <c r="D186" s="123"/>
      <c r="K186" s="115"/>
      <c r="L186" s="115"/>
      <c r="M186" s="115" t="s">
        <v>397</v>
      </c>
      <c r="N186" s="20">
        <f>SUBTOTAL(3,N184:N185)</f>
        <v>2</v>
      </c>
      <c r="O186" s="13">
        <f>SUBTOTAL(3,O184:O185)</f>
        <v>2</v>
      </c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O186" s="25"/>
      <c r="AP186" s="13"/>
      <c r="AU186" s="116"/>
      <c r="AV186" s="123"/>
      <c r="AW186" s="123"/>
      <c r="AX186" s="123"/>
      <c r="BC186" s="115"/>
      <c r="BD186" s="115"/>
      <c r="BE186" s="115"/>
      <c r="BF186" s="115"/>
      <c r="BG186" s="115"/>
      <c r="BH186" s="115"/>
      <c r="BI186" s="115"/>
      <c r="BJ186" s="115"/>
      <c r="BK186" s="115"/>
      <c r="BL186" s="115"/>
      <c r="BM186" s="25"/>
      <c r="BN186" s="13"/>
      <c r="BQ186" s="114"/>
    </row>
    <row r="187" spans="1:69" ht="20.100000000000001" customHeight="1" x14ac:dyDescent="0.4">
      <c r="A187" s="117"/>
      <c r="B187" s="123"/>
      <c r="C187" s="123"/>
      <c r="D187" s="123"/>
      <c r="K187" s="115"/>
      <c r="L187" s="115"/>
      <c r="M187" s="115" t="s">
        <v>145</v>
      </c>
      <c r="N187" s="20">
        <f>SUBTOTAL(3,N2:N185)</f>
        <v>160</v>
      </c>
      <c r="O187" s="13">
        <f>SUBTOTAL(3,O2:O185)</f>
        <v>160</v>
      </c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O187" s="25"/>
      <c r="AP187" s="13"/>
      <c r="AU187" s="116"/>
      <c r="AV187" s="123"/>
      <c r="AW187" s="123"/>
      <c r="AX187" s="123"/>
      <c r="BC187" s="115"/>
      <c r="BD187" s="115"/>
      <c r="BE187" s="115"/>
      <c r="BF187" s="115"/>
      <c r="BG187" s="115"/>
      <c r="BH187" s="115"/>
      <c r="BI187" s="115"/>
      <c r="BJ187" s="115"/>
      <c r="BK187" s="115"/>
      <c r="BL187" s="115"/>
      <c r="BM187" s="25"/>
      <c r="BN187" s="13"/>
      <c r="BQ187" s="114"/>
    </row>
    <row r="188" spans="1:69" ht="20.100000000000001" customHeight="1" x14ac:dyDescent="0.4">
      <c r="A188" s="117"/>
      <c r="B188" s="123"/>
      <c r="C188" s="123"/>
      <c r="D188" s="123"/>
      <c r="J188" s="115"/>
      <c r="K188" s="115"/>
      <c r="L188" s="115"/>
      <c r="M188" s="115"/>
      <c r="N188" s="25"/>
      <c r="O188" s="13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O188" s="25"/>
      <c r="AP188" s="13"/>
      <c r="AU188" s="116"/>
      <c r="AV188" s="123"/>
      <c r="AW188" s="123"/>
      <c r="AX188" s="123"/>
      <c r="BC188" s="115"/>
      <c r="BD188" s="115"/>
      <c r="BE188" s="115"/>
      <c r="BF188" s="115"/>
      <c r="BG188" s="115"/>
      <c r="BH188" s="115"/>
      <c r="BI188" s="115"/>
      <c r="BJ188" s="115"/>
      <c r="BK188" s="115"/>
      <c r="BL188" s="115"/>
      <c r="BM188" s="25"/>
      <c r="BN188" s="13"/>
      <c r="BQ188" s="114"/>
    </row>
    <row r="189" spans="1:69" ht="20.100000000000001" customHeight="1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5"/>
      <c r="O189" s="13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O189" s="25"/>
      <c r="AP189" s="13"/>
      <c r="AU189" s="116"/>
      <c r="AV189" s="123"/>
      <c r="AW189" s="123"/>
      <c r="AX189" s="123"/>
      <c r="BC189" s="115"/>
      <c r="BD189" s="115"/>
      <c r="BE189" s="115"/>
      <c r="BF189" s="115"/>
      <c r="BG189" s="115"/>
      <c r="BH189" s="115"/>
      <c r="BI189" s="115"/>
      <c r="BJ189" s="115"/>
      <c r="BK189" s="115"/>
      <c r="BL189" s="115"/>
      <c r="BM189" s="25"/>
      <c r="BN189" s="13"/>
      <c r="BQ189" s="114"/>
    </row>
    <row r="190" spans="1:69" ht="20.100000000000001" customHeight="1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3"/>
      <c r="O190" s="13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O190" s="25"/>
      <c r="AP190" s="13"/>
      <c r="AU190" s="116"/>
      <c r="AV190" s="123"/>
      <c r="AW190" s="123"/>
      <c r="AX190" s="123"/>
      <c r="BC190" s="115"/>
      <c r="BD190" s="115"/>
      <c r="BE190" s="115"/>
      <c r="BF190" s="115"/>
      <c r="BG190" s="115"/>
      <c r="BH190" s="115"/>
      <c r="BI190" s="115"/>
      <c r="BJ190" s="115"/>
      <c r="BK190" s="115"/>
      <c r="BL190" s="115"/>
      <c r="BM190" s="25"/>
      <c r="BN190" s="13"/>
      <c r="BQ190" s="114"/>
    </row>
    <row r="191" spans="1:69" ht="20.100000000000001" customHeight="1" x14ac:dyDescent="0.4">
      <c r="A191" s="117"/>
      <c r="B191" s="123"/>
      <c r="C191" s="123"/>
      <c r="D191" s="123"/>
      <c r="N191" s="25"/>
      <c r="O191" s="13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O191" s="25"/>
      <c r="AP191" s="13"/>
      <c r="AU191" s="116"/>
      <c r="AV191" s="123"/>
      <c r="AW191" s="123"/>
      <c r="AX191" s="123"/>
      <c r="BC191" s="115"/>
      <c r="BD191" s="115"/>
      <c r="BE191" s="115"/>
      <c r="BF191" s="115"/>
      <c r="BG191" s="115"/>
      <c r="BH191" s="115"/>
      <c r="BI191" s="115"/>
      <c r="BJ191" s="115"/>
      <c r="BK191" s="115"/>
      <c r="BL191" s="115"/>
      <c r="BM191" s="25"/>
      <c r="BN191" s="13"/>
      <c r="BQ191" s="114"/>
    </row>
    <row r="192" spans="1:69" ht="20.100000000000001" customHeight="1" x14ac:dyDescent="0.4">
      <c r="A192" s="117"/>
      <c r="B192" s="123"/>
      <c r="C192" s="123"/>
      <c r="D192" s="123"/>
      <c r="N192" s="25"/>
      <c r="O192" s="13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O192" s="25"/>
      <c r="AP192" s="13"/>
      <c r="AU192" s="116"/>
      <c r="AV192" s="123"/>
      <c r="AW192" s="123"/>
      <c r="AX192" s="123"/>
      <c r="BC192" s="115"/>
      <c r="BD192" s="115"/>
      <c r="BE192" s="115"/>
      <c r="BF192" s="115"/>
      <c r="BG192" s="115"/>
      <c r="BH192" s="115"/>
      <c r="BI192" s="115"/>
      <c r="BJ192" s="115"/>
      <c r="BK192" s="115"/>
      <c r="BL192" s="115"/>
      <c r="BM192" s="25"/>
      <c r="BN192" s="13"/>
      <c r="BQ192" s="114"/>
    </row>
    <row r="193" spans="1:69" ht="20.100000000000001" customHeight="1" x14ac:dyDescent="0.4">
      <c r="A193" s="117"/>
      <c r="B193" s="123"/>
      <c r="C193" s="123"/>
      <c r="D193" s="123"/>
      <c r="J193" s="115"/>
      <c r="K193" s="115"/>
      <c r="L193" s="115"/>
      <c r="M193" s="115"/>
      <c r="N193" s="25"/>
      <c r="O193" s="13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O193" s="25"/>
      <c r="AP193" s="13"/>
      <c r="AU193" s="116"/>
      <c r="AV193" s="123"/>
      <c r="AW193" s="123"/>
      <c r="AX193" s="123"/>
      <c r="BC193" s="115"/>
      <c r="BD193" s="115"/>
      <c r="BE193" s="115"/>
      <c r="BF193" s="115"/>
      <c r="BG193" s="115"/>
      <c r="BH193" s="115"/>
      <c r="BI193" s="115"/>
      <c r="BJ193" s="115"/>
      <c r="BK193" s="115"/>
      <c r="BL193" s="115"/>
      <c r="BM193" s="25"/>
      <c r="BN193" s="13"/>
      <c r="BQ193" s="114"/>
    </row>
    <row r="194" spans="1:69" ht="20.100000000000001" customHeight="1" x14ac:dyDescent="0.4">
      <c r="A194" s="117"/>
      <c r="B194" s="123"/>
      <c r="C194" s="123"/>
      <c r="D194" s="123"/>
      <c r="J194" s="115"/>
      <c r="K194" s="115"/>
      <c r="L194" s="115"/>
      <c r="M194" s="115"/>
      <c r="N194" s="13"/>
      <c r="O194" s="13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27"/>
      <c r="AE194" s="29"/>
      <c r="AO194" s="25"/>
      <c r="AP194" s="13"/>
      <c r="AU194" s="116"/>
      <c r="AV194" s="123"/>
      <c r="AW194" s="123"/>
      <c r="AX194" s="123"/>
      <c r="BC194" s="115"/>
      <c r="BD194" s="115"/>
      <c r="BE194" s="115"/>
      <c r="BF194" s="115"/>
      <c r="BG194" s="115"/>
      <c r="BH194" s="115"/>
      <c r="BI194" s="115"/>
      <c r="BJ194" s="115"/>
      <c r="BK194" s="115"/>
      <c r="BL194" s="115"/>
      <c r="BM194" s="25"/>
      <c r="BN194" s="13"/>
      <c r="BQ194" s="114"/>
    </row>
    <row r="195" spans="1:69" ht="20.100000000000001" customHeight="1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25"/>
      <c r="O195" s="13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O195" s="25"/>
      <c r="AP195" s="13"/>
      <c r="AU195" s="116"/>
      <c r="AV195" s="123"/>
      <c r="AW195" s="123"/>
      <c r="AX195" s="123"/>
      <c r="BC195" s="115"/>
      <c r="BD195" s="115"/>
      <c r="BE195" s="115"/>
      <c r="BF195" s="115"/>
      <c r="BG195" s="115"/>
      <c r="BH195" s="115"/>
      <c r="BI195" s="115"/>
      <c r="BJ195" s="115"/>
      <c r="BK195" s="115"/>
      <c r="BL195" s="115"/>
      <c r="BM195" s="25"/>
      <c r="BN195" s="13"/>
      <c r="BQ195" s="114"/>
    </row>
    <row r="196" spans="1:69" ht="20.100000000000001" customHeight="1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3"/>
      <c r="O196" s="13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O196" s="25"/>
      <c r="AP196" s="13"/>
      <c r="AU196" s="116"/>
      <c r="AV196" s="123"/>
      <c r="AW196" s="123"/>
      <c r="AX196" s="123"/>
      <c r="BC196" s="115"/>
      <c r="BD196" s="115"/>
      <c r="BE196" s="115"/>
      <c r="BF196" s="115"/>
      <c r="BG196" s="115"/>
      <c r="BH196" s="115"/>
      <c r="BI196" s="115"/>
      <c r="BJ196" s="115"/>
      <c r="BK196" s="115"/>
      <c r="BL196" s="115"/>
      <c r="BM196" s="25"/>
      <c r="BN196" s="13"/>
      <c r="BQ196" s="114"/>
    </row>
    <row r="197" spans="1:69" ht="20.100000000000001" customHeight="1" x14ac:dyDescent="0.4">
      <c r="A197" s="117"/>
      <c r="B197" s="123"/>
      <c r="C197" s="123"/>
      <c r="D197" s="123"/>
      <c r="N197" s="25"/>
      <c r="O197" s="13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O197" s="25"/>
      <c r="AP197" s="13"/>
      <c r="AU197" s="116"/>
      <c r="AV197" s="123"/>
      <c r="AW197" s="123"/>
      <c r="AX197" s="123"/>
      <c r="BC197" s="115"/>
      <c r="BD197" s="115"/>
      <c r="BE197" s="115"/>
      <c r="BF197" s="115"/>
      <c r="BG197" s="115"/>
      <c r="BH197" s="115"/>
      <c r="BI197" s="115"/>
      <c r="BJ197" s="115"/>
      <c r="BK197" s="115"/>
      <c r="BL197" s="115"/>
      <c r="BM197" s="25"/>
      <c r="BN197" s="13"/>
      <c r="BQ197" s="114"/>
    </row>
    <row r="198" spans="1:69" ht="20.100000000000001" customHeight="1" x14ac:dyDescent="0.4">
      <c r="A198" s="117"/>
      <c r="B198" s="123"/>
      <c r="C198" s="123"/>
      <c r="D198" s="123"/>
      <c r="K198" s="115"/>
      <c r="L198" s="115"/>
      <c r="M198" s="115"/>
      <c r="N198" s="13"/>
      <c r="O198" s="13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O198" s="25"/>
      <c r="AP198" s="13"/>
      <c r="AU198" s="116"/>
      <c r="AV198" s="123"/>
      <c r="AW198" s="123"/>
      <c r="AX198" s="123"/>
      <c r="BC198" s="115"/>
      <c r="BD198" s="115"/>
      <c r="BE198" s="115"/>
      <c r="BF198" s="115"/>
      <c r="BG198" s="115"/>
      <c r="BH198" s="115"/>
      <c r="BI198" s="115"/>
      <c r="BJ198" s="115"/>
      <c r="BK198" s="115"/>
      <c r="BL198" s="115"/>
      <c r="BM198" s="25"/>
      <c r="BN198" s="13"/>
      <c r="BQ198" s="114"/>
    </row>
    <row r="199" spans="1:69" ht="20.100000000000001" customHeight="1" x14ac:dyDescent="0.4">
      <c r="A199" s="117"/>
      <c r="B199" s="123"/>
      <c r="C199" s="123"/>
      <c r="D199" s="123"/>
      <c r="K199" s="115"/>
      <c r="L199" s="115"/>
      <c r="M199" s="115"/>
      <c r="N199" s="13"/>
      <c r="O199" s="13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O199" s="25"/>
      <c r="AP199" s="13"/>
      <c r="AU199" s="116"/>
      <c r="AV199" s="123"/>
      <c r="AW199" s="123"/>
      <c r="AX199" s="123"/>
      <c r="BC199" s="115"/>
      <c r="BD199" s="115"/>
      <c r="BE199" s="115"/>
      <c r="BF199" s="115"/>
      <c r="BG199" s="115"/>
      <c r="BH199" s="115"/>
      <c r="BI199" s="115"/>
      <c r="BJ199" s="115"/>
      <c r="BK199" s="115"/>
      <c r="BL199" s="115"/>
      <c r="BM199" s="25"/>
      <c r="BN199" s="13"/>
      <c r="BQ199" s="114"/>
    </row>
    <row r="200" spans="1:69" ht="20.100000000000001" customHeight="1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5"/>
      <c r="O200" s="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O200" s="25"/>
      <c r="AP200" s="13"/>
      <c r="AU200" s="116"/>
      <c r="AV200" s="123"/>
      <c r="AW200" s="123"/>
      <c r="AX200" s="123"/>
      <c r="BC200" s="115"/>
      <c r="BD200" s="115"/>
      <c r="BE200" s="115"/>
      <c r="BF200" s="115"/>
      <c r="BG200" s="115"/>
      <c r="BH200" s="115"/>
      <c r="BI200" s="115"/>
      <c r="BJ200" s="115"/>
      <c r="BK200" s="115"/>
      <c r="BL200" s="115"/>
      <c r="BM200" s="25"/>
      <c r="BN200" s="13"/>
      <c r="BQ200" s="114"/>
    </row>
    <row r="201" spans="1:69" ht="20.100000000000001" customHeight="1" x14ac:dyDescent="0.4">
      <c r="A201" s="117"/>
      <c r="B201" s="123"/>
      <c r="C201" s="123"/>
      <c r="D201" s="123"/>
      <c r="N201" s="25"/>
      <c r="O201" s="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27"/>
      <c r="AE201" s="29"/>
      <c r="AO201" s="25"/>
      <c r="AP201" s="13"/>
      <c r="AU201" s="116"/>
      <c r="AV201" s="123"/>
      <c r="AW201" s="123"/>
      <c r="AX201" s="123"/>
      <c r="BC201" s="115"/>
      <c r="BD201" s="115"/>
      <c r="BE201" s="115"/>
      <c r="BF201" s="115"/>
      <c r="BG201" s="115"/>
      <c r="BH201" s="115"/>
      <c r="BI201" s="115"/>
      <c r="BJ201" s="115"/>
      <c r="BK201" s="115"/>
      <c r="BL201" s="115"/>
      <c r="BM201" s="25"/>
      <c r="BN201" s="13"/>
      <c r="BQ201" s="114"/>
    </row>
    <row r="202" spans="1:69" ht="20.100000000000001" customHeight="1" x14ac:dyDescent="0.4">
      <c r="A202" s="117"/>
      <c r="B202" s="123"/>
      <c r="C202" s="123"/>
      <c r="D202" s="123"/>
      <c r="I202" s="115"/>
      <c r="J202" s="115"/>
      <c r="K202" s="115"/>
      <c r="L202" s="115"/>
      <c r="M202" s="115"/>
      <c r="N202" s="25"/>
      <c r="O202" s="13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O202" s="25"/>
      <c r="AP202" s="13"/>
      <c r="AU202" s="116"/>
      <c r="AV202" s="123"/>
      <c r="AW202" s="123"/>
      <c r="AX202" s="123"/>
      <c r="BC202" s="115"/>
      <c r="BD202" s="115"/>
      <c r="BE202" s="115"/>
      <c r="BF202" s="115"/>
      <c r="BG202" s="115"/>
      <c r="BH202" s="115"/>
      <c r="BI202" s="115"/>
      <c r="BJ202" s="115"/>
      <c r="BK202" s="115"/>
      <c r="BL202" s="115"/>
      <c r="BM202" s="25"/>
      <c r="BN202" s="13"/>
      <c r="BQ202" s="114"/>
    </row>
    <row r="203" spans="1:69" ht="20.100000000000001" customHeight="1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25"/>
      <c r="O203" s="13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O203" s="25"/>
      <c r="AP203" s="13"/>
      <c r="AU203" s="116"/>
      <c r="AV203" s="123"/>
      <c r="AW203" s="123"/>
      <c r="AX203" s="123"/>
      <c r="BC203" s="115"/>
      <c r="BD203" s="115"/>
      <c r="BE203" s="115"/>
      <c r="BF203" s="115"/>
      <c r="BG203" s="115"/>
      <c r="BH203" s="115"/>
      <c r="BI203" s="115"/>
      <c r="BJ203" s="115"/>
      <c r="BK203" s="115"/>
      <c r="BL203" s="115"/>
      <c r="BM203" s="25"/>
      <c r="BN203" s="13"/>
      <c r="BQ203" s="114"/>
    </row>
    <row r="204" spans="1:69" ht="20.100000000000001" customHeight="1" x14ac:dyDescent="0.4">
      <c r="A204" s="117"/>
      <c r="B204" s="123"/>
      <c r="C204" s="123"/>
      <c r="D204" s="123"/>
      <c r="G204" s="115"/>
      <c r="H204" s="115"/>
      <c r="I204" s="115"/>
      <c r="J204" s="115"/>
      <c r="K204" s="115"/>
      <c r="L204" s="115"/>
      <c r="M204" s="115"/>
      <c r="N204" s="25"/>
      <c r="O204" s="13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O204" s="25"/>
      <c r="AP204" s="13"/>
      <c r="AU204" s="116"/>
      <c r="AV204" s="123"/>
      <c r="AW204" s="123"/>
      <c r="AX204" s="123"/>
      <c r="BC204" s="115"/>
      <c r="BD204" s="115"/>
      <c r="BE204" s="115"/>
      <c r="BF204" s="115"/>
      <c r="BG204" s="115"/>
      <c r="BH204" s="115"/>
      <c r="BI204" s="115"/>
      <c r="BJ204" s="115"/>
      <c r="BK204" s="115"/>
      <c r="BL204" s="115"/>
      <c r="BM204" s="25"/>
      <c r="BN204" s="13"/>
      <c r="BQ204" s="114"/>
    </row>
    <row r="205" spans="1:69" ht="20.100000000000001" customHeight="1" x14ac:dyDescent="0.4">
      <c r="A205" s="117"/>
      <c r="B205" s="123"/>
      <c r="C205" s="123"/>
      <c r="D205" s="123"/>
      <c r="N205" s="25"/>
      <c r="O205" s="13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O205" s="25"/>
      <c r="AP205" s="13"/>
      <c r="AU205" s="116"/>
      <c r="AV205" s="123"/>
      <c r="AW205" s="123"/>
      <c r="AX205" s="123"/>
      <c r="BC205" s="115"/>
      <c r="BD205" s="115"/>
      <c r="BE205" s="115"/>
      <c r="BF205" s="115"/>
      <c r="BG205" s="115"/>
      <c r="BH205" s="115"/>
      <c r="BI205" s="115"/>
      <c r="BJ205" s="115"/>
      <c r="BK205" s="115"/>
      <c r="BL205" s="115"/>
      <c r="BM205" s="25"/>
      <c r="BN205" s="13"/>
      <c r="BQ205" s="114"/>
    </row>
    <row r="206" spans="1:69" ht="20.100000000000001" customHeight="1" x14ac:dyDescent="0.4">
      <c r="A206" s="117"/>
      <c r="B206" s="123"/>
      <c r="C206" s="123"/>
      <c r="D206" s="123"/>
      <c r="N206" s="25"/>
      <c r="O206" s="13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29"/>
      <c r="AE206" s="29"/>
      <c r="AO206" s="25"/>
      <c r="AP206" s="13"/>
      <c r="AU206" s="116"/>
      <c r="AV206" s="123"/>
      <c r="AW206" s="123"/>
      <c r="AX206" s="123"/>
      <c r="BC206" s="115"/>
      <c r="BD206" s="115"/>
      <c r="BE206" s="115"/>
      <c r="BF206" s="115"/>
      <c r="BG206" s="115"/>
      <c r="BH206" s="115"/>
      <c r="BI206" s="115"/>
      <c r="BJ206" s="115"/>
      <c r="BK206" s="115"/>
      <c r="BL206" s="115"/>
      <c r="BM206" s="25"/>
      <c r="BN206" s="13"/>
      <c r="BQ206" s="114"/>
    </row>
    <row r="207" spans="1:69" ht="20.100000000000001" customHeight="1" x14ac:dyDescent="0.4">
      <c r="A207" s="117"/>
      <c r="B207" s="123"/>
      <c r="C207" s="123"/>
      <c r="D207" s="123"/>
      <c r="N207" s="25"/>
      <c r="O207" s="13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O207" s="25"/>
      <c r="AP207" s="13"/>
      <c r="AU207" s="116"/>
      <c r="AV207" s="123"/>
      <c r="AW207" s="123"/>
      <c r="AX207" s="123"/>
      <c r="BC207" s="115"/>
      <c r="BD207" s="115"/>
      <c r="BE207" s="115"/>
      <c r="BF207" s="115"/>
      <c r="BG207" s="115"/>
      <c r="BH207" s="115"/>
      <c r="BI207" s="115"/>
      <c r="BJ207" s="115"/>
      <c r="BK207" s="115"/>
      <c r="BL207" s="115"/>
      <c r="BM207" s="25"/>
      <c r="BN207" s="13"/>
      <c r="BQ207" s="114"/>
    </row>
    <row r="208" spans="1:69" ht="20.100000000000001" customHeight="1" x14ac:dyDescent="0.4">
      <c r="A208" s="117"/>
      <c r="B208" s="123"/>
      <c r="C208" s="123"/>
      <c r="D208" s="123"/>
      <c r="N208" s="25"/>
      <c r="O208" s="13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O208" s="25"/>
      <c r="AP208" s="13"/>
      <c r="AU208" s="116"/>
      <c r="AV208" s="123"/>
      <c r="AW208" s="123"/>
      <c r="AX208" s="123"/>
      <c r="BC208" s="115"/>
      <c r="BD208" s="115"/>
      <c r="BE208" s="115"/>
      <c r="BF208" s="115"/>
      <c r="BG208" s="115"/>
      <c r="BH208" s="115"/>
      <c r="BI208" s="115"/>
      <c r="BJ208" s="115"/>
      <c r="BK208" s="115"/>
      <c r="BL208" s="115"/>
      <c r="BM208" s="25"/>
      <c r="BN208" s="13"/>
      <c r="BQ208" s="114"/>
    </row>
    <row r="209" spans="1:69" ht="20.100000000000001" customHeight="1" x14ac:dyDescent="0.4">
      <c r="A209" s="117"/>
      <c r="B209" s="123"/>
      <c r="C209" s="123"/>
      <c r="D209" s="123"/>
      <c r="I209" s="115"/>
      <c r="J209" s="115"/>
      <c r="K209" s="115"/>
      <c r="L209" s="115"/>
      <c r="M209" s="115"/>
      <c r="N209" s="25"/>
      <c r="O209" s="13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O209" s="25"/>
      <c r="AP209" s="13"/>
      <c r="AU209" s="116"/>
      <c r="AV209" s="123"/>
      <c r="AW209" s="123"/>
      <c r="AX209" s="123"/>
      <c r="BC209" s="115"/>
      <c r="BD209" s="115"/>
      <c r="BE209" s="115"/>
      <c r="BF209" s="115"/>
      <c r="BG209" s="115"/>
      <c r="BH209" s="115"/>
      <c r="BI209" s="115"/>
      <c r="BJ209" s="115"/>
      <c r="BK209" s="115"/>
      <c r="BL209" s="115"/>
      <c r="BM209" s="25"/>
      <c r="BN209" s="13"/>
      <c r="BQ209" s="114"/>
    </row>
    <row r="210" spans="1:69" ht="20.100000000000001" customHeight="1" x14ac:dyDescent="0.4">
      <c r="A210" s="117"/>
      <c r="B210" s="123"/>
      <c r="C210" s="123"/>
      <c r="D210" s="123"/>
      <c r="N210" s="25"/>
      <c r="O210" s="13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O210" s="25"/>
      <c r="AP210" s="13"/>
      <c r="AU210" s="116"/>
      <c r="AV210" s="123"/>
      <c r="AW210" s="123"/>
      <c r="AX210" s="123"/>
      <c r="BC210" s="115"/>
      <c r="BD210" s="115"/>
      <c r="BE210" s="115"/>
      <c r="BF210" s="115"/>
      <c r="BG210" s="115"/>
      <c r="BH210" s="115"/>
      <c r="BI210" s="115"/>
      <c r="BJ210" s="115"/>
      <c r="BK210" s="115"/>
      <c r="BL210" s="115"/>
      <c r="BM210" s="25"/>
      <c r="BN210" s="13"/>
      <c r="BQ210" s="114"/>
    </row>
    <row r="211" spans="1:69" ht="20.100000000000001" customHeight="1" x14ac:dyDescent="0.4">
      <c r="A211" s="117"/>
      <c r="B211" s="123"/>
      <c r="C211" s="123"/>
      <c r="D211" s="123"/>
      <c r="J211" s="115"/>
      <c r="K211" s="115"/>
      <c r="L211" s="115"/>
      <c r="M211" s="115"/>
      <c r="N211" s="13"/>
      <c r="O211" s="13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O211" s="25"/>
      <c r="AP211" s="13"/>
      <c r="AU211" s="116"/>
      <c r="AV211" s="123"/>
      <c r="AW211" s="123"/>
      <c r="AX211" s="123"/>
      <c r="BC211" s="115"/>
      <c r="BD211" s="115"/>
      <c r="BE211" s="115"/>
      <c r="BF211" s="115"/>
      <c r="BG211" s="115"/>
      <c r="BH211" s="115"/>
      <c r="BI211" s="115"/>
      <c r="BJ211" s="115"/>
      <c r="BK211" s="115"/>
      <c r="BL211" s="115"/>
      <c r="BM211" s="25"/>
      <c r="BN211" s="13"/>
      <c r="BQ211" s="114"/>
    </row>
    <row r="212" spans="1:69" ht="20.100000000000001" customHeight="1" x14ac:dyDescent="0.4">
      <c r="A212" s="117"/>
      <c r="B212" s="123"/>
      <c r="C212" s="123"/>
      <c r="D212" s="123"/>
      <c r="N212" s="25"/>
      <c r="O212" s="13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O212" s="25"/>
      <c r="AP212" s="13"/>
      <c r="AU212" s="116"/>
      <c r="AV212" s="123"/>
      <c r="AW212" s="123"/>
      <c r="AX212" s="123"/>
      <c r="BC212" s="115"/>
      <c r="BD212" s="115"/>
      <c r="BE212" s="115"/>
      <c r="BF212" s="115"/>
      <c r="BG212" s="115"/>
      <c r="BH212" s="115"/>
      <c r="BI212" s="115"/>
      <c r="BJ212" s="115"/>
      <c r="BK212" s="115"/>
      <c r="BL212" s="115"/>
      <c r="BM212" s="25"/>
      <c r="BN212" s="13"/>
      <c r="BQ212" s="114"/>
    </row>
    <row r="213" spans="1:69" ht="20.100000000000001" customHeight="1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5"/>
      <c r="O213" s="13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O213" s="25"/>
      <c r="AP213" s="13"/>
      <c r="AU213" s="116"/>
      <c r="AV213" s="123"/>
      <c r="AW213" s="123"/>
      <c r="AX213" s="123"/>
      <c r="BC213" s="115"/>
      <c r="BD213" s="115"/>
      <c r="BE213" s="115"/>
      <c r="BF213" s="115"/>
      <c r="BG213" s="115"/>
      <c r="BH213" s="115"/>
      <c r="BI213" s="115"/>
      <c r="BJ213" s="115"/>
      <c r="BK213" s="115"/>
      <c r="BL213" s="115"/>
      <c r="BM213" s="25"/>
      <c r="BN213" s="13"/>
      <c r="BQ213" s="114"/>
    </row>
    <row r="214" spans="1:69" ht="20.100000000000001" customHeight="1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5"/>
      <c r="O214" s="13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O214" s="25"/>
      <c r="AP214" s="13"/>
      <c r="AU214" s="116"/>
      <c r="AV214" s="123"/>
      <c r="AW214" s="123"/>
      <c r="AX214" s="123"/>
      <c r="BC214" s="115"/>
      <c r="BD214" s="115"/>
      <c r="BE214" s="115"/>
      <c r="BF214" s="115"/>
      <c r="BG214" s="115"/>
      <c r="BH214" s="115"/>
      <c r="BI214" s="115"/>
      <c r="BJ214" s="115"/>
      <c r="BK214" s="115"/>
      <c r="BL214" s="115"/>
      <c r="BM214" s="25"/>
      <c r="BN214" s="13"/>
      <c r="BQ214" s="114"/>
    </row>
    <row r="215" spans="1:69" ht="20.100000000000001" customHeight="1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13"/>
      <c r="O215" s="13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O215" s="25"/>
      <c r="AP215" s="13"/>
      <c r="AU215" s="116"/>
      <c r="AV215" s="123"/>
      <c r="AW215" s="123"/>
      <c r="AX215" s="123"/>
      <c r="BC215" s="115"/>
      <c r="BD215" s="115"/>
      <c r="BE215" s="115"/>
      <c r="BF215" s="115"/>
      <c r="BG215" s="115"/>
      <c r="BH215" s="115"/>
      <c r="BI215" s="115"/>
      <c r="BJ215" s="115"/>
      <c r="BK215" s="115"/>
      <c r="BL215" s="115"/>
      <c r="BM215" s="25"/>
      <c r="BN215" s="13"/>
      <c r="BQ215" s="114"/>
    </row>
    <row r="216" spans="1:69" ht="20.100000000000001" customHeight="1" x14ac:dyDescent="0.4">
      <c r="A216" s="117"/>
      <c r="B216" s="123"/>
      <c r="C216" s="123"/>
      <c r="D216" s="123"/>
      <c r="N216" s="25"/>
      <c r="O216" s="13"/>
      <c r="AD216" s="127"/>
      <c r="AE216" s="29"/>
      <c r="AO216" s="25"/>
      <c r="AP216" s="13"/>
      <c r="AU216" s="116"/>
      <c r="AV216" s="123"/>
      <c r="AW216" s="123"/>
      <c r="AX216" s="123"/>
      <c r="BC216" s="115"/>
      <c r="BD216" s="115"/>
      <c r="BE216" s="115"/>
      <c r="BF216" s="115"/>
      <c r="BG216" s="115"/>
      <c r="BH216" s="115"/>
      <c r="BI216" s="115"/>
      <c r="BJ216" s="115"/>
      <c r="BK216" s="115"/>
      <c r="BL216" s="115"/>
      <c r="BM216" s="25"/>
      <c r="BN216" s="13"/>
      <c r="BQ216" s="114"/>
    </row>
    <row r="217" spans="1:69" ht="20.100000000000001" customHeight="1" x14ac:dyDescent="0.4">
      <c r="A217" s="117"/>
      <c r="B217" s="123"/>
      <c r="C217" s="123"/>
      <c r="D217" s="123"/>
      <c r="N217" s="25"/>
      <c r="O217" s="13"/>
      <c r="AB217" s="115"/>
      <c r="AC217" s="115"/>
      <c r="AD217" s="127"/>
      <c r="AE217" s="29"/>
      <c r="AO217" s="25"/>
      <c r="AP217" s="13"/>
      <c r="AU217" s="116"/>
      <c r="AV217" s="123"/>
      <c r="AW217" s="123"/>
      <c r="AX217" s="123"/>
      <c r="BC217" s="115"/>
      <c r="BD217" s="115"/>
      <c r="BE217" s="115"/>
      <c r="BF217" s="115"/>
      <c r="BG217" s="115"/>
      <c r="BH217" s="115"/>
      <c r="BI217" s="115"/>
      <c r="BJ217" s="115"/>
      <c r="BK217" s="115"/>
      <c r="BL217" s="115"/>
      <c r="BM217" s="25"/>
      <c r="BN217" s="13"/>
      <c r="BQ217" s="114"/>
    </row>
    <row r="218" spans="1:69" ht="20.100000000000001" customHeight="1" x14ac:dyDescent="0.4">
      <c r="A218" s="117"/>
      <c r="B218" s="123"/>
      <c r="C218" s="123"/>
      <c r="D218" s="123"/>
      <c r="N218" s="25"/>
      <c r="O218" s="13"/>
      <c r="W218" s="115"/>
      <c r="X218" s="115"/>
      <c r="Y218" s="115"/>
      <c r="Z218" s="115"/>
      <c r="AA218" s="115"/>
      <c r="AB218" s="115"/>
      <c r="AC218" s="115"/>
      <c r="AD218" s="127"/>
      <c r="AE218" s="29"/>
      <c r="AO218" s="25"/>
      <c r="AP218" s="13"/>
      <c r="AU218" s="116"/>
      <c r="AV218" s="123"/>
      <c r="AW218" s="123"/>
      <c r="AX218" s="123"/>
      <c r="BC218" s="115"/>
      <c r="BD218" s="115"/>
      <c r="BE218" s="115"/>
      <c r="BF218" s="115"/>
      <c r="BG218" s="115"/>
      <c r="BH218" s="115"/>
      <c r="BI218" s="115"/>
      <c r="BJ218" s="115"/>
      <c r="BK218" s="115"/>
      <c r="BL218" s="115"/>
      <c r="BM218" s="25"/>
      <c r="BN218" s="13"/>
      <c r="BQ218" s="114"/>
    </row>
    <row r="219" spans="1:69" ht="20.100000000000001" customHeight="1" x14ac:dyDescent="0.4">
      <c r="A219" s="117"/>
      <c r="B219" s="123"/>
      <c r="C219" s="123"/>
      <c r="D219" s="123"/>
      <c r="J219" s="115"/>
      <c r="K219" s="115"/>
      <c r="L219" s="115"/>
      <c r="M219" s="115"/>
      <c r="N219" s="13"/>
      <c r="O219" s="13"/>
      <c r="W219" s="115"/>
      <c r="X219" s="115"/>
      <c r="Y219" s="115"/>
      <c r="Z219" s="115"/>
      <c r="AA219" s="115"/>
      <c r="AB219" s="115"/>
      <c r="AC219" s="115"/>
      <c r="AD219" s="127"/>
      <c r="AE219" s="29"/>
      <c r="AO219" s="25"/>
      <c r="AP219" s="13"/>
      <c r="AU219" s="116"/>
      <c r="AV219" s="123"/>
      <c r="AW219" s="123"/>
      <c r="AX219" s="123"/>
      <c r="BC219" s="115"/>
      <c r="BD219" s="115"/>
      <c r="BE219" s="115"/>
      <c r="BF219" s="115"/>
      <c r="BG219" s="115"/>
      <c r="BH219" s="115"/>
      <c r="BI219" s="115"/>
      <c r="BJ219" s="115"/>
      <c r="BK219" s="115"/>
      <c r="BL219" s="115"/>
      <c r="BM219" s="25"/>
      <c r="BN219" s="13"/>
      <c r="BQ219" s="114"/>
    </row>
    <row r="220" spans="1:69" ht="20.100000000000001" customHeight="1" x14ac:dyDescent="0.4">
      <c r="A220" s="117"/>
      <c r="B220" s="123"/>
      <c r="C220" s="123"/>
      <c r="D220" s="123"/>
      <c r="N220" s="25"/>
      <c r="O220" s="13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O220" s="25"/>
      <c r="AP220" s="13"/>
      <c r="AU220" s="116"/>
      <c r="AV220" s="123"/>
      <c r="AW220" s="123"/>
      <c r="AX220" s="123"/>
      <c r="BC220" s="115"/>
      <c r="BD220" s="115"/>
      <c r="BE220" s="115"/>
      <c r="BF220" s="115"/>
      <c r="BG220" s="115"/>
      <c r="BH220" s="115"/>
      <c r="BI220" s="115"/>
      <c r="BJ220" s="115"/>
      <c r="BK220" s="115"/>
      <c r="BL220" s="115"/>
      <c r="BM220" s="25"/>
      <c r="BN220" s="13"/>
      <c r="BQ220" s="114"/>
    </row>
    <row r="221" spans="1:69" ht="20.100000000000001" customHeight="1" x14ac:dyDescent="0.4">
      <c r="A221" s="117"/>
      <c r="B221" s="123"/>
      <c r="C221" s="123"/>
      <c r="D221" s="123"/>
      <c r="N221" s="25"/>
      <c r="O221" s="13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O221" s="25"/>
      <c r="AP221" s="13"/>
      <c r="AU221" s="116"/>
      <c r="AV221" s="123"/>
      <c r="AW221" s="123"/>
      <c r="AX221" s="123"/>
      <c r="BC221" s="115"/>
      <c r="BD221" s="115"/>
      <c r="BE221" s="115"/>
      <c r="BF221" s="115"/>
      <c r="BG221" s="115"/>
      <c r="BH221" s="115"/>
      <c r="BI221" s="115"/>
      <c r="BJ221" s="115"/>
      <c r="BK221" s="115"/>
      <c r="BL221" s="115"/>
      <c r="BM221" s="25"/>
      <c r="BN221" s="13"/>
      <c r="BQ221" s="114"/>
    </row>
    <row r="222" spans="1:69" ht="20.100000000000001" customHeight="1" x14ac:dyDescent="0.4">
      <c r="A222" s="117"/>
      <c r="B222" s="123"/>
      <c r="C222" s="123"/>
      <c r="D222" s="123"/>
      <c r="J222" s="115"/>
      <c r="K222" s="115"/>
      <c r="L222" s="115"/>
      <c r="M222" s="115"/>
      <c r="N222" s="13"/>
      <c r="O222" s="13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27"/>
      <c r="AE222" s="29"/>
      <c r="AO222" s="25"/>
      <c r="AP222" s="13"/>
      <c r="AU222" s="116"/>
      <c r="AV222" s="123"/>
      <c r="AW222" s="123"/>
      <c r="AX222" s="123"/>
      <c r="BC222" s="115"/>
      <c r="BD222" s="115"/>
      <c r="BE222" s="115"/>
      <c r="BF222" s="115"/>
      <c r="BG222" s="115"/>
      <c r="BH222" s="115"/>
      <c r="BI222" s="115"/>
      <c r="BJ222" s="115"/>
      <c r="BK222" s="115"/>
      <c r="BL222" s="115"/>
      <c r="BM222" s="25"/>
      <c r="BN222" s="13"/>
      <c r="BQ222" s="114"/>
    </row>
    <row r="223" spans="1:69" ht="20.100000000000001" customHeight="1" x14ac:dyDescent="0.4">
      <c r="A223" s="117"/>
      <c r="B223" s="123"/>
      <c r="C223" s="123"/>
      <c r="D223" s="123"/>
      <c r="J223" s="115"/>
      <c r="K223" s="115"/>
      <c r="L223" s="115"/>
      <c r="M223" s="115"/>
      <c r="N223" s="13"/>
      <c r="O223" s="13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27"/>
      <c r="AE223" s="29"/>
      <c r="AO223" s="25"/>
      <c r="AP223" s="13"/>
      <c r="AU223" s="116"/>
      <c r="AV223" s="123"/>
      <c r="AW223" s="123"/>
      <c r="AX223" s="123"/>
      <c r="BC223" s="115"/>
      <c r="BD223" s="115"/>
      <c r="BE223" s="115"/>
      <c r="BF223" s="115"/>
      <c r="BG223" s="115"/>
      <c r="BH223" s="115"/>
      <c r="BI223" s="115"/>
      <c r="BJ223" s="115"/>
      <c r="BK223" s="115"/>
      <c r="BL223" s="115"/>
      <c r="BM223" s="25"/>
      <c r="BN223" s="13"/>
      <c r="BQ223" s="114"/>
    </row>
    <row r="224" spans="1:69" ht="20.100000000000001" customHeight="1" x14ac:dyDescent="0.4">
      <c r="A224" s="117"/>
      <c r="B224" s="123"/>
      <c r="C224" s="123"/>
      <c r="D224" s="123"/>
      <c r="N224" s="25"/>
      <c r="O224" s="13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27"/>
      <c r="AE224" s="29"/>
      <c r="AO224" s="25"/>
      <c r="AP224" s="13"/>
      <c r="AU224" s="116"/>
      <c r="AV224" s="123"/>
      <c r="AW224" s="123"/>
      <c r="AX224" s="123"/>
      <c r="BC224" s="115"/>
      <c r="BD224" s="115"/>
      <c r="BE224" s="115"/>
      <c r="BF224" s="115"/>
      <c r="BG224" s="115"/>
      <c r="BH224" s="115"/>
      <c r="BI224" s="115"/>
      <c r="BJ224" s="115"/>
      <c r="BK224" s="115"/>
      <c r="BL224" s="115"/>
      <c r="BM224" s="25"/>
      <c r="BN224" s="13"/>
      <c r="BQ224" s="114"/>
    </row>
    <row r="225" spans="1:69" ht="20.100000000000001" customHeight="1" x14ac:dyDescent="0.4">
      <c r="A225" s="117"/>
      <c r="B225" s="123"/>
      <c r="C225" s="123"/>
      <c r="D225" s="123"/>
      <c r="I225" s="115"/>
      <c r="J225" s="115"/>
      <c r="K225" s="115"/>
      <c r="L225" s="115"/>
      <c r="M225" s="115"/>
      <c r="N225" s="13"/>
      <c r="O225" s="13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O225" s="25"/>
      <c r="AP225" s="13"/>
      <c r="AU225" s="116"/>
      <c r="AV225" s="123"/>
      <c r="AW225" s="123"/>
      <c r="AX225" s="123"/>
      <c r="BC225" s="115"/>
      <c r="BD225" s="115"/>
      <c r="BE225" s="115"/>
      <c r="BF225" s="115"/>
      <c r="BG225" s="115"/>
      <c r="BH225" s="115"/>
      <c r="BI225" s="115"/>
      <c r="BJ225" s="115"/>
      <c r="BK225" s="115"/>
      <c r="BL225" s="115"/>
      <c r="BM225" s="25"/>
      <c r="BN225" s="13"/>
      <c r="BQ225" s="114"/>
    </row>
    <row r="226" spans="1:69" ht="20.100000000000001" customHeight="1" x14ac:dyDescent="0.4">
      <c r="A226" s="117"/>
      <c r="B226" s="123"/>
      <c r="C226" s="123"/>
      <c r="D226" s="123"/>
      <c r="N226" s="25"/>
      <c r="O226" s="13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O226" s="25"/>
      <c r="AP226" s="13"/>
      <c r="AU226" s="116"/>
      <c r="AV226" s="123"/>
      <c r="AW226" s="123"/>
      <c r="AX226" s="123"/>
      <c r="BC226" s="115"/>
      <c r="BD226" s="115"/>
      <c r="BE226" s="115"/>
      <c r="BF226" s="115"/>
      <c r="BG226" s="115"/>
      <c r="BH226" s="115"/>
      <c r="BI226" s="115"/>
      <c r="BJ226" s="115"/>
      <c r="BK226" s="115"/>
      <c r="BL226" s="115"/>
      <c r="BM226" s="25"/>
      <c r="BN226" s="13"/>
      <c r="BQ226" s="114"/>
    </row>
    <row r="227" spans="1:69" ht="20.100000000000001" customHeight="1" x14ac:dyDescent="0.4">
      <c r="A227" s="117"/>
      <c r="B227" s="123"/>
      <c r="C227" s="123"/>
      <c r="D227" s="123"/>
      <c r="N227" s="25"/>
      <c r="O227" s="13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O227" s="25"/>
      <c r="AP227" s="13"/>
      <c r="AU227" s="116"/>
      <c r="AV227" s="123"/>
      <c r="AW227" s="123"/>
      <c r="AX227" s="123"/>
      <c r="BC227" s="115"/>
      <c r="BD227" s="115"/>
      <c r="BE227" s="115"/>
      <c r="BF227" s="115"/>
      <c r="BG227" s="115"/>
      <c r="BH227" s="115"/>
      <c r="BI227" s="115"/>
      <c r="BJ227" s="115"/>
      <c r="BK227" s="115"/>
      <c r="BL227" s="115"/>
      <c r="BM227" s="25"/>
      <c r="BN227" s="13"/>
      <c r="BQ227" s="114"/>
    </row>
    <row r="228" spans="1:69" ht="20.100000000000001" customHeight="1" x14ac:dyDescent="0.4">
      <c r="A228" s="117"/>
      <c r="B228" s="123"/>
      <c r="C228" s="123"/>
      <c r="D228" s="123"/>
      <c r="N228" s="25"/>
      <c r="O228" s="13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29"/>
      <c r="AE228" s="29"/>
      <c r="AO228" s="25"/>
      <c r="AP228" s="13"/>
      <c r="AU228" s="116"/>
      <c r="AV228" s="123"/>
      <c r="AW228" s="123"/>
      <c r="AX228" s="123"/>
      <c r="BC228" s="115"/>
      <c r="BD228" s="115"/>
      <c r="BE228" s="115"/>
      <c r="BF228" s="115"/>
      <c r="BG228" s="115"/>
      <c r="BH228" s="115"/>
      <c r="BI228" s="115"/>
      <c r="BJ228" s="115"/>
      <c r="BK228" s="115"/>
      <c r="BL228" s="115"/>
      <c r="BM228" s="25"/>
      <c r="BN228" s="13"/>
      <c r="BQ228" s="114"/>
    </row>
    <row r="229" spans="1:69" ht="20.100000000000001" customHeight="1" x14ac:dyDescent="0.4">
      <c r="A229" s="117"/>
      <c r="B229" s="123"/>
      <c r="C229" s="123"/>
      <c r="D229" s="123"/>
      <c r="N229" s="25"/>
      <c r="O229" s="13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O229" s="25"/>
      <c r="AP229" s="13"/>
      <c r="AU229" s="116"/>
      <c r="AV229" s="123"/>
      <c r="AW229" s="123"/>
      <c r="AX229" s="123"/>
      <c r="BC229" s="115"/>
      <c r="BD229" s="115"/>
      <c r="BE229" s="115"/>
      <c r="BF229" s="115"/>
      <c r="BG229" s="115"/>
      <c r="BH229" s="115"/>
      <c r="BI229" s="115"/>
      <c r="BJ229" s="115"/>
      <c r="BK229" s="115"/>
      <c r="BL229" s="115"/>
      <c r="BM229" s="25"/>
      <c r="BN229" s="13"/>
      <c r="BQ229" s="114"/>
    </row>
    <row r="230" spans="1:69" ht="20.100000000000001" customHeight="1" x14ac:dyDescent="0.4">
      <c r="A230" s="117"/>
      <c r="B230" s="123"/>
      <c r="C230" s="123"/>
      <c r="D230" s="123"/>
      <c r="N230" s="25"/>
      <c r="O230" s="13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29"/>
      <c r="AE230" s="29"/>
      <c r="AO230" s="25"/>
      <c r="AP230" s="13"/>
      <c r="AU230" s="116"/>
      <c r="AV230" s="123"/>
      <c r="AW230" s="123"/>
      <c r="AX230" s="123"/>
      <c r="BC230" s="115"/>
      <c r="BD230" s="115"/>
      <c r="BE230" s="115"/>
      <c r="BF230" s="115"/>
      <c r="BG230" s="115"/>
      <c r="BH230" s="115"/>
      <c r="BI230" s="115"/>
      <c r="BJ230" s="115"/>
      <c r="BK230" s="115"/>
      <c r="BL230" s="115"/>
      <c r="BM230" s="25"/>
      <c r="BN230" s="13"/>
      <c r="BQ230" s="114"/>
    </row>
    <row r="231" spans="1:69" ht="20.100000000000001" customHeight="1" x14ac:dyDescent="0.4">
      <c r="A231" s="117"/>
      <c r="B231" s="123"/>
      <c r="C231" s="123"/>
      <c r="D231" s="123"/>
      <c r="I231" s="115"/>
      <c r="J231" s="115"/>
      <c r="K231" s="115"/>
      <c r="L231" s="115"/>
      <c r="M231" s="115"/>
      <c r="N231" s="13"/>
      <c r="O231" s="13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29"/>
      <c r="AE231" s="29"/>
      <c r="AO231" s="25"/>
      <c r="AP231" s="13"/>
      <c r="AU231" s="116"/>
      <c r="AV231" s="123"/>
      <c r="AW231" s="123"/>
      <c r="AX231" s="123"/>
      <c r="BC231" s="115"/>
      <c r="BD231" s="115"/>
      <c r="BE231" s="115"/>
      <c r="BF231" s="115"/>
      <c r="BG231" s="115"/>
      <c r="BH231" s="115"/>
      <c r="BI231" s="115"/>
      <c r="BJ231" s="115"/>
      <c r="BK231" s="115"/>
      <c r="BL231" s="115"/>
      <c r="BM231" s="25"/>
      <c r="BN231" s="13"/>
      <c r="BQ231" s="114"/>
    </row>
    <row r="232" spans="1:69" ht="20.100000000000001" customHeight="1" x14ac:dyDescent="0.4">
      <c r="A232" s="117"/>
      <c r="B232" s="123"/>
      <c r="C232" s="123"/>
      <c r="D232" s="123"/>
      <c r="N232" s="25"/>
      <c r="O232" s="13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O232" s="25"/>
      <c r="AP232" s="13"/>
      <c r="AU232" s="116"/>
      <c r="AV232" s="123"/>
      <c r="AW232" s="123"/>
      <c r="AX232" s="123"/>
      <c r="BC232" s="115"/>
      <c r="BD232" s="115"/>
      <c r="BE232" s="115"/>
      <c r="BF232" s="115"/>
      <c r="BG232" s="115"/>
      <c r="BH232" s="115"/>
      <c r="BI232" s="115"/>
      <c r="BJ232" s="115"/>
      <c r="BK232" s="115"/>
      <c r="BL232" s="115"/>
      <c r="BM232" s="25"/>
      <c r="BN232" s="13"/>
      <c r="BQ232" s="114"/>
    </row>
    <row r="233" spans="1:69" ht="20.100000000000001" customHeight="1" x14ac:dyDescent="0.4">
      <c r="A233" s="117"/>
      <c r="B233" s="123"/>
      <c r="C233" s="123"/>
      <c r="D233" s="123"/>
      <c r="I233" s="115"/>
      <c r="J233" s="115"/>
      <c r="K233" s="115"/>
      <c r="L233" s="115"/>
      <c r="M233" s="115"/>
      <c r="N233" s="13"/>
      <c r="O233" s="13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O233" s="25"/>
      <c r="AP233" s="13"/>
      <c r="AU233" s="116"/>
      <c r="AV233" s="123"/>
      <c r="AW233" s="123"/>
      <c r="AX233" s="123"/>
      <c r="BC233" s="115"/>
      <c r="BD233" s="115"/>
      <c r="BE233" s="115"/>
      <c r="BF233" s="115"/>
      <c r="BG233" s="115"/>
      <c r="BH233" s="115"/>
      <c r="BI233" s="115"/>
      <c r="BJ233" s="115"/>
      <c r="BK233" s="115"/>
      <c r="BL233" s="115"/>
      <c r="BM233" s="25"/>
      <c r="BN233" s="13"/>
      <c r="BQ233" s="114"/>
    </row>
    <row r="234" spans="1:69" ht="20.100000000000001" customHeight="1" x14ac:dyDescent="0.4">
      <c r="A234" s="117"/>
      <c r="B234" s="123"/>
      <c r="C234" s="123"/>
      <c r="D234" s="123"/>
      <c r="N234" s="25"/>
      <c r="O234" s="13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29"/>
      <c r="AE234" s="29"/>
      <c r="AO234" s="25"/>
      <c r="AP234" s="13"/>
      <c r="AU234" s="116"/>
      <c r="AV234" s="123"/>
      <c r="AW234" s="123"/>
      <c r="AX234" s="123"/>
      <c r="BC234" s="115"/>
      <c r="BD234" s="115"/>
      <c r="BE234" s="115"/>
      <c r="BF234" s="115"/>
      <c r="BG234" s="115"/>
      <c r="BH234" s="115"/>
      <c r="BI234" s="115"/>
      <c r="BJ234" s="115"/>
      <c r="BK234" s="115"/>
      <c r="BL234" s="115"/>
      <c r="BM234" s="25"/>
      <c r="BN234" s="13"/>
      <c r="BQ234" s="114"/>
    </row>
    <row r="235" spans="1:69" ht="20.100000000000001" customHeight="1" x14ac:dyDescent="0.4">
      <c r="A235" s="117"/>
      <c r="B235" s="123"/>
      <c r="C235" s="123"/>
      <c r="D235" s="123"/>
      <c r="N235" s="25"/>
      <c r="O235" s="13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O235" s="25"/>
      <c r="AP235" s="13"/>
      <c r="AU235" s="116"/>
      <c r="AV235" s="123"/>
      <c r="AW235" s="123"/>
      <c r="AX235" s="123"/>
      <c r="BC235" s="115"/>
      <c r="BD235" s="115"/>
      <c r="BE235" s="115"/>
      <c r="BF235" s="115"/>
      <c r="BG235" s="115"/>
      <c r="BH235" s="115"/>
      <c r="BI235" s="115"/>
      <c r="BJ235" s="115"/>
      <c r="BK235" s="115"/>
      <c r="BL235" s="115"/>
      <c r="BM235" s="25"/>
      <c r="BN235" s="13"/>
      <c r="BQ235" s="114"/>
    </row>
    <row r="236" spans="1:69" ht="20.100000000000001" customHeight="1" x14ac:dyDescent="0.4">
      <c r="A236" s="117"/>
      <c r="B236" s="123"/>
      <c r="C236" s="123"/>
      <c r="D236" s="123"/>
      <c r="N236" s="25"/>
      <c r="O236" s="13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29"/>
      <c r="AE236" s="29"/>
      <c r="AO236" s="25"/>
      <c r="AP236" s="13"/>
      <c r="AU236" s="116"/>
      <c r="AV236" s="123"/>
      <c r="AW236" s="123"/>
      <c r="AX236" s="123"/>
      <c r="BC236" s="115"/>
      <c r="BD236" s="115"/>
      <c r="BE236" s="115"/>
      <c r="BF236" s="115"/>
      <c r="BG236" s="115"/>
      <c r="BH236" s="115"/>
      <c r="BI236" s="115"/>
      <c r="BJ236" s="115"/>
      <c r="BK236" s="115"/>
      <c r="BL236" s="115"/>
      <c r="BM236" s="25"/>
      <c r="BN236" s="13"/>
      <c r="BQ236" s="114"/>
    </row>
    <row r="237" spans="1:69" ht="20.100000000000001" customHeight="1" x14ac:dyDescent="0.4">
      <c r="A237" s="117"/>
      <c r="B237" s="123"/>
      <c r="C237" s="123"/>
      <c r="D237" s="123"/>
      <c r="I237" s="115"/>
      <c r="J237" s="115"/>
      <c r="K237" s="115"/>
      <c r="L237" s="115"/>
      <c r="M237" s="115"/>
      <c r="N237" s="13"/>
      <c r="O237" s="13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29"/>
      <c r="AE237" s="29"/>
      <c r="AO237" s="25"/>
      <c r="AP237" s="13"/>
      <c r="AU237" s="116"/>
      <c r="AV237" s="123"/>
      <c r="AW237" s="123"/>
      <c r="AX237" s="123"/>
      <c r="BC237" s="115"/>
      <c r="BD237" s="115"/>
      <c r="BE237" s="115"/>
      <c r="BF237" s="115"/>
      <c r="BG237" s="115"/>
      <c r="BH237" s="115"/>
      <c r="BI237" s="115"/>
      <c r="BJ237" s="115"/>
      <c r="BK237" s="115"/>
      <c r="BL237" s="115"/>
      <c r="BM237" s="25"/>
      <c r="BN237" s="13"/>
      <c r="BQ237" s="114"/>
    </row>
    <row r="238" spans="1:69" ht="20.100000000000001" customHeight="1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25"/>
      <c r="O238" s="13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29"/>
      <c r="AE238" s="29"/>
      <c r="AO238" s="25"/>
      <c r="AP238" s="13"/>
      <c r="AU238" s="116"/>
      <c r="AV238" s="123"/>
      <c r="AW238" s="123"/>
      <c r="AX238" s="123"/>
      <c r="BC238" s="115"/>
      <c r="BD238" s="115"/>
      <c r="BE238" s="115"/>
      <c r="BF238" s="115"/>
      <c r="BG238" s="115"/>
      <c r="BH238" s="115"/>
      <c r="BI238" s="115"/>
      <c r="BJ238" s="115"/>
      <c r="BK238" s="115"/>
      <c r="BL238" s="115"/>
      <c r="BM238" s="25"/>
      <c r="BN238" s="13"/>
      <c r="BQ238" s="114"/>
    </row>
    <row r="239" spans="1:69" ht="20.100000000000001" customHeight="1" x14ac:dyDescent="0.4">
      <c r="A239" s="117"/>
      <c r="B239" s="123"/>
      <c r="C239" s="123"/>
      <c r="D239" s="123"/>
      <c r="N239" s="25"/>
      <c r="O239" s="133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O239" s="25"/>
      <c r="AP239" s="13"/>
      <c r="AU239" s="116"/>
      <c r="AV239" s="123"/>
      <c r="AW239" s="123"/>
      <c r="AX239" s="123"/>
      <c r="BC239" s="115"/>
      <c r="BD239" s="115"/>
      <c r="BE239" s="115"/>
      <c r="BF239" s="115"/>
      <c r="BG239" s="115"/>
      <c r="BH239" s="115"/>
      <c r="BI239" s="115"/>
      <c r="BJ239" s="115"/>
      <c r="BK239" s="115"/>
      <c r="BL239" s="115"/>
      <c r="BM239" s="25"/>
      <c r="BN239" s="13"/>
      <c r="BQ239" s="114"/>
    </row>
    <row r="240" spans="1:69" ht="20.100000000000001" customHeight="1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5"/>
      <c r="O240" s="13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O240" s="25"/>
      <c r="AP240" s="13"/>
      <c r="AU240" s="116"/>
      <c r="AV240" s="123"/>
      <c r="AW240" s="123"/>
      <c r="AX240" s="123"/>
      <c r="BC240" s="115"/>
      <c r="BD240" s="115"/>
      <c r="BE240" s="115"/>
      <c r="BF240" s="115"/>
      <c r="BG240" s="115"/>
      <c r="BH240" s="115"/>
      <c r="BI240" s="115"/>
      <c r="BJ240" s="115"/>
      <c r="BK240" s="115"/>
      <c r="BL240" s="115"/>
      <c r="BM240" s="25"/>
      <c r="BN240" s="13"/>
      <c r="BQ240" s="114"/>
    </row>
    <row r="241" spans="1:69" ht="20.100000000000001" customHeight="1" x14ac:dyDescent="0.4">
      <c r="A241" s="117"/>
      <c r="B241" s="123"/>
      <c r="C241" s="123"/>
      <c r="D241" s="123"/>
      <c r="N241" s="25"/>
      <c r="O241" s="13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O241" s="25"/>
      <c r="AP241" s="13"/>
      <c r="AU241" s="116"/>
      <c r="AV241" s="123"/>
      <c r="AW241" s="123"/>
      <c r="AX241" s="123"/>
      <c r="BC241" s="115"/>
      <c r="BD241" s="115"/>
      <c r="BE241" s="115"/>
      <c r="BF241" s="115"/>
      <c r="BG241" s="115"/>
      <c r="BH241" s="115"/>
      <c r="BI241" s="115"/>
      <c r="BJ241" s="115"/>
      <c r="BK241" s="115"/>
      <c r="BL241" s="115"/>
      <c r="BM241" s="25"/>
      <c r="BN241" s="13"/>
      <c r="BQ241" s="114"/>
    </row>
    <row r="242" spans="1:69" ht="20.100000000000001" customHeight="1" x14ac:dyDescent="0.4">
      <c r="A242" s="117"/>
      <c r="B242" s="123"/>
      <c r="C242" s="123"/>
      <c r="D242" s="123"/>
      <c r="N242" s="25"/>
      <c r="O242" s="13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29"/>
      <c r="AE242" s="29"/>
      <c r="AO242" s="25"/>
      <c r="AP242" s="13"/>
      <c r="AU242" s="116"/>
      <c r="AV242" s="123"/>
      <c r="AW242" s="123"/>
      <c r="AX242" s="123"/>
      <c r="BC242" s="115"/>
      <c r="BD242" s="115"/>
      <c r="BE242" s="115"/>
      <c r="BF242" s="115"/>
      <c r="BG242" s="115"/>
      <c r="BH242" s="115"/>
      <c r="BI242" s="115"/>
      <c r="BJ242" s="115"/>
      <c r="BK242" s="115"/>
      <c r="BL242" s="115"/>
      <c r="BM242" s="25"/>
      <c r="BN242" s="13"/>
      <c r="BQ242" s="114"/>
    </row>
    <row r="243" spans="1:69" ht="20.100000000000001" customHeight="1" x14ac:dyDescent="0.4">
      <c r="A243" s="117"/>
      <c r="B243" s="123"/>
      <c r="C243" s="123"/>
      <c r="D243" s="123"/>
      <c r="I243" s="115"/>
      <c r="J243" s="115"/>
      <c r="K243" s="115"/>
      <c r="L243" s="115"/>
      <c r="M243" s="115"/>
      <c r="N243" s="13"/>
      <c r="O243" s="13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29"/>
      <c r="AE243" s="29"/>
      <c r="AO243" s="25"/>
      <c r="AP243" s="13"/>
      <c r="AU243" s="116"/>
      <c r="AV243" s="123"/>
      <c r="AW243" s="123"/>
      <c r="AX243" s="123"/>
      <c r="BC243" s="115"/>
      <c r="BD243" s="115"/>
      <c r="BE243" s="115"/>
      <c r="BF243" s="115"/>
      <c r="BG243" s="115"/>
      <c r="BH243" s="115"/>
      <c r="BI243" s="115"/>
      <c r="BJ243" s="115"/>
      <c r="BK243" s="115"/>
      <c r="BL243" s="115"/>
      <c r="BM243" s="25"/>
      <c r="BN243" s="13"/>
      <c r="BQ243" s="114"/>
    </row>
    <row r="244" spans="1:69" ht="20.100000000000001" customHeight="1" x14ac:dyDescent="0.4">
      <c r="A244" s="117"/>
      <c r="B244" s="123"/>
      <c r="C244" s="123"/>
      <c r="D244" s="123"/>
      <c r="I244" s="115"/>
      <c r="J244" s="115"/>
      <c r="K244" s="115"/>
      <c r="L244" s="115"/>
      <c r="M244" s="115"/>
      <c r="N244" s="13"/>
      <c r="O244" s="13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29"/>
      <c r="AE244" s="29"/>
      <c r="AO244" s="25"/>
      <c r="AP244" s="13"/>
      <c r="AU244" s="116"/>
      <c r="AV244" s="123"/>
      <c r="AW244" s="123"/>
      <c r="AX244" s="123"/>
      <c r="BC244" s="115"/>
      <c r="BD244" s="115"/>
      <c r="BE244" s="115"/>
      <c r="BF244" s="115"/>
      <c r="BG244" s="115"/>
      <c r="BH244" s="115"/>
      <c r="BI244" s="115"/>
      <c r="BJ244" s="115"/>
      <c r="BK244" s="115"/>
      <c r="BL244" s="115"/>
      <c r="BM244" s="25"/>
      <c r="BN244" s="13"/>
      <c r="BQ244" s="114"/>
    </row>
    <row r="245" spans="1:69" ht="20.100000000000001" customHeight="1" x14ac:dyDescent="0.4">
      <c r="A245" s="117"/>
      <c r="B245" s="123"/>
      <c r="C245" s="123"/>
      <c r="D245" s="123"/>
      <c r="N245" s="25"/>
      <c r="O245" s="13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O245" s="25"/>
      <c r="AP245" s="13"/>
      <c r="AU245" s="116"/>
      <c r="AV245" s="123"/>
      <c r="AW245" s="123"/>
      <c r="AX245" s="123"/>
      <c r="BC245" s="115"/>
      <c r="BD245" s="115"/>
      <c r="BE245" s="115"/>
      <c r="BF245" s="115"/>
      <c r="BG245" s="115"/>
      <c r="BH245" s="115"/>
      <c r="BI245" s="115"/>
      <c r="BJ245" s="115"/>
      <c r="BK245" s="115"/>
      <c r="BL245" s="115"/>
      <c r="BM245" s="25"/>
      <c r="BN245" s="13"/>
      <c r="BQ245" s="114"/>
    </row>
    <row r="246" spans="1:69" ht="20.100000000000001" customHeight="1" x14ac:dyDescent="0.4">
      <c r="A246" s="117"/>
      <c r="B246" s="123"/>
      <c r="C246" s="123"/>
      <c r="D246" s="123"/>
      <c r="N246" s="25"/>
      <c r="O246" s="13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27"/>
      <c r="AE246" s="29"/>
      <c r="AO246" s="25"/>
      <c r="AP246" s="13"/>
      <c r="AU246" s="116"/>
      <c r="AV246" s="123"/>
      <c r="AW246" s="123"/>
      <c r="AX246" s="123"/>
      <c r="BC246" s="115"/>
      <c r="BD246" s="115"/>
      <c r="BE246" s="115"/>
      <c r="BF246" s="115"/>
      <c r="BG246" s="115"/>
      <c r="BH246" s="115"/>
      <c r="BI246" s="115"/>
      <c r="BJ246" s="115"/>
      <c r="BK246" s="115"/>
      <c r="BL246" s="115"/>
      <c r="BM246" s="25"/>
      <c r="BN246" s="13"/>
      <c r="BQ246" s="114"/>
    </row>
    <row r="247" spans="1:69" ht="20.100000000000001" customHeight="1" x14ac:dyDescent="0.4">
      <c r="A247" s="117"/>
      <c r="B247" s="123"/>
      <c r="C247" s="123"/>
      <c r="D247" s="123"/>
      <c r="N247" s="25"/>
      <c r="O247" s="13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29"/>
      <c r="AE247" s="29"/>
      <c r="AO247" s="25"/>
      <c r="AP247" s="13"/>
      <c r="AU247" s="116"/>
      <c r="AV247" s="123"/>
      <c r="AW247" s="123"/>
      <c r="AX247" s="123"/>
      <c r="BC247" s="115"/>
      <c r="BD247" s="115"/>
      <c r="BE247" s="115"/>
      <c r="BF247" s="115"/>
      <c r="BG247" s="115"/>
      <c r="BH247" s="115"/>
      <c r="BI247" s="115"/>
      <c r="BJ247" s="115"/>
      <c r="BK247" s="115"/>
      <c r="BL247" s="115"/>
      <c r="BM247" s="25"/>
      <c r="BN247" s="13"/>
      <c r="BQ247" s="114"/>
    </row>
    <row r="248" spans="1:69" ht="20.100000000000001" customHeight="1" x14ac:dyDescent="0.4">
      <c r="A248" s="117"/>
      <c r="B248" s="123"/>
      <c r="C248" s="123"/>
      <c r="D248" s="123"/>
      <c r="N248" s="25"/>
      <c r="O248" s="13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O248" s="25"/>
      <c r="AP248" s="13"/>
      <c r="AU248" s="116"/>
      <c r="AV248" s="123"/>
      <c r="AW248" s="123"/>
      <c r="AX248" s="123"/>
      <c r="BC248" s="115"/>
      <c r="BD248" s="115"/>
      <c r="BE248" s="115"/>
      <c r="BF248" s="115"/>
      <c r="BG248" s="115"/>
      <c r="BH248" s="115"/>
      <c r="BI248" s="115"/>
      <c r="BJ248" s="115"/>
      <c r="BK248" s="115"/>
      <c r="BL248" s="115"/>
      <c r="BM248" s="25"/>
      <c r="BN248" s="13"/>
      <c r="BQ248" s="114"/>
    </row>
    <row r="249" spans="1:69" ht="20.100000000000001" customHeight="1" x14ac:dyDescent="0.4">
      <c r="A249" s="117"/>
      <c r="B249" s="123"/>
      <c r="C249" s="123"/>
      <c r="D249" s="123"/>
      <c r="N249" s="25"/>
      <c r="O249" s="13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O249" s="25"/>
      <c r="AP249" s="13"/>
      <c r="AU249" s="116"/>
      <c r="AV249" s="123"/>
      <c r="AW249" s="123"/>
      <c r="AX249" s="123"/>
      <c r="BC249" s="115"/>
      <c r="BD249" s="115"/>
      <c r="BE249" s="115"/>
      <c r="BF249" s="115"/>
      <c r="BG249" s="115"/>
      <c r="BH249" s="115"/>
      <c r="BI249" s="115"/>
      <c r="BJ249" s="115"/>
      <c r="BK249" s="115"/>
      <c r="BL249" s="115"/>
      <c r="BM249" s="25"/>
      <c r="BN249" s="13"/>
      <c r="BQ249" s="114"/>
    </row>
    <row r="250" spans="1:69" ht="20.100000000000001" customHeight="1" x14ac:dyDescent="0.4">
      <c r="A250" s="117"/>
      <c r="B250" s="123"/>
      <c r="C250" s="123"/>
      <c r="D250" s="123"/>
      <c r="N250" s="25"/>
      <c r="O250" s="13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O250" s="25"/>
      <c r="AP250" s="13"/>
      <c r="AU250" s="116"/>
      <c r="AV250" s="123"/>
      <c r="AW250" s="123"/>
      <c r="AX250" s="123"/>
      <c r="BC250" s="115"/>
      <c r="BD250" s="115"/>
      <c r="BE250" s="115"/>
      <c r="BF250" s="115"/>
      <c r="BG250" s="115"/>
      <c r="BH250" s="115"/>
      <c r="BI250" s="115"/>
      <c r="BJ250" s="115"/>
      <c r="BK250" s="115"/>
      <c r="BL250" s="115"/>
      <c r="BM250" s="25"/>
      <c r="BN250" s="13"/>
      <c r="BQ250" s="114"/>
    </row>
    <row r="251" spans="1:69" ht="20.100000000000001" customHeight="1" x14ac:dyDescent="0.4">
      <c r="A251" s="117"/>
      <c r="B251" s="123"/>
      <c r="C251" s="123"/>
      <c r="D251" s="123"/>
      <c r="N251" s="25"/>
      <c r="O251" s="133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29"/>
      <c r="AE251" s="29"/>
      <c r="AO251" s="25"/>
      <c r="AP251" s="13"/>
      <c r="AU251" s="116"/>
      <c r="AV251" s="123"/>
      <c r="AW251" s="123"/>
      <c r="AX251" s="123"/>
      <c r="BC251" s="115"/>
      <c r="BD251" s="115"/>
      <c r="BE251" s="115"/>
      <c r="BF251" s="115"/>
      <c r="BG251" s="115"/>
      <c r="BH251" s="115"/>
      <c r="BI251" s="115"/>
      <c r="BJ251" s="115"/>
      <c r="BK251" s="115"/>
      <c r="BL251" s="115"/>
      <c r="BM251" s="25"/>
      <c r="BN251" s="13"/>
      <c r="BQ251" s="114"/>
    </row>
    <row r="252" spans="1:69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26"/>
      <c r="O252" s="13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29"/>
      <c r="AE252" s="29"/>
      <c r="AO252" s="25"/>
      <c r="AP252" s="13"/>
      <c r="AU252" s="116"/>
      <c r="AV252" s="123"/>
      <c r="AW252" s="123"/>
      <c r="AX252" s="123"/>
      <c r="BC252" s="115"/>
      <c r="BD252" s="115"/>
      <c r="BE252" s="115"/>
      <c r="BF252" s="115"/>
      <c r="BG252" s="115"/>
      <c r="BH252" s="115"/>
      <c r="BI252" s="115"/>
      <c r="BJ252" s="115"/>
      <c r="BK252" s="115"/>
      <c r="BL252" s="115"/>
      <c r="BM252" s="25"/>
      <c r="BN252" s="13"/>
      <c r="BQ252" s="114"/>
    </row>
    <row r="253" spans="1:69" ht="20.100000000000001" customHeight="1" x14ac:dyDescent="0.4">
      <c r="A253" s="117"/>
      <c r="B253" s="123"/>
      <c r="C253" s="123"/>
      <c r="D253" s="123"/>
      <c r="N253" s="26"/>
      <c r="O253" s="13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O253" s="25"/>
      <c r="AP253" s="13"/>
      <c r="AU253" s="116"/>
      <c r="AV253" s="123"/>
      <c r="AW253" s="123"/>
      <c r="AX253" s="123"/>
      <c r="BC253" s="115"/>
      <c r="BD253" s="115"/>
      <c r="BE253" s="115"/>
      <c r="BF253" s="115"/>
      <c r="BG253" s="115"/>
      <c r="BH253" s="115"/>
      <c r="BI253" s="115"/>
      <c r="BJ253" s="115"/>
      <c r="BK253" s="115"/>
      <c r="BL253" s="115"/>
      <c r="BM253" s="25"/>
      <c r="BN253" s="13"/>
      <c r="BQ253" s="114"/>
    </row>
    <row r="254" spans="1:69" ht="20.100000000000001" customHeight="1" x14ac:dyDescent="0.4">
      <c r="A254" s="117"/>
      <c r="B254" s="123"/>
      <c r="C254" s="123"/>
      <c r="D254" s="123"/>
      <c r="N254" s="26"/>
      <c r="O254" s="13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29"/>
      <c r="AE254" s="29"/>
      <c r="AO254" s="25"/>
      <c r="AP254" s="13"/>
      <c r="AU254" s="116"/>
      <c r="AV254" s="123"/>
      <c r="AW254" s="123"/>
      <c r="AX254" s="123"/>
      <c r="BC254" s="115"/>
      <c r="BD254" s="115"/>
      <c r="BE254" s="115"/>
      <c r="BF254" s="115"/>
      <c r="BG254" s="115"/>
      <c r="BH254" s="115"/>
      <c r="BI254" s="115"/>
      <c r="BJ254" s="115"/>
      <c r="BK254" s="115"/>
      <c r="BL254" s="115"/>
      <c r="BM254" s="25"/>
      <c r="BN254" s="13"/>
      <c r="BQ254" s="114"/>
    </row>
    <row r="255" spans="1:69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26"/>
      <c r="O255" s="13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29"/>
      <c r="AE255" s="29"/>
      <c r="AO255" s="25"/>
      <c r="AP255" s="13"/>
      <c r="AU255" s="116"/>
      <c r="AV255" s="123"/>
      <c r="AW255" s="123"/>
      <c r="AX255" s="123"/>
      <c r="BC255" s="115"/>
      <c r="BD255" s="115"/>
      <c r="BE255" s="115"/>
      <c r="BF255" s="115"/>
      <c r="BG255" s="115"/>
      <c r="BH255" s="115"/>
      <c r="BI255" s="115"/>
      <c r="BJ255" s="115"/>
      <c r="BK255" s="115"/>
      <c r="BL255" s="115"/>
      <c r="BM255" s="25"/>
      <c r="BN255" s="13"/>
      <c r="BQ255" s="114"/>
    </row>
    <row r="256" spans="1:69" ht="20.100000000000001" customHeight="1" x14ac:dyDescent="0.4">
      <c r="A256" s="117"/>
      <c r="B256" s="123"/>
      <c r="C256" s="123"/>
      <c r="D256" s="123"/>
      <c r="N256" s="26"/>
      <c r="O256" s="13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O256" s="25"/>
      <c r="AP256" s="13"/>
      <c r="AU256" s="116"/>
      <c r="AV256" s="123"/>
      <c r="AW256" s="123"/>
      <c r="AX256" s="123"/>
      <c r="BC256" s="115"/>
      <c r="BD256" s="115"/>
      <c r="BE256" s="115"/>
      <c r="BF256" s="115"/>
      <c r="BG256" s="115"/>
      <c r="BH256" s="115"/>
      <c r="BI256" s="115"/>
      <c r="BJ256" s="115"/>
      <c r="BK256" s="115"/>
      <c r="BL256" s="115"/>
      <c r="BM256" s="25"/>
      <c r="BN256" s="13"/>
      <c r="BQ256" s="114"/>
    </row>
    <row r="257" spans="1:69" ht="20.100000000000001" customHeight="1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17"/>
      <c r="O257" s="13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O257" s="25"/>
      <c r="AP257" s="13"/>
      <c r="AU257" s="116"/>
      <c r="AV257" s="123"/>
      <c r="AW257" s="123"/>
      <c r="AX257" s="123"/>
      <c r="BC257" s="115"/>
      <c r="BD257" s="115"/>
      <c r="BE257" s="115"/>
      <c r="BF257" s="115"/>
      <c r="BG257" s="115"/>
      <c r="BH257" s="115"/>
      <c r="BI257" s="115"/>
      <c r="BJ257" s="115"/>
      <c r="BK257" s="115"/>
      <c r="BL257" s="115"/>
      <c r="BM257" s="25"/>
      <c r="BN257" s="13"/>
      <c r="BQ257" s="114"/>
    </row>
    <row r="258" spans="1:69" ht="20.100000000000001" customHeight="1" x14ac:dyDescent="0.4">
      <c r="A258" s="117"/>
      <c r="B258" s="123"/>
      <c r="C258" s="123"/>
      <c r="D258" s="123"/>
      <c r="N258" s="26"/>
      <c r="O258" s="13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29"/>
      <c r="AE258" s="29"/>
      <c r="AO258" s="25"/>
      <c r="AP258" s="13"/>
      <c r="AU258" s="116"/>
      <c r="AV258" s="123"/>
      <c r="AW258" s="123"/>
      <c r="AX258" s="123"/>
      <c r="BC258" s="115"/>
      <c r="BD258" s="115"/>
      <c r="BE258" s="115"/>
      <c r="BF258" s="115"/>
      <c r="BG258" s="115"/>
      <c r="BH258" s="115"/>
      <c r="BI258" s="115"/>
      <c r="BJ258" s="115"/>
      <c r="BK258" s="115"/>
      <c r="BL258" s="115"/>
      <c r="BM258" s="25"/>
      <c r="BN258" s="13"/>
      <c r="BQ258" s="114"/>
    </row>
    <row r="259" spans="1:69" ht="20.100000000000001" customHeight="1" x14ac:dyDescent="0.4">
      <c r="A259" s="117"/>
      <c r="B259" s="123"/>
      <c r="C259" s="123"/>
      <c r="D259" s="123"/>
      <c r="N259" s="26"/>
      <c r="O259" s="13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27"/>
      <c r="AE259" s="29"/>
      <c r="AO259" s="25"/>
      <c r="AP259" s="13"/>
      <c r="AU259" s="116"/>
      <c r="AV259" s="123"/>
      <c r="AW259" s="123"/>
      <c r="AX259" s="123"/>
      <c r="BC259" s="115"/>
      <c r="BD259" s="115"/>
      <c r="BE259" s="115"/>
      <c r="BF259" s="115"/>
      <c r="BG259" s="115"/>
      <c r="BH259" s="115"/>
      <c r="BI259" s="115"/>
      <c r="BJ259" s="115"/>
      <c r="BK259" s="115"/>
      <c r="BL259" s="115"/>
      <c r="BM259" s="25"/>
      <c r="BN259" s="13"/>
      <c r="BQ259" s="114"/>
    </row>
    <row r="260" spans="1:69" ht="20.100000000000001" customHeight="1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17"/>
      <c r="O260" s="13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O260" s="25"/>
      <c r="AP260" s="13"/>
      <c r="AU260" s="116"/>
      <c r="AV260" s="123"/>
      <c r="AW260" s="123"/>
      <c r="AX260" s="123"/>
      <c r="BC260" s="115"/>
      <c r="BD260" s="115"/>
      <c r="BE260" s="115"/>
      <c r="BF260" s="115"/>
      <c r="BG260" s="115"/>
      <c r="BH260" s="115"/>
      <c r="BI260" s="115"/>
      <c r="BJ260" s="115"/>
      <c r="BK260" s="115"/>
      <c r="BL260" s="115"/>
      <c r="BM260" s="25"/>
      <c r="BN260" s="13"/>
      <c r="BQ260" s="114"/>
    </row>
    <row r="261" spans="1:69" ht="20.100000000000001" customHeight="1" x14ac:dyDescent="0.4">
      <c r="A261" s="117"/>
      <c r="B261" s="123"/>
      <c r="C261" s="123"/>
      <c r="D261" s="123"/>
      <c r="G261" s="115"/>
      <c r="H261" s="115"/>
      <c r="I261" s="115"/>
      <c r="J261" s="115"/>
      <c r="K261" s="115"/>
      <c r="L261" s="115"/>
      <c r="M261" s="115"/>
      <c r="N261" s="26"/>
      <c r="O261" s="13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O261" s="25"/>
      <c r="AP261" s="13"/>
      <c r="AU261" s="116"/>
      <c r="AV261" s="123"/>
      <c r="AW261" s="123"/>
      <c r="AX261" s="123"/>
      <c r="BC261" s="115"/>
      <c r="BD261" s="115"/>
      <c r="BE261" s="115"/>
      <c r="BF261" s="115"/>
      <c r="BG261" s="115"/>
      <c r="BH261" s="115"/>
      <c r="BI261" s="115"/>
      <c r="BJ261" s="115"/>
      <c r="BK261" s="115"/>
      <c r="BL261" s="115"/>
      <c r="BM261" s="25"/>
      <c r="BN261" s="13"/>
      <c r="BQ261" s="114"/>
    </row>
    <row r="262" spans="1:69" ht="20.100000000000001" customHeight="1" x14ac:dyDescent="0.4">
      <c r="A262" s="117"/>
      <c r="B262" s="123"/>
      <c r="C262" s="123"/>
      <c r="D262" s="123"/>
      <c r="G262" s="115"/>
      <c r="H262" s="115"/>
      <c r="I262" s="115"/>
      <c r="J262" s="115"/>
      <c r="K262" s="115"/>
      <c r="L262" s="115"/>
      <c r="M262" s="115"/>
      <c r="N262" s="17"/>
      <c r="O262" s="13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O262" s="25"/>
      <c r="AP262" s="13"/>
      <c r="AU262" s="116"/>
      <c r="AV262" s="123"/>
      <c r="AW262" s="123"/>
      <c r="AX262" s="123"/>
      <c r="BC262" s="115"/>
      <c r="BD262" s="115"/>
      <c r="BE262" s="115"/>
      <c r="BF262" s="115"/>
      <c r="BG262" s="115"/>
      <c r="BH262" s="115"/>
      <c r="BI262" s="115"/>
      <c r="BJ262" s="115"/>
      <c r="BK262" s="115"/>
      <c r="BL262" s="115"/>
      <c r="BM262" s="25"/>
      <c r="BN262" s="13"/>
      <c r="BQ262" s="114"/>
    </row>
    <row r="263" spans="1:69" ht="20.100000000000001" customHeight="1" x14ac:dyDescent="0.4">
      <c r="A263" s="117"/>
      <c r="B263" s="123"/>
      <c r="C263" s="123"/>
      <c r="D263" s="123"/>
      <c r="N263" s="26"/>
      <c r="O263" s="13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29"/>
      <c r="AE263" s="29"/>
      <c r="AO263" s="25"/>
      <c r="AP263" s="13"/>
      <c r="AU263" s="116"/>
      <c r="AV263" s="123"/>
      <c r="AW263" s="123"/>
      <c r="AX263" s="123"/>
      <c r="BC263" s="115"/>
      <c r="BD263" s="115"/>
      <c r="BE263" s="115"/>
      <c r="BF263" s="115"/>
      <c r="BG263" s="115"/>
      <c r="BH263" s="115"/>
      <c r="BI263" s="115"/>
      <c r="BJ263" s="115"/>
      <c r="BK263" s="115"/>
      <c r="BL263" s="115"/>
      <c r="BM263" s="25"/>
      <c r="BN263" s="13"/>
      <c r="BQ263" s="114"/>
    </row>
    <row r="264" spans="1:69" ht="20.100000000000001" customHeight="1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7"/>
      <c r="O264" s="13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29"/>
      <c r="AE264" s="29"/>
      <c r="AO264" s="25"/>
      <c r="AP264" s="13"/>
      <c r="AU264" s="116"/>
      <c r="AV264" s="123"/>
      <c r="AW264" s="123"/>
      <c r="AX264" s="123"/>
      <c r="BC264" s="115"/>
      <c r="BD264" s="115"/>
      <c r="BE264" s="115"/>
      <c r="BF264" s="115"/>
      <c r="BG264" s="115"/>
      <c r="BH264" s="115"/>
      <c r="BI264" s="115"/>
      <c r="BJ264" s="115"/>
      <c r="BK264" s="115"/>
      <c r="BL264" s="115"/>
      <c r="BM264" s="25"/>
      <c r="BN264" s="13"/>
      <c r="BQ264" s="114"/>
    </row>
    <row r="265" spans="1:69" ht="20.100000000000001" customHeight="1" x14ac:dyDescent="0.4">
      <c r="A265" s="117"/>
      <c r="B265" s="123"/>
      <c r="C265" s="123"/>
      <c r="D265" s="123"/>
      <c r="N265" s="26"/>
      <c r="O265" s="13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29"/>
      <c r="AE265" s="29"/>
      <c r="AO265" s="25"/>
      <c r="AP265" s="13"/>
      <c r="AU265" s="116"/>
      <c r="AV265" s="123"/>
      <c r="AW265" s="123"/>
      <c r="AX265" s="123"/>
      <c r="BC265" s="115"/>
      <c r="BD265" s="115"/>
      <c r="BE265" s="115"/>
      <c r="BF265" s="115"/>
      <c r="BG265" s="115"/>
      <c r="BH265" s="115"/>
      <c r="BI265" s="115"/>
      <c r="BJ265" s="115"/>
      <c r="BK265" s="115"/>
      <c r="BL265" s="115"/>
      <c r="BM265" s="25"/>
      <c r="BN265" s="13"/>
      <c r="BQ265" s="114"/>
    </row>
    <row r="266" spans="1:69" ht="20.100000000000001" customHeight="1" x14ac:dyDescent="0.4">
      <c r="A266" s="117"/>
      <c r="B266" s="123"/>
      <c r="C266" s="123"/>
      <c r="D266" s="123"/>
      <c r="N266" s="26"/>
      <c r="O266" s="13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O266" s="25"/>
      <c r="AP266" s="13"/>
      <c r="AU266" s="116"/>
      <c r="AV266" s="123"/>
      <c r="AW266" s="123"/>
      <c r="AX266" s="123"/>
      <c r="BC266" s="115"/>
      <c r="BD266" s="115"/>
      <c r="BE266" s="115"/>
      <c r="BF266" s="115"/>
      <c r="BG266" s="115"/>
      <c r="BH266" s="115"/>
      <c r="BI266" s="115"/>
      <c r="BJ266" s="115"/>
      <c r="BK266" s="115"/>
      <c r="BL266" s="115"/>
      <c r="BM266" s="25"/>
      <c r="BN266" s="13"/>
      <c r="BQ266" s="114"/>
    </row>
    <row r="267" spans="1:69" ht="20.100000000000001" customHeight="1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0"/>
      <c r="O267" s="13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O267" s="25"/>
      <c r="AP267" s="13"/>
      <c r="AU267" s="116"/>
      <c r="AV267" s="123"/>
      <c r="AW267" s="123"/>
      <c r="AX267" s="123"/>
      <c r="BC267" s="115"/>
      <c r="BD267" s="115"/>
      <c r="BE267" s="115"/>
      <c r="BF267" s="115"/>
      <c r="BG267" s="115"/>
      <c r="BH267" s="115"/>
      <c r="BI267" s="115"/>
      <c r="BJ267" s="115"/>
      <c r="BK267" s="115"/>
      <c r="BL267" s="115"/>
      <c r="BM267" s="25"/>
      <c r="BN267" s="13"/>
      <c r="BQ267" s="114"/>
    </row>
    <row r="268" spans="1:69" ht="20.100000000000001" customHeight="1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0"/>
      <c r="O268" s="13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O268" s="25"/>
      <c r="AP268" s="13"/>
      <c r="AU268" s="116"/>
      <c r="AV268" s="123"/>
      <c r="AW268" s="123"/>
      <c r="AX268" s="123"/>
      <c r="BC268" s="115"/>
      <c r="BD268" s="115"/>
      <c r="BE268" s="115"/>
      <c r="BF268" s="115"/>
      <c r="BG268" s="115"/>
      <c r="BH268" s="115"/>
      <c r="BI268" s="115"/>
      <c r="BJ268" s="115"/>
      <c r="BK268" s="115"/>
      <c r="BL268" s="115"/>
      <c r="BM268" s="25"/>
      <c r="BN268" s="13"/>
      <c r="BQ268" s="114"/>
    </row>
    <row r="269" spans="1:69" ht="20.100000000000001" customHeight="1" x14ac:dyDescent="0.4">
      <c r="A269" s="117"/>
      <c r="B269" s="123"/>
      <c r="C269" s="123"/>
      <c r="D269" s="123"/>
      <c r="N269" s="25"/>
      <c r="O269" s="13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27"/>
      <c r="AE269" s="29"/>
      <c r="AO269" s="25"/>
      <c r="AP269" s="13"/>
      <c r="AU269" s="116"/>
      <c r="AV269" s="123"/>
      <c r="AW269" s="123"/>
      <c r="AX269" s="123"/>
      <c r="BC269" s="115"/>
      <c r="BD269" s="115"/>
      <c r="BE269" s="115"/>
      <c r="BF269" s="115"/>
      <c r="BG269" s="115"/>
      <c r="BH269" s="115"/>
      <c r="BI269" s="115"/>
      <c r="BJ269" s="115"/>
      <c r="BK269" s="115"/>
      <c r="BL269" s="115"/>
      <c r="BM269" s="25"/>
      <c r="BN269" s="13"/>
      <c r="BQ269" s="114"/>
    </row>
    <row r="270" spans="1:69" ht="20.100000000000001" customHeight="1" x14ac:dyDescent="0.4">
      <c r="A270" s="117"/>
      <c r="B270" s="123"/>
      <c r="C270" s="123"/>
      <c r="D270" s="123"/>
      <c r="G270" s="115"/>
      <c r="H270" s="115"/>
      <c r="I270" s="115"/>
      <c r="J270" s="115"/>
      <c r="K270" s="115"/>
      <c r="L270" s="115"/>
      <c r="M270" s="115"/>
      <c r="N270" s="13"/>
      <c r="O270" s="13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O270" s="25"/>
      <c r="AP270" s="13"/>
      <c r="AU270" s="116"/>
      <c r="AV270" s="123"/>
      <c r="AW270" s="123"/>
      <c r="AX270" s="123"/>
      <c r="BC270" s="115"/>
      <c r="BD270" s="115"/>
      <c r="BE270" s="115"/>
      <c r="BF270" s="115"/>
      <c r="BG270" s="115"/>
      <c r="BH270" s="115"/>
      <c r="BI270" s="115"/>
      <c r="BJ270" s="115"/>
      <c r="BK270" s="115"/>
      <c r="BL270" s="115"/>
      <c r="BM270" s="25"/>
      <c r="BN270" s="13"/>
      <c r="BQ270" s="114"/>
    </row>
    <row r="271" spans="1:69" ht="20.100000000000001" customHeight="1" x14ac:dyDescent="0.4">
      <c r="A271" s="117"/>
      <c r="B271" s="123"/>
      <c r="C271" s="123"/>
      <c r="D271" s="123"/>
      <c r="N271" s="25"/>
      <c r="O271" s="13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27"/>
      <c r="AE271" s="29"/>
      <c r="AO271" s="25"/>
      <c r="AP271" s="13"/>
      <c r="AU271" s="116"/>
      <c r="AV271" s="123"/>
      <c r="AW271" s="123"/>
      <c r="AX271" s="123"/>
      <c r="BC271" s="115"/>
      <c r="BD271" s="115"/>
      <c r="BE271" s="115"/>
      <c r="BF271" s="115"/>
      <c r="BG271" s="115"/>
      <c r="BH271" s="115"/>
      <c r="BI271" s="115"/>
      <c r="BJ271" s="115"/>
      <c r="BK271" s="115"/>
      <c r="BL271" s="115"/>
      <c r="BM271" s="25"/>
      <c r="BN271" s="13"/>
      <c r="BQ271" s="114"/>
    </row>
    <row r="272" spans="1:69" ht="20.100000000000001" customHeight="1" x14ac:dyDescent="0.4">
      <c r="A272" s="117"/>
      <c r="B272" s="123"/>
      <c r="C272" s="123"/>
      <c r="D272" s="123"/>
      <c r="N272" s="26"/>
      <c r="O272" s="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O272" s="25"/>
      <c r="AP272" s="13"/>
      <c r="AU272" s="116"/>
      <c r="AV272" s="123"/>
      <c r="AW272" s="123"/>
      <c r="AX272" s="123"/>
      <c r="BC272" s="115"/>
      <c r="BD272" s="115"/>
      <c r="BE272" s="115"/>
      <c r="BF272" s="115"/>
      <c r="BG272" s="115"/>
      <c r="BH272" s="115"/>
      <c r="BI272" s="115"/>
      <c r="BJ272" s="115"/>
      <c r="BK272" s="115"/>
      <c r="BL272" s="115"/>
      <c r="BM272" s="25"/>
      <c r="BN272" s="13"/>
      <c r="BQ272" s="114"/>
    </row>
    <row r="273" spans="1:69" ht="20.100000000000001" customHeight="1" x14ac:dyDescent="0.4">
      <c r="A273" s="117"/>
      <c r="B273" s="123"/>
      <c r="C273" s="123"/>
      <c r="D273" s="123"/>
      <c r="F273" s="125"/>
      <c r="G273" s="125"/>
      <c r="H273" s="125"/>
      <c r="I273" s="125"/>
      <c r="J273" s="125"/>
      <c r="K273" s="125"/>
      <c r="L273" s="125"/>
      <c r="M273" s="125"/>
      <c r="N273" s="25"/>
      <c r="O273" s="13"/>
      <c r="AD273" s="127"/>
      <c r="AE273" s="29"/>
      <c r="AO273" s="25"/>
      <c r="AP273" s="13"/>
      <c r="AU273" s="116"/>
      <c r="AV273" s="123"/>
      <c r="AW273" s="123"/>
      <c r="AX273" s="123"/>
      <c r="BC273" s="115"/>
      <c r="BD273" s="115"/>
      <c r="BE273" s="115"/>
      <c r="BF273" s="115"/>
      <c r="BG273" s="115"/>
      <c r="BH273" s="115"/>
      <c r="BI273" s="115"/>
      <c r="BJ273" s="115"/>
      <c r="BK273" s="115"/>
      <c r="BL273" s="115"/>
      <c r="BM273" s="25"/>
      <c r="BN273" s="13"/>
      <c r="BQ273" s="114"/>
    </row>
    <row r="274" spans="1:69" ht="20.100000000000001" customHeight="1" x14ac:dyDescent="0.4">
      <c r="A274" s="117"/>
      <c r="B274" s="123"/>
      <c r="C274" s="123"/>
      <c r="D274" s="123"/>
      <c r="F274" s="125"/>
      <c r="G274" s="125"/>
      <c r="H274" s="125"/>
      <c r="I274" s="125"/>
      <c r="J274" s="125"/>
      <c r="K274" s="125"/>
      <c r="L274" s="125"/>
      <c r="M274" s="125"/>
      <c r="N274" s="25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O274" s="25"/>
      <c r="AP274" s="13"/>
      <c r="AU274" s="116"/>
      <c r="AV274" s="123"/>
      <c r="AW274" s="123"/>
      <c r="AX274" s="123"/>
      <c r="BC274" s="115"/>
      <c r="BD274" s="115"/>
      <c r="BE274" s="115"/>
      <c r="BF274" s="115"/>
      <c r="BG274" s="115"/>
      <c r="BH274" s="115"/>
      <c r="BI274" s="115"/>
      <c r="BJ274" s="115"/>
      <c r="BK274" s="115"/>
      <c r="BL274" s="115"/>
      <c r="BM274" s="25"/>
      <c r="BN274" s="13"/>
      <c r="BQ274" s="114"/>
    </row>
    <row r="275" spans="1:69" ht="20.100000000000001" customHeight="1" x14ac:dyDescent="0.4">
      <c r="A275" s="117"/>
      <c r="B275" s="123"/>
      <c r="C275" s="123"/>
      <c r="D275" s="123"/>
      <c r="F275" s="125"/>
      <c r="G275" s="125"/>
      <c r="H275" s="125"/>
      <c r="I275" s="125"/>
      <c r="J275" s="125"/>
      <c r="K275" s="125"/>
      <c r="L275" s="125"/>
      <c r="M275" s="125"/>
      <c r="N275" s="25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29"/>
      <c r="AE275" s="29"/>
      <c r="AO275" s="25"/>
      <c r="AP275" s="13"/>
      <c r="AU275" s="116"/>
      <c r="AV275" s="123"/>
      <c r="AW275" s="123"/>
      <c r="AX275" s="123"/>
      <c r="BC275" s="115"/>
      <c r="BD275" s="115"/>
      <c r="BE275" s="115"/>
      <c r="BF275" s="115"/>
      <c r="BG275" s="115"/>
      <c r="BH275" s="115"/>
      <c r="BI275" s="115"/>
      <c r="BJ275" s="115"/>
      <c r="BK275" s="115"/>
      <c r="BL275" s="115"/>
      <c r="BM275" s="25"/>
      <c r="BN275" s="13"/>
      <c r="BQ275" s="114"/>
    </row>
    <row r="276" spans="1:69" ht="20.100000000000001" customHeight="1" x14ac:dyDescent="0.4">
      <c r="A276" s="117"/>
      <c r="B276" s="123"/>
      <c r="C276" s="123"/>
      <c r="D276" s="123"/>
      <c r="F276" s="125"/>
      <c r="G276" s="125"/>
      <c r="H276" s="125"/>
      <c r="I276" s="125"/>
      <c r="J276" s="125"/>
      <c r="K276" s="125"/>
      <c r="L276" s="125"/>
      <c r="M276" s="125"/>
      <c r="N276" s="25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27"/>
      <c r="AE276" s="29"/>
      <c r="AO276" s="25"/>
      <c r="AP276" s="13"/>
      <c r="AU276" s="116"/>
      <c r="AV276" s="123"/>
      <c r="AW276" s="123"/>
      <c r="AX276" s="123"/>
      <c r="BC276" s="115"/>
      <c r="BD276" s="115"/>
      <c r="BE276" s="115"/>
      <c r="BF276" s="115"/>
      <c r="BG276" s="115"/>
      <c r="BH276" s="115"/>
      <c r="BI276" s="115"/>
      <c r="BJ276" s="115"/>
      <c r="BK276" s="115"/>
      <c r="BL276" s="115"/>
      <c r="BM276" s="25"/>
      <c r="BN276" s="13"/>
      <c r="BQ276" s="114"/>
    </row>
    <row r="277" spans="1:69" ht="20.100000000000001" customHeight="1" x14ac:dyDescent="0.4">
      <c r="A277" s="117"/>
      <c r="B277" s="123"/>
      <c r="C277" s="123"/>
      <c r="D277" s="123"/>
      <c r="F277" s="125"/>
      <c r="G277" s="125"/>
      <c r="H277" s="125"/>
      <c r="I277" s="125"/>
      <c r="J277" s="125"/>
      <c r="K277" s="125"/>
      <c r="L277" s="125"/>
      <c r="M277" s="12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27"/>
      <c r="AE277" s="29"/>
      <c r="AO277" s="25"/>
      <c r="AP277" s="13"/>
      <c r="AU277" s="116"/>
      <c r="AV277" s="123"/>
      <c r="AW277" s="123"/>
      <c r="AX277" s="123"/>
      <c r="BC277" s="115"/>
      <c r="BD277" s="115"/>
      <c r="BE277" s="115"/>
      <c r="BF277" s="115"/>
      <c r="BG277" s="115"/>
      <c r="BH277" s="115"/>
      <c r="BI277" s="115"/>
      <c r="BJ277" s="115"/>
      <c r="BK277" s="115"/>
      <c r="BL277" s="115"/>
      <c r="BM277" s="25"/>
      <c r="BN277" s="13"/>
      <c r="BQ277" s="114"/>
    </row>
    <row r="278" spans="1:69" ht="20.100000000000001" customHeight="1" x14ac:dyDescent="0.4">
      <c r="A278" s="117"/>
      <c r="B278" s="123"/>
      <c r="C278" s="123"/>
      <c r="D278" s="123"/>
      <c r="F278" s="125"/>
      <c r="G278" s="125"/>
      <c r="H278" s="125"/>
      <c r="I278" s="125"/>
      <c r="J278" s="125"/>
      <c r="K278" s="125"/>
      <c r="L278" s="125"/>
      <c r="M278" s="12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O278" s="25"/>
      <c r="AP278" s="13"/>
      <c r="AU278" s="116"/>
      <c r="AV278" s="123"/>
      <c r="AW278" s="123"/>
      <c r="AX278" s="123"/>
      <c r="BC278" s="115"/>
      <c r="BD278" s="115"/>
      <c r="BE278" s="115"/>
      <c r="BF278" s="115"/>
      <c r="BG278" s="115"/>
      <c r="BH278" s="115"/>
      <c r="BI278" s="115"/>
      <c r="BJ278" s="115"/>
      <c r="BK278" s="115"/>
      <c r="BL278" s="115"/>
      <c r="BM278" s="25"/>
      <c r="BN278" s="13"/>
      <c r="BQ278" s="114"/>
    </row>
    <row r="279" spans="1:69" ht="20.100000000000001" customHeight="1" x14ac:dyDescent="0.4">
      <c r="A279" s="117"/>
      <c r="B279" s="123"/>
      <c r="C279" s="123"/>
      <c r="D279" s="123"/>
      <c r="F279" s="125"/>
      <c r="G279" s="125"/>
      <c r="H279" s="125"/>
      <c r="I279" s="125"/>
      <c r="J279" s="125"/>
      <c r="K279" s="125"/>
      <c r="L279" s="125"/>
      <c r="M279" s="125"/>
      <c r="N279" s="17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O279" s="25"/>
      <c r="AP279" s="13"/>
      <c r="AU279" s="116"/>
      <c r="AV279" s="123"/>
      <c r="AW279" s="123"/>
      <c r="AX279" s="123"/>
      <c r="BC279" s="115"/>
      <c r="BD279" s="115"/>
      <c r="BE279" s="115"/>
      <c r="BF279" s="115"/>
      <c r="BG279" s="115"/>
      <c r="BH279" s="115"/>
      <c r="BI279" s="115"/>
      <c r="BJ279" s="115"/>
      <c r="BK279" s="115"/>
      <c r="BL279" s="115"/>
      <c r="BM279" s="25"/>
      <c r="BN279" s="13"/>
      <c r="BQ279" s="114"/>
    </row>
    <row r="280" spans="1:69" ht="20.100000000000001" customHeight="1" x14ac:dyDescent="0.4">
      <c r="A280" s="117"/>
      <c r="B280" s="123"/>
      <c r="C280" s="123"/>
      <c r="D280" s="123"/>
      <c r="F280" s="125"/>
      <c r="G280" s="125"/>
      <c r="H280" s="125"/>
      <c r="I280" s="125"/>
      <c r="J280" s="125"/>
      <c r="K280" s="125"/>
      <c r="L280" s="125"/>
      <c r="M280" s="125"/>
      <c r="N280" s="26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O280" s="25"/>
      <c r="AP280" s="13"/>
      <c r="AU280" s="116"/>
      <c r="AV280" s="123"/>
      <c r="AW280" s="123"/>
      <c r="AX280" s="123"/>
      <c r="BC280" s="115"/>
      <c r="BD280" s="115"/>
      <c r="BE280" s="115"/>
      <c r="BF280" s="115"/>
      <c r="BG280" s="115"/>
      <c r="BH280" s="115"/>
      <c r="BI280" s="115"/>
      <c r="BJ280" s="115"/>
      <c r="BK280" s="115"/>
      <c r="BL280" s="115"/>
      <c r="BM280" s="25"/>
      <c r="BN280" s="13"/>
      <c r="BQ280" s="114"/>
    </row>
    <row r="281" spans="1:69" ht="20.100000000000001" customHeight="1" x14ac:dyDescent="0.4">
      <c r="A281" s="117"/>
      <c r="B281" s="123"/>
      <c r="C281" s="123"/>
      <c r="D281" s="123"/>
      <c r="F281" s="125"/>
      <c r="G281" s="125"/>
      <c r="H281" s="125"/>
      <c r="I281" s="125"/>
      <c r="J281" s="125"/>
      <c r="K281" s="125"/>
      <c r="L281" s="125"/>
      <c r="M281" s="125"/>
      <c r="N281" s="26"/>
      <c r="O281" s="13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O281" s="25"/>
      <c r="AP281" s="13"/>
      <c r="AU281" s="116"/>
      <c r="AV281" s="123"/>
      <c r="AW281" s="123"/>
      <c r="AX281" s="123"/>
      <c r="BC281" s="115"/>
      <c r="BD281" s="115"/>
      <c r="BE281" s="115"/>
      <c r="BF281" s="115"/>
      <c r="BG281" s="115"/>
      <c r="BH281" s="115"/>
      <c r="BI281" s="115"/>
      <c r="BJ281" s="115"/>
      <c r="BK281" s="115"/>
      <c r="BL281" s="115"/>
      <c r="BM281" s="25"/>
      <c r="BN281" s="13"/>
      <c r="BQ281" s="114"/>
    </row>
    <row r="282" spans="1:69" ht="20.100000000000001" customHeight="1" x14ac:dyDescent="0.4">
      <c r="A282" s="117"/>
      <c r="B282" s="123"/>
      <c r="C282" s="123"/>
      <c r="D282" s="123"/>
      <c r="F282" s="125"/>
      <c r="G282" s="125"/>
      <c r="H282" s="125"/>
      <c r="I282" s="125"/>
      <c r="J282" s="125"/>
      <c r="K282" s="125"/>
      <c r="L282" s="125"/>
      <c r="M282" s="125"/>
      <c r="N282" s="17"/>
      <c r="O282" s="13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27"/>
      <c r="AE282" s="29"/>
      <c r="AO282" s="25"/>
      <c r="AP282" s="13"/>
      <c r="AU282" s="116"/>
      <c r="AV282" s="123"/>
      <c r="AW282" s="123"/>
      <c r="AX282" s="123"/>
      <c r="BC282" s="115"/>
      <c r="BD282" s="115"/>
      <c r="BE282" s="115"/>
      <c r="BF282" s="115"/>
      <c r="BG282" s="115"/>
      <c r="BH282" s="115"/>
      <c r="BI282" s="115"/>
      <c r="BJ282" s="115"/>
      <c r="BK282" s="115"/>
      <c r="BL282" s="115"/>
      <c r="BM282" s="25"/>
      <c r="BN282" s="13"/>
      <c r="BQ282" s="114"/>
    </row>
    <row r="283" spans="1:69" ht="20.100000000000001" customHeight="1" x14ac:dyDescent="0.4">
      <c r="A283" s="117"/>
      <c r="B283" s="123"/>
      <c r="C283" s="123"/>
      <c r="D283" s="123"/>
      <c r="F283" s="125"/>
      <c r="G283" s="125"/>
      <c r="H283" s="125"/>
      <c r="I283" s="125"/>
      <c r="J283" s="125"/>
      <c r="K283" s="125"/>
      <c r="L283" s="125"/>
      <c r="M283" s="125"/>
      <c r="N283" s="26"/>
      <c r="O283" s="13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134"/>
      <c r="AO283" s="25"/>
      <c r="AP283" s="13"/>
      <c r="AU283" s="116"/>
      <c r="AV283" s="123"/>
      <c r="AW283" s="123"/>
      <c r="AX283" s="123"/>
      <c r="BC283" s="115"/>
      <c r="BD283" s="115"/>
      <c r="BE283" s="115"/>
      <c r="BF283" s="115"/>
      <c r="BG283" s="115"/>
      <c r="BH283" s="115"/>
      <c r="BI283" s="115"/>
      <c r="BJ283" s="115"/>
      <c r="BK283" s="115"/>
      <c r="BL283" s="115"/>
      <c r="BM283" s="25"/>
      <c r="BN283" s="13"/>
      <c r="BQ283" s="114"/>
    </row>
    <row r="284" spans="1:69" ht="20.100000000000001" customHeight="1" x14ac:dyDescent="0.4">
      <c r="A284" s="117"/>
      <c r="B284" s="123"/>
      <c r="C284" s="123"/>
      <c r="D284" s="123"/>
      <c r="F284" s="125"/>
      <c r="G284" s="125"/>
      <c r="H284" s="125"/>
      <c r="I284" s="125"/>
      <c r="J284" s="125"/>
      <c r="K284" s="125"/>
      <c r="L284" s="125"/>
      <c r="M284" s="125"/>
      <c r="N284" s="26"/>
      <c r="O284" s="13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O284" s="25"/>
      <c r="AP284" s="13"/>
      <c r="AU284" s="116"/>
      <c r="AV284" s="123"/>
      <c r="AW284" s="123"/>
      <c r="AX284" s="123"/>
      <c r="BC284" s="115"/>
      <c r="BD284" s="115"/>
      <c r="BE284" s="115"/>
      <c r="BF284" s="115"/>
      <c r="BG284" s="115"/>
      <c r="BH284" s="115"/>
      <c r="BI284" s="115"/>
      <c r="BJ284" s="115"/>
      <c r="BK284" s="115"/>
      <c r="BL284" s="115"/>
      <c r="BM284" s="25"/>
      <c r="BN284" s="13"/>
      <c r="BQ284" s="114"/>
    </row>
    <row r="285" spans="1:69" ht="20.100000000000001" customHeight="1" x14ac:dyDescent="0.4">
      <c r="A285" s="117"/>
      <c r="B285" s="123"/>
      <c r="C285" s="123"/>
      <c r="D285" s="123"/>
      <c r="F285" s="125"/>
      <c r="G285" s="125"/>
      <c r="H285" s="125"/>
      <c r="I285" s="125"/>
      <c r="J285" s="125"/>
      <c r="K285" s="125"/>
      <c r="L285" s="125"/>
      <c r="M285" s="125"/>
      <c r="N285" s="26"/>
      <c r="O285" s="13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O285" s="25"/>
      <c r="AP285" s="13"/>
      <c r="AU285" s="116"/>
      <c r="AV285" s="123"/>
      <c r="AW285" s="123"/>
      <c r="AX285" s="123"/>
      <c r="BC285" s="115"/>
      <c r="BD285" s="115"/>
      <c r="BE285" s="115"/>
      <c r="BF285" s="115"/>
      <c r="BG285" s="115"/>
      <c r="BH285" s="115"/>
      <c r="BI285" s="115"/>
      <c r="BJ285" s="115"/>
      <c r="BK285" s="115"/>
      <c r="BL285" s="115"/>
      <c r="BM285" s="25"/>
      <c r="BN285" s="13"/>
      <c r="BQ285" s="114"/>
    </row>
    <row r="286" spans="1:69" ht="20.100000000000001" customHeight="1" x14ac:dyDescent="0.4">
      <c r="A286" s="117"/>
      <c r="B286" s="123"/>
      <c r="C286" s="123"/>
      <c r="D286" s="123"/>
      <c r="F286" s="125"/>
      <c r="G286" s="125"/>
      <c r="H286" s="125"/>
      <c r="I286" s="125"/>
      <c r="J286" s="125"/>
      <c r="K286" s="125"/>
      <c r="L286" s="125"/>
      <c r="M286" s="125"/>
      <c r="N286" s="26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O286" s="25"/>
      <c r="AP286" s="13"/>
      <c r="AU286" s="116"/>
      <c r="AV286" s="123"/>
      <c r="AW286" s="123"/>
      <c r="AX286" s="123"/>
      <c r="BC286" s="115"/>
      <c r="BD286" s="115"/>
      <c r="BE286" s="115"/>
      <c r="BF286" s="115"/>
      <c r="BG286" s="115"/>
      <c r="BH286" s="115"/>
      <c r="BI286" s="115"/>
      <c r="BJ286" s="115"/>
      <c r="BK286" s="115"/>
      <c r="BL286" s="115"/>
      <c r="BM286" s="25"/>
      <c r="BN286" s="13"/>
      <c r="BQ286" s="114"/>
    </row>
    <row r="287" spans="1:69" ht="20.100000000000001" customHeight="1" x14ac:dyDescent="0.4">
      <c r="A287" s="117"/>
      <c r="B287" s="123"/>
      <c r="C287" s="123"/>
      <c r="D287" s="123"/>
      <c r="F287" s="125"/>
      <c r="G287" s="125"/>
      <c r="H287" s="125"/>
      <c r="I287" s="125"/>
      <c r="J287" s="125"/>
      <c r="K287" s="125"/>
      <c r="L287" s="125"/>
      <c r="M287" s="125"/>
      <c r="N287" s="26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27"/>
      <c r="AE287" s="29"/>
      <c r="AO287" s="25"/>
      <c r="AP287" s="13"/>
      <c r="AU287" s="116"/>
      <c r="AV287" s="123"/>
      <c r="AW287" s="123"/>
      <c r="AX287" s="123"/>
      <c r="BC287" s="115"/>
      <c r="BD287" s="115"/>
      <c r="BE287" s="115"/>
      <c r="BF287" s="115"/>
      <c r="BG287" s="115"/>
      <c r="BH287" s="115"/>
      <c r="BI287" s="115"/>
      <c r="BJ287" s="115"/>
      <c r="BK287" s="115"/>
      <c r="BL287" s="115"/>
      <c r="BM287" s="25"/>
      <c r="BN287" s="13"/>
      <c r="BQ287" s="114"/>
    </row>
    <row r="288" spans="1:69" ht="20.100000000000001" customHeight="1" x14ac:dyDescent="0.4">
      <c r="A288" s="117"/>
      <c r="B288" s="123"/>
      <c r="C288" s="123"/>
      <c r="D288" s="123"/>
      <c r="F288" s="125"/>
      <c r="G288" s="125"/>
      <c r="H288" s="125"/>
      <c r="I288" s="125"/>
      <c r="J288" s="125"/>
      <c r="K288" s="125"/>
      <c r="L288" s="125"/>
      <c r="M288" s="12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O288" s="25"/>
      <c r="AP288" s="13"/>
      <c r="AU288" s="116"/>
      <c r="AV288" s="123"/>
      <c r="AW288" s="123"/>
      <c r="AX288" s="123"/>
      <c r="BC288" s="115"/>
      <c r="BD288" s="115"/>
      <c r="BE288" s="115"/>
      <c r="BF288" s="115"/>
      <c r="BG288" s="115"/>
      <c r="BH288" s="115"/>
      <c r="BI288" s="115"/>
      <c r="BJ288" s="115"/>
      <c r="BK288" s="115"/>
      <c r="BL288" s="115"/>
      <c r="BM288" s="25"/>
      <c r="BN288" s="13"/>
      <c r="BQ288" s="114"/>
    </row>
    <row r="289" spans="1:69" ht="20.100000000000001" customHeight="1" x14ac:dyDescent="0.4">
      <c r="A289" s="117"/>
      <c r="B289" s="123"/>
      <c r="C289" s="123"/>
      <c r="D289" s="123"/>
      <c r="F289" s="125"/>
      <c r="G289" s="125"/>
      <c r="H289" s="125"/>
      <c r="I289" s="125"/>
      <c r="J289" s="125"/>
      <c r="K289" s="125"/>
      <c r="L289" s="125"/>
      <c r="M289" s="12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O289" s="25"/>
      <c r="AP289" s="13"/>
      <c r="AU289" s="116"/>
      <c r="AV289" s="123"/>
      <c r="AW289" s="123"/>
      <c r="AX289" s="123"/>
      <c r="BC289" s="115"/>
      <c r="BD289" s="115"/>
      <c r="BE289" s="115"/>
      <c r="BF289" s="115"/>
      <c r="BG289" s="115"/>
      <c r="BH289" s="115"/>
      <c r="BI289" s="115"/>
      <c r="BJ289" s="115"/>
      <c r="BK289" s="115"/>
      <c r="BL289" s="115"/>
      <c r="BM289" s="25"/>
      <c r="BN289" s="13"/>
      <c r="BQ289" s="114"/>
    </row>
    <row r="290" spans="1:69" ht="20.100000000000001" customHeight="1" x14ac:dyDescent="0.4">
      <c r="A290" s="117"/>
      <c r="B290" s="123"/>
      <c r="C290" s="123"/>
      <c r="D290" s="123"/>
      <c r="F290" s="125"/>
      <c r="G290" s="125"/>
      <c r="H290" s="125"/>
      <c r="I290" s="125"/>
      <c r="J290" s="125"/>
      <c r="K290" s="125"/>
      <c r="L290" s="125"/>
      <c r="M290" s="125"/>
      <c r="N290" s="17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O290" s="25"/>
      <c r="AP290" s="13"/>
      <c r="AU290" s="116"/>
      <c r="AV290" s="123"/>
      <c r="AW290" s="123"/>
      <c r="AX290" s="123"/>
      <c r="BC290" s="115"/>
      <c r="BD290" s="115"/>
      <c r="BE290" s="115"/>
      <c r="BF290" s="115"/>
      <c r="BG290" s="115"/>
      <c r="BH290" s="115"/>
      <c r="BI290" s="115"/>
      <c r="BJ290" s="115"/>
      <c r="BK290" s="115"/>
      <c r="BL290" s="115"/>
      <c r="BM290" s="25"/>
      <c r="BN290" s="13"/>
      <c r="BQ290" s="114"/>
    </row>
    <row r="291" spans="1:69" ht="20.100000000000001" customHeight="1" x14ac:dyDescent="0.4">
      <c r="A291" s="117"/>
      <c r="B291" s="123"/>
      <c r="C291" s="123"/>
      <c r="D291" s="123"/>
      <c r="F291" s="125"/>
      <c r="G291" s="125"/>
      <c r="H291" s="125"/>
      <c r="I291" s="125"/>
      <c r="J291" s="125"/>
      <c r="K291" s="125"/>
      <c r="L291" s="125"/>
      <c r="M291" s="12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O291" s="25"/>
      <c r="AP291" s="13"/>
      <c r="AU291" s="116"/>
      <c r="AV291" s="123"/>
      <c r="AW291" s="123"/>
      <c r="AX291" s="123"/>
      <c r="BC291" s="115"/>
      <c r="BD291" s="115"/>
      <c r="BE291" s="115"/>
      <c r="BF291" s="115"/>
      <c r="BG291" s="115"/>
      <c r="BH291" s="115"/>
      <c r="BI291" s="115"/>
      <c r="BJ291" s="115"/>
      <c r="BK291" s="115"/>
      <c r="BL291" s="115"/>
      <c r="BM291" s="25"/>
      <c r="BN291" s="13"/>
      <c r="BQ291" s="114"/>
    </row>
    <row r="292" spans="1:69" ht="20.100000000000001" customHeight="1" x14ac:dyDescent="0.4">
      <c r="A292" s="117"/>
      <c r="B292" s="123"/>
      <c r="C292" s="123"/>
      <c r="D292" s="123"/>
      <c r="F292" s="125"/>
      <c r="G292" s="125"/>
      <c r="H292" s="125"/>
      <c r="I292" s="125"/>
      <c r="J292" s="125"/>
      <c r="K292" s="125"/>
      <c r="L292" s="125"/>
      <c r="M292" s="12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27"/>
      <c r="AE292" s="29"/>
      <c r="AO292" s="25"/>
      <c r="AP292" s="13"/>
      <c r="AU292" s="116"/>
      <c r="AV292" s="123"/>
      <c r="AW292" s="123"/>
      <c r="AX292" s="123"/>
      <c r="BC292" s="115"/>
      <c r="BD292" s="115"/>
      <c r="BE292" s="115"/>
      <c r="BF292" s="115"/>
      <c r="BG292" s="115"/>
      <c r="BH292" s="115"/>
      <c r="BI292" s="115"/>
      <c r="BJ292" s="115"/>
      <c r="BK292" s="115"/>
      <c r="BL292" s="115"/>
      <c r="BM292" s="25"/>
      <c r="BN292" s="13"/>
      <c r="BQ292" s="114"/>
    </row>
    <row r="293" spans="1:69" ht="20.100000000000001" customHeight="1" x14ac:dyDescent="0.4">
      <c r="A293" s="117"/>
      <c r="B293" s="123"/>
      <c r="C293" s="123"/>
      <c r="D293" s="123"/>
      <c r="F293" s="125"/>
      <c r="G293" s="125"/>
      <c r="H293" s="125"/>
      <c r="I293" s="125"/>
      <c r="J293" s="125"/>
      <c r="K293" s="125"/>
      <c r="L293" s="125"/>
      <c r="M293" s="125"/>
      <c r="N293" s="17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O293" s="25"/>
      <c r="AP293" s="13"/>
      <c r="AU293" s="116"/>
      <c r="AV293" s="123"/>
      <c r="AW293" s="123"/>
      <c r="AX293" s="123"/>
      <c r="BC293" s="115"/>
      <c r="BD293" s="115"/>
      <c r="BE293" s="115"/>
      <c r="BF293" s="115"/>
      <c r="BG293" s="115"/>
      <c r="BH293" s="115"/>
      <c r="BI293" s="115"/>
      <c r="BJ293" s="115"/>
      <c r="BK293" s="115"/>
      <c r="BL293" s="115"/>
      <c r="BM293" s="25"/>
      <c r="BN293" s="13"/>
      <c r="BQ293" s="114"/>
    </row>
    <row r="294" spans="1:69" ht="20.100000000000001" customHeight="1" x14ac:dyDescent="0.4">
      <c r="A294" s="117"/>
      <c r="B294" s="123"/>
      <c r="C294" s="123"/>
      <c r="D294" s="123"/>
      <c r="F294" s="125"/>
      <c r="G294" s="125"/>
      <c r="H294" s="125"/>
      <c r="I294" s="125"/>
      <c r="J294" s="125"/>
      <c r="K294" s="125"/>
      <c r="L294" s="125"/>
      <c r="M294" s="12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134"/>
      <c r="AO294" s="25"/>
      <c r="AP294" s="13"/>
      <c r="AU294" s="116"/>
      <c r="AV294" s="123"/>
      <c r="AW294" s="123"/>
      <c r="AX294" s="123"/>
      <c r="BC294" s="115"/>
      <c r="BD294" s="115"/>
      <c r="BE294" s="115"/>
      <c r="BF294" s="115"/>
      <c r="BG294" s="115"/>
      <c r="BH294" s="115"/>
      <c r="BI294" s="115"/>
      <c r="BJ294" s="115"/>
      <c r="BK294" s="115"/>
      <c r="BL294" s="115"/>
      <c r="BM294" s="25"/>
      <c r="BN294" s="13"/>
      <c r="BQ294" s="114"/>
    </row>
    <row r="295" spans="1:69" ht="20.100000000000001" customHeight="1" x14ac:dyDescent="0.4">
      <c r="A295" s="117"/>
      <c r="B295" s="123"/>
      <c r="C295" s="123"/>
      <c r="D295" s="123"/>
      <c r="F295" s="125"/>
      <c r="G295" s="125"/>
      <c r="H295" s="125"/>
      <c r="I295" s="125"/>
      <c r="J295" s="125"/>
      <c r="K295" s="125"/>
      <c r="L295" s="125"/>
      <c r="M295" s="125"/>
      <c r="N295" s="26"/>
      <c r="O295" s="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O295" s="25"/>
      <c r="AP295" s="13"/>
      <c r="AU295" s="116"/>
      <c r="AV295" s="123"/>
      <c r="AW295" s="123"/>
      <c r="AX295" s="123"/>
      <c r="BC295" s="115"/>
      <c r="BD295" s="115"/>
      <c r="BE295" s="115"/>
      <c r="BF295" s="115"/>
      <c r="BG295" s="115"/>
      <c r="BH295" s="115"/>
      <c r="BI295" s="115"/>
      <c r="BJ295" s="115"/>
      <c r="BK295" s="115"/>
      <c r="BL295" s="115"/>
      <c r="BM295" s="25"/>
      <c r="BN295" s="13"/>
      <c r="BQ295" s="114"/>
    </row>
    <row r="296" spans="1:69" ht="20.100000000000001" customHeight="1" x14ac:dyDescent="0.4">
      <c r="A296" s="117"/>
      <c r="B296" s="123"/>
      <c r="C296" s="123"/>
      <c r="D296" s="123"/>
      <c r="F296" s="125"/>
      <c r="G296" s="125"/>
      <c r="H296" s="125"/>
      <c r="I296" s="125"/>
      <c r="J296" s="125"/>
      <c r="K296" s="125"/>
      <c r="L296" s="125"/>
      <c r="M296" s="125"/>
      <c r="N296" s="26"/>
      <c r="O296" s="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O296" s="25"/>
      <c r="AP296" s="13"/>
      <c r="AU296" s="116"/>
      <c r="AV296" s="123"/>
      <c r="AW296" s="123"/>
      <c r="AX296" s="123"/>
      <c r="BC296" s="115"/>
      <c r="BD296" s="115"/>
      <c r="BE296" s="115"/>
      <c r="BF296" s="115"/>
      <c r="BG296" s="115"/>
      <c r="BH296" s="115"/>
      <c r="BI296" s="115"/>
      <c r="BJ296" s="115"/>
      <c r="BK296" s="115"/>
      <c r="BL296" s="115"/>
      <c r="BM296" s="25"/>
      <c r="BN296" s="13"/>
      <c r="BQ296" s="114"/>
    </row>
    <row r="297" spans="1:69" ht="20.100000000000001" customHeight="1" x14ac:dyDescent="0.4">
      <c r="A297" s="117"/>
      <c r="B297" s="123"/>
      <c r="C297" s="123"/>
      <c r="D297" s="123"/>
      <c r="F297" s="125"/>
      <c r="G297" s="125"/>
      <c r="H297" s="125"/>
      <c r="I297" s="125"/>
      <c r="J297" s="125"/>
      <c r="K297" s="125"/>
      <c r="L297" s="125"/>
      <c r="M297" s="125"/>
      <c r="N297" s="26"/>
      <c r="O297" s="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O297" s="25"/>
      <c r="AP297" s="13"/>
      <c r="AU297" s="116"/>
      <c r="AV297" s="123"/>
      <c r="AW297" s="123"/>
      <c r="AX297" s="123"/>
      <c r="BC297" s="115"/>
      <c r="BD297" s="115"/>
      <c r="BE297" s="115"/>
      <c r="BF297" s="115"/>
      <c r="BG297" s="115"/>
      <c r="BH297" s="115"/>
      <c r="BI297" s="115"/>
      <c r="BJ297" s="115"/>
      <c r="BK297" s="115"/>
      <c r="BL297" s="115"/>
      <c r="BM297" s="25"/>
      <c r="BN297" s="13"/>
      <c r="BQ297" s="114"/>
    </row>
    <row r="298" spans="1:69" ht="20.100000000000001" customHeight="1" x14ac:dyDescent="0.4">
      <c r="A298" s="117"/>
      <c r="B298" s="123"/>
      <c r="C298" s="123"/>
      <c r="D298" s="123"/>
      <c r="F298" s="125"/>
      <c r="G298" s="125"/>
      <c r="H298" s="125"/>
      <c r="I298" s="125"/>
      <c r="J298" s="125"/>
      <c r="K298" s="125"/>
      <c r="L298" s="125"/>
      <c r="M298" s="125"/>
      <c r="N298" s="26"/>
      <c r="O298" s="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29"/>
      <c r="AE298" s="29"/>
      <c r="AO298" s="25"/>
      <c r="AP298" s="13"/>
      <c r="AU298" s="116"/>
      <c r="AV298" s="123"/>
      <c r="AW298" s="123"/>
      <c r="AX298" s="123"/>
      <c r="BC298" s="115"/>
      <c r="BD298" s="115"/>
      <c r="BE298" s="115"/>
      <c r="BF298" s="115"/>
      <c r="BG298" s="115"/>
      <c r="BH298" s="115"/>
      <c r="BI298" s="115"/>
      <c r="BJ298" s="115"/>
      <c r="BK298" s="115"/>
      <c r="BL298" s="115"/>
      <c r="BM298" s="25"/>
      <c r="BN298" s="13"/>
      <c r="BQ298" s="114"/>
    </row>
    <row r="299" spans="1:69" ht="20.100000000000001" customHeight="1" x14ac:dyDescent="0.4">
      <c r="A299" s="117"/>
      <c r="B299" s="123"/>
      <c r="C299" s="123"/>
      <c r="D299" s="123"/>
      <c r="F299" s="125"/>
      <c r="G299" s="125"/>
      <c r="H299" s="125"/>
      <c r="I299" s="125"/>
      <c r="J299" s="125"/>
      <c r="K299" s="125"/>
      <c r="L299" s="125"/>
      <c r="M299" s="125"/>
      <c r="N299" s="26"/>
      <c r="O299" s="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27"/>
      <c r="AE299" s="29"/>
      <c r="AO299" s="25"/>
      <c r="AP299" s="13"/>
      <c r="AU299" s="116"/>
      <c r="AV299" s="123"/>
      <c r="AW299" s="123"/>
      <c r="AX299" s="123"/>
      <c r="BC299" s="115"/>
      <c r="BD299" s="115"/>
      <c r="BE299" s="115"/>
      <c r="BF299" s="115"/>
      <c r="BG299" s="115"/>
      <c r="BH299" s="115"/>
      <c r="BI299" s="115"/>
      <c r="BJ299" s="115"/>
      <c r="BK299" s="115"/>
      <c r="BL299" s="115"/>
      <c r="BM299" s="25"/>
      <c r="BN299" s="13"/>
      <c r="BQ299" s="114"/>
    </row>
    <row r="300" spans="1:69" ht="20.100000000000001" customHeight="1" x14ac:dyDescent="0.4">
      <c r="A300" s="117"/>
      <c r="B300" s="123"/>
      <c r="C300" s="123"/>
      <c r="D300" s="123"/>
      <c r="F300" s="125"/>
      <c r="G300" s="125"/>
      <c r="H300" s="125"/>
      <c r="I300" s="125"/>
      <c r="J300" s="125"/>
      <c r="K300" s="125"/>
      <c r="L300" s="125"/>
      <c r="M300" s="125"/>
      <c r="N300" s="26"/>
      <c r="O300" s="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27"/>
      <c r="AE300" s="29"/>
      <c r="AO300" s="25"/>
      <c r="AP300" s="13"/>
      <c r="AU300" s="116"/>
      <c r="AV300" s="123"/>
      <c r="AW300" s="123"/>
      <c r="AX300" s="123"/>
      <c r="BC300" s="115"/>
      <c r="BD300" s="115"/>
      <c r="BE300" s="115"/>
      <c r="BF300" s="115"/>
      <c r="BG300" s="115"/>
      <c r="BH300" s="115"/>
      <c r="BI300" s="115"/>
      <c r="BJ300" s="115"/>
      <c r="BK300" s="115"/>
      <c r="BL300" s="115"/>
      <c r="BM300" s="25"/>
      <c r="BN300" s="13"/>
      <c r="BQ300" s="114"/>
    </row>
    <row r="301" spans="1:69" ht="20.100000000000001" customHeight="1" x14ac:dyDescent="0.4">
      <c r="A301" s="117"/>
      <c r="B301" s="123"/>
      <c r="C301" s="123"/>
      <c r="D301" s="123"/>
      <c r="F301" s="125"/>
      <c r="G301" s="125"/>
      <c r="H301" s="125"/>
      <c r="I301" s="125"/>
      <c r="J301" s="125"/>
      <c r="K301" s="125"/>
      <c r="L301" s="125"/>
      <c r="M301" s="125"/>
      <c r="N301" s="26"/>
      <c r="O301" s="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O301" s="25"/>
      <c r="AP301" s="13"/>
      <c r="AU301" s="116"/>
      <c r="AV301" s="123"/>
      <c r="AW301" s="123"/>
      <c r="AX301" s="123"/>
      <c r="BC301" s="115"/>
      <c r="BD301" s="115"/>
      <c r="BE301" s="115"/>
      <c r="BF301" s="115"/>
      <c r="BG301" s="115"/>
      <c r="BH301" s="115"/>
      <c r="BI301" s="115"/>
      <c r="BJ301" s="115"/>
      <c r="BK301" s="115"/>
      <c r="BL301" s="115"/>
      <c r="BM301" s="25"/>
      <c r="BN301" s="13"/>
      <c r="BQ301" s="114"/>
    </row>
    <row r="302" spans="1:69" ht="20.100000000000001" customHeight="1" x14ac:dyDescent="0.4">
      <c r="A302" s="117"/>
      <c r="B302" s="123"/>
      <c r="C302" s="123"/>
      <c r="D302" s="123"/>
      <c r="F302" s="125"/>
      <c r="G302" s="125"/>
      <c r="H302" s="125"/>
      <c r="I302" s="125"/>
      <c r="J302" s="125"/>
      <c r="K302" s="125"/>
      <c r="L302" s="125"/>
      <c r="M302" s="125"/>
      <c r="N302" s="26"/>
      <c r="O302" s="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27"/>
      <c r="AE302" s="29"/>
      <c r="AO302" s="25"/>
      <c r="AP302" s="13"/>
      <c r="AU302" s="116"/>
      <c r="AV302" s="123"/>
      <c r="AW302" s="123"/>
      <c r="AX302" s="123"/>
      <c r="BC302" s="115"/>
      <c r="BD302" s="115"/>
      <c r="BE302" s="115"/>
      <c r="BF302" s="115"/>
      <c r="BG302" s="115"/>
      <c r="BH302" s="115"/>
      <c r="BI302" s="115"/>
      <c r="BJ302" s="115"/>
      <c r="BK302" s="115"/>
      <c r="BL302" s="115"/>
      <c r="BM302" s="25"/>
      <c r="BN302" s="13"/>
      <c r="BQ302" s="114"/>
    </row>
    <row r="303" spans="1:69" ht="20.100000000000001" customHeight="1" x14ac:dyDescent="0.4">
      <c r="A303" s="117"/>
      <c r="B303" s="123"/>
      <c r="C303" s="123"/>
      <c r="D303" s="123"/>
      <c r="F303" s="125"/>
      <c r="G303" s="125"/>
      <c r="H303" s="125"/>
      <c r="I303" s="125"/>
      <c r="J303" s="125"/>
      <c r="K303" s="125"/>
      <c r="L303" s="125"/>
      <c r="M303" s="125"/>
      <c r="N303" s="26"/>
      <c r="O303" s="13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29"/>
      <c r="AE303" s="29"/>
      <c r="AO303" s="25"/>
      <c r="AP303" s="13"/>
      <c r="AU303" s="116"/>
      <c r="AV303" s="123"/>
      <c r="AW303" s="123"/>
      <c r="AX303" s="123"/>
      <c r="BC303" s="115"/>
      <c r="BD303" s="115"/>
      <c r="BE303" s="115"/>
      <c r="BF303" s="115"/>
      <c r="BG303" s="115"/>
      <c r="BH303" s="115"/>
      <c r="BI303" s="115"/>
      <c r="BJ303" s="115"/>
      <c r="BK303" s="115"/>
      <c r="BL303" s="115"/>
      <c r="BM303" s="25"/>
      <c r="BN303" s="13"/>
      <c r="BQ303" s="114"/>
    </row>
    <row r="304" spans="1:69" ht="20.100000000000001" customHeight="1" x14ac:dyDescent="0.4">
      <c r="A304" s="117"/>
      <c r="B304" s="123"/>
      <c r="C304" s="123"/>
      <c r="D304" s="123"/>
      <c r="F304" s="125"/>
      <c r="G304" s="125"/>
      <c r="H304" s="125"/>
      <c r="I304" s="125"/>
      <c r="J304" s="125"/>
      <c r="K304" s="125"/>
      <c r="L304" s="125"/>
      <c r="M304" s="125"/>
      <c r="N304" s="26"/>
      <c r="O304" s="13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O304" s="25"/>
      <c r="AP304" s="13"/>
      <c r="AU304" s="116"/>
      <c r="AV304" s="123"/>
      <c r="AW304" s="123"/>
      <c r="AX304" s="123"/>
      <c r="BC304" s="115"/>
      <c r="BD304" s="115"/>
      <c r="BE304" s="115"/>
      <c r="BF304" s="115"/>
      <c r="BG304" s="115"/>
      <c r="BH304" s="115"/>
      <c r="BI304" s="115"/>
      <c r="BJ304" s="115"/>
      <c r="BK304" s="115"/>
      <c r="BL304" s="115"/>
      <c r="BM304" s="25"/>
      <c r="BN304" s="13"/>
      <c r="BQ304" s="114"/>
    </row>
    <row r="305" spans="1:69" ht="20.100000000000001" customHeight="1" x14ac:dyDescent="0.4">
      <c r="A305" s="117"/>
      <c r="B305" s="123"/>
      <c r="C305" s="123"/>
      <c r="D305" s="123"/>
      <c r="F305" s="125"/>
      <c r="G305" s="125"/>
      <c r="H305" s="125"/>
      <c r="I305" s="125"/>
      <c r="J305" s="125"/>
      <c r="K305" s="125"/>
      <c r="L305" s="125"/>
      <c r="M305" s="125"/>
      <c r="N305" s="26"/>
      <c r="O305" s="13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O305" s="25"/>
      <c r="AP305" s="13"/>
      <c r="AU305" s="116"/>
      <c r="AV305" s="123"/>
      <c r="AW305" s="123"/>
      <c r="AX305" s="123"/>
      <c r="BC305" s="115"/>
      <c r="BD305" s="115"/>
      <c r="BE305" s="115"/>
      <c r="BF305" s="115"/>
      <c r="BG305" s="115"/>
      <c r="BH305" s="115"/>
      <c r="BI305" s="115"/>
      <c r="BJ305" s="115"/>
      <c r="BK305" s="115"/>
      <c r="BL305" s="115"/>
      <c r="BM305" s="25"/>
      <c r="BN305" s="13"/>
      <c r="BQ305" s="114"/>
    </row>
    <row r="306" spans="1:69" ht="20.100000000000001" customHeight="1" x14ac:dyDescent="0.4">
      <c r="A306" s="117"/>
      <c r="B306" s="123"/>
      <c r="C306" s="123"/>
      <c r="D306" s="123"/>
      <c r="F306" s="125"/>
      <c r="G306" s="125"/>
      <c r="H306" s="125"/>
      <c r="I306" s="125"/>
      <c r="J306" s="125"/>
      <c r="K306" s="125"/>
      <c r="L306" s="125"/>
      <c r="M306" s="125"/>
      <c r="N306" s="26"/>
      <c r="O306" s="13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27"/>
      <c r="AE306" s="29"/>
      <c r="AO306" s="25"/>
      <c r="AP306" s="13"/>
      <c r="AU306" s="116"/>
      <c r="AV306" s="123"/>
      <c r="AW306" s="123"/>
      <c r="AX306" s="123"/>
      <c r="BC306" s="115"/>
      <c r="BD306" s="115"/>
      <c r="BE306" s="115"/>
      <c r="BF306" s="115"/>
      <c r="BG306" s="115"/>
      <c r="BH306" s="115"/>
      <c r="BI306" s="115"/>
      <c r="BJ306" s="115"/>
      <c r="BK306" s="115"/>
      <c r="BL306" s="115"/>
      <c r="BM306" s="25"/>
      <c r="BN306" s="13"/>
      <c r="BQ306" s="114"/>
    </row>
    <row r="307" spans="1:69" ht="20.100000000000001" customHeight="1" x14ac:dyDescent="0.4">
      <c r="A307" s="117"/>
      <c r="B307" s="123"/>
      <c r="C307" s="123"/>
      <c r="D307" s="123"/>
      <c r="F307" s="125"/>
      <c r="G307" s="125"/>
      <c r="H307" s="125"/>
      <c r="I307" s="125"/>
      <c r="J307" s="125"/>
      <c r="K307" s="125"/>
      <c r="L307" s="125"/>
      <c r="M307" s="125"/>
      <c r="N307" s="26"/>
      <c r="O307" s="13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O307" s="25"/>
      <c r="AP307" s="13"/>
      <c r="AU307" s="116"/>
      <c r="AV307" s="123"/>
      <c r="AW307" s="123"/>
      <c r="AX307" s="123"/>
      <c r="BC307" s="115"/>
      <c r="BD307" s="115"/>
      <c r="BE307" s="115"/>
      <c r="BF307" s="115"/>
      <c r="BG307" s="115"/>
      <c r="BH307" s="115"/>
      <c r="BI307" s="115"/>
      <c r="BJ307" s="115"/>
      <c r="BK307" s="115"/>
      <c r="BL307" s="115"/>
      <c r="BM307" s="25"/>
      <c r="BN307" s="13"/>
      <c r="BQ307" s="114"/>
    </row>
    <row r="308" spans="1:69" ht="20.100000000000001" customHeight="1" x14ac:dyDescent="0.4">
      <c r="A308" s="117"/>
      <c r="B308" s="123"/>
      <c r="C308" s="123"/>
      <c r="D308" s="123"/>
      <c r="F308" s="125"/>
      <c r="G308" s="125"/>
      <c r="H308" s="125"/>
      <c r="I308" s="125"/>
      <c r="J308" s="125"/>
      <c r="K308" s="125"/>
      <c r="L308" s="125"/>
      <c r="M308" s="125"/>
      <c r="N308" s="17"/>
      <c r="O308" s="13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27"/>
      <c r="AE308" s="29"/>
      <c r="AO308" s="25"/>
      <c r="AP308" s="13"/>
      <c r="AU308" s="116"/>
      <c r="AV308" s="123"/>
      <c r="AW308" s="123"/>
      <c r="AX308" s="123"/>
      <c r="BC308" s="115"/>
      <c r="BD308" s="115"/>
      <c r="BE308" s="115"/>
      <c r="BF308" s="115"/>
      <c r="BG308" s="115"/>
      <c r="BH308" s="115"/>
      <c r="BI308" s="115"/>
      <c r="BJ308" s="115"/>
      <c r="BK308" s="115"/>
      <c r="BL308" s="115"/>
      <c r="BM308" s="25"/>
      <c r="BN308" s="13"/>
      <c r="BQ308" s="114"/>
    </row>
    <row r="309" spans="1:69" ht="20.100000000000001" customHeight="1" x14ac:dyDescent="0.4">
      <c r="A309" s="117"/>
      <c r="B309" s="123"/>
      <c r="C309" s="123"/>
      <c r="D309" s="123"/>
      <c r="F309" s="125"/>
      <c r="G309" s="125"/>
      <c r="H309" s="125"/>
      <c r="I309" s="125"/>
      <c r="J309" s="125"/>
      <c r="K309" s="125"/>
      <c r="L309" s="125"/>
      <c r="M309" s="125"/>
      <c r="N309" s="26"/>
      <c r="O309" s="13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27"/>
      <c r="AE309" s="29"/>
      <c r="AO309" s="25"/>
      <c r="AP309" s="13"/>
      <c r="AU309" s="116"/>
      <c r="AV309" s="123"/>
      <c r="AW309" s="123"/>
      <c r="AX309" s="123"/>
      <c r="BC309" s="115"/>
      <c r="BD309" s="115"/>
      <c r="BE309" s="115"/>
      <c r="BF309" s="115"/>
      <c r="BG309" s="115"/>
      <c r="BH309" s="115"/>
      <c r="BI309" s="115"/>
      <c r="BJ309" s="115"/>
      <c r="BK309" s="115"/>
      <c r="BL309" s="115"/>
      <c r="BM309" s="25"/>
      <c r="BN309" s="13"/>
      <c r="BQ309" s="114"/>
    </row>
    <row r="310" spans="1:69" ht="20.100000000000001" customHeight="1" x14ac:dyDescent="0.4">
      <c r="A310" s="117"/>
      <c r="B310" s="123"/>
      <c r="C310" s="123"/>
      <c r="D310" s="123"/>
      <c r="F310" s="125"/>
      <c r="G310" s="125"/>
      <c r="H310" s="125"/>
      <c r="I310" s="125"/>
      <c r="J310" s="125"/>
      <c r="K310" s="125"/>
      <c r="L310" s="125"/>
      <c r="M310" s="125"/>
      <c r="N310" s="26"/>
      <c r="O310" s="13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O310" s="25"/>
      <c r="AP310" s="13"/>
      <c r="AU310" s="116"/>
      <c r="AV310" s="123"/>
      <c r="AW310" s="123"/>
      <c r="AX310" s="123"/>
      <c r="BC310" s="115"/>
      <c r="BD310" s="115"/>
      <c r="BE310" s="115"/>
      <c r="BF310" s="115"/>
      <c r="BG310" s="115"/>
      <c r="BH310" s="115"/>
      <c r="BI310" s="115"/>
      <c r="BJ310" s="115"/>
      <c r="BK310" s="115"/>
      <c r="BL310" s="115"/>
      <c r="BM310" s="25"/>
      <c r="BN310" s="13"/>
      <c r="BQ310" s="114"/>
    </row>
    <row r="311" spans="1:69" ht="20.100000000000001" customHeight="1" x14ac:dyDescent="0.4">
      <c r="A311" s="117"/>
      <c r="B311" s="123"/>
      <c r="C311" s="123"/>
      <c r="D311" s="123"/>
      <c r="F311" s="125"/>
      <c r="G311" s="125"/>
      <c r="H311" s="125"/>
      <c r="I311" s="125"/>
      <c r="J311" s="125"/>
      <c r="K311" s="125"/>
      <c r="L311" s="125"/>
      <c r="M311" s="125"/>
      <c r="N311" s="26"/>
      <c r="O311" s="13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29"/>
      <c r="AE311" s="29"/>
      <c r="AO311" s="25"/>
      <c r="AP311" s="13"/>
      <c r="AU311" s="116"/>
      <c r="AV311" s="123"/>
      <c r="AW311" s="123"/>
      <c r="AX311" s="123"/>
      <c r="BC311" s="115"/>
      <c r="BD311" s="115"/>
      <c r="BE311" s="115"/>
      <c r="BF311" s="115"/>
      <c r="BG311" s="115"/>
      <c r="BH311" s="115"/>
      <c r="BI311" s="115"/>
      <c r="BJ311" s="115"/>
      <c r="BK311" s="115"/>
      <c r="BL311" s="115"/>
      <c r="BM311" s="25"/>
      <c r="BN311" s="13"/>
      <c r="BQ311" s="114"/>
    </row>
    <row r="312" spans="1:69" ht="20.100000000000001" customHeight="1" x14ac:dyDescent="0.4">
      <c r="A312" s="117"/>
      <c r="B312" s="123"/>
      <c r="C312" s="123"/>
      <c r="D312" s="123"/>
      <c r="F312" s="125"/>
      <c r="G312" s="125"/>
      <c r="H312" s="125"/>
      <c r="I312" s="125"/>
      <c r="J312" s="125"/>
      <c r="K312" s="125"/>
      <c r="L312" s="125"/>
      <c r="M312" s="125"/>
      <c r="N312" s="26"/>
      <c r="O312" s="13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O312" s="25"/>
      <c r="AP312" s="13"/>
      <c r="AU312" s="116"/>
      <c r="AV312" s="123"/>
      <c r="AW312" s="123"/>
      <c r="AX312" s="123"/>
      <c r="BC312" s="115"/>
      <c r="BD312" s="115"/>
      <c r="BE312" s="115"/>
      <c r="BF312" s="115"/>
      <c r="BG312" s="115"/>
      <c r="BH312" s="115"/>
      <c r="BI312" s="115"/>
      <c r="BJ312" s="115"/>
      <c r="BK312" s="115"/>
      <c r="BL312" s="115"/>
      <c r="BM312" s="25"/>
      <c r="BN312" s="13"/>
      <c r="BQ312" s="114"/>
    </row>
    <row r="313" spans="1:69" ht="20.100000000000001" customHeight="1" x14ac:dyDescent="0.4">
      <c r="A313" s="117"/>
      <c r="B313" s="123"/>
      <c r="C313" s="123"/>
      <c r="D313" s="123"/>
      <c r="F313" s="125"/>
      <c r="G313" s="125"/>
      <c r="H313" s="125"/>
      <c r="I313" s="125"/>
      <c r="J313" s="125"/>
      <c r="K313" s="125"/>
      <c r="L313" s="125"/>
      <c r="M313" s="125"/>
      <c r="N313" s="26"/>
      <c r="O313" s="13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O313" s="25"/>
      <c r="AP313" s="13"/>
      <c r="AU313" s="116"/>
      <c r="AV313" s="123"/>
      <c r="AW313" s="123"/>
      <c r="AX313" s="123"/>
      <c r="BC313" s="115"/>
      <c r="BD313" s="115"/>
      <c r="BE313" s="115"/>
      <c r="BF313" s="115"/>
      <c r="BG313" s="115"/>
      <c r="BH313" s="115"/>
      <c r="BI313" s="115"/>
      <c r="BJ313" s="115"/>
      <c r="BK313" s="115"/>
      <c r="BL313" s="115"/>
      <c r="BM313" s="25"/>
      <c r="BN313" s="13"/>
      <c r="BQ313" s="114"/>
    </row>
    <row r="314" spans="1:69" ht="20.100000000000001" customHeight="1" x14ac:dyDescent="0.4">
      <c r="A314" s="117"/>
      <c r="B314" s="123"/>
      <c r="C314" s="123"/>
      <c r="D314" s="123"/>
      <c r="F314" s="125"/>
      <c r="G314" s="125"/>
      <c r="H314" s="125"/>
      <c r="I314" s="125"/>
      <c r="J314" s="125"/>
      <c r="K314" s="125"/>
      <c r="L314" s="125"/>
      <c r="M314" s="12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O314" s="25"/>
      <c r="AP314" s="13"/>
      <c r="AU314" s="116"/>
      <c r="AV314" s="123"/>
      <c r="AW314" s="123"/>
      <c r="AX314" s="123"/>
      <c r="BC314" s="115"/>
      <c r="BD314" s="115"/>
      <c r="BE314" s="115"/>
      <c r="BF314" s="115"/>
      <c r="BG314" s="115"/>
      <c r="BH314" s="115"/>
      <c r="BI314" s="115"/>
      <c r="BJ314" s="115"/>
      <c r="BK314" s="115"/>
      <c r="BL314" s="115"/>
      <c r="BM314" s="25"/>
      <c r="BN314" s="13"/>
      <c r="BQ314" s="114"/>
    </row>
    <row r="315" spans="1:69" ht="20.100000000000001" customHeight="1" x14ac:dyDescent="0.4">
      <c r="A315" s="117"/>
      <c r="B315" s="123"/>
      <c r="C315" s="123"/>
      <c r="D315" s="123"/>
      <c r="F315" s="125"/>
      <c r="G315" s="125"/>
      <c r="H315" s="125"/>
      <c r="I315" s="125"/>
      <c r="J315" s="125"/>
      <c r="K315" s="125"/>
      <c r="L315" s="125"/>
      <c r="M315" s="125"/>
      <c r="N315" s="17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O315" s="25"/>
      <c r="AP315" s="13"/>
      <c r="AU315" s="116"/>
      <c r="AV315" s="123"/>
      <c r="AW315" s="123"/>
      <c r="AX315" s="123"/>
      <c r="BC315" s="115"/>
      <c r="BD315" s="115"/>
      <c r="BE315" s="115"/>
      <c r="BF315" s="115"/>
      <c r="BG315" s="115"/>
      <c r="BH315" s="115"/>
      <c r="BI315" s="115"/>
      <c r="BJ315" s="115"/>
      <c r="BK315" s="115"/>
      <c r="BL315" s="115"/>
      <c r="BM315" s="25"/>
      <c r="BN315" s="13"/>
      <c r="BQ315" s="114"/>
    </row>
    <row r="316" spans="1:69" ht="20.100000000000001" customHeight="1" x14ac:dyDescent="0.4">
      <c r="A316" s="117"/>
      <c r="B316" s="123"/>
      <c r="C316" s="123"/>
      <c r="D316" s="123"/>
      <c r="F316" s="125"/>
      <c r="G316" s="125"/>
      <c r="H316" s="125"/>
      <c r="I316" s="125"/>
      <c r="J316" s="125"/>
      <c r="K316" s="125"/>
      <c r="L316" s="125"/>
      <c r="M316" s="125"/>
      <c r="N316" s="26"/>
      <c r="O316" s="13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O316" s="25"/>
      <c r="AP316" s="13"/>
      <c r="AU316" s="116"/>
      <c r="AV316" s="123"/>
      <c r="AW316" s="123"/>
      <c r="AX316" s="123"/>
      <c r="BC316" s="115"/>
      <c r="BD316" s="115"/>
      <c r="BE316" s="115"/>
      <c r="BF316" s="115"/>
      <c r="BG316" s="115"/>
      <c r="BH316" s="115"/>
      <c r="BI316" s="115"/>
      <c r="BJ316" s="115"/>
      <c r="BK316" s="115"/>
      <c r="BL316" s="115"/>
      <c r="BM316" s="25"/>
      <c r="BN316" s="13"/>
      <c r="BQ316" s="114"/>
    </row>
    <row r="317" spans="1:69" ht="20.100000000000001" customHeight="1" x14ac:dyDescent="0.4">
      <c r="A317" s="117"/>
      <c r="B317" s="123"/>
      <c r="C317" s="123"/>
      <c r="D317" s="123"/>
      <c r="F317" s="125"/>
      <c r="G317" s="125"/>
      <c r="H317" s="125"/>
      <c r="I317" s="125"/>
      <c r="J317" s="125"/>
      <c r="K317" s="125"/>
      <c r="L317" s="125"/>
      <c r="M317" s="125"/>
      <c r="N317" s="17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29"/>
      <c r="AE317" s="29"/>
      <c r="AO317" s="25"/>
      <c r="AP317" s="13"/>
      <c r="AU317" s="116"/>
      <c r="AV317" s="123"/>
      <c r="AW317" s="123"/>
      <c r="AX317" s="123"/>
      <c r="BC317" s="115"/>
      <c r="BD317" s="115"/>
      <c r="BE317" s="115"/>
      <c r="BF317" s="115"/>
      <c r="BG317" s="115"/>
      <c r="BH317" s="115"/>
      <c r="BI317" s="115"/>
      <c r="BJ317" s="115"/>
      <c r="BK317" s="115"/>
      <c r="BL317" s="115"/>
      <c r="BM317" s="25"/>
      <c r="BN317" s="13"/>
      <c r="BQ317" s="114"/>
    </row>
    <row r="318" spans="1:69" ht="20.100000000000001" customHeight="1" x14ac:dyDescent="0.4">
      <c r="A318" s="117"/>
      <c r="B318" s="123"/>
      <c r="C318" s="123"/>
      <c r="D318" s="123"/>
      <c r="F318" s="125"/>
      <c r="G318" s="125"/>
      <c r="H318" s="125"/>
      <c r="I318" s="125"/>
      <c r="J318" s="125"/>
      <c r="K318" s="125"/>
      <c r="L318" s="125"/>
      <c r="M318" s="125"/>
      <c r="N318" s="26"/>
      <c r="O318" s="13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27"/>
      <c r="AE318" s="29"/>
      <c r="AO318" s="25"/>
      <c r="AP318" s="13"/>
      <c r="AU318" s="116"/>
      <c r="AV318" s="123"/>
      <c r="AW318" s="123"/>
      <c r="AX318" s="123"/>
      <c r="BC318" s="115"/>
      <c r="BD318" s="115"/>
      <c r="BE318" s="115"/>
      <c r="BF318" s="115"/>
      <c r="BG318" s="115"/>
      <c r="BH318" s="115"/>
      <c r="BI318" s="115"/>
      <c r="BJ318" s="115"/>
      <c r="BK318" s="115"/>
      <c r="BL318" s="115"/>
      <c r="BM318" s="25"/>
      <c r="BN318" s="13"/>
      <c r="BQ318" s="114"/>
    </row>
    <row r="319" spans="1:69" ht="20.100000000000001" customHeight="1" x14ac:dyDescent="0.4">
      <c r="A319" s="117"/>
      <c r="B319" s="123"/>
      <c r="C319" s="123"/>
      <c r="D319" s="123"/>
      <c r="F319" s="125"/>
      <c r="G319" s="125"/>
      <c r="H319" s="125"/>
      <c r="I319" s="125"/>
      <c r="J319" s="125"/>
      <c r="K319" s="125"/>
      <c r="L319" s="125"/>
      <c r="M319" s="125"/>
      <c r="N319" s="17"/>
      <c r="O319" s="13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27"/>
      <c r="AE319" s="29"/>
      <c r="AO319" s="25"/>
      <c r="AP319" s="13"/>
      <c r="AU319" s="116"/>
      <c r="AV319" s="123"/>
      <c r="AW319" s="123"/>
      <c r="AX319" s="123"/>
      <c r="BC319" s="115"/>
      <c r="BD319" s="115"/>
      <c r="BE319" s="115"/>
      <c r="BF319" s="115"/>
      <c r="BG319" s="115"/>
      <c r="BH319" s="115"/>
      <c r="BI319" s="115"/>
      <c r="BJ319" s="115"/>
      <c r="BK319" s="115"/>
      <c r="BL319" s="115"/>
      <c r="BM319" s="25"/>
      <c r="BN319" s="13"/>
      <c r="BQ319" s="114"/>
    </row>
    <row r="320" spans="1:69" ht="20.100000000000001" customHeight="1" x14ac:dyDescent="0.4">
      <c r="A320" s="117"/>
      <c r="B320" s="123"/>
      <c r="C320" s="123"/>
      <c r="D320" s="123"/>
      <c r="F320" s="125"/>
      <c r="G320" s="125"/>
      <c r="H320" s="125"/>
      <c r="I320" s="125"/>
      <c r="J320" s="125"/>
      <c r="K320" s="125"/>
      <c r="L320" s="125"/>
      <c r="M320" s="125"/>
      <c r="N320" s="26"/>
      <c r="O320" s="13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O320" s="25"/>
      <c r="AP320" s="13"/>
      <c r="AU320" s="116"/>
      <c r="AV320" s="123"/>
      <c r="AW320" s="123"/>
      <c r="AX320" s="123"/>
      <c r="BC320" s="115"/>
      <c r="BD320" s="115"/>
      <c r="BE320" s="115"/>
      <c r="BF320" s="115"/>
      <c r="BG320" s="115"/>
      <c r="BH320" s="115"/>
      <c r="BI320" s="115"/>
      <c r="BJ320" s="115"/>
      <c r="BK320" s="115"/>
      <c r="BL320" s="115"/>
      <c r="BM320" s="25"/>
      <c r="BN320" s="13"/>
      <c r="BQ320" s="114"/>
    </row>
    <row r="321" spans="1:69" ht="20.100000000000001" customHeight="1" x14ac:dyDescent="0.4">
      <c r="A321" s="117"/>
      <c r="B321" s="123"/>
      <c r="C321" s="123"/>
      <c r="D321" s="123"/>
      <c r="F321" s="125"/>
      <c r="G321" s="125"/>
      <c r="H321" s="125"/>
      <c r="I321" s="125"/>
      <c r="J321" s="125"/>
      <c r="K321" s="125"/>
      <c r="L321" s="125"/>
      <c r="M321" s="125"/>
      <c r="N321" s="17"/>
      <c r="O321" s="13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O321" s="25"/>
      <c r="AP321" s="13"/>
      <c r="AU321" s="116"/>
      <c r="AV321" s="123"/>
      <c r="AW321" s="123"/>
      <c r="AX321" s="123"/>
      <c r="BC321" s="115"/>
      <c r="BD321" s="115"/>
      <c r="BE321" s="115"/>
      <c r="BF321" s="115"/>
      <c r="BG321" s="115"/>
      <c r="BH321" s="115"/>
      <c r="BI321" s="115"/>
      <c r="BJ321" s="115"/>
      <c r="BK321" s="115"/>
      <c r="BL321" s="115"/>
      <c r="BM321" s="25"/>
      <c r="BN321" s="13"/>
      <c r="BQ321" s="114"/>
    </row>
    <row r="322" spans="1:69" ht="20.100000000000001" customHeight="1" x14ac:dyDescent="0.4">
      <c r="A322" s="117"/>
      <c r="B322" s="123"/>
      <c r="C322" s="123"/>
      <c r="D322" s="123"/>
      <c r="F322" s="125"/>
      <c r="G322" s="125"/>
      <c r="H322" s="125"/>
      <c r="I322" s="125"/>
      <c r="J322" s="125"/>
      <c r="K322" s="125"/>
      <c r="L322" s="125"/>
      <c r="M322" s="12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O322" s="25"/>
      <c r="AP322" s="13"/>
      <c r="AU322" s="116"/>
      <c r="AV322" s="123"/>
      <c r="AW322" s="123"/>
      <c r="AX322" s="123"/>
      <c r="BC322" s="115"/>
      <c r="BD322" s="115"/>
      <c r="BE322" s="115"/>
      <c r="BF322" s="115"/>
      <c r="BG322" s="115"/>
      <c r="BH322" s="115"/>
      <c r="BI322" s="115"/>
      <c r="BJ322" s="115"/>
      <c r="BK322" s="115"/>
      <c r="BL322" s="115"/>
      <c r="BM322" s="25"/>
      <c r="BN322" s="13"/>
      <c r="BQ322" s="114"/>
    </row>
    <row r="323" spans="1:69" ht="20.100000000000001" customHeight="1" x14ac:dyDescent="0.4">
      <c r="A323" s="117"/>
      <c r="B323" s="123"/>
      <c r="C323" s="123"/>
      <c r="D323" s="123"/>
      <c r="F323" s="125"/>
      <c r="G323" s="125"/>
      <c r="H323" s="125"/>
      <c r="I323" s="125"/>
      <c r="J323" s="125"/>
      <c r="K323" s="125"/>
      <c r="L323" s="125"/>
      <c r="M323" s="125"/>
      <c r="N323" s="26"/>
      <c r="O323" s="13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29"/>
      <c r="AE323" s="29"/>
      <c r="AO323" s="25"/>
      <c r="AP323" s="13"/>
      <c r="AU323" s="116"/>
      <c r="AV323" s="123"/>
      <c r="AW323" s="123"/>
      <c r="AX323" s="123"/>
      <c r="BC323" s="115"/>
      <c r="BD323" s="115"/>
      <c r="BE323" s="115"/>
      <c r="BF323" s="115"/>
      <c r="BG323" s="115"/>
      <c r="BH323" s="115"/>
      <c r="BI323" s="115"/>
      <c r="BJ323" s="115"/>
      <c r="BK323" s="115"/>
      <c r="BL323" s="115"/>
      <c r="BM323" s="25"/>
      <c r="BN323" s="13"/>
      <c r="BQ323" s="114"/>
    </row>
    <row r="324" spans="1:69" ht="20.100000000000001" customHeight="1" x14ac:dyDescent="0.4">
      <c r="A324" s="117"/>
      <c r="B324" s="123"/>
      <c r="C324" s="123"/>
      <c r="D324" s="123"/>
      <c r="F324" s="125"/>
      <c r="G324" s="125"/>
      <c r="H324" s="125"/>
      <c r="I324" s="125"/>
      <c r="J324" s="125"/>
      <c r="K324" s="125"/>
      <c r="L324" s="125"/>
      <c r="M324" s="125"/>
      <c r="N324" s="17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29"/>
      <c r="AE324" s="29"/>
      <c r="AO324" s="25"/>
      <c r="AP324" s="13"/>
      <c r="AU324" s="116"/>
      <c r="AV324" s="123"/>
      <c r="AW324" s="123"/>
      <c r="AX324" s="123"/>
      <c r="BC324" s="115"/>
      <c r="BD324" s="115"/>
      <c r="BE324" s="115"/>
      <c r="BF324" s="115"/>
      <c r="BG324" s="115"/>
      <c r="BH324" s="115"/>
      <c r="BI324" s="115"/>
      <c r="BJ324" s="115"/>
      <c r="BK324" s="115"/>
      <c r="BL324" s="115"/>
      <c r="BM324" s="25"/>
      <c r="BN324" s="13"/>
      <c r="BQ324" s="114"/>
    </row>
    <row r="325" spans="1:69" ht="20.100000000000001" customHeight="1" x14ac:dyDescent="0.4">
      <c r="A325" s="117"/>
      <c r="B325" s="123"/>
      <c r="C325" s="123"/>
      <c r="D325" s="123"/>
      <c r="F325" s="125"/>
      <c r="G325" s="125"/>
      <c r="H325" s="125"/>
      <c r="I325" s="125"/>
      <c r="J325" s="125"/>
      <c r="K325" s="125"/>
      <c r="L325" s="125"/>
      <c r="M325" s="125"/>
      <c r="N325" s="26"/>
      <c r="O325" s="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O325" s="25"/>
      <c r="AP325" s="13"/>
      <c r="AU325" s="116"/>
      <c r="AV325" s="123"/>
      <c r="AW325" s="123"/>
      <c r="AX325" s="123"/>
      <c r="BC325" s="115"/>
      <c r="BD325" s="115"/>
      <c r="BE325" s="115"/>
      <c r="BF325" s="115"/>
      <c r="BG325" s="115"/>
      <c r="BH325" s="115"/>
      <c r="BI325" s="115"/>
      <c r="BJ325" s="115"/>
      <c r="BK325" s="115"/>
      <c r="BL325" s="115"/>
      <c r="BM325" s="25"/>
      <c r="BN325" s="13"/>
      <c r="BQ325" s="114"/>
    </row>
    <row r="326" spans="1:69" ht="20.100000000000001" customHeight="1" x14ac:dyDescent="0.4">
      <c r="A326" s="117"/>
      <c r="B326" s="123"/>
      <c r="C326" s="123"/>
      <c r="D326" s="123"/>
      <c r="F326" s="125"/>
      <c r="G326" s="125"/>
      <c r="H326" s="125"/>
      <c r="I326" s="125"/>
      <c r="J326" s="125"/>
      <c r="K326" s="125"/>
      <c r="L326" s="125"/>
      <c r="M326" s="125"/>
      <c r="N326" s="119"/>
      <c r="O326" s="11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O326" s="25"/>
      <c r="AP326" s="13"/>
      <c r="AU326" s="116"/>
      <c r="AV326" s="123"/>
      <c r="AW326" s="123"/>
      <c r="AX326" s="123"/>
      <c r="BC326" s="115"/>
      <c r="BD326" s="115"/>
      <c r="BE326" s="115"/>
      <c r="BF326" s="115"/>
      <c r="BG326" s="115"/>
      <c r="BH326" s="115"/>
      <c r="BI326" s="115"/>
      <c r="BJ326" s="115"/>
      <c r="BK326" s="115"/>
      <c r="BL326" s="115"/>
      <c r="BM326" s="25"/>
      <c r="BN326" s="13"/>
      <c r="BQ326" s="114"/>
    </row>
    <row r="327" spans="1:69" ht="20.100000000000001" customHeight="1" x14ac:dyDescent="0.4">
      <c r="A327" s="117"/>
      <c r="B327" s="123"/>
      <c r="C327" s="123"/>
      <c r="D327" s="123"/>
      <c r="F327" s="125"/>
      <c r="G327" s="125"/>
      <c r="H327" s="125"/>
      <c r="I327" s="125"/>
      <c r="J327" s="125"/>
      <c r="K327" s="125"/>
      <c r="L327" s="125"/>
      <c r="M327" s="125"/>
      <c r="N327" s="119"/>
      <c r="O327" s="11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O327" s="25"/>
      <c r="AP327" s="13"/>
      <c r="AU327" s="116"/>
      <c r="AV327" s="123"/>
      <c r="AW327" s="123"/>
      <c r="AX327" s="123"/>
      <c r="BC327" s="115"/>
      <c r="BD327" s="115"/>
      <c r="BE327" s="115"/>
      <c r="BF327" s="115"/>
      <c r="BG327" s="115"/>
      <c r="BH327" s="115"/>
      <c r="BI327" s="115"/>
      <c r="BJ327" s="115"/>
      <c r="BK327" s="115"/>
      <c r="BL327" s="115"/>
      <c r="BM327" s="25"/>
      <c r="BN327" s="13"/>
      <c r="BQ327" s="114"/>
    </row>
    <row r="328" spans="1:69" ht="20.100000000000001" customHeight="1" x14ac:dyDescent="0.4">
      <c r="A328" s="117"/>
      <c r="B328" s="123"/>
      <c r="C328" s="123"/>
      <c r="D328" s="123"/>
      <c r="F328" s="125"/>
      <c r="G328" s="125"/>
      <c r="H328" s="125"/>
      <c r="I328" s="125"/>
      <c r="J328" s="125"/>
      <c r="K328" s="125"/>
      <c r="L328" s="125"/>
      <c r="M328" s="12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27"/>
      <c r="AE328" s="29"/>
      <c r="AO328" s="25"/>
      <c r="AP328" s="13"/>
      <c r="AU328" s="116"/>
      <c r="AV328" s="123"/>
      <c r="AW328" s="123"/>
      <c r="AX328" s="123"/>
      <c r="BC328" s="115"/>
      <c r="BD328" s="115"/>
      <c r="BE328" s="115"/>
      <c r="BF328" s="115"/>
      <c r="BG328" s="115"/>
      <c r="BH328" s="115"/>
      <c r="BI328" s="115"/>
      <c r="BJ328" s="115"/>
      <c r="BK328" s="115"/>
      <c r="BL328" s="115"/>
      <c r="BM328" s="25"/>
      <c r="BN328" s="13"/>
      <c r="BQ328" s="114"/>
    </row>
    <row r="329" spans="1:69" ht="20.100000000000001" customHeight="1" x14ac:dyDescent="0.4">
      <c r="A329" s="117"/>
      <c r="B329" s="123"/>
      <c r="C329" s="123"/>
      <c r="D329" s="123"/>
      <c r="F329" s="125"/>
      <c r="G329" s="125"/>
      <c r="H329" s="125"/>
      <c r="I329" s="125"/>
      <c r="J329" s="125"/>
      <c r="K329" s="125"/>
      <c r="L329" s="125"/>
      <c r="M329" s="12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27"/>
      <c r="AE329" s="29"/>
      <c r="AO329" s="25"/>
      <c r="AP329" s="13"/>
      <c r="AU329" s="116"/>
      <c r="AV329" s="123"/>
      <c r="AW329" s="123"/>
      <c r="AX329" s="123"/>
      <c r="BC329" s="115"/>
      <c r="BD329" s="115"/>
      <c r="BE329" s="115"/>
      <c r="BF329" s="115"/>
      <c r="BG329" s="115"/>
      <c r="BH329" s="115"/>
      <c r="BI329" s="115"/>
      <c r="BJ329" s="115"/>
      <c r="BK329" s="115"/>
      <c r="BL329" s="115"/>
      <c r="BM329" s="25"/>
      <c r="BN329" s="13"/>
      <c r="BQ329" s="114"/>
    </row>
    <row r="330" spans="1:69" ht="20.100000000000001" customHeight="1" x14ac:dyDescent="0.4">
      <c r="A330" s="117"/>
      <c r="B330" s="123"/>
      <c r="C330" s="123"/>
      <c r="D330" s="123"/>
      <c r="F330" s="125"/>
      <c r="G330" s="125"/>
      <c r="H330" s="125"/>
      <c r="I330" s="125"/>
      <c r="J330" s="125"/>
      <c r="K330" s="125"/>
      <c r="L330" s="125"/>
      <c r="M330" s="12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27"/>
      <c r="AE330" s="29"/>
      <c r="AO330" s="25"/>
      <c r="AP330" s="13"/>
      <c r="AU330" s="116"/>
      <c r="AV330" s="123"/>
      <c r="AW330" s="123"/>
      <c r="AX330" s="123"/>
      <c r="BC330" s="115"/>
      <c r="BD330" s="115"/>
      <c r="BE330" s="115"/>
      <c r="BF330" s="115"/>
      <c r="BG330" s="115"/>
      <c r="BH330" s="115"/>
      <c r="BI330" s="115"/>
      <c r="BJ330" s="115"/>
      <c r="BK330" s="115"/>
      <c r="BL330" s="115"/>
      <c r="BM330" s="25"/>
      <c r="BN330" s="13"/>
      <c r="BQ330" s="114"/>
    </row>
    <row r="331" spans="1:69" ht="20.100000000000001" customHeight="1" x14ac:dyDescent="0.4">
      <c r="A331" s="117"/>
      <c r="B331" s="123"/>
      <c r="C331" s="123"/>
      <c r="D331" s="123"/>
      <c r="F331" s="125"/>
      <c r="G331" s="125"/>
      <c r="H331" s="125"/>
      <c r="I331" s="125"/>
      <c r="J331" s="125"/>
      <c r="K331" s="125"/>
      <c r="L331" s="125"/>
      <c r="M331" s="12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29"/>
      <c r="AE331" s="29"/>
      <c r="AO331" s="25"/>
      <c r="AP331" s="13"/>
      <c r="AU331" s="116"/>
      <c r="AV331" s="123"/>
      <c r="AW331" s="123"/>
      <c r="AX331" s="123"/>
      <c r="BC331" s="115"/>
      <c r="BD331" s="115"/>
      <c r="BE331" s="115"/>
      <c r="BF331" s="115"/>
      <c r="BG331" s="115"/>
      <c r="BH331" s="115"/>
      <c r="BI331" s="115"/>
      <c r="BJ331" s="115"/>
      <c r="BK331" s="115"/>
      <c r="BL331" s="115"/>
      <c r="BM331" s="25"/>
      <c r="BN331" s="13"/>
      <c r="BQ331" s="114"/>
    </row>
    <row r="332" spans="1:69" ht="20.100000000000001" customHeight="1" x14ac:dyDescent="0.4">
      <c r="A332" s="117"/>
      <c r="B332" s="123"/>
      <c r="C332" s="123"/>
      <c r="D332" s="123"/>
      <c r="F332" s="125"/>
      <c r="G332" s="125"/>
      <c r="H332" s="125"/>
      <c r="I332" s="125"/>
      <c r="J332" s="125"/>
      <c r="K332" s="125"/>
      <c r="L332" s="125"/>
      <c r="M332" s="125"/>
      <c r="AD332" s="127"/>
      <c r="AE332" s="29"/>
      <c r="AK332" s="115"/>
      <c r="AL332" s="115"/>
      <c r="AM332" s="115"/>
      <c r="AN332" s="115"/>
      <c r="AO332" s="25">
        <v>45669</v>
      </c>
      <c r="AP332" s="13" t="s">
        <v>147</v>
      </c>
      <c r="AU332" s="116"/>
      <c r="AV332" s="123"/>
      <c r="AW332" s="123"/>
      <c r="AX332" s="123"/>
      <c r="BC332" s="115"/>
      <c r="BD332" s="115"/>
      <c r="BE332" s="115"/>
      <c r="BF332" s="115"/>
      <c r="BG332" s="115"/>
      <c r="BH332" s="115"/>
      <c r="BI332" s="115"/>
      <c r="BJ332" s="115"/>
      <c r="BK332" s="115"/>
      <c r="BL332" s="115"/>
      <c r="BM332" s="25"/>
      <c r="BN332" s="13"/>
      <c r="BQ332" s="114"/>
    </row>
    <row r="333" spans="1:69" ht="20.100000000000001" customHeight="1" x14ac:dyDescent="0.4">
      <c r="A333" s="117"/>
      <c r="B333" s="123"/>
      <c r="C333" s="123"/>
      <c r="D333" s="123"/>
      <c r="F333" s="125"/>
      <c r="G333" s="125"/>
      <c r="H333" s="125"/>
      <c r="I333" s="125"/>
      <c r="J333" s="125"/>
      <c r="K333" s="125"/>
      <c r="L333" s="125"/>
      <c r="M333" s="125"/>
      <c r="AB333" s="115"/>
      <c r="AC333" s="115"/>
      <c r="AD333" s="29"/>
      <c r="AE333" s="29"/>
      <c r="AK333" s="115"/>
      <c r="AL333" s="115"/>
      <c r="AM333" s="115"/>
      <c r="AN333" s="115"/>
      <c r="AO333" s="25"/>
      <c r="AP333" s="13"/>
      <c r="AU333" s="116"/>
      <c r="AV333" s="123"/>
      <c r="AW333" s="123"/>
      <c r="AX333" s="123"/>
      <c r="BC333" s="115"/>
      <c r="BD333" s="115"/>
      <c r="BE333" s="115"/>
      <c r="BF333" s="115"/>
      <c r="BG333" s="115"/>
      <c r="BH333" s="115"/>
      <c r="BI333" s="115"/>
      <c r="BJ333" s="115"/>
      <c r="BK333" s="115"/>
      <c r="BL333" s="115"/>
      <c r="BM333" s="25"/>
      <c r="BN333" s="13"/>
      <c r="BQ333" s="114"/>
    </row>
    <row r="334" spans="1:69" ht="20.100000000000001" customHeight="1" x14ac:dyDescent="0.4">
      <c r="A334" s="117"/>
      <c r="B334" s="123"/>
      <c r="C334" s="123"/>
      <c r="D334" s="123"/>
      <c r="F334" s="125"/>
      <c r="G334" s="125"/>
      <c r="H334" s="125"/>
      <c r="I334" s="125"/>
      <c r="J334" s="125"/>
      <c r="K334" s="125"/>
      <c r="L334" s="125"/>
      <c r="M334" s="12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27"/>
      <c r="AE334" s="29"/>
      <c r="AK334" s="115"/>
      <c r="AL334" s="115"/>
      <c r="AM334" s="115"/>
      <c r="AN334" s="115"/>
      <c r="AO334" s="25"/>
      <c r="AP334" s="13"/>
      <c r="AU334" s="116"/>
      <c r="AV334" s="123"/>
      <c r="AW334" s="123"/>
      <c r="AX334" s="123"/>
      <c r="BC334" s="115"/>
      <c r="BD334" s="115"/>
      <c r="BE334" s="115"/>
      <c r="BF334" s="115"/>
      <c r="BG334" s="115"/>
      <c r="BH334" s="115"/>
      <c r="BI334" s="115"/>
      <c r="BJ334" s="115"/>
      <c r="BK334" s="115"/>
      <c r="BL334" s="115"/>
      <c r="BM334" s="25"/>
      <c r="BN334" s="13"/>
      <c r="BQ334" s="114"/>
    </row>
    <row r="335" spans="1:69" ht="20.100000000000001" customHeight="1" x14ac:dyDescent="0.4">
      <c r="A335" s="117"/>
      <c r="B335" s="123"/>
      <c r="C335" s="123"/>
      <c r="D335" s="123"/>
      <c r="F335" s="125"/>
      <c r="G335" s="125"/>
      <c r="H335" s="125"/>
      <c r="I335" s="125"/>
      <c r="J335" s="125"/>
      <c r="K335" s="125"/>
      <c r="L335" s="125"/>
      <c r="M335" s="125"/>
      <c r="AD335" s="127"/>
      <c r="AE335" s="29"/>
      <c r="AK335" s="115"/>
      <c r="AL335" s="115"/>
      <c r="AM335" s="115"/>
      <c r="AN335" s="115"/>
      <c r="AO335" s="25"/>
      <c r="AP335" s="13"/>
      <c r="AU335" s="116"/>
      <c r="AV335" s="123"/>
      <c r="AW335" s="123"/>
      <c r="AX335" s="123"/>
      <c r="BC335" s="115"/>
      <c r="BD335" s="115"/>
      <c r="BE335" s="115"/>
      <c r="BF335" s="115"/>
      <c r="BG335" s="115"/>
      <c r="BH335" s="115"/>
      <c r="BI335" s="115"/>
      <c r="BJ335" s="115"/>
      <c r="BK335" s="115"/>
      <c r="BL335" s="115"/>
      <c r="BM335" s="25"/>
      <c r="BN335" s="13"/>
      <c r="BQ335" s="114"/>
    </row>
    <row r="336" spans="1:69" ht="20.100000000000001" customHeight="1" x14ac:dyDescent="0.4">
      <c r="A336" s="117"/>
      <c r="B336" s="123"/>
      <c r="C336" s="123"/>
      <c r="D336" s="123"/>
      <c r="F336" s="125"/>
      <c r="G336" s="125"/>
      <c r="H336" s="125"/>
      <c r="I336" s="125"/>
      <c r="J336" s="125"/>
      <c r="K336" s="125"/>
      <c r="L336" s="125"/>
      <c r="M336" s="125"/>
      <c r="AB336" s="115"/>
      <c r="AC336" s="115"/>
      <c r="AD336" s="29"/>
      <c r="AE336" s="29"/>
      <c r="AK336" s="115"/>
      <c r="AL336" s="115"/>
      <c r="AM336" s="115"/>
      <c r="AN336" s="115"/>
      <c r="AO336" s="25"/>
      <c r="AP336" s="13"/>
      <c r="AU336" s="116"/>
      <c r="AV336" s="123"/>
      <c r="AW336" s="123"/>
      <c r="AX336" s="123"/>
      <c r="BC336" s="115"/>
      <c r="BD336" s="115"/>
      <c r="BE336" s="115"/>
      <c r="BF336" s="115"/>
      <c r="BG336" s="115"/>
      <c r="BH336" s="115"/>
      <c r="BI336" s="115"/>
      <c r="BJ336" s="115"/>
      <c r="BK336" s="115"/>
      <c r="BL336" s="115"/>
      <c r="BM336" s="25"/>
      <c r="BN336" s="13"/>
      <c r="BQ336" s="114"/>
    </row>
    <row r="337" spans="1:69" ht="20.100000000000001" customHeight="1" x14ac:dyDescent="0.4">
      <c r="A337" s="117"/>
      <c r="B337" s="123"/>
      <c r="C337" s="123"/>
      <c r="D337" s="123"/>
      <c r="F337" s="125"/>
      <c r="G337" s="125"/>
      <c r="H337" s="125"/>
      <c r="I337" s="125"/>
      <c r="J337" s="125"/>
      <c r="K337" s="125"/>
      <c r="L337" s="125"/>
      <c r="M337" s="12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27"/>
      <c r="AE337" s="29"/>
      <c r="AK337" s="115"/>
      <c r="AL337" s="115"/>
      <c r="AM337" s="115"/>
      <c r="AN337" s="115"/>
      <c r="AO337" s="25"/>
      <c r="AP337" s="13"/>
      <c r="AU337" s="116"/>
      <c r="AV337" s="123"/>
      <c r="AW337" s="123"/>
      <c r="AX337" s="123"/>
      <c r="BC337" s="115"/>
      <c r="BD337" s="115"/>
      <c r="BE337" s="115"/>
      <c r="BF337" s="115"/>
      <c r="BG337" s="115"/>
      <c r="BH337" s="115"/>
      <c r="BI337" s="115"/>
      <c r="BJ337" s="115"/>
      <c r="BK337" s="115"/>
      <c r="BL337" s="115"/>
      <c r="BM337" s="25"/>
      <c r="BN337" s="13"/>
      <c r="BQ337" s="114"/>
    </row>
    <row r="338" spans="1:69" ht="20.100000000000001" customHeight="1" x14ac:dyDescent="0.4">
      <c r="A338" s="117"/>
      <c r="B338" s="123"/>
      <c r="C338" s="123"/>
      <c r="D338" s="123"/>
      <c r="F338" s="125"/>
      <c r="G338" s="125"/>
      <c r="H338" s="125"/>
      <c r="I338" s="125"/>
      <c r="J338" s="125"/>
      <c r="K338" s="125"/>
      <c r="L338" s="125"/>
      <c r="M338" s="12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K338" s="115"/>
      <c r="AL338" s="115"/>
      <c r="AM338" s="115"/>
      <c r="AN338" s="115"/>
      <c r="AO338" s="25"/>
      <c r="AP338" s="13"/>
      <c r="AU338" s="116"/>
      <c r="AV338" s="123"/>
      <c r="AW338" s="123"/>
      <c r="AX338" s="123"/>
      <c r="BC338" s="115"/>
      <c r="BD338" s="115"/>
      <c r="BE338" s="115"/>
      <c r="BF338" s="115"/>
      <c r="BG338" s="115"/>
      <c r="BH338" s="115"/>
      <c r="BI338" s="115"/>
      <c r="BJ338" s="115"/>
      <c r="BK338" s="115"/>
      <c r="BL338" s="115"/>
      <c r="BM338" s="25"/>
      <c r="BN338" s="13"/>
      <c r="BQ338" s="114"/>
    </row>
    <row r="339" spans="1:69" ht="20.100000000000001" customHeight="1" x14ac:dyDescent="0.4">
      <c r="A339" s="117"/>
      <c r="B339" s="123"/>
      <c r="C339" s="123"/>
      <c r="D339" s="123"/>
      <c r="F339" s="125"/>
      <c r="G339" s="125"/>
      <c r="H339" s="125"/>
      <c r="I339" s="125"/>
      <c r="J339" s="125"/>
      <c r="K339" s="125"/>
      <c r="L339" s="125"/>
      <c r="M339" s="12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K339" s="115"/>
      <c r="AL339" s="115"/>
      <c r="AM339" s="115"/>
      <c r="AN339" s="115"/>
      <c r="AO339" s="25"/>
      <c r="AP339" s="13"/>
      <c r="AU339" s="116"/>
      <c r="AV339" s="123"/>
      <c r="AW339" s="123"/>
      <c r="AX339" s="123"/>
      <c r="BC339" s="115"/>
      <c r="BD339" s="115"/>
      <c r="BE339" s="115"/>
      <c r="BF339" s="115"/>
      <c r="BG339" s="115"/>
      <c r="BH339" s="115"/>
      <c r="BI339" s="115"/>
      <c r="BJ339" s="115"/>
      <c r="BK339" s="115"/>
      <c r="BL339" s="115"/>
      <c r="BM339" s="25"/>
      <c r="BN339" s="13"/>
      <c r="BQ339" s="114"/>
    </row>
    <row r="340" spans="1:69" ht="20.100000000000001" customHeight="1" x14ac:dyDescent="0.4">
      <c r="A340" s="117"/>
      <c r="B340" s="123"/>
      <c r="C340" s="123"/>
      <c r="D340" s="123"/>
      <c r="F340" s="125"/>
      <c r="G340" s="125"/>
      <c r="H340" s="125"/>
      <c r="I340" s="125"/>
      <c r="J340" s="125"/>
      <c r="K340" s="125"/>
      <c r="L340" s="125"/>
      <c r="M340" s="12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K340" s="115"/>
      <c r="AL340" s="115"/>
      <c r="AM340" s="115"/>
      <c r="AN340" s="115"/>
      <c r="AO340" s="25"/>
      <c r="AP340" s="13"/>
      <c r="AU340" s="116"/>
      <c r="AV340" s="123"/>
      <c r="AW340" s="123"/>
      <c r="AX340" s="123"/>
      <c r="BC340" s="115"/>
      <c r="BD340" s="115"/>
      <c r="BE340" s="115"/>
      <c r="BF340" s="115"/>
      <c r="BG340" s="115"/>
      <c r="BH340" s="115"/>
      <c r="BI340" s="115"/>
      <c r="BJ340" s="115"/>
      <c r="BK340" s="115"/>
      <c r="BL340" s="115"/>
      <c r="BM340" s="25"/>
      <c r="BN340" s="13"/>
      <c r="BQ340" s="114"/>
    </row>
    <row r="341" spans="1:69" ht="20.100000000000001" customHeight="1" x14ac:dyDescent="0.4">
      <c r="A341" s="117"/>
      <c r="B341" s="123"/>
      <c r="C341" s="123"/>
      <c r="D341" s="123"/>
      <c r="F341" s="125"/>
      <c r="G341" s="125"/>
      <c r="H341" s="125"/>
      <c r="I341" s="125"/>
      <c r="J341" s="125"/>
      <c r="K341" s="125"/>
      <c r="L341" s="125"/>
      <c r="M341" s="12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K341" s="115"/>
      <c r="AL341" s="115"/>
      <c r="AM341" s="115"/>
      <c r="AN341" s="115"/>
      <c r="AO341" s="25"/>
      <c r="AP341" s="13"/>
      <c r="AU341" s="116"/>
      <c r="AV341" s="123"/>
      <c r="AW341" s="123"/>
      <c r="AX341" s="123"/>
      <c r="BC341" s="115"/>
      <c r="BD341" s="115"/>
      <c r="BE341" s="115"/>
      <c r="BF341" s="115"/>
      <c r="BG341" s="115"/>
      <c r="BH341" s="115"/>
      <c r="BI341" s="115"/>
      <c r="BJ341" s="115"/>
      <c r="BK341" s="115"/>
      <c r="BL341" s="115"/>
      <c r="BM341" s="25"/>
      <c r="BN341" s="13"/>
      <c r="BQ341" s="114"/>
    </row>
    <row r="342" spans="1:69" ht="20.100000000000001" customHeight="1" x14ac:dyDescent="0.4">
      <c r="A342" s="117"/>
      <c r="B342" s="123"/>
      <c r="C342" s="123"/>
      <c r="D342" s="123"/>
      <c r="F342" s="125"/>
      <c r="G342" s="125"/>
      <c r="H342" s="125"/>
      <c r="I342" s="125"/>
      <c r="J342" s="125"/>
      <c r="K342" s="125"/>
      <c r="L342" s="125"/>
      <c r="M342" s="12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29"/>
      <c r="AE342" s="29"/>
      <c r="AK342" s="115"/>
      <c r="AL342" s="115"/>
      <c r="AM342" s="115"/>
      <c r="AN342" s="115"/>
      <c r="AO342" s="25"/>
      <c r="AP342" s="13"/>
      <c r="AU342" s="116"/>
      <c r="AV342" s="123"/>
      <c r="AW342" s="123"/>
      <c r="AX342" s="123"/>
      <c r="BC342" s="115"/>
      <c r="BD342" s="115"/>
      <c r="BE342" s="115"/>
      <c r="BF342" s="115"/>
      <c r="BG342" s="115"/>
      <c r="BH342" s="115"/>
      <c r="BI342" s="115"/>
      <c r="BJ342" s="115"/>
      <c r="BK342" s="115"/>
      <c r="BL342" s="115"/>
      <c r="BM342" s="25"/>
      <c r="BN342" s="13"/>
      <c r="BQ342" s="114"/>
    </row>
    <row r="343" spans="1:69" ht="20.100000000000001" customHeight="1" x14ac:dyDescent="0.4">
      <c r="A343" s="117"/>
      <c r="B343" s="123"/>
      <c r="C343" s="123"/>
      <c r="D343" s="123"/>
      <c r="F343" s="125"/>
      <c r="G343" s="125"/>
      <c r="H343" s="125"/>
      <c r="I343" s="125"/>
      <c r="J343" s="125"/>
      <c r="K343" s="125"/>
      <c r="L343" s="125"/>
      <c r="M343" s="12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K343" s="115"/>
      <c r="AL343" s="115"/>
      <c r="AM343" s="115"/>
      <c r="AN343" s="115"/>
      <c r="AO343" s="25"/>
      <c r="AP343" s="13"/>
      <c r="AU343" s="116"/>
      <c r="AV343" s="123"/>
      <c r="AW343" s="123"/>
      <c r="AX343" s="123"/>
      <c r="BC343" s="115"/>
      <c r="BD343" s="115"/>
      <c r="BE343" s="115"/>
      <c r="BF343" s="115"/>
      <c r="BG343" s="115"/>
      <c r="BH343" s="115"/>
      <c r="BI343" s="115"/>
      <c r="BJ343" s="115"/>
      <c r="BK343" s="115"/>
      <c r="BL343" s="115"/>
      <c r="BM343" s="25"/>
      <c r="BN343" s="13"/>
      <c r="BQ343" s="114"/>
    </row>
    <row r="344" spans="1:69" ht="20.100000000000001" customHeight="1" x14ac:dyDescent="0.4">
      <c r="A344" s="117"/>
      <c r="B344" s="123"/>
      <c r="C344" s="123"/>
      <c r="D344" s="123"/>
      <c r="F344" s="125"/>
      <c r="G344" s="125"/>
      <c r="H344" s="125"/>
      <c r="I344" s="125"/>
      <c r="J344" s="125"/>
      <c r="K344" s="125"/>
      <c r="L344" s="125"/>
      <c r="M344" s="12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27"/>
      <c r="AE344" s="29"/>
      <c r="AK344" s="115"/>
      <c r="AL344" s="115"/>
      <c r="AM344" s="115"/>
      <c r="AN344" s="115"/>
      <c r="AO344" s="25"/>
      <c r="AP344" s="13"/>
      <c r="AU344" s="116"/>
      <c r="AV344" s="123"/>
      <c r="AW344" s="123"/>
      <c r="AX344" s="123"/>
      <c r="BC344" s="115"/>
      <c r="BD344" s="115"/>
      <c r="BE344" s="115"/>
      <c r="BF344" s="115"/>
      <c r="BG344" s="115"/>
      <c r="BH344" s="115"/>
      <c r="BI344" s="115"/>
      <c r="BJ344" s="115"/>
      <c r="BK344" s="115"/>
      <c r="BL344" s="115"/>
      <c r="BM344" s="25"/>
      <c r="BN344" s="13"/>
      <c r="BQ344" s="114"/>
    </row>
    <row r="345" spans="1:69" ht="20.100000000000001" customHeight="1" x14ac:dyDescent="0.4">
      <c r="A345" s="117"/>
      <c r="B345" s="123"/>
      <c r="C345" s="123"/>
      <c r="D345" s="123"/>
      <c r="F345" s="125"/>
      <c r="G345" s="125"/>
      <c r="H345" s="125"/>
      <c r="I345" s="125"/>
      <c r="J345" s="125"/>
      <c r="K345" s="125"/>
      <c r="L345" s="125"/>
      <c r="M345" s="12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27"/>
      <c r="AE345" s="29"/>
      <c r="AK345" s="115"/>
      <c r="AL345" s="115"/>
      <c r="AM345" s="115"/>
      <c r="AN345" s="115"/>
      <c r="AO345" s="25"/>
      <c r="AP345" s="13"/>
      <c r="AU345" s="116"/>
      <c r="AV345" s="123"/>
      <c r="AW345" s="123"/>
      <c r="AX345" s="123"/>
      <c r="BC345" s="115"/>
      <c r="BD345" s="115"/>
      <c r="BE345" s="115"/>
      <c r="BF345" s="115"/>
      <c r="BG345" s="115"/>
      <c r="BH345" s="115"/>
      <c r="BI345" s="115"/>
      <c r="BJ345" s="115"/>
      <c r="BK345" s="115"/>
      <c r="BL345" s="115"/>
      <c r="BM345" s="25"/>
      <c r="BN345" s="13"/>
      <c r="BQ345" s="114"/>
    </row>
    <row r="346" spans="1:69" ht="20.100000000000001" customHeight="1" x14ac:dyDescent="0.4">
      <c r="A346" s="117"/>
      <c r="B346" s="123"/>
      <c r="C346" s="123"/>
      <c r="D346" s="123"/>
      <c r="F346" s="125"/>
      <c r="G346" s="125"/>
      <c r="H346" s="125"/>
      <c r="I346" s="125"/>
      <c r="J346" s="125"/>
      <c r="K346" s="125"/>
      <c r="L346" s="125"/>
      <c r="M346" s="12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K346" s="115"/>
      <c r="AL346" s="115"/>
      <c r="AM346" s="115"/>
      <c r="AN346" s="115"/>
      <c r="AO346" s="25"/>
      <c r="AP346" s="13"/>
      <c r="AU346" s="116"/>
      <c r="AV346" s="123"/>
      <c r="AW346" s="123"/>
      <c r="AX346" s="123"/>
      <c r="BC346" s="115"/>
      <c r="BD346" s="115"/>
      <c r="BE346" s="115"/>
      <c r="BF346" s="115"/>
      <c r="BG346" s="115"/>
      <c r="BH346" s="115"/>
      <c r="BI346" s="115"/>
      <c r="BJ346" s="115"/>
      <c r="BK346" s="115"/>
      <c r="BL346" s="115"/>
      <c r="BM346" s="25"/>
      <c r="BN346" s="13"/>
      <c r="BQ346" s="114"/>
    </row>
    <row r="347" spans="1:69" ht="20.100000000000001" customHeight="1" x14ac:dyDescent="0.4">
      <c r="A347" s="117"/>
      <c r="B347" s="123"/>
      <c r="C347" s="123"/>
      <c r="D347" s="123"/>
      <c r="F347" s="125"/>
      <c r="G347" s="125"/>
      <c r="H347" s="125"/>
      <c r="I347" s="125"/>
      <c r="J347" s="125"/>
      <c r="K347" s="125"/>
      <c r="L347" s="125"/>
      <c r="M347" s="12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K347" s="115"/>
      <c r="AL347" s="115"/>
      <c r="AM347" s="115"/>
      <c r="AN347" s="115"/>
      <c r="AO347" s="25"/>
      <c r="AP347" s="13"/>
      <c r="AU347" s="116"/>
      <c r="AV347" s="123"/>
      <c r="AW347" s="123"/>
      <c r="AX347" s="123"/>
      <c r="BC347" s="115"/>
      <c r="BD347" s="115"/>
      <c r="BE347" s="115"/>
      <c r="BF347" s="115"/>
      <c r="BG347" s="115"/>
      <c r="BH347" s="115"/>
      <c r="BI347" s="115"/>
      <c r="BJ347" s="115"/>
      <c r="BK347" s="115"/>
      <c r="BL347" s="115"/>
      <c r="BM347" s="25"/>
      <c r="BN347" s="13"/>
      <c r="BQ347" s="114"/>
    </row>
    <row r="348" spans="1:69" ht="20.100000000000001" customHeight="1" x14ac:dyDescent="0.4">
      <c r="A348" s="117"/>
      <c r="B348" s="123"/>
      <c r="C348" s="123"/>
      <c r="D348" s="123"/>
      <c r="F348" s="125"/>
      <c r="G348" s="125"/>
      <c r="H348" s="125"/>
      <c r="I348" s="125"/>
      <c r="J348" s="125"/>
      <c r="K348" s="125"/>
      <c r="L348" s="125"/>
      <c r="M348" s="12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27"/>
      <c r="AE348" s="29"/>
      <c r="AK348" s="115"/>
      <c r="AL348" s="115"/>
      <c r="AM348" s="115"/>
      <c r="AN348" s="115"/>
      <c r="AO348" s="25"/>
      <c r="AP348" s="13"/>
      <c r="AU348" s="116"/>
      <c r="AV348" s="123"/>
      <c r="AW348" s="123"/>
      <c r="AX348" s="123"/>
      <c r="BC348" s="115"/>
      <c r="BD348" s="115"/>
      <c r="BE348" s="115"/>
      <c r="BF348" s="115"/>
      <c r="BG348" s="115"/>
      <c r="BH348" s="115"/>
      <c r="BI348" s="115"/>
      <c r="BJ348" s="115"/>
      <c r="BK348" s="115"/>
      <c r="BL348" s="115"/>
      <c r="BM348" s="25"/>
      <c r="BN348" s="13"/>
      <c r="BQ348" s="114"/>
    </row>
    <row r="349" spans="1:69" ht="20.100000000000001" customHeight="1" x14ac:dyDescent="0.4">
      <c r="A349" s="117"/>
      <c r="B349" s="123"/>
      <c r="C349" s="123"/>
      <c r="D349" s="123"/>
      <c r="F349" s="125"/>
      <c r="G349" s="125"/>
      <c r="H349" s="125"/>
      <c r="I349" s="125"/>
      <c r="J349" s="125"/>
      <c r="K349" s="125"/>
      <c r="L349" s="125"/>
      <c r="M349" s="12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27"/>
      <c r="AE349" s="29"/>
      <c r="AK349" s="115"/>
      <c r="AL349" s="115"/>
      <c r="AM349" s="115"/>
      <c r="AN349" s="115"/>
      <c r="AO349" s="25"/>
      <c r="AP349" s="13"/>
      <c r="AU349" s="116"/>
      <c r="AV349" s="123"/>
      <c r="AW349" s="123"/>
      <c r="AX349" s="123"/>
      <c r="BC349" s="115"/>
      <c r="BD349" s="115"/>
      <c r="BE349" s="115"/>
      <c r="BF349" s="115"/>
      <c r="BG349" s="115"/>
      <c r="BH349" s="115"/>
      <c r="BI349" s="115"/>
      <c r="BJ349" s="115"/>
      <c r="BK349" s="115"/>
      <c r="BL349" s="115"/>
      <c r="BM349" s="25"/>
      <c r="BN349" s="13"/>
      <c r="BQ349" s="114"/>
    </row>
    <row r="350" spans="1:69" ht="20.100000000000001" customHeight="1" x14ac:dyDescent="0.4">
      <c r="A350" s="117"/>
      <c r="B350" s="123"/>
      <c r="C350" s="123"/>
      <c r="D350" s="123"/>
      <c r="F350" s="125"/>
      <c r="G350" s="125"/>
      <c r="H350" s="125"/>
      <c r="I350" s="125"/>
      <c r="J350" s="125"/>
      <c r="K350" s="125"/>
      <c r="L350" s="125"/>
      <c r="M350" s="12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27"/>
      <c r="AE350" s="29"/>
      <c r="AK350" s="115"/>
      <c r="AL350" s="115"/>
      <c r="AM350" s="115"/>
      <c r="AN350" s="115"/>
      <c r="AO350" s="25"/>
      <c r="AP350" s="13"/>
      <c r="AU350" s="116"/>
      <c r="AV350" s="123"/>
      <c r="AW350" s="123"/>
      <c r="AX350" s="123"/>
      <c r="BC350" s="115"/>
      <c r="BD350" s="115"/>
      <c r="BE350" s="115"/>
      <c r="BF350" s="115"/>
      <c r="BG350" s="115"/>
      <c r="BH350" s="115"/>
      <c r="BI350" s="115"/>
      <c r="BJ350" s="115"/>
      <c r="BK350" s="115"/>
      <c r="BL350" s="115"/>
      <c r="BM350" s="25"/>
      <c r="BN350" s="13"/>
      <c r="BQ350" s="114"/>
    </row>
    <row r="351" spans="1:69" ht="20.100000000000001" customHeight="1" x14ac:dyDescent="0.4">
      <c r="A351" s="117"/>
      <c r="B351" s="123"/>
      <c r="C351" s="123"/>
      <c r="D351" s="123"/>
      <c r="F351" s="125"/>
      <c r="G351" s="125"/>
      <c r="H351" s="125"/>
      <c r="I351" s="125"/>
      <c r="J351" s="125"/>
      <c r="K351" s="125"/>
      <c r="L351" s="125"/>
      <c r="M351" s="12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K351" s="115"/>
      <c r="AL351" s="115"/>
      <c r="AM351" s="115"/>
      <c r="AN351" s="115"/>
      <c r="AO351" s="25"/>
      <c r="AP351" s="13"/>
      <c r="AU351" s="116"/>
      <c r="AV351" s="123"/>
      <c r="AW351" s="123"/>
      <c r="AX351" s="123"/>
      <c r="BC351" s="115"/>
      <c r="BD351" s="115"/>
      <c r="BE351" s="115"/>
      <c r="BF351" s="115"/>
      <c r="BG351" s="115"/>
      <c r="BH351" s="115"/>
      <c r="BI351" s="115"/>
      <c r="BJ351" s="115"/>
      <c r="BK351" s="115"/>
      <c r="BL351" s="115"/>
      <c r="BM351" s="25"/>
      <c r="BN351" s="13"/>
      <c r="BQ351" s="114"/>
    </row>
    <row r="352" spans="1:69" ht="20.100000000000001" customHeight="1" x14ac:dyDescent="0.4">
      <c r="A352" s="117"/>
      <c r="B352" s="123"/>
      <c r="C352" s="123"/>
      <c r="D352" s="123"/>
      <c r="F352" s="125"/>
      <c r="G352" s="125"/>
      <c r="H352" s="125"/>
      <c r="I352" s="125"/>
      <c r="J352" s="125"/>
      <c r="K352" s="125"/>
      <c r="L352" s="125"/>
      <c r="M352" s="12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27"/>
      <c r="AE352" s="29"/>
      <c r="AK352" s="115"/>
      <c r="AL352" s="115"/>
      <c r="AM352" s="115"/>
      <c r="AN352" s="115"/>
      <c r="AO352" s="25"/>
      <c r="AP352" s="13"/>
      <c r="AU352" s="116"/>
      <c r="AV352" s="123"/>
      <c r="AW352" s="123"/>
      <c r="AX352" s="123"/>
      <c r="BC352" s="115"/>
      <c r="BD352" s="115"/>
      <c r="BE352" s="115"/>
      <c r="BF352" s="115"/>
      <c r="BG352" s="115"/>
      <c r="BH352" s="115"/>
      <c r="BI352" s="115"/>
      <c r="BJ352" s="115"/>
      <c r="BK352" s="115"/>
      <c r="BL352" s="115"/>
      <c r="BM352" s="25"/>
      <c r="BN352" s="13"/>
      <c r="BQ352" s="114"/>
    </row>
    <row r="353" spans="1:69" ht="20.100000000000001" customHeight="1" x14ac:dyDescent="0.4">
      <c r="A353" s="117"/>
      <c r="B353" s="123"/>
      <c r="C353" s="123"/>
      <c r="D353" s="123"/>
      <c r="F353" s="125"/>
      <c r="G353" s="125"/>
      <c r="H353" s="125"/>
      <c r="I353" s="125"/>
      <c r="J353" s="125"/>
      <c r="K353" s="125"/>
      <c r="L353" s="125"/>
      <c r="M353" s="12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K353" s="115"/>
      <c r="AL353" s="115"/>
      <c r="AM353" s="115"/>
      <c r="AN353" s="115"/>
      <c r="AO353" s="25"/>
      <c r="AP353" s="13"/>
      <c r="AU353" s="116"/>
      <c r="AV353" s="123"/>
      <c r="AW353" s="123"/>
      <c r="AX353" s="123"/>
      <c r="BC353" s="115"/>
      <c r="BD353" s="115"/>
      <c r="BE353" s="115"/>
      <c r="BF353" s="115"/>
      <c r="BG353" s="115"/>
      <c r="BH353" s="115"/>
      <c r="BI353" s="115"/>
      <c r="BJ353" s="115"/>
      <c r="BK353" s="115"/>
      <c r="BL353" s="115"/>
      <c r="BM353" s="25"/>
      <c r="BN353" s="13"/>
      <c r="BQ353" s="114"/>
    </row>
    <row r="354" spans="1:69" ht="20.100000000000001" customHeight="1" x14ac:dyDescent="0.4">
      <c r="A354" s="117"/>
      <c r="B354" s="123"/>
      <c r="C354" s="123"/>
      <c r="D354" s="123"/>
      <c r="F354" s="125"/>
      <c r="G354" s="125"/>
      <c r="H354" s="125"/>
      <c r="I354" s="125"/>
      <c r="J354" s="125"/>
      <c r="K354" s="125"/>
      <c r="L354" s="125"/>
      <c r="M354" s="12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K354" s="115"/>
      <c r="AL354" s="115"/>
      <c r="AM354" s="115"/>
      <c r="AN354" s="115"/>
      <c r="AO354" s="25"/>
      <c r="AP354" s="13"/>
      <c r="AU354" s="116"/>
      <c r="AV354" s="123"/>
      <c r="AW354" s="123"/>
      <c r="AX354" s="123"/>
      <c r="BC354" s="115"/>
      <c r="BD354" s="115"/>
      <c r="BE354" s="115"/>
      <c r="BF354" s="115"/>
      <c r="BG354" s="115"/>
      <c r="BH354" s="115"/>
      <c r="BI354" s="115"/>
      <c r="BJ354" s="115"/>
      <c r="BK354" s="115"/>
      <c r="BL354" s="115"/>
      <c r="BM354" s="25"/>
      <c r="BN354" s="13"/>
      <c r="BQ354" s="114"/>
    </row>
    <row r="355" spans="1:69" ht="20.100000000000001" customHeight="1" x14ac:dyDescent="0.4">
      <c r="A355" s="117"/>
      <c r="B355" s="123"/>
      <c r="C355" s="123"/>
      <c r="D355" s="123"/>
      <c r="F355" s="125"/>
      <c r="G355" s="125"/>
      <c r="H355" s="125"/>
      <c r="I355" s="125"/>
      <c r="J355" s="125"/>
      <c r="K355" s="125"/>
      <c r="L355" s="125"/>
      <c r="M355" s="12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K355" s="115"/>
      <c r="AL355" s="115"/>
      <c r="AM355" s="115"/>
      <c r="AN355" s="115"/>
      <c r="AO355" s="25"/>
      <c r="AP355" s="13"/>
      <c r="AU355" s="116"/>
      <c r="AV355" s="123"/>
      <c r="AW355" s="123"/>
      <c r="AX355" s="123"/>
      <c r="BC355" s="115"/>
      <c r="BD355" s="115"/>
      <c r="BE355" s="115"/>
      <c r="BF355" s="115"/>
      <c r="BG355" s="115"/>
      <c r="BH355" s="115"/>
      <c r="BI355" s="115"/>
      <c r="BJ355" s="115"/>
      <c r="BK355" s="115"/>
      <c r="BL355" s="115"/>
      <c r="BM355" s="25"/>
      <c r="BN355" s="13"/>
      <c r="BQ355" s="114"/>
    </row>
    <row r="356" spans="1:69" ht="20.100000000000001" customHeight="1" x14ac:dyDescent="0.4">
      <c r="A356" s="117"/>
      <c r="B356" s="123"/>
      <c r="C356" s="123"/>
      <c r="D356" s="123"/>
      <c r="F356" s="125"/>
      <c r="G356" s="125"/>
      <c r="H356" s="125"/>
      <c r="I356" s="125"/>
      <c r="J356" s="125"/>
      <c r="K356" s="125"/>
      <c r="L356" s="125"/>
      <c r="M356" s="12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27"/>
      <c r="AE356" s="29"/>
      <c r="AK356" s="115"/>
      <c r="AL356" s="115"/>
      <c r="AM356" s="115"/>
      <c r="AN356" s="115"/>
      <c r="AO356" s="25"/>
      <c r="AP356" s="13"/>
      <c r="AU356" s="116"/>
      <c r="AV356" s="123"/>
      <c r="AW356" s="123"/>
      <c r="AX356" s="123"/>
      <c r="BC356" s="115"/>
      <c r="BD356" s="115"/>
      <c r="BE356" s="115"/>
      <c r="BF356" s="115"/>
      <c r="BG356" s="115"/>
      <c r="BH356" s="115"/>
      <c r="BI356" s="115"/>
      <c r="BJ356" s="115"/>
      <c r="BK356" s="115"/>
      <c r="BL356" s="115"/>
      <c r="BM356" s="25"/>
      <c r="BN356" s="13"/>
      <c r="BQ356" s="114"/>
    </row>
    <row r="357" spans="1:69" ht="20.100000000000001" customHeight="1" x14ac:dyDescent="0.4">
      <c r="A357" s="117"/>
      <c r="B357" s="123"/>
      <c r="C357" s="123"/>
      <c r="D357" s="123"/>
      <c r="F357" s="125"/>
      <c r="G357" s="125"/>
      <c r="H357" s="125"/>
      <c r="I357" s="125"/>
      <c r="J357" s="125"/>
      <c r="K357" s="125"/>
      <c r="L357" s="125"/>
      <c r="M357" s="12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K357" s="115"/>
      <c r="AL357" s="115"/>
      <c r="AM357" s="115"/>
      <c r="AN357" s="115"/>
      <c r="AO357" s="25"/>
      <c r="AP357" s="13"/>
      <c r="AU357" s="116"/>
      <c r="AV357" s="123"/>
      <c r="AW357" s="123"/>
      <c r="AX357" s="123"/>
      <c r="BC357" s="115"/>
      <c r="BD357" s="115"/>
      <c r="BE357" s="115"/>
      <c r="BF357" s="115"/>
      <c r="BG357" s="115"/>
      <c r="BH357" s="115"/>
      <c r="BI357" s="115"/>
      <c r="BJ357" s="115"/>
      <c r="BK357" s="115"/>
      <c r="BL357" s="115"/>
      <c r="BM357" s="25"/>
      <c r="BN357" s="13"/>
      <c r="BQ357" s="114"/>
    </row>
    <row r="358" spans="1:69" ht="20.100000000000001" customHeight="1" x14ac:dyDescent="0.4">
      <c r="A358" s="117"/>
      <c r="B358" s="123"/>
      <c r="C358" s="123"/>
      <c r="D358" s="123"/>
      <c r="F358" s="125"/>
      <c r="G358" s="125"/>
      <c r="H358" s="125"/>
      <c r="I358" s="125"/>
      <c r="J358" s="125"/>
      <c r="K358" s="125"/>
      <c r="L358" s="125"/>
      <c r="M358" s="12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K358" s="115"/>
      <c r="AL358" s="115"/>
      <c r="AM358" s="115"/>
      <c r="AN358" s="115"/>
      <c r="AO358" s="25"/>
      <c r="AP358" s="13"/>
      <c r="AU358" s="116"/>
      <c r="AV358" s="123"/>
      <c r="AW358" s="123"/>
      <c r="AX358" s="123"/>
      <c r="BC358" s="115"/>
      <c r="BD358" s="115"/>
      <c r="BE358" s="115"/>
      <c r="BF358" s="115"/>
      <c r="BG358" s="115"/>
      <c r="BH358" s="115"/>
      <c r="BI358" s="115"/>
      <c r="BJ358" s="115"/>
      <c r="BK358" s="115"/>
      <c r="BL358" s="115"/>
      <c r="BM358" s="25"/>
      <c r="BN358" s="13"/>
      <c r="BQ358" s="114"/>
    </row>
    <row r="359" spans="1:69" ht="20.100000000000001" customHeight="1" x14ac:dyDescent="0.4">
      <c r="A359" s="117"/>
      <c r="B359" s="123"/>
      <c r="C359" s="123"/>
      <c r="D359" s="123"/>
      <c r="F359" s="125"/>
      <c r="G359" s="125"/>
      <c r="H359" s="125"/>
      <c r="I359" s="125"/>
      <c r="J359" s="125"/>
      <c r="K359" s="125"/>
      <c r="L359" s="125"/>
      <c r="M359" s="12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K359" s="115"/>
      <c r="AL359" s="115"/>
      <c r="AM359" s="115"/>
      <c r="AN359" s="115"/>
      <c r="AO359" s="25"/>
      <c r="AP359" s="13"/>
      <c r="AU359" s="116"/>
      <c r="AV359" s="123"/>
      <c r="AW359" s="123"/>
      <c r="AX359" s="123"/>
      <c r="BC359" s="115"/>
      <c r="BD359" s="115"/>
      <c r="BE359" s="115"/>
      <c r="BF359" s="115"/>
      <c r="BG359" s="115"/>
      <c r="BH359" s="115"/>
      <c r="BI359" s="115"/>
      <c r="BJ359" s="115"/>
      <c r="BK359" s="115"/>
      <c r="BL359" s="115"/>
      <c r="BM359" s="25"/>
      <c r="BN359" s="13"/>
      <c r="BQ359" s="114"/>
    </row>
    <row r="360" spans="1:69" ht="20.100000000000001" customHeight="1" x14ac:dyDescent="0.4">
      <c r="A360" s="117"/>
      <c r="B360" s="123"/>
      <c r="C360" s="123"/>
      <c r="D360" s="123"/>
      <c r="F360" s="125"/>
      <c r="G360" s="125"/>
      <c r="H360" s="125"/>
      <c r="I360" s="125"/>
      <c r="J360" s="125"/>
      <c r="K360" s="125"/>
      <c r="L360" s="125"/>
      <c r="M360" s="125"/>
      <c r="AD360" s="127"/>
      <c r="AE360" s="29"/>
      <c r="AK360" s="115"/>
      <c r="AL360" s="115"/>
      <c r="AM360" s="115"/>
      <c r="AN360" s="115"/>
      <c r="AO360" s="25">
        <v>45671</v>
      </c>
      <c r="AP360" s="13" t="s">
        <v>146</v>
      </c>
      <c r="AU360" s="116"/>
      <c r="AV360" s="123"/>
      <c r="AW360" s="123"/>
      <c r="AX360" s="123"/>
      <c r="BC360" s="115"/>
      <c r="BD360" s="115"/>
      <c r="BE360" s="115"/>
      <c r="BF360" s="115"/>
      <c r="BG360" s="115"/>
      <c r="BH360" s="115"/>
      <c r="BI360" s="115"/>
      <c r="BJ360" s="115"/>
      <c r="BK360" s="115"/>
      <c r="BL360" s="115"/>
      <c r="BM360" s="25"/>
      <c r="BN360" s="13"/>
      <c r="BQ360" s="114"/>
    </row>
    <row r="361" spans="1:69" ht="20.100000000000001" customHeight="1" x14ac:dyDescent="0.4">
      <c r="A361" s="117"/>
      <c r="B361" s="123"/>
      <c r="C361" s="123"/>
      <c r="D361" s="123"/>
      <c r="F361" s="125"/>
      <c r="G361" s="125"/>
      <c r="H361" s="125"/>
      <c r="I361" s="125"/>
      <c r="J361" s="125"/>
      <c r="K361" s="125"/>
      <c r="L361" s="125"/>
      <c r="M361" s="12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K361" s="115"/>
      <c r="AL361" s="115"/>
      <c r="AM361" s="115"/>
      <c r="AN361" s="115"/>
      <c r="AO361" s="25"/>
      <c r="AP361" s="13"/>
      <c r="AU361" s="116"/>
      <c r="AV361" s="123"/>
      <c r="AW361" s="123"/>
      <c r="AX361" s="123"/>
      <c r="BC361" s="115"/>
      <c r="BD361" s="115"/>
      <c r="BE361" s="115"/>
      <c r="BF361" s="115"/>
      <c r="BG361" s="115"/>
      <c r="BH361" s="115"/>
      <c r="BI361" s="115"/>
      <c r="BJ361" s="115"/>
      <c r="BK361" s="115"/>
      <c r="BL361" s="115"/>
      <c r="BM361" s="25"/>
      <c r="BN361" s="13"/>
      <c r="BQ361" s="114"/>
    </row>
    <row r="362" spans="1:69" ht="20.100000000000001" customHeight="1" x14ac:dyDescent="0.4">
      <c r="A362" s="117"/>
      <c r="B362" s="123"/>
      <c r="C362" s="123"/>
      <c r="D362" s="123"/>
      <c r="F362" s="125"/>
      <c r="G362" s="125"/>
      <c r="H362" s="125"/>
      <c r="I362" s="125"/>
      <c r="J362" s="125"/>
      <c r="K362" s="125"/>
      <c r="L362" s="125"/>
      <c r="M362" s="12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K362" s="115"/>
      <c r="AL362" s="115"/>
      <c r="AM362" s="115"/>
      <c r="AN362" s="115"/>
      <c r="AO362" s="25"/>
      <c r="AP362" s="13"/>
      <c r="AU362" s="116"/>
      <c r="AV362" s="123"/>
      <c r="AW362" s="123"/>
      <c r="AX362" s="123"/>
      <c r="BC362" s="115"/>
      <c r="BD362" s="115"/>
      <c r="BE362" s="115"/>
      <c r="BF362" s="115"/>
      <c r="BG362" s="115"/>
      <c r="BH362" s="115"/>
      <c r="BI362" s="115"/>
      <c r="BJ362" s="115"/>
      <c r="BK362" s="115"/>
      <c r="BL362" s="115"/>
      <c r="BM362" s="25"/>
      <c r="BN362" s="13"/>
      <c r="BQ362" s="114"/>
    </row>
    <row r="363" spans="1:69" ht="20.100000000000001" customHeight="1" x14ac:dyDescent="0.4">
      <c r="A363" s="117"/>
      <c r="B363" s="123"/>
      <c r="C363" s="123"/>
      <c r="D363" s="123"/>
      <c r="F363" s="125"/>
      <c r="G363" s="125"/>
      <c r="H363" s="125"/>
      <c r="I363" s="125"/>
      <c r="J363" s="125"/>
      <c r="K363" s="125"/>
      <c r="L363" s="125"/>
      <c r="M363" s="12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27"/>
      <c r="AE363" s="29"/>
      <c r="AK363" s="115"/>
      <c r="AL363" s="115"/>
      <c r="AM363" s="115"/>
      <c r="AN363" s="115"/>
      <c r="AO363" s="25"/>
      <c r="AP363" s="13"/>
      <c r="AU363" s="116"/>
      <c r="AV363" s="123"/>
      <c r="AW363" s="123"/>
      <c r="AX363" s="123"/>
      <c r="BC363" s="115"/>
      <c r="BD363" s="115"/>
      <c r="BE363" s="115"/>
      <c r="BF363" s="115"/>
      <c r="BG363" s="115"/>
      <c r="BH363" s="115"/>
      <c r="BI363" s="115"/>
      <c r="BJ363" s="115"/>
      <c r="BK363" s="115"/>
      <c r="BL363" s="115"/>
      <c r="BM363" s="25"/>
      <c r="BN363" s="13"/>
      <c r="BQ363" s="114"/>
    </row>
    <row r="364" spans="1:69" ht="20.100000000000001" customHeight="1" x14ac:dyDescent="0.4">
      <c r="A364" s="117"/>
      <c r="B364" s="123"/>
      <c r="C364" s="123"/>
      <c r="D364" s="123"/>
      <c r="F364" s="125"/>
      <c r="G364" s="125"/>
      <c r="H364" s="125"/>
      <c r="I364" s="125"/>
      <c r="J364" s="125"/>
      <c r="K364" s="125"/>
      <c r="L364" s="125"/>
      <c r="M364" s="12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29"/>
      <c r="AE364" s="29"/>
      <c r="AK364" s="115"/>
      <c r="AL364" s="115"/>
      <c r="AM364" s="115"/>
      <c r="AN364" s="115"/>
      <c r="AO364" s="25"/>
      <c r="AP364" s="13"/>
      <c r="AU364" s="116"/>
      <c r="AV364" s="123"/>
      <c r="AW364" s="123"/>
      <c r="AX364" s="123"/>
      <c r="BC364" s="115"/>
      <c r="BD364" s="115"/>
      <c r="BE364" s="115"/>
      <c r="BF364" s="115"/>
      <c r="BG364" s="115"/>
      <c r="BH364" s="115"/>
      <c r="BI364" s="115"/>
      <c r="BJ364" s="115"/>
      <c r="BK364" s="115"/>
      <c r="BL364" s="115"/>
      <c r="BM364" s="25"/>
      <c r="BN364" s="13"/>
      <c r="BQ364" s="114"/>
    </row>
    <row r="365" spans="1:69" ht="20.100000000000001" customHeight="1" x14ac:dyDescent="0.4">
      <c r="A365" s="117"/>
      <c r="B365" s="123"/>
      <c r="C365" s="123"/>
      <c r="D365" s="123"/>
      <c r="F365" s="125"/>
      <c r="G365" s="125"/>
      <c r="H365" s="125"/>
      <c r="I365" s="125"/>
      <c r="J365" s="125"/>
      <c r="K365" s="125"/>
      <c r="L365" s="125"/>
      <c r="M365" s="125"/>
      <c r="AD365" s="127"/>
      <c r="AE365" s="29"/>
      <c r="AI365" s="115"/>
      <c r="AJ365" s="115"/>
      <c r="AK365" s="115"/>
      <c r="AL365" s="115"/>
      <c r="AM365" s="115"/>
      <c r="AN365" s="115"/>
      <c r="AO365" s="25">
        <v>45671</v>
      </c>
      <c r="AP365" s="13" t="s">
        <v>148</v>
      </c>
      <c r="AU365" s="116"/>
      <c r="AV365" s="123"/>
      <c r="AW365" s="123"/>
      <c r="AX365" s="123"/>
      <c r="BC365" s="115"/>
      <c r="BD365" s="115"/>
      <c r="BE365" s="115"/>
      <c r="BF365" s="115"/>
      <c r="BG365" s="115"/>
      <c r="BH365" s="115"/>
      <c r="BI365" s="115"/>
      <c r="BJ365" s="115"/>
      <c r="BK365" s="115"/>
      <c r="BL365" s="115"/>
      <c r="BM365" s="25"/>
      <c r="BN365" s="13"/>
      <c r="BQ365" s="114"/>
    </row>
    <row r="366" spans="1:69" ht="20.100000000000001" customHeight="1" x14ac:dyDescent="0.4">
      <c r="A366" s="117"/>
      <c r="B366" s="123"/>
      <c r="C366" s="123"/>
      <c r="D366" s="123"/>
      <c r="F366" s="125"/>
      <c r="G366" s="125"/>
      <c r="H366" s="125"/>
      <c r="I366" s="125"/>
      <c r="J366" s="125"/>
      <c r="K366" s="125"/>
      <c r="L366" s="125"/>
      <c r="M366" s="125"/>
      <c r="AB366" s="115"/>
      <c r="AC366" s="115"/>
      <c r="AD366" s="29"/>
      <c r="AE366" s="29"/>
      <c r="AI366" s="115"/>
      <c r="AJ366" s="115"/>
      <c r="AK366" s="115"/>
      <c r="AL366" s="115"/>
      <c r="AM366" s="115"/>
      <c r="AN366" s="115"/>
      <c r="AO366" s="25"/>
      <c r="AP366" s="13"/>
      <c r="AU366" s="116"/>
      <c r="AV366" s="123"/>
      <c r="AW366" s="123"/>
      <c r="AX366" s="123"/>
      <c r="BC366" s="115"/>
      <c r="BD366" s="115"/>
      <c r="BE366" s="115"/>
      <c r="BF366" s="115"/>
      <c r="BG366" s="115"/>
      <c r="BH366" s="115"/>
      <c r="BI366" s="115"/>
      <c r="BJ366" s="115"/>
      <c r="BK366" s="115"/>
      <c r="BL366" s="115"/>
      <c r="BM366" s="25"/>
      <c r="BN366" s="13"/>
      <c r="BQ366" s="114"/>
    </row>
    <row r="367" spans="1:69" ht="20.100000000000001" customHeight="1" x14ac:dyDescent="0.4">
      <c r="A367" s="117"/>
      <c r="B367" s="123"/>
      <c r="C367" s="123"/>
      <c r="D367" s="123"/>
      <c r="F367" s="125"/>
      <c r="G367" s="125"/>
      <c r="H367" s="125"/>
      <c r="I367" s="125"/>
      <c r="J367" s="125"/>
      <c r="K367" s="125"/>
      <c r="L367" s="125"/>
      <c r="M367" s="125"/>
      <c r="X367" s="115"/>
      <c r="Y367" s="115"/>
      <c r="Z367" s="115"/>
      <c r="AA367" s="115"/>
      <c r="AB367" s="115"/>
      <c r="AC367" s="115"/>
      <c r="AD367" s="127"/>
      <c r="AE367" s="29"/>
      <c r="AI367" s="115"/>
      <c r="AJ367" s="115"/>
      <c r="AK367" s="115"/>
      <c r="AL367" s="115"/>
      <c r="AM367" s="115"/>
      <c r="AN367" s="115"/>
      <c r="AO367" s="25"/>
      <c r="AP367" s="13"/>
      <c r="AU367" s="116"/>
      <c r="AV367" s="123"/>
      <c r="AW367" s="123"/>
      <c r="AX367" s="123"/>
      <c r="BC367" s="115"/>
      <c r="BD367" s="115"/>
      <c r="BE367" s="115"/>
      <c r="BF367" s="115"/>
      <c r="BG367" s="115"/>
      <c r="BH367" s="115"/>
      <c r="BI367" s="115"/>
      <c r="BJ367" s="115"/>
      <c r="BK367" s="115"/>
      <c r="BL367" s="115"/>
      <c r="BM367" s="25"/>
      <c r="BN367" s="13"/>
      <c r="BQ367" s="114"/>
    </row>
    <row r="368" spans="1:69" ht="20.100000000000001" customHeight="1" x14ac:dyDescent="0.4">
      <c r="A368" s="117"/>
      <c r="B368" s="123"/>
      <c r="C368" s="123"/>
      <c r="D368" s="123"/>
      <c r="F368" s="125"/>
      <c r="G368" s="125"/>
      <c r="H368" s="125"/>
      <c r="I368" s="125"/>
      <c r="J368" s="125"/>
      <c r="K368" s="125"/>
      <c r="L368" s="125"/>
      <c r="M368" s="125"/>
      <c r="X368" s="115"/>
      <c r="Y368" s="115"/>
      <c r="Z368" s="115"/>
      <c r="AA368" s="115"/>
      <c r="AB368" s="115"/>
      <c r="AC368" s="115"/>
      <c r="AD368" s="29"/>
      <c r="AE368" s="29"/>
      <c r="AI368" s="115"/>
      <c r="AJ368" s="115"/>
      <c r="AK368" s="115"/>
      <c r="AL368" s="115"/>
      <c r="AM368" s="115"/>
      <c r="AN368" s="115"/>
      <c r="AO368" s="25"/>
      <c r="AP368" s="13"/>
      <c r="AU368" s="116"/>
      <c r="AV368" s="123"/>
      <c r="AW368" s="123"/>
      <c r="AX368" s="123"/>
      <c r="BC368" s="115"/>
      <c r="BD368" s="115"/>
      <c r="BE368" s="115"/>
      <c r="BF368" s="115"/>
      <c r="BG368" s="115"/>
      <c r="BH368" s="115"/>
      <c r="BI368" s="115"/>
      <c r="BJ368" s="115"/>
      <c r="BK368" s="115"/>
      <c r="BL368" s="115"/>
      <c r="BM368" s="25"/>
      <c r="BN368" s="13"/>
      <c r="BQ368" s="114"/>
    </row>
    <row r="369" spans="1:69" ht="20.100000000000001" customHeight="1" x14ac:dyDescent="0.4">
      <c r="A369" s="117"/>
      <c r="B369" s="123"/>
      <c r="C369" s="123"/>
      <c r="D369" s="123"/>
      <c r="F369" s="125"/>
      <c r="G369" s="125"/>
      <c r="H369" s="125"/>
      <c r="I369" s="125"/>
      <c r="J369" s="125"/>
      <c r="K369" s="125"/>
      <c r="L369" s="125"/>
      <c r="M369" s="125"/>
      <c r="X369" s="115"/>
      <c r="Y369" s="115"/>
      <c r="Z369" s="115"/>
      <c r="AA369" s="115"/>
      <c r="AB369" s="115"/>
      <c r="AC369" s="115"/>
      <c r="AD369" s="29"/>
      <c r="AE369" s="29"/>
      <c r="AI369" s="115"/>
      <c r="AJ369" s="115"/>
      <c r="AK369" s="115"/>
      <c r="AL369" s="115"/>
      <c r="AM369" s="115"/>
      <c r="AN369" s="115"/>
      <c r="AO369" s="25"/>
      <c r="AP369" s="13"/>
      <c r="AU369" s="116"/>
      <c r="AV369" s="123"/>
      <c r="AW369" s="123"/>
      <c r="AX369" s="123"/>
      <c r="BC369" s="115"/>
      <c r="BD369" s="115"/>
      <c r="BE369" s="115"/>
      <c r="BF369" s="115"/>
      <c r="BG369" s="115"/>
      <c r="BH369" s="115"/>
      <c r="BI369" s="115"/>
      <c r="BJ369" s="115"/>
      <c r="BK369" s="115"/>
      <c r="BL369" s="115"/>
      <c r="BM369" s="25"/>
      <c r="BN369" s="13"/>
      <c r="BQ369" s="114"/>
    </row>
    <row r="370" spans="1:69" ht="20.100000000000001" customHeight="1" x14ac:dyDescent="0.4">
      <c r="A370" s="117"/>
      <c r="B370" s="123"/>
      <c r="C370" s="123"/>
      <c r="D370" s="123"/>
      <c r="F370" s="125"/>
      <c r="G370" s="125"/>
      <c r="H370" s="125"/>
      <c r="I370" s="125"/>
      <c r="J370" s="125"/>
      <c r="K370" s="125"/>
      <c r="L370" s="125"/>
      <c r="M370" s="125"/>
      <c r="W370" s="115"/>
      <c r="X370" s="115"/>
      <c r="Y370" s="115"/>
      <c r="Z370" s="115"/>
      <c r="AA370" s="115"/>
      <c r="AB370" s="115"/>
      <c r="AC370" s="115"/>
      <c r="AD370" s="127"/>
      <c r="AE370" s="29"/>
      <c r="AI370" s="115"/>
      <c r="AJ370" s="115"/>
      <c r="AK370" s="115"/>
      <c r="AL370" s="115"/>
      <c r="AM370" s="115"/>
      <c r="AN370" s="115"/>
      <c r="AO370" s="25"/>
      <c r="AP370" s="13"/>
      <c r="AU370" s="116"/>
      <c r="AV370" s="123"/>
      <c r="AW370" s="123"/>
      <c r="AX370" s="123"/>
      <c r="BC370" s="115"/>
      <c r="BD370" s="115"/>
      <c r="BE370" s="115"/>
      <c r="BF370" s="115"/>
      <c r="BG370" s="115"/>
      <c r="BH370" s="115"/>
      <c r="BI370" s="115"/>
      <c r="BJ370" s="115"/>
      <c r="BK370" s="115"/>
      <c r="BL370" s="115"/>
      <c r="BM370" s="25"/>
      <c r="BN370" s="13"/>
      <c r="BQ370" s="114"/>
    </row>
    <row r="371" spans="1:69" ht="20.100000000000001" customHeight="1" x14ac:dyDescent="0.4">
      <c r="A371" s="117"/>
      <c r="B371" s="123"/>
      <c r="C371" s="123"/>
      <c r="D371" s="123"/>
      <c r="F371" s="125"/>
      <c r="G371" s="125"/>
      <c r="H371" s="125"/>
      <c r="I371" s="125"/>
      <c r="J371" s="125"/>
      <c r="K371" s="125"/>
      <c r="L371" s="125"/>
      <c r="M371" s="125"/>
      <c r="W371" s="115"/>
      <c r="X371" s="115"/>
      <c r="Y371" s="115"/>
      <c r="Z371" s="115"/>
      <c r="AA371" s="115"/>
      <c r="AB371" s="115"/>
      <c r="AC371" s="115"/>
      <c r="AD371" s="127"/>
      <c r="AE371" s="29"/>
      <c r="AI371" s="115"/>
      <c r="AJ371" s="115"/>
      <c r="AK371" s="115"/>
      <c r="AL371" s="115"/>
      <c r="AM371" s="115"/>
      <c r="AN371" s="115"/>
      <c r="AO371" s="25"/>
      <c r="AP371" s="13"/>
      <c r="AU371" s="116"/>
      <c r="AV371" s="123"/>
      <c r="AW371" s="123"/>
      <c r="AX371" s="123"/>
      <c r="BC371" s="115"/>
      <c r="BD371" s="115"/>
      <c r="BE371" s="115"/>
      <c r="BF371" s="115"/>
      <c r="BG371" s="115"/>
      <c r="BH371" s="115"/>
      <c r="BI371" s="115"/>
      <c r="BJ371" s="115"/>
      <c r="BK371" s="115"/>
      <c r="BL371" s="115"/>
      <c r="BM371" s="25"/>
      <c r="BN371" s="13"/>
      <c r="BQ371" s="114"/>
    </row>
    <row r="372" spans="1:69" ht="20.100000000000001" customHeight="1" x14ac:dyDescent="0.4">
      <c r="A372" s="117"/>
      <c r="B372" s="123"/>
      <c r="C372" s="123"/>
      <c r="D372" s="123"/>
      <c r="F372" s="125"/>
      <c r="G372" s="125"/>
      <c r="H372" s="125"/>
      <c r="I372" s="125"/>
      <c r="J372" s="125"/>
      <c r="K372" s="125"/>
      <c r="L372" s="125"/>
      <c r="M372" s="125"/>
      <c r="W372" s="115"/>
      <c r="X372" s="115"/>
      <c r="Y372" s="115"/>
      <c r="Z372" s="115"/>
      <c r="AA372" s="115"/>
      <c r="AB372" s="115"/>
      <c r="AC372" s="115"/>
      <c r="AD372" s="127"/>
      <c r="AE372" s="29"/>
      <c r="AI372" s="115"/>
      <c r="AJ372" s="115"/>
      <c r="AK372" s="115"/>
      <c r="AL372" s="115"/>
      <c r="AM372" s="115"/>
      <c r="AN372" s="115"/>
      <c r="AO372" s="25"/>
      <c r="AP372" s="13"/>
      <c r="AU372" s="116"/>
      <c r="AV372" s="123"/>
      <c r="AW372" s="123"/>
      <c r="AX372" s="123"/>
      <c r="BC372" s="115"/>
      <c r="BD372" s="115"/>
      <c r="BE372" s="115"/>
      <c r="BF372" s="115"/>
      <c r="BG372" s="115"/>
      <c r="BH372" s="115"/>
      <c r="BI372" s="115"/>
      <c r="BJ372" s="115"/>
      <c r="BK372" s="115"/>
      <c r="BL372" s="115"/>
      <c r="BM372" s="25"/>
      <c r="BN372" s="13"/>
      <c r="BQ372" s="114"/>
    </row>
    <row r="373" spans="1:69" ht="20.100000000000001" customHeight="1" x14ac:dyDescent="0.4">
      <c r="A373" s="117"/>
      <c r="B373" s="123"/>
      <c r="C373" s="123"/>
      <c r="D373" s="123"/>
      <c r="AD373" s="127"/>
      <c r="AE373" s="29"/>
      <c r="AI373" s="115"/>
      <c r="AJ373" s="115"/>
      <c r="AK373" s="115"/>
      <c r="AL373" s="115"/>
      <c r="AM373" s="115"/>
      <c r="AN373" s="115"/>
      <c r="AO373" s="25"/>
      <c r="AP373" s="13"/>
      <c r="AU373" s="116"/>
      <c r="AV373" s="123"/>
      <c r="AW373" s="123"/>
      <c r="AX373" s="123"/>
      <c r="BC373" s="115"/>
      <c r="BD373" s="115"/>
      <c r="BE373" s="115"/>
      <c r="BF373" s="115"/>
      <c r="BG373" s="115"/>
      <c r="BH373" s="115"/>
      <c r="BI373" s="115"/>
      <c r="BJ373" s="115"/>
      <c r="BK373" s="115"/>
      <c r="BL373" s="115"/>
      <c r="BM373" s="25"/>
      <c r="BN373" s="13"/>
      <c r="BQ373" s="114"/>
    </row>
    <row r="374" spans="1:69" ht="20.100000000000001" customHeight="1" x14ac:dyDescent="0.4">
      <c r="A374" s="117"/>
      <c r="B374" s="123"/>
      <c r="C374" s="123"/>
      <c r="D374" s="123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27"/>
      <c r="AE374" s="29"/>
      <c r="AI374" s="115"/>
      <c r="AJ374" s="115"/>
      <c r="AK374" s="115"/>
      <c r="AL374" s="115"/>
      <c r="AM374" s="115"/>
      <c r="AN374" s="115"/>
      <c r="AO374" s="25"/>
      <c r="AP374" s="13"/>
      <c r="AU374" s="116"/>
      <c r="AV374" s="123"/>
      <c r="AW374" s="123"/>
      <c r="AX374" s="123"/>
      <c r="BC374" s="115"/>
      <c r="BD374" s="115"/>
      <c r="BE374" s="115"/>
      <c r="BF374" s="115"/>
      <c r="BG374" s="115"/>
      <c r="BH374" s="115"/>
      <c r="BI374" s="115"/>
      <c r="BJ374" s="115"/>
      <c r="BK374" s="115"/>
      <c r="BL374" s="115"/>
      <c r="BM374" s="25"/>
      <c r="BN374" s="13"/>
      <c r="BQ374" s="114"/>
    </row>
    <row r="375" spans="1:69" ht="20.100000000000001" customHeight="1" x14ac:dyDescent="0.4">
      <c r="A375" s="117"/>
      <c r="B375" s="123"/>
      <c r="C375" s="123"/>
      <c r="D375" s="123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I375" s="115"/>
      <c r="AJ375" s="115"/>
      <c r="AK375" s="115"/>
      <c r="AL375" s="115"/>
      <c r="AM375" s="115"/>
      <c r="AN375" s="115"/>
      <c r="AO375" s="25"/>
      <c r="AP375" s="13"/>
      <c r="AU375" s="116"/>
      <c r="AV375" s="123"/>
      <c r="AW375" s="123"/>
      <c r="AX375" s="123"/>
      <c r="BC375" s="115"/>
      <c r="BD375" s="115"/>
      <c r="BE375" s="115"/>
      <c r="BF375" s="115"/>
      <c r="BG375" s="115"/>
      <c r="BH375" s="115"/>
      <c r="BI375" s="115"/>
      <c r="BJ375" s="115"/>
      <c r="BK375" s="115"/>
      <c r="BL375" s="115"/>
      <c r="BM375" s="25"/>
      <c r="BN375" s="13"/>
      <c r="BQ375" s="114"/>
    </row>
    <row r="376" spans="1:69" ht="20.100000000000001" customHeight="1" x14ac:dyDescent="0.4">
      <c r="A376" s="117"/>
      <c r="B376" s="123"/>
      <c r="C376" s="123"/>
      <c r="D376" s="123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I376" s="115"/>
      <c r="AJ376" s="115"/>
      <c r="AK376" s="115"/>
      <c r="AL376" s="115"/>
      <c r="AM376" s="115"/>
      <c r="AN376" s="115"/>
      <c r="AO376" s="25"/>
      <c r="AP376" s="13"/>
      <c r="AU376" s="116"/>
      <c r="AV376" s="123"/>
      <c r="AW376" s="123"/>
      <c r="AX376" s="123"/>
      <c r="BC376" s="115"/>
      <c r="BD376" s="115"/>
      <c r="BE376" s="115"/>
      <c r="BF376" s="115"/>
      <c r="BG376" s="115"/>
      <c r="BH376" s="115"/>
      <c r="BI376" s="115"/>
      <c r="BJ376" s="115"/>
      <c r="BK376" s="115"/>
      <c r="BL376" s="115"/>
      <c r="BM376" s="25"/>
      <c r="BN376" s="13"/>
      <c r="BQ376" s="114"/>
    </row>
    <row r="377" spans="1:69" ht="20.100000000000001" customHeight="1" x14ac:dyDescent="0.4">
      <c r="A377" s="117"/>
      <c r="B377" s="123"/>
      <c r="C377" s="123"/>
      <c r="D377" s="123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29"/>
      <c r="AE377" s="29"/>
      <c r="AI377" s="115"/>
      <c r="AJ377" s="115"/>
      <c r="AK377" s="115"/>
      <c r="AL377" s="115"/>
      <c r="AM377" s="115"/>
      <c r="AN377" s="115"/>
      <c r="AO377" s="25"/>
      <c r="AP377" s="13"/>
      <c r="AU377" s="116"/>
      <c r="AV377" s="123"/>
      <c r="AW377" s="123"/>
      <c r="AX377" s="123"/>
      <c r="BC377" s="115"/>
      <c r="BD377" s="115"/>
      <c r="BE377" s="115"/>
      <c r="BF377" s="115"/>
      <c r="BG377" s="115"/>
      <c r="BH377" s="115"/>
      <c r="BI377" s="115"/>
      <c r="BJ377" s="115"/>
      <c r="BK377" s="115"/>
      <c r="BL377" s="115"/>
      <c r="BM377" s="25"/>
      <c r="BN377" s="13"/>
      <c r="BQ377" s="114"/>
    </row>
    <row r="378" spans="1:69" ht="20.100000000000001" customHeight="1" x14ac:dyDescent="0.4">
      <c r="A378" s="117"/>
      <c r="B378" s="123"/>
      <c r="C378" s="123"/>
      <c r="D378" s="123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27"/>
      <c r="AE378" s="29"/>
      <c r="AI378" s="115"/>
      <c r="AJ378" s="115"/>
      <c r="AK378" s="115"/>
      <c r="AL378" s="115"/>
      <c r="AM378" s="115"/>
      <c r="AN378" s="115"/>
      <c r="AO378" s="25"/>
      <c r="AP378" s="13"/>
      <c r="AU378" s="116"/>
      <c r="AV378" s="123"/>
      <c r="AW378" s="123"/>
      <c r="AX378" s="123"/>
      <c r="BC378" s="115"/>
      <c r="BD378" s="115"/>
      <c r="BE378" s="115"/>
      <c r="BF378" s="115"/>
      <c r="BG378" s="115"/>
      <c r="BH378" s="115"/>
      <c r="BI378" s="115"/>
      <c r="BJ378" s="115"/>
      <c r="BK378" s="115"/>
      <c r="BL378" s="115"/>
      <c r="BM378" s="25"/>
      <c r="BN378" s="13"/>
      <c r="BQ378" s="114"/>
    </row>
    <row r="379" spans="1:69" ht="20.100000000000001" customHeight="1" x14ac:dyDescent="0.4">
      <c r="A379" s="117"/>
      <c r="B379" s="123"/>
      <c r="C379" s="123"/>
      <c r="D379" s="123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27"/>
      <c r="AE379" s="29"/>
      <c r="AI379" s="115"/>
      <c r="AJ379" s="115"/>
      <c r="AK379" s="115"/>
      <c r="AL379" s="115"/>
      <c r="AM379" s="115"/>
      <c r="AN379" s="115"/>
      <c r="AO379" s="25"/>
      <c r="AP379" s="13"/>
      <c r="AU379" s="116"/>
      <c r="AV379" s="123"/>
      <c r="AW379" s="123"/>
      <c r="AX379" s="123"/>
      <c r="BC379" s="115"/>
      <c r="BD379" s="115"/>
      <c r="BE379" s="115"/>
      <c r="BF379" s="115"/>
      <c r="BG379" s="115"/>
      <c r="BH379" s="115"/>
      <c r="BI379" s="115"/>
      <c r="BJ379" s="115"/>
      <c r="BK379" s="115"/>
      <c r="BL379" s="115"/>
      <c r="BM379" s="25"/>
      <c r="BN379" s="13"/>
      <c r="BQ379" s="114"/>
    </row>
    <row r="380" spans="1:69" ht="20.100000000000001" customHeight="1" x14ac:dyDescent="0.4">
      <c r="A380" s="117"/>
      <c r="B380" s="123"/>
      <c r="C380" s="123"/>
      <c r="D380" s="123"/>
      <c r="AD380" s="127"/>
      <c r="AE380" s="29"/>
      <c r="AI380" s="115"/>
      <c r="AJ380" s="115"/>
      <c r="AK380" s="115"/>
      <c r="AL380" s="115"/>
      <c r="AM380" s="115"/>
      <c r="AN380" s="115"/>
      <c r="AO380" s="25"/>
      <c r="AP380" s="13"/>
      <c r="AU380" s="116"/>
      <c r="AV380" s="123"/>
      <c r="AW380" s="123"/>
      <c r="AX380" s="123"/>
      <c r="BC380" s="115"/>
      <c r="BD380" s="115"/>
      <c r="BE380" s="115"/>
      <c r="BF380" s="115"/>
      <c r="BG380" s="115"/>
      <c r="BH380" s="115"/>
      <c r="BI380" s="115"/>
      <c r="BJ380" s="115"/>
      <c r="BK380" s="115"/>
      <c r="BL380" s="115"/>
      <c r="BM380" s="25"/>
      <c r="BN380" s="13"/>
      <c r="BQ380" s="114"/>
    </row>
    <row r="381" spans="1:69" ht="20.100000000000001" customHeight="1" x14ac:dyDescent="0.4">
      <c r="A381" s="117"/>
      <c r="B381" s="123"/>
      <c r="C381" s="123"/>
      <c r="D381" s="123"/>
      <c r="Z381" s="115"/>
      <c r="AA381" s="115"/>
      <c r="AB381" s="115"/>
      <c r="AC381" s="115"/>
      <c r="AD381" s="127"/>
      <c r="AE381" s="29"/>
      <c r="AI381" s="115"/>
      <c r="AJ381" s="115"/>
      <c r="AK381" s="115"/>
      <c r="AL381" s="115"/>
      <c r="AM381" s="115"/>
      <c r="AN381" s="115"/>
      <c r="AO381" s="25"/>
      <c r="AP381" s="13"/>
      <c r="AU381" s="116"/>
      <c r="AV381" s="123"/>
      <c r="AW381" s="123"/>
      <c r="AX381" s="123"/>
      <c r="BC381" s="115"/>
      <c r="BD381" s="115"/>
      <c r="BE381" s="115"/>
      <c r="BF381" s="115"/>
      <c r="BG381" s="115"/>
      <c r="BH381" s="115"/>
      <c r="BI381" s="115"/>
      <c r="BJ381" s="115"/>
      <c r="BK381" s="115"/>
      <c r="BL381" s="115"/>
      <c r="BM381" s="25"/>
      <c r="BN381" s="13"/>
      <c r="BQ381" s="114"/>
    </row>
    <row r="382" spans="1:69" ht="20.100000000000001" customHeight="1" x14ac:dyDescent="0.4">
      <c r="A382" s="117"/>
      <c r="B382" s="123"/>
      <c r="C382" s="123"/>
      <c r="D382" s="123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27"/>
      <c r="AE382" s="29"/>
      <c r="AI382" s="115"/>
      <c r="AJ382" s="115"/>
      <c r="AK382" s="115"/>
      <c r="AL382" s="115"/>
      <c r="AM382" s="115"/>
      <c r="AN382" s="115"/>
      <c r="AO382" s="25"/>
      <c r="AP382" s="13"/>
      <c r="AU382" s="116"/>
      <c r="AV382" s="123"/>
      <c r="AW382" s="123"/>
      <c r="AX382" s="123"/>
      <c r="BC382" s="115"/>
      <c r="BD382" s="115"/>
      <c r="BE382" s="115"/>
      <c r="BF382" s="115"/>
      <c r="BG382" s="115"/>
      <c r="BH382" s="115"/>
      <c r="BI382" s="115"/>
      <c r="BJ382" s="115"/>
      <c r="BK382" s="115"/>
      <c r="BL382" s="115"/>
      <c r="BM382" s="25"/>
      <c r="BN382" s="13"/>
      <c r="BQ382" s="114"/>
    </row>
    <row r="383" spans="1:69" ht="20.100000000000001" customHeight="1" x14ac:dyDescent="0.4">
      <c r="A383" s="117"/>
      <c r="B383" s="123"/>
      <c r="C383" s="123"/>
      <c r="D383" s="123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27"/>
      <c r="AE383" s="29"/>
      <c r="AI383" s="115"/>
      <c r="AJ383" s="115"/>
      <c r="AK383" s="115"/>
      <c r="AL383" s="115"/>
      <c r="AM383" s="115"/>
      <c r="AN383" s="115"/>
      <c r="AO383" s="25"/>
      <c r="AP383" s="13"/>
      <c r="AU383" s="116"/>
      <c r="AV383" s="123"/>
      <c r="AW383" s="123"/>
      <c r="AX383" s="123"/>
      <c r="BC383" s="115"/>
      <c r="BD383" s="115"/>
      <c r="BE383" s="115"/>
      <c r="BF383" s="115"/>
      <c r="BG383" s="115"/>
      <c r="BH383" s="115"/>
      <c r="BI383" s="115"/>
      <c r="BJ383" s="115"/>
      <c r="BK383" s="115"/>
      <c r="BL383" s="115"/>
      <c r="BM383" s="25"/>
      <c r="BN383" s="13"/>
      <c r="BQ383" s="114"/>
    </row>
    <row r="384" spans="1:69" ht="20.100000000000001" customHeight="1" x14ac:dyDescent="0.4">
      <c r="A384" s="117"/>
      <c r="B384" s="123"/>
      <c r="C384" s="123"/>
      <c r="D384" s="123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I384" s="115"/>
      <c r="AJ384" s="115"/>
      <c r="AK384" s="115"/>
      <c r="AL384" s="115"/>
      <c r="AM384" s="115"/>
      <c r="AN384" s="115"/>
      <c r="AO384" s="25"/>
      <c r="AP384" s="13"/>
      <c r="AU384" s="116"/>
      <c r="AV384" s="123"/>
      <c r="AW384" s="123"/>
      <c r="AX384" s="123"/>
      <c r="BC384" s="115"/>
      <c r="BD384" s="115"/>
      <c r="BE384" s="115"/>
      <c r="BF384" s="115"/>
      <c r="BG384" s="115"/>
      <c r="BH384" s="115"/>
      <c r="BI384" s="115"/>
      <c r="BJ384" s="115"/>
      <c r="BK384" s="115"/>
      <c r="BL384" s="115"/>
      <c r="BM384" s="25"/>
      <c r="BN384" s="13"/>
      <c r="BQ384" s="114"/>
    </row>
    <row r="385" spans="1:69" ht="20.100000000000001" customHeight="1" x14ac:dyDescent="0.4">
      <c r="A385" s="117"/>
      <c r="B385" s="123"/>
      <c r="C385" s="123"/>
      <c r="D385" s="123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I385" s="115"/>
      <c r="AJ385" s="115"/>
      <c r="AK385" s="115"/>
      <c r="AL385" s="115"/>
      <c r="AM385" s="115"/>
      <c r="AN385" s="115"/>
      <c r="AO385" s="25"/>
      <c r="AP385" s="13"/>
      <c r="AU385" s="116"/>
      <c r="AV385" s="123"/>
      <c r="AW385" s="123"/>
      <c r="AX385" s="123"/>
      <c r="BC385" s="115"/>
      <c r="BD385" s="115"/>
      <c r="BE385" s="115"/>
      <c r="BF385" s="115"/>
      <c r="BG385" s="115"/>
      <c r="BH385" s="115"/>
      <c r="BI385" s="115"/>
      <c r="BJ385" s="115"/>
      <c r="BK385" s="115"/>
      <c r="BL385" s="115"/>
      <c r="BM385" s="25"/>
      <c r="BN385" s="13"/>
      <c r="BQ385" s="114"/>
    </row>
    <row r="386" spans="1:69" ht="20.100000000000001" customHeight="1" x14ac:dyDescent="0.4">
      <c r="A386" s="117"/>
      <c r="B386" s="123"/>
      <c r="C386" s="123"/>
      <c r="D386" s="123"/>
      <c r="AD386" s="127"/>
      <c r="AE386" s="29"/>
      <c r="AI386" s="115"/>
      <c r="AJ386" s="115"/>
      <c r="AK386" s="115"/>
      <c r="AL386" s="115"/>
      <c r="AM386" s="115"/>
      <c r="AN386" s="115"/>
      <c r="AO386" s="25"/>
      <c r="AP386" s="13"/>
      <c r="AU386" s="116"/>
      <c r="AV386" s="123"/>
      <c r="AW386" s="123"/>
      <c r="AX386" s="123"/>
      <c r="BC386" s="115"/>
      <c r="BD386" s="115"/>
      <c r="BE386" s="115"/>
      <c r="BF386" s="115"/>
      <c r="BG386" s="115"/>
      <c r="BH386" s="115"/>
      <c r="BI386" s="115"/>
      <c r="BJ386" s="115"/>
      <c r="BK386" s="115"/>
      <c r="BL386" s="115"/>
      <c r="BM386" s="25"/>
      <c r="BN386" s="13"/>
      <c r="BQ386" s="114"/>
    </row>
    <row r="387" spans="1:69" ht="20.100000000000001" customHeight="1" x14ac:dyDescent="0.4">
      <c r="A387" s="117"/>
      <c r="B387" s="123"/>
      <c r="C387" s="123"/>
      <c r="D387" s="123"/>
      <c r="Z387" s="115"/>
      <c r="AA387" s="115"/>
      <c r="AB387" s="115"/>
      <c r="AC387" s="115"/>
      <c r="AD387" s="127"/>
      <c r="AE387" s="29"/>
      <c r="AI387" s="115"/>
      <c r="AJ387" s="115"/>
      <c r="AK387" s="115"/>
      <c r="AL387" s="115"/>
      <c r="AM387" s="115"/>
      <c r="AN387" s="115"/>
      <c r="AO387" s="25"/>
      <c r="AP387" s="13"/>
      <c r="AU387" s="116"/>
      <c r="AV387" s="123"/>
      <c r="AW387" s="123"/>
      <c r="AX387" s="123"/>
      <c r="BC387" s="115"/>
      <c r="BD387" s="115"/>
      <c r="BE387" s="115"/>
      <c r="BF387" s="115"/>
      <c r="BG387" s="115"/>
      <c r="BH387" s="115"/>
      <c r="BI387" s="115"/>
      <c r="BJ387" s="115"/>
      <c r="BK387" s="115"/>
      <c r="BL387" s="115"/>
      <c r="BM387" s="25"/>
      <c r="BN387" s="13"/>
      <c r="BQ387" s="114"/>
    </row>
    <row r="388" spans="1:69" ht="20.100000000000001" customHeight="1" x14ac:dyDescent="0.4">
      <c r="A388" s="117"/>
      <c r="B388" s="123"/>
      <c r="C388" s="123"/>
      <c r="D388" s="123"/>
      <c r="Z388" s="115"/>
      <c r="AA388" s="115"/>
      <c r="AB388" s="115"/>
      <c r="AC388" s="115"/>
      <c r="AD388" s="29"/>
      <c r="AE388" s="29"/>
      <c r="AI388" s="115"/>
      <c r="AJ388" s="115"/>
      <c r="AK388" s="115"/>
      <c r="AL388" s="115"/>
      <c r="AM388" s="115"/>
      <c r="AN388" s="115"/>
      <c r="AO388" s="25"/>
      <c r="AP388" s="13"/>
      <c r="AU388" s="116"/>
      <c r="AV388" s="123"/>
      <c r="AW388" s="123"/>
      <c r="AX388" s="123"/>
      <c r="BC388" s="115"/>
      <c r="BD388" s="115"/>
      <c r="BE388" s="115"/>
      <c r="BF388" s="115"/>
      <c r="BG388" s="115"/>
      <c r="BH388" s="115"/>
      <c r="BI388" s="115"/>
      <c r="BJ388" s="115"/>
      <c r="BK388" s="115"/>
      <c r="BL388" s="115"/>
      <c r="BM388" s="25"/>
      <c r="BN388" s="13"/>
      <c r="BQ388" s="114"/>
    </row>
    <row r="389" spans="1:69" ht="20.100000000000001" customHeight="1" x14ac:dyDescent="0.4">
      <c r="A389" s="117"/>
      <c r="B389" s="123"/>
      <c r="C389" s="123"/>
      <c r="D389" s="123"/>
      <c r="Z389" s="115"/>
      <c r="AA389" s="115"/>
      <c r="AB389" s="115"/>
      <c r="AC389" s="115"/>
      <c r="AD389" s="127"/>
      <c r="AE389" s="29"/>
      <c r="AI389" s="115"/>
      <c r="AJ389" s="115"/>
      <c r="AK389" s="115"/>
      <c r="AL389" s="115"/>
      <c r="AM389" s="115"/>
      <c r="AN389" s="115"/>
      <c r="AO389" s="25"/>
      <c r="AP389" s="13"/>
      <c r="AU389" s="116"/>
      <c r="AV389" s="123"/>
      <c r="AW389" s="123"/>
      <c r="AX389" s="123"/>
      <c r="BC389" s="115"/>
      <c r="BD389" s="115"/>
      <c r="BE389" s="115"/>
      <c r="BF389" s="115"/>
      <c r="BG389" s="115"/>
      <c r="BH389" s="115"/>
      <c r="BI389" s="115"/>
      <c r="BJ389" s="115"/>
      <c r="BK389" s="115"/>
      <c r="BL389" s="115"/>
      <c r="BM389" s="25"/>
      <c r="BN389" s="13"/>
      <c r="BQ389" s="114"/>
    </row>
    <row r="390" spans="1:69" ht="20.100000000000001" customHeight="1" x14ac:dyDescent="0.4">
      <c r="A390" s="117"/>
      <c r="B390" s="123"/>
      <c r="C390" s="123"/>
      <c r="D390" s="123"/>
      <c r="Z390" s="115"/>
      <c r="AA390" s="115"/>
      <c r="AB390" s="115"/>
      <c r="AC390" s="115"/>
      <c r="AD390" s="29"/>
      <c r="AE390" s="29"/>
      <c r="AI390" s="115"/>
      <c r="AJ390" s="115"/>
      <c r="AK390" s="115"/>
      <c r="AL390" s="115"/>
      <c r="AM390" s="115"/>
      <c r="AN390" s="115"/>
      <c r="AO390" s="25"/>
      <c r="AP390" s="13"/>
      <c r="AU390" s="116"/>
      <c r="AV390" s="123"/>
      <c r="AW390" s="123"/>
      <c r="AX390" s="123"/>
      <c r="BC390" s="115"/>
      <c r="BD390" s="115"/>
      <c r="BE390" s="115"/>
      <c r="BF390" s="115"/>
      <c r="BG390" s="115"/>
      <c r="BH390" s="115"/>
      <c r="BI390" s="115"/>
      <c r="BJ390" s="115"/>
      <c r="BK390" s="115"/>
      <c r="BL390" s="115"/>
      <c r="BM390" s="25"/>
      <c r="BN390" s="13"/>
      <c r="BQ390" s="114"/>
    </row>
    <row r="391" spans="1:69" ht="20.100000000000001" customHeight="1" x14ac:dyDescent="0.4">
      <c r="A391" s="117"/>
      <c r="B391" s="123"/>
      <c r="C391" s="123"/>
      <c r="D391" s="123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I391" s="115"/>
      <c r="AJ391" s="115"/>
      <c r="AK391" s="115"/>
      <c r="AL391" s="115"/>
      <c r="AM391" s="115"/>
      <c r="AN391" s="115"/>
      <c r="AO391" s="25"/>
      <c r="AP391" s="13"/>
      <c r="AU391" s="116"/>
      <c r="AV391" s="123"/>
      <c r="AW391" s="123"/>
      <c r="AX391" s="123"/>
      <c r="BC391" s="115"/>
      <c r="BD391" s="115"/>
      <c r="BE391" s="115"/>
      <c r="BF391" s="115"/>
      <c r="BG391" s="115"/>
      <c r="BH391" s="115"/>
      <c r="BI391" s="115"/>
      <c r="BJ391" s="115"/>
      <c r="BK391" s="115"/>
      <c r="BL391" s="115"/>
      <c r="BM391" s="25"/>
      <c r="BN391" s="13"/>
      <c r="BQ391" s="114"/>
    </row>
    <row r="392" spans="1:69" ht="20.100000000000001" customHeight="1" x14ac:dyDescent="0.4">
      <c r="A392" s="117"/>
      <c r="B392" s="123"/>
      <c r="C392" s="123"/>
      <c r="D392" s="123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27"/>
      <c r="AE392" s="29"/>
      <c r="AI392" s="115"/>
      <c r="AJ392" s="115"/>
      <c r="AK392" s="115"/>
      <c r="AL392" s="115"/>
      <c r="AM392" s="115"/>
      <c r="AN392" s="115"/>
      <c r="AO392" s="25"/>
      <c r="AP392" s="13"/>
      <c r="AU392" s="116"/>
      <c r="AV392" s="123"/>
      <c r="AW392" s="123"/>
      <c r="AX392" s="123"/>
      <c r="BC392" s="115"/>
      <c r="BD392" s="115"/>
      <c r="BE392" s="115"/>
      <c r="BF392" s="115"/>
      <c r="BG392" s="115"/>
      <c r="BH392" s="115"/>
      <c r="BI392" s="115"/>
      <c r="BJ392" s="115"/>
      <c r="BK392" s="115"/>
      <c r="BL392" s="115"/>
      <c r="BM392" s="25"/>
      <c r="BN392" s="13"/>
      <c r="BQ392" s="114"/>
    </row>
    <row r="393" spans="1:69" ht="20.100000000000001" customHeight="1" x14ac:dyDescent="0.4">
      <c r="A393" s="117"/>
      <c r="B393" s="123"/>
      <c r="C393" s="123"/>
      <c r="D393" s="123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I393" s="115"/>
      <c r="AJ393" s="115"/>
      <c r="AK393" s="115"/>
      <c r="AL393" s="115"/>
      <c r="AM393" s="115"/>
      <c r="AN393" s="115"/>
      <c r="AO393" s="25"/>
      <c r="AP393" s="13"/>
      <c r="AU393" s="116"/>
      <c r="AV393" s="123"/>
      <c r="AW393" s="123"/>
      <c r="AX393" s="123"/>
      <c r="BC393" s="115"/>
      <c r="BD393" s="115"/>
      <c r="BE393" s="115"/>
      <c r="BF393" s="115"/>
      <c r="BG393" s="115"/>
      <c r="BH393" s="115"/>
      <c r="BI393" s="115"/>
      <c r="BJ393" s="115"/>
      <c r="BK393" s="115"/>
      <c r="BL393" s="115"/>
      <c r="BM393" s="25"/>
      <c r="BN393" s="13"/>
      <c r="BQ393" s="114"/>
    </row>
    <row r="394" spans="1:69" ht="20.100000000000001" customHeight="1" x14ac:dyDescent="0.4">
      <c r="A394" s="117"/>
      <c r="B394" s="123"/>
      <c r="C394" s="123"/>
      <c r="D394" s="123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27"/>
      <c r="AE394" s="29"/>
      <c r="AI394" s="115"/>
      <c r="AJ394" s="115"/>
      <c r="AK394" s="115"/>
      <c r="AL394" s="115"/>
      <c r="AM394" s="115"/>
      <c r="AN394" s="115"/>
      <c r="AO394" s="25"/>
      <c r="AP394" s="13"/>
      <c r="AU394" s="116"/>
      <c r="AV394" s="123"/>
      <c r="AW394" s="123"/>
      <c r="AX394" s="123"/>
      <c r="BC394" s="115"/>
      <c r="BD394" s="115"/>
      <c r="BE394" s="115"/>
      <c r="BF394" s="115"/>
      <c r="BG394" s="115"/>
      <c r="BH394" s="115"/>
      <c r="BI394" s="115"/>
      <c r="BJ394" s="115"/>
      <c r="BK394" s="115"/>
      <c r="BL394" s="115"/>
      <c r="BM394" s="25"/>
      <c r="BN394" s="13"/>
      <c r="BQ394" s="114"/>
    </row>
    <row r="395" spans="1:69" ht="20.100000000000001" customHeight="1" x14ac:dyDescent="0.4">
      <c r="A395" s="117"/>
      <c r="B395" s="123"/>
      <c r="C395" s="123"/>
      <c r="D395" s="123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I395" s="115"/>
      <c r="AJ395" s="115"/>
      <c r="AK395" s="115"/>
      <c r="AL395" s="115"/>
      <c r="AM395" s="115"/>
      <c r="AN395" s="115"/>
      <c r="AO395" s="25"/>
      <c r="AP395" s="13"/>
      <c r="AU395" s="116"/>
      <c r="AV395" s="123"/>
      <c r="AW395" s="123"/>
      <c r="AX395" s="123"/>
      <c r="BC395" s="115"/>
      <c r="BD395" s="115"/>
      <c r="BE395" s="115"/>
      <c r="BF395" s="115"/>
      <c r="BG395" s="115"/>
      <c r="BH395" s="115"/>
      <c r="BI395" s="115"/>
      <c r="BJ395" s="115"/>
      <c r="BK395" s="115"/>
      <c r="BL395" s="115"/>
      <c r="BM395" s="25"/>
      <c r="BN395" s="13"/>
      <c r="BQ395" s="114"/>
    </row>
    <row r="396" spans="1:69" ht="20.100000000000001" customHeight="1" x14ac:dyDescent="0.4">
      <c r="A396" s="117"/>
      <c r="B396" s="123"/>
      <c r="C396" s="123"/>
      <c r="D396" s="123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27"/>
      <c r="AE396" s="29"/>
      <c r="AI396" s="115"/>
      <c r="AJ396" s="115"/>
      <c r="AK396" s="115"/>
      <c r="AL396" s="115"/>
      <c r="AM396" s="115"/>
      <c r="AN396" s="115"/>
      <c r="AO396" s="25"/>
      <c r="AP396" s="13"/>
      <c r="AU396" s="116"/>
      <c r="AV396" s="123"/>
      <c r="AW396" s="123"/>
      <c r="AX396" s="123"/>
      <c r="BC396" s="115"/>
      <c r="BD396" s="115"/>
      <c r="BE396" s="115"/>
      <c r="BF396" s="115"/>
      <c r="BG396" s="115"/>
      <c r="BH396" s="115"/>
      <c r="BI396" s="115"/>
      <c r="BJ396" s="115"/>
      <c r="BK396" s="115"/>
      <c r="BL396" s="115"/>
      <c r="BM396" s="25"/>
      <c r="BN396" s="13"/>
      <c r="BQ396" s="114"/>
    </row>
    <row r="397" spans="1:69" ht="20.100000000000001" customHeight="1" x14ac:dyDescent="0.4">
      <c r="A397" s="117"/>
      <c r="B397" s="123"/>
      <c r="C397" s="123"/>
      <c r="D397" s="123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27"/>
      <c r="AE397" s="29"/>
      <c r="AI397" s="115"/>
      <c r="AJ397" s="115"/>
      <c r="AK397" s="115"/>
      <c r="AL397" s="115"/>
      <c r="AM397" s="115"/>
      <c r="AN397" s="115"/>
      <c r="AO397" s="25"/>
      <c r="AP397" s="13"/>
      <c r="AU397" s="116"/>
      <c r="AV397" s="123"/>
      <c r="AW397" s="123"/>
      <c r="AX397" s="123"/>
      <c r="BC397" s="115"/>
      <c r="BD397" s="115"/>
      <c r="BE397" s="115"/>
      <c r="BF397" s="115"/>
      <c r="BG397" s="115"/>
      <c r="BH397" s="115"/>
      <c r="BI397" s="115"/>
      <c r="BJ397" s="115"/>
      <c r="BK397" s="115"/>
      <c r="BL397" s="115"/>
      <c r="BM397" s="25"/>
      <c r="BN397" s="13"/>
      <c r="BQ397" s="114"/>
    </row>
    <row r="398" spans="1:69" ht="20.100000000000001" customHeight="1" x14ac:dyDescent="0.4">
      <c r="A398" s="117"/>
      <c r="B398" s="123"/>
      <c r="C398" s="123"/>
      <c r="D398" s="123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29"/>
      <c r="AE398" s="29"/>
      <c r="AI398" s="115"/>
      <c r="AJ398" s="115"/>
      <c r="AK398" s="115"/>
      <c r="AL398" s="115"/>
      <c r="AM398" s="115"/>
      <c r="AN398" s="115"/>
      <c r="AO398" s="25"/>
      <c r="AP398" s="13"/>
      <c r="AU398" s="116"/>
      <c r="AV398" s="123"/>
      <c r="AW398" s="123"/>
      <c r="AX398" s="123"/>
      <c r="BC398" s="115"/>
      <c r="BD398" s="115"/>
      <c r="BE398" s="115"/>
      <c r="BF398" s="115"/>
      <c r="BG398" s="115"/>
      <c r="BH398" s="115"/>
      <c r="BI398" s="115"/>
      <c r="BJ398" s="115"/>
      <c r="BK398" s="115"/>
      <c r="BL398" s="115"/>
      <c r="BM398" s="25"/>
      <c r="BN398" s="13"/>
      <c r="BQ398" s="114"/>
    </row>
    <row r="399" spans="1:69" ht="20.100000000000001" customHeight="1" x14ac:dyDescent="0.4">
      <c r="A399" s="117"/>
      <c r="B399" s="123"/>
      <c r="C399" s="123"/>
      <c r="D399" s="123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27"/>
      <c r="AE399" s="29"/>
      <c r="AI399" s="115"/>
      <c r="AJ399" s="115"/>
      <c r="AK399" s="115"/>
      <c r="AL399" s="115"/>
      <c r="AM399" s="115"/>
      <c r="AN399" s="115"/>
      <c r="AO399" s="25"/>
      <c r="AP399" s="13"/>
      <c r="AU399" s="116"/>
      <c r="AV399" s="123"/>
      <c r="AW399" s="123"/>
      <c r="AX399" s="123"/>
      <c r="BC399" s="115"/>
      <c r="BD399" s="115"/>
      <c r="BE399" s="115"/>
      <c r="BF399" s="115"/>
      <c r="BG399" s="115"/>
      <c r="BH399" s="115"/>
      <c r="BI399" s="115"/>
      <c r="BJ399" s="115"/>
      <c r="BK399" s="115"/>
      <c r="BL399" s="115"/>
      <c r="BM399" s="25"/>
      <c r="BN399" s="13"/>
      <c r="BQ399" s="114"/>
    </row>
    <row r="400" spans="1:69" ht="20.100000000000001" customHeight="1" x14ac:dyDescent="0.4">
      <c r="A400" s="117"/>
      <c r="B400" s="123"/>
      <c r="C400" s="123"/>
      <c r="D400" s="123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29"/>
      <c r="AE400" s="29"/>
      <c r="AI400" s="115"/>
      <c r="AJ400" s="115"/>
      <c r="AK400" s="115"/>
      <c r="AL400" s="115"/>
      <c r="AM400" s="115"/>
      <c r="AN400" s="115"/>
      <c r="AO400" s="25"/>
      <c r="AP400" s="13"/>
      <c r="AU400" s="116"/>
      <c r="AV400" s="123"/>
      <c r="AW400" s="123"/>
      <c r="AX400" s="123"/>
      <c r="BC400" s="115"/>
      <c r="BD400" s="115"/>
      <c r="BE400" s="115"/>
      <c r="BF400" s="115"/>
      <c r="BG400" s="115"/>
      <c r="BH400" s="115"/>
      <c r="BI400" s="115"/>
      <c r="BJ400" s="115"/>
      <c r="BK400" s="115"/>
      <c r="BL400" s="115"/>
      <c r="BM400" s="25"/>
      <c r="BN400" s="13"/>
      <c r="BQ400" s="114"/>
    </row>
    <row r="401" spans="1:69" ht="20.100000000000001" customHeight="1" x14ac:dyDescent="0.4">
      <c r="A401" s="117"/>
      <c r="B401" s="123"/>
      <c r="C401" s="123"/>
      <c r="D401" s="123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29"/>
      <c r="AE401" s="29"/>
      <c r="AI401" s="115"/>
      <c r="AJ401" s="115"/>
      <c r="AK401" s="115"/>
      <c r="AL401" s="115"/>
      <c r="AM401" s="115"/>
      <c r="AN401" s="115"/>
      <c r="AO401" s="25"/>
      <c r="AP401" s="13"/>
      <c r="AU401" s="116"/>
      <c r="AV401" s="123"/>
      <c r="AW401" s="123"/>
      <c r="AX401" s="123"/>
      <c r="BC401" s="115"/>
      <c r="BD401" s="115"/>
      <c r="BE401" s="115"/>
      <c r="BF401" s="115"/>
      <c r="BG401" s="115"/>
      <c r="BH401" s="115"/>
      <c r="BI401" s="115"/>
      <c r="BJ401" s="115"/>
      <c r="BK401" s="115"/>
      <c r="BL401" s="115"/>
      <c r="BM401" s="25"/>
      <c r="BN401" s="13"/>
      <c r="BQ401" s="114"/>
    </row>
    <row r="402" spans="1:69" ht="20.100000000000001" customHeight="1" x14ac:dyDescent="0.4">
      <c r="A402" s="117"/>
      <c r="B402" s="123"/>
      <c r="C402" s="123"/>
      <c r="D402" s="123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27"/>
      <c r="AE402" s="29"/>
      <c r="AI402" s="115"/>
      <c r="AJ402" s="115"/>
      <c r="AK402" s="115"/>
      <c r="AL402" s="115"/>
      <c r="AM402" s="115"/>
      <c r="AN402" s="115"/>
      <c r="AO402" s="25"/>
      <c r="AP402" s="13"/>
      <c r="AU402" s="116"/>
      <c r="AV402" s="123"/>
      <c r="AW402" s="123"/>
      <c r="AX402" s="123"/>
      <c r="BC402" s="115"/>
      <c r="BD402" s="115"/>
      <c r="BE402" s="115"/>
      <c r="BF402" s="115"/>
      <c r="BG402" s="115"/>
      <c r="BH402" s="115"/>
      <c r="BI402" s="115"/>
      <c r="BJ402" s="115"/>
      <c r="BK402" s="115"/>
      <c r="BL402" s="115"/>
      <c r="BM402" s="25"/>
      <c r="BN402" s="13"/>
      <c r="BQ402" s="114"/>
    </row>
    <row r="403" spans="1:69" ht="20.100000000000001" customHeight="1" x14ac:dyDescent="0.4">
      <c r="A403" s="117"/>
      <c r="B403" s="123"/>
      <c r="C403" s="123"/>
      <c r="D403" s="123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29"/>
      <c r="AE403" s="29"/>
      <c r="AI403" s="115"/>
      <c r="AJ403" s="115"/>
      <c r="AK403" s="115"/>
      <c r="AL403" s="115"/>
      <c r="AM403" s="115"/>
      <c r="AN403" s="115"/>
      <c r="AO403" s="25"/>
      <c r="AP403" s="13"/>
      <c r="AU403" s="116"/>
      <c r="AV403" s="123"/>
      <c r="AW403" s="123"/>
      <c r="AX403" s="123"/>
      <c r="BC403" s="115"/>
      <c r="BD403" s="115"/>
      <c r="BE403" s="115"/>
      <c r="BF403" s="115"/>
      <c r="BG403" s="115"/>
      <c r="BH403" s="115"/>
      <c r="BI403" s="115"/>
      <c r="BJ403" s="115"/>
      <c r="BK403" s="115"/>
      <c r="BL403" s="115"/>
      <c r="BM403" s="25"/>
      <c r="BN403" s="13"/>
      <c r="BQ403" s="114"/>
    </row>
    <row r="404" spans="1:69" ht="20.100000000000001" customHeight="1" x14ac:dyDescent="0.4">
      <c r="A404" s="117"/>
      <c r="B404" s="123"/>
      <c r="C404" s="123"/>
      <c r="D404" s="123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27"/>
      <c r="AE404" s="29"/>
      <c r="AI404" s="115"/>
      <c r="AJ404" s="115"/>
      <c r="AK404" s="115"/>
      <c r="AL404" s="115"/>
      <c r="AM404" s="115"/>
      <c r="AN404" s="115"/>
      <c r="AO404" s="25"/>
      <c r="AP404" s="13"/>
      <c r="AU404" s="116"/>
      <c r="AV404" s="123"/>
      <c r="AW404" s="123"/>
      <c r="AX404" s="123"/>
      <c r="BC404" s="115"/>
      <c r="BD404" s="115"/>
      <c r="BE404" s="115"/>
      <c r="BF404" s="115"/>
      <c r="BG404" s="115"/>
      <c r="BH404" s="115"/>
      <c r="BI404" s="115"/>
      <c r="BJ404" s="115"/>
      <c r="BK404" s="115"/>
      <c r="BL404" s="115"/>
      <c r="BM404" s="25"/>
      <c r="BN404" s="13"/>
      <c r="BQ404" s="114"/>
    </row>
    <row r="405" spans="1:69" ht="20.100000000000001" customHeight="1" x14ac:dyDescent="0.4">
      <c r="A405" s="117"/>
      <c r="B405" s="123"/>
      <c r="C405" s="123"/>
      <c r="D405" s="123"/>
      <c r="AD405" s="127"/>
      <c r="AE405" s="127"/>
      <c r="AI405" s="115"/>
      <c r="AJ405" s="115"/>
      <c r="AK405" s="115"/>
      <c r="AL405" s="115"/>
      <c r="AM405" s="115"/>
      <c r="AN405" s="115"/>
      <c r="AO405" s="25">
        <v>45672</v>
      </c>
      <c r="AP405" s="13" t="s">
        <v>146</v>
      </c>
      <c r="AU405" s="116"/>
      <c r="AV405" s="123"/>
      <c r="AW405" s="123"/>
      <c r="AX405" s="123"/>
      <c r="BC405" s="115"/>
      <c r="BD405" s="115"/>
      <c r="BE405" s="115"/>
      <c r="BF405" s="115"/>
      <c r="BG405" s="115"/>
      <c r="BH405" s="115"/>
      <c r="BI405" s="115"/>
      <c r="BJ405" s="115"/>
      <c r="BK405" s="115"/>
      <c r="BL405" s="115"/>
      <c r="BM405" s="25"/>
      <c r="BN405" s="13"/>
      <c r="BQ405" s="114"/>
    </row>
    <row r="406" spans="1:69" ht="20.100000000000001" customHeight="1" x14ac:dyDescent="0.4">
      <c r="A406" s="117"/>
      <c r="B406" s="123"/>
      <c r="C406" s="123"/>
      <c r="D406" s="123"/>
      <c r="Y406" s="115"/>
      <c r="Z406" s="115"/>
      <c r="AA406" s="115"/>
      <c r="AB406" s="115"/>
      <c r="AC406" s="115"/>
      <c r="AD406" s="29"/>
      <c r="AE406" s="29"/>
      <c r="AI406" s="115"/>
      <c r="AJ406" s="115"/>
      <c r="AK406" s="115"/>
      <c r="AL406" s="115"/>
      <c r="AM406" s="115"/>
      <c r="AN406" s="115"/>
      <c r="AO406" s="25"/>
      <c r="AP406" s="13"/>
      <c r="AU406" s="116"/>
      <c r="AV406" s="123"/>
      <c r="AW406" s="123"/>
      <c r="AX406" s="123"/>
      <c r="BC406" s="115"/>
      <c r="BD406" s="115"/>
      <c r="BE406" s="115"/>
      <c r="BF406" s="115"/>
      <c r="BG406" s="115"/>
      <c r="BH406" s="115"/>
      <c r="BI406" s="115"/>
      <c r="BJ406" s="115"/>
      <c r="BK406" s="115"/>
      <c r="BL406" s="115"/>
      <c r="BM406" s="25"/>
      <c r="BN406" s="13"/>
      <c r="BQ406" s="114"/>
    </row>
    <row r="407" spans="1:69" ht="20.100000000000001" customHeight="1" x14ac:dyDescent="0.4">
      <c r="A407" s="117"/>
      <c r="B407" s="123"/>
      <c r="C407" s="123"/>
      <c r="D407" s="123"/>
      <c r="V407" s="115"/>
      <c r="W407" s="115"/>
      <c r="X407" s="115"/>
      <c r="Y407" s="115"/>
      <c r="Z407" s="115"/>
      <c r="AA407" s="115"/>
      <c r="AB407" s="115"/>
      <c r="AC407" s="115"/>
      <c r="AD407" s="127"/>
      <c r="AE407" s="29"/>
      <c r="AI407" s="115"/>
      <c r="AJ407" s="115"/>
      <c r="AK407" s="115"/>
      <c r="AL407" s="115"/>
      <c r="AM407" s="115"/>
      <c r="AN407" s="115"/>
      <c r="AO407" s="25"/>
      <c r="AP407" s="13"/>
      <c r="AU407" s="116"/>
      <c r="AV407" s="123"/>
      <c r="AW407" s="123"/>
      <c r="AX407" s="123"/>
      <c r="BC407" s="115"/>
      <c r="BD407" s="115"/>
      <c r="BE407" s="115"/>
      <c r="BF407" s="115"/>
      <c r="BG407" s="115"/>
      <c r="BH407" s="115"/>
      <c r="BI407" s="115"/>
      <c r="BJ407" s="115"/>
      <c r="BK407" s="115"/>
      <c r="BL407" s="115"/>
      <c r="BM407" s="25"/>
      <c r="BN407" s="13"/>
      <c r="BQ407" s="114"/>
    </row>
    <row r="408" spans="1:69" ht="20.100000000000001" customHeight="1" x14ac:dyDescent="0.4">
      <c r="A408" s="117"/>
      <c r="B408" s="123"/>
      <c r="C408" s="123"/>
      <c r="D408" s="123"/>
      <c r="V408" s="115"/>
      <c r="W408" s="115"/>
      <c r="X408" s="115"/>
      <c r="Y408" s="115"/>
      <c r="Z408" s="115"/>
      <c r="AA408" s="115"/>
      <c r="AB408" s="115"/>
      <c r="AC408" s="115"/>
      <c r="AD408" s="29"/>
      <c r="AE408" s="29"/>
      <c r="AI408" s="115"/>
      <c r="AJ408" s="115"/>
      <c r="AK408" s="115"/>
      <c r="AL408" s="115"/>
      <c r="AM408" s="115"/>
      <c r="AN408" s="115"/>
      <c r="AO408" s="25"/>
      <c r="AP408" s="13"/>
      <c r="AU408" s="116"/>
      <c r="AV408" s="123"/>
      <c r="AW408" s="123"/>
      <c r="AX408" s="123"/>
      <c r="BC408" s="115"/>
      <c r="BD408" s="115"/>
      <c r="BE408" s="115"/>
      <c r="BF408" s="115"/>
      <c r="BG408" s="115"/>
      <c r="BH408" s="115"/>
      <c r="BI408" s="115"/>
      <c r="BJ408" s="115"/>
      <c r="BK408" s="115"/>
      <c r="BL408" s="115"/>
      <c r="BM408" s="25"/>
      <c r="BN408" s="13"/>
      <c r="BQ408" s="114"/>
    </row>
    <row r="409" spans="1:69" ht="20.100000000000001" customHeight="1" x14ac:dyDescent="0.4">
      <c r="A409" s="117"/>
      <c r="B409" s="123"/>
      <c r="C409" s="123"/>
      <c r="D409" s="123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I409" s="115"/>
      <c r="AJ409" s="115"/>
      <c r="AK409" s="115"/>
      <c r="AL409" s="115"/>
      <c r="AM409" s="115"/>
      <c r="AN409" s="115"/>
      <c r="AO409" s="25"/>
      <c r="AP409" s="13"/>
      <c r="AU409" s="116"/>
      <c r="AV409" s="123"/>
      <c r="AW409" s="123"/>
      <c r="AX409" s="123"/>
      <c r="BC409" s="115"/>
      <c r="BD409" s="115"/>
      <c r="BE409" s="115"/>
      <c r="BF409" s="115"/>
      <c r="BG409" s="115"/>
      <c r="BH409" s="115"/>
      <c r="BI409" s="115"/>
      <c r="BJ409" s="115"/>
      <c r="BK409" s="115"/>
      <c r="BL409" s="115"/>
      <c r="BM409" s="25"/>
      <c r="BN409" s="13"/>
      <c r="BQ409" s="114"/>
    </row>
    <row r="410" spans="1:69" ht="20.100000000000001" customHeight="1" x14ac:dyDescent="0.4">
      <c r="A410" s="117"/>
      <c r="B410" s="123"/>
      <c r="C410" s="123"/>
      <c r="D410" s="123"/>
      <c r="AD410" s="127"/>
      <c r="AE410" s="29"/>
      <c r="AI410" s="115"/>
      <c r="AJ410" s="115"/>
      <c r="AK410" s="115"/>
      <c r="AL410" s="115"/>
      <c r="AM410" s="115"/>
      <c r="AN410" s="115"/>
      <c r="AO410" s="25">
        <v>45672</v>
      </c>
      <c r="AP410" s="13" t="s">
        <v>146</v>
      </c>
      <c r="AU410" s="116"/>
      <c r="AV410" s="123"/>
      <c r="AW410" s="123"/>
      <c r="AX410" s="123"/>
      <c r="BC410" s="115"/>
      <c r="BD410" s="115"/>
      <c r="BE410" s="115"/>
      <c r="BF410" s="115"/>
      <c r="BG410" s="115"/>
      <c r="BH410" s="115"/>
      <c r="BI410" s="115"/>
      <c r="BJ410" s="115"/>
      <c r="BK410" s="115"/>
      <c r="BL410" s="115"/>
      <c r="BM410" s="25"/>
      <c r="BN410" s="13"/>
      <c r="BQ410" s="114"/>
    </row>
    <row r="411" spans="1:69" ht="20.100000000000001" customHeight="1" x14ac:dyDescent="0.4">
      <c r="A411" s="117"/>
      <c r="B411" s="123"/>
      <c r="C411" s="123"/>
      <c r="D411" s="123"/>
      <c r="AD411" s="127"/>
      <c r="AE411" s="29"/>
      <c r="AI411" s="115"/>
      <c r="AJ411" s="115"/>
      <c r="AK411" s="115"/>
      <c r="AL411" s="115"/>
      <c r="AM411" s="115"/>
      <c r="AN411" s="115"/>
      <c r="AO411" s="25"/>
      <c r="AP411" s="13"/>
      <c r="AU411" s="116"/>
      <c r="AV411" s="123"/>
      <c r="AW411" s="123"/>
      <c r="AX411" s="123"/>
      <c r="BC411" s="115"/>
      <c r="BD411" s="115"/>
      <c r="BE411" s="115"/>
      <c r="BF411" s="115"/>
      <c r="BG411" s="115"/>
      <c r="BH411" s="115"/>
      <c r="BI411" s="115"/>
      <c r="BJ411" s="115"/>
      <c r="BK411" s="115"/>
      <c r="BL411" s="115"/>
      <c r="BM411" s="25"/>
      <c r="BN411" s="13"/>
      <c r="BQ411" s="114"/>
    </row>
    <row r="412" spans="1:69" ht="20.100000000000001" customHeight="1" x14ac:dyDescent="0.4">
      <c r="A412" s="117"/>
      <c r="B412" s="123"/>
      <c r="C412" s="123"/>
      <c r="D412" s="123"/>
      <c r="Y412" s="115"/>
      <c r="Z412" s="115"/>
      <c r="AA412" s="115"/>
      <c r="AB412" s="115"/>
      <c r="AC412" s="115"/>
      <c r="AD412" s="29"/>
      <c r="AE412" s="29"/>
      <c r="AI412" s="115"/>
      <c r="AJ412" s="115"/>
      <c r="AK412" s="115"/>
      <c r="AL412" s="115"/>
      <c r="AM412" s="115"/>
      <c r="AN412" s="115"/>
      <c r="AO412" s="25"/>
      <c r="AP412" s="13"/>
      <c r="AU412" s="116"/>
      <c r="AV412" s="123"/>
      <c r="AW412" s="123"/>
      <c r="AX412" s="123"/>
      <c r="BC412" s="115"/>
      <c r="BD412" s="115"/>
      <c r="BE412" s="115"/>
      <c r="BF412" s="115"/>
      <c r="BG412" s="115"/>
      <c r="BH412" s="115"/>
      <c r="BI412" s="115"/>
      <c r="BJ412" s="115"/>
      <c r="BK412" s="115"/>
      <c r="BL412" s="115"/>
      <c r="BM412" s="25"/>
      <c r="BN412" s="13"/>
      <c r="BQ412" s="114"/>
    </row>
    <row r="413" spans="1:69" ht="20.100000000000001" customHeight="1" x14ac:dyDescent="0.4">
      <c r="A413" s="117"/>
      <c r="B413" s="123"/>
      <c r="C413" s="123"/>
      <c r="D413" s="123"/>
      <c r="AD413" s="127"/>
      <c r="AE413" s="29"/>
      <c r="AI413" s="115"/>
      <c r="AJ413" s="115"/>
      <c r="AK413" s="115"/>
      <c r="AL413" s="115"/>
      <c r="AM413" s="115"/>
      <c r="AN413" s="115"/>
      <c r="AO413" s="25">
        <v>45672</v>
      </c>
      <c r="AP413" s="25" t="s">
        <v>147</v>
      </c>
      <c r="AU413" s="116"/>
      <c r="AV413" s="123"/>
      <c r="AW413" s="123"/>
      <c r="AX413" s="123"/>
      <c r="BC413" s="115"/>
      <c r="BD413" s="115"/>
      <c r="BE413" s="115"/>
      <c r="BF413" s="115"/>
      <c r="BG413" s="115"/>
      <c r="BH413" s="115"/>
      <c r="BI413" s="115"/>
      <c r="BJ413" s="115"/>
      <c r="BK413" s="115"/>
      <c r="BL413" s="115"/>
      <c r="BM413" s="25"/>
      <c r="BN413" s="13"/>
      <c r="BQ413" s="114"/>
    </row>
    <row r="414" spans="1:69" ht="20.100000000000001" customHeight="1" x14ac:dyDescent="0.4">
      <c r="A414" s="117"/>
      <c r="B414" s="123"/>
      <c r="C414" s="123"/>
      <c r="D414" s="123"/>
      <c r="AD414" s="127"/>
      <c r="AE414" s="29"/>
      <c r="AI414" s="115"/>
      <c r="AJ414" s="115"/>
      <c r="AK414" s="115"/>
      <c r="AL414" s="115"/>
      <c r="AM414" s="115"/>
      <c r="AN414" s="115"/>
      <c r="AO414" s="25"/>
      <c r="AP414" s="25"/>
      <c r="AU414" s="116"/>
      <c r="AV414" s="123"/>
      <c r="AW414" s="123"/>
      <c r="AX414" s="123"/>
      <c r="BC414" s="115"/>
      <c r="BD414" s="115"/>
      <c r="BE414" s="115"/>
      <c r="BF414" s="115"/>
      <c r="BG414" s="115"/>
      <c r="BH414" s="115"/>
      <c r="BI414" s="115"/>
      <c r="BJ414" s="115"/>
      <c r="BK414" s="115"/>
      <c r="BL414" s="115"/>
      <c r="BM414" s="25"/>
      <c r="BN414" s="13"/>
      <c r="BQ414" s="114"/>
    </row>
    <row r="415" spans="1:69" ht="20.100000000000001" customHeight="1" x14ac:dyDescent="0.4">
      <c r="A415" s="117"/>
      <c r="B415" s="123"/>
      <c r="C415" s="123"/>
      <c r="D415" s="123"/>
      <c r="Y415" s="115"/>
      <c r="Z415" s="115"/>
      <c r="AA415" s="115"/>
      <c r="AB415" s="115"/>
      <c r="AC415" s="115"/>
      <c r="AD415" s="29"/>
      <c r="AE415" s="29"/>
      <c r="AI415" s="115"/>
      <c r="AJ415" s="115"/>
      <c r="AK415" s="115"/>
      <c r="AL415" s="115"/>
      <c r="AM415" s="115"/>
      <c r="AN415" s="115"/>
      <c r="AO415" s="25"/>
      <c r="AP415" s="25"/>
      <c r="AU415" s="116"/>
      <c r="AV415" s="123"/>
      <c r="AW415" s="123"/>
      <c r="AX415" s="123"/>
      <c r="BC415" s="115"/>
      <c r="BD415" s="115"/>
      <c r="BE415" s="115"/>
      <c r="BF415" s="115"/>
      <c r="BG415" s="115"/>
      <c r="BH415" s="115"/>
      <c r="BI415" s="115"/>
      <c r="BJ415" s="115"/>
      <c r="BK415" s="115"/>
      <c r="BL415" s="115"/>
      <c r="BM415" s="25"/>
      <c r="BN415" s="13"/>
      <c r="BQ415" s="114"/>
    </row>
    <row r="416" spans="1:69" ht="20.100000000000001" customHeight="1" x14ac:dyDescent="0.4">
      <c r="A416" s="117"/>
      <c r="B416" s="123"/>
      <c r="C416" s="123"/>
      <c r="D416" s="123"/>
      <c r="Y416" s="115"/>
      <c r="Z416" s="115"/>
      <c r="AA416" s="115"/>
      <c r="AB416" s="115"/>
      <c r="AC416" s="115"/>
      <c r="AD416" s="29"/>
      <c r="AE416" s="29"/>
      <c r="AI416" s="115"/>
      <c r="AJ416" s="115"/>
      <c r="AK416" s="115"/>
      <c r="AL416" s="115"/>
      <c r="AM416" s="115"/>
      <c r="AN416" s="115"/>
      <c r="AO416" s="25"/>
      <c r="AP416" s="25"/>
      <c r="AU416" s="116"/>
      <c r="AV416" s="123"/>
      <c r="AW416" s="123"/>
      <c r="AX416" s="123"/>
      <c r="BC416" s="115"/>
      <c r="BD416" s="115"/>
      <c r="BE416" s="115"/>
      <c r="BF416" s="115"/>
      <c r="BG416" s="115"/>
      <c r="BH416" s="115"/>
      <c r="BI416" s="115"/>
      <c r="BJ416" s="115"/>
      <c r="BK416" s="115"/>
      <c r="BL416" s="115"/>
      <c r="BM416" s="25"/>
      <c r="BN416" s="13"/>
      <c r="BQ416" s="114"/>
    </row>
    <row r="417" spans="1:69" ht="20.100000000000001" customHeight="1" x14ac:dyDescent="0.4">
      <c r="A417" s="117"/>
      <c r="B417" s="123"/>
      <c r="C417" s="123"/>
      <c r="D417" s="123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I417" s="115"/>
      <c r="AJ417" s="115"/>
      <c r="AK417" s="115"/>
      <c r="AL417" s="115"/>
      <c r="AM417" s="115"/>
      <c r="AN417" s="115"/>
      <c r="AO417" s="25"/>
      <c r="AP417" s="25"/>
      <c r="AU417" s="116"/>
      <c r="AV417" s="123"/>
      <c r="AW417" s="123"/>
      <c r="AX417" s="123"/>
      <c r="BC417" s="115"/>
      <c r="BD417" s="115"/>
      <c r="BE417" s="115"/>
      <c r="BF417" s="115"/>
      <c r="BG417" s="115"/>
      <c r="BH417" s="115"/>
      <c r="BI417" s="115"/>
      <c r="BJ417" s="115"/>
      <c r="BK417" s="115"/>
      <c r="BL417" s="115"/>
      <c r="BM417" s="25"/>
      <c r="BN417" s="13"/>
      <c r="BQ417" s="114"/>
    </row>
    <row r="418" spans="1:69" ht="20.100000000000001" customHeight="1" x14ac:dyDescent="0.4">
      <c r="A418" s="117"/>
      <c r="B418" s="123"/>
      <c r="C418" s="123"/>
      <c r="D418" s="123"/>
      <c r="V418" s="115"/>
      <c r="W418" s="115"/>
      <c r="X418" s="115"/>
      <c r="Y418" s="115"/>
      <c r="Z418" s="115"/>
      <c r="AA418" s="115"/>
      <c r="AB418" s="115"/>
      <c r="AC418" s="115"/>
      <c r="AD418" s="29"/>
      <c r="AE418" s="29"/>
      <c r="AI418" s="115"/>
      <c r="AJ418" s="115"/>
      <c r="AK418" s="115"/>
      <c r="AL418" s="115"/>
      <c r="AM418" s="115"/>
      <c r="AN418" s="115"/>
      <c r="AO418" s="25"/>
      <c r="AP418" s="25"/>
      <c r="AU418" s="116"/>
      <c r="AV418" s="123"/>
      <c r="AW418" s="123"/>
      <c r="AX418" s="123"/>
      <c r="BC418" s="115"/>
      <c r="BD418" s="115"/>
      <c r="BE418" s="115"/>
      <c r="BF418" s="115"/>
      <c r="BG418" s="115"/>
      <c r="BH418" s="115"/>
      <c r="BI418" s="115"/>
      <c r="BJ418" s="115"/>
      <c r="BK418" s="115"/>
      <c r="BL418" s="115"/>
      <c r="BM418" s="25"/>
      <c r="BN418" s="13"/>
      <c r="BQ418" s="114"/>
    </row>
    <row r="419" spans="1:69" ht="20.100000000000001" customHeight="1" x14ac:dyDescent="0.4">
      <c r="A419" s="117"/>
      <c r="B419" s="123"/>
      <c r="C419" s="123"/>
      <c r="D419" s="123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I419" s="115"/>
      <c r="AJ419" s="115"/>
      <c r="AK419" s="115"/>
      <c r="AL419" s="115"/>
      <c r="AM419" s="115"/>
      <c r="AN419" s="115"/>
      <c r="AO419" s="25"/>
      <c r="AP419" s="25"/>
      <c r="AU419" s="116"/>
      <c r="AV419" s="123"/>
      <c r="AW419" s="123"/>
      <c r="AX419" s="123"/>
      <c r="BC419" s="115"/>
      <c r="BD419" s="115"/>
      <c r="BE419" s="115"/>
      <c r="BF419" s="115"/>
      <c r="BG419" s="115"/>
      <c r="BH419" s="115"/>
      <c r="BI419" s="115"/>
      <c r="BJ419" s="115"/>
      <c r="BK419" s="115"/>
      <c r="BL419" s="115"/>
      <c r="BM419" s="25"/>
      <c r="BN419" s="13"/>
      <c r="BQ419" s="114"/>
    </row>
    <row r="420" spans="1:69" ht="20.100000000000001" customHeight="1" x14ac:dyDescent="0.4">
      <c r="A420" s="117"/>
      <c r="B420" s="123"/>
      <c r="C420" s="123"/>
      <c r="D420" s="123"/>
      <c r="AD420" s="127"/>
      <c r="AE420" s="29"/>
      <c r="AI420" s="115"/>
      <c r="AJ420" s="115"/>
      <c r="AK420" s="115"/>
      <c r="AL420" s="115"/>
      <c r="AM420" s="115"/>
      <c r="AN420" s="115"/>
      <c r="AO420" s="25">
        <v>45673</v>
      </c>
      <c r="AP420" s="13" t="s">
        <v>147</v>
      </c>
      <c r="AU420" s="116"/>
      <c r="AV420" s="123"/>
      <c r="AW420" s="123"/>
      <c r="AX420" s="123"/>
      <c r="BC420" s="115"/>
      <c r="BD420" s="115"/>
      <c r="BE420" s="115"/>
      <c r="BF420" s="115"/>
      <c r="BG420" s="115"/>
      <c r="BH420" s="115"/>
      <c r="BI420" s="115"/>
      <c r="BJ420" s="115"/>
      <c r="BK420" s="115"/>
      <c r="BL420" s="115"/>
      <c r="BM420" s="25"/>
      <c r="BN420" s="13"/>
      <c r="BQ420" s="114"/>
    </row>
    <row r="421" spans="1:69" ht="20.100000000000001" customHeight="1" x14ac:dyDescent="0.4">
      <c r="A421" s="117"/>
      <c r="B421" s="123"/>
      <c r="C421" s="123"/>
      <c r="D421" s="123"/>
      <c r="W421" s="115"/>
      <c r="X421" s="115"/>
      <c r="Y421" s="115"/>
      <c r="Z421" s="115"/>
      <c r="AA421" s="115"/>
      <c r="AB421" s="115"/>
      <c r="AC421" s="115"/>
      <c r="AD421" s="127"/>
      <c r="AE421" s="29"/>
      <c r="AI421" s="115"/>
      <c r="AJ421" s="115"/>
      <c r="AK421" s="115"/>
      <c r="AL421" s="115"/>
      <c r="AM421" s="115"/>
      <c r="AN421" s="115"/>
      <c r="AO421" s="25"/>
      <c r="AP421" s="13"/>
      <c r="AU421" s="116"/>
      <c r="AV421" s="123"/>
      <c r="AW421" s="123"/>
      <c r="AX421" s="123"/>
      <c r="BC421" s="115"/>
      <c r="BD421" s="115"/>
      <c r="BE421" s="115"/>
      <c r="BF421" s="115"/>
      <c r="BG421" s="115"/>
      <c r="BH421" s="115"/>
      <c r="BI421" s="115"/>
      <c r="BJ421" s="115"/>
      <c r="BK421" s="115"/>
      <c r="BL421" s="115"/>
      <c r="BM421" s="25"/>
      <c r="BN421" s="13"/>
      <c r="BQ421" s="114"/>
    </row>
    <row r="422" spans="1:69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I422" s="115"/>
      <c r="AJ422" s="115"/>
      <c r="AK422" s="115"/>
      <c r="AL422" s="115"/>
      <c r="AM422" s="115"/>
      <c r="AN422" s="115"/>
      <c r="AO422" s="25"/>
      <c r="AP422" s="13"/>
      <c r="AU422" s="116"/>
      <c r="AV422" s="123"/>
      <c r="AW422" s="123"/>
      <c r="AX422" s="123"/>
      <c r="BC422" s="115"/>
      <c r="BD422" s="115"/>
      <c r="BE422" s="115"/>
      <c r="BF422" s="115"/>
      <c r="BG422" s="115"/>
      <c r="BH422" s="115"/>
      <c r="BI422" s="115"/>
      <c r="BJ422" s="115"/>
      <c r="BK422" s="115"/>
      <c r="BL422" s="115"/>
      <c r="BM422" s="25"/>
      <c r="BN422" s="13"/>
      <c r="BQ422" s="114"/>
    </row>
    <row r="423" spans="1:69" ht="20.100000000000001" customHeight="1" x14ac:dyDescent="0.4">
      <c r="A423" s="117"/>
      <c r="B423" s="123"/>
      <c r="C423" s="123"/>
      <c r="D423" s="123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29"/>
      <c r="AE423" s="29"/>
      <c r="AI423" s="115"/>
      <c r="AJ423" s="115"/>
      <c r="AK423" s="115"/>
      <c r="AL423" s="115"/>
      <c r="AM423" s="115"/>
      <c r="AN423" s="115"/>
      <c r="AO423" s="25"/>
      <c r="AP423" s="13"/>
      <c r="AU423" s="116"/>
      <c r="AV423" s="123"/>
      <c r="AW423" s="123"/>
      <c r="AX423" s="123"/>
      <c r="BC423" s="115"/>
      <c r="BD423" s="115"/>
      <c r="BE423" s="115"/>
      <c r="BF423" s="115"/>
      <c r="BG423" s="115"/>
      <c r="BH423" s="115"/>
      <c r="BI423" s="115"/>
      <c r="BJ423" s="115"/>
      <c r="BK423" s="115"/>
      <c r="BL423" s="115"/>
      <c r="BM423" s="25"/>
      <c r="BN423" s="13"/>
      <c r="BQ423" s="114"/>
    </row>
    <row r="424" spans="1:69" ht="20.100000000000001" customHeight="1" x14ac:dyDescent="0.4">
      <c r="A424" s="117"/>
      <c r="B424" s="123"/>
      <c r="C424" s="123"/>
      <c r="D424" s="123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I424" s="115"/>
      <c r="AJ424" s="115"/>
      <c r="AK424" s="115"/>
      <c r="AL424" s="115"/>
      <c r="AM424" s="115"/>
      <c r="AN424" s="115"/>
      <c r="AO424" s="25"/>
      <c r="AP424" s="13"/>
      <c r="AU424" s="116"/>
      <c r="AV424" s="123"/>
      <c r="AW424" s="123"/>
      <c r="AX424" s="123"/>
      <c r="BC424" s="115"/>
      <c r="BD424" s="115"/>
      <c r="BE424" s="115"/>
      <c r="BF424" s="115"/>
      <c r="BG424" s="115"/>
      <c r="BH424" s="115"/>
      <c r="BI424" s="115"/>
      <c r="BJ424" s="115"/>
      <c r="BK424" s="115"/>
      <c r="BL424" s="115"/>
      <c r="BM424" s="25"/>
      <c r="BN424" s="13"/>
      <c r="BQ424" s="114"/>
    </row>
    <row r="425" spans="1:69" ht="20.100000000000001" customHeight="1" x14ac:dyDescent="0.4">
      <c r="A425" s="117"/>
      <c r="B425" s="123"/>
      <c r="C425" s="123"/>
      <c r="D425" s="123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29"/>
      <c r="AE425" s="29"/>
      <c r="AI425" s="115"/>
      <c r="AJ425" s="115"/>
      <c r="AK425" s="115"/>
      <c r="AL425" s="115"/>
      <c r="AM425" s="115"/>
      <c r="AN425" s="115"/>
      <c r="AO425" s="25"/>
      <c r="AP425" s="13"/>
      <c r="AU425" s="116"/>
      <c r="AV425" s="123"/>
      <c r="AW425" s="123"/>
      <c r="AX425" s="123"/>
      <c r="BC425" s="115"/>
      <c r="BD425" s="115"/>
      <c r="BE425" s="115"/>
      <c r="BF425" s="115"/>
      <c r="BG425" s="115"/>
      <c r="BH425" s="115"/>
      <c r="BI425" s="115"/>
      <c r="BJ425" s="115"/>
      <c r="BK425" s="115"/>
      <c r="BL425" s="115"/>
      <c r="BM425" s="25"/>
      <c r="BN425" s="13"/>
      <c r="BQ425" s="114"/>
    </row>
    <row r="426" spans="1:69" ht="20.100000000000001" customHeight="1" x14ac:dyDescent="0.4">
      <c r="A426" s="117"/>
      <c r="B426" s="123"/>
      <c r="C426" s="123"/>
      <c r="D426" s="123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I426" s="115"/>
      <c r="AJ426" s="115"/>
      <c r="AK426" s="115"/>
      <c r="AL426" s="115"/>
      <c r="AM426" s="115"/>
      <c r="AN426" s="115"/>
      <c r="AO426" s="25"/>
      <c r="AP426" s="13"/>
      <c r="AU426" s="116"/>
      <c r="AV426" s="123"/>
      <c r="AW426" s="123"/>
      <c r="AX426" s="123"/>
      <c r="BC426" s="115"/>
      <c r="BD426" s="115"/>
      <c r="BE426" s="115"/>
      <c r="BF426" s="115"/>
      <c r="BG426" s="115"/>
      <c r="BH426" s="115"/>
      <c r="BI426" s="115"/>
      <c r="BJ426" s="115"/>
      <c r="BK426" s="115"/>
      <c r="BL426" s="115"/>
      <c r="BM426" s="25"/>
      <c r="BN426" s="13"/>
      <c r="BQ426" s="114"/>
    </row>
    <row r="427" spans="1:69" ht="20.100000000000001" customHeight="1" x14ac:dyDescent="0.4">
      <c r="A427" s="117"/>
      <c r="B427" s="123"/>
      <c r="C427" s="123"/>
      <c r="D427" s="123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29"/>
      <c r="AE427" s="29"/>
      <c r="AI427" s="115"/>
      <c r="AJ427" s="115"/>
      <c r="AK427" s="115"/>
      <c r="AL427" s="115"/>
      <c r="AM427" s="115"/>
      <c r="AN427" s="115"/>
      <c r="AO427" s="25"/>
      <c r="AP427" s="13"/>
      <c r="AU427" s="116"/>
      <c r="AV427" s="123"/>
      <c r="AW427" s="123"/>
      <c r="AX427" s="123"/>
      <c r="BC427" s="115"/>
      <c r="BD427" s="115"/>
      <c r="BE427" s="115"/>
      <c r="BF427" s="115"/>
      <c r="BG427" s="115"/>
      <c r="BH427" s="115"/>
      <c r="BI427" s="115"/>
      <c r="BJ427" s="115"/>
      <c r="BK427" s="115"/>
      <c r="BL427" s="115"/>
      <c r="BM427" s="25"/>
      <c r="BN427" s="13"/>
      <c r="BQ427" s="114"/>
    </row>
    <row r="428" spans="1:69" ht="20.100000000000001" customHeight="1" x14ac:dyDescent="0.4">
      <c r="A428" s="117"/>
      <c r="B428" s="123"/>
      <c r="C428" s="123"/>
      <c r="D428" s="123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127"/>
      <c r="AI428" s="115"/>
      <c r="AJ428" s="115"/>
      <c r="AK428" s="115"/>
      <c r="AL428" s="115"/>
      <c r="AM428" s="115"/>
      <c r="AN428" s="115"/>
      <c r="AO428" s="25"/>
      <c r="AP428" s="13"/>
      <c r="AU428" s="116"/>
      <c r="AV428" s="123"/>
      <c r="AW428" s="123"/>
      <c r="AX428" s="123"/>
      <c r="BC428" s="115"/>
      <c r="BD428" s="115"/>
      <c r="BE428" s="115"/>
      <c r="BF428" s="115"/>
      <c r="BG428" s="115"/>
      <c r="BH428" s="115"/>
      <c r="BI428" s="115"/>
      <c r="BJ428" s="115"/>
      <c r="BK428" s="115"/>
      <c r="BL428" s="115"/>
      <c r="BM428" s="25"/>
      <c r="BN428" s="13"/>
      <c r="BQ428" s="114"/>
    </row>
    <row r="429" spans="1:69" ht="20.100000000000001" customHeight="1" x14ac:dyDescent="0.4">
      <c r="A429" s="117"/>
      <c r="B429" s="123"/>
      <c r="C429" s="123"/>
      <c r="D429" s="123"/>
      <c r="AD429" s="127"/>
      <c r="AE429" s="127"/>
      <c r="AI429" s="115"/>
      <c r="AJ429" s="115"/>
      <c r="AK429" s="115"/>
      <c r="AL429" s="115"/>
      <c r="AM429" s="115"/>
      <c r="AN429" s="115"/>
      <c r="AO429" s="25">
        <v>45673</v>
      </c>
      <c r="AP429" s="13" t="s">
        <v>147</v>
      </c>
      <c r="AU429" s="116"/>
      <c r="AV429" s="123"/>
      <c r="AW429" s="123"/>
      <c r="AX429" s="123"/>
      <c r="BC429" s="115"/>
      <c r="BD429" s="115"/>
      <c r="BE429" s="115"/>
      <c r="BF429" s="115"/>
      <c r="BG429" s="115"/>
      <c r="BH429" s="115"/>
      <c r="BI429" s="115"/>
      <c r="BJ429" s="115"/>
      <c r="BK429" s="115"/>
      <c r="BL429" s="115"/>
      <c r="BM429" s="25"/>
      <c r="BN429" s="13"/>
      <c r="BQ429" s="114"/>
    </row>
    <row r="430" spans="1:69" ht="20.100000000000001" customHeight="1" x14ac:dyDescent="0.4">
      <c r="A430" s="117"/>
      <c r="B430" s="123"/>
      <c r="C430" s="123"/>
      <c r="D430" s="123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29"/>
      <c r="AI430" s="115"/>
      <c r="AJ430" s="115"/>
      <c r="AK430" s="115"/>
      <c r="AL430" s="115"/>
      <c r="AM430" s="115"/>
      <c r="AN430" s="115"/>
      <c r="AO430" s="25"/>
      <c r="AP430" s="13"/>
      <c r="AU430" s="116"/>
      <c r="AV430" s="123"/>
      <c r="AW430" s="123"/>
      <c r="AX430" s="123"/>
      <c r="BC430" s="115"/>
      <c r="BD430" s="115"/>
      <c r="BE430" s="115"/>
      <c r="BF430" s="115"/>
      <c r="BG430" s="115"/>
      <c r="BH430" s="115"/>
      <c r="BI430" s="115"/>
      <c r="BJ430" s="115"/>
      <c r="BK430" s="115"/>
      <c r="BL430" s="115"/>
      <c r="BM430" s="25"/>
      <c r="BN430" s="13"/>
      <c r="BQ430" s="114"/>
    </row>
    <row r="431" spans="1:69" ht="20.100000000000001" customHeight="1" x14ac:dyDescent="0.4">
      <c r="A431" s="117"/>
      <c r="B431" s="123"/>
      <c r="C431" s="123"/>
      <c r="D431" s="123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27"/>
      <c r="AE431" s="29"/>
      <c r="AI431" s="115"/>
      <c r="AJ431" s="115"/>
      <c r="AK431" s="115"/>
      <c r="AL431" s="115"/>
      <c r="AM431" s="115"/>
      <c r="AN431" s="115"/>
      <c r="AO431" s="25"/>
      <c r="AP431" s="13"/>
      <c r="AU431" s="116"/>
      <c r="AV431" s="123"/>
      <c r="AW431" s="123"/>
      <c r="AX431" s="123"/>
      <c r="BC431" s="115"/>
      <c r="BD431" s="115"/>
      <c r="BE431" s="115"/>
      <c r="BF431" s="115"/>
      <c r="BG431" s="115"/>
      <c r="BH431" s="115"/>
      <c r="BI431" s="115"/>
      <c r="BJ431" s="115"/>
      <c r="BK431" s="115"/>
      <c r="BL431" s="115"/>
      <c r="BM431" s="25"/>
      <c r="BN431" s="13"/>
      <c r="BQ431" s="114"/>
    </row>
    <row r="432" spans="1:69" ht="20.100000000000001" customHeight="1" x14ac:dyDescent="0.4">
      <c r="A432" s="117"/>
      <c r="B432" s="123"/>
      <c r="C432" s="123"/>
      <c r="D432" s="123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I432" s="115"/>
      <c r="AJ432" s="115"/>
      <c r="AK432" s="115"/>
      <c r="AL432" s="115"/>
      <c r="AM432" s="115"/>
      <c r="AN432" s="115"/>
      <c r="AO432" s="25"/>
      <c r="AP432" s="13"/>
      <c r="AU432" s="116"/>
      <c r="AV432" s="123"/>
      <c r="AW432" s="123"/>
      <c r="AX432" s="123"/>
      <c r="BC432" s="115"/>
      <c r="BD432" s="115"/>
      <c r="BE432" s="115"/>
      <c r="BF432" s="115"/>
      <c r="BG432" s="115"/>
      <c r="BH432" s="115"/>
      <c r="BI432" s="115"/>
      <c r="BJ432" s="115"/>
      <c r="BK432" s="115"/>
      <c r="BL432" s="115"/>
      <c r="BM432" s="25"/>
      <c r="BN432" s="13"/>
      <c r="BQ432" s="114"/>
    </row>
    <row r="433" spans="1:69" ht="20.100000000000001" customHeight="1" x14ac:dyDescent="0.4">
      <c r="A433" s="117"/>
      <c r="B433" s="123"/>
      <c r="C433" s="123"/>
      <c r="D433" s="123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27"/>
      <c r="AE433" s="29"/>
      <c r="AI433" s="115"/>
      <c r="AJ433" s="115"/>
      <c r="AK433" s="115"/>
      <c r="AL433" s="115"/>
      <c r="AM433" s="115"/>
      <c r="AN433" s="115"/>
      <c r="AO433" s="25"/>
      <c r="AP433" s="13"/>
      <c r="AU433" s="116"/>
      <c r="AV433" s="123"/>
      <c r="AW433" s="123"/>
      <c r="AX433" s="123"/>
      <c r="BC433" s="115"/>
      <c r="BD433" s="115"/>
      <c r="BE433" s="115"/>
      <c r="BF433" s="115"/>
      <c r="BG433" s="115"/>
      <c r="BH433" s="115"/>
      <c r="BI433" s="115"/>
      <c r="BJ433" s="115"/>
      <c r="BK433" s="115"/>
      <c r="BL433" s="115"/>
      <c r="BM433" s="25"/>
      <c r="BN433" s="13"/>
      <c r="BQ433" s="114"/>
    </row>
    <row r="434" spans="1:69" ht="20.100000000000001" customHeight="1" x14ac:dyDescent="0.4">
      <c r="A434" s="117"/>
      <c r="B434" s="123"/>
      <c r="C434" s="123"/>
      <c r="D434" s="123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29"/>
      <c r="AE434" s="29"/>
      <c r="AI434" s="115"/>
      <c r="AJ434" s="115"/>
      <c r="AK434" s="115"/>
      <c r="AL434" s="115"/>
      <c r="AM434" s="115"/>
      <c r="AN434" s="115"/>
      <c r="AO434" s="25"/>
      <c r="AP434" s="13"/>
      <c r="AU434" s="116"/>
      <c r="AV434" s="123"/>
      <c r="AW434" s="123"/>
      <c r="AX434" s="123"/>
      <c r="BC434" s="115"/>
      <c r="BD434" s="115"/>
      <c r="BE434" s="115"/>
      <c r="BF434" s="115"/>
      <c r="BG434" s="115"/>
      <c r="BH434" s="115"/>
      <c r="BI434" s="115"/>
      <c r="BJ434" s="115"/>
      <c r="BK434" s="115"/>
      <c r="BL434" s="115"/>
      <c r="BM434" s="25"/>
      <c r="BN434" s="13"/>
      <c r="BQ434" s="114"/>
    </row>
    <row r="435" spans="1:69" ht="20.100000000000001" customHeight="1" x14ac:dyDescent="0.4">
      <c r="A435" s="117"/>
      <c r="B435" s="123"/>
      <c r="C435" s="123"/>
      <c r="D435" s="123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29"/>
      <c r="AE435" s="29"/>
      <c r="AI435" s="115"/>
      <c r="AJ435" s="115"/>
      <c r="AK435" s="115"/>
      <c r="AL435" s="115"/>
      <c r="AM435" s="115"/>
      <c r="AN435" s="115"/>
      <c r="AO435" s="25"/>
      <c r="AP435" s="13"/>
      <c r="AU435" s="116"/>
      <c r="AV435" s="123"/>
      <c r="AW435" s="123"/>
      <c r="AX435" s="123"/>
      <c r="BC435" s="115"/>
      <c r="BD435" s="115"/>
      <c r="BE435" s="115"/>
      <c r="BF435" s="115"/>
      <c r="BG435" s="115"/>
      <c r="BH435" s="115"/>
      <c r="BI435" s="115"/>
      <c r="BJ435" s="115"/>
      <c r="BK435" s="115"/>
      <c r="BL435" s="115"/>
      <c r="BM435" s="25"/>
      <c r="BN435" s="13"/>
      <c r="BQ435" s="114"/>
    </row>
    <row r="436" spans="1:69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I436" s="115"/>
      <c r="AJ436" s="115"/>
      <c r="AK436" s="115"/>
      <c r="AL436" s="115"/>
      <c r="AM436" s="115"/>
      <c r="AN436" s="115"/>
      <c r="AO436" s="25"/>
      <c r="AP436" s="13"/>
      <c r="AU436" s="116"/>
      <c r="AV436" s="123"/>
      <c r="AW436" s="123"/>
      <c r="AX436" s="123"/>
      <c r="BC436" s="115"/>
      <c r="BD436" s="115"/>
      <c r="BE436" s="115"/>
      <c r="BF436" s="115"/>
      <c r="BG436" s="115"/>
      <c r="BH436" s="115"/>
      <c r="BI436" s="115"/>
      <c r="BJ436" s="115"/>
      <c r="BK436" s="115"/>
      <c r="BL436" s="115"/>
      <c r="BM436" s="25"/>
      <c r="BN436" s="13"/>
      <c r="BQ436" s="114"/>
    </row>
    <row r="437" spans="1:69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27"/>
      <c r="AE437" s="29"/>
      <c r="AI437" s="115"/>
      <c r="AJ437" s="115"/>
      <c r="AK437" s="115"/>
      <c r="AL437" s="115"/>
      <c r="AM437" s="115"/>
      <c r="AN437" s="115"/>
      <c r="AO437" s="25"/>
      <c r="AP437" s="13"/>
      <c r="AU437" s="116"/>
      <c r="AV437" s="123"/>
      <c r="AW437" s="123"/>
      <c r="AX437" s="123"/>
      <c r="BC437" s="115"/>
      <c r="BD437" s="115"/>
      <c r="BE437" s="115"/>
      <c r="BF437" s="115"/>
      <c r="BG437" s="115"/>
      <c r="BH437" s="115"/>
      <c r="BI437" s="115"/>
      <c r="BJ437" s="115"/>
      <c r="BK437" s="115"/>
      <c r="BL437" s="115"/>
      <c r="BM437" s="25"/>
      <c r="BN437" s="13"/>
      <c r="BQ437" s="114"/>
    </row>
    <row r="438" spans="1:69" ht="20.100000000000001" customHeight="1" x14ac:dyDescent="0.4">
      <c r="A438" s="117"/>
      <c r="B438" s="123"/>
      <c r="C438" s="123"/>
      <c r="D438" s="123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27"/>
      <c r="AE438" s="29"/>
      <c r="AI438" s="115"/>
      <c r="AJ438" s="115"/>
      <c r="AK438" s="115"/>
      <c r="AL438" s="115"/>
      <c r="AM438" s="115"/>
      <c r="AN438" s="115"/>
      <c r="AO438" s="25"/>
      <c r="AP438" s="13"/>
      <c r="AU438" s="116"/>
      <c r="AV438" s="123"/>
      <c r="AW438" s="123"/>
      <c r="AX438" s="123"/>
      <c r="BC438" s="115"/>
      <c r="BD438" s="115"/>
      <c r="BE438" s="115"/>
      <c r="BF438" s="115"/>
      <c r="BG438" s="115"/>
      <c r="BH438" s="115"/>
      <c r="BI438" s="115"/>
      <c r="BJ438" s="115"/>
      <c r="BK438" s="115"/>
      <c r="BL438" s="115"/>
      <c r="BM438" s="25"/>
      <c r="BN438" s="13"/>
      <c r="BQ438" s="114"/>
    </row>
    <row r="439" spans="1:69" ht="20.100000000000001" customHeight="1" x14ac:dyDescent="0.4">
      <c r="A439" s="117"/>
      <c r="B439" s="123"/>
      <c r="C439" s="123"/>
      <c r="D439" s="123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I439" s="115"/>
      <c r="AJ439" s="115"/>
      <c r="AK439" s="115"/>
      <c r="AL439" s="115"/>
      <c r="AM439" s="115"/>
      <c r="AN439" s="115"/>
      <c r="AO439" s="25"/>
      <c r="AP439" s="13"/>
      <c r="AU439" s="116"/>
      <c r="AV439" s="123"/>
      <c r="AW439" s="123"/>
      <c r="AX439" s="123"/>
      <c r="BC439" s="115"/>
      <c r="BD439" s="115"/>
      <c r="BE439" s="115"/>
      <c r="BF439" s="115"/>
      <c r="BG439" s="115"/>
      <c r="BH439" s="115"/>
      <c r="BI439" s="115"/>
      <c r="BJ439" s="115"/>
      <c r="BK439" s="115"/>
      <c r="BL439" s="115"/>
      <c r="BM439" s="25"/>
      <c r="BN439" s="13"/>
      <c r="BQ439" s="114"/>
    </row>
    <row r="440" spans="1:69" ht="20.100000000000001" customHeight="1" x14ac:dyDescent="0.4">
      <c r="A440" s="117"/>
      <c r="B440" s="123"/>
      <c r="C440" s="123"/>
      <c r="D440" s="123"/>
      <c r="AD440" s="127"/>
      <c r="AE440" s="29"/>
      <c r="AG440" s="115"/>
      <c r="AH440" s="115"/>
      <c r="AI440" s="115"/>
      <c r="AJ440" s="115"/>
      <c r="AK440" s="115"/>
      <c r="AL440" s="115"/>
      <c r="AM440" s="115"/>
      <c r="AN440" s="115"/>
      <c r="AO440" s="25">
        <v>45673</v>
      </c>
      <c r="AP440" s="13" t="s">
        <v>148</v>
      </c>
      <c r="AU440" s="116"/>
      <c r="AV440" s="123"/>
      <c r="AW440" s="123"/>
      <c r="AX440" s="123"/>
      <c r="BC440" s="115"/>
      <c r="BD440" s="115"/>
      <c r="BE440" s="115"/>
      <c r="BF440" s="115"/>
      <c r="BG440" s="115"/>
      <c r="BH440" s="115"/>
      <c r="BI440" s="115"/>
      <c r="BJ440" s="115"/>
      <c r="BK440" s="115"/>
      <c r="BL440" s="115"/>
      <c r="BM440" s="25"/>
      <c r="BN440" s="13"/>
      <c r="BQ440" s="114"/>
    </row>
    <row r="441" spans="1:69" ht="20.100000000000001" customHeight="1" x14ac:dyDescent="0.4">
      <c r="A441" s="117"/>
      <c r="B441" s="123"/>
      <c r="C441" s="123"/>
      <c r="D441" s="123"/>
      <c r="W441" s="115"/>
      <c r="X441" s="115"/>
      <c r="Y441" s="115"/>
      <c r="Z441" s="115"/>
      <c r="AA441" s="115"/>
      <c r="AB441" s="115"/>
      <c r="AC441" s="115"/>
      <c r="AD441" s="29"/>
      <c r="AE441" s="29"/>
      <c r="AG441" s="115"/>
      <c r="AH441" s="115"/>
      <c r="AI441" s="115"/>
      <c r="AJ441" s="115"/>
      <c r="AK441" s="115"/>
      <c r="AL441" s="115"/>
      <c r="AM441" s="115"/>
      <c r="AN441" s="115"/>
      <c r="AO441" s="25"/>
      <c r="AP441" s="13"/>
      <c r="AU441" s="116"/>
      <c r="AV441" s="123"/>
      <c r="AW441" s="123"/>
      <c r="AX441" s="123"/>
      <c r="BC441" s="115"/>
      <c r="BD441" s="115"/>
      <c r="BE441" s="115"/>
      <c r="BF441" s="115"/>
      <c r="BG441" s="115"/>
      <c r="BH441" s="115"/>
      <c r="BI441" s="115"/>
      <c r="BJ441" s="115"/>
      <c r="BK441" s="115"/>
      <c r="BL441" s="115"/>
      <c r="BM441" s="25"/>
      <c r="BN441" s="13"/>
      <c r="BQ441" s="114"/>
    </row>
    <row r="442" spans="1:69" ht="20.100000000000001" customHeight="1" x14ac:dyDescent="0.4">
      <c r="A442" s="117"/>
      <c r="B442" s="123"/>
      <c r="C442" s="123"/>
      <c r="D442" s="123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27"/>
      <c r="AE442" s="29"/>
      <c r="AG442" s="115"/>
      <c r="AH442" s="115"/>
      <c r="AI442" s="115"/>
      <c r="AJ442" s="115"/>
      <c r="AK442" s="115"/>
      <c r="AL442" s="115"/>
      <c r="AM442" s="115"/>
      <c r="AN442" s="115"/>
      <c r="AO442" s="25"/>
      <c r="AP442" s="13"/>
      <c r="AU442" s="116"/>
      <c r="AV442" s="123"/>
      <c r="AW442" s="123"/>
      <c r="AX442" s="123"/>
      <c r="BC442" s="115"/>
      <c r="BD442" s="115"/>
      <c r="BE442" s="115"/>
      <c r="BF442" s="115"/>
      <c r="BG442" s="115"/>
      <c r="BH442" s="115"/>
      <c r="BI442" s="115"/>
      <c r="BJ442" s="115"/>
      <c r="BK442" s="115"/>
      <c r="BL442" s="115"/>
      <c r="BM442" s="25"/>
      <c r="BN442" s="13"/>
      <c r="BQ442" s="114"/>
    </row>
    <row r="443" spans="1:69" ht="20.100000000000001" customHeight="1" x14ac:dyDescent="0.4">
      <c r="A443" s="117"/>
      <c r="B443" s="123"/>
      <c r="C443" s="123"/>
      <c r="D443" s="123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G443" s="115"/>
      <c r="AH443" s="115"/>
      <c r="AI443" s="115"/>
      <c r="AJ443" s="115"/>
      <c r="AK443" s="115"/>
      <c r="AL443" s="115"/>
      <c r="AM443" s="115"/>
      <c r="AN443" s="115"/>
      <c r="AO443" s="25"/>
      <c r="AP443" s="13"/>
      <c r="AU443" s="116"/>
      <c r="AV443" s="123"/>
      <c r="AW443" s="123"/>
      <c r="AX443" s="123"/>
      <c r="BC443" s="115"/>
      <c r="BD443" s="115"/>
      <c r="BE443" s="115"/>
      <c r="BF443" s="115"/>
      <c r="BG443" s="115"/>
      <c r="BH443" s="115"/>
      <c r="BI443" s="115"/>
      <c r="BJ443" s="115"/>
      <c r="BK443" s="115"/>
      <c r="BL443" s="115"/>
      <c r="BM443" s="25"/>
      <c r="BN443" s="13"/>
      <c r="BQ443" s="114"/>
    </row>
    <row r="444" spans="1:69" ht="20.100000000000001" customHeight="1" x14ac:dyDescent="0.4">
      <c r="A444" s="117"/>
      <c r="B444" s="123"/>
      <c r="C444" s="123"/>
      <c r="D444" s="123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G444" s="115"/>
      <c r="AH444" s="115"/>
      <c r="AI444" s="115"/>
      <c r="AJ444" s="115"/>
      <c r="AK444" s="115"/>
      <c r="AL444" s="115"/>
      <c r="AM444" s="115"/>
      <c r="AN444" s="115"/>
      <c r="AO444" s="25"/>
      <c r="AP444" s="13"/>
      <c r="AU444" s="116"/>
      <c r="AV444" s="123"/>
      <c r="AW444" s="123"/>
      <c r="AX444" s="123"/>
      <c r="BC444" s="115"/>
      <c r="BD444" s="115"/>
      <c r="BE444" s="115"/>
      <c r="BF444" s="115"/>
      <c r="BG444" s="115"/>
      <c r="BH444" s="115"/>
      <c r="BI444" s="115"/>
      <c r="BJ444" s="115"/>
      <c r="BK444" s="115"/>
      <c r="BL444" s="115"/>
      <c r="BM444" s="25"/>
      <c r="BN444" s="13"/>
      <c r="BQ444" s="114"/>
    </row>
    <row r="445" spans="1:69" ht="20.100000000000001" customHeight="1" x14ac:dyDescent="0.4">
      <c r="A445" s="117"/>
      <c r="B445" s="123"/>
      <c r="C445" s="123"/>
      <c r="D445" s="123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27"/>
      <c r="AE445" s="29"/>
      <c r="AG445" s="115"/>
      <c r="AH445" s="115"/>
      <c r="AI445" s="115"/>
      <c r="AJ445" s="115"/>
      <c r="AK445" s="115"/>
      <c r="AL445" s="115"/>
      <c r="AM445" s="115"/>
      <c r="AN445" s="115"/>
      <c r="AO445" s="25"/>
      <c r="AP445" s="13"/>
      <c r="AU445" s="116"/>
      <c r="AV445" s="123"/>
      <c r="AW445" s="123"/>
      <c r="AX445" s="123"/>
      <c r="BC445" s="115"/>
      <c r="BD445" s="115"/>
      <c r="BE445" s="115"/>
      <c r="BF445" s="115"/>
      <c r="BG445" s="115"/>
      <c r="BH445" s="115"/>
      <c r="BI445" s="115"/>
      <c r="BJ445" s="115"/>
      <c r="BK445" s="115"/>
      <c r="BL445" s="115"/>
      <c r="BM445" s="25"/>
      <c r="BN445" s="13"/>
      <c r="BQ445" s="114"/>
    </row>
    <row r="446" spans="1:69" ht="20.100000000000001" customHeight="1" x14ac:dyDescent="0.4">
      <c r="A446" s="117"/>
      <c r="B446" s="123"/>
      <c r="C446" s="123"/>
      <c r="D446" s="12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29"/>
      <c r="AE446" s="29"/>
      <c r="AG446" s="115"/>
      <c r="AH446" s="115"/>
      <c r="AI446" s="115"/>
      <c r="AJ446" s="115"/>
      <c r="AK446" s="115"/>
      <c r="AL446" s="115"/>
      <c r="AM446" s="115"/>
      <c r="AN446" s="115"/>
      <c r="AO446" s="25"/>
      <c r="AP446" s="13"/>
      <c r="AU446" s="116"/>
      <c r="AV446" s="123"/>
      <c r="AW446" s="123"/>
      <c r="AX446" s="123"/>
      <c r="BC446" s="115"/>
      <c r="BD446" s="115"/>
      <c r="BE446" s="115"/>
      <c r="BF446" s="115"/>
      <c r="BG446" s="115"/>
      <c r="BH446" s="115"/>
      <c r="BI446" s="115"/>
      <c r="BJ446" s="115"/>
      <c r="BK446" s="115"/>
      <c r="BL446" s="115"/>
      <c r="BM446" s="25"/>
      <c r="BN446" s="13"/>
      <c r="BQ446" s="114"/>
    </row>
    <row r="447" spans="1:69" ht="20.100000000000001" customHeight="1" x14ac:dyDescent="0.4">
      <c r="A447" s="117"/>
      <c r="B447" s="123"/>
      <c r="C447" s="123"/>
      <c r="D447" s="123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27"/>
      <c r="AE447" s="29"/>
      <c r="AG447" s="115"/>
      <c r="AH447" s="115"/>
      <c r="AI447" s="115"/>
      <c r="AJ447" s="115"/>
      <c r="AK447" s="115"/>
      <c r="AL447" s="115"/>
      <c r="AM447" s="115"/>
      <c r="AN447" s="115"/>
      <c r="AO447" s="25"/>
      <c r="AP447" s="13"/>
      <c r="AU447" s="116"/>
      <c r="AV447" s="123"/>
      <c r="AW447" s="123"/>
      <c r="AX447" s="123"/>
      <c r="BC447" s="115"/>
      <c r="BD447" s="115"/>
      <c r="BE447" s="115"/>
      <c r="BF447" s="115"/>
      <c r="BG447" s="115"/>
      <c r="BH447" s="115"/>
      <c r="BI447" s="115"/>
      <c r="BJ447" s="115"/>
      <c r="BK447" s="115"/>
      <c r="BL447" s="115"/>
      <c r="BM447" s="25"/>
      <c r="BN447" s="13"/>
      <c r="BQ447" s="114"/>
    </row>
    <row r="448" spans="1:69" ht="20.100000000000001" customHeight="1" x14ac:dyDescent="0.4">
      <c r="A448" s="117"/>
      <c r="B448" s="123"/>
      <c r="C448" s="123"/>
      <c r="D448" s="123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27"/>
      <c r="AE448" s="29"/>
      <c r="AG448" s="115"/>
      <c r="AH448" s="115"/>
      <c r="AI448" s="115"/>
      <c r="AJ448" s="115"/>
      <c r="AK448" s="115"/>
      <c r="AL448" s="115"/>
      <c r="AM448" s="115"/>
      <c r="AN448" s="115"/>
      <c r="AO448" s="25"/>
      <c r="AP448" s="13"/>
      <c r="AU448" s="116"/>
      <c r="AV448" s="123"/>
      <c r="AW448" s="123"/>
      <c r="AX448" s="123"/>
      <c r="BC448" s="115"/>
      <c r="BD448" s="115"/>
      <c r="BE448" s="115"/>
      <c r="BF448" s="115"/>
      <c r="BG448" s="115"/>
      <c r="BH448" s="115"/>
      <c r="BI448" s="115"/>
      <c r="BJ448" s="115"/>
      <c r="BK448" s="115"/>
      <c r="BL448" s="115"/>
      <c r="BM448" s="25"/>
      <c r="BN448" s="13"/>
      <c r="BQ448" s="114"/>
    </row>
    <row r="449" spans="1:69" ht="20.100000000000001" customHeight="1" x14ac:dyDescent="0.4">
      <c r="A449" s="117"/>
      <c r="B449" s="123"/>
      <c r="C449" s="123"/>
      <c r="D449" s="123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27"/>
      <c r="AE449" s="29"/>
      <c r="AG449" s="115"/>
      <c r="AH449" s="115"/>
      <c r="AI449" s="115"/>
      <c r="AJ449" s="115"/>
      <c r="AK449" s="115"/>
      <c r="AL449" s="115"/>
      <c r="AM449" s="115"/>
      <c r="AN449" s="115"/>
      <c r="AO449" s="25"/>
      <c r="AP449" s="13"/>
      <c r="AU449" s="116"/>
      <c r="AV449" s="123"/>
      <c r="AW449" s="123"/>
      <c r="AX449" s="123"/>
      <c r="BC449" s="115"/>
      <c r="BD449" s="115"/>
      <c r="BE449" s="115"/>
      <c r="BF449" s="115"/>
      <c r="BG449" s="115"/>
      <c r="BH449" s="115"/>
      <c r="BI449" s="115"/>
      <c r="BJ449" s="115"/>
      <c r="BK449" s="115"/>
      <c r="BL449" s="115"/>
      <c r="BM449" s="25"/>
      <c r="BN449" s="13"/>
      <c r="BQ449" s="114"/>
    </row>
    <row r="450" spans="1:69" ht="20.100000000000001" customHeight="1" x14ac:dyDescent="0.4">
      <c r="A450" s="117"/>
      <c r="B450" s="123"/>
      <c r="C450" s="123"/>
      <c r="D450" s="123"/>
      <c r="AD450" s="127"/>
      <c r="AE450" s="29"/>
      <c r="AG450" s="115"/>
      <c r="AH450" s="115"/>
      <c r="AI450" s="115"/>
      <c r="AJ450" s="115"/>
      <c r="AK450" s="115"/>
      <c r="AL450" s="115"/>
      <c r="AM450" s="115"/>
      <c r="AN450" s="115"/>
      <c r="AO450" s="25">
        <v>45673</v>
      </c>
      <c r="AP450" s="13" t="s">
        <v>147</v>
      </c>
      <c r="AU450" s="116"/>
      <c r="AV450" s="123"/>
      <c r="AW450" s="123"/>
      <c r="AX450" s="123"/>
      <c r="BC450" s="115"/>
      <c r="BD450" s="115"/>
      <c r="BE450" s="115"/>
      <c r="BF450" s="115"/>
      <c r="BG450" s="115"/>
      <c r="BH450" s="115"/>
      <c r="BI450" s="115"/>
      <c r="BJ450" s="115"/>
      <c r="BK450" s="115"/>
      <c r="BL450" s="115"/>
      <c r="BM450" s="25"/>
      <c r="BN450" s="13"/>
      <c r="BQ450" s="114"/>
    </row>
    <row r="451" spans="1:69" ht="20.100000000000001" customHeight="1" x14ac:dyDescent="0.4">
      <c r="A451" s="117"/>
      <c r="B451" s="123"/>
      <c r="C451" s="123"/>
      <c r="D451" s="123"/>
      <c r="W451" s="115"/>
      <c r="X451" s="115"/>
      <c r="Y451" s="115"/>
      <c r="Z451" s="115"/>
      <c r="AA451" s="115"/>
      <c r="AB451" s="115"/>
      <c r="AC451" s="115"/>
      <c r="AD451" s="29"/>
      <c r="AE451" s="29"/>
      <c r="AG451" s="115"/>
      <c r="AH451" s="115"/>
      <c r="AI451" s="115"/>
      <c r="AJ451" s="115"/>
      <c r="AK451" s="115"/>
      <c r="AL451" s="115"/>
      <c r="AM451" s="115"/>
      <c r="AN451" s="115"/>
      <c r="AO451" s="25"/>
      <c r="AP451" s="13"/>
      <c r="AU451" s="116"/>
      <c r="AV451" s="123"/>
      <c r="AW451" s="123"/>
      <c r="AX451" s="123"/>
      <c r="BC451" s="115"/>
      <c r="BD451" s="115"/>
      <c r="BE451" s="115"/>
      <c r="BF451" s="115"/>
      <c r="BG451" s="115"/>
      <c r="BH451" s="115"/>
      <c r="BI451" s="115"/>
      <c r="BJ451" s="115"/>
      <c r="BK451" s="115"/>
      <c r="BL451" s="115"/>
      <c r="BM451" s="25"/>
      <c r="BN451" s="13"/>
      <c r="BQ451" s="114"/>
    </row>
    <row r="452" spans="1:69" ht="20.100000000000001" customHeight="1" x14ac:dyDescent="0.4">
      <c r="A452" s="117"/>
      <c r="B452" s="123"/>
      <c r="C452" s="123"/>
      <c r="D452" s="123"/>
      <c r="AD452" s="127"/>
      <c r="AE452" s="29"/>
      <c r="AG452" s="115"/>
      <c r="AH452" s="115"/>
      <c r="AI452" s="115"/>
      <c r="AJ452" s="115"/>
      <c r="AK452" s="115"/>
      <c r="AL452" s="115"/>
      <c r="AM452" s="115"/>
      <c r="AN452" s="115"/>
      <c r="AO452" s="25"/>
      <c r="AP452" s="13"/>
      <c r="AU452" s="116"/>
      <c r="AV452" s="123"/>
      <c r="AW452" s="123"/>
      <c r="AX452" s="123"/>
      <c r="BC452" s="115"/>
      <c r="BD452" s="115"/>
      <c r="BE452" s="115"/>
      <c r="BF452" s="115"/>
      <c r="BG452" s="115"/>
      <c r="BH452" s="115"/>
      <c r="BI452" s="115"/>
      <c r="BJ452" s="115"/>
      <c r="BK452" s="115"/>
      <c r="BL452" s="115"/>
      <c r="BM452" s="25"/>
      <c r="BN452" s="13"/>
      <c r="BQ452" s="114"/>
    </row>
    <row r="453" spans="1:69" ht="20.100000000000001" customHeight="1" x14ac:dyDescent="0.4">
      <c r="A453" s="117"/>
      <c r="B453" s="123"/>
      <c r="C453" s="123"/>
      <c r="D453" s="123"/>
      <c r="W453" s="115"/>
      <c r="X453" s="115"/>
      <c r="Y453" s="115"/>
      <c r="Z453" s="115"/>
      <c r="AA453" s="115"/>
      <c r="AB453" s="115"/>
      <c r="AC453" s="115"/>
      <c r="AD453" s="29"/>
      <c r="AE453" s="29"/>
      <c r="AG453" s="115"/>
      <c r="AH453" s="115"/>
      <c r="AI453" s="115"/>
      <c r="AJ453" s="115"/>
      <c r="AK453" s="115"/>
      <c r="AL453" s="115"/>
      <c r="AM453" s="115"/>
      <c r="AN453" s="115"/>
      <c r="AO453" s="25"/>
      <c r="AP453" s="13"/>
      <c r="AU453" s="116"/>
      <c r="AV453" s="123"/>
      <c r="AW453" s="123"/>
      <c r="AX453" s="123"/>
      <c r="BC453" s="115"/>
      <c r="BD453" s="115"/>
      <c r="BE453" s="115"/>
      <c r="BF453" s="115"/>
      <c r="BG453" s="115"/>
      <c r="BH453" s="115"/>
      <c r="BI453" s="115"/>
      <c r="BJ453" s="115"/>
      <c r="BK453" s="115"/>
      <c r="BL453" s="115"/>
      <c r="BM453" s="25"/>
      <c r="BN453" s="13"/>
      <c r="BQ453" s="114"/>
    </row>
    <row r="454" spans="1:69" ht="20.100000000000001" customHeight="1" x14ac:dyDescent="0.4">
      <c r="A454" s="117"/>
      <c r="B454" s="123"/>
      <c r="C454" s="123"/>
      <c r="D454" s="123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27"/>
      <c r="AE454" s="29"/>
      <c r="AG454" s="115"/>
      <c r="AH454" s="115"/>
      <c r="AI454" s="115"/>
      <c r="AJ454" s="115"/>
      <c r="AK454" s="115"/>
      <c r="AL454" s="115"/>
      <c r="AM454" s="115"/>
      <c r="AN454" s="115"/>
      <c r="AO454" s="25"/>
      <c r="AP454" s="13"/>
      <c r="AU454" s="116"/>
      <c r="AV454" s="123"/>
      <c r="AW454" s="123"/>
      <c r="AX454" s="123"/>
      <c r="BC454" s="115"/>
      <c r="BD454" s="115"/>
      <c r="BE454" s="115"/>
      <c r="BF454" s="115"/>
      <c r="BG454" s="115"/>
      <c r="BH454" s="115"/>
      <c r="BI454" s="115"/>
      <c r="BJ454" s="115"/>
      <c r="BK454" s="115"/>
      <c r="BL454" s="115"/>
      <c r="BM454" s="25"/>
      <c r="BN454" s="13"/>
      <c r="BQ454" s="114"/>
    </row>
    <row r="455" spans="1:69" ht="20.100000000000001" customHeight="1" x14ac:dyDescent="0.4">
      <c r="A455" s="117"/>
      <c r="B455" s="123"/>
      <c r="C455" s="123"/>
      <c r="D455" s="123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G455" s="115"/>
      <c r="AH455" s="115"/>
      <c r="AI455" s="115"/>
      <c r="AJ455" s="115"/>
      <c r="AK455" s="115"/>
      <c r="AL455" s="115"/>
      <c r="AM455" s="115"/>
      <c r="AN455" s="115"/>
      <c r="AO455" s="25"/>
      <c r="AP455" s="13"/>
      <c r="AU455" s="116"/>
      <c r="AV455" s="123"/>
      <c r="AW455" s="123"/>
      <c r="AX455" s="123"/>
      <c r="BC455" s="115"/>
      <c r="BD455" s="115"/>
      <c r="BE455" s="115"/>
      <c r="BF455" s="115"/>
      <c r="BG455" s="115"/>
      <c r="BH455" s="115"/>
      <c r="BI455" s="115"/>
      <c r="BJ455" s="115"/>
      <c r="BK455" s="115"/>
      <c r="BL455" s="115"/>
      <c r="BM455" s="25"/>
      <c r="BN455" s="13"/>
      <c r="BQ455" s="114"/>
    </row>
    <row r="456" spans="1:69" ht="20.100000000000001" customHeight="1" x14ac:dyDescent="0.4">
      <c r="A456" s="117"/>
      <c r="B456" s="123"/>
      <c r="C456" s="123"/>
      <c r="D456" s="123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29"/>
      <c r="AE456" s="29"/>
      <c r="AG456" s="115"/>
      <c r="AH456" s="115"/>
      <c r="AI456" s="115"/>
      <c r="AJ456" s="115"/>
      <c r="AK456" s="115"/>
      <c r="AL456" s="115"/>
      <c r="AM456" s="115"/>
      <c r="AN456" s="115"/>
      <c r="AO456" s="25"/>
      <c r="AP456" s="13"/>
      <c r="AU456" s="116"/>
      <c r="AV456" s="123"/>
      <c r="AW456" s="123"/>
      <c r="AX456" s="123"/>
      <c r="BC456" s="115"/>
      <c r="BD456" s="115"/>
      <c r="BE456" s="115"/>
      <c r="BF456" s="115"/>
      <c r="BG456" s="115"/>
      <c r="BH456" s="115"/>
      <c r="BI456" s="115"/>
      <c r="BJ456" s="115"/>
      <c r="BK456" s="115"/>
      <c r="BL456" s="115"/>
      <c r="BM456" s="25"/>
      <c r="BN456" s="13"/>
      <c r="BQ456" s="114"/>
    </row>
    <row r="457" spans="1:69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29"/>
      <c r="AE457" s="29"/>
      <c r="AG457" s="115"/>
      <c r="AH457" s="115"/>
      <c r="AI457" s="115"/>
      <c r="AJ457" s="115"/>
      <c r="AK457" s="115"/>
      <c r="AL457" s="115"/>
      <c r="AM457" s="115"/>
      <c r="AN457" s="115"/>
      <c r="AO457" s="25"/>
      <c r="AP457" s="13"/>
      <c r="AU457" s="116"/>
      <c r="AV457" s="123"/>
      <c r="AW457" s="123"/>
      <c r="AX457" s="123"/>
      <c r="BC457" s="115"/>
      <c r="BD457" s="115"/>
      <c r="BE457" s="115"/>
      <c r="BF457" s="115"/>
      <c r="BG457" s="115"/>
      <c r="BH457" s="115"/>
      <c r="BI457" s="115"/>
      <c r="BJ457" s="115"/>
      <c r="BK457" s="115"/>
      <c r="BL457" s="115"/>
      <c r="BM457" s="25"/>
      <c r="BN457" s="13"/>
      <c r="BQ457" s="114"/>
    </row>
    <row r="458" spans="1:69" ht="20.100000000000001" customHeight="1" x14ac:dyDescent="0.4">
      <c r="A458" s="117"/>
      <c r="B458" s="123"/>
      <c r="C458" s="123"/>
      <c r="D458" s="123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27"/>
      <c r="AE458" s="29"/>
      <c r="AG458" s="115"/>
      <c r="AH458" s="115"/>
      <c r="AI458" s="115"/>
      <c r="AJ458" s="115"/>
      <c r="AK458" s="115"/>
      <c r="AL458" s="115"/>
      <c r="AM458" s="115"/>
      <c r="AN458" s="115"/>
      <c r="AO458" s="25"/>
      <c r="AP458" s="13"/>
      <c r="AU458" s="116"/>
      <c r="AV458" s="123"/>
      <c r="AW458" s="123"/>
      <c r="AX458" s="123"/>
      <c r="BC458" s="115"/>
      <c r="BD458" s="115"/>
      <c r="BE458" s="115"/>
      <c r="BF458" s="115"/>
      <c r="BG458" s="115"/>
      <c r="BH458" s="115"/>
      <c r="BI458" s="115"/>
      <c r="BJ458" s="115"/>
      <c r="BK458" s="115"/>
      <c r="BL458" s="115"/>
      <c r="BM458" s="25"/>
      <c r="BN458" s="13"/>
      <c r="BQ458" s="114"/>
    </row>
    <row r="459" spans="1:69" ht="20.100000000000001" customHeight="1" x14ac:dyDescent="0.4">
      <c r="A459" s="117"/>
      <c r="B459" s="123"/>
      <c r="C459" s="123"/>
      <c r="D459" s="123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G459" s="115"/>
      <c r="AH459" s="115"/>
      <c r="AI459" s="115"/>
      <c r="AJ459" s="115"/>
      <c r="AK459" s="115"/>
      <c r="AL459" s="115"/>
      <c r="AM459" s="115"/>
      <c r="AN459" s="115"/>
      <c r="AO459" s="25"/>
      <c r="AP459" s="13"/>
      <c r="AU459" s="116"/>
      <c r="AV459" s="123"/>
      <c r="AW459" s="123"/>
      <c r="AX459" s="123"/>
      <c r="BC459" s="115"/>
      <c r="BD459" s="115"/>
      <c r="BE459" s="115"/>
      <c r="BF459" s="115"/>
      <c r="BG459" s="115"/>
      <c r="BH459" s="115"/>
      <c r="BI459" s="115"/>
      <c r="BJ459" s="115"/>
      <c r="BK459" s="115"/>
      <c r="BL459" s="115"/>
      <c r="BM459" s="25"/>
      <c r="BN459" s="13"/>
      <c r="BQ459" s="114"/>
    </row>
    <row r="460" spans="1:69" ht="20.100000000000001" customHeight="1" x14ac:dyDescent="0.4">
      <c r="A460" s="117"/>
      <c r="B460" s="123"/>
      <c r="C460" s="123"/>
      <c r="D460" s="123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27"/>
      <c r="AE460" s="29"/>
      <c r="AG460" s="115"/>
      <c r="AH460" s="115"/>
      <c r="AI460" s="115"/>
      <c r="AJ460" s="115"/>
      <c r="AK460" s="115"/>
      <c r="AL460" s="115"/>
      <c r="AM460" s="115"/>
      <c r="AN460" s="115"/>
      <c r="AO460" s="25"/>
      <c r="AP460" s="13"/>
      <c r="AU460" s="116"/>
      <c r="AV460" s="123"/>
      <c r="AW460" s="123"/>
      <c r="AX460" s="123"/>
      <c r="BC460" s="115"/>
      <c r="BD460" s="115"/>
      <c r="BE460" s="115"/>
      <c r="BF460" s="115"/>
      <c r="BG460" s="115"/>
      <c r="BH460" s="115"/>
      <c r="BI460" s="115"/>
      <c r="BJ460" s="115"/>
      <c r="BK460" s="115"/>
      <c r="BL460" s="115"/>
      <c r="BM460" s="25"/>
      <c r="BN460" s="13"/>
      <c r="BQ460" s="114"/>
    </row>
    <row r="461" spans="1:69" ht="20.100000000000001" customHeight="1" x14ac:dyDescent="0.4">
      <c r="A461" s="117"/>
      <c r="B461" s="123"/>
      <c r="C461" s="123"/>
      <c r="D461" s="123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G461" s="115"/>
      <c r="AH461" s="115"/>
      <c r="AI461" s="115"/>
      <c r="AJ461" s="115"/>
      <c r="AK461" s="115"/>
      <c r="AL461" s="115"/>
      <c r="AM461" s="115"/>
      <c r="AN461" s="115"/>
      <c r="AO461" s="25"/>
      <c r="AP461" s="13"/>
      <c r="AU461" s="116"/>
      <c r="AV461" s="123"/>
      <c r="AW461" s="123"/>
      <c r="AX461" s="123"/>
      <c r="BC461" s="115"/>
      <c r="BD461" s="115"/>
      <c r="BE461" s="115"/>
      <c r="BF461" s="115"/>
      <c r="BG461" s="115"/>
      <c r="BH461" s="115"/>
      <c r="BI461" s="115"/>
      <c r="BJ461" s="115"/>
      <c r="BK461" s="115"/>
      <c r="BL461" s="115"/>
      <c r="BM461" s="25"/>
      <c r="BN461" s="13"/>
      <c r="BQ461" s="114"/>
    </row>
    <row r="462" spans="1:69" ht="20.100000000000001" customHeight="1" x14ac:dyDescent="0.4">
      <c r="A462" s="117"/>
      <c r="B462" s="123"/>
      <c r="C462" s="123"/>
      <c r="D462" s="123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27"/>
      <c r="AE462" s="29"/>
      <c r="AG462" s="115"/>
      <c r="AH462" s="115"/>
      <c r="AI462" s="115"/>
      <c r="AJ462" s="115"/>
      <c r="AK462" s="115"/>
      <c r="AL462" s="115"/>
      <c r="AM462" s="115"/>
      <c r="AN462" s="115"/>
      <c r="AO462" s="25"/>
      <c r="AP462" s="13"/>
      <c r="AU462" s="116"/>
      <c r="AV462" s="123"/>
      <c r="AW462" s="123"/>
      <c r="AX462" s="123"/>
      <c r="BC462" s="115"/>
      <c r="BD462" s="115"/>
      <c r="BE462" s="115"/>
      <c r="BF462" s="115"/>
      <c r="BG462" s="115"/>
      <c r="BH462" s="115"/>
      <c r="BI462" s="115"/>
      <c r="BJ462" s="115"/>
      <c r="BK462" s="115"/>
      <c r="BL462" s="115"/>
      <c r="BM462" s="25"/>
      <c r="BN462" s="13"/>
      <c r="BQ462" s="114"/>
    </row>
    <row r="463" spans="1:69" ht="20.100000000000001" customHeight="1" x14ac:dyDescent="0.4">
      <c r="A463" s="117"/>
      <c r="B463" s="123"/>
      <c r="C463" s="123"/>
      <c r="D463" s="123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27"/>
      <c r="AE463" s="29"/>
      <c r="AG463" s="115"/>
      <c r="AH463" s="115"/>
      <c r="AI463" s="115"/>
      <c r="AJ463" s="115"/>
      <c r="AK463" s="115"/>
      <c r="AL463" s="115"/>
      <c r="AM463" s="115"/>
      <c r="AN463" s="115"/>
      <c r="AO463" s="25"/>
      <c r="AP463" s="13"/>
      <c r="AU463" s="116"/>
      <c r="AV463" s="123"/>
      <c r="AW463" s="123"/>
      <c r="AX463" s="123"/>
      <c r="BC463" s="115"/>
      <c r="BD463" s="115"/>
      <c r="BE463" s="115"/>
      <c r="BF463" s="115"/>
      <c r="BG463" s="115"/>
      <c r="BH463" s="115"/>
      <c r="BI463" s="115"/>
      <c r="BJ463" s="115"/>
      <c r="BK463" s="115"/>
      <c r="BL463" s="115"/>
      <c r="BM463" s="25"/>
      <c r="BN463" s="13"/>
      <c r="BQ463" s="114"/>
    </row>
    <row r="464" spans="1:69" ht="20.100000000000001" customHeight="1" x14ac:dyDescent="0.4">
      <c r="A464" s="117"/>
      <c r="B464" s="123"/>
      <c r="C464" s="123"/>
      <c r="D464" s="123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27"/>
      <c r="AE464" s="29"/>
      <c r="AG464" s="115"/>
      <c r="AH464" s="115"/>
      <c r="AI464" s="115"/>
      <c r="AJ464" s="115"/>
      <c r="AK464" s="115"/>
      <c r="AL464" s="115"/>
      <c r="AM464" s="115"/>
      <c r="AN464" s="115"/>
      <c r="AO464" s="25"/>
      <c r="AP464" s="13"/>
      <c r="AU464" s="116"/>
      <c r="AV464" s="123"/>
      <c r="AW464" s="123"/>
      <c r="AX464" s="123"/>
      <c r="BC464" s="115"/>
      <c r="BD464" s="115"/>
      <c r="BE464" s="115"/>
      <c r="BF464" s="115"/>
      <c r="BG464" s="115"/>
      <c r="BH464" s="115"/>
      <c r="BI464" s="115"/>
      <c r="BJ464" s="115"/>
      <c r="BK464" s="115"/>
      <c r="BL464" s="115"/>
      <c r="BM464" s="25"/>
      <c r="BN464" s="13"/>
      <c r="BQ464" s="114"/>
    </row>
    <row r="465" spans="1:69" ht="20.100000000000001" customHeight="1" x14ac:dyDescent="0.4">
      <c r="A465" s="117"/>
      <c r="B465" s="123"/>
      <c r="C465" s="123"/>
      <c r="D465" s="123"/>
      <c r="AD465" s="127"/>
      <c r="AE465" s="29"/>
      <c r="AG465" s="115"/>
      <c r="AH465" s="115"/>
      <c r="AI465" s="115"/>
      <c r="AJ465" s="115"/>
      <c r="AK465" s="115"/>
      <c r="AL465" s="115"/>
      <c r="AM465" s="115"/>
      <c r="AN465" s="115"/>
      <c r="AO465" s="25">
        <v>45673</v>
      </c>
      <c r="AP465" s="13" t="s">
        <v>147</v>
      </c>
      <c r="AU465" s="116"/>
      <c r="AV465" s="123"/>
      <c r="AW465" s="123"/>
      <c r="AX465" s="123"/>
      <c r="BC465" s="115"/>
      <c r="BD465" s="115"/>
      <c r="BE465" s="115"/>
      <c r="BF465" s="115"/>
      <c r="BG465" s="115"/>
      <c r="BH465" s="115"/>
      <c r="BI465" s="115"/>
      <c r="BJ465" s="115"/>
      <c r="BK465" s="115"/>
      <c r="BL465" s="115"/>
      <c r="BM465" s="25"/>
      <c r="BN465" s="13"/>
      <c r="BQ465" s="114"/>
    </row>
    <row r="466" spans="1:69" ht="20.100000000000001" customHeight="1" x14ac:dyDescent="0.4">
      <c r="A466" s="117"/>
      <c r="B466" s="123"/>
      <c r="C466" s="123"/>
      <c r="D466" s="123"/>
      <c r="AD466" s="127"/>
      <c r="AE466" s="29"/>
      <c r="AG466" s="115"/>
      <c r="AH466" s="115"/>
      <c r="AI466" s="115"/>
      <c r="AJ466" s="115"/>
      <c r="AK466" s="115"/>
      <c r="AL466" s="115"/>
      <c r="AM466" s="115"/>
      <c r="AN466" s="115"/>
      <c r="AO466" s="25">
        <v>45673</v>
      </c>
      <c r="AP466" s="13" t="s">
        <v>147</v>
      </c>
      <c r="AU466" s="116"/>
      <c r="AV466" s="123"/>
      <c r="AW466" s="123"/>
      <c r="AX466" s="123"/>
      <c r="BC466" s="115"/>
      <c r="BD466" s="115"/>
      <c r="BE466" s="115"/>
      <c r="BF466" s="115"/>
      <c r="BG466" s="115"/>
      <c r="BH466" s="115"/>
      <c r="BI466" s="115"/>
      <c r="BJ466" s="115"/>
      <c r="BK466" s="115"/>
      <c r="BL466" s="115"/>
      <c r="BM466" s="25"/>
      <c r="BN466" s="13"/>
      <c r="BQ466" s="114"/>
    </row>
    <row r="467" spans="1:69" ht="20.100000000000001" customHeight="1" x14ac:dyDescent="0.4">
      <c r="A467" s="117"/>
      <c r="B467" s="123"/>
      <c r="C467" s="123"/>
      <c r="D467" s="123"/>
      <c r="AD467" s="127"/>
      <c r="AE467" s="29"/>
      <c r="AG467" s="115"/>
      <c r="AH467" s="115"/>
      <c r="AI467" s="115"/>
      <c r="AJ467" s="115"/>
      <c r="AK467" s="115"/>
      <c r="AL467" s="115"/>
      <c r="AM467" s="115"/>
      <c r="AN467" s="115"/>
      <c r="AO467" s="25">
        <v>45675</v>
      </c>
      <c r="AP467" s="13" t="s">
        <v>147</v>
      </c>
      <c r="AU467" s="116"/>
      <c r="AV467" s="123"/>
      <c r="AW467" s="123"/>
      <c r="AX467" s="123"/>
      <c r="BC467" s="115"/>
      <c r="BD467" s="115"/>
      <c r="BE467" s="115"/>
      <c r="BF467" s="115"/>
      <c r="BG467" s="115"/>
      <c r="BH467" s="115"/>
      <c r="BI467" s="115"/>
      <c r="BJ467" s="115"/>
      <c r="BK467" s="115"/>
      <c r="BL467" s="115"/>
      <c r="BM467" s="25"/>
      <c r="BN467" s="13"/>
      <c r="BQ467" s="114"/>
    </row>
    <row r="468" spans="1:69" ht="20.100000000000001" customHeight="1" x14ac:dyDescent="0.4">
      <c r="A468" s="117"/>
      <c r="B468" s="123"/>
      <c r="C468" s="123"/>
      <c r="D468" s="123"/>
      <c r="AD468" s="127"/>
      <c r="AE468" s="29"/>
      <c r="AG468" s="115"/>
      <c r="AH468" s="115"/>
      <c r="AI468" s="115"/>
      <c r="AJ468" s="115"/>
      <c r="AK468" s="115"/>
      <c r="AL468" s="115"/>
      <c r="AM468" s="115"/>
      <c r="AN468" s="115"/>
      <c r="AO468" s="25"/>
      <c r="AP468" s="13"/>
      <c r="AU468" s="116"/>
      <c r="AV468" s="123"/>
      <c r="AW468" s="123"/>
      <c r="AX468" s="123"/>
      <c r="BC468" s="115"/>
      <c r="BD468" s="115"/>
      <c r="BE468" s="115"/>
      <c r="BF468" s="115"/>
      <c r="BG468" s="115"/>
      <c r="BH468" s="115"/>
      <c r="BI468" s="115"/>
      <c r="BJ468" s="115"/>
      <c r="BK468" s="115"/>
      <c r="BL468" s="115"/>
      <c r="BM468" s="25"/>
      <c r="BN468" s="13"/>
      <c r="BQ468" s="114"/>
    </row>
    <row r="469" spans="1:69" ht="20.100000000000001" customHeight="1" x14ac:dyDescent="0.4">
      <c r="A469" s="117"/>
      <c r="B469" s="123"/>
      <c r="C469" s="123"/>
      <c r="D469" s="123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27"/>
      <c r="AE469" s="29"/>
      <c r="AG469" s="115"/>
      <c r="AH469" s="115"/>
      <c r="AI469" s="115"/>
      <c r="AJ469" s="115"/>
      <c r="AK469" s="115"/>
      <c r="AL469" s="115"/>
      <c r="AM469" s="115"/>
      <c r="AN469" s="115"/>
      <c r="AO469" s="25"/>
      <c r="AP469" s="13"/>
      <c r="AU469" s="116"/>
      <c r="AV469" s="123"/>
      <c r="AW469" s="123"/>
      <c r="AX469" s="123"/>
      <c r="BC469" s="115"/>
      <c r="BD469" s="115"/>
      <c r="BE469" s="115"/>
      <c r="BF469" s="115"/>
      <c r="BG469" s="115"/>
      <c r="BH469" s="115"/>
      <c r="BI469" s="115"/>
      <c r="BJ469" s="115"/>
      <c r="BK469" s="115"/>
      <c r="BL469" s="115"/>
      <c r="BM469" s="25"/>
      <c r="BN469" s="13"/>
      <c r="BQ469" s="114"/>
    </row>
    <row r="470" spans="1:69" ht="20.100000000000001" customHeight="1" x14ac:dyDescent="0.4">
      <c r="A470" s="117"/>
      <c r="B470" s="123"/>
      <c r="C470" s="123"/>
      <c r="D470" s="123"/>
      <c r="AD470" s="127"/>
      <c r="AE470" s="29"/>
      <c r="AG470" s="115"/>
      <c r="AH470" s="115"/>
      <c r="AI470" s="115"/>
      <c r="AJ470" s="115"/>
      <c r="AK470" s="115"/>
      <c r="AL470" s="115"/>
      <c r="AM470" s="115"/>
      <c r="AN470" s="115"/>
      <c r="AO470" s="25">
        <v>45675</v>
      </c>
      <c r="AP470" s="15" t="s">
        <v>147</v>
      </c>
      <c r="AU470" s="116"/>
      <c r="AV470" s="123"/>
      <c r="AW470" s="123"/>
      <c r="AX470" s="123"/>
      <c r="BC470" s="115"/>
      <c r="BD470" s="115"/>
      <c r="BE470" s="115"/>
      <c r="BF470" s="115"/>
      <c r="BG470" s="115"/>
      <c r="BH470" s="115"/>
      <c r="BI470" s="115"/>
      <c r="BJ470" s="115"/>
      <c r="BK470" s="115"/>
      <c r="BL470" s="115"/>
      <c r="BM470" s="25"/>
      <c r="BN470" s="13"/>
      <c r="BQ470" s="114"/>
    </row>
    <row r="471" spans="1:69" ht="20.100000000000001" customHeight="1" x14ac:dyDescent="0.4">
      <c r="A471" s="117"/>
      <c r="B471" s="123"/>
      <c r="C471" s="123"/>
      <c r="D471" s="123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25"/>
      <c r="AP471" s="13"/>
      <c r="AU471" s="116"/>
      <c r="AV471" s="123"/>
      <c r="AW471" s="123"/>
      <c r="AX471" s="123"/>
      <c r="BC471" s="115"/>
      <c r="BD471" s="115"/>
      <c r="BE471" s="115"/>
      <c r="BF471" s="115"/>
      <c r="BG471" s="115"/>
      <c r="BH471" s="115"/>
      <c r="BI471" s="115"/>
      <c r="BJ471" s="115"/>
      <c r="BK471" s="115"/>
      <c r="BL471" s="115"/>
      <c r="BM471" s="25"/>
      <c r="BN471" s="13"/>
      <c r="BQ471" s="114"/>
    </row>
    <row r="472" spans="1:69" ht="20.100000000000001" customHeight="1" x14ac:dyDescent="0.4">
      <c r="A472" s="117"/>
      <c r="B472" s="123"/>
      <c r="C472" s="123"/>
      <c r="D472" s="123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25">
        <v>45675</v>
      </c>
      <c r="AP472" s="13" t="s">
        <v>147</v>
      </c>
      <c r="AU472" s="116"/>
      <c r="AV472" s="123"/>
      <c r="AW472" s="123"/>
      <c r="AX472" s="123"/>
      <c r="BC472" s="115"/>
      <c r="BD472" s="115"/>
      <c r="BE472" s="115"/>
      <c r="BF472" s="115"/>
      <c r="BG472" s="115"/>
      <c r="BH472" s="115"/>
      <c r="BI472" s="115"/>
      <c r="BJ472" s="115"/>
      <c r="BK472" s="115"/>
      <c r="BL472" s="115"/>
      <c r="BM472" s="25"/>
      <c r="BN472" s="13"/>
      <c r="BQ472" s="114"/>
    </row>
    <row r="473" spans="1:69" ht="20.100000000000001" customHeight="1" x14ac:dyDescent="0.4">
      <c r="A473" s="117"/>
      <c r="B473" s="123"/>
      <c r="C473" s="123"/>
      <c r="D473" s="123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27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25"/>
      <c r="AP473" s="13"/>
      <c r="AU473" s="116"/>
      <c r="AV473" s="123"/>
      <c r="AW473" s="123"/>
      <c r="AX473" s="123"/>
      <c r="BC473" s="115"/>
      <c r="BD473" s="115"/>
      <c r="BE473" s="115"/>
      <c r="BF473" s="115"/>
      <c r="BG473" s="115"/>
      <c r="BH473" s="115"/>
      <c r="BI473" s="115"/>
      <c r="BJ473" s="115"/>
      <c r="BK473" s="115"/>
      <c r="BL473" s="115"/>
      <c r="BM473" s="25"/>
      <c r="BN473" s="13"/>
      <c r="BQ473" s="114"/>
    </row>
    <row r="474" spans="1:69" ht="20.100000000000001" customHeight="1" x14ac:dyDescent="0.4">
      <c r="A474" s="117"/>
      <c r="B474" s="123"/>
      <c r="C474" s="123"/>
      <c r="D474" s="123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25"/>
      <c r="AP474" s="13"/>
      <c r="AU474" s="116"/>
      <c r="AV474" s="123"/>
      <c r="AW474" s="123"/>
      <c r="AX474" s="123"/>
      <c r="BC474" s="115"/>
      <c r="BD474" s="115"/>
      <c r="BE474" s="115"/>
      <c r="BF474" s="115"/>
      <c r="BG474" s="115"/>
      <c r="BH474" s="115"/>
      <c r="BI474" s="115"/>
      <c r="BJ474" s="115"/>
      <c r="BK474" s="115"/>
      <c r="BL474" s="115"/>
      <c r="BM474" s="25"/>
      <c r="BN474" s="13"/>
      <c r="BQ474" s="114"/>
    </row>
    <row r="475" spans="1:69" ht="20.100000000000001" customHeight="1" x14ac:dyDescent="0.4">
      <c r="A475" s="117"/>
      <c r="B475" s="123"/>
      <c r="C475" s="123"/>
      <c r="D475" s="123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25"/>
      <c r="AP475" s="13"/>
      <c r="AU475" s="116"/>
      <c r="AV475" s="123"/>
      <c r="AW475" s="123"/>
      <c r="AX475" s="123"/>
      <c r="BC475" s="115"/>
      <c r="BD475" s="115"/>
      <c r="BE475" s="115"/>
      <c r="BF475" s="115"/>
      <c r="BG475" s="115"/>
      <c r="BH475" s="115"/>
      <c r="BI475" s="115"/>
      <c r="BJ475" s="115"/>
      <c r="BK475" s="115"/>
      <c r="BL475" s="115"/>
      <c r="BM475" s="25"/>
      <c r="BN475" s="13"/>
      <c r="BQ475" s="114"/>
    </row>
    <row r="476" spans="1:69" ht="20.100000000000001" customHeight="1" x14ac:dyDescent="0.4">
      <c r="A476" s="117"/>
      <c r="B476" s="123"/>
      <c r="C476" s="123"/>
      <c r="D476" s="12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29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25"/>
      <c r="AP476" s="13"/>
      <c r="AU476" s="116"/>
      <c r="AV476" s="123"/>
      <c r="AW476" s="123"/>
      <c r="AX476" s="123"/>
      <c r="BC476" s="115"/>
      <c r="BD476" s="115"/>
      <c r="BE476" s="115"/>
      <c r="BF476" s="115"/>
      <c r="BG476" s="115"/>
      <c r="BH476" s="115"/>
      <c r="BI476" s="115"/>
      <c r="BJ476" s="115"/>
      <c r="BK476" s="115"/>
      <c r="BL476" s="115"/>
      <c r="BM476" s="25"/>
      <c r="BN476" s="13"/>
      <c r="BQ476" s="114"/>
    </row>
    <row r="477" spans="1:69" ht="20.100000000000001" customHeight="1" x14ac:dyDescent="0.4">
      <c r="A477" s="117"/>
      <c r="B477" s="123"/>
      <c r="C477" s="123"/>
      <c r="D477" s="12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27"/>
      <c r="AE477" s="127"/>
      <c r="AG477" s="115"/>
      <c r="AH477" s="115"/>
      <c r="AI477" s="115"/>
      <c r="AJ477" s="115"/>
      <c r="AK477" s="115"/>
      <c r="AL477" s="115"/>
      <c r="AM477" s="115"/>
      <c r="AN477" s="115"/>
      <c r="AO477" s="25"/>
      <c r="AP477" s="13"/>
      <c r="AU477" s="116"/>
      <c r="AV477" s="123"/>
      <c r="AW477" s="123"/>
      <c r="AX477" s="123"/>
      <c r="BC477" s="115"/>
      <c r="BD477" s="115"/>
      <c r="BE477" s="115"/>
      <c r="BF477" s="115"/>
      <c r="BG477" s="115"/>
      <c r="BH477" s="115"/>
      <c r="BI477" s="115"/>
      <c r="BJ477" s="115"/>
      <c r="BK477" s="115"/>
      <c r="BL477" s="115"/>
      <c r="BM477" s="25"/>
      <c r="BN477" s="13"/>
      <c r="BQ477" s="114"/>
    </row>
    <row r="478" spans="1:69" ht="20.100000000000001" customHeight="1" x14ac:dyDescent="0.4">
      <c r="A478" s="117"/>
      <c r="B478" s="123"/>
      <c r="C478" s="123"/>
      <c r="D478" s="123"/>
      <c r="AD478" s="127"/>
      <c r="AE478" s="127"/>
      <c r="AG478" s="115"/>
      <c r="AH478" s="115"/>
      <c r="AI478" s="115"/>
      <c r="AJ478" s="115"/>
      <c r="AK478" s="115"/>
      <c r="AL478" s="115"/>
      <c r="AM478" s="115"/>
      <c r="AN478" s="115"/>
      <c r="AO478" s="25"/>
      <c r="AP478" s="13"/>
      <c r="AU478" s="116"/>
      <c r="AV478" s="123"/>
      <c r="AW478" s="123"/>
      <c r="AX478" s="123"/>
      <c r="BC478" s="115"/>
      <c r="BD478" s="115"/>
      <c r="BE478" s="115"/>
      <c r="BF478" s="115"/>
      <c r="BG478" s="115"/>
      <c r="BH478" s="115"/>
      <c r="BI478" s="115"/>
      <c r="BJ478" s="115"/>
      <c r="BK478" s="115"/>
      <c r="BL478" s="115"/>
      <c r="BM478" s="25"/>
      <c r="BN478" s="13"/>
      <c r="BQ478" s="114"/>
    </row>
    <row r="479" spans="1:69" ht="20.100000000000001" customHeight="1" x14ac:dyDescent="0.4">
      <c r="A479" s="117"/>
      <c r="B479" s="123"/>
      <c r="C479" s="123"/>
      <c r="D479" s="123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27"/>
      <c r="AE479" s="127"/>
      <c r="AG479" s="115"/>
      <c r="AH479" s="115"/>
      <c r="AI479" s="115"/>
      <c r="AJ479" s="115"/>
      <c r="AK479" s="115"/>
      <c r="AL479" s="115"/>
      <c r="AM479" s="115"/>
      <c r="AN479" s="115"/>
      <c r="AO479" s="25"/>
      <c r="AP479" s="13"/>
      <c r="AU479" s="116"/>
      <c r="AV479" s="123"/>
      <c r="AW479" s="123"/>
      <c r="AX479" s="123"/>
      <c r="BC479" s="115"/>
      <c r="BD479" s="115"/>
      <c r="BE479" s="115"/>
      <c r="BF479" s="115"/>
      <c r="BG479" s="115"/>
      <c r="BH479" s="115"/>
      <c r="BI479" s="115"/>
      <c r="BJ479" s="115"/>
      <c r="BK479" s="115"/>
      <c r="BL479" s="115"/>
      <c r="BM479" s="25"/>
      <c r="BN479" s="13"/>
      <c r="BQ479" s="114"/>
    </row>
    <row r="480" spans="1:69" ht="20.100000000000001" customHeight="1" x14ac:dyDescent="0.4">
      <c r="A480" s="117"/>
      <c r="B480" s="123"/>
      <c r="C480" s="123"/>
      <c r="D480" s="123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25"/>
      <c r="AP480" s="13"/>
      <c r="AU480" s="116"/>
      <c r="AV480" s="123"/>
      <c r="AW480" s="123"/>
      <c r="AX480" s="123"/>
      <c r="BC480" s="115"/>
      <c r="BD480" s="115"/>
      <c r="BE480" s="115"/>
      <c r="BF480" s="115"/>
      <c r="BG480" s="115"/>
      <c r="BH480" s="115"/>
      <c r="BI480" s="115"/>
      <c r="BJ480" s="115"/>
      <c r="BK480" s="115"/>
      <c r="BL480" s="115"/>
      <c r="BM480" s="25"/>
      <c r="BN480" s="13"/>
      <c r="BQ480" s="114"/>
    </row>
    <row r="481" spans="1:69" ht="20.100000000000001" customHeight="1" x14ac:dyDescent="0.4">
      <c r="A481" s="117"/>
      <c r="B481" s="123"/>
      <c r="C481" s="123"/>
      <c r="D481" s="123"/>
      <c r="AD481" s="127"/>
      <c r="AE481" s="29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25">
        <v>45675</v>
      </c>
      <c r="AP481" s="13" t="s">
        <v>146</v>
      </c>
      <c r="AU481" s="116"/>
      <c r="AV481" s="123"/>
      <c r="AW481" s="123"/>
      <c r="AX481" s="123"/>
      <c r="BC481" s="115"/>
      <c r="BD481" s="115"/>
      <c r="BE481" s="115"/>
      <c r="BF481" s="115"/>
      <c r="BG481" s="115"/>
      <c r="BH481" s="115"/>
      <c r="BI481" s="115"/>
      <c r="BJ481" s="115"/>
      <c r="BK481" s="115"/>
      <c r="BL481" s="115"/>
      <c r="BM481" s="25"/>
      <c r="BN481" s="13"/>
      <c r="BQ481" s="114"/>
    </row>
    <row r="482" spans="1:69" ht="20.100000000000001" customHeight="1" x14ac:dyDescent="0.4">
      <c r="A482" s="117"/>
      <c r="B482" s="123"/>
      <c r="C482" s="123"/>
      <c r="D482" s="123"/>
      <c r="V482" s="115"/>
      <c r="W482" s="115"/>
      <c r="X482" s="115"/>
      <c r="Y482" s="115"/>
      <c r="Z482" s="115"/>
      <c r="AA482" s="115"/>
      <c r="AB482" s="115"/>
      <c r="AC482" s="115"/>
      <c r="AD482" s="29"/>
      <c r="AE482" s="29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25"/>
      <c r="AP482" s="13"/>
      <c r="AU482" s="116"/>
      <c r="AV482" s="123"/>
      <c r="AW482" s="123"/>
      <c r="AX482" s="123"/>
      <c r="BC482" s="115"/>
      <c r="BD482" s="115"/>
      <c r="BE482" s="115"/>
      <c r="BF482" s="115"/>
      <c r="BG482" s="115"/>
      <c r="BH482" s="115"/>
      <c r="BI482" s="115"/>
      <c r="BJ482" s="115"/>
      <c r="BK482" s="115"/>
      <c r="BL482" s="115"/>
      <c r="BM482" s="25"/>
      <c r="BN482" s="13"/>
      <c r="BQ482" s="114"/>
    </row>
    <row r="483" spans="1:69" ht="20.100000000000001" customHeight="1" x14ac:dyDescent="0.4">
      <c r="A483" s="117"/>
      <c r="B483" s="123"/>
      <c r="C483" s="123"/>
      <c r="D483" s="123"/>
      <c r="AD483" s="127"/>
      <c r="AE483" s="29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25">
        <v>45676</v>
      </c>
      <c r="AP483" s="13" t="s">
        <v>148</v>
      </c>
      <c r="AU483" s="116"/>
      <c r="AV483" s="123"/>
      <c r="AW483" s="123"/>
      <c r="AX483" s="123"/>
      <c r="BC483" s="115"/>
      <c r="BD483" s="115"/>
      <c r="BE483" s="115"/>
      <c r="BF483" s="115"/>
      <c r="BG483" s="115"/>
      <c r="BH483" s="115"/>
      <c r="BI483" s="115"/>
      <c r="BJ483" s="115"/>
      <c r="BK483" s="115"/>
      <c r="BL483" s="115"/>
      <c r="BM483" s="25"/>
      <c r="BN483" s="13"/>
      <c r="BQ483" s="114"/>
    </row>
    <row r="484" spans="1:69" ht="20.100000000000001" customHeight="1" x14ac:dyDescent="0.4">
      <c r="A484" s="117"/>
      <c r="B484" s="123"/>
      <c r="C484" s="123"/>
      <c r="D484" s="123"/>
      <c r="V484" s="115"/>
      <c r="W484" s="115"/>
      <c r="X484" s="115"/>
      <c r="Y484" s="115"/>
      <c r="Z484" s="115"/>
      <c r="AA484" s="115"/>
      <c r="AB484" s="115"/>
      <c r="AC484" s="115"/>
      <c r="AD484" s="29"/>
      <c r="AE484" s="29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25"/>
      <c r="AP484" s="13"/>
      <c r="AU484" s="116"/>
      <c r="AV484" s="123"/>
      <c r="AW484" s="123"/>
      <c r="AX484" s="123"/>
      <c r="BC484" s="115"/>
      <c r="BD484" s="115"/>
      <c r="BE484" s="115"/>
      <c r="BF484" s="115"/>
      <c r="BG484" s="115"/>
      <c r="BH484" s="115"/>
      <c r="BI484" s="115"/>
      <c r="BJ484" s="115"/>
      <c r="BK484" s="115"/>
      <c r="BL484" s="115"/>
      <c r="BM484" s="25"/>
      <c r="BN484" s="13"/>
      <c r="BQ484" s="114"/>
    </row>
    <row r="485" spans="1:69" ht="20.100000000000001" customHeight="1" x14ac:dyDescent="0.4">
      <c r="A485" s="117"/>
      <c r="B485" s="123"/>
      <c r="C485" s="123"/>
      <c r="D485" s="12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27"/>
      <c r="AE485" s="29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25"/>
      <c r="AP485" s="13"/>
      <c r="AU485" s="116"/>
      <c r="AV485" s="123"/>
      <c r="AW485" s="123"/>
      <c r="AX485" s="123"/>
      <c r="BC485" s="115"/>
      <c r="BD485" s="115"/>
      <c r="BE485" s="115"/>
      <c r="BF485" s="115"/>
      <c r="BG485" s="115"/>
      <c r="BH485" s="115"/>
      <c r="BI485" s="115"/>
      <c r="BJ485" s="115"/>
      <c r="BK485" s="115"/>
      <c r="BL485" s="115"/>
      <c r="BM485" s="25"/>
      <c r="BN485" s="13"/>
      <c r="BQ485" s="114"/>
    </row>
    <row r="486" spans="1:69" ht="20.100000000000001" customHeight="1" x14ac:dyDescent="0.4">
      <c r="A486" s="117"/>
      <c r="B486" s="123"/>
      <c r="C486" s="123"/>
      <c r="D486" s="123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29"/>
      <c r="AE486" s="29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25"/>
      <c r="AP486" s="13"/>
      <c r="AU486" s="116"/>
      <c r="AV486" s="123"/>
      <c r="AW486" s="123"/>
      <c r="AX486" s="123"/>
      <c r="BC486" s="115"/>
      <c r="BD486" s="115"/>
      <c r="BE486" s="115"/>
      <c r="BF486" s="115"/>
      <c r="BG486" s="115"/>
      <c r="BH486" s="115"/>
      <c r="BI486" s="115"/>
      <c r="BJ486" s="115"/>
      <c r="BK486" s="115"/>
      <c r="BL486" s="115"/>
      <c r="BM486" s="25"/>
      <c r="BN486" s="13"/>
      <c r="BQ486" s="114"/>
    </row>
    <row r="487" spans="1:69" ht="20.100000000000001" customHeight="1" x14ac:dyDescent="0.4">
      <c r="A487" s="117"/>
      <c r="B487" s="123"/>
      <c r="C487" s="123"/>
      <c r="D487" s="12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27"/>
      <c r="AE487" s="29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25"/>
      <c r="AP487" s="13"/>
      <c r="AU487" s="116"/>
      <c r="AV487" s="123"/>
      <c r="AW487" s="123"/>
      <c r="AX487" s="123"/>
      <c r="BC487" s="115"/>
      <c r="BD487" s="115"/>
      <c r="BE487" s="115"/>
      <c r="BF487" s="115"/>
      <c r="BG487" s="115"/>
      <c r="BH487" s="115"/>
      <c r="BI487" s="115"/>
      <c r="BJ487" s="115"/>
      <c r="BK487" s="115"/>
      <c r="BL487" s="115"/>
      <c r="BM487" s="25"/>
      <c r="BN487" s="13"/>
      <c r="BQ487" s="114"/>
    </row>
    <row r="488" spans="1:69" ht="20.100000000000001" customHeight="1" x14ac:dyDescent="0.4">
      <c r="A488" s="117"/>
      <c r="B488" s="123"/>
      <c r="C488" s="123"/>
      <c r="D488" s="123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27"/>
      <c r="AE488" s="29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25"/>
      <c r="AP488" s="13"/>
      <c r="AU488" s="116"/>
      <c r="AV488" s="123"/>
      <c r="AW488" s="123"/>
      <c r="AX488" s="123"/>
      <c r="BC488" s="115"/>
      <c r="BD488" s="115"/>
      <c r="BE488" s="115"/>
      <c r="BF488" s="115"/>
      <c r="BG488" s="115"/>
      <c r="BH488" s="115"/>
      <c r="BI488" s="115"/>
      <c r="BJ488" s="115"/>
      <c r="BK488" s="115"/>
      <c r="BL488" s="115"/>
      <c r="BM488" s="25"/>
      <c r="BN488" s="13"/>
      <c r="BQ488" s="114"/>
    </row>
    <row r="489" spans="1:69" ht="20.100000000000001" customHeight="1" x14ac:dyDescent="0.4">
      <c r="A489" s="117"/>
      <c r="B489" s="123"/>
      <c r="C489" s="123"/>
      <c r="D489" s="123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27"/>
      <c r="AE489" s="29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25"/>
      <c r="AP489" s="13"/>
      <c r="AU489" s="116"/>
      <c r="AV489" s="123"/>
      <c r="AW489" s="123"/>
      <c r="AX489" s="123"/>
      <c r="BC489" s="115"/>
      <c r="BD489" s="115"/>
      <c r="BE489" s="115"/>
      <c r="BF489" s="115"/>
      <c r="BG489" s="115"/>
      <c r="BH489" s="115"/>
      <c r="BI489" s="115"/>
      <c r="BJ489" s="115"/>
      <c r="BK489" s="115"/>
      <c r="BL489" s="115"/>
      <c r="BM489" s="25"/>
      <c r="BN489" s="13"/>
      <c r="BQ489" s="114"/>
    </row>
    <row r="490" spans="1:69" ht="20.100000000000001" customHeight="1" x14ac:dyDescent="0.4">
      <c r="A490" s="117"/>
      <c r="B490" s="123"/>
      <c r="C490" s="123"/>
      <c r="D490" s="123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27"/>
      <c r="AE490" s="29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25"/>
      <c r="AP490" s="13"/>
      <c r="AU490" s="116"/>
      <c r="AV490" s="123"/>
      <c r="AW490" s="123"/>
      <c r="AX490" s="123"/>
      <c r="BC490" s="115"/>
      <c r="BD490" s="115"/>
      <c r="BE490" s="115"/>
      <c r="BF490" s="115"/>
      <c r="BG490" s="115"/>
      <c r="BH490" s="115"/>
      <c r="BI490" s="115"/>
      <c r="BJ490" s="115"/>
      <c r="BK490" s="115"/>
      <c r="BL490" s="115"/>
      <c r="BM490" s="25"/>
      <c r="BN490" s="13"/>
      <c r="BQ490" s="114"/>
    </row>
    <row r="491" spans="1:69" ht="20.100000000000001" customHeight="1" x14ac:dyDescent="0.4">
      <c r="A491" s="117"/>
      <c r="B491" s="123"/>
      <c r="C491" s="123"/>
      <c r="D491" s="123"/>
      <c r="AD491" s="127"/>
      <c r="AE491" s="29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25">
        <v>45677</v>
      </c>
      <c r="AP491" s="13" t="s">
        <v>146</v>
      </c>
      <c r="AU491" s="116"/>
      <c r="AV491" s="123"/>
      <c r="AW491" s="123"/>
      <c r="AX491" s="123"/>
      <c r="BC491" s="115"/>
      <c r="BD491" s="115"/>
      <c r="BE491" s="115"/>
      <c r="BF491" s="115"/>
      <c r="BG491" s="115"/>
      <c r="BH491" s="115"/>
      <c r="BI491" s="115"/>
      <c r="BJ491" s="115"/>
      <c r="BK491" s="115"/>
      <c r="BL491" s="115"/>
      <c r="BM491" s="25"/>
      <c r="BN491" s="13"/>
      <c r="BQ491" s="114"/>
    </row>
    <row r="492" spans="1:69" ht="20.100000000000001" customHeight="1" x14ac:dyDescent="0.4">
      <c r="A492" s="117"/>
      <c r="B492" s="123"/>
      <c r="C492" s="123"/>
      <c r="D492" s="123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27"/>
      <c r="AE492" s="29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25"/>
      <c r="AP492" s="13"/>
      <c r="AU492" s="116"/>
      <c r="AV492" s="123"/>
      <c r="AW492" s="123"/>
      <c r="AX492" s="123"/>
      <c r="BC492" s="115"/>
      <c r="BD492" s="115"/>
      <c r="BE492" s="115"/>
      <c r="BF492" s="115"/>
      <c r="BG492" s="115"/>
      <c r="BH492" s="115"/>
      <c r="BI492" s="115"/>
      <c r="BJ492" s="115"/>
      <c r="BK492" s="115"/>
      <c r="BL492" s="115"/>
      <c r="BM492" s="25"/>
      <c r="BN492" s="13"/>
      <c r="BQ492" s="114"/>
    </row>
    <row r="493" spans="1:69" ht="20.100000000000001" customHeight="1" x14ac:dyDescent="0.4">
      <c r="A493" s="117"/>
      <c r="B493" s="123"/>
      <c r="C493" s="123"/>
      <c r="D493" s="123"/>
      <c r="AD493" s="127"/>
      <c r="AE493" s="29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25"/>
      <c r="AP493" s="13"/>
      <c r="AU493" s="116"/>
      <c r="AV493" s="123"/>
      <c r="AW493" s="123"/>
      <c r="AX493" s="123"/>
      <c r="BC493" s="115"/>
      <c r="BD493" s="115"/>
      <c r="BE493" s="115"/>
      <c r="BF493" s="115"/>
      <c r="BG493" s="115"/>
      <c r="BH493" s="115"/>
      <c r="BI493" s="115"/>
      <c r="BJ493" s="115"/>
      <c r="BK493" s="115"/>
      <c r="BL493" s="115"/>
      <c r="BM493" s="25"/>
      <c r="BN493" s="13"/>
      <c r="BQ493" s="114"/>
    </row>
    <row r="494" spans="1:69" ht="20.100000000000001" customHeight="1" x14ac:dyDescent="0.4">
      <c r="A494" s="117"/>
      <c r="B494" s="123"/>
      <c r="C494" s="123"/>
      <c r="D494" s="123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27"/>
      <c r="AE494" s="29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25"/>
      <c r="AP494" s="13"/>
      <c r="AU494" s="116"/>
      <c r="AV494" s="123"/>
      <c r="AW494" s="123"/>
      <c r="AX494" s="123"/>
      <c r="BC494" s="115"/>
      <c r="BD494" s="115"/>
      <c r="BE494" s="115"/>
      <c r="BF494" s="115"/>
      <c r="BG494" s="115"/>
      <c r="BH494" s="115"/>
      <c r="BI494" s="115"/>
      <c r="BJ494" s="115"/>
      <c r="BK494" s="115"/>
      <c r="BL494" s="115"/>
      <c r="BM494" s="25"/>
      <c r="BN494" s="13"/>
      <c r="BQ494" s="114"/>
    </row>
    <row r="495" spans="1:69" ht="20.100000000000001" customHeight="1" x14ac:dyDescent="0.4">
      <c r="A495" s="117"/>
      <c r="B495" s="123"/>
      <c r="C495" s="123"/>
      <c r="D495" s="123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27"/>
      <c r="AE495" s="29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25"/>
      <c r="AP495" s="13"/>
      <c r="AU495" s="116"/>
      <c r="AV495" s="123"/>
      <c r="AW495" s="123"/>
      <c r="AX495" s="123"/>
      <c r="BC495" s="115"/>
      <c r="BD495" s="115"/>
      <c r="BE495" s="115"/>
      <c r="BF495" s="115"/>
      <c r="BG495" s="115"/>
      <c r="BH495" s="115"/>
      <c r="BI495" s="115"/>
      <c r="BJ495" s="115"/>
      <c r="BK495" s="115"/>
      <c r="BL495" s="115"/>
      <c r="BM495" s="25"/>
      <c r="BN495" s="13"/>
      <c r="BQ495" s="114"/>
    </row>
    <row r="496" spans="1:69" ht="20.100000000000001" customHeight="1" x14ac:dyDescent="0.4">
      <c r="A496" s="117"/>
      <c r="B496" s="123"/>
      <c r="C496" s="123"/>
      <c r="D496" s="123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27"/>
      <c r="AE496" s="29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25"/>
      <c r="AP496" s="13"/>
      <c r="AU496" s="116"/>
      <c r="AV496" s="123"/>
      <c r="AW496" s="123"/>
      <c r="AX496" s="123"/>
      <c r="BC496" s="115"/>
      <c r="BD496" s="115"/>
      <c r="BE496" s="115"/>
      <c r="BF496" s="115"/>
      <c r="BG496" s="115"/>
      <c r="BH496" s="115"/>
      <c r="BI496" s="115"/>
      <c r="BJ496" s="115"/>
      <c r="BK496" s="115"/>
      <c r="BL496" s="115"/>
      <c r="BM496" s="25"/>
      <c r="BN496" s="13"/>
      <c r="BQ496" s="114"/>
    </row>
    <row r="497" spans="1:69" ht="20.100000000000001" customHeight="1" x14ac:dyDescent="0.4">
      <c r="A497" s="117"/>
      <c r="B497" s="123"/>
      <c r="C497" s="123"/>
      <c r="D497" s="123"/>
      <c r="AD497" s="127"/>
      <c r="AE497" s="29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25">
        <v>45677</v>
      </c>
      <c r="AP497" s="13" t="s">
        <v>146</v>
      </c>
      <c r="AU497" s="116"/>
      <c r="AV497" s="123"/>
      <c r="AW497" s="123"/>
      <c r="AX497" s="123"/>
      <c r="BC497" s="115"/>
      <c r="BD497" s="115"/>
      <c r="BE497" s="115"/>
      <c r="BF497" s="115"/>
      <c r="BG497" s="115"/>
      <c r="BH497" s="115"/>
      <c r="BI497" s="115"/>
      <c r="BJ497" s="115"/>
      <c r="BK497" s="115"/>
      <c r="BL497" s="115"/>
      <c r="BM497" s="25"/>
      <c r="BN497" s="13"/>
      <c r="BQ497" s="114"/>
    </row>
    <row r="498" spans="1:69" ht="20.100000000000001" customHeight="1" x14ac:dyDescent="0.4">
      <c r="A498" s="117"/>
      <c r="B498" s="123"/>
      <c r="C498" s="123"/>
      <c r="D498" s="123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27"/>
      <c r="AE498" s="29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25"/>
      <c r="AP498" s="13"/>
      <c r="AU498" s="116"/>
      <c r="AV498" s="123"/>
      <c r="AW498" s="123"/>
      <c r="AX498" s="123"/>
      <c r="BC498" s="115"/>
      <c r="BD498" s="115"/>
      <c r="BE498" s="115"/>
      <c r="BF498" s="115"/>
      <c r="BG498" s="115"/>
      <c r="BH498" s="115"/>
      <c r="BI498" s="115"/>
      <c r="BJ498" s="115"/>
      <c r="BK498" s="115"/>
      <c r="BL498" s="115"/>
      <c r="BM498" s="25"/>
      <c r="BN498" s="13"/>
      <c r="BQ498" s="114"/>
    </row>
    <row r="499" spans="1:69" ht="20.100000000000001" customHeight="1" x14ac:dyDescent="0.4">
      <c r="A499" s="117"/>
      <c r="B499" s="123"/>
      <c r="C499" s="123"/>
      <c r="D499" s="123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27"/>
      <c r="AE499" s="29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25"/>
      <c r="AP499" s="13"/>
      <c r="AU499" s="116"/>
      <c r="AV499" s="123"/>
      <c r="AW499" s="123"/>
      <c r="AX499" s="123"/>
      <c r="BC499" s="115"/>
      <c r="BD499" s="115"/>
      <c r="BE499" s="115"/>
      <c r="BF499" s="115"/>
      <c r="BG499" s="115"/>
      <c r="BH499" s="115"/>
      <c r="BI499" s="115"/>
      <c r="BJ499" s="115"/>
      <c r="BK499" s="115"/>
      <c r="BL499" s="115"/>
      <c r="BM499" s="25"/>
      <c r="BN499" s="13"/>
      <c r="BQ499" s="114"/>
    </row>
    <row r="500" spans="1:69" ht="20.100000000000001" customHeight="1" x14ac:dyDescent="0.4">
      <c r="A500" s="117"/>
      <c r="B500" s="123"/>
      <c r="C500" s="123"/>
      <c r="D500" s="123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29"/>
      <c r="AE500" s="29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25"/>
      <c r="AP500" s="13"/>
      <c r="AU500" s="116"/>
      <c r="AV500" s="123"/>
      <c r="AW500" s="123"/>
      <c r="AX500" s="123"/>
      <c r="BC500" s="115"/>
      <c r="BD500" s="115"/>
      <c r="BE500" s="115"/>
      <c r="BF500" s="115"/>
      <c r="BG500" s="115"/>
      <c r="BH500" s="115"/>
      <c r="BI500" s="115"/>
      <c r="BJ500" s="115"/>
      <c r="BK500" s="115"/>
      <c r="BL500" s="115"/>
      <c r="BM500" s="25"/>
      <c r="BN500" s="13"/>
      <c r="BQ500" s="114"/>
    </row>
    <row r="501" spans="1:69" ht="20.100000000000001" customHeight="1" x14ac:dyDescent="0.4">
      <c r="A501" s="117"/>
      <c r="B501" s="123"/>
      <c r="C501" s="123"/>
      <c r="D501" s="123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27"/>
      <c r="AE501" s="29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25"/>
      <c r="AP501" s="13"/>
      <c r="AU501" s="116"/>
      <c r="AV501" s="123"/>
      <c r="AW501" s="123"/>
      <c r="AX501" s="123"/>
      <c r="BC501" s="115"/>
      <c r="BD501" s="115"/>
      <c r="BE501" s="115"/>
      <c r="BF501" s="115"/>
      <c r="BG501" s="115"/>
      <c r="BH501" s="115"/>
      <c r="BI501" s="115"/>
      <c r="BJ501" s="115"/>
      <c r="BK501" s="115"/>
      <c r="BL501" s="115"/>
      <c r="BM501" s="25"/>
      <c r="BN501" s="13"/>
      <c r="BQ501" s="114"/>
    </row>
    <row r="502" spans="1:69" ht="20.100000000000001" customHeight="1" x14ac:dyDescent="0.4">
      <c r="A502" s="117"/>
      <c r="B502" s="123"/>
      <c r="C502" s="123"/>
      <c r="D502" s="123"/>
      <c r="AD502" s="127"/>
      <c r="AE502" s="29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25">
        <v>45677</v>
      </c>
      <c r="AP502" s="13" t="s">
        <v>148</v>
      </c>
      <c r="AU502" s="116"/>
      <c r="AV502" s="123"/>
      <c r="AW502" s="123"/>
      <c r="AX502" s="123"/>
      <c r="BC502" s="115"/>
      <c r="BD502" s="115"/>
      <c r="BE502" s="115"/>
      <c r="BF502" s="115"/>
      <c r="BG502" s="115"/>
      <c r="BH502" s="115"/>
      <c r="BI502" s="115"/>
      <c r="BJ502" s="115"/>
      <c r="BK502" s="115"/>
      <c r="BL502" s="115"/>
      <c r="BM502" s="25"/>
      <c r="BN502" s="13"/>
      <c r="BQ502" s="114"/>
    </row>
    <row r="503" spans="1:69" ht="19.5" x14ac:dyDescent="0.4">
      <c r="A503" s="117"/>
      <c r="B503" s="123"/>
      <c r="C503" s="123"/>
      <c r="D503" s="123"/>
      <c r="AD503" s="127"/>
      <c r="AE503" s="29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25"/>
      <c r="AP503" s="13"/>
      <c r="AU503" s="116"/>
      <c r="AV503" s="123"/>
      <c r="AW503" s="123"/>
      <c r="AX503" s="123"/>
      <c r="BC503" s="115"/>
      <c r="BD503" s="115"/>
      <c r="BE503" s="115"/>
      <c r="BF503" s="115"/>
      <c r="BG503" s="115"/>
      <c r="BH503" s="115"/>
      <c r="BI503" s="115"/>
      <c r="BJ503" s="115"/>
      <c r="BK503" s="115"/>
      <c r="BL503" s="115"/>
      <c r="BM503" s="25"/>
      <c r="BN503" s="13"/>
      <c r="BQ503" s="114"/>
    </row>
    <row r="504" spans="1:69" ht="19.5" x14ac:dyDescent="0.4">
      <c r="A504" s="117"/>
      <c r="B504" s="123"/>
      <c r="C504" s="123"/>
      <c r="D504" s="123"/>
      <c r="V504" s="115"/>
      <c r="W504" s="115"/>
      <c r="X504" s="115"/>
      <c r="Y504" s="115"/>
      <c r="Z504" s="115"/>
      <c r="AA504" s="115"/>
      <c r="AB504" s="115"/>
      <c r="AC504" s="115"/>
      <c r="AD504" s="29"/>
      <c r="AE504" s="29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25"/>
      <c r="AP504" s="13"/>
      <c r="AU504" s="116"/>
      <c r="AV504" s="123"/>
      <c r="AW504" s="123"/>
      <c r="AX504" s="123"/>
      <c r="BC504" s="115"/>
      <c r="BD504" s="115"/>
      <c r="BE504" s="115"/>
      <c r="BF504" s="115"/>
      <c r="BG504" s="115"/>
      <c r="BH504" s="115"/>
      <c r="BI504" s="115"/>
      <c r="BJ504" s="115"/>
      <c r="BK504" s="115"/>
      <c r="BL504" s="115"/>
      <c r="BM504" s="25"/>
      <c r="BN504" s="13"/>
      <c r="BQ504" s="114"/>
    </row>
    <row r="505" spans="1:69" ht="19.5" x14ac:dyDescent="0.4">
      <c r="A505" s="117"/>
      <c r="B505" s="123"/>
      <c r="C505" s="123"/>
      <c r="D505" s="123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27"/>
      <c r="AE505" s="29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25"/>
      <c r="AP505" s="13"/>
      <c r="AU505" s="116"/>
      <c r="AV505" s="123"/>
      <c r="AW505" s="123"/>
      <c r="AX505" s="123"/>
      <c r="BC505" s="115"/>
      <c r="BD505" s="115"/>
      <c r="BE505" s="115"/>
      <c r="BF505" s="115"/>
      <c r="BG505" s="115"/>
      <c r="BH505" s="115"/>
      <c r="BI505" s="115"/>
      <c r="BJ505" s="115"/>
      <c r="BK505" s="115"/>
      <c r="BL505" s="115"/>
      <c r="BM505" s="25"/>
      <c r="BN505" s="13"/>
      <c r="BQ505" s="114"/>
    </row>
    <row r="506" spans="1:69" ht="19.5" x14ac:dyDescent="0.4">
      <c r="A506" s="117"/>
      <c r="B506" s="123"/>
      <c r="C506" s="123"/>
      <c r="D506" s="123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29"/>
      <c r="AE506" s="29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25"/>
      <c r="AP506" s="13"/>
      <c r="AU506" s="116"/>
      <c r="AV506" s="123"/>
      <c r="AW506" s="123"/>
      <c r="AX506" s="123"/>
      <c r="BC506" s="115"/>
      <c r="BD506" s="115"/>
      <c r="BE506" s="115"/>
      <c r="BF506" s="115"/>
      <c r="BG506" s="115"/>
      <c r="BH506" s="115"/>
      <c r="BI506" s="115"/>
      <c r="BJ506" s="115"/>
      <c r="BK506" s="115"/>
      <c r="BL506" s="115"/>
      <c r="BM506" s="25"/>
      <c r="BN506" s="13"/>
      <c r="BQ506" s="114"/>
    </row>
    <row r="507" spans="1:69" ht="19.5" x14ac:dyDescent="0.4">
      <c r="A507" s="117"/>
      <c r="B507" s="123"/>
      <c r="C507" s="123"/>
      <c r="D507" s="123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27"/>
      <c r="AE507" s="29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25"/>
      <c r="AP507" s="13"/>
      <c r="AU507" s="116"/>
      <c r="AV507" s="123"/>
      <c r="AW507" s="123"/>
      <c r="AX507" s="123"/>
      <c r="BC507" s="115"/>
      <c r="BD507" s="115"/>
      <c r="BE507" s="115"/>
      <c r="BF507" s="115"/>
      <c r="BG507" s="115"/>
      <c r="BH507" s="115"/>
      <c r="BI507" s="115"/>
      <c r="BJ507" s="115"/>
      <c r="BK507" s="115"/>
      <c r="BL507" s="115"/>
      <c r="BM507" s="25"/>
      <c r="BN507" s="13"/>
      <c r="BQ507" s="114"/>
    </row>
    <row r="508" spans="1:69" ht="19.5" x14ac:dyDescent="0.4">
      <c r="A508" s="117"/>
      <c r="B508" s="123"/>
      <c r="C508" s="123"/>
      <c r="D508" s="123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29"/>
      <c r="AE508" s="29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25"/>
      <c r="AP508" s="13"/>
      <c r="AU508" s="116"/>
      <c r="AV508" s="123"/>
      <c r="AW508" s="123"/>
      <c r="AX508" s="123"/>
      <c r="BC508" s="115"/>
      <c r="BD508" s="115"/>
      <c r="BE508" s="115"/>
      <c r="BF508" s="115"/>
      <c r="BG508" s="115"/>
      <c r="BH508" s="115"/>
      <c r="BI508" s="115"/>
      <c r="BJ508" s="115"/>
      <c r="BK508" s="115"/>
      <c r="BL508" s="115"/>
      <c r="BM508" s="25"/>
      <c r="BN508" s="13"/>
      <c r="BQ508" s="114"/>
    </row>
    <row r="509" spans="1:69" ht="19.5" x14ac:dyDescent="0.4">
      <c r="A509" s="117"/>
      <c r="B509" s="123"/>
      <c r="C509" s="123"/>
      <c r="D509" s="123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27"/>
      <c r="AE509" s="29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25"/>
      <c r="AP509" s="13"/>
      <c r="AU509" s="116"/>
      <c r="AV509" s="123"/>
      <c r="AW509" s="123"/>
      <c r="AX509" s="123"/>
      <c r="BC509" s="115"/>
      <c r="BD509" s="115"/>
      <c r="BE509" s="115"/>
      <c r="BF509" s="115"/>
      <c r="BG509" s="115"/>
      <c r="BH509" s="115"/>
      <c r="BI509" s="115"/>
      <c r="BJ509" s="115"/>
      <c r="BK509" s="115"/>
      <c r="BL509" s="115"/>
      <c r="BM509" s="25"/>
      <c r="BN509" s="13"/>
      <c r="BQ509" s="114"/>
    </row>
    <row r="510" spans="1:69" ht="19.5" x14ac:dyDescent="0.4">
      <c r="A510" s="117"/>
      <c r="B510" s="123"/>
      <c r="C510" s="123"/>
      <c r="D510" s="123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27"/>
      <c r="AE510" s="29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25"/>
      <c r="AP510" s="13"/>
      <c r="AU510" s="116"/>
      <c r="AV510" s="123"/>
      <c r="AW510" s="123"/>
      <c r="AX510" s="123"/>
      <c r="BC510" s="115"/>
      <c r="BD510" s="115"/>
      <c r="BE510" s="115"/>
      <c r="BF510" s="115"/>
      <c r="BG510" s="115"/>
      <c r="BH510" s="115"/>
      <c r="BI510" s="115"/>
      <c r="BJ510" s="115"/>
      <c r="BK510" s="115"/>
      <c r="BL510" s="115"/>
      <c r="BM510" s="25"/>
      <c r="BN510" s="13"/>
      <c r="BQ510" s="114"/>
    </row>
    <row r="511" spans="1:69" ht="19.5" x14ac:dyDescent="0.4">
      <c r="A511" s="117"/>
      <c r="B511" s="123"/>
      <c r="C511" s="123"/>
      <c r="D511" s="123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27"/>
      <c r="AE511" s="29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25"/>
      <c r="AP511" s="13"/>
      <c r="AU511" s="116"/>
      <c r="AV511" s="123"/>
      <c r="AW511" s="123"/>
      <c r="AX511" s="123"/>
      <c r="BC511" s="115"/>
      <c r="BD511" s="115"/>
      <c r="BE511" s="115"/>
      <c r="BF511" s="115"/>
      <c r="BG511" s="115"/>
      <c r="BH511" s="115"/>
      <c r="BI511" s="115"/>
      <c r="BJ511" s="115"/>
      <c r="BK511" s="115"/>
      <c r="BL511" s="115"/>
      <c r="BM511" s="25"/>
      <c r="BN511" s="13"/>
      <c r="BQ511" s="114"/>
    </row>
    <row r="512" spans="1:69" ht="19.5" x14ac:dyDescent="0.4">
      <c r="A512" s="117"/>
      <c r="B512" s="123"/>
      <c r="C512" s="123"/>
      <c r="D512" s="123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29"/>
      <c r="AE512" s="29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25"/>
      <c r="AP512" s="13"/>
      <c r="AU512" s="116"/>
      <c r="AV512" s="123"/>
      <c r="AW512" s="123"/>
      <c r="AX512" s="123"/>
      <c r="BC512" s="115"/>
      <c r="BD512" s="115"/>
      <c r="BE512" s="115"/>
      <c r="BF512" s="115"/>
      <c r="BG512" s="115"/>
      <c r="BH512" s="115"/>
      <c r="BI512" s="115"/>
      <c r="BJ512" s="115"/>
      <c r="BK512" s="115"/>
      <c r="BL512" s="115"/>
      <c r="BM512" s="25"/>
      <c r="BN512" s="13"/>
      <c r="BQ512" s="114"/>
    </row>
    <row r="513" spans="1:69" ht="19.5" x14ac:dyDescent="0.4">
      <c r="A513" s="117"/>
      <c r="B513" s="123"/>
      <c r="C513" s="123"/>
      <c r="D513" s="123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27"/>
      <c r="AE513" s="29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25"/>
      <c r="AP513" s="13"/>
      <c r="AU513" s="116"/>
      <c r="AV513" s="123"/>
      <c r="AW513" s="123"/>
      <c r="AX513" s="123"/>
      <c r="BC513" s="115"/>
      <c r="BD513" s="115"/>
      <c r="BE513" s="115"/>
      <c r="BF513" s="115"/>
      <c r="BG513" s="115"/>
      <c r="BH513" s="115"/>
      <c r="BI513" s="115"/>
      <c r="BJ513" s="115"/>
      <c r="BK513" s="115"/>
      <c r="BL513" s="115"/>
      <c r="BM513" s="25"/>
      <c r="BN513" s="13"/>
      <c r="BQ513" s="114"/>
    </row>
    <row r="514" spans="1:69" ht="19.5" x14ac:dyDescent="0.4">
      <c r="A514" s="117"/>
      <c r="B514" s="123"/>
      <c r="C514" s="123"/>
      <c r="D514" s="123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29"/>
      <c r="AE514" s="29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25"/>
      <c r="AP514" s="13"/>
      <c r="AU514" s="116"/>
      <c r="AV514" s="123"/>
      <c r="AW514" s="123"/>
      <c r="AX514" s="123"/>
      <c r="BC514" s="115"/>
      <c r="BD514" s="115"/>
      <c r="BE514" s="115"/>
      <c r="BF514" s="115"/>
      <c r="BG514" s="115"/>
      <c r="BH514" s="115"/>
      <c r="BI514" s="115"/>
      <c r="BJ514" s="115"/>
      <c r="BK514" s="115"/>
      <c r="BL514" s="115"/>
      <c r="BM514" s="25"/>
      <c r="BN514" s="13"/>
      <c r="BQ514" s="114"/>
    </row>
    <row r="515" spans="1:69" ht="19.5" x14ac:dyDescent="0.4">
      <c r="A515" s="117"/>
      <c r="B515" s="123"/>
      <c r="C515" s="123"/>
      <c r="D515" s="123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27"/>
      <c r="AE515" s="29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25"/>
      <c r="AP515" s="13"/>
      <c r="AU515" s="116"/>
      <c r="AV515" s="123"/>
      <c r="AW515" s="123"/>
      <c r="AX515" s="123"/>
      <c r="BC515" s="115"/>
      <c r="BD515" s="115"/>
      <c r="BE515" s="115"/>
      <c r="BF515" s="115"/>
      <c r="BG515" s="115"/>
      <c r="BH515" s="115"/>
      <c r="BI515" s="115"/>
      <c r="BJ515" s="115"/>
      <c r="BK515" s="115"/>
      <c r="BL515" s="115"/>
      <c r="BM515" s="25"/>
      <c r="BN515" s="13"/>
      <c r="BQ515" s="114"/>
    </row>
    <row r="516" spans="1:69" ht="19.5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29"/>
      <c r="AE516" s="29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25"/>
      <c r="AP516" s="13"/>
      <c r="AU516" s="116"/>
      <c r="AV516" s="123"/>
      <c r="AW516" s="123"/>
      <c r="AX516" s="123"/>
      <c r="BC516" s="115"/>
      <c r="BD516" s="115"/>
      <c r="BE516" s="115"/>
      <c r="BF516" s="115"/>
      <c r="BG516" s="115"/>
      <c r="BH516" s="115"/>
      <c r="BI516" s="115"/>
      <c r="BJ516" s="115"/>
      <c r="BK516" s="115"/>
      <c r="BL516" s="115"/>
      <c r="BM516" s="25"/>
      <c r="BN516" s="13"/>
      <c r="BQ516" s="114"/>
    </row>
    <row r="517" spans="1:69" ht="19.5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29"/>
      <c r="AE517" s="29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25"/>
      <c r="AP517" s="13"/>
      <c r="AU517" s="116"/>
      <c r="AV517" s="123"/>
      <c r="AW517" s="123"/>
      <c r="AX517" s="123"/>
      <c r="BC517" s="115"/>
      <c r="BD517" s="115"/>
      <c r="BE517" s="115"/>
      <c r="BF517" s="115"/>
      <c r="BG517" s="115"/>
      <c r="BH517" s="115"/>
      <c r="BI517" s="115"/>
      <c r="BJ517" s="115"/>
      <c r="BK517" s="115"/>
      <c r="BL517" s="115"/>
      <c r="BM517" s="25"/>
      <c r="BN517" s="13"/>
      <c r="BQ517" s="114"/>
    </row>
    <row r="518" spans="1:69" ht="19.5" x14ac:dyDescent="0.4">
      <c r="A518" s="117"/>
      <c r="B518" s="123"/>
      <c r="C518" s="123"/>
      <c r="D518" s="123"/>
      <c r="AD518" s="127"/>
      <c r="AE518" s="29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25">
        <v>45677</v>
      </c>
      <c r="AP518" s="13" t="s">
        <v>146</v>
      </c>
      <c r="AU518" s="116"/>
      <c r="AV518" s="123"/>
      <c r="AW518" s="123"/>
      <c r="AX518" s="123"/>
      <c r="BC518" s="115"/>
      <c r="BD518" s="115"/>
      <c r="BE518" s="115"/>
      <c r="BF518" s="115"/>
      <c r="BG518" s="115"/>
      <c r="BH518" s="115"/>
      <c r="BI518" s="115"/>
      <c r="BJ518" s="115"/>
      <c r="BK518" s="115"/>
      <c r="BL518" s="115"/>
      <c r="BM518" s="25"/>
      <c r="BN518" s="13"/>
      <c r="BQ518" s="114"/>
    </row>
    <row r="519" spans="1:69" ht="19.5" x14ac:dyDescent="0.4">
      <c r="A519" s="117"/>
      <c r="B519" s="123"/>
      <c r="C519" s="123"/>
      <c r="D519" s="123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27"/>
      <c r="AE519" s="29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25"/>
      <c r="AP519" s="13"/>
      <c r="AU519" s="116"/>
      <c r="AV519" s="123"/>
      <c r="AW519" s="123"/>
      <c r="AX519" s="123"/>
      <c r="BC519" s="115"/>
      <c r="BD519" s="115"/>
      <c r="BE519" s="115"/>
      <c r="BF519" s="115"/>
      <c r="BG519" s="115"/>
      <c r="BH519" s="115"/>
      <c r="BI519" s="115"/>
      <c r="BJ519" s="115"/>
      <c r="BK519" s="115"/>
      <c r="BL519" s="115"/>
      <c r="BM519" s="25"/>
      <c r="BN519" s="13"/>
      <c r="BQ519" s="114"/>
    </row>
    <row r="520" spans="1:69" ht="19.5" x14ac:dyDescent="0.4">
      <c r="A520" s="117"/>
      <c r="B520" s="123"/>
      <c r="C520" s="123"/>
      <c r="D520" s="123"/>
      <c r="AD520" s="127"/>
      <c r="AE520" s="29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25"/>
      <c r="AP520" s="13"/>
      <c r="AU520" s="116"/>
      <c r="AV520" s="123"/>
      <c r="AW520" s="123"/>
      <c r="AX520" s="123"/>
      <c r="BC520" s="115"/>
      <c r="BD520" s="115"/>
      <c r="BE520" s="115"/>
      <c r="BF520" s="115"/>
      <c r="BG520" s="115"/>
      <c r="BH520" s="115"/>
      <c r="BI520" s="115"/>
      <c r="BJ520" s="115"/>
      <c r="BK520" s="115"/>
      <c r="BL520" s="115"/>
      <c r="BM520" s="25"/>
      <c r="BN520" s="13"/>
      <c r="BQ520" s="114"/>
    </row>
    <row r="521" spans="1:69" ht="19.5" x14ac:dyDescent="0.4">
      <c r="A521" s="117"/>
      <c r="B521" s="123"/>
      <c r="C521" s="123"/>
      <c r="D521" s="123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27"/>
      <c r="AE521" s="29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25"/>
      <c r="AP521" s="13"/>
      <c r="AU521" s="116"/>
      <c r="AV521" s="123"/>
      <c r="AW521" s="123"/>
      <c r="AX521" s="123"/>
      <c r="BC521" s="115"/>
      <c r="BD521" s="115"/>
      <c r="BE521" s="115"/>
      <c r="BF521" s="115"/>
      <c r="BG521" s="115"/>
      <c r="BH521" s="115"/>
      <c r="BI521" s="115"/>
      <c r="BJ521" s="115"/>
      <c r="BK521" s="115"/>
      <c r="BL521" s="115"/>
      <c r="BM521" s="25"/>
      <c r="BN521" s="13"/>
      <c r="BQ521" s="114"/>
    </row>
    <row r="522" spans="1:69" ht="19.5" x14ac:dyDescent="0.4">
      <c r="A522" s="117"/>
      <c r="B522" s="123"/>
      <c r="C522" s="123"/>
      <c r="D522" s="123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25"/>
      <c r="AP522" s="13"/>
      <c r="AU522" s="116"/>
      <c r="AV522" s="123"/>
      <c r="AW522" s="123"/>
      <c r="AX522" s="123"/>
      <c r="BC522" s="115"/>
      <c r="BD522" s="115"/>
      <c r="BE522" s="115"/>
      <c r="BF522" s="115"/>
      <c r="BG522" s="115"/>
      <c r="BH522" s="115"/>
      <c r="BI522" s="115"/>
      <c r="BJ522" s="115"/>
      <c r="BK522" s="115"/>
      <c r="BL522" s="115"/>
      <c r="BM522" s="25"/>
      <c r="BN522" s="13"/>
      <c r="BQ522" s="114"/>
    </row>
    <row r="523" spans="1:69" ht="19.5" x14ac:dyDescent="0.4">
      <c r="A523" s="117"/>
      <c r="B523" s="123"/>
      <c r="C523" s="123"/>
      <c r="D523" s="123"/>
      <c r="AD523" s="127"/>
      <c r="AE523" s="29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25"/>
      <c r="AP523" s="13"/>
      <c r="AU523" s="116"/>
      <c r="AV523" s="123"/>
      <c r="AW523" s="123"/>
      <c r="AX523" s="123"/>
      <c r="BC523" s="115"/>
      <c r="BD523" s="115"/>
      <c r="BE523" s="115"/>
      <c r="BF523" s="115"/>
      <c r="BG523" s="115"/>
      <c r="BH523" s="115"/>
      <c r="BI523" s="115"/>
      <c r="BJ523" s="115"/>
      <c r="BK523" s="115"/>
      <c r="BL523" s="115"/>
      <c r="BM523" s="25"/>
      <c r="BN523" s="13"/>
      <c r="BQ523" s="114"/>
    </row>
    <row r="524" spans="1:69" ht="19.5" x14ac:dyDescent="0.4">
      <c r="A524" s="117"/>
      <c r="B524" s="123"/>
      <c r="C524" s="123"/>
      <c r="D524" s="123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25"/>
      <c r="AP524" s="13"/>
      <c r="AU524" s="116"/>
      <c r="AV524" s="123"/>
      <c r="AW524" s="123"/>
      <c r="AX524" s="123"/>
      <c r="BC524" s="115"/>
      <c r="BD524" s="115"/>
      <c r="BE524" s="115"/>
      <c r="BF524" s="115"/>
      <c r="BG524" s="115"/>
      <c r="BH524" s="115"/>
      <c r="BI524" s="115"/>
      <c r="BJ524" s="115"/>
      <c r="BK524" s="115"/>
      <c r="BL524" s="115"/>
      <c r="BM524" s="25"/>
      <c r="BN524" s="13"/>
      <c r="BQ524" s="114"/>
    </row>
    <row r="525" spans="1:69" ht="19.5" x14ac:dyDescent="0.4">
      <c r="A525" s="117"/>
      <c r="B525" s="123"/>
      <c r="C525" s="123"/>
      <c r="D525" s="123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25"/>
      <c r="AP525" s="13"/>
      <c r="AU525" s="116"/>
      <c r="AV525" s="123"/>
      <c r="AW525" s="123"/>
      <c r="AX525" s="123"/>
      <c r="BC525" s="115"/>
      <c r="BD525" s="115"/>
      <c r="BE525" s="115"/>
      <c r="BF525" s="115"/>
      <c r="BG525" s="115"/>
      <c r="BH525" s="115"/>
      <c r="BI525" s="115"/>
      <c r="BJ525" s="115"/>
      <c r="BK525" s="115"/>
      <c r="BL525" s="115"/>
      <c r="BM525" s="25"/>
      <c r="BN525" s="13"/>
      <c r="BQ525" s="114"/>
    </row>
    <row r="526" spans="1:69" ht="19.5" x14ac:dyDescent="0.4">
      <c r="A526" s="117"/>
      <c r="B526" s="123"/>
      <c r="C526" s="123"/>
      <c r="D526" s="123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25"/>
      <c r="AP526" s="13"/>
      <c r="AU526" s="116"/>
      <c r="AV526" s="123"/>
      <c r="AW526" s="123"/>
      <c r="AX526" s="123"/>
      <c r="BC526" s="115"/>
      <c r="BD526" s="115"/>
      <c r="BE526" s="115"/>
      <c r="BF526" s="115"/>
      <c r="BG526" s="115"/>
      <c r="BH526" s="115"/>
      <c r="BI526" s="115"/>
      <c r="BJ526" s="115"/>
      <c r="BK526" s="115"/>
      <c r="BL526" s="115"/>
      <c r="BM526" s="25"/>
      <c r="BN526" s="13"/>
      <c r="BQ526" s="114"/>
    </row>
    <row r="527" spans="1:69" ht="19.5" x14ac:dyDescent="0.4">
      <c r="A527" s="117"/>
      <c r="B527" s="123"/>
      <c r="C527" s="123"/>
      <c r="D527" s="123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25"/>
      <c r="AP527" s="13"/>
      <c r="AU527" s="116"/>
      <c r="AV527" s="123"/>
      <c r="AW527" s="123"/>
      <c r="AX527" s="123"/>
      <c r="BC527" s="115"/>
      <c r="BD527" s="115"/>
      <c r="BE527" s="115"/>
      <c r="BF527" s="115"/>
      <c r="BG527" s="115"/>
      <c r="BH527" s="115"/>
      <c r="BI527" s="115"/>
      <c r="BJ527" s="115"/>
      <c r="BK527" s="115"/>
      <c r="BL527" s="115"/>
      <c r="BM527" s="25"/>
      <c r="BN527" s="13"/>
      <c r="BQ527" s="114"/>
    </row>
    <row r="528" spans="1:69" ht="19.5" x14ac:dyDescent="0.4">
      <c r="A528" s="117"/>
      <c r="B528" s="123"/>
      <c r="C528" s="123"/>
      <c r="D528" s="123"/>
      <c r="AD528" s="127"/>
      <c r="AE528" s="29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25">
        <v>45677</v>
      </c>
      <c r="AP528" s="13" t="s">
        <v>147</v>
      </c>
      <c r="AU528" s="116"/>
      <c r="AV528" s="123"/>
      <c r="AW528" s="123"/>
      <c r="AX528" s="123"/>
      <c r="BC528" s="115"/>
      <c r="BD528" s="115"/>
      <c r="BE528" s="115"/>
      <c r="BF528" s="115"/>
      <c r="BG528" s="115"/>
      <c r="BH528" s="115"/>
      <c r="BI528" s="115"/>
      <c r="BJ528" s="115"/>
      <c r="BK528" s="115"/>
      <c r="BL528" s="115"/>
      <c r="BM528" s="25"/>
      <c r="BN528" s="13"/>
      <c r="BQ528" s="114"/>
    </row>
    <row r="529" spans="1:69" ht="19.5" x14ac:dyDescent="0.4">
      <c r="A529" s="117"/>
      <c r="B529" s="123"/>
      <c r="C529" s="123"/>
      <c r="D529" s="123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25"/>
      <c r="AP529" s="13"/>
      <c r="AU529" s="116"/>
      <c r="AV529" s="123"/>
      <c r="AW529" s="123"/>
      <c r="AX529" s="123"/>
      <c r="BC529" s="115"/>
      <c r="BD529" s="115"/>
      <c r="BE529" s="115"/>
      <c r="BF529" s="115"/>
      <c r="BG529" s="115"/>
      <c r="BH529" s="115"/>
      <c r="BI529" s="115"/>
      <c r="BJ529" s="115"/>
      <c r="BK529" s="115"/>
      <c r="BL529" s="115"/>
      <c r="BM529" s="25"/>
      <c r="BN529" s="13"/>
      <c r="BQ529" s="114"/>
    </row>
    <row r="530" spans="1:69" ht="19.5" x14ac:dyDescent="0.4">
      <c r="A530" s="117"/>
      <c r="B530" s="123"/>
      <c r="C530" s="123"/>
      <c r="D530" s="123"/>
      <c r="AD530" s="127"/>
      <c r="AE530" s="29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25">
        <v>45677</v>
      </c>
      <c r="AP530" s="25" t="s">
        <v>147</v>
      </c>
      <c r="AU530" s="116"/>
      <c r="AV530" s="123"/>
      <c r="AW530" s="123"/>
      <c r="AX530" s="123"/>
      <c r="BC530" s="115"/>
      <c r="BD530" s="115"/>
      <c r="BE530" s="115"/>
      <c r="BF530" s="115"/>
      <c r="BG530" s="115"/>
      <c r="BH530" s="115"/>
      <c r="BI530" s="115"/>
      <c r="BJ530" s="115"/>
      <c r="BK530" s="115"/>
      <c r="BL530" s="115"/>
      <c r="BM530" s="25"/>
      <c r="BN530" s="13"/>
      <c r="BQ530" s="114"/>
    </row>
    <row r="531" spans="1:69" ht="19.5" x14ac:dyDescent="0.4">
      <c r="A531" s="117"/>
      <c r="B531" s="123"/>
      <c r="C531" s="123"/>
      <c r="D531" s="123"/>
      <c r="AD531" s="127"/>
      <c r="AE531" s="29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25"/>
      <c r="AP531" s="25"/>
      <c r="AU531" s="116"/>
      <c r="AV531" s="123"/>
      <c r="AW531" s="123"/>
      <c r="AX531" s="123"/>
      <c r="BC531" s="115"/>
      <c r="BD531" s="115"/>
      <c r="BE531" s="115"/>
      <c r="BF531" s="115"/>
      <c r="BG531" s="115"/>
      <c r="BH531" s="115"/>
      <c r="BI531" s="115"/>
      <c r="BJ531" s="115"/>
      <c r="BK531" s="115"/>
      <c r="BL531" s="115"/>
      <c r="BM531" s="25"/>
      <c r="BN531" s="13"/>
      <c r="BQ531" s="114"/>
    </row>
    <row r="532" spans="1:69" ht="19.5" x14ac:dyDescent="0.4">
      <c r="A532" s="117"/>
      <c r="B532" s="123"/>
      <c r="C532" s="123"/>
      <c r="D532" s="123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27"/>
      <c r="AE532" s="29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25"/>
      <c r="AP532" s="25"/>
      <c r="AU532" s="116"/>
      <c r="AV532" s="123"/>
      <c r="AW532" s="123"/>
      <c r="AX532" s="123"/>
      <c r="BC532" s="115"/>
      <c r="BD532" s="115"/>
      <c r="BE532" s="115"/>
      <c r="BF532" s="115"/>
      <c r="BG532" s="115"/>
      <c r="BH532" s="115"/>
      <c r="BI532" s="115"/>
      <c r="BJ532" s="115"/>
      <c r="BK532" s="115"/>
      <c r="BL532" s="115"/>
      <c r="BM532" s="25"/>
      <c r="BN532" s="13"/>
      <c r="BQ532" s="114"/>
    </row>
    <row r="533" spans="1:69" ht="19.5" x14ac:dyDescent="0.4">
      <c r="A533" s="117"/>
      <c r="B533" s="123"/>
      <c r="C533" s="123"/>
      <c r="D533" s="123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27"/>
      <c r="AE533" s="29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25"/>
      <c r="AP533" s="25"/>
      <c r="AU533" s="116"/>
      <c r="AV533" s="123"/>
      <c r="AW533" s="123"/>
      <c r="AX533" s="123"/>
      <c r="BC533" s="115"/>
      <c r="BD533" s="115"/>
      <c r="BE533" s="115"/>
      <c r="BF533" s="115"/>
      <c r="BG533" s="115"/>
      <c r="BH533" s="115"/>
      <c r="BI533" s="115"/>
      <c r="BJ533" s="115"/>
      <c r="BK533" s="115"/>
      <c r="BL533" s="115"/>
      <c r="BM533" s="25"/>
      <c r="BN533" s="13"/>
      <c r="BQ533" s="114"/>
    </row>
    <row r="534" spans="1:69" ht="19.5" x14ac:dyDescent="0.4">
      <c r="A534" s="117"/>
      <c r="B534" s="123"/>
      <c r="C534" s="123"/>
      <c r="D534" s="123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27"/>
      <c r="AE534" s="29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25"/>
      <c r="AP534" s="25"/>
      <c r="AU534" s="116"/>
      <c r="AV534" s="123"/>
      <c r="AW534" s="123"/>
      <c r="AX534" s="123"/>
      <c r="BC534" s="115"/>
      <c r="BD534" s="115"/>
      <c r="BE534" s="115"/>
      <c r="BF534" s="115"/>
      <c r="BG534" s="115"/>
      <c r="BH534" s="115"/>
      <c r="BI534" s="115"/>
      <c r="BJ534" s="115"/>
      <c r="BK534" s="115"/>
      <c r="BL534" s="115"/>
      <c r="BM534" s="25"/>
      <c r="BN534" s="13"/>
      <c r="BQ534" s="114"/>
    </row>
    <row r="535" spans="1:69" ht="19.5" x14ac:dyDescent="0.4">
      <c r="A535" s="117"/>
      <c r="B535" s="123"/>
      <c r="C535" s="123"/>
      <c r="D535" s="123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29"/>
      <c r="AE535" s="29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25"/>
      <c r="AP535" s="25"/>
      <c r="AU535" s="116"/>
      <c r="AV535" s="123"/>
      <c r="AW535" s="123"/>
      <c r="AX535" s="123"/>
      <c r="BC535" s="115"/>
      <c r="BD535" s="115"/>
      <c r="BE535" s="115"/>
      <c r="BF535" s="115"/>
      <c r="BG535" s="115"/>
      <c r="BH535" s="115"/>
      <c r="BI535" s="115"/>
      <c r="BJ535" s="115"/>
      <c r="BK535" s="115"/>
      <c r="BL535" s="115"/>
      <c r="BM535" s="25"/>
      <c r="BN535" s="13"/>
      <c r="BQ535" s="114"/>
    </row>
    <row r="536" spans="1:69" ht="19.5" x14ac:dyDescent="0.4">
      <c r="A536" s="117"/>
      <c r="B536" s="123"/>
      <c r="C536" s="123"/>
      <c r="D536" s="123"/>
      <c r="AD536" s="127"/>
      <c r="AE536" s="29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25">
        <v>45678</v>
      </c>
      <c r="AP536" s="13" t="s">
        <v>147</v>
      </c>
      <c r="AU536" s="116"/>
      <c r="AV536" s="123"/>
      <c r="AW536" s="123"/>
      <c r="AX536" s="123"/>
      <c r="BC536" s="115"/>
      <c r="BD536" s="115"/>
      <c r="BE536" s="115"/>
      <c r="BF536" s="115"/>
      <c r="BG536" s="115"/>
      <c r="BH536" s="115"/>
      <c r="BI536" s="115"/>
      <c r="BJ536" s="115"/>
      <c r="BK536" s="115"/>
      <c r="BL536" s="115"/>
      <c r="BM536" s="25"/>
      <c r="BN536" s="13"/>
      <c r="BQ536" s="114"/>
    </row>
    <row r="537" spans="1:69" ht="19.5" x14ac:dyDescent="0.4">
      <c r="A537" s="117"/>
      <c r="B537" s="123"/>
      <c r="C537" s="123"/>
      <c r="D537" s="123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27"/>
      <c r="AE537" s="29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25"/>
      <c r="AP537" s="13"/>
      <c r="AU537" s="116"/>
      <c r="AV537" s="123"/>
      <c r="AW537" s="123"/>
      <c r="AX537" s="123"/>
      <c r="BC537" s="115"/>
      <c r="BD537" s="115"/>
      <c r="BE537" s="115"/>
      <c r="BF537" s="115"/>
      <c r="BG537" s="115"/>
      <c r="BH537" s="115"/>
      <c r="BI537" s="115"/>
      <c r="BJ537" s="115"/>
      <c r="BK537" s="115"/>
      <c r="BL537" s="115"/>
      <c r="BM537" s="25"/>
      <c r="BN537" s="13"/>
      <c r="BQ537" s="114"/>
    </row>
    <row r="538" spans="1:69" ht="19.5" x14ac:dyDescent="0.4">
      <c r="A538" s="117"/>
      <c r="B538" s="123"/>
      <c r="C538" s="123"/>
      <c r="D538" s="123"/>
      <c r="AD538" s="127"/>
      <c r="AE538" s="29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25">
        <v>45678</v>
      </c>
      <c r="AP538" s="13" t="s">
        <v>146</v>
      </c>
      <c r="AU538" s="116"/>
      <c r="AV538" s="123"/>
      <c r="AW538" s="123"/>
      <c r="AX538" s="123"/>
      <c r="BC538" s="115"/>
      <c r="BD538" s="115"/>
      <c r="BE538" s="115"/>
      <c r="BF538" s="115"/>
      <c r="BG538" s="115"/>
      <c r="BH538" s="115"/>
      <c r="BI538" s="115"/>
      <c r="BJ538" s="115"/>
      <c r="BK538" s="115"/>
      <c r="BL538" s="115"/>
      <c r="BM538" s="25"/>
      <c r="BN538" s="13"/>
      <c r="BQ538" s="114"/>
    </row>
    <row r="539" spans="1:69" ht="19.5" x14ac:dyDescent="0.4">
      <c r="A539" s="117"/>
      <c r="B539" s="123"/>
      <c r="C539" s="123"/>
      <c r="D539" s="123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25"/>
      <c r="AP539" s="13"/>
      <c r="AU539" s="116"/>
      <c r="AV539" s="123"/>
      <c r="AW539" s="123"/>
      <c r="AX539" s="123"/>
      <c r="BC539" s="115"/>
      <c r="BD539" s="115"/>
      <c r="BE539" s="115"/>
      <c r="BF539" s="115"/>
      <c r="BG539" s="115"/>
      <c r="BH539" s="115"/>
      <c r="BI539" s="115"/>
      <c r="BJ539" s="115"/>
      <c r="BK539" s="115"/>
      <c r="BL539" s="115"/>
      <c r="BM539" s="25"/>
      <c r="BN539" s="13"/>
      <c r="BQ539" s="114"/>
    </row>
    <row r="540" spans="1:69" ht="19.5" x14ac:dyDescent="0.4">
      <c r="A540" s="117"/>
      <c r="B540" s="123"/>
      <c r="C540" s="123"/>
      <c r="D540" s="123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27"/>
      <c r="AE540" s="29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25"/>
      <c r="AP540" s="13"/>
      <c r="AU540" s="116"/>
      <c r="AV540" s="123"/>
      <c r="AW540" s="123"/>
      <c r="AX540" s="123"/>
      <c r="BC540" s="115"/>
      <c r="BD540" s="115"/>
      <c r="BE540" s="115"/>
      <c r="BF540" s="115"/>
      <c r="BG540" s="115"/>
      <c r="BH540" s="115"/>
      <c r="BI540" s="115"/>
      <c r="BJ540" s="115"/>
      <c r="BK540" s="115"/>
      <c r="BL540" s="115"/>
      <c r="BM540" s="25"/>
      <c r="BN540" s="13"/>
      <c r="BQ540" s="114"/>
    </row>
    <row r="541" spans="1:69" ht="19.5" x14ac:dyDescent="0.4">
      <c r="A541" s="117"/>
      <c r="B541" s="123"/>
      <c r="C541" s="123"/>
      <c r="D541" s="123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27"/>
      <c r="AE541" s="29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25"/>
      <c r="AP541" s="13"/>
      <c r="AU541" s="116"/>
      <c r="AV541" s="123"/>
      <c r="AW541" s="123"/>
      <c r="AX541" s="123"/>
      <c r="BC541" s="115"/>
      <c r="BD541" s="115"/>
      <c r="BE541" s="115"/>
      <c r="BF541" s="115"/>
      <c r="BG541" s="115"/>
      <c r="BH541" s="115"/>
      <c r="BI541" s="115"/>
      <c r="BJ541" s="115"/>
      <c r="BK541" s="115"/>
      <c r="BL541" s="115"/>
      <c r="BM541" s="25"/>
      <c r="BN541" s="13"/>
      <c r="BQ541" s="114"/>
    </row>
    <row r="542" spans="1:69" ht="19.5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27"/>
      <c r="AE542" s="29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25"/>
      <c r="AP542" s="13"/>
      <c r="AU542" s="116"/>
      <c r="AV542" s="123"/>
      <c r="AW542" s="123"/>
      <c r="AX542" s="123"/>
      <c r="BC542" s="115"/>
      <c r="BD542" s="115"/>
      <c r="BE542" s="115"/>
      <c r="BF542" s="115"/>
      <c r="BG542" s="115"/>
      <c r="BH542" s="115"/>
      <c r="BI542" s="115"/>
      <c r="BJ542" s="115"/>
      <c r="BK542" s="115"/>
      <c r="BL542" s="115"/>
      <c r="BM542" s="25"/>
      <c r="BN542" s="13"/>
      <c r="BQ542" s="114"/>
    </row>
    <row r="543" spans="1:69" ht="19.5" x14ac:dyDescent="0.4">
      <c r="A543" s="117"/>
      <c r="B543" s="123"/>
      <c r="C543" s="123"/>
      <c r="D543" s="123"/>
      <c r="AD543" s="127"/>
      <c r="AE543" s="29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25">
        <v>45678</v>
      </c>
      <c r="AP543" s="13" t="s">
        <v>148</v>
      </c>
      <c r="AU543" s="116"/>
      <c r="AV543" s="123"/>
      <c r="AW543" s="123"/>
      <c r="AX543" s="123"/>
      <c r="BC543" s="115"/>
      <c r="BD543" s="115"/>
      <c r="BE543" s="115"/>
      <c r="BF543" s="115"/>
      <c r="BG543" s="115"/>
      <c r="BH543" s="115"/>
      <c r="BI543" s="115"/>
      <c r="BJ543" s="115"/>
      <c r="BK543" s="115"/>
      <c r="BL543" s="115"/>
      <c r="BM543" s="25"/>
      <c r="BN543" s="13"/>
      <c r="BQ543" s="114"/>
    </row>
    <row r="544" spans="1:69" ht="19.5" x14ac:dyDescent="0.4">
      <c r="A544" s="117"/>
      <c r="B544" s="123"/>
      <c r="C544" s="123"/>
      <c r="D544" s="123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25"/>
      <c r="AP544" s="13"/>
      <c r="AU544" s="116"/>
      <c r="AV544" s="123"/>
      <c r="AW544" s="123"/>
      <c r="AX544" s="123"/>
      <c r="BC544" s="115"/>
      <c r="BD544" s="115"/>
      <c r="BE544" s="115"/>
      <c r="BF544" s="115"/>
      <c r="BG544" s="115"/>
      <c r="BH544" s="115"/>
      <c r="BI544" s="115"/>
      <c r="BJ544" s="115"/>
      <c r="BK544" s="115"/>
      <c r="BL544" s="115"/>
      <c r="BM544" s="25"/>
      <c r="BN544" s="13"/>
      <c r="BQ544" s="114"/>
    </row>
    <row r="545" spans="1:69" ht="19.5" x14ac:dyDescent="0.4">
      <c r="A545" s="117"/>
      <c r="B545" s="123"/>
      <c r="C545" s="123"/>
      <c r="D545" s="123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25"/>
      <c r="AP545" s="13"/>
      <c r="AU545" s="116"/>
      <c r="AV545" s="123"/>
      <c r="AW545" s="123"/>
      <c r="AX545" s="123"/>
      <c r="BC545" s="115"/>
      <c r="BD545" s="115"/>
      <c r="BE545" s="115"/>
      <c r="BF545" s="115"/>
      <c r="BG545" s="115"/>
      <c r="BH545" s="115"/>
      <c r="BI545" s="115"/>
      <c r="BJ545" s="115"/>
      <c r="BK545" s="115"/>
      <c r="BL545" s="115"/>
      <c r="BM545" s="25"/>
      <c r="BN545" s="13"/>
      <c r="BQ545" s="114"/>
    </row>
    <row r="546" spans="1:69" ht="19.5" x14ac:dyDescent="0.4">
      <c r="A546" s="117"/>
      <c r="B546" s="123"/>
      <c r="C546" s="123"/>
      <c r="D546" s="123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27"/>
      <c r="AE546" s="134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25"/>
      <c r="AP546" s="13"/>
      <c r="AU546" s="116"/>
      <c r="AV546" s="123"/>
      <c r="AW546" s="123"/>
      <c r="AX546" s="123"/>
      <c r="BC546" s="115"/>
      <c r="BD546" s="115"/>
      <c r="BE546" s="115"/>
      <c r="BF546" s="115"/>
      <c r="BG546" s="115"/>
      <c r="BH546" s="115"/>
      <c r="BI546" s="115"/>
      <c r="BJ546" s="115"/>
      <c r="BK546" s="115"/>
      <c r="BL546" s="115"/>
      <c r="BM546" s="25"/>
      <c r="BN546" s="13"/>
      <c r="BQ546" s="114"/>
    </row>
    <row r="547" spans="1:69" ht="19.5" x14ac:dyDescent="0.4">
      <c r="A547" s="117"/>
      <c r="B547" s="123"/>
      <c r="C547" s="123"/>
      <c r="D547" s="123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27"/>
      <c r="AE547" s="29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25"/>
      <c r="AP547" s="13"/>
      <c r="AU547" s="116"/>
      <c r="AV547" s="123"/>
      <c r="AW547" s="123"/>
      <c r="AX547" s="123"/>
      <c r="BC547" s="115"/>
      <c r="BD547" s="115"/>
      <c r="BE547" s="115"/>
      <c r="BF547" s="115"/>
      <c r="BG547" s="115"/>
      <c r="BH547" s="115"/>
      <c r="BI547" s="115"/>
      <c r="BJ547" s="115"/>
      <c r="BK547" s="115"/>
      <c r="BL547" s="115"/>
      <c r="BM547" s="25"/>
      <c r="BN547" s="13"/>
      <c r="BQ547" s="114"/>
    </row>
    <row r="548" spans="1:69" ht="19.5" x14ac:dyDescent="0.4">
      <c r="A548" s="117"/>
      <c r="B548" s="123"/>
      <c r="C548" s="123"/>
      <c r="D548" s="123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27"/>
      <c r="AE548" s="29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25"/>
      <c r="AP548" s="13"/>
      <c r="AU548" s="116"/>
      <c r="AV548" s="123"/>
      <c r="AW548" s="123"/>
      <c r="AX548" s="123"/>
      <c r="BC548" s="115"/>
      <c r="BD548" s="115"/>
      <c r="BE548" s="115"/>
      <c r="BF548" s="115"/>
      <c r="BG548" s="115"/>
      <c r="BH548" s="115"/>
      <c r="BI548" s="115"/>
      <c r="BJ548" s="115"/>
      <c r="BK548" s="115"/>
      <c r="BL548" s="115"/>
      <c r="BM548" s="25"/>
      <c r="BN548" s="13"/>
      <c r="BQ548" s="114"/>
    </row>
    <row r="549" spans="1:69" ht="19.5" x14ac:dyDescent="0.4">
      <c r="A549" s="117"/>
      <c r="B549" s="123"/>
      <c r="C549" s="123"/>
      <c r="D549" s="123"/>
      <c r="AD549" s="127"/>
      <c r="AE549" s="29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25">
        <v>45678</v>
      </c>
      <c r="AP549" s="13" t="s">
        <v>148</v>
      </c>
      <c r="AU549" s="116"/>
      <c r="AV549" s="123"/>
      <c r="AW549" s="123"/>
      <c r="AX549" s="123"/>
      <c r="BC549" s="115"/>
      <c r="BD549" s="115"/>
      <c r="BE549" s="115"/>
      <c r="BF549" s="115"/>
      <c r="BG549" s="115"/>
      <c r="BH549" s="115"/>
      <c r="BI549" s="115"/>
      <c r="BJ549" s="115"/>
      <c r="BK549" s="115"/>
      <c r="BL549" s="115"/>
      <c r="BM549" s="25"/>
      <c r="BN549" s="13"/>
      <c r="BQ549" s="114"/>
    </row>
    <row r="550" spans="1:69" ht="19.5" x14ac:dyDescent="0.4">
      <c r="A550" s="117"/>
      <c r="B550" s="123"/>
      <c r="C550" s="123"/>
      <c r="D550" s="123"/>
      <c r="AD550" s="127"/>
      <c r="AE550" s="29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25">
        <v>45678</v>
      </c>
      <c r="AP550" s="13" t="s">
        <v>148</v>
      </c>
      <c r="AU550" s="116"/>
      <c r="AV550" s="123"/>
      <c r="AW550" s="123"/>
      <c r="AX550" s="123"/>
      <c r="BC550" s="115"/>
      <c r="BD550" s="115"/>
      <c r="BE550" s="115"/>
      <c r="BF550" s="115"/>
      <c r="BG550" s="115"/>
      <c r="BH550" s="115"/>
      <c r="BI550" s="115"/>
      <c r="BJ550" s="115"/>
      <c r="BK550" s="115"/>
      <c r="BL550" s="115"/>
      <c r="BM550" s="25"/>
      <c r="BN550" s="13"/>
      <c r="BQ550" s="114"/>
    </row>
    <row r="551" spans="1:69" ht="19.5" x14ac:dyDescent="0.4">
      <c r="A551" s="117"/>
      <c r="B551" s="123"/>
      <c r="C551" s="123"/>
      <c r="D551" s="123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27"/>
      <c r="AE551" s="29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25"/>
      <c r="AP551" s="13"/>
      <c r="AU551" s="116"/>
      <c r="AV551" s="123"/>
      <c r="AW551" s="123"/>
      <c r="AX551" s="123"/>
      <c r="BC551" s="115"/>
      <c r="BD551" s="115"/>
      <c r="BE551" s="115"/>
      <c r="BF551" s="115"/>
      <c r="BG551" s="115"/>
      <c r="BH551" s="115"/>
      <c r="BI551" s="115"/>
      <c r="BJ551" s="115"/>
      <c r="BK551" s="115"/>
      <c r="BL551" s="115"/>
      <c r="BM551" s="25"/>
      <c r="BN551" s="13"/>
      <c r="BQ551" s="114"/>
    </row>
    <row r="552" spans="1:69" ht="19.5" x14ac:dyDescent="0.4">
      <c r="A552" s="117"/>
      <c r="B552" s="123"/>
      <c r="C552" s="123"/>
      <c r="D552" s="123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25"/>
      <c r="AP552" s="13"/>
      <c r="AU552" s="116"/>
      <c r="AV552" s="123"/>
      <c r="AW552" s="123"/>
      <c r="AX552" s="123"/>
      <c r="BC552" s="115"/>
      <c r="BD552" s="115"/>
      <c r="BE552" s="115"/>
      <c r="BF552" s="115"/>
      <c r="BG552" s="115"/>
      <c r="BH552" s="115"/>
      <c r="BI552" s="115"/>
      <c r="BJ552" s="115"/>
      <c r="BK552" s="115"/>
      <c r="BL552" s="115"/>
      <c r="BM552" s="25"/>
      <c r="BN552" s="13"/>
      <c r="BQ552" s="114"/>
    </row>
    <row r="553" spans="1:69" ht="19.5" x14ac:dyDescent="0.4">
      <c r="A553" s="117"/>
      <c r="B553" s="123"/>
      <c r="C553" s="123"/>
      <c r="D553" s="123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27"/>
      <c r="AE553" s="29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25"/>
      <c r="AP553" s="13"/>
      <c r="AU553" s="116"/>
      <c r="AV553" s="123"/>
      <c r="AW553" s="123"/>
      <c r="AX553" s="123"/>
      <c r="BC553" s="115"/>
      <c r="BD553" s="115"/>
      <c r="BE553" s="115"/>
      <c r="BF553" s="115"/>
      <c r="BG553" s="115"/>
      <c r="BH553" s="115"/>
      <c r="BI553" s="115"/>
      <c r="BJ553" s="115"/>
      <c r="BK553" s="115"/>
      <c r="BL553" s="115"/>
      <c r="BM553" s="25"/>
      <c r="BN553" s="13"/>
      <c r="BQ553" s="114"/>
    </row>
    <row r="554" spans="1:69" ht="19.5" x14ac:dyDescent="0.4">
      <c r="A554" s="117"/>
      <c r="B554" s="123"/>
      <c r="C554" s="123"/>
      <c r="D554" s="123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27"/>
      <c r="AE554" s="29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25"/>
      <c r="AP554" s="13"/>
      <c r="AU554" s="116"/>
      <c r="AV554" s="123"/>
      <c r="AW554" s="123"/>
      <c r="AX554" s="123"/>
      <c r="BC554" s="115"/>
      <c r="BD554" s="115"/>
      <c r="BE554" s="115"/>
      <c r="BF554" s="115"/>
      <c r="BG554" s="115"/>
      <c r="BH554" s="115"/>
      <c r="BI554" s="115"/>
      <c r="BJ554" s="115"/>
      <c r="BK554" s="115"/>
      <c r="BL554" s="115"/>
      <c r="BM554" s="25"/>
      <c r="BN554" s="13"/>
      <c r="BQ554" s="114"/>
    </row>
    <row r="555" spans="1:69" ht="19.5" x14ac:dyDescent="0.4">
      <c r="A555" s="117"/>
      <c r="B555" s="123"/>
      <c r="C555" s="123"/>
      <c r="D555" s="123"/>
      <c r="AD555" s="127"/>
      <c r="AE555" s="29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25">
        <v>45679</v>
      </c>
      <c r="AP555" s="15" t="s">
        <v>146</v>
      </c>
      <c r="AU555" s="116"/>
      <c r="AV555" s="123"/>
      <c r="AW555" s="123"/>
      <c r="AX555" s="123"/>
      <c r="BC555" s="115"/>
      <c r="BD555" s="115"/>
      <c r="BE555" s="115"/>
      <c r="BF555" s="115"/>
      <c r="BG555" s="115"/>
      <c r="BH555" s="115"/>
      <c r="BI555" s="115"/>
      <c r="BJ555" s="115"/>
      <c r="BK555" s="115"/>
      <c r="BL555" s="115"/>
      <c r="BM555" s="25"/>
      <c r="BN555" s="13"/>
      <c r="BQ555" s="114"/>
    </row>
    <row r="556" spans="1:69" ht="19.5" x14ac:dyDescent="0.4">
      <c r="A556" s="117"/>
      <c r="B556" s="123"/>
      <c r="C556" s="123"/>
      <c r="D556" s="123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25"/>
      <c r="AP556" s="15"/>
      <c r="AU556" s="116"/>
      <c r="AV556" s="123"/>
      <c r="AW556" s="123"/>
      <c r="AX556" s="123"/>
      <c r="BC556" s="115"/>
      <c r="BD556" s="115"/>
      <c r="BE556" s="115"/>
      <c r="BF556" s="115"/>
      <c r="BG556" s="115"/>
      <c r="BH556" s="115"/>
      <c r="BI556" s="115"/>
      <c r="BJ556" s="115"/>
      <c r="BK556" s="115"/>
      <c r="BL556" s="115"/>
      <c r="BM556" s="25"/>
      <c r="BN556" s="13"/>
      <c r="BQ556" s="114"/>
    </row>
    <row r="557" spans="1:69" ht="19.5" x14ac:dyDescent="0.4">
      <c r="A557" s="117"/>
      <c r="B557" s="123"/>
      <c r="C557" s="123"/>
      <c r="D557" s="123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25"/>
      <c r="AP557" s="15"/>
      <c r="AU557" s="116"/>
      <c r="AV557" s="123"/>
      <c r="AW557" s="123"/>
      <c r="AX557" s="123"/>
      <c r="BC557" s="115"/>
      <c r="BD557" s="115"/>
      <c r="BE557" s="115"/>
      <c r="BF557" s="115"/>
      <c r="BG557" s="115"/>
      <c r="BH557" s="115"/>
      <c r="BI557" s="115"/>
      <c r="BJ557" s="115"/>
      <c r="BK557" s="115"/>
      <c r="BL557" s="115"/>
      <c r="BM557" s="25"/>
      <c r="BN557" s="13"/>
      <c r="BQ557" s="114"/>
    </row>
    <row r="558" spans="1:69" ht="19.5" x14ac:dyDescent="0.4">
      <c r="A558" s="117"/>
      <c r="B558" s="123"/>
      <c r="C558" s="123"/>
      <c r="D558" s="123"/>
      <c r="AD558" s="127"/>
      <c r="AE558" s="29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25"/>
      <c r="AP558" s="15"/>
      <c r="AU558" s="116"/>
      <c r="AV558" s="123"/>
      <c r="AW558" s="123"/>
      <c r="AX558" s="123"/>
      <c r="BC558" s="115"/>
      <c r="BD558" s="115"/>
      <c r="BE558" s="115"/>
      <c r="BF558" s="115"/>
      <c r="BG558" s="115"/>
      <c r="BH558" s="115"/>
      <c r="BI558" s="115"/>
      <c r="BJ558" s="115"/>
      <c r="BK558" s="115"/>
      <c r="BL558" s="115"/>
      <c r="BM558" s="25"/>
      <c r="BN558" s="13"/>
      <c r="BQ558" s="114"/>
    </row>
    <row r="559" spans="1:69" ht="19.5" x14ac:dyDescent="0.4">
      <c r="A559" s="117"/>
      <c r="B559" s="123"/>
      <c r="C559" s="123"/>
      <c r="D559" s="123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27"/>
      <c r="AE559" s="29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25"/>
      <c r="AP559" s="15"/>
      <c r="AU559" s="116"/>
      <c r="AV559" s="123"/>
      <c r="AW559" s="123"/>
      <c r="AX559" s="123"/>
      <c r="BC559" s="115"/>
      <c r="BD559" s="115"/>
      <c r="BE559" s="115"/>
      <c r="BF559" s="115"/>
      <c r="BG559" s="115"/>
      <c r="BH559" s="115"/>
      <c r="BI559" s="115"/>
      <c r="BJ559" s="115"/>
      <c r="BK559" s="115"/>
      <c r="BL559" s="115"/>
      <c r="BM559" s="25"/>
      <c r="BN559" s="13"/>
      <c r="BQ559" s="114"/>
    </row>
    <row r="560" spans="1:69" ht="19.5" x14ac:dyDescent="0.4">
      <c r="A560" s="117"/>
      <c r="B560" s="123"/>
      <c r="C560" s="123"/>
      <c r="D560" s="123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29"/>
      <c r="AE560" s="29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25"/>
      <c r="AP560" s="15"/>
      <c r="AU560" s="116"/>
      <c r="AV560" s="123"/>
      <c r="AW560" s="123"/>
      <c r="AX560" s="123"/>
      <c r="BC560" s="115"/>
      <c r="BD560" s="115"/>
      <c r="BE560" s="115"/>
      <c r="BF560" s="115"/>
      <c r="BG560" s="115"/>
      <c r="BH560" s="115"/>
      <c r="BI560" s="115"/>
      <c r="BJ560" s="115"/>
      <c r="BK560" s="115"/>
      <c r="BL560" s="115"/>
      <c r="BM560" s="25"/>
      <c r="BN560" s="13"/>
      <c r="BQ560" s="114"/>
    </row>
    <row r="561" spans="1:69" ht="19.5" x14ac:dyDescent="0.4">
      <c r="A561" s="117"/>
      <c r="B561" s="123"/>
      <c r="C561" s="123"/>
      <c r="D561" s="123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27"/>
      <c r="AE561" s="29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25"/>
      <c r="AP561" s="15"/>
      <c r="AU561" s="116"/>
      <c r="AV561" s="123"/>
      <c r="AW561" s="123"/>
      <c r="AX561" s="123"/>
      <c r="BC561" s="115"/>
      <c r="BD561" s="115"/>
      <c r="BE561" s="115"/>
      <c r="BF561" s="115"/>
      <c r="BG561" s="115"/>
      <c r="BH561" s="115"/>
      <c r="BI561" s="115"/>
      <c r="BJ561" s="115"/>
      <c r="BK561" s="115"/>
      <c r="BL561" s="115"/>
      <c r="BM561" s="25"/>
      <c r="BN561" s="13"/>
      <c r="BQ561" s="114"/>
    </row>
    <row r="562" spans="1:69" ht="19.5" x14ac:dyDescent="0.4">
      <c r="A562" s="117"/>
      <c r="B562" s="123"/>
      <c r="C562" s="123"/>
      <c r="D562" s="123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25"/>
      <c r="AP562" s="15"/>
      <c r="AU562" s="116"/>
      <c r="AV562" s="123"/>
      <c r="AW562" s="123"/>
      <c r="AX562" s="123"/>
      <c r="BC562" s="115"/>
      <c r="BD562" s="115"/>
      <c r="BE562" s="115"/>
      <c r="BF562" s="115"/>
      <c r="BG562" s="115"/>
      <c r="BH562" s="115"/>
      <c r="BI562" s="115"/>
      <c r="BJ562" s="115"/>
      <c r="BK562" s="115"/>
      <c r="BL562" s="115"/>
      <c r="BM562" s="25"/>
      <c r="BN562" s="13"/>
      <c r="BQ562" s="114"/>
    </row>
    <row r="563" spans="1:69" ht="19.5" x14ac:dyDescent="0.4">
      <c r="A563" s="117"/>
      <c r="B563" s="123"/>
      <c r="C563" s="123"/>
      <c r="D563" s="123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27"/>
      <c r="AE563" s="29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25"/>
      <c r="AP563" s="15"/>
      <c r="AU563" s="116"/>
      <c r="AV563" s="123"/>
      <c r="AW563" s="123"/>
      <c r="AX563" s="123"/>
      <c r="BC563" s="115"/>
      <c r="BD563" s="115"/>
      <c r="BE563" s="115"/>
      <c r="BF563" s="115"/>
      <c r="BG563" s="115"/>
      <c r="BH563" s="115"/>
      <c r="BI563" s="115"/>
      <c r="BJ563" s="115"/>
      <c r="BK563" s="115"/>
      <c r="BL563" s="115"/>
      <c r="BM563" s="25"/>
      <c r="BN563" s="13"/>
      <c r="BQ563" s="114"/>
    </row>
    <row r="564" spans="1:69" ht="19.5" x14ac:dyDescent="0.4">
      <c r="A564" s="117"/>
      <c r="B564" s="123"/>
      <c r="C564" s="123"/>
      <c r="D564" s="123"/>
      <c r="AD564" s="127"/>
      <c r="AE564" s="29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25">
        <v>45679</v>
      </c>
      <c r="AP564" s="15" t="s">
        <v>148</v>
      </c>
      <c r="AU564" s="116"/>
      <c r="AV564" s="123"/>
      <c r="AW564" s="123"/>
      <c r="AX564" s="123"/>
      <c r="BC564" s="115"/>
      <c r="BD564" s="115"/>
      <c r="BE564" s="115"/>
      <c r="BF564" s="115"/>
      <c r="BG564" s="115"/>
      <c r="BH564" s="115"/>
      <c r="BI564" s="115"/>
      <c r="BJ564" s="115"/>
      <c r="BK564" s="115"/>
      <c r="BL564" s="115"/>
      <c r="BM564" s="25"/>
      <c r="BN564" s="13"/>
      <c r="BQ564" s="114"/>
    </row>
    <row r="565" spans="1:69" ht="19.5" x14ac:dyDescent="0.4">
      <c r="A565" s="117"/>
      <c r="B565" s="123"/>
      <c r="C565" s="123"/>
      <c r="D565" s="123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27"/>
      <c r="AE565" s="29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25"/>
      <c r="AP565" s="13"/>
      <c r="AU565" s="116"/>
      <c r="AV565" s="123"/>
      <c r="AW565" s="123"/>
      <c r="AX565" s="123"/>
      <c r="BC565" s="115"/>
      <c r="BD565" s="115"/>
      <c r="BE565" s="115"/>
      <c r="BF565" s="115"/>
      <c r="BG565" s="115"/>
      <c r="BH565" s="115"/>
      <c r="BI565" s="115"/>
      <c r="BJ565" s="115"/>
      <c r="BK565" s="115"/>
      <c r="BL565" s="115"/>
      <c r="BM565" s="25"/>
      <c r="BN565" s="13"/>
      <c r="BQ565" s="114"/>
    </row>
    <row r="566" spans="1:69" ht="19.5" x14ac:dyDescent="0.4">
      <c r="A566" s="117"/>
      <c r="B566" s="123"/>
      <c r="C566" s="123"/>
      <c r="D566" s="123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27"/>
      <c r="AE566" s="29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25"/>
      <c r="AP566" s="13"/>
      <c r="AU566" s="116"/>
      <c r="AV566" s="123"/>
      <c r="AW566" s="123"/>
      <c r="AX566" s="123"/>
      <c r="BC566" s="115"/>
      <c r="BD566" s="115"/>
      <c r="BE566" s="115"/>
      <c r="BF566" s="115"/>
      <c r="BG566" s="115"/>
      <c r="BH566" s="115"/>
      <c r="BI566" s="115"/>
      <c r="BJ566" s="115"/>
      <c r="BK566" s="115"/>
      <c r="BL566" s="115"/>
      <c r="BM566" s="25"/>
      <c r="BN566" s="13"/>
      <c r="BQ566" s="114"/>
    </row>
    <row r="567" spans="1:69" ht="19.5" x14ac:dyDescent="0.4">
      <c r="A567" s="117"/>
      <c r="B567" s="123"/>
      <c r="C567" s="123"/>
      <c r="D567" s="123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25"/>
      <c r="AP567" s="13"/>
      <c r="AU567" s="116"/>
      <c r="AV567" s="123"/>
      <c r="AW567" s="123"/>
      <c r="AX567" s="123"/>
      <c r="BC567" s="115"/>
      <c r="BD567" s="115"/>
      <c r="BE567" s="115"/>
      <c r="BF567" s="115"/>
      <c r="BG567" s="115"/>
      <c r="BH567" s="115"/>
      <c r="BI567" s="115"/>
      <c r="BJ567" s="115"/>
      <c r="BK567" s="115"/>
      <c r="BL567" s="115"/>
      <c r="BM567" s="25"/>
      <c r="BN567" s="13"/>
      <c r="BQ567" s="114"/>
    </row>
    <row r="568" spans="1:69" ht="19.5" x14ac:dyDescent="0.4">
      <c r="A568" s="117"/>
      <c r="B568" s="123"/>
      <c r="C568" s="123"/>
      <c r="D568" s="123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29"/>
      <c r="AE568" s="29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25"/>
      <c r="AP568" s="13"/>
      <c r="AU568" s="116"/>
      <c r="AV568" s="123"/>
      <c r="AW568" s="123"/>
      <c r="AX568" s="123"/>
      <c r="BC568" s="115"/>
      <c r="BD568" s="115"/>
      <c r="BE568" s="115"/>
      <c r="BF568" s="115"/>
      <c r="BG568" s="115"/>
      <c r="BH568" s="115"/>
      <c r="BI568" s="115"/>
      <c r="BJ568" s="115"/>
      <c r="BK568" s="115"/>
      <c r="BL568" s="115"/>
      <c r="BM568" s="25"/>
      <c r="BN568" s="13"/>
      <c r="BQ568" s="114"/>
    </row>
    <row r="569" spans="1:69" ht="19.5" x14ac:dyDescent="0.4">
      <c r="A569" s="117"/>
      <c r="B569" s="123"/>
      <c r="C569" s="123"/>
      <c r="D569" s="123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25"/>
      <c r="AP569" s="13"/>
      <c r="AU569" s="116"/>
      <c r="AV569" s="123"/>
      <c r="AW569" s="123"/>
      <c r="AX569" s="123"/>
      <c r="BC569" s="115"/>
      <c r="BD569" s="115"/>
      <c r="BE569" s="115"/>
      <c r="BF569" s="115"/>
      <c r="BG569" s="115"/>
      <c r="BH569" s="115"/>
      <c r="BI569" s="115"/>
      <c r="BJ569" s="115"/>
      <c r="BK569" s="115"/>
      <c r="BL569" s="115"/>
      <c r="BM569" s="25"/>
      <c r="BN569" s="13"/>
      <c r="BQ569" s="114"/>
    </row>
    <row r="570" spans="1:69" ht="19.5" x14ac:dyDescent="0.4">
      <c r="A570" s="117"/>
      <c r="B570" s="123"/>
      <c r="C570" s="123"/>
      <c r="D570" s="123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29"/>
      <c r="AE570" s="29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25"/>
      <c r="AP570" s="13"/>
      <c r="AU570" s="116"/>
      <c r="AV570" s="123"/>
      <c r="AW570" s="123"/>
      <c r="AX570" s="123"/>
      <c r="BC570" s="115"/>
      <c r="BD570" s="115"/>
      <c r="BE570" s="115"/>
      <c r="BF570" s="115"/>
      <c r="BG570" s="115"/>
      <c r="BH570" s="115"/>
      <c r="BI570" s="115"/>
      <c r="BJ570" s="115"/>
      <c r="BK570" s="115"/>
      <c r="BL570" s="115"/>
      <c r="BM570" s="25"/>
      <c r="BN570" s="13"/>
      <c r="BQ570" s="114"/>
    </row>
    <row r="571" spans="1:69" ht="19.5" x14ac:dyDescent="0.4">
      <c r="A571" s="117"/>
      <c r="B571" s="123"/>
      <c r="C571" s="123"/>
      <c r="D571" s="123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25"/>
      <c r="AP571" s="13"/>
      <c r="AU571" s="116"/>
      <c r="AV571" s="123"/>
      <c r="AW571" s="123"/>
      <c r="AX571" s="123"/>
      <c r="BC571" s="115"/>
      <c r="BD571" s="115"/>
      <c r="BE571" s="115"/>
      <c r="BF571" s="115"/>
      <c r="BG571" s="115"/>
      <c r="BH571" s="115"/>
      <c r="BI571" s="115"/>
      <c r="BJ571" s="115"/>
      <c r="BK571" s="115"/>
      <c r="BL571" s="115"/>
      <c r="BM571" s="25"/>
      <c r="BN571" s="13"/>
      <c r="BQ571" s="114"/>
    </row>
    <row r="572" spans="1:69" ht="19.5" x14ac:dyDescent="0.4">
      <c r="A572" s="117"/>
      <c r="B572" s="123"/>
      <c r="C572" s="123"/>
      <c r="D572" s="123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29"/>
      <c r="AE572" s="29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25"/>
      <c r="AP572" s="13"/>
      <c r="AU572" s="116"/>
      <c r="AV572" s="123"/>
      <c r="AW572" s="123"/>
      <c r="AX572" s="123"/>
      <c r="BC572" s="115"/>
      <c r="BD572" s="115"/>
      <c r="BE572" s="115"/>
      <c r="BF572" s="115"/>
      <c r="BG572" s="115"/>
      <c r="BH572" s="115"/>
      <c r="BI572" s="115"/>
      <c r="BJ572" s="115"/>
      <c r="BK572" s="115"/>
      <c r="BL572" s="115"/>
      <c r="BM572" s="25"/>
      <c r="BN572" s="13"/>
      <c r="BQ572" s="114"/>
    </row>
    <row r="573" spans="1:69" ht="19.5" x14ac:dyDescent="0.4">
      <c r="A573" s="117"/>
      <c r="B573" s="123"/>
      <c r="C573" s="123"/>
      <c r="D573" s="123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27"/>
      <c r="AE573" s="29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25"/>
      <c r="AP573" s="13"/>
      <c r="AU573" s="116"/>
      <c r="AV573" s="123"/>
      <c r="AW573" s="123"/>
      <c r="AX573" s="123"/>
      <c r="BC573" s="115"/>
      <c r="BD573" s="115"/>
      <c r="BE573" s="115"/>
      <c r="BF573" s="115"/>
      <c r="BG573" s="115"/>
      <c r="BH573" s="115"/>
      <c r="BI573" s="115"/>
      <c r="BJ573" s="115"/>
      <c r="BK573" s="115"/>
      <c r="BL573" s="115"/>
      <c r="BM573" s="25"/>
      <c r="BN573" s="13"/>
      <c r="BQ573" s="114"/>
    </row>
    <row r="574" spans="1:69" ht="19.5" x14ac:dyDescent="0.4">
      <c r="A574" s="117"/>
      <c r="B574" s="123"/>
      <c r="C574" s="123"/>
      <c r="D574" s="123"/>
      <c r="AD574" s="127"/>
      <c r="AE574" s="29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25">
        <v>45679</v>
      </c>
      <c r="AP574" s="13" t="s">
        <v>147</v>
      </c>
      <c r="AU574" s="116"/>
      <c r="AV574" s="123"/>
      <c r="AW574" s="123"/>
      <c r="AX574" s="123"/>
      <c r="BC574" s="115"/>
      <c r="BD574" s="115"/>
      <c r="BE574" s="115"/>
      <c r="BF574" s="115"/>
      <c r="BG574" s="115"/>
      <c r="BH574" s="115"/>
      <c r="BI574" s="115"/>
      <c r="BJ574" s="115"/>
      <c r="BK574" s="115"/>
      <c r="BL574" s="115"/>
      <c r="BM574" s="25"/>
      <c r="BN574" s="13"/>
      <c r="BQ574" s="114"/>
    </row>
    <row r="575" spans="1:69" ht="19.5" x14ac:dyDescent="0.4">
      <c r="A575" s="117"/>
      <c r="B575" s="123"/>
      <c r="C575" s="123"/>
      <c r="D575" s="123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29"/>
      <c r="AE575" s="29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25"/>
      <c r="AP575" s="13"/>
      <c r="AU575" s="116"/>
      <c r="AV575" s="123"/>
      <c r="AW575" s="123"/>
      <c r="AX575" s="123"/>
      <c r="BC575" s="115"/>
      <c r="BD575" s="115"/>
      <c r="BE575" s="115"/>
      <c r="BF575" s="115"/>
      <c r="BG575" s="115"/>
      <c r="BH575" s="115"/>
      <c r="BI575" s="115"/>
      <c r="BJ575" s="115"/>
      <c r="BK575" s="115"/>
      <c r="BL575" s="115"/>
      <c r="BM575" s="25"/>
      <c r="BN575" s="13"/>
      <c r="BQ575" s="114"/>
    </row>
    <row r="576" spans="1:69" ht="19.5" x14ac:dyDescent="0.4">
      <c r="A576" s="117"/>
      <c r="B576" s="123"/>
      <c r="C576" s="123"/>
      <c r="D576" s="123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25"/>
      <c r="AP576" s="13"/>
      <c r="AU576" s="116"/>
      <c r="AV576" s="123"/>
      <c r="AW576" s="123"/>
      <c r="AX576" s="123"/>
      <c r="BC576" s="115"/>
      <c r="BD576" s="115"/>
      <c r="BE576" s="115"/>
      <c r="BF576" s="115"/>
      <c r="BG576" s="115"/>
      <c r="BH576" s="115"/>
      <c r="BI576" s="115"/>
      <c r="BJ576" s="115"/>
      <c r="BK576" s="115"/>
      <c r="BL576" s="115"/>
      <c r="BM576" s="25"/>
      <c r="BN576" s="13"/>
      <c r="BQ576" s="114"/>
    </row>
    <row r="577" spans="1:69" ht="19.5" x14ac:dyDescent="0.4">
      <c r="A577" s="117"/>
      <c r="B577" s="123"/>
      <c r="C577" s="123"/>
      <c r="D577" s="123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27"/>
      <c r="AE577" s="29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25"/>
      <c r="AP577" s="13"/>
      <c r="AU577" s="116"/>
      <c r="AV577" s="123"/>
      <c r="AW577" s="123"/>
      <c r="AX577" s="123"/>
      <c r="BC577" s="115"/>
      <c r="BD577" s="115"/>
      <c r="BE577" s="115"/>
      <c r="BF577" s="115"/>
      <c r="BG577" s="115"/>
      <c r="BH577" s="115"/>
      <c r="BI577" s="115"/>
      <c r="BJ577" s="115"/>
      <c r="BK577" s="115"/>
      <c r="BL577" s="115"/>
      <c r="BM577" s="25"/>
      <c r="BN577" s="13"/>
      <c r="BQ577" s="114"/>
    </row>
    <row r="578" spans="1:69" ht="19.5" x14ac:dyDescent="0.4">
      <c r="A578" s="117"/>
      <c r="B578" s="123"/>
      <c r="C578" s="123"/>
      <c r="D578" s="123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25"/>
      <c r="AP578" s="13"/>
      <c r="AU578" s="116"/>
      <c r="AV578" s="123"/>
      <c r="AW578" s="123"/>
      <c r="AX578" s="123"/>
      <c r="BC578" s="115"/>
      <c r="BD578" s="115"/>
      <c r="BE578" s="115"/>
      <c r="BF578" s="115"/>
      <c r="BG578" s="115"/>
      <c r="BH578" s="115"/>
      <c r="BI578" s="115"/>
      <c r="BJ578" s="115"/>
      <c r="BK578" s="115"/>
      <c r="BL578" s="115"/>
      <c r="BM578" s="25"/>
      <c r="BN578" s="13"/>
      <c r="BQ578" s="114"/>
    </row>
    <row r="579" spans="1:69" ht="19.5" x14ac:dyDescent="0.4">
      <c r="A579" s="117"/>
      <c r="B579" s="123"/>
      <c r="C579" s="123"/>
      <c r="D579" s="123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29"/>
      <c r="AE579" s="29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25"/>
      <c r="AP579" s="13"/>
      <c r="AU579" s="116"/>
      <c r="AV579" s="123"/>
      <c r="AW579" s="123"/>
      <c r="AX579" s="123"/>
      <c r="BC579" s="115"/>
      <c r="BD579" s="115"/>
      <c r="BE579" s="115"/>
      <c r="BF579" s="115"/>
      <c r="BG579" s="115"/>
      <c r="BH579" s="115"/>
      <c r="BI579" s="115"/>
      <c r="BJ579" s="115"/>
      <c r="BK579" s="115"/>
      <c r="BL579" s="115"/>
      <c r="BM579" s="25"/>
      <c r="BN579" s="13"/>
      <c r="BQ579" s="114"/>
    </row>
    <row r="580" spans="1:69" ht="19.5" x14ac:dyDescent="0.4">
      <c r="A580" s="117"/>
      <c r="B580" s="123"/>
      <c r="C580" s="123"/>
      <c r="D580" s="123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25"/>
      <c r="AP580" s="13"/>
      <c r="AU580" s="116"/>
      <c r="AV580" s="123"/>
      <c r="AW580" s="123"/>
      <c r="AX580" s="123"/>
      <c r="BC580" s="115"/>
      <c r="BD580" s="115"/>
      <c r="BE580" s="115"/>
      <c r="BF580" s="115"/>
      <c r="BG580" s="115"/>
      <c r="BH580" s="115"/>
      <c r="BI580" s="115"/>
      <c r="BJ580" s="115"/>
      <c r="BK580" s="115"/>
      <c r="BL580" s="115"/>
      <c r="BM580" s="25"/>
      <c r="BN580" s="13"/>
      <c r="BQ580" s="114"/>
    </row>
    <row r="581" spans="1:69" ht="19.5" x14ac:dyDescent="0.4">
      <c r="A581" s="117"/>
      <c r="B581" s="123"/>
      <c r="C581" s="123"/>
      <c r="D581" s="123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29"/>
      <c r="AE581" s="29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25"/>
      <c r="AP581" s="13"/>
      <c r="AU581" s="116"/>
      <c r="AV581" s="123"/>
      <c r="AW581" s="123"/>
      <c r="AX581" s="123"/>
      <c r="BC581" s="115"/>
      <c r="BD581" s="115"/>
      <c r="BE581" s="115"/>
      <c r="BF581" s="115"/>
      <c r="BG581" s="115"/>
      <c r="BH581" s="115"/>
      <c r="BI581" s="115"/>
      <c r="BJ581" s="115"/>
      <c r="BK581" s="115"/>
      <c r="BL581" s="115"/>
      <c r="BM581" s="25"/>
      <c r="BN581" s="13"/>
      <c r="BQ581" s="114"/>
    </row>
    <row r="582" spans="1:69" ht="19.5" x14ac:dyDescent="0.4">
      <c r="A582" s="117"/>
      <c r="B582" s="123"/>
      <c r="C582" s="123"/>
      <c r="D582" s="123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27"/>
      <c r="AE582" s="29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25"/>
      <c r="AP582" s="13"/>
      <c r="AU582" s="116"/>
      <c r="AV582" s="123"/>
      <c r="AW582" s="123"/>
      <c r="AX582" s="123"/>
      <c r="BC582" s="115"/>
      <c r="BD582" s="115"/>
      <c r="BE582" s="115"/>
      <c r="BF582" s="115"/>
      <c r="BG582" s="115"/>
      <c r="BH582" s="115"/>
      <c r="BI582" s="115"/>
      <c r="BJ582" s="115"/>
      <c r="BK582" s="115"/>
      <c r="BL582" s="115"/>
      <c r="BM582" s="25"/>
      <c r="BN582" s="13"/>
      <c r="BQ582" s="114"/>
    </row>
    <row r="583" spans="1:69" ht="19.5" x14ac:dyDescent="0.4">
      <c r="A583" s="117"/>
      <c r="B583" s="123"/>
      <c r="C583" s="123"/>
      <c r="D583" s="123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27"/>
      <c r="AE583" s="29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25"/>
      <c r="AP583" s="13"/>
      <c r="AU583" s="116"/>
      <c r="AV583" s="123"/>
      <c r="AW583" s="123"/>
      <c r="AX583" s="123"/>
      <c r="BC583" s="115"/>
      <c r="BD583" s="115"/>
      <c r="BE583" s="115"/>
      <c r="BF583" s="115"/>
      <c r="BG583" s="115"/>
      <c r="BH583" s="115"/>
      <c r="BI583" s="115"/>
      <c r="BJ583" s="115"/>
      <c r="BK583" s="115"/>
      <c r="BL583" s="115"/>
      <c r="BM583" s="25"/>
      <c r="BN583" s="13"/>
      <c r="BQ583" s="114"/>
    </row>
    <row r="584" spans="1:69" ht="19.5" x14ac:dyDescent="0.4">
      <c r="A584" s="117"/>
      <c r="B584" s="123"/>
      <c r="C584" s="123"/>
      <c r="D584" s="123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27"/>
      <c r="AE584" s="29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25"/>
      <c r="AP584" s="13"/>
      <c r="AU584" s="116"/>
      <c r="AV584" s="123"/>
      <c r="AW584" s="123"/>
      <c r="AX584" s="123"/>
      <c r="BC584" s="115"/>
      <c r="BD584" s="115"/>
      <c r="BE584" s="115"/>
      <c r="BF584" s="115"/>
      <c r="BG584" s="115"/>
      <c r="BH584" s="115"/>
      <c r="BI584" s="115"/>
      <c r="BJ584" s="115"/>
      <c r="BK584" s="115"/>
      <c r="BL584" s="115"/>
      <c r="BM584" s="25"/>
      <c r="BN584" s="13"/>
      <c r="BQ584" s="114"/>
    </row>
    <row r="585" spans="1:69" ht="19.5" x14ac:dyDescent="0.4">
      <c r="A585" s="117"/>
      <c r="B585" s="123"/>
      <c r="C585" s="123"/>
      <c r="D585" s="123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27"/>
      <c r="AE585" s="29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25"/>
      <c r="AP585" s="13"/>
      <c r="AU585" s="116"/>
      <c r="AV585" s="123"/>
      <c r="AW585" s="123"/>
      <c r="AX585" s="123"/>
      <c r="BC585" s="115"/>
      <c r="BD585" s="115"/>
      <c r="BE585" s="115"/>
      <c r="BF585" s="115"/>
      <c r="BG585" s="115"/>
      <c r="BH585" s="115"/>
      <c r="BI585" s="115"/>
      <c r="BJ585" s="115"/>
      <c r="BK585" s="115"/>
      <c r="BL585" s="115"/>
      <c r="BM585" s="25"/>
      <c r="BN585" s="13"/>
      <c r="BQ585" s="114"/>
    </row>
    <row r="586" spans="1:69" ht="19.5" x14ac:dyDescent="0.4">
      <c r="A586" s="117"/>
      <c r="B586" s="123"/>
      <c r="C586" s="123"/>
      <c r="D586" s="123"/>
      <c r="AD586" s="127"/>
      <c r="AE586" s="29"/>
      <c r="AO586" s="25">
        <v>45679</v>
      </c>
      <c r="AP586" s="13" t="s">
        <v>147</v>
      </c>
      <c r="AU586" s="116"/>
      <c r="AV586" s="123"/>
      <c r="AW586" s="123"/>
      <c r="AX586" s="123"/>
      <c r="BC586" s="115"/>
      <c r="BD586" s="115"/>
      <c r="BE586" s="115"/>
      <c r="BF586" s="115"/>
      <c r="BG586" s="115"/>
      <c r="BH586" s="115"/>
      <c r="BI586" s="115"/>
      <c r="BJ586" s="115"/>
      <c r="BK586" s="115"/>
      <c r="BL586" s="115"/>
      <c r="BM586" s="25"/>
      <c r="BN586" s="13"/>
      <c r="BQ586" s="114"/>
    </row>
    <row r="587" spans="1:69" ht="19.5" x14ac:dyDescent="0.4">
      <c r="A587" s="117"/>
      <c r="B587" s="123"/>
      <c r="C587" s="123"/>
      <c r="D587" s="123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27"/>
      <c r="AE587" s="29"/>
      <c r="AO587" s="25"/>
      <c r="AP587" s="13"/>
      <c r="AU587" s="116"/>
      <c r="AV587" s="123"/>
      <c r="AW587" s="123"/>
      <c r="AX587" s="123"/>
      <c r="BC587" s="115"/>
      <c r="BD587" s="115"/>
      <c r="BE587" s="115"/>
      <c r="BF587" s="115"/>
      <c r="BG587" s="115"/>
      <c r="BH587" s="115"/>
      <c r="BI587" s="115"/>
      <c r="BJ587" s="115"/>
      <c r="BK587" s="115"/>
      <c r="BL587" s="115"/>
      <c r="BM587" s="25"/>
      <c r="BN587" s="13"/>
      <c r="BQ587" s="114"/>
    </row>
    <row r="588" spans="1:69" ht="19.5" x14ac:dyDescent="0.4">
      <c r="A588" s="117"/>
      <c r="B588" s="123"/>
      <c r="C588" s="123"/>
      <c r="D588" s="123"/>
      <c r="AD588" s="127"/>
      <c r="AE588" s="29"/>
      <c r="AO588" s="25"/>
      <c r="AP588" s="13"/>
      <c r="AU588" s="116"/>
      <c r="AV588" s="123"/>
      <c r="AW588" s="123"/>
      <c r="AX588" s="123"/>
      <c r="BC588" s="115"/>
      <c r="BD588" s="115"/>
      <c r="BE588" s="115"/>
      <c r="BF588" s="115"/>
      <c r="BG588" s="115"/>
      <c r="BH588" s="115"/>
      <c r="BI588" s="115"/>
      <c r="BJ588" s="115"/>
      <c r="BK588" s="115"/>
      <c r="BL588" s="115"/>
      <c r="BM588" s="25"/>
      <c r="BN588" s="13"/>
      <c r="BQ588" s="114"/>
    </row>
    <row r="589" spans="1:69" ht="19.5" x14ac:dyDescent="0.4">
      <c r="A589" s="117"/>
      <c r="B589" s="123"/>
      <c r="C589" s="123"/>
      <c r="D589" s="123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27"/>
      <c r="AE589" s="29"/>
      <c r="AO589" s="25"/>
      <c r="AP589" s="13"/>
      <c r="AU589" s="116"/>
      <c r="AV589" s="123"/>
      <c r="AW589" s="123"/>
      <c r="AX589" s="123"/>
      <c r="BC589" s="115"/>
      <c r="BD589" s="115"/>
      <c r="BE589" s="115"/>
      <c r="BF589" s="115"/>
      <c r="BG589" s="115"/>
      <c r="BH589" s="115"/>
      <c r="BI589" s="115"/>
      <c r="BJ589" s="115"/>
      <c r="BK589" s="115"/>
      <c r="BL589" s="115"/>
      <c r="BM589" s="25"/>
      <c r="BN589" s="13"/>
      <c r="BQ589" s="114"/>
    </row>
    <row r="590" spans="1:69" ht="19.5" x14ac:dyDescent="0.4">
      <c r="A590" s="117"/>
      <c r="B590" s="123"/>
      <c r="C590" s="123"/>
      <c r="D590" s="123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O590" s="25"/>
      <c r="AP590" s="13"/>
      <c r="AU590" s="116"/>
      <c r="AV590" s="123"/>
      <c r="AW590" s="123"/>
      <c r="AX590" s="123"/>
      <c r="BC590" s="115"/>
      <c r="BD590" s="115"/>
      <c r="BE590" s="115"/>
      <c r="BF590" s="115"/>
      <c r="BG590" s="115"/>
      <c r="BH590" s="115"/>
      <c r="BI590" s="115"/>
      <c r="BJ590" s="115"/>
      <c r="BK590" s="115"/>
      <c r="BL590" s="115"/>
      <c r="BM590" s="25"/>
      <c r="BN590" s="13"/>
      <c r="BQ590" s="114"/>
    </row>
    <row r="591" spans="1:69" ht="19.5" x14ac:dyDescent="0.4">
      <c r="A591" s="117"/>
      <c r="B591" s="123"/>
      <c r="C591" s="123"/>
      <c r="D591" s="123"/>
      <c r="AD591" s="127"/>
      <c r="AE591" s="29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25">
        <v>45679</v>
      </c>
      <c r="AP591" s="13" t="s">
        <v>146</v>
      </c>
      <c r="AU591" s="116"/>
      <c r="AV591" s="123"/>
      <c r="AW591" s="123"/>
      <c r="AX591" s="123"/>
      <c r="BC591" s="115"/>
      <c r="BD591" s="115"/>
      <c r="BE591" s="115"/>
      <c r="BF591" s="115"/>
      <c r="BG591" s="115"/>
      <c r="BH591" s="115"/>
      <c r="BI591" s="115"/>
      <c r="BJ591" s="115"/>
      <c r="BK591" s="115"/>
      <c r="BL591" s="115"/>
      <c r="BM591" s="25"/>
      <c r="BN591" s="13"/>
      <c r="BQ591" s="114"/>
    </row>
    <row r="592" spans="1:69" ht="19.5" x14ac:dyDescent="0.4">
      <c r="A592" s="117"/>
      <c r="B592" s="123"/>
      <c r="C592" s="123"/>
      <c r="D592" s="123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27"/>
      <c r="AE592" s="29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25"/>
      <c r="AP592" s="13"/>
      <c r="AU592" s="116"/>
      <c r="AV592" s="123"/>
      <c r="AW592" s="123"/>
      <c r="AX592" s="123"/>
      <c r="BC592" s="115"/>
      <c r="BD592" s="115"/>
      <c r="BE592" s="115"/>
      <c r="BF592" s="115"/>
      <c r="BG592" s="115"/>
      <c r="BH592" s="115"/>
      <c r="BI592" s="115"/>
      <c r="BJ592" s="115"/>
      <c r="BK592" s="115"/>
      <c r="BL592" s="115"/>
      <c r="BM592" s="25"/>
      <c r="BN592" s="13"/>
      <c r="BQ592" s="114"/>
    </row>
    <row r="593" spans="1:69" ht="19.5" x14ac:dyDescent="0.4">
      <c r="A593" s="117"/>
      <c r="B593" s="123"/>
      <c r="C593" s="123"/>
      <c r="D593" s="123"/>
      <c r="AD593" s="127"/>
      <c r="AE593" s="29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25"/>
      <c r="AP593" s="13"/>
      <c r="AU593" s="116"/>
      <c r="AV593" s="123"/>
      <c r="AW593" s="123"/>
      <c r="AX593" s="123"/>
      <c r="BC593" s="115"/>
      <c r="BD593" s="115"/>
      <c r="BE593" s="115"/>
      <c r="BF593" s="115"/>
      <c r="BG593" s="115"/>
      <c r="BH593" s="115"/>
      <c r="BI593" s="115"/>
      <c r="BJ593" s="115"/>
      <c r="BK593" s="115"/>
      <c r="BL593" s="115"/>
      <c r="BM593" s="25"/>
      <c r="BN593" s="13"/>
      <c r="BQ593" s="114"/>
    </row>
    <row r="594" spans="1:69" ht="19.5" x14ac:dyDescent="0.4">
      <c r="A594" s="117"/>
      <c r="B594" s="123"/>
      <c r="C594" s="123"/>
      <c r="D594" s="123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27"/>
      <c r="AE594" s="29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25"/>
      <c r="AP594" s="13"/>
      <c r="AU594" s="116"/>
      <c r="AV594" s="123"/>
      <c r="AW594" s="123"/>
      <c r="AX594" s="123"/>
      <c r="BC594" s="115"/>
      <c r="BD594" s="115"/>
      <c r="BE594" s="115"/>
      <c r="BF594" s="115"/>
      <c r="BG594" s="115"/>
      <c r="BH594" s="115"/>
      <c r="BI594" s="115"/>
      <c r="BJ594" s="115"/>
      <c r="BK594" s="115"/>
      <c r="BL594" s="115"/>
      <c r="BM594" s="25"/>
      <c r="BN594" s="13"/>
      <c r="BQ594" s="114"/>
    </row>
    <row r="595" spans="1:69" ht="19.5" x14ac:dyDescent="0.4">
      <c r="A595" s="117"/>
      <c r="B595" s="123"/>
      <c r="C595" s="123"/>
      <c r="D595" s="123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27"/>
      <c r="AE595" s="29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25"/>
      <c r="AP595" s="13"/>
      <c r="AU595" s="116"/>
      <c r="AV595" s="123"/>
      <c r="AW595" s="123"/>
      <c r="AX595" s="123"/>
      <c r="BC595" s="115"/>
      <c r="BD595" s="115"/>
      <c r="BE595" s="115"/>
      <c r="BF595" s="115"/>
      <c r="BG595" s="115"/>
      <c r="BH595" s="115"/>
      <c r="BI595" s="115"/>
      <c r="BJ595" s="115"/>
      <c r="BK595" s="115"/>
      <c r="BL595" s="115"/>
      <c r="BM595" s="25"/>
      <c r="BN595" s="13"/>
      <c r="BQ595" s="114"/>
    </row>
    <row r="596" spans="1:69" ht="19.5" x14ac:dyDescent="0.4">
      <c r="A596" s="117"/>
      <c r="B596" s="123"/>
      <c r="C596" s="123"/>
      <c r="D596" s="123"/>
      <c r="AD596" s="127"/>
      <c r="AE596" s="29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25">
        <v>45679</v>
      </c>
      <c r="AP596" s="13" t="s">
        <v>147</v>
      </c>
      <c r="AU596" s="116"/>
      <c r="AV596" s="123"/>
      <c r="AW596" s="123"/>
      <c r="AX596" s="123"/>
      <c r="BC596" s="115"/>
      <c r="BD596" s="115"/>
      <c r="BE596" s="115"/>
      <c r="BF596" s="115"/>
      <c r="BG596" s="115"/>
      <c r="BH596" s="115"/>
      <c r="BI596" s="115"/>
      <c r="BJ596" s="115"/>
      <c r="BK596" s="115"/>
      <c r="BL596" s="115"/>
      <c r="BM596" s="25"/>
      <c r="BN596" s="13"/>
      <c r="BQ596" s="114"/>
    </row>
    <row r="597" spans="1:69" ht="19.5" x14ac:dyDescent="0.4">
      <c r="A597" s="117"/>
      <c r="B597" s="123"/>
      <c r="C597" s="123"/>
      <c r="D597" s="123"/>
      <c r="AD597" s="127"/>
      <c r="AE597" s="29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25">
        <v>45680</v>
      </c>
      <c r="AP597" s="13" t="s">
        <v>148</v>
      </c>
      <c r="AU597" s="116"/>
      <c r="AV597" s="123"/>
      <c r="AW597" s="123"/>
      <c r="AX597" s="123"/>
      <c r="BC597" s="115"/>
      <c r="BD597" s="115"/>
      <c r="BE597" s="115"/>
      <c r="BF597" s="115"/>
      <c r="BG597" s="115"/>
      <c r="BH597" s="115"/>
      <c r="BI597" s="115"/>
      <c r="BJ597" s="115"/>
      <c r="BK597" s="115"/>
      <c r="BL597" s="115"/>
      <c r="BM597" s="25"/>
      <c r="BN597" s="13"/>
      <c r="BQ597" s="114"/>
    </row>
    <row r="598" spans="1:69" ht="19.5" x14ac:dyDescent="0.4">
      <c r="A598" s="117"/>
      <c r="B598" s="123"/>
      <c r="C598" s="123"/>
      <c r="D598" s="123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25"/>
      <c r="AP598" s="13"/>
      <c r="AU598" s="116"/>
      <c r="AV598" s="123"/>
      <c r="AW598" s="123"/>
      <c r="AX598" s="123"/>
      <c r="BC598" s="115"/>
      <c r="BD598" s="115"/>
      <c r="BE598" s="115"/>
      <c r="BF598" s="115"/>
      <c r="BG598" s="115"/>
      <c r="BH598" s="115"/>
      <c r="BI598" s="115"/>
      <c r="BJ598" s="115"/>
      <c r="BK598" s="115"/>
      <c r="BL598" s="115"/>
      <c r="BM598" s="25"/>
      <c r="BN598" s="13"/>
      <c r="BQ598" s="114"/>
    </row>
    <row r="599" spans="1:69" ht="19.5" x14ac:dyDescent="0.4">
      <c r="A599" s="117"/>
      <c r="B599" s="123"/>
      <c r="C599" s="123"/>
      <c r="D599" s="123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27"/>
      <c r="AE599" s="29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25"/>
      <c r="AP599" s="13"/>
      <c r="AU599" s="116"/>
      <c r="AV599" s="123"/>
      <c r="AW599" s="123"/>
      <c r="AX599" s="123"/>
      <c r="BC599" s="115"/>
      <c r="BD599" s="115"/>
      <c r="BE599" s="115"/>
      <c r="BF599" s="115"/>
      <c r="BG599" s="115"/>
      <c r="BH599" s="115"/>
      <c r="BI599" s="115"/>
      <c r="BJ599" s="115"/>
      <c r="BK599" s="115"/>
      <c r="BL599" s="115"/>
      <c r="BM599" s="25"/>
      <c r="BN599" s="13"/>
      <c r="BQ599" s="114"/>
    </row>
    <row r="600" spans="1:69" ht="19.5" x14ac:dyDescent="0.4">
      <c r="A600" s="117"/>
      <c r="B600" s="123"/>
      <c r="C600" s="123"/>
      <c r="D600" s="123"/>
      <c r="AD600" s="127"/>
      <c r="AE600" s="29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25">
        <v>45680</v>
      </c>
      <c r="AP600" s="13" t="s">
        <v>147</v>
      </c>
      <c r="AU600" s="116"/>
      <c r="AV600" s="123"/>
      <c r="AW600" s="123"/>
      <c r="AX600" s="123"/>
      <c r="BC600" s="115"/>
      <c r="BD600" s="115"/>
      <c r="BE600" s="115"/>
      <c r="BF600" s="115"/>
      <c r="BG600" s="115"/>
      <c r="BH600" s="115"/>
      <c r="BI600" s="115"/>
      <c r="BJ600" s="115"/>
      <c r="BK600" s="115"/>
      <c r="BL600" s="115"/>
      <c r="BM600" s="25"/>
      <c r="BN600" s="13"/>
      <c r="BQ600" s="114"/>
    </row>
    <row r="601" spans="1:69" ht="19.5" x14ac:dyDescent="0.4">
      <c r="A601" s="117"/>
      <c r="B601" s="123"/>
      <c r="C601" s="123"/>
      <c r="D601" s="123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27"/>
      <c r="AE601" s="29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25"/>
      <c r="AP601" s="13"/>
      <c r="AU601" s="116"/>
      <c r="AV601" s="123"/>
      <c r="AW601" s="123"/>
      <c r="AX601" s="123"/>
      <c r="BC601" s="115"/>
      <c r="BD601" s="115"/>
      <c r="BE601" s="115"/>
      <c r="BF601" s="115"/>
      <c r="BG601" s="115"/>
      <c r="BH601" s="115"/>
      <c r="BI601" s="115"/>
      <c r="BJ601" s="115"/>
      <c r="BK601" s="115"/>
      <c r="BL601" s="115"/>
      <c r="BM601" s="25"/>
      <c r="BN601" s="13"/>
      <c r="BQ601" s="114"/>
    </row>
    <row r="602" spans="1:69" ht="19.5" x14ac:dyDescent="0.4">
      <c r="A602" s="117"/>
      <c r="B602" s="123"/>
      <c r="C602" s="123"/>
      <c r="D602" s="123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27"/>
      <c r="AE602" s="29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25"/>
      <c r="AP602" s="13"/>
      <c r="AU602" s="116"/>
      <c r="AV602" s="123"/>
      <c r="AW602" s="123"/>
      <c r="AX602" s="123"/>
      <c r="BC602" s="115"/>
      <c r="BD602" s="115"/>
      <c r="BE602" s="115"/>
      <c r="BF602" s="115"/>
      <c r="BG602" s="115"/>
      <c r="BH602" s="115"/>
      <c r="BI602" s="115"/>
      <c r="BJ602" s="115"/>
      <c r="BK602" s="115"/>
      <c r="BL602" s="115"/>
      <c r="BM602" s="25"/>
      <c r="BN602" s="13"/>
      <c r="BQ602" s="114"/>
    </row>
    <row r="603" spans="1:69" ht="19.5" x14ac:dyDescent="0.4">
      <c r="A603" s="117"/>
      <c r="B603" s="123"/>
      <c r="C603" s="123"/>
      <c r="D603" s="123"/>
      <c r="AD603" s="127"/>
      <c r="AE603" s="29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25">
        <v>45680</v>
      </c>
      <c r="AP603" s="13" t="s">
        <v>147</v>
      </c>
      <c r="AU603" s="116"/>
      <c r="AV603" s="123"/>
      <c r="AW603" s="123"/>
      <c r="AX603" s="123"/>
      <c r="BC603" s="115"/>
      <c r="BD603" s="115"/>
      <c r="BE603" s="115"/>
      <c r="BF603" s="115"/>
      <c r="BG603" s="115"/>
      <c r="BH603" s="115"/>
      <c r="BI603" s="115"/>
      <c r="BJ603" s="115"/>
      <c r="BK603" s="115"/>
      <c r="BL603" s="115"/>
      <c r="BM603" s="25"/>
      <c r="BN603" s="13"/>
      <c r="BQ603" s="114"/>
    </row>
    <row r="604" spans="1:69" ht="19.5" x14ac:dyDescent="0.4">
      <c r="A604" s="117"/>
      <c r="B604" s="123"/>
      <c r="C604" s="123"/>
      <c r="D604" s="123"/>
      <c r="AD604" s="127"/>
      <c r="AE604" s="29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25"/>
      <c r="AP604" s="13"/>
      <c r="AU604" s="116"/>
      <c r="AV604" s="123"/>
      <c r="AW604" s="123"/>
      <c r="AX604" s="123"/>
      <c r="BC604" s="115"/>
      <c r="BD604" s="115"/>
      <c r="BE604" s="115"/>
      <c r="BF604" s="115"/>
      <c r="BG604" s="115"/>
      <c r="BH604" s="115"/>
      <c r="BI604" s="115"/>
      <c r="BJ604" s="115"/>
      <c r="BK604" s="115"/>
      <c r="BL604" s="115"/>
      <c r="BM604" s="25"/>
      <c r="BN604" s="13"/>
      <c r="BQ604" s="114"/>
    </row>
    <row r="605" spans="1:69" ht="19.5" x14ac:dyDescent="0.4">
      <c r="A605" s="117"/>
      <c r="B605" s="123"/>
      <c r="C605" s="123"/>
      <c r="D605" s="123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25"/>
      <c r="AP605" s="13"/>
      <c r="AU605" s="116"/>
      <c r="AV605" s="123"/>
      <c r="AW605" s="123"/>
      <c r="AX605" s="123"/>
      <c r="BC605" s="115"/>
      <c r="BD605" s="115"/>
      <c r="BE605" s="115"/>
      <c r="BF605" s="115"/>
      <c r="BG605" s="115"/>
      <c r="BH605" s="115"/>
      <c r="BI605" s="115"/>
      <c r="BJ605" s="115"/>
      <c r="BK605" s="115"/>
      <c r="BL605" s="115"/>
      <c r="BM605" s="25"/>
      <c r="BN605" s="13"/>
      <c r="BQ605" s="114"/>
    </row>
    <row r="606" spans="1:69" ht="19.5" x14ac:dyDescent="0.4">
      <c r="A606" s="117"/>
      <c r="B606" s="123"/>
      <c r="C606" s="123"/>
      <c r="D606" s="123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27"/>
      <c r="AE606" s="29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25"/>
      <c r="AP606" s="13"/>
      <c r="AU606" s="116"/>
      <c r="AV606" s="123"/>
      <c r="AW606" s="123"/>
      <c r="AX606" s="123"/>
      <c r="BC606" s="115"/>
      <c r="BD606" s="115"/>
      <c r="BE606" s="115"/>
      <c r="BF606" s="115"/>
      <c r="BG606" s="115"/>
      <c r="BH606" s="115"/>
      <c r="BI606" s="115"/>
      <c r="BJ606" s="115"/>
      <c r="BK606" s="115"/>
      <c r="BL606" s="115"/>
      <c r="BM606" s="25"/>
      <c r="BN606" s="13"/>
      <c r="BQ606" s="114"/>
    </row>
    <row r="607" spans="1:69" ht="19.5" x14ac:dyDescent="0.4">
      <c r="A607" s="117"/>
      <c r="B607" s="123"/>
      <c r="C607" s="123"/>
      <c r="D607" s="123"/>
      <c r="AD607" s="127"/>
      <c r="AE607" s="29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25">
        <v>45680</v>
      </c>
      <c r="AP607" s="13" t="s">
        <v>146</v>
      </c>
      <c r="AU607" s="116"/>
      <c r="AV607" s="123"/>
      <c r="AW607" s="123"/>
      <c r="AX607" s="123"/>
      <c r="BC607" s="115"/>
      <c r="BD607" s="115"/>
      <c r="BE607" s="115"/>
      <c r="BF607" s="115"/>
      <c r="BG607" s="115"/>
      <c r="BH607" s="115"/>
      <c r="BI607" s="115"/>
      <c r="BJ607" s="115"/>
      <c r="BK607" s="115"/>
      <c r="BL607" s="115"/>
      <c r="BM607" s="25"/>
      <c r="BN607" s="13"/>
      <c r="BQ607" s="114"/>
    </row>
    <row r="608" spans="1:69" ht="19.5" x14ac:dyDescent="0.4">
      <c r="A608" s="117"/>
      <c r="B608" s="123"/>
      <c r="C608" s="123"/>
      <c r="D608" s="123"/>
      <c r="AD608" s="127"/>
      <c r="AE608" s="29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25">
        <v>45680</v>
      </c>
      <c r="AP608" s="13" t="s">
        <v>146</v>
      </c>
      <c r="AU608" s="116"/>
      <c r="AV608" s="123"/>
      <c r="AW608" s="123"/>
      <c r="AX608" s="123"/>
      <c r="BC608" s="115"/>
      <c r="BD608" s="115"/>
      <c r="BE608" s="115"/>
      <c r="BF608" s="115"/>
      <c r="BG608" s="115"/>
      <c r="BH608" s="115"/>
      <c r="BI608" s="115"/>
      <c r="BJ608" s="115"/>
      <c r="BK608" s="115"/>
      <c r="BL608" s="115"/>
      <c r="BM608" s="25"/>
      <c r="BN608" s="13"/>
      <c r="BQ608" s="114"/>
    </row>
    <row r="609" spans="1:69" ht="19.5" x14ac:dyDescent="0.4">
      <c r="A609" s="117"/>
      <c r="B609" s="123"/>
      <c r="C609" s="123"/>
      <c r="D609" s="123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27"/>
      <c r="AE609" s="29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25">
        <v>45680</v>
      </c>
      <c r="AP609" s="13" t="s">
        <v>147</v>
      </c>
      <c r="AU609" s="116"/>
      <c r="AV609" s="123"/>
      <c r="AW609" s="123"/>
      <c r="AX609" s="123"/>
      <c r="BC609" s="115"/>
      <c r="BD609" s="115"/>
      <c r="BE609" s="115"/>
      <c r="BF609" s="115"/>
      <c r="BG609" s="115"/>
      <c r="BH609" s="115"/>
      <c r="BI609" s="115"/>
      <c r="BJ609" s="115"/>
      <c r="BK609" s="115"/>
      <c r="BL609" s="115"/>
      <c r="BM609" s="25"/>
      <c r="BN609" s="13"/>
      <c r="BQ609" s="114"/>
    </row>
    <row r="610" spans="1:69" ht="19.5" x14ac:dyDescent="0.4">
      <c r="A610" s="117"/>
      <c r="B610" s="123"/>
      <c r="C610" s="123"/>
      <c r="D610" s="123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27"/>
      <c r="AE610" s="29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25"/>
      <c r="AP610" s="13"/>
      <c r="AU610" s="116"/>
      <c r="AV610" s="123"/>
      <c r="AW610" s="123"/>
      <c r="AX610" s="123"/>
      <c r="BC610" s="115"/>
      <c r="BD610" s="115"/>
      <c r="BE610" s="115"/>
      <c r="BF610" s="115"/>
      <c r="BG610" s="115"/>
      <c r="BH610" s="115"/>
      <c r="BI610" s="115"/>
      <c r="BJ610" s="115"/>
      <c r="BK610" s="115"/>
      <c r="BL610" s="115"/>
      <c r="BM610" s="25"/>
      <c r="BN610" s="13"/>
      <c r="BQ610" s="114"/>
    </row>
    <row r="611" spans="1:69" ht="19.5" x14ac:dyDescent="0.4">
      <c r="A611" s="117"/>
      <c r="B611" s="123"/>
      <c r="C611" s="123"/>
      <c r="D611" s="123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25"/>
      <c r="AP611" s="13"/>
      <c r="AU611" s="116"/>
      <c r="AV611" s="123"/>
      <c r="AW611" s="123"/>
      <c r="AX611" s="123"/>
      <c r="BC611" s="115"/>
      <c r="BD611" s="115"/>
      <c r="BE611" s="115"/>
      <c r="BF611" s="115"/>
      <c r="BG611" s="115"/>
      <c r="BH611" s="115"/>
      <c r="BI611" s="115"/>
      <c r="BJ611" s="115"/>
      <c r="BK611" s="115"/>
      <c r="BL611" s="115"/>
      <c r="BM611" s="25"/>
      <c r="BN611" s="13"/>
      <c r="BQ611" s="114"/>
    </row>
    <row r="612" spans="1:69" ht="19.5" x14ac:dyDescent="0.4">
      <c r="A612" s="117"/>
      <c r="B612" s="123"/>
      <c r="C612" s="123"/>
      <c r="D612" s="123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27"/>
      <c r="AE612" s="29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25"/>
      <c r="AP612" s="13"/>
      <c r="AU612" s="116"/>
      <c r="AV612" s="123"/>
      <c r="AW612" s="123"/>
      <c r="AX612" s="123"/>
      <c r="BC612" s="115"/>
      <c r="BD612" s="115"/>
      <c r="BE612" s="115"/>
      <c r="BF612" s="115"/>
      <c r="BG612" s="115"/>
      <c r="BH612" s="115"/>
      <c r="BI612" s="115"/>
      <c r="BJ612" s="115"/>
      <c r="BK612" s="115"/>
      <c r="BL612" s="115"/>
      <c r="BM612" s="25"/>
      <c r="BN612" s="13"/>
      <c r="BQ612" s="114"/>
    </row>
    <row r="613" spans="1:69" ht="19.5" x14ac:dyDescent="0.4">
      <c r="A613" s="117"/>
      <c r="B613" s="123"/>
      <c r="C613" s="123"/>
      <c r="D613" s="123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29"/>
      <c r="AE613" s="29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25"/>
      <c r="AP613" s="13"/>
      <c r="AU613" s="116"/>
      <c r="AV613" s="123"/>
      <c r="AW613" s="123"/>
      <c r="AX613" s="123"/>
      <c r="BC613" s="115"/>
      <c r="BD613" s="115"/>
      <c r="BE613" s="115"/>
      <c r="BF613" s="115"/>
      <c r="BG613" s="115"/>
      <c r="BH613" s="115"/>
      <c r="BI613" s="115"/>
      <c r="BJ613" s="115"/>
      <c r="BK613" s="115"/>
      <c r="BL613" s="115"/>
      <c r="BM613" s="25"/>
      <c r="BN613" s="13"/>
      <c r="BQ613" s="114"/>
    </row>
    <row r="614" spans="1:69" ht="19.5" x14ac:dyDescent="0.4">
      <c r="A614" s="117"/>
      <c r="B614" s="123"/>
      <c r="C614" s="123"/>
      <c r="D614" s="123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27"/>
      <c r="AE614" s="29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25">
        <v>45680</v>
      </c>
      <c r="AP614" s="15" t="s">
        <v>142</v>
      </c>
      <c r="AU614" s="116"/>
      <c r="AV614" s="123"/>
      <c r="AW614" s="123"/>
      <c r="AX614" s="123"/>
      <c r="BC614" s="115"/>
      <c r="BD614" s="115"/>
      <c r="BE614" s="115"/>
      <c r="BF614" s="115"/>
      <c r="BG614" s="115"/>
      <c r="BH614" s="115"/>
      <c r="BI614" s="115"/>
      <c r="BJ614" s="115"/>
      <c r="BK614" s="115"/>
      <c r="BL614" s="115"/>
      <c r="BM614" s="25"/>
      <c r="BN614" s="13"/>
      <c r="BQ614" s="114"/>
    </row>
    <row r="615" spans="1:69" ht="19.5" x14ac:dyDescent="0.4">
      <c r="A615" s="117"/>
      <c r="B615" s="123"/>
      <c r="C615" s="123"/>
      <c r="D615" s="123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29"/>
      <c r="AE615" s="29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25"/>
      <c r="AP615" s="15"/>
      <c r="AU615" s="116"/>
      <c r="AV615" s="123"/>
      <c r="AW615" s="123"/>
      <c r="AX615" s="123"/>
      <c r="BC615" s="115"/>
      <c r="BD615" s="115"/>
      <c r="BE615" s="115"/>
      <c r="BF615" s="115"/>
      <c r="BG615" s="115"/>
      <c r="BH615" s="115"/>
      <c r="BI615" s="115"/>
      <c r="BJ615" s="115"/>
      <c r="BK615" s="115"/>
      <c r="BL615" s="115"/>
      <c r="BM615" s="25"/>
      <c r="BN615" s="13"/>
      <c r="BQ615" s="114"/>
    </row>
    <row r="616" spans="1:69" ht="19.5" x14ac:dyDescent="0.4">
      <c r="A616" s="117"/>
      <c r="B616" s="123"/>
      <c r="C616" s="123"/>
      <c r="D616" s="123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27"/>
      <c r="AE616" s="29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25"/>
      <c r="AP616" s="15"/>
      <c r="AU616" s="116"/>
      <c r="AV616" s="123"/>
      <c r="AW616" s="123"/>
      <c r="AX616" s="123"/>
      <c r="BC616" s="115"/>
      <c r="BD616" s="115"/>
      <c r="BE616" s="115"/>
      <c r="BF616" s="115"/>
      <c r="BG616" s="115"/>
      <c r="BH616" s="115"/>
      <c r="BI616" s="115"/>
      <c r="BJ616" s="115"/>
      <c r="BK616" s="115"/>
      <c r="BL616" s="115"/>
      <c r="BM616" s="25"/>
      <c r="BN616" s="13"/>
      <c r="BQ616" s="114"/>
    </row>
    <row r="617" spans="1:69" ht="19.5" x14ac:dyDescent="0.4">
      <c r="A617" s="117"/>
      <c r="B617" s="123"/>
      <c r="C617" s="123"/>
      <c r="D617" s="123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27"/>
      <c r="AE617" s="29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25">
        <v>45680</v>
      </c>
      <c r="AP617" s="15" t="s">
        <v>146</v>
      </c>
      <c r="AU617" s="116"/>
      <c r="AV617" s="123"/>
      <c r="AW617" s="123"/>
      <c r="AX617" s="123"/>
      <c r="BC617" s="115"/>
      <c r="BD617" s="115"/>
      <c r="BE617" s="115"/>
      <c r="BF617" s="115"/>
      <c r="BG617" s="115"/>
      <c r="BH617" s="115"/>
      <c r="BI617" s="115"/>
      <c r="BJ617" s="115"/>
      <c r="BK617" s="115"/>
      <c r="BL617" s="115"/>
      <c r="BM617" s="25"/>
      <c r="BN617" s="13"/>
      <c r="BQ617" s="114"/>
    </row>
    <row r="618" spans="1:69" ht="19.5" x14ac:dyDescent="0.4">
      <c r="A618" s="117"/>
      <c r="B618" s="123"/>
      <c r="C618" s="123"/>
      <c r="D618" s="123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27"/>
      <c r="AE618" s="29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25"/>
      <c r="AP618" s="15"/>
      <c r="AU618" s="116"/>
      <c r="AV618" s="123"/>
      <c r="AW618" s="123"/>
      <c r="AX618" s="123"/>
      <c r="BC618" s="115"/>
      <c r="BD618" s="115"/>
      <c r="BE618" s="115"/>
      <c r="BF618" s="115"/>
      <c r="BG618" s="115"/>
      <c r="BH618" s="115"/>
      <c r="BI618" s="115"/>
      <c r="BJ618" s="115"/>
      <c r="BK618" s="115"/>
      <c r="BL618" s="115"/>
      <c r="BM618" s="25"/>
      <c r="BN618" s="13"/>
      <c r="BQ618" s="114"/>
    </row>
    <row r="619" spans="1:69" ht="19.5" x14ac:dyDescent="0.4">
      <c r="A619" s="117"/>
      <c r="B619" s="123"/>
      <c r="C619" s="123"/>
      <c r="D619" s="123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25">
        <v>45680</v>
      </c>
      <c r="AP619" s="15" t="s">
        <v>146</v>
      </c>
      <c r="AU619" s="116"/>
      <c r="AV619" s="123"/>
      <c r="AW619" s="123"/>
      <c r="AX619" s="123"/>
      <c r="BC619" s="115"/>
      <c r="BD619" s="115"/>
      <c r="BE619" s="115"/>
      <c r="BF619" s="115"/>
      <c r="BG619" s="115"/>
      <c r="BH619" s="115"/>
      <c r="BI619" s="115"/>
      <c r="BJ619" s="115"/>
      <c r="BK619" s="115"/>
      <c r="BL619" s="115"/>
      <c r="BM619" s="25"/>
      <c r="BN619" s="13"/>
      <c r="BQ619" s="114"/>
    </row>
    <row r="620" spans="1:69" ht="19.5" x14ac:dyDescent="0.4">
      <c r="A620" s="117"/>
      <c r="B620" s="123"/>
      <c r="C620" s="123"/>
      <c r="D620" s="123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27"/>
      <c r="AE620" s="29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25"/>
      <c r="AP620" s="15"/>
      <c r="AU620" s="116"/>
      <c r="AV620" s="123"/>
      <c r="AW620" s="123"/>
      <c r="AX620" s="123"/>
      <c r="BC620" s="115"/>
      <c r="BD620" s="115"/>
      <c r="BE620" s="115"/>
      <c r="BF620" s="115"/>
      <c r="BG620" s="115"/>
      <c r="BH620" s="115"/>
      <c r="BI620" s="115"/>
      <c r="BJ620" s="115"/>
      <c r="BK620" s="115"/>
      <c r="BL620" s="115"/>
      <c r="BM620" s="25"/>
      <c r="BN620" s="13"/>
      <c r="BQ620" s="114"/>
    </row>
    <row r="621" spans="1:69" ht="19.5" x14ac:dyDescent="0.4">
      <c r="A621" s="117"/>
      <c r="B621" s="123"/>
      <c r="C621" s="123"/>
      <c r="D621" s="123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27"/>
      <c r="AE621" s="29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25"/>
      <c r="AP621" s="15"/>
      <c r="AU621" s="116"/>
      <c r="AV621" s="123"/>
      <c r="AW621" s="123"/>
      <c r="AX621" s="123"/>
      <c r="BC621" s="115"/>
      <c r="BD621" s="115"/>
      <c r="BE621" s="115"/>
      <c r="BF621" s="115"/>
      <c r="BG621" s="115"/>
      <c r="BH621" s="115"/>
      <c r="BI621" s="115"/>
      <c r="BJ621" s="115"/>
      <c r="BK621" s="115"/>
      <c r="BL621" s="115"/>
      <c r="BM621" s="25"/>
      <c r="BN621" s="13"/>
      <c r="BQ621" s="114"/>
    </row>
    <row r="622" spans="1:69" ht="19.5" x14ac:dyDescent="0.4">
      <c r="A622" s="117"/>
      <c r="B622" s="123"/>
      <c r="C622" s="123"/>
      <c r="D622" s="123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25"/>
      <c r="AP622" s="15"/>
      <c r="AU622" s="116"/>
      <c r="AV622" s="123"/>
      <c r="AW622" s="123"/>
      <c r="AX622" s="123"/>
      <c r="BC622" s="115"/>
      <c r="BD622" s="115"/>
      <c r="BE622" s="115"/>
      <c r="BF622" s="115"/>
      <c r="BG622" s="115"/>
      <c r="BH622" s="115"/>
      <c r="BI622" s="115"/>
      <c r="BJ622" s="115"/>
      <c r="BK622" s="115"/>
      <c r="BL622" s="115"/>
      <c r="BM622" s="25"/>
      <c r="BN622" s="13"/>
      <c r="BQ622" s="114"/>
    </row>
    <row r="623" spans="1:69" ht="19.5" x14ac:dyDescent="0.4">
      <c r="A623" s="117"/>
      <c r="B623" s="123"/>
      <c r="C623" s="123"/>
      <c r="D623" s="123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27"/>
      <c r="AE623" s="29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25">
        <v>45680</v>
      </c>
      <c r="AP623" s="15" t="s">
        <v>146</v>
      </c>
      <c r="AU623" s="116"/>
      <c r="AV623" s="123"/>
      <c r="AW623" s="123"/>
      <c r="AX623" s="123"/>
      <c r="BC623" s="115"/>
      <c r="BD623" s="115"/>
      <c r="BE623" s="115"/>
      <c r="BF623" s="115"/>
      <c r="BG623" s="115"/>
      <c r="BH623" s="115"/>
      <c r="BI623" s="115"/>
      <c r="BJ623" s="115"/>
      <c r="BK623" s="115"/>
      <c r="BL623" s="115"/>
      <c r="BM623" s="25"/>
      <c r="BN623" s="13"/>
      <c r="BQ623" s="114"/>
    </row>
    <row r="624" spans="1:69" ht="19.5" x14ac:dyDescent="0.4">
      <c r="A624" s="117"/>
      <c r="B624" s="123"/>
      <c r="C624" s="123"/>
      <c r="D624" s="123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27"/>
      <c r="AE624" s="29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25"/>
      <c r="AP624" s="15"/>
      <c r="AU624" s="116"/>
      <c r="AV624" s="123"/>
      <c r="AW624" s="123"/>
      <c r="AX624" s="123"/>
      <c r="BC624" s="115"/>
      <c r="BD624" s="115"/>
      <c r="BE624" s="115"/>
      <c r="BF624" s="115"/>
      <c r="BG624" s="115"/>
      <c r="BH624" s="115"/>
      <c r="BI624" s="115"/>
      <c r="BJ624" s="115"/>
      <c r="BK624" s="115"/>
      <c r="BL624" s="115"/>
      <c r="BM624" s="25"/>
      <c r="BN624" s="13"/>
      <c r="BQ624" s="114"/>
    </row>
    <row r="625" spans="1:69" ht="19.5" x14ac:dyDescent="0.4">
      <c r="A625" s="117"/>
      <c r="B625" s="123"/>
      <c r="C625" s="123"/>
      <c r="D625" s="123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29"/>
      <c r="AE625" s="29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25"/>
      <c r="AP625" s="15"/>
      <c r="AU625" s="116"/>
      <c r="AV625" s="123"/>
      <c r="AW625" s="123"/>
      <c r="AX625" s="123"/>
      <c r="BC625" s="115"/>
      <c r="BD625" s="115"/>
      <c r="BE625" s="115"/>
      <c r="BF625" s="115"/>
      <c r="BG625" s="115"/>
      <c r="BH625" s="115"/>
      <c r="BI625" s="115"/>
      <c r="BJ625" s="115"/>
      <c r="BK625" s="115"/>
      <c r="BL625" s="115"/>
      <c r="BM625" s="25"/>
      <c r="BN625" s="13"/>
      <c r="BQ625" s="114"/>
    </row>
    <row r="626" spans="1:69" ht="19.5" x14ac:dyDescent="0.4">
      <c r="A626" s="117"/>
      <c r="B626" s="123"/>
      <c r="C626" s="123"/>
      <c r="D626" s="123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27"/>
      <c r="AE626" s="29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25">
        <v>45680</v>
      </c>
      <c r="AP626" s="15" t="s">
        <v>147</v>
      </c>
      <c r="AU626" s="116"/>
      <c r="AV626" s="123"/>
      <c r="AW626" s="123"/>
      <c r="AX626" s="123"/>
      <c r="BC626" s="115"/>
      <c r="BD626" s="115"/>
      <c r="BE626" s="115"/>
      <c r="BF626" s="115"/>
      <c r="BG626" s="115"/>
      <c r="BH626" s="115"/>
      <c r="BI626" s="115"/>
      <c r="BJ626" s="115"/>
      <c r="BK626" s="115"/>
      <c r="BL626" s="115"/>
      <c r="BM626" s="25"/>
      <c r="BN626" s="13"/>
      <c r="BQ626" s="114"/>
    </row>
    <row r="627" spans="1:69" ht="19.5" x14ac:dyDescent="0.4">
      <c r="A627" s="117"/>
      <c r="B627" s="123"/>
      <c r="C627" s="123"/>
      <c r="D627" s="123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25"/>
      <c r="AP627" s="13"/>
      <c r="AU627" s="116"/>
      <c r="AV627" s="123"/>
      <c r="AW627" s="123"/>
      <c r="AX627" s="123"/>
      <c r="BC627" s="115"/>
      <c r="BD627" s="115"/>
      <c r="BE627" s="115"/>
      <c r="BF627" s="115"/>
      <c r="BG627" s="115"/>
      <c r="BH627" s="115"/>
      <c r="BI627" s="115"/>
      <c r="BJ627" s="115"/>
      <c r="BK627" s="115"/>
      <c r="BL627" s="115"/>
      <c r="BM627" s="25"/>
      <c r="BN627" s="13"/>
      <c r="BQ627" s="114"/>
    </row>
    <row r="628" spans="1:69" ht="19.5" x14ac:dyDescent="0.4">
      <c r="A628" s="117"/>
      <c r="B628" s="123"/>
      <c r="C628" s="123"/>
      <c r="D628" s="123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25"/>
      <c r="AP628" s="13"/>
      <c r="AU628" s="116"/>
      <c r="AV628" s="123"/>
      <c r="AW628" s="123"/>
      <c r="AX628" s="123"/>
      <c r="BC628" s="115"/>
      <c r="BD628" s="115"/>
      <c r="BE628" s="115"/>
      <c r="BF628" s="115"/>
      <c r="BG628" s="115"/>
      <c r="BH628" s="115"/>
      <c r="BI628" s="115"/>
      <c r="BJ628" s="115"/>
      <c r="BK628" s="115"/>
      <c r="BL628" s="115"/>
      <c r="BM628" s="25"/>
      <c r="BN628" s="13"/>
      <c r="BQ628" s="114"/>
    </row>
    <row r="629" spans="1:69" ht="19.5" x14ac:dyDescent="0.4">
      <c r="A629" s="117"/>
      <c r="B629" s="123"/>
      <c r="C629" s="123"/>
      <c r="D629" s="123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27"/>
      <c r="AE629" s="29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25"/>
      <c r="AP629" s="13"/>
      <c r="AU629" s="116"/>
      <c r="AV629" s="123"/>
      <c r="AW629" s="123"/>
      <c r="AX629" s="123"/>
      <c r="BC629" s="115"/>
      <c r="BD629" s="115"/>
      <c r="BE629" s="115"/>
      <c r="BF629" s="115"/>
      <c r="BG629" s="115"/>
      <c r="BH629" s="115"/>
      <c r="BI629" s="115"/>
      <c r="BJ629" s="115"/>
      <c r="BK629" s="115"/>
      <c r="BL629" s="115"/>
      <c r="BM629" s="25"/>
      <c r="BN629" s="13"/>
      <c r="BQ629" s="114"/>
    </row>
    <row r="630" spans="1:69" ht="19.5" x14ac:dyDescent="0.4">
      <c r="A630" s="117"/>
      <c r="B630" s="123"/>
      <c r="C630" s="123"/>
      <c r="D630" s="123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29"/>
      <c r="AE630" s="29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25"/>
      <c r="AP630" s="13"/>
      <c r="AU630" s="116"/>
      <c r="AV630" s="123"/>
      <c r="AW630" s="123"/>
      <c r="AX630" s="123"/>
      <c r="BC630" s="115"/>
      <c r="BD630" s="115"/>
      <c r="BE630" s="115"/>
      <c r="BF630" s="115"/>
      <c r="BG630" s="115"/>
      <c r="BH630" s="115"/>
      <c r="BI630" s="115"/>
      <c r="BJ630" s="115"/>
      <c r="BK630" s="115"/>
      <c r="BL630" s="115"/>
      <c r="BM630" s="25"/>
      <c r="BN630" s="13"/>
      <c r="BQ630" s="114"/>
    </row>
    <row r="631" spans="1:69" ht="19.5" x14ac:dyDescent="0.4">
      <c r="A631" s="117"/>
      <c r="B631" s="123"/>
      <c r="C631" s="123"/>
      <c r="D631" s="123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25"/>
      <c r="AP631" s="13"/>
      <c r="AU631" s="116"/>
      <c r="AV631" s="123"/>
      <c r="AW631" s="123"/>
      <c r="AX631" s="123"/>
      <c r="BC631" s="115"/>
      <c r="BD631" s="115"/>
      <c r="BE631" s="115"/>
      <c r="BF631" s="115"/>
      <c r="BG631" s="115"/>
      <c r="BH631" s="115"/>
      <c r="BI631" s="115"/>
      <c r="BJ631" s="115"/>
      <c r="BK631" s="115"/>
      <c r="BL631" s="115"/>
      <c r="BM631" s="25"/>
      <c r="BN631" s="13"/>
      <c r="BQ631" s="114"/>
    </row>
    <row r="632" spans="1:69" ht="19.5" x14ac:dyDescent="0.4">
      <c r="A632" s="117"/>
      <c r="B632" s="123"/>
      <c r="C632" s="123"/>
      <c r="D632" s="123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27"/>
      <c r="AE632" s="29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25"/>
      <c r="AP632" s="13"/>
      <c r="AU632" s="116"/>
      <c r="AV632" s="123"/>
      <c r="AW632" s="123"/>
      <c r="AX632" s="123"/>
      <c r="BC632" s="115"/>
      <c r="BD632" s="115"/>
      <c r="BE632" s="115"/>
      <c r="BF632" s="115"/>
      <c r="BG632" s="115"/>
      <c r="BH632" s="115"/>
      <c r="BI632" s="115"/>
      <c r="BJ632" s="115"/>
      <c r="BK632" s="115"/>
      <c r="BL632" s="115"/>
      <c r="BM632" s="25"/>
      <c r="BN632" s="13"/>
      <c r="BQ632" s="114"/>
    </row>
    <row r="633" spans="1:69" ht="19.5" x14ac:dyDescent="0.4">
      <c r="A633" s="117"/>
      <c r="B633" s="123"/>
      <c r="C633" s="123"/>
      <c r="D633" s="123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27"/>
      <c r="AE633" s="29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25"/>
      <c r="AP633" s="13"/>
      <c r="AU633" s="116"/>
      <c r="AV633" s="123"/>
      <c r="AW633" s="123"/>
      <c r="AX633" s="123"/>
      <c r="BC633" s="115"/>
      <c r="BD633" s="115"/>
      <c r="BE633" s="115"/>
      <c r="BF633" s="115"/>
      <c r="BG633" s="115"/>
      <c r="BH633" s="115"/>
      <c r="BI633" s="115"/>
      <c r="BJ633" s="115"/>
      <c r="BK633" s="115"/>
      <c r="BL633" s="115"/>
      <c r="BM633" s="25"/>
      <c r="BN633" s="13"/>
      <c r="BQ633" s="114"/>
    </row>
    <row r="634" spans="1:69" ht="19.5" x14ac:dyDescent="0.4">
      <c r="A634" s="117"/>
      <c r="B634" s="123"/>
      <c r="C634" s="123"/>
      <c r="D634" s="123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27"/>
      <c r="AE634" s="29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25"/>
      <c r="AP634" s="13"/>
      <c r="AU634" s="116"/>
      <c r="AV634" s="123"/>
      <c r="AW634" s="123"/>
      <c r="AX634" s="123"/>
      <c r="BC634" s="115"/>
      <c r="BD634" s="115"/>
      <c r="BE634" s="115"/>
      <c r="BF634" s="115"/>
      <c r="BG634" s="115"/>
      <c r="BH634" s="115"/>
      <c r="BI634" s="115"/>
      <c r="BJ634" s="115"/>
      <c r="BK634" s="115"/>
      <c r="BL634" s="115"/>
      <c r="BM634" s="25"/>
      <c r="BN634" s="13"/>
      <c r="BQ634" s="114"/>
    </row>
    <row r="635" spans="1:69" ht="19.5" x14ac:dyDescent="0.4">
      <c r="A635" s="117"/>
      <c r="B635" s="123"/>
      <c r="C635" s="123"/>
      <c r="D635" s="123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27"/>
      <c r="AE635" s="29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25"/>
      <c r="AP635" s="13"/>
      <c r="AU635" s="116"/>
      <c r="AV635" s="123"/>
      <c r="AW635" s="123"/>
      <c r="AX635" s="123"/>
      <c r="BC635" s="115"/>
      <c r="BD635" s="115"/>
      <c r="BE635" s="115"/>
      <c r="BF635" s="115"/>
      <c r="BG635" s="115"/>
      <c r="BH635" s="115"/>
      <c r="BI635" s="115"/>
      <c r="BJ635" s="115"/>
      <c r="BK635" s="115"/>
      <c r="BL635" s="115"/>
      <c r="BM635" s="25"/>
      <c r="BN635" s="13"/>
      <c r="BQ635" s="114"/>
    </row>
    <row r="636" spans="1:69" ht="19.5" x14ac:dyDescent="0.4">
      <c r="A636" s="117"/>
      <c r="B636" s="123"/>
      <c r="C636" s="123"/>
      <c r="D636" s="123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27"/>
      <c r="AE636" s="29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25">
        <v>45680</v>
      </c>
      <c r="AP636" s="13" t="s">
        <v>146</v>
      </c>
      <c r="AU636" s="116"/>
      <c r="AV636" s="123"/>
      <c r="AW636" s="123"/>
      <c r="AX636" s="123"/>
      <c r="BC636" s="115"/>
      <c r="BD636" s="115"/>
      <c r="BE636" s="115"/>
      <c r="BF636" s="115"/>
      <c r="BG636" s="115"/>
      <c r="BH636" s="115"/>
      <c r="BI636" s="115"/>
      <c r="BJ636" s="115"/>
      <c r="BK636" s="115"/>
      <c r="BL636" s="115"/>
      <c r="BM636" s="25"/>
      <c r="BN636" s="13"/>
      <c r="BQ636" s="114"/>
    </row>
    <row r="637" spans="1:69" ht="19.5" x14ac:dyDescent="0.4">
      <c r="A637" s="117"/>
      <c r="B637" s="123"/>
      <c r="C637" s="123"/>
      <c r="D637" s="123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25"/>
      <c r="AP637" s="13"/>
      <c r="AU637" s="116"/>
      <c r="AV637" s="123"/>
      <c r="AW637" s="123"/>
      <c r="AX637" s="123"/>
      <c r="BC637" s="115"/>
      <c r="BD637" s="115"/>
      <c r="BE637" s="115"/>
      <c r="BF637" s="115"/>
      <c r="BG637" s="115"/>
      <c r="BH637" s="115"/>
      <c r="BI637" s="115"/>
      <c r="BJ637" s="115"/>
      <c r="BK637" s="115"/>
      <c r="BL637" s="115"/>
      <c r="BM637" s="25"/>
      <c r="BN637" s="13"/>
      <c r="BQ637" s="114"/>
    </row>
    <row r="638" spans="1:69" ht="19.5" x14ac:dyDescent="0.4">
      <c r="A638" s="117"/>
      <c r="B638" s="123"/>
      <c r="C638" s="123"/>
      <c r="D638" s="123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27"/>
      <c r="AE638" s="29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25">
        <v>45680</v>
      </c>
      <c r="AP638" s="13" t="s">
        <v>147</v>
      </c>
      <c r="AU638" s="116"/>
      <c r="AV638" s="123"/>
      <c r="AW638" s="123"/>
      <c r="AX638" s="123"/>
      <c r="BC638" s="115"/>
      <c r="BD638" s="115"/>
      <c r="BE638" s="115"/>
      <c r="BF638" s="115"/>
      <c r="BG638" s="115"/>
      <c r="BH638" s="115"/>
      <c r="BI638" s="115"/>
      <c r="BJ638" s="115"/>
      <c r="BK638" s="115"/>
      <c r="BL638" s="115"/>
      <c r="BM638" s="25"/>
      <c r="BN638" s="13"/>
      <c r="BQ638" s="114"/>
    </row>
    <row r="639" spans="1:69" ht="19.5" x14ac:dyDescent="0.4">
      <c r="A639" s="117"/>
      <c r="B639" s="123"/>
      <c r="C639" s="123"/>
      <c r="D639" s="123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27"/>
      <c r="AE639" s="29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25">
        <v>45680</v>
      </c>
      <c r="AP639" s="13" t="s">
        <v>146</v>
      </c>
      <c r="AU639" s="116"/>
      <c r="AV639" s="123"/>
      <c r="AW639" s="123"/>
      <c r="AX639" s="123"/>
      <c r="BC639" s="115"/>
      <c r="BD639" s="115"/>
      <c r="BE639" s="115"/>
      <c r="BF639" s="115"/>
      <c r="BG639" s="115"/>
      <c r="BH639" s="115"/>
      <c r="BI639" s="115"/>
      <c r="BJ639" s="115"/>
      <c r="BK639" s="115"/>
      <c r="BL639" s="115"/>
      <c r="BM639" s="25"/>
      <c r="BN639" s="13"/>
      <c r="BQ639" s="114"/>
    </row>
    <row r="640" spans="1:69" ht="19.5" x14ac:dyDescent="0.4">
      <c r="A640" s="117"/>
      <c r="B640" s="123"/>
      <c r="C640" s="123"/>
      <c r="D640" s="123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29"/>
      <c r="AE640" s="29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25"/>
      <c r="AP640" s="13"/>
      <c r="AU640" s="116"/>
      <c r="AV640" s="123"/>
      <c r="AW640" s="123"/>
      <c r="AX640" s="123"/>
      <c r="BC640" s="115"/>
      <c r="BD640" s="115"/>
      <c r="BE640" s="115"/>
      <c r="BF640" s="115"/>
      <c r="BG640" s="115"/>
      <c r="BH640" s="115"/>
      <c r="BI640" s="115"/>
      <c r="BJ640" s="115"/>
      <c r="BK640" s="115"/>
      <c r="BL640" s="115"/>
      <c r="BM640" s="25"/>
      <c r="BN640" s="13"/>
      <c r="BQ640" s="114"/>
    </row>
    <row r="641" spans="1:69" ht="19.5" x14ac:dyDescent="0.4">
      <c r="A641" s="117"/>
      <c r="B641" s="123"/>
      <c r="C641" s="123"/>
      <c r="D641" s="123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27"/>
      <c r="AE641" s="29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25"/>
      <c r="AP641" s="13"/>
      <c r="AU641" s="116"/>
      <c r="AV641" s="123"/>
      <c r="AW641" s="123"/>
      <c r="AX641" s="123"/>
      <c r="BC641" s="115"/>
      <c r="BD641" s="115"/>
      <c r="BE641" s="115"/>
      <c r="BF641" s="115"/>
      <c r="BG641" s="115"/>
      <c r="BH641" s="115"/>
      <c r="BI641" s="115"/>
      <c r="BJ641" s="115"/>
      <c r="BK641" s="115"/>
      <c r="BL641" s="115"/>
      <c r="BM641" s="25"/>
      <c r="BN641" s="13"/>
      <c r="BQ641" s="114"/>
    </row>
    <row r="642" spans="1:69" ht="19.5" x14ac:dyDescent="0.4">
      <c r="A642" s="117"/>
      <c r="B642" s="123"/>
      <c r="C642" s="123"/>
      <c r="D642" s="123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29"/>
      <c r="AE642" s="29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25"/>
      <c r="AP642" s="13"/>
      <c r="AU642" s="116"/>
      <c r="AV642" s="123"/>
      <c r="AW642" s="123"/>
      <c r="AX642" s="123"/>
      <c r="BC642" s="115"/>
      <c r="BD642" s="115"/>
      <c r="BE642" s="115"/>
      <c r="BF642" s="115"/>
      <c r="BG642" s="115"/>
      <c r="BH642" s="115"/>
      <c r="BI642" s="115"/>
      <c r="BJ642" s="115"/>
      <c r="BK642" s="115"/>
      <c r="BL642" s="115"/>
      <c r="BM642" s="25"/>
      <c r="BN642" s="13"/>
      <c r="BQ642" s="114"/>
    </row>
    <row r="643" spans="1:69" ht="19.5" x14ac:dyDescent="0.4">
      <c r="A643" s="117"/>
      <c r="B643" s="123"/>
      <c r="C643" s="123"/>
      <c r="D643" s="123"/>
      <c r="AD643" s="127"/>
      <c r="AE643" s="29"/>
      <c r="AO643" s="25">
        <v>45680</v>
      </c>
      <c r="AP643" s="13" t="s">
        <v>146</v>
      </c>
      <c r="AU643" s="117"/>
      <c r="AV643" s="123"/>
      <c r="AW643" s="123"/>
      <c r="AX643" s="123"/>
      <c r="BC643" s="115"/>
      <c r="BD643" s="115"/>
      <c r="BE643" s="115"/>
      <c r="BF643" s="115"/>
      <c r="BG643" s="115"/>
      <c r="BH643" s="115"/>
      <c r="BI643" s="115"/>
      <c r="BJ643" s="115"/>
      <c r="BK643" s="115"/>
      <c r="BL643" s="115" t="s">
        <v>149</v>
      </c>
      <c r="BM643" s="13">
        <f>SUBTOTAL(3,BM2:BM2)</f>
        <v>1</v>
      </c>
      <c r="BN643" s="13">
        <f>SUBTOTAL(3,BN2:BN2)</f>
        <v>1</v>
      </c>
      <c r="BQ643" s="114"/>
    </row>
    <row r="644" spans="1:69" ht="19.5" x14ac:dyDescent="0.4">
      <c r="A644" s="117"/>
      <c r="B644" s="123"/>
      <c r="C644" s="123"/>
      <c r="D644" s="123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29"/>
      <c r="AE644" s="29"/>
      <c r="AO644" s="25"/>
      <c r="AP644" s="13"/>
      <c r="AU644" s="117"/>
      <c r="AV644" s="123"/>
      <c r="AW644" s="123"/>
      <c r="AX644" s="123"/>
      <c r="BC644" s="115"/>
      <c r="BD644" s="115"/>
      <c r="BE644" s="115"/>
      <c r="BF644" s="115"/>
      <c r="BG644" s="115"/>
      <c r="BH644" s="115"/>
      <c r="BI644" s="115"/>
      <c r="BJ644" s="115"/>
      <c r="BK644" s="115"/>
      <c r="BL644" s="115"/>
      <c r="BM644" s="13"/>
      <c r="BN644" s="13"/>
      <c r="BQ644" s="114"/>
    </row>
    <row r="645" spans="1:69" ht="19.5" x14ac:dyDescent="0.4">
      <c r="A645" s="117"/>
      <c r="B645" s="123"/>
      <c r="C645" s="123"/>
      <c r="D645" s="123"/>
      <c r="AD645" s="127"/>
      <c r="AE645" s="29"/>
      <c r="AO645" s="25"/>
      <c r="AP645" s="13"/>
      <c r="AU645" s="117"/>
      <c r="AV645" s="123"/>
      <c r="AW645" s="123"/>
      <c r="AX645" s="123"/>
      <c r="BC645" s="115"/>
      <c r="BD645" s="115"/>
      <c r="BE645" s="115"/>
      <c r="BF645" s="115"/>
      <c r="BG645" s="115"/>
      <c r="BH645" s="115"/>
      <c r="BI645" s="115"/>
      <c r="BJ645" s="115"/>
      <c r="BK645" s="115"/>
      <c r="BL645" s="115"/>
      <c r="BM645" s="13"/>
      <c r="BN645" s="13"/>
      <c r="BQ645" s="114"/>
    </row>
    <row r="646" spans="1:69" ht="19.5" x14ac:dyDescent="0.4">
      <c r="A646" s="117"/>
      <c r="B646" s="123"/>
      <c r="C646" s="123"/>
      <c r="D646" s="123"/>
      <c r="AD646" s="127"/>
      <c r="AE646" s="29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25">
        <v>45682</v>
      </c>
      <c r="AP646" s="13" t="s">
        <v>147</v>
      </c>
      <c r="AU646" s="117"/>
      <c r="AV646" s="123"/>
      <c r="AW646" s="123"/>
      <c r="AX646" s="123"/>
      <c r="BC646" s="115"/>
      <c r="BD646" s="115"/>
      <c r="BE646" s="115"/>
      <c r="BF646" s="115"/>
      <c r="BG646" s="115"/>
      <c r="BH646" s="115"/>
      <c r="BI646" s="115"/>
      <c r="BJ646" s="115"/>
      <c r="BK646" s="115"/>
      <c r="BL646" s="115"/>
      <c r="BM646" s="13"/>
      <c r="BN646" s="13"/>
      <c r="BQ646" s="114"/>
    </row>
    <row r="647" spans="1:69" ht="19.5" x14ac:dyDescent="0.4">
      <c r="A647" s="117"/>
      <c r="B647" s="123"/>
      <c r="C647" s="123"/>
      <c r="D647" s="123"/>
      <c r="AD647" s="127"/>
      <c r="AE647" s="29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25">
        <v>45682</v>
      </c>
      <c r="AP647" s="13" t="s">
        <v>146</v>
      </c>
      <c r="AU647" s="117"/>
      <c r="AV647" s="123"/>
      <c r="AW647" s="123"/>
      <c r="AX647" s="123"/>
      <c r="BC647" s="115"/>
      <c r="BD647" s="115"/>
      <c r="BE647" s="115"/>
      <c r="BF647" s="115"/>
      <c r="BG647" s="115"/>
      <c r="BH647" s="115"/>
      <c r="BI647" s="115"/>
      <c r="BJ647" s="115"/>
      <c r="BK647" s="115"/>
      <c r="BL647" s="115"/>
      <c r="BM647" s="13"/>
      <c r="BN647" s="13"/>
      <c r="BQ647" s="114"/>
    </row>
    <row r="648" spans="1:69" ht="19.5" x14ac:dyDescent="0.4">
      <c r="A648" s="117"/>
      <c r="B648" s="123"/>
      <c r="C648" s="123"/>
      <c r="D648" s="123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25"/>
      <c r="AP648" s="13"/>
      <c r="AU648" s="117"/>
      <c r="AV648" s="123"/>
      <c r="AW648" s="123"/>
      <c r="AX648" s="123"/>
      <c r="BC648" s="115"/>
      <c r="BD648" s="115"/>
      <c r="BE648" s="115"/>
      <c r="BF648" s="115"/>
      <c r="BG648" s="115"/>
      <c r="BH648" s="115"/>
      <c r="BI648" s="115"/>
      <c r="BJ648" s="115"/>
      <c r="BK648" s="115"/>
      <c r="BL648" s="115"/>
      <c r="BM648" s="13"/>
      <c r="BN648" s="13"/>
      <c r="BQ648" s="114"/>
    </row>
    <row r="649" spans="1:69" ht="19.5" x14ac:dyDescent="0.4">
      <c r="A649" s="117"/>
      <c r="B649" s="123"/>
      <c r="C649" s="123"/>
      <c r="D649" s="123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27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25"/>
      <c r="AP649" s="13"/>
      <c r="AU649" s="117"/>
      <c r="AV649" s="123"/>
      <c r="AW649" s="123"/>
      <c r="AX649" s="123"/>
      <c r="BC649" s="115"/>
      <c r="BD649" s="115"/>
      <c r="BE649" s="115"/>
      <c r="BF649" s="115"/>
      <c r="BG649" s="115"/>
      <c r="BH649" s="115"/>
      <c r="BI649" s="115"/>
      <c r="BJ649" s="115"/>
      <c r="BK649" s="115"/>
      <c r="BL649" s="115"/>
      <c r="BM649" s="13"/>
      <c r="BN649" s="13"/>
      <c r="BQ649" s="114"/>
    </row>
    <row r="650" spans="1:69" ht="19.5" x14ac:dyDescent="0.4">
      <c r="A650" s="117"/>
      <c r="B650" s="123"/>
      <c r="C650" s="123"/>
      <c r="D650" s="123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29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25"/>
      <c r="AP650" s="13"/>
      <c r="AU650" s="117"/>
      <c r="AV650" s="123"/>
      <c r="AW650" s="123"/>
      <c r="AX650" s="123"/>
      <c r="BC650" s="115"/>
      <c r="BD650" s="115"/>
      <c r="BE650" s="115"/>
      <c r="BF650" s="115"/>
      <c r="BG650" s="115"/>
      <c r="BH650" s="115"/>
      <c r="BI650" s="115"/>
      <c r="BJ650" s="115"/>
      <c r="BK650" s="115"/>
      <c r="BL650" s="115"/>
      <c r="BM650" s="13"/>
      <c r="BN650" s="13"/>
      <c r="BQ650" s="114"/>
    </row>
    <row r="651" spans="1:69" ht="19.5" x14ac:dyDescent="0.4">
      <c r="A651" s="117"/>
      <c r="B651" s="123"/>
      <c r="C651" s="123"/>
      <c r="D651" s="123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25"/>
      <c r="AP651" s="13"/>
      <c r="AU651" s="117"/>
      <c r="AV651" s="123"/>
      <c r="AW651" s="123"/>
      <c r="AX651" s="123"/>
      <c r="BC651" s="115"/>
      <c r="BD651" s="115"/>
      <c r="BE651" s="115"/>
      <c r="BF651" s="115"/>
      <c r="BG651" s="115"/>
      <c r="BH651" s="115"/>
      <c r="BI651" s="115"/>
      <c r="BJ651" s="115"/>
      <c r="BK651" s="115"/>
      <c r="BL651" s="115"/>
      <c r="BM651" s="13"/>
      <c r="BN651" s="13"/>
      <c r="BQ651" s="114"/>
    </row>
    <row r="652" spans="1:69" ht="19.5" x14ac:dyDescent="0.4">
      <c r="A652" s="117"/>
      <c r="B652" s="123"/>
      <c r="C652" s="123"/>
      <c r="D652" s="123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29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25"/>
      <c r="AP652" s="13"/>
      <c r="AU652" s="117"/>
      <c r="AV652" s="123"/>
      <c r="AW652" s="123"/>
      <c r="AX652" s="123"/>
      <c r="BC652" s="115"/>
      <c r="BD652" s="115"/>
      <c r="BE652" s="115"/>
      <c r="BF652" s="115"/>
      <c r="BG652" s="115"/>
      <c r="BH652" s="115"/>
      <c r="BI652" s="115"/>
      <c r="BJ652" s="115"/>
      <c r="BK652" s="115"/>
      <c r="BL652" s="115"/>
      <c r="BM652" s="13"/>
      <c r="BN652" s="13"/>
      <c r="BQ652" s="114"/>
    </row>
    <row r="653" spans="1:69" ht="19.5" x14ac:dyDescent="0.4">
      <c r="A653" s="117"/>
      <c r="B653" s="123"/>
      <c r="C653" s="123"/>
      <c r="D653" s="123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25">
        <v>45682</v>
      </c>
      <c r="AP653" s="13" t="s">
        <v>147</v>
      </c>
      <c r="AU653" s="117"/>
      <c r="AV653" s="123"/>
      <c r="AW653" s="123"/>
      <c r="AX653" s="123"/>
      <c r="BC653" s="115"/>
      <c r="BD653" s="115"/>
      <c r="BE653" s="115"/>
      <c r="BF653" s="115"/>
      <c r="BG653" s="115"/>
      <c r="BH653" s="115"/>
      <c r="BI653" s="115"/>
      <c r="BJ653" s="115"/>
      <c r="BK653" s="115"/>
      <c r="BL653" s="115"/>
      <c r="BM653" s="13"/>
      <c r="BN653" s="13"/>
      <c r="BQ653" s="114"/>
    </row>
    <row r="654" spans="1:69" ht="19.5" x14ac:dyDescent="0.4">
      <c r="A654" s="117"/>
      <c r="B654" s="123"/>
      <c r="C654" s="123"/>
      <c r="D654" s="123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29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25"/>
      <c r="AP654" s="13"/>
      <c r="AU654" s="117"/>
      <c r="AV654" s="123"/>
      <c r="AW654" s="123"/>
      <c r="AX654" s="123"/>
      <c r="BC654" s="115"/>
      <c r="BD654" s="115"/>
      <c r="BE654" s="115"/>
      <c r="BF654" s="115"/>
      <c r="BG654" s="115"/>
      <c r="BH654" s="115"/>
      <c r="BI654" s="115"/>
      <c r="BJ654" s="115"/>
      <c r="BK654" s="115"/>
      <c r="BL654" s="115"/>
      <c r="BM654" s="13"/>
      <c r="BN654" s="13"/>
      <c r="BQ654" s="114"/>
    </row>
    <row r="655" spans="1:69" ht="19.5" x14ac:dyDescent="0.4">
      <c r="A655" s="117"/>
      <c r="B655" s="123"/>
      <c r="C655" s="123"/>
      <c r="D655" s="123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29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25"/>
      <c r="AP655" s="13"/>
      <c r="AU655" s="117"/>
      <c r="AV655" s="123"/>
      <c r="AW655" s="123"/>
      <c r="AX655" s="123"/>
      <c r="BC655" s="115"/>
      <c r="BD655" s="115"/>
      <c r="BE655" s="115"/>
      <c r="BF655" s="115"/>
      <c r="BG655" s="115"/>
      <c r="BH655" s="115"/>
      <c r="BI655" s="115"/>
      <c r="BJ655" s="115"/>
      <c r="BK655" s="115"/>
      <c r="BL655" s="115"/>
      <c r="BM655" s="13"/>
      <c r="BN655" s="13"/>
      <c r="BQ655" s="114"/>
    </row>
    <row r="656" spans="1:69" ht="19.5" x14ac:dyDescent="0.4">
      <c r="A656" s="117"/>
      <c r="B656" s="123"/>
      <c r="C656" s="123"/>
      <c r="D656" s="123"/>
      <c r="AD656" s="128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25"/>
      <c r="AP656" s="13"/>
      <c r="AU656" s="117"/>
      <c r="AV656" s="123"/>
      <c r="AW656" s="123"/>
      <c r="AX656" s="123"/>
      <c r="BC656" s="115"/>
      <c r="BD656" s="115"/>
      <c r="BE656" s="115"/>
      <c r="BF656" s="115"/>
      <c r="BG656" s="115"/>
      <c r="BH656" s="115"/>
      <c r="BI656" s="115"/>
      <c r="BJ656" s="115"/>
      <c r="BK656" s="115"/>
      <c r="BL656" s="115"/>
      <c r="BM656" s="13"/>
      <c r="BN656" s="13"/>
      <c r="BQ656" s="114"/>
    </row>
    <row r="657" spans="1:69" ht="19.5" x14ac:dyDescent="0.4">
      <c r="A657" s="117"/>
      <c r="B657" s="123"/>
      <c r="C657" s="123"/>
      <c r="D657" s="123"/>
      <c r="AD657" s="127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25"/>
      <c r="AP657" s="13"/>
      <c r="AU657" s="117"/>
      <c r="AV657" s="123"/>
      <c r="AW657" s="123"/>
      <c r="AX657" s="123"/>
      <c r="BC657" s="115"/>
      <c r="BD657" s="115"/>
      <c r="BE657" s="115"/>
      <c r="BF657" s="115"/>
      <c r="BG657" s="115"/>
      <c r="BH657" s="115"/>
      <c r="BI657" s="115"/>
      <c r="BJ657" s="115"/>
      <c r="BK657" s="115"/>
      <c r="BL657" s="115"/>
      <c r="BM657" s="13"/>
      <c r="BN657" s="13"/>
      <c r="BQ657" s="114"/>
    </row>
    <row r="658" spans="1:69" ht="19.5" x14ac:dyDescent="0.4">
      <c r="A658" s="117"/>
      <c r="B658" s="123"/>
      <c r="C658" s="123"/>
      <c r="D658" s="123"/>
      <c r="AD658" s="127"/>
      <c r="AE658" s="29"/>
      <c r="AO658" s="25">
        <v>45682</v>
      </c>
      <c r="AP658" s="15" t="s">
        <v>146</v>
      </c>
      <c r="AU658" s="117"/>
      <c r="AV658" s="123"/>
      <c r="AW658" s="123"/>
      <c r="AX658" s="123"/>
      <c r="BC658" s="115"/>
      <c r="BD658" s="115"/>
      <c r="BE658" s="115"/>
      <c r="BF658" s="115"/>
      <c r="BG658" s="115"/>
      <c r="BH658" s="115"/>
      <c r="BI658" s="115"/>
      <c r="BJ658" s="115"/>
      <c r="BK658" s="115"/>
      <c r="BL658" s="115"/>
      <c r="BM658" s="13"/>
      <c r="BN658" s="13"/>
      <c r="BQ658" s="114"/>
    </row>
    <row r="659" spans="1:69" ht="19.5" x14ac:dyDescent="0.4">
      <c r="A659" s="117"/>
      <c r="B659" s="123"/>
      <c r="C659" s="123"/>
      <c r="D659" s="123"/>
      <c r="AD659" s="128"/>
      <c r="AE659" s="29"/>
      <c r="AO659" s="25"/>
      <c r="AP659" s="15"/>
      <c r="AU659" s="117"/>
      <c r="AV659" s="123"/>
      <c r="AW659" s="123"/>
      <c r="AX659" s="123"/>
      <c r="BC659" s="115"/>
      <c r="BD659" s="115"/>
      <c r="BE659" s="115"/>
      <c r="BF659" s="115"/>
      <c r="BG659" s="115"/>
      <c r="BH659" s="115"/>
      <c r="BI659" s="115"/>
      <c r="BJ659" s="115"/>
      <c r="BK659" s="115"/>
      <c r="BL659" s="115"/>
      <c r="BM659" s="13"/>
      <c r="BN659" s="13"/>
      <c r="BQ659" s="114"/>
    </row>
    <row r="660" spans="1:69" ht="19.5" x14ac:dyDescent="0.4">
      <c r="A660" s="117"/>
      <c r="B660" s="123"/>
      <c r="C660" s="123"/>
      <c r="D660" s="123"/>
      <c r="AD660" s="127"/>
      <c r="AE660" s="29"/>
      <c r="AO660" s="25"/>
      <c r="AP660" s="15"/>
      <c r="AU660" s="117"/>
      <c r="AV660" s="123"/>
      <c r="AW660" s="123"/>
      <c r="AX660" s="123"/>
      <c r="BC660" s="115"/>
      <c r="BD660" s="115"/>
      <c r="BE660" s="115"/>
      <c r="BF660" s="115"/>
      <c r="BG660" s="115"/>
      <c r="BH660" s="115"/>
      <c r="BI660" s="115"/>
      <c r="BJ660" s="115"/>
      <c r="BK660" s="115"/>
      <c r="BL660" s="115"/>
      <c r="BM660" s="13"/>
      <c r="BN660" s="13"/>
      <c r="BQ660" s="114"/>
    </row>
    <row r="661" spans="1:69" ht="19.5" x14ac:dyDescent="0.4">
      <c r="A661" s="117"/>
      <c r="B661" s="123"/>
      <c r="C661" s="123"/>
      <c r="D661" s="123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27"/>
      <c r="AE661" s="29"/>
      <c r="AO661" s="25"/>
      <c r="AP661" s="15"/>
      <c r="AU661" s="117"/>
      <c r="AV661" s="123"/>
      <c r="AW661" s="123"/>
      <c r="AX661" s="123"/>
      <c r="BC661" s="115"/>
      <c r="BD661" s="115"/>
      <c r="BE661" s="115"/>
      <c r="BF661" s="115"/>
      <c r="BG661" s="115"/>
      <c r="BH661" s="115"/>
      <c r="BI661" s="115"/>
      <c r="BJ661" s="115"/>
      <c r="BK661" s="115"/>
      <c r="BL661" s="115"/>
      <c r="BM661" s="13"/>
      <c r="BN661" s="13"/>
      <c r="BQ661" s="114"/>
    </row>
    <row r="662" spans="1:69" ht="19.5" x14ac:dyDescent="0.4">
      <c r="A662" s="117"/>
      <c r="B662" s="123"/>
      <c r="C662" s="123"/>
      <c r="D662" s="123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25">
        <v>45682</v>
      </c>
      <c r="AP662" s="15" t="s">
        <v>146</v>
      </c>
      <c r="AU662" s="117"/>
      <c r="AV662" s="123"/>
      <c r="AW662" s="123"/>
      <c r="AX662" s="123"/>
      <c r="BC662" s="115"/>
      <c r="BD662" s="115"/>
      <c r="BE662" s="115"/>
      <c r="BF662" s="115"/>
      <c r="BG662" s="115"/>
      <c r="BH662" s="115"/>
      <c r="BI662" s="115"/>
      <c r="BJ662" s="115"/>
      <c r="BK662" s="115"/>
      <c r="BL662" s="115"/>
      <c r="BM662" s="13"/>
      <c r="BN662" s="13"/>
      <c r="BQ662" s="114"/>
    </row>
    <row r="663" spans="1:69" ht="19.5" x14ac:dyDescent="0.4">
      <c r="A663" s="117"/>
      <c r="B663" s="123"/>
      <c r="C663" s="123"/>
      <c r="D663" s="123"/>
      <c r="AD663" s="128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25"/>
      <c r="AP663" s="15"/>
      <c r="AU663" s="117"/>
      <c r="AV663" s="123"/>
      <c r="AW663" s="123"/>
      <c r="AX663" s="123"/>
      <c r="BC663" s="115"/>
      <c r="BD663" s="115"/>
      <c r="BE663" s="115"/>
      <c r="BF663" s="115"/>
      <c r="BG663" s="115"/>
      <c r="BH663" s="115"/>
      <c r="BI663" s="115"/>
      <c r="BJ663" s="115"/>
      <c r="BK663" s="115"/>
      <c r="BL663" s="115"/>
      <c r="BM663" s="13"/>
      <c r="BN663" s="13"/>
      <c r="BQ663" s="114"/>
    </row>
    <row r="664" spans="1:69" ht="19.5" x14ac:dyDescent="0.4">
      <c r="A664" s="117"/>
      <c r="B664" s="123"/>
      <c r="C664" s="123"/>
      <c r="D664" s="123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25">
        <v>45682</v>
      </c>
      <c r="AP664" s="15" t="s">
        <v>148</v>
      </c>
      <c r="AU664" s="117"/>
      <c r="AV664" s="123"/>
      <c r="AW664" s="123"/>
      <c r="AX664" s="123"/>
      <c r="BC664" s="115"/>
      <c r="BD664" s="115"/>
      <c r="BE664" s="115"/>
      <c r="BF664" s="115"/>
      <c r="BG664" s="115"/>
      <c r="BH664" s="115"/>
      <c r="BI664" s="115"/>
      <c r="BJ664" s="115"/>
      <c r="BK664" s="115"/>
      <c r="BL664" s="115"/>
      <c r="BM664" s="13"/>
      <c r="BN664" s="13"/>
      <c r="BQ664" s="114"/>
    </row>
    <row r="665" spans="1:69" ht="19.5" x14ac:dyDescent="0.4">
      <c r="A665" s="117"/>
      <c r="B665" s="123"/>
      <c r="C665" s="123"/>
      <c r="D665" s="123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25">
        <v>45682</v>
      </c>
      <c r="AP665" s="15" t="s">
        <v>146</v>
      </c>
      <c r="AU665" s="117"/>
      <c r="AV665" s="123"/>
      <c r="AW665" s="123"/>
      <c r="AX665" s="123"/>
      <c r="BC665" s="115"/>
      <c r="BD665" s="115"/>
      <c r="BE665" s="115"/>
      <c r="BF665" s="115"/>
      <c r="BG665" s="115"/>
      <c r="BH665" s="115"/>
      <c r="BI665" s="115"/>
      <c r="BJ665" s="115"/>
      <c r="BK665" s="115"/>
      <c r="BL665" s="115"/>
      <c r="BM665" s="13"/>
      <c r="BN665" s="13"/>
      <c r="BQ665" s="114"/>
    </row>
    <row r="666" spans="1:69" ht="19.5" x14ac:dyDescent="0.4">
      <c r="A666" s="117"/>
      <c r="B666" s="123"/>
      <c r="C666" s="123"/>
      <c r="D666" s="123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25">
        <v>45682</v>
      </c>
      <c r="AP666" s="15" t="s">
        <v>148</v>
      </c>
      <c r="AU666" s="117"/>
      <c r="AV666" s="123"/>
      <c r="AW666" s="123"/>
      <c r="AX666" s="123"/>
      <c r="BC666" s="115"/>
      <c r="BD666" s="115"/>
      <c r="BE666" s="115"/>
      <c r="BF666" s="115"/>
      <c r="BG666" s="115"/>
      <c r="BH666" s="115"/>
      <c r="BI666" s="115"/>
      <c r="BJ666" s="115"/>
      <c r="BK666" s="115"/>
      <c r="BL666" s="115"/>
      <c r="BM666" s="13"/>
      <c r="BN666" s="13"/>
      <c r="BQ666" s="114"/>
    </row>
    <row r="667" spans="1:69" ht="19.5" x14ac:dyDescent="0.4">
      <c r="A667" s="117"/>
      <c r="B667" s="123"/>
      <c r="C667" s="123"/>
      <c r="D667" s="123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25"/>
      <c r="AP667" s="15"/>
      <c r="AU667" s="117"/>
      <c r="AV667" s="123"/>
      <c r="AW667" s="123"/>
      <c r="AX667" s="123"/>
      <c r="BC667" s="115"/>
      <c r="BD667" s="115"/>
      <c r="BE667" s="115"/>
      <c r="BF667" s="115"/>
      <c r="BG667" s="115"/>
      <c r="BH667" s="115"/>
      <c r="BI667" s="115"/>
      <c r="BJ667" s="115"/>
      <c r="BK667" s="115"/>
      <c r="BL667" s="115"/>
      <c r="BM667" s="13"/>
      <c r="BN667" s="13"/>
      <c r="BQ667" s="114"/>
    </row>
    <row r="668" spans="1:69" ht="19.5" x14ac:dyDescent="0.4">
      <c r="A668" s="117"/>
      <c r="B668" s="123"/>
      <c r="C668" s="123"/>
      <c r="D668" s="123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25">
        <v>45682</v>
      </c>
      <c r="AP668" s="15" t="s">
        <v>148</v>
      </c>
      <c r="AU668" s="117"/>
      <c r="AV668" s="123"/>
      <c r="AW668" s="123"/>
      <c r="AX668" s="123"/>
      <c r="BC668" s="115"/>
      <c r="BD668" s="115"/>
      <c r="BE668" s="115"/>
      <c r="BF668" s="115"/>
      <c r="BG668" s="115"/>
      <c r="BH668" s="115"/>
      <c r="BI668" s="115"/>
      <c r="BJ668" s="115"/>
      <c r="BK668" s="115"/>
      <c r="BL668" s="115"/>
      <c r="BM668" s="13"/>
      <c r="BN668" s="13"/>
      <c r="BQ668" s="114"/>
    </row>
    <row r="669" spans="1:69" ht="19.5" x14ac:dyDescent="0.4">
      <c r="A669" s="117"/>
      <c r="B669" s="123"/>
      <c r="C669" s="123"/>
      <c r="D669" s="123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25">
        <v>45682</v>
      </c>
      <c r="AP669" s="105" t="s">
        <v>148</v>
      </c>
      <c r="AU669" s="117"/>
      <c r="AV669" s="123"/>
      <c r="AW669" s="123"/>
      <c r="AX669" s="123"/>
      <c r="BC669" s="115"/>
      <c r="BD669" s="115"/>
      <c r="BE669" s="115"/>
      <c r="BF669" s="115"/>
      <c r="BG669" s="115"/>
      <c r="BH669" s="115"/>
      <c r="BI669" s="115"/>
      <c r="BJ669" s="115"/>
      <c r="BK669" s="115"/>
      <c r="BL669" s="115"/>
      <c r="BM669" s="13"/>
      <c r="BN669" s="13"/>
      <c r="BQ669" s="114"/>
    </row>
    <row r="670" spans="1:69" ht="19.5" x14ac:dyDescent="0.4">
      <c r="A670" s="117"/>
      <c r="B670" s="123"/>
      <c r="C670" s="123"/>
      <c r="D670" s="123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25">
        <v>45682</v>
      </c>
      <c r="AP670" s="105" t="s">
        <v>146</v>
      </c>
      <c r="AU670" s="117"/>
      <c r="AV670" s="123"/>
      <c r="AW670" s="123"/>
      <c r="AX670" s="123"/>
      <c r="BC670" s="115"/>
      <c r="BD670" s="115"/>
      <c r="BE670" s="115"/>
      <c r="BF670" s="115"/>
      <c r="BG670" s="115"/>
      <c r="BH670" s="115"/>
      <c r="BI670" s="115"/>
      <c r="BJ670" s="115"/>
      <c r="BK670" s="115"/>
      <c r="BL670" s="115"/>
      <c r="BM670" s="13"/>
      <c r="BN670" s="13"/>
      <c r="BQ670" s="114"/>
    </row>
    <row r="671" spans="1:69" ht="19.5" x14ac:dyDescent="0.4">
      <c r="A671" s="117"/>
      <c r="B671" s="123"/>
      <c r="C671" s="123"/>
      <c r="D671" s="123"/>
      <c r="AD671" s="128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25"/>
      <c r="AP671" s="105"/>
      <c r="AU671" s="117"/>
      <c r="AV671" s="123"/>
      <c r="AW671" s="123"/>
      <c r="AX671" s="123"/>
      <c r="BC671" s="115"/>
      <c r="BD671" s="115"/>
      <c r="BE671" s="115"/>
      <c r="BF671" s="115"/>
      <c r="BG671" s="115"/>
      <c r="BH671" s="115"/>
      <c r="BI671" s="115"/>
      <c r="BJ671" s="115"/>
      <c r="BK671" s="115"/>
      <c r="BL671" s="115"/>
      <c r="BM671" s="13"/>
      <c r="BN671" s="13"/>
      <c r="BQ671" s="114"/>
    </row>
    <row r="672" spans="1:69" ht="19.5" x14ac:dyDescent="0.4">
      <c r="A672" s="117"/>
      <c r="B672" s="123"/>
      <c r="C672" s="123"/>
      <c r="D672" s="123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25">
        <v>45682</v>
      </c>
      <c r="AP672" s="15" t="s">
        <v>146</v>
      </c>
      <c r="AU672" s="117"/>
      <c r="AV672" s="123"/>
      <c r="AW672" s="123"/>
      <c r="AX672" s="123"/>
      <c r="BC672" s="115"/>
      <c r="BD672" s="115"/>
      <c r="BE672" s="115"/>
      <c r="BF672" s="115"/>
      <c r="BG672" s="115"/>
      <c r="BH672" s="115"/>
      <c r="BI672" s="115"/>
      <c r="BJ672" s="115"/>
      <c r="BK672" s="115"/>
      <c r="BL672" s="115"/>
      <c r="BM672" s="13"/>
      <c r="BN672" s="13"/>
      <c r="BQ672" s="114"/>
    </row>
    <row r="673" spans="1:69" ht="19.5" x14ac:dyDescent="0.4">
      <c r="A673" s="117"/>
      <c r="B673" s="123"/>
      <c r="C673" s="123"/>
      <c r="D673" s="123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25">
        <v>45683</v>
      </c>
      <c r="AP673" s="13" t="s">
        <v>147</v>
      </c>
      <c r="AU673" s="117"/>
      <c r="AV673" s="123"/>
      <c r="AW673" s="123"/>
      <c r="AX673" s="123"/>
      <c r="BC673" s="115"/>
      <c r="BD673" s="115"/>
      <c r="BE673" s="115"/>
      <c r="BF673" s="115"/>
      <c r="BG673" s="115"/>
      <c r="BH673" s="115"/>
      <c r="BI673" s="115"/>
      <c r="BJ673" s="115"/>
      <c r="BK673" s="115"/>
      <c r="BL673" s="115"/>
      <c r="BM673" s="13"/>
      <c r="BN673" s="13"/>
      <c r="BQ673" s="114"/>
    </row>
    <row r="674" spans="1:69" ht="19.5" x14ac:dyDescent="0.4">
      <c r="A674" s="117"/>
      <c r="B674" s="123"/>
      <c r="C674" s="123"/>
      <c r="D674" s="123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25">
        <v>45683</v>
      </c>
      <c r="AP674" s="13" t="s">
        <v>147</v>
      </c>
      <c r="AU674" s="117"/>
      <c r="AV674" s="123"/>
      <c r="AW674" s="123"/>
      <c r="AX674" s="123"/>
      <c r="BC674" s="115"/>
      <c r="BD674" s="115"/>
      <c r="BE674" s="115"/>
      <c r="BF674" s="115"/>
      <c r="BG674" s="115"/>
      <c r="BH674" s="115"/>
      <c r="BI674" s="115"/>
      <c r="BJ674" s="115"/>
      <c r="BK674" s="115"/>
      <c r="BL674" s="115"/>
      <c r="BM674" s="13"/>
      <c r="BN674" s="13"/>
      <c r="BQ674" s="114"/>
    </row>
    <row r="675" spans="1:69" ht="19.5" x14ac:dyDescent="0.4">
      <c r="A675" s="117"/>
      <c r="B675" s="123"/>
      <c r="C675" s="123"/>
      <c r="D675" s="123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27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25"/>
      <c r="AP675" s="13"/>
      <c r="AU675" s="117"/>
      <c r="AV675" s="123"/>
      <c r="AW675" s="123"/>
      <c r="AX675" s="123"/>
      <c r="BC675" s="115"/>
      <c r="BD675" s="115"/>
      <c r="BE675" s="115"/>
      <c r="BF675" s="115"/>
      <c r="BG675" s="115"/>
      <c r="BH675" s="115"/>
      <c r="BI675" s="115"/>
      <c r="BJ675" s="115"/>
      <c r="BK675" s="115"/>
      <c r="BL675" s="115"/>
      <c r="BM675" s="13"/>
      <c r="BN675" s="13"/>
      <c r="BQ675" s="114"/>
    </row>
    <row r="676" spans="1:69" ht="19.5" x14ac:dyDescent="0.4">
      <c r="A676" s="117"/>
      <c r="B676" s="123"/>
      <c r="C676" s="123"/>
      <c r="D676" s="123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25">
        <v>45684</v>
      </c>
      <c r="AP676" s="13" t="s">
        <v>146</v>
      </c>
      <c r="AU676" s="117"/>
      <c r="AV676" s="123"/>
      <c r="AW676" s="123"/>
      <c r="AX676" s="123"/>
      <c r="BC676" s="115"/>
      <c r="BD676" s="115"/>
      <c r="BE676" s="115"/>
      <c r="BF676" s="115"/>
      <c r="BG676" s="115"/>
      <c r="BH676" s="115"/>
      <c r="BI676" s="115"/>
      <c r="BJ676" s="115"/>
      <c r="BK676" s="115"/>
      <c r="BL676" s="115"/>
      <c r="BM676" s="13"/>
      <c r="BN676" s="13"/>
      <c r="BQ676" s="114"/>
    </row>
    <row r="677" spans="1:69" ht="19.5" x14ac:dyDescent="0.4">
      <c r="A677" s="117"/>
      <c r="B677" s="123"/>
      <c r="C677" s="123"/>
      <c r="D677" s="123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25"/>
      <c r="AP677" s="13"/>
      <c r="AU677" s="117"/>
      <c r="AV677" s="123"/>
      <c r="AW677" s="123"/>
      <c r="AX677" s="123"/>
      <c r="BC677" s="115"/>
      <c r="BD677" s="115"/>
      <c r="BE677" s="115"/>
      <c r="BF677" s="115"/>
      <c r="BG677" s="115"/>
      <c r="BH677" s="115"/>
      <c r="BI677" s="115"/>
      <c r="BJ677" s="115"/>
      <c r="BK677" s="115"/>
      <c r="BL677" s="115"/>
      <c r="BM677" s="13"/>
      <c r="BN677" s="13"/>
      <c r="BQ677" s="114"/>
    </row>
    <row r="678" spans="1:69" ht="19.5" x14ac:dyDescent="0.4">
      <c r="A678" s="117"/>
      <c r="B678" s="123"/>
      <c r="C678" s="123"/>
      <c r="D678" s="123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28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25"/>
      <c r="AP678" s="13"/>
      <c r="AU678" s="117"/>
      <c r="AV678" s="123"/>
      <c r="AW678" s="123"/>
      <c r="AX678" s="123"/>
      <c r="BC678" s="115"/>
      <c r="BD678" s="115"/>
      <c r="BE678" s="115"/>
      <c r="BF678" s="115"/>
      <c r="BG678" s="115"/>
      <c r="BH678" s="115"/>
      <c r="BI678" s="115"/>
      <c r="BJ678" s="115"/>
      <c r="BK678" s="115"/>
      <c r="BL678" s="115"/>
      <c r="BM678" s="13"/>
      <c r="BN678" s="13"/>
      <c r="BQ678" s="114"/>
    </row>
    <row r="679" spans="1:69" ht="19.5" x14ac:dyDescent="0.4">
      <c r="A679" s="117"/>
      <c r="B679" s="123"/>
      <c r="C679" s="123"/>
      <c r="D679" s="123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25">
        <v>45684</v>
      </c>
      <c r="AP679" s="13" t="s">
        <v>148</v>
      </c>
      <c r="AU679" s="117"/>
      <c r="AV679" s="123"/>
      <c r="AW679" s="123"/>
      <c r="AX679" s="123"/>
      <c r="BC679" s="115"/>
      <c r="BD679" s="115"/>
      <c r="BE679" s="115"/>
      <c r="BF679" s="115"/>
      <c r="BG679" s="115"/>
      <c r="BH679" s="115"/>
      <c r="BI679" s="115"/>
      <c r="BJ679" s="115"/>
      <c r="BK679" s="115"/>
      <c r="BL679" s="115"/>
      <c r="BM679" s="13"/>
      <c r="BN679" s="13"/>
      <c r="BQ679" s="114"/>
    </row>
    <row r="680" spans="1:69" ht="19.5" x14ac:dyDescent="0.4">
      <c r="A680" s="117"/>
      <c r="B680" s="123"/>
      <c r="C680" s="123"/>
      <c r="D680" s="123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25"/>
      <c r="AP680" s="13"/>
      <c r="AU680" s="117"/>
      <c r="AV680" s="123"/>
      <c r="AW680" s="123"/>
      <c r="AX680" s="123"/>
      <c r="BC680" s="115"/>
      <c r="BD680" s="115"/>
      <c r="BE680" s="115"/>
      <c r="BF680" s="115"/>
      <c r="BG680" s="115"/>
      <c r="BH680" s="115"/>
      <c r="BI680" s="115"/>
      <c r="BJ680" s="115"/>
      <c r="BK680" s="115"/>
      <c r="BL680" s="115"/>
      <c r="BM680" s="13"/>
      <c r="BN680" s="13"/>
      <c r="BQ680" s="114"/>
    </row>
    <row r="681" spans="1:69" ht="19.5" x14ac:dyDescent="0.4">
      <c r="A681" s="117"/>
      <c r="B681" s="123"/>
      <c r="C681" s="123"/>
      <c r="D681" s="123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25"/>
      <c r="AP681" s="13"/>
      <c r="AU681" s="117"/>
      <c r="AV681" s="123"/>
      <c r="AW681" s="123"/>
      <c r="AX681" s="123"/>
      <c r="BC681" s="115"/>
      <c r="BD681" s="115"/>
      <c r="BE681" s="115"/>
      <c r="BF681" s="115"/>
      <c r="BG681" s="115"/>
      <c r="BH681" s="115"/>
      <c r="BI681" s="115"/>
      <c r="BJ681" s="115"/>
      <c r="BK681" s="115"/>
      <c r="BL681" s="115"/>
      <c r="BM681" s="13"/>
      <c r="BN681" s="13"/>
      <c r="BQ681" s="114"/>
    </row>
    <row r="682" spans="1:69" ht="19.5" x14ac:dyDescent="0.4">
      <c r="A682" s="117"/>
      <c r="B682" s="123"/>
      <c r="C682" s="123"/>
      <c r="D682" s="123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28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25"/>
      <c r="AP682" s="13"/>
      <c r="AU682" s="117"/>
      <c r="AV682" s="123"/>
      <c r="AW682" s="123"/>
      <c r="AX682" s="123"/>
      <c r="BC682" s="115"/>
      <c r="BD682" s="115"/>
      <c r="BE682" s="115"/>
      <c r="BF682" s="115"/>
      <c r="BG682" s="115"/>
      <c r="BH682" s="115"/>
      <c r="BI682" s="115"/>
      <c r="BJ682" s="115"/>
      <c r="BK682" s="115"/>
      <c r="BL682" s="115"/>
      <c r="BM682" s="13"/>
      <c r="BN682" s="13"/>
      <c r="BQ682" s="114"/>
    </row>
    <row r="683" spans="1:69" ht="19.5" x14ac:dyDescent="0.4">
      <c r="A683" s="117"/>
      <c r="B683" s="123"/>
      <c r="C683" s="123"/>
      <c r="D683" s="123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27"/>
      <c r="AE683" s="127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25"/>
      <c r="AP683" s="13"/>
      <c r="AU683" s="117"/>
      <c r="AV683" s="123"/>
      <c r="AW683" s="123"/>
      <c r="AX683" s="123"/>
      <c r="BC683" s="115"/>
      <c r="BD683" s="115"/>
      <c r="BE683" s="115"/>
      <c r="BF683" s="115"/>
      <c r="BG683" s="115"/>
      <c r="BH683" s="115"/>
      <c r="BI683" s="115"/>
      <c r="BJ683" s="115"/>
      <c r="BK683" s="115"/>
      <c r="BL683" s="115"/>
      <c r="BM683" s="13"/>
      <c r="BN683" s="13"/>
      <c r="BQ683" s="114"/>
    </row>
    <row r="684" spans="1:69" ht="19.5" x14ac:dyDescent="0.4">
      <c r="A684" s="117"/>
      <c r="B684" s="123"/>
      <c r="C684" s="123"/>
      <c r="D684" s="123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27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25"/>
      <c r="AP684" s="13"/>
      <c r="AU684" s="117"/>
      <c r="AV684" s="123"/>
      <c r="AW684" s="123"/>
      <c r="AX684" s="123"/>
      <c r="BC684" s="115"/>
      <c r="BD684" s="115"/>
      <c r="BE684" s="115"/>
      <c r="BF684" s="115"/>
      <c r="BG684" s="115"/>
      <c r="BH684" s="115"/>
      <c r="BI684" s="115"/>
      <c r="BJ684" s="115"/>
      <c r="BK684" s="115"/>
      <c r="BL684" s="115"/>
      <c r="BM684" s="13"/>
      <c r="BN684" s="13"/>
      <c r="BQ684" s="114"/>
    </row>
    <row r="685" spans="1:69" ht="19.5" x14ac:dyDescent="0.4">
      <c r="A685" s="117"/>
      <c r="B685" s="123"/>
      <c r="C685" s="123"/>
      <c r="D685" s="123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25"/>
      <c r="AP685" s="13"/>
      <c r="AU685" s="117"/>
      <c r="AV685" s="123"/>
      <c r="AW685" s="123"/>
      <c r="AX685" s="123"/>
      <c r="BC685" s="115"/>
      <c r="BD685" s="115"/>
      <c r="BE685" s="115"/>
      <c r="BF685" s="115"/>
      <c r="BG685" s="115"/>
      <c r="BH685" s="115"/>
      <c r="BI685" s="115"/>
      <c r="BJ685" s="115"/>
      <c r="BK685" s="115"/>
      <c r="BL685" s="115"/>
      <c r="BM685" s="13"/>
      <c r="BN685" s="13"/>
      <c r="BQ685" s="114"/>
    </row>
    <row r="686" spans="1:69" ht="19.5" x14ac:dyDescent="0.4">
      <c r="A686" s="117"/>
      <c r="B686" s="123"/>
      <c r="C686" s="123"/>
      <c r="D686" s="123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28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25"/>
      <c r="AP686" s="13"/>
      <c r="AU686" s="117"/>
      <c r="AV686" s="123"/>
      <c r="AW686" s="123"/>
      <c r="AX686" s="123"/>
      <c r="BC686" s="115"/>
      <c r="BD686" s="115"/>
      <c r="BE686" s="115"/>
      <c r="BF686" s="115"/>
      <c r="BG686" s="115"/>
      <c r="BH686" s="115"/>
      <c r="BI686" s="115"/>
      <c r="BJ686" s="115"/>
      <c r="BK686" s="115"/>
      <c r="BL686" s="115"/>
      <c r="BM686" s="13"/>
      <c r="BN686" s="13"/>
      <c r="BQ686" s="114"/>
    </row>
    <row r="687" spans="1:69" ht="19.5" x14ac:dyDescent="0.4">
      <c r="A687" s="117"/>
      <c r="B687" s="123"/>
      <c r="C687" s="123"/>
      <c r="D687" s="123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27"/>
      <c r="AE687" s="134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25"/>
      <c r="AP687" s="13"/>
      <c r="AU687" s="117"/>
      <c r="AV687" s="123"/>
      <c r="AW687" s="123"/>
      <c r="AX687" s="123"/>
      <c r="BC687" s="115"/>
      <c r="BD687" s="115"/>
      <c r="BE687" s="115"/>
      <c r="BF687" s="115"/>
      <c r="BG687" s="115"/>
      <c r="BH687" s="115"/>
      <c r="BI687" s="115"/>
      <c r="BJ687" s="115"/>
      <c r="BK687" s="115"/>
      <c r="BL687" s="115"/>
      <c r="BM687" s="13"/>
      <c r="BN687" s="13"/>
      <c r="BQ687" s="114"/>
    </row>
    <row r="688" spans="1:69" ht="19.5" x14ac:dyDescent="0.4">
      <c r="A688" s="117"/>
      <c r="B688" s="123"/>
      <c r="C688" s="123"/>
      <c r="D688" s="123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27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25">
        <v>45684</v>
      </c>
      <c r="AP688" s="13" t="s">
        <v>147</v>
      </c>
      <c r="AU688" s="117"/>
      <c r="AV688" s="123"/>
      <c r="AW688" s="123"/>
      <c r="AX688" s="123"/>
      <c r="BC688" s="115"/>
      <c r="BD688" s="115"/>
      <c r="BE688" s="115"/>
      <c r="BF688" s="115"/>
      <c r="BG688" s="115"/>
      <c r="BH688" s="115"/>
      <c r="BI688" s="115"/>
      <c r="BJ688" s="115"/>
      <c r="BK688" s="115"/>
      <c r="BL688" s="115"/>
      <c r="BM688" s="13"/>
      <c r="BN688" s="13"/>
      <c r="BQ688" s="114"/>
    </row>
    <row r="689" spans="1:69" ht="19.5" x14ac:dyDescent="0.4">
      <c r="A689" s="117"/>
      <c r="B689" s="123"/>
      <c r="C689" s="123"/>
      <c r="D689" s="123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28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25"/>
      <c r="AP689" s="13"/>
      <c r="AU689" s="117"/>
      <c r="AV689" s="123"/>
      <c r="AW689" s="123"/>
      <c r="AX689" s="123"/>
      <c r="BC689" s="115"/>
      <c r="BD689" s="115"/>
      <c r="BE689" s="115"/>
      <c r="BF689" s="115"/>
      <c r="BG689" s="115"/>
      <c r="BH689" s="115"/>
      <c r="BI689" s="115"/>
      <c r="BJ689" s="115"/>
      <c r="BK689" s="115"/>
      <c r="BL689" s="115"/>
      <c r="BM689" s="13"/>
      <c r="BN689" s="13"/>
      <c r="BQ689" s="114"/>
    </row>
    <row r="690" spans="1:69" ht="19.5" x14ac:dyDescent="0.4">
      <c r="A690" s="117"/>
      <c r="B690" s="123"/>
      <c r="C690" s="123"/>
      <c r="D690" s="123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27"/>
      <c r="AE690" s="29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25"/>
      <c r="AP690" s="13"/>
      <c r="AU690" s="117"/>
      <c r="AV690" s="123"/>
      <c r="AW690" s="123"/>
      <c r="AX690" s="123"/>
      <c r="BC690" s="115"/>
      <c r="BD690" s="115"/>
      <c r="BE690" s="115"/>
      <c r="BF690" s="115"/>
      <c r="BG690" s="115"/>
      <c r="BH690" s="115"/>
      <c r="BI690" s="115"/>
      <c r="BJ690" s="115"/>
      <c r="BK690" s="115"/>
      <c r="BL690" s="115"/>
      <c r="BM690" s="13"/>
      <c r="BN690" s="13"/>
      <c r="BQ690" s="114"/>
    </row>
    <row r="691" spans="1:69" ht="19.5" x14ac:dyDescent="0.4">
      <c r="A691" s="117"/>
      <c r="B691" s="123"/>
      <c r="C691" s="123"/>
      <c r="D691" s="123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27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25">
        <v>45684</v>
      </c>
      <c r="AP691" s="13" t="s">
        <v>146</v>
      </c>
      <c r="AU691" s="117"/>
      <c r="AV691" s="123"/>
      <c r="AW691" s="123"/>
      <c r="AX691" s="123"/>
      <c r="BC691" s="115"/>
      <c r="BD691" s="115"/>
      <c r="BE691" s="115"/>
      <c r="BF691" s="115"/>
      <c r="BG691" s="115"/>
      <c r="BH691" s="115"/>
      <c r="BI691" s="115"/>
      <c r="BJ691" s="115"/>
      <c r="BK691" s="115"/>
      <c r="BL691" s="115"/>
      <c r="BM691" s="13"/>
      <c r="BN691" s="13"/>
      <c r="BQ691" s="114"/>
    </row>
    <row r="692" spans="1:69" ht="19.5" x14ac:dyDescent="0.4">
      <c r="A692" s="117"/>
      <c r="B692" s="123"/>
      <c r="C692" s="123"/>
      <c r="D692" s="123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28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25"/>
      <c r="AP692" s="13"/>
      <c r="AU692" s="117"/>
      <c r="AV692" s="123"/>
      <c r="AW692" s="123"/>
      <c r="AX692" s="123"/>
      <c r="BC692" s="115"/>
      <c r="BD692" s="115"/>
      <c r="BE692" s="115"/>
      <c r="BF692" s="115"/>
      <c r="BG692" s="115"/>
      <c r="BH692" s="115"/>
      <c r="BI692" s="115"/>
      <c r="BJ692" s="115"/>
      <c r="BK692" s="115"/>
      <c r="BL692" s="115"/>
      <c r="BM692" s="13"/>
      <c r="BN692" s="13"/>
      <c r="BQ692" s="114"/>
    </row>
    <row r="693" spans="1:69" ht="19.5" x14ac:dyDescent="0.4">
      <c r="A693" s="117"/>
      <c r="B693" s="123"/>
      <c r="C693" s="123"/>
      <c r="D693" s="123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27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25"/>
      <c r="AP693" s="13"/>
      <c r="AU693" s="117"/>
      <c r="AV693" s="123"/>
      <c r="AW693" s="123"/>
      <c r="AX693" s="123"/>
      <c r="BC693" s="115"/>
      <c r="BD693" s="115"/>
      <c r="BE693" s="115"/>
      <c r="BF693" s="115"/>
      <c r="BG693" s="115"/>
      <c r="BH693" s="115"/>
      <c r="BI693" s="115"/>
      <c r="BJ693" s="115"/>
      <c r="BK693" s="115"/>
      <c r="BL693" s="115"/>
      <c r="BM693" s="13"/>
      <c r="BN693" s="13"/>
      <c r="BQ693" s="114"/>
    </row>
    <row r="694" spans="1:69" ht="19.5" x14ac:dyDescent="0.4">
      <c r="A694" s="117"/>
      <c r="B694" s="123"/>
      <c r="C694" s="123"/>
      <c r="D694" s="123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28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25"/>
      <c r="AP694" s="13"/>
      <c r="AU694" s="117"/>
      <c r="AV694" s="123"/>
      <c r="AW694" s="123"/>
      <c r="AX694" s="123"/>
      <c r="BC694" s="115"/>
      <c r="BD694" s="115"/>
      <c r="BE694" s="115"/>
      <c r="BF694" s="115"/>
      <c r="BG694" s="115"/>
      <c r="BH694" s="115"/>
      <c r="BI694" s="115"/>
      <c r="BJ694" s="115"/>
      <c r="BK694" s="115"/>
      <c r="BL694" s="115"/>
      <c r="BM694" s="13"/>
      <c r="BN694" s="13"/>
      <c r="BQ694" s="114"/>
    </row>
    <row r="695" spans="1:69" ht="19.5" x14ac:dyDescent="0.4">
      <c r="A695" s="117"/>
      <c r="B695" s="123"/>
      <c r="C695" s="123"/>
      <c r="D695" s="123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27"/>
      <c r="AE695" s="29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25"/>
      <c r="AP695" s="13"/>
      <c r="AU695" s="117"/>
      <c r="AV695" s="123"/>
      <c r="AW695" s="123"/>
      <c r="AX695" s="123"/>
      <c r="BC695" s="115"/>
      <c r="BD695" s="115"/>
      <c r="BE695" s="115"/>
      <c r="BF695" s="115"/>
      <c r="BG695" s="115"/>
      <c r="BH695" s="115"/>
      <c r="BI695" s="115"/>
      <c r="BJ695" s="115"/>
      <c r="BK695" s="115"/>
      <c r="BL695" s="115"/>
      <c r="BM695" s="13"/>
      <c r="BN695" s="13"/>
      <c r="BQ695" s="114"/>
    </row>
    <row r="696" spans="1:69" ht="19.5" x14ac:dyDescent="0.4">
      <c r="A696" s="117"/>
      <c r="B696" s="123"/>
      <c r="C696" s="123"/>
      <c r="D696" s="123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28"/>
      <c r="AE696" s="29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25"/>
      <c r="AP696" s="13"/>
      <c r="AU696" s="117"/>
      <c r="AV696" s="123"/>
      <c r="AW696" s="123"/>
      <c r="AX696" s="123"/>
      <c r="BC696" s="115"/>
      <c r="BD696" s="115"/>
      <c r="BE696" s="115"/>
      <c r="BF696" s="115"/>
      <c r="BG696" s="115"/>
      <c r="BH696" s="115"/>
      <c r="BI696" s="115"/>
      <c r="BJ696" s="115"/>
      <c r="BK696" s="115"/>
      <c r="BL696" s="115"/>
      <c r="BM696" s="13"/>
      <c r="BN696" s="13"/>
      <c r="BQ696" s="114"/>
    </row>
    <row r="697" spans="1:69" ht="19.5" x14ac:dyDescent="0.4">
      <c r="A697" s="117"/>
      <c r="B697" s="123"/>
      <c r="C697" s="123"/>
      <c r="D697" s="123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28"/>
      <c r="AE697" s="29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25"/>
      <c r="AP697" s="13"/>
      <c r="AU697" s="117"/>
      <c r="AV697" s="123"/>
      <c r="AW697" s="123"/>
      <c r="AX697" s="123"/>
      <c r="BC697" s="115"/>
      <c r="BD697" s="115"/>
      <c r="BE697" s="115"/>
      <c r="BF697" s="115"/>
      <c r="BG697" s="115"/>
      <c r="BH697" s="115"/>
      <c r="BI697" s="115"/>
      <c r="BJ697" s="115"/>
      <c r="BK697" s="115"/>
      <c r="BL697" s="115"/>
      <c r="BM697" s="13"/>
      <c r="BN697" s="13"/>
      <c r="BQ697" s="114"/>
    </row>
    <row r="698" spans="1:69" ht="19.5" x14ac:dyDescent="0.4">
      <c r="A698" s="117"/>
      <c r="B698" s="123"/>
      <c r="C698" s="123"/>
      <c r="D698" s="123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27"/>
      <c r="AE698" s="29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25">
        <v>45684</v>
      </c>
      <c r="AP698" s="13" t="s">
        <v>147</v>
      </c>
      <c r="AU698" s="117"/>
      <c r="AV698" s="123"/>
      <c r="AW698" s="123"/>
      <c r="AX698" s="123"/>
      <c r="BC698" s="115"/>
      <c r="BD698" s="115"/>
      <c r="BE698" s="115"/>
      <c r="BF698" s="115"/>
      <c r="BG698" s="115"/>
      <c r="BH698" s="115"/>
      <c r="BI698" s="115"/>
      <c r="BJ698" s="115"/>
      <c r="BK698" s="115"/>
      <c r="BL698" s="115"/>
      <c r="BM698" s="13"/>
      <c r="BN698" s="13"/>
      <c r="BQ698" s="114"/>
    </row>
    <row r="699" spans="1:69" ht="19.5" x14ac:dyDescent="0.4">
      <c r="A699" s="117"/>
      <c r="B699" s="123"/>
      <c r="C699" s="123"/>
      <c r="D699" s="123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27"/>
      <c r="AE699" s="29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25">
        <v>45684</v>
      </c>
      <c r="AP699" s="13" t="s">
        <v>146</v>
      </c>
      <c r="AU699" s="117"/>
      <c r="AV699" s="123"/>
      <c r="AW699" s="123"/>
      <c r="AX699" s="123"/>
      <c r="BC699" s="115"/>
      <c r="BD699" s="115"/>
      <c r="BE699" s="115"/>
      <c r="BF699" s="115"/>
      <c r="BG699" s="115"/>
      <c r="BH699" s="115"/>
      <c r="BI699" s="115"/>
      <c r="BJ699" s="115"/>
      <c r="BK699" s="115"/>
      <c r="BL699" s="115"/>
      <c r="BM699" s="13"/>
      <c r="BN699" s="13"/>
      <c r="BQ699" s="114"/>
    </row>
    <row r="700" spans="1:69" ht="19.5" x14ac:dyDescent="0.4">
      <c r="A700" s="117"/>
      <c r="B700" s="123"/>
      <c r="C700" s="123"/>
      <c r="D700" s="123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27"/>
      <c r="AE700" s="29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25">
        <v>45684</v>
      </c>
      <c r="AP700" s="13" t="s">
        <v>146</v>
      </c>
      <c r="AU700" s="117"/>
      <c r="AV700" s="123"/>
      <c r="AW700" s="123"/>
      <c r="AX700" s="123"/>
      <c r="BC700" s="115"/>
      <c r="BD700" s="115"/>
      <c r="BE700" s="115"/>
      <c r="BF700" s="115"/>
      <c r="BG700" s="115"/>
      <c r="BH700" s="115"/>
      <c r="BI700" s="115"/>
      <c r="BJ700" s="115"/>
      <c r="BK700" s="115"/>
      <c r="BL700" s="115"/>
      <c r="BM700" s="13"/>
      <c r="BN700" s="13"/>
      <c r="BQ700" s="114"/>
    </row>
    <row r="701" spans="1:69" ht="19.5" x14ac:dyDescent="0.4">
      <c r="A701" s="117"/>
      <c r="B701" s="123"/>
      <c r="C701" s="123"/>
      <c r="D701" s="123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29"/>
      <c r="AE701" s="29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25"/>
      <c r="AP701" s="13"/>
      <c r="AU701" s="117"/>
      <c r="AV701" s="123"/>
      <c r="AW701" s="123"/>
      <c r="AX701" s="123"/>
      <c r="BC701" s="115"/>
      <c r="BD701" s="115"/>
      <c r="BE701" s="115"/>
      <c r="BF701" s="115"/>
      <c r="BG701" s="115"/>
      <c r="BH701" s="115"/>
      <c r="BI701" s="115"/>
      <c r="BJ701" s="115"/>
      <c r="BK701" s="115"/>
      <c r="BL701" s="115"/>
      <c r="BM701" s="13"/>
      <c r="BN701" s="13"/>
      <c r="BQ701" s="114"/>
    </row>
    <row r="702" spans="1:69" ht="19.5" x14ac:dyDescent="0.4">
      <c r="A702" s="117"/>
      <c r="B702" s="123"/>
      <c r="C702" s="123"/>
      <c r="D702" s="123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29"/>
      <c r="AE702" s="29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25"/>
      <c r="AP702" s="13"/>
      <c r="AU702" s="117"/>
      <c r="AV702" s="123"/>
      <c r="AW702" s="123"/>
      <c r="AX702" s="123"/>
      <c r="BC702" s="115"/>
      <c r="BD702" s="115"/>
      <c r="BE702" s="115"/>
      <c r="BF702" s="115"/>
      <c r="BG702" s="115"/>
      <c r="BH702" s="115"/>
      <c r="BI702" s="115"/>
      <c r="BJ702" s="115"/>
      <c r="BK702" s="115"/>
      <c r="BL702" s="115"/>
      <c r="BM702" s="13"/>
      <c r="BN702" s="13"/>
      <c r="BQ702" s="114"/>
    </row>
    <row r="703" spans="1:69" ht="19.5" x14ac:dyDescent="0.4">
      <c r="A703" s="117"/>
      <c r="B703" s="123"/>
      <c r="C703" s="123"/>
      <c r="D703" s="123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27"/>
      <c r="AE703" s="29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25">
        <v>45684</v>
      </c>
      <c r="AP703" s="13" t="s">
        <v>147</v>
      </c>
      <c r="AU703" s="117"/>
      <c r="AV703" s="123"/>
      <c r="AW703" s="123"/>
      <c r="AX703" s="123"/>
      <c r="BC703" s="115"/>
      <c r="BD703" s="115"/>
      <c r="BE703" s="115"/>
      <c r="BF703" s="115"/>
      <c r="BG703" s="115"/>
      <c r="BH703" s="115"/>
      <c r="BI703" s="115"/>
      <c r="BJ703" s="115"/>
      <c r="BK703" s="115"/>
      <c r="BL703" s="115"/>
      <c r="BM703" s="13"/>
      <c r="BN703" s="13"/>
      <c r="BQ703" s="114"/>
    </row>
    <row r="704" spans="1:69" ht="19.5" x14ac:dyDescent="0.4">
      <c r="A704" s="117"/>
      <c r="B704" s="123"/>
      <c r="C704" s="123"/>
      <c r="D704" s="123"/>
      <c r="AD704" s="127"/>
      <c r="AE704" s="29"/>
      <c r="AO704" s="25">
        <v>45685</v>
      </c>
      <c r="AP704" s="13" t="s">
        <v>146</v>
      </c>
      <c r="AU704" s="117"/>
      <c r="AV704" s="123"/>
      <c r="AW704" s="123"/>
      <c r="AX704" s="123"/>
      <c r="BC704" s="115"/>
      <c r="BD704" s="115"/>
      <c r="BE704" s="115"/>
      <c r="BF704" s="115"/>
      <c r="BG704" s="115"/>
      <c r="BH704" s="115"/>
      <c r="BI704" s="115"/>
      <c r="BJ704" s="115"/>
      <c r="BK704" s="115"/>
      <c r="BL704" s="115"/>
      <c r="BM704" s="25">
        <v>45263</v>
      </c>
      <c r="BN704" s="13" t="s">
        <v>162</v>
      </c>
      <c r="BQ704" s="114"/>
    </row>
    <row r="705" spans="1:69" ht="19.5" x14ac:dyDescent="0.4">
      <c r="A705" s="117"/>
      <c r="B705" s="123"/>
      <c r="C705" s="123"/>
      <c r="D705" s="123"/>
      <c r="AD705" s="127"/>
      <c r="AE705" s="29"/>
      <c r="AL705" s="115"/>
      <c r="AM705" s="115"/>
      <c r="AN705" s="115"/>
      <c r="AO705" s="25">
        <v>45685</v>
      </c>
      <c r="AP705" s="13" t="s">
        <v>147</v>
      </c>
      <c r="AU705" s="117"/>
      <c r="AV705" s="123"/>
      <c r="AW705" s="123"/>
      <c r="AX705" s="123"/>
      <c r="BC705" s="115"/>
      <c r="BD705" s="115"/>
      <c r="BE705" s="115"/>
      <c r="BF705" s="115"/>
      <c r="BG705" s="115"/>
      <c r="BH705" s="115"/>
      <c r="BI705" s="115"/>
      <c r="BJ705" s="115"/>
      <c r="BK705" s="115"/>
      <c r="BL705" s="115"/>
      <c r="BM705" s="25"/>
      <c r="BN705" s="13"/>
      <c r="BQ705" s="114"/>
    </row>
    <row r="706" spans="1:69" ht="19.5" x14ac:dyDescent="0.4">
      <c r="A706" s="117"/>
      <c r="B706" s="123"/>
      <c r="C706" s="123"/>
      <c r="D706" s="123"/>
      <c r="AD706" s="128"/>
      <c r="AE706" s="29"/>
      <c r="AL706" s="115"/>
      <c r="AM706" s="115"/>
      <c r="AN706" s="115"/>
      <c r="AO706" s="25"/>
      <c r="AP706" s="13"/>
      <c r="AU706" s="117"/>
      <c r="AV706" s="123"/>
      <c r="AW706" s="123"/>
      <c r="AX706" s="123"/>
      <c r="BC706" s="115"/>
      <c r="BD706" s="115"/>
      <c r="BE706" s="115"/>
      <c r="BF706" s="115"/>
      <c r="BG706" s="115"/>
      <c r="BH706" s="115"/>
      <c r="BI706" s="115"/>
      <c r="BJ706" s="115"/>
      <c r="BK706" s="115"/>
      <c r="BL706" s="115"/>
      <c r="BM706" s="25"/>
      <c r="BN706" s="13"/>
      <c r="BQ706" s="114"/>
    </row>
    <row r="707" spans="1:69" ht="19.5" x14ac:dyDescent="0.4">
      <c r="A707" s="117"/>
      <c r="B707" s="123"/>
      <c r="C707" s="123"/>
      <c r="D707" s="123"/>
      <c r="AD707" s="127"/>
      <c r="AE707" s="29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25">
        <v>45685</v>
      </c>
      <c r="AP707" s="13" t="s">
        <v>147</v>
      </c>
      <c r="AU707" s="117"/>
      <c r="AV707" s="123"/>
      <c r="AW707" s="123"/>
      <c r="AX707" s="123"/>
      <c r="BC707" s="115"/>
      <c r="BD707" s="115"/>
      <c r="BE707" s="115"/>
      <c r="BF707" s="115"/>
      <c r="BG707" s="115"/>
      <c r="BH707" s="115"/>
      <c r="BI707" s="115"/>
      <c r="BJ707" s="115"/>
      <c r="BK707" s="115"/>
      <c r="BL707" s="115"/>
      <c r="BM707" s="25"/>
      <c r="BN707" s="13"/>
      <c r="BQ707" s="114"/>
    </row>
    <row r="708" spans="1:69" ht="19.5" x14ac:dyDescent="0.4">
      <c r="A708" s="117"/>
      <c r="B708" s="123"/>
      <c r="C708" s="123"/>
      <c r="D708" s="123"/>
      <c r="AD708" s="127"/>
      <c r="AE708" s="29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25">
        <v>45685</v>
      </c>
      <c r="AP708" s="13" t="s">
        <v>148</v>
      </c>
      <c r="AU708" s="117"/>
      <c r="AV708" s="123"/>
      <c r="AW708" s="123"/>
      <c r="AX708" s="123"/>
      <c r="BC708" s="115"/>
      <c r="BD708" s="115"/>
      <c r="BE708" s="115"/>
      <c r="BF708" s="115"/>
      <c r="BG708" s="115"/>
      <c r="BH708" s="115"/>
      <c r="BI708" s="115"/>
      <c r="BJ708" s="115"/>
      <c r="BK708" s="115"/>
      <c r="BL708" s="115"/>
      <c r="BM708" s="25"/>
      <c r="BN708" s="13"/>
      <c r="BQ708" s="114"/>
    </row>
    <row r="709" spans="1:69" ht="19.5" x14ac:dyDescent="0.4">
      <c r="A709" s="117"/>
      <c r="B709" s="123"/>
      <c r="C709" s="123"/>
      <c r="D709" s="123"/>
      <c r="AD709" s="127"/>
      <c r="AE709" s="29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25">
        <v>45685</v>
      </c>
      <c r="AP709" s="13" t="s">
        <v>148</v>
      </c>
      <c r="AU709" s="117"/>
      <c r="AV709" s="123"/>
      <c r="AW709" s="123"/>
      <c r="AX709" s="123"/>
      <c r="BC709" s="115"/>
      <c r="BD709" s="115"/>
      <c r="BE709" s="115"/>
      <c r="BF709" s="115"/>
      <c r="BG709" s="115"/>
      <c r="BH709" s="115"/>
      <c r="BI709" s="115"/>
      <c r="BJ709" s="115"/>
      <c r="BK709" s="115"/>
      <c r="BL709" s="115"/>
      <c r="BM709" s="25"/>
      <c r="BN709" s="13"/>
      <c r="BQ709" s="114"/>
    </row>
    <row r="710" spans="1:69" ht="19.5" x14ac:dyDescent="0.4">
      <c r="A710" s="117"/>
      <c r="B710" s="123"/>
      <c r="C710" s="123"/>
      <c r="D710" s="123"/>
      <c r="AD710" s="128"/>
      <c r="AE710" s="29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25"/>
      <c r="AP710" s="13"/>
      <c r="AU710" s="117"/>
      <c r="AV710" s="123"/>
      <c r="AW710" s="123"/>
      <c r="AX710" s="123"/>
      <c r="BC710" s="115"/>
      <c r="BD710" s="115"/>
      <c r="BE710" s="115"/>
      <c r="BF710" s="115"/>
      <c r="BG710" s="115"/>
      <c r="BH710" s="115"/>
      <c r="BI710" s="115"/>
      <c r="BJ710" s="115"/>
      <c r="BK710" s="115"/>
      <c r="BL710" s="115"/>
      <c r="BM710" s="25"/>
      <c r="BN710" s="13"/>
      <c r="BQ710" s="114"/>
    </row>
    <row r="711" spans="1:69" ht="19.5" x14ac:dyDescent="0.4">
      <c r="A711" s="117"/>
      <c r="B711" s="123"/>
      <c r="C711" s="123"/>
      <c r="D711" s="123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27"/>
      <c r="AE711" s="29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25"/>
      <c r="AP711" s="13"/>
      <c r="AU711" s="117"/>
      <c r="AV711" s="123"/>
      <c r="AW711" s="123"/>
      <c r="AX711" s="123"/>
      <c r="BC711" s="115"/>
      <c r="BD711" s="115"/>
      <c r="BE711" s="115"/>
      <c r="BF711" s="115"/>
      <c r="BG711" s="115"/>
      <c r="BH711" s="115"/>
      <c r="BI711" s="115"/>
      <c r="BJ711" s="115"/>
      <c r="BK711" s="115"/>
      <c r="BL711" s="115"/>
      <c r="BM711" s="25"/>
      <c r="BN711" s="13"/>
      <c r="BQ711" s="114"/>
    </row>
    <row r="712" spans="1:69" ht="19.5" x14ac:dyDescent="0.4">
      <c r="A712" s="117"/>
      <c r="B712" s="123"/>
      <c r="C712" s="123"/>
      <c r="D712" s="123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28"/>
      <c r="AE712" s="29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25"/>
      <c r="AP712" s="13"/>
      <c r="AU712" s="117"/>
      <c r="AV712" s="123"/>
      <c r="AW712" s="123"/>
      <c r="AX712" s="123"/>
      <c r="BC712" s="115"/>
      <c r="BD712" s="115"/>
      <c r="BE712" s="115"/>
      <c r="BF712" s="115"/>
      <c r="BG712" s="115"/>
      <c r="BH712" s="115"/>
      <c r="BI712" s="115"/>
      <c r="BJ712" s="115"/>
      <c r="BK712" s="115"/>
      <c r="BL712" s="115"/>
      <c r="BM712" s="25"/>
      <c r="BN712" s="13"/>
      <c r="BQ712" s="114"/>
    </row>
    <row r="713" spans="1:69" ht="19.5" x14ac:dyDescent="0.4">
      <c r="A713" s="117"/>
      <c r="B713" s="123"/>
      <c r="C713" s="123"/>
      <c r="D713" s="123"/>
      <c r="AD713" s="127"/>
      <c r="AE713" s="29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25">
        <v>45685</v>
      </c>
      <c r="AP713" s="13" t="s">
        <v>148</v>
      </c>
      <c r="AU713" s="117"/>
      <c r="AV713" s="123"/>
      <c r="AW713" s="123"/>
      <c r="AX713" s="123"/>
      <c r="BC713" s="115"/>
      <c r="BD713" s="115"/>
      <c r="BE713" s="115"/>
      <c r="BF713" s="115"/>
      <c r="BG713" s="115"/>
      <c r="BH713" s="115"/>
      <c r="BI713" s="115"/>
      <c r="BJ713" s="115"/>
      <c r="BK713" s="115"/>
      <c r="BL713" s="115"/>
      <c r="BM713" s="25"/>
      <c r="BN713" s="13"/>
      <c r="BQ713" s="114"/>
    </row>
    <row r="714" spans="1:69" ht="19.5" x14ac:dyDescent="0.4">
      <c r="A714" s="117"/>
      <c r="B714" s="123"/>
      <c r="C714" s="123"/>
      <c r="D714" s="123"/>
      <c r="AD714" s="127"/>
      <c r="AE714" s="29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25">
        <v>45685</v>
      </c>
      <c r="AP714" s="13" t="s">
        <v>148</v>
      </c>
      <c r="AU714" s="117"/>
      <c r="AV714" s="123"/>
      <c r="AW714" s="123"/>
      <c r="AX714" s="123"/>
      <c r="BC714" s="115"/>
      <c r="BD714" s="115"/>
      <c r="BE714" s="115"/>
      <c r="BF714" s="115"/>
      <c r="BG714" s="115"/>
      <c r="BH714" s="115"/>
      <c r="BI714" s="115"/>
      <c r="BJ714" s="115"/>
      <c r="BK714" s="115"/>
      <c r="BL714" s="115"/>
      <c r="BM714" s="25"/>
      <c r="BN714" s="13"/>
      <c r="BQ714" s="114"/>
    </row>
    <row r="715" spans="1:69" ht="19.5" x14ac:dyDescent="0.4">
      <c r="A715" s="117"/>
      <c r="B715" s="123"/>
      <c r="C715" s="123"/>
      <c r="D715" s="123"/>
      <c r="AD715" s="127"/>
      <c r="AE715" s="29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25">
        <v>45685</v>
      </c>
      <c r="AP715" s="13" t="s">
        <v>146</v>
      </c>
      <c r="AU715" s="117"/>
      <c r="AV715" s="123"/>
      <c r="AW715" s="123"/>
      <c r="AX715" s="123"/>
      <c r="BC715" s="115"/>
      <c r="BD715" s="115"/>
      <c r="BE715" s="115"/>
      <c r="BF715" s="115"/>
      <c r="BG715" s="115"/>
      <c r="BH715" s="115"/>
      <c r="BI715" s="115"/>
      <c r="BJ715" s="115"/>
      <c r="BK715" s="115"/>
      <c r="BL715" s="115"/>
      <c r="BM715" s="25"/>
      <c r="BN715" s="13"/>
      <c r="BQ715" s="114"/>
    </row>
    <row r="716" spans="1:69" ht="19.5" x14ac:dyDescent="0.4">
      <c r="A716" s="117"/>
      <c r="B716" s="123"/>
      <c r="C716" s="123"/>
      <c r="D716" s="123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27"/>
      <c r="AE716" s="29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25"/>
      <c r="AP716" s="13"/>
      <c r="AU716" s="117"/>
      <c r="AV716" s="123"/>
      <c r="AW716" s="123"/>
      <c r="AX716" s="123"/>
      <c r="BC716" s="115"/>
      <c r="BD716" s="115"/>
      <c r="BE716" s="115"/>
      <c r="BF716" s="115"/>
      <c r="BG716" s="115"/>
      <c r="BH716" s="115"/>
      <c r="BI716" s="115"/>
      <c r="BJ716" s="115"/>
      <c r="BK716" s="115"/>
      <c r="BL716" s="115"/>
      <c r="BM716" s="25"/>
      <c r="BN716" s="13"/>
      <c r="BQ716" s="114"/>
    </row>
    <row r="717" spans="1:69" ht="19.5" x14ac:dyDescent="0.4">
      <c r="A717" s="117"/>
      <c r="B717" s="123"/>
      <c r="C717" s="123"/>
      <c r="D717" s="123"/>
      <c r="AD717" s="127"/>
      <c r="AE717" s="29"/>
      <c r="AO717" s="25">
        <v>45685</v>
      </c>
      <c r="AP717" s="13" t="s">
        <v>148</v>
      </c>
      <c r="AU717" s="117"/>
      <c r="AV717" s="123"/>
      <c r="AW717" s="123"/>
      <c r="AX717" s="123"/>
      <c r="BC717" s="115"/>
      <c r="BD717" s="115"/>
      <c r="BE717" s="115"/>
      <c r="BF717" s="115"/>
      <c r="BG717" s="115"/>
      <c r="BH717" s="115"/>
      <c r="BI717" s="115"/>
      <c r="BJ717" s="115"/>
      <c r="BK717" s="115"/>
      <c r="BL717" s="115" t="s">
        <v>150</v>
      </c>
      <c r="BM717" s="13">
        <f>SUBTOTAL(3,BM704:BM704)</f>
        <v>1</v>
      </c>
      <c r="BN717" s="13">
        <f>SUBTOTAL(3,BN704:BN704)</f>
        <v>1</v>
      </c>
      <c r="BQ717" s="114"/>
    </row>
    <row r="718" spans="1:69" ht="19.5" x14ac:dyDescent="0.4">
      <c r="A718" s="117"/>
      <c r="B718" s="123"/>
      <c r="C718" s="123"/>
      <c r="D718" s="123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27"/>
      <c r="AE718" s="29"/>
      <c r="AO718" s="25"/>
      <c r="AP718" s="13"/>
      <c r="AU718" s="117"/>
      <c r="AV718" s="123"/>
      <c r="AW718" s="123"/>
      <c r="AX718" s="123"/>
      <c r="BC718" s="115"/>
      <c r="BD718" s="115"/>
      <c r="BE718" s="115"/>
      <c r="BF718" s="115"/>
      <c r="BG718" s="115"/>
      <c r="BH718" s="115"/>
      <c r="BI718" s="115"/>
      <c r="BJ718" s="115"/>
      <c r="BK718" s="115"/>
      <c r="BL718" s="115"/>
      <c r="BM718" s="13"/>
      <c r="BN718" s="13"/>
      <c r="BQ718" s="114"/>
    </row>
    <row r="719" spans="1:69" ht="19.5" x14ac:dyDescent="0.4">
      <c r="A719" s="117"/>
      <c r="B719" s="123"/>
      <c r="C719" s="123"/>
      <c r="D719" s="123"/>
      <c r="AD719" s="127"/>
      <c r="AE719" s="29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25">
        <v>45685</v>
      </c>
      <c r="AP719" s="15" t="s">
        <v>146</v>
      </c>
      <c r="AU719" s="117"/>
      <c r="AV719" s="123"/>
      <c r="AW719" s="123"/>
      <c r="AX719" s="123"/>
      <c r="BC719" s="115"/>
      <c r="BD719" s="115"/>
      <c r="BE719" s="115"/>
      <c r="BF719" s="115"/>
      <c r="BG719" s="115"/>
      <c r="BH719" s="115"/>
      <c r="BI719" s="115"/>
      <c r="BJ719" s="115"/>
      <c r="BK719" s="115"/>
      <c r="BL719" s="115"/>
      <c r="BM719" s="13"/>
      <c r="BN719" s="13"/>
      <c r="BQ719" s="114"/>
    </row>
    <row r="720" spans="1:69" ht="19.5" x14ac:dyDescent="0.4">
      <c r="A720" s="117"/>
      <c r="B720" s="123"/>
      <c r="C720" s="123"/>
      <c r="D720" s="123"/>
      <c r="AD720" s="127"/>
      <c r="AE720" s="29"/>
      <c r="AO720" s="25">
        <v>45685</v>
      </c>
      <c r="AP720" s="15" t="s">
        <v>146</v>
      </c>
      <c r="AU720" s="117"/>
      <c r="AV720" s="123"/>
      <c r="AW720" s="123"/>
      <c r="AX720" s="123"/>
      <c r="BC720" s="115"/>
      <c r="BD720" s="115"/>
      <c r="BE720" s="115"/>
      <c r="BF720" s="115"/>
      <c r="BG720" s="115"/>
      <c r="BH720" s="115"/>
      <c r="BI720" s="115"/>
      <c r="BJ720" s="115"/>
      <c r="BK720" s="115"/>
      <c r="BL720" s="115"/>
      <c r="BM720" s="25">
        <v>45264</v>
      </c>
      <c r="BN720" s="13" t="s">
        <v>162</v>
      </c>
      <c r="BQ720" s="114"/>
    </row>
    <row r="721" spans="1:69" ht="19.5" x14ac:dyDescent="0.4">
      <c r="A721" s="117"/>
      <c r="B721" s="123"/>
      <c r="C721" s="123"/>
      <c r="D721" s="123"/>
      <c r="AD721" s="127"/>
      <c r="AE721" s="29"/>
      <c r="AK721" s="115"/>
      <c r="AL721" s="115"/>
      <c r="AM721" s="115"/>
      <c r="AN721" s="115"/>
      <c r="AO721" s="25">
        <v>45686</v>
      </c>
      <c r="AP721" s="15" t="s">
        <v>148</v>
      </c>
      <c r="AU721" s="117"/>
      <c r="AV721" s="123"/>
      <c r="AW721" s="123"/>
      <c r="AX721" s="123"/>
      <c r="BC721" s="115"/>
      <c r="BD721" s="115"/>
      <c r="BE721" s="115"/>
      <c r="BF721" s="115"/>
      <c r="BG721" s="115"/>
      <c r="BH721" s="115"/>
      <c r="BI721" s="115"/>
      <c r="BJ721" s="115"/>
      <c r="BK721" s="115"/>
      <c r="BL721" s="115"/>
      <c r="BM721" s="25"/>
      <c r="BN721" s="13"/>
      <c r="BQ721" s="114"/>
    </row>
    <row r="722" spans="1:69" ht="19.5" x14ac:dyDescent="0.4">
      <c r="A722" s="117"/>
      <c r="B722" s="123"/>
      <c r="C722" s="123"/>
      <c r="D722" s="123"/>
      <c r="AD722" s="127"/>
      <c r="AE722" s="29"/>
      <c r="AI722" s="115"/>
      <c r="AJ722" s="115"/>
      <c r="AK722" s="115"/>
      <c r="AL722" s="115"/>
      <c r="AM722" s="115"/>
      <c r="AN722" s="115"/>
      <c r="AO722" s="25">
        <v>45686</v>
      </c>
      <c r="AP722" s="15" t="s">
        <v>146</v>
      </c>
      <c r="AU722" s="117"/>
      <c r="AV722" s="123"/>
      <c r="AW722" s="123"/>
      <c r="AX722" s="123"/>
      <c r="BC722" s="115"/>
      <c r="BD722" s="115"/>
      <c r="BE722" s="115"/>
      <c r="BF722" s="115"/>
      <c r="BG722" s="115"/>
      <c r="BH722" s="115"/>
      <c r="BI722" s="115"/>
      <c r="BJ722" s="115"/>
      <c r="BK722" s="115"/>
      <c r="BL722" s="115"/>
      <c r="BM722" s="25"/>
      <c r="BN722" s="13"/>
      <c r="BQ722" s="114"/>
    </row>
    <row r="723" spans="1:69" ht="19.5" x14ac:dyDescent="0.4">
      <c r="A723" s="117"/>
      <c r="B723" s="123"/>
      <c r="C723" s="123"/>
      <c r="D723" s="123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27"/>
      <c r="AE723" s="29"/>
      <c r="AI723" s="115"/>
      <c r="AJ723" s="115"/>
      <c r="AK723" s="115"/>
      <c r="AL723" s="115"/>
      <c r="AM723" s="115"/>
      <c r="AN723" s="115"/>
      <c r="AO723" s="25"/>
      <c r="AP723" s="15"/>
      <c r="AU723" s="117"/>
      <c r="AV723" s="123"/>
      <c r="AW723" s="123"/>
      <c r="AX723" s="123"/>
      <c r="BC723" s="115"/>
      <c r="BD723" s="115"/>
      <c r="BE723" s="115"/>
      <c r="BF723" s="115"/>
      <c r="BG723" s="115"/>
      <c r="BH723" s="115"/>
      <c r="BI723" s="115"/>
      <c r="BJ723" s="115"/>
      <c r="BK723" s="115"/>
      <c r="BL723" s="115"/>
      <c r="BM723" s="25"/>
      <c r="BN723" s="13"/>
      <c r="BQ723" s="114"/>
    </row>
    <row r="724" spans="1:69" ht="19.5" x14ac:dyDescent="0.4">
      <c r="A724" s="117"/>
      <c r="B724" s="123"/>
      <c r="C724" s="123"/>
      <c r="D724" s="123"/>
      <c r="AD724" s="127"/>
      <c r="AE724" s="29"/>
      <c r="AI724" s="115"/>
      <c r="AJ724" s="115"/>
      <c r="AK724" s="115"/>
      <c r="AL724" s="115"/>
      <c r="AM724" s="115"/>
      <c r="AN724" s="115"/>
      <c r="AO724" s="25">
        <v>45686</v>
      </c>
      <c r="AP724" s="15" t="s">
        <v>148</v>
      </c>
      <c r="AU724" s="117"/>
      <c r="AV724" s="123"/>
      <c r="AW724" s="123"/>
      <c r="AX724" s="123"/>
      <c r="BC724" s="115"/>
      <c r="BD724" s="115"/>
      <c r="BE724" s="115"/>
      <c r="BF724" s="115"/>
      <c r="BG724" s="115"/>
      <c r="BH724" s="115"/>
      <c r="BI724" s="115"/>
      <c r="BJ724" s="115"/>
      <c r="BK724" s="115"/>
      <c r="BL724" s="115"/>
      <c r="BM724" s="25"/>
      <c r="BN724" s="13"/>
      <c r="BQ724" s="114"/>
    </row>
    <row r="725" spans="1:69" ht="19.5" x14ac:dyDescent="0.4">
      <c r="A725" s="117"/>
      <c r="B725" s="123"/>
      <c r="C725" s="123"/>
      <c r="D725" s="123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27"/>
      <c r="AE725" s="29"/>
      <c r="AI725" s="115"/>
      <c r="AJ725" s="115"/>
      <c r="AK725" s="115"/>
      <c r="AL725" s="115"/>
      <c r="AM725" s="115"/>
      <c r="AN725" s="115"/>
      <c r="AO725" s="25"/>
      <c r="AP725" s="15"/>
      <c r="AU725" s="117"/>
      <c r="AV725" s="123"/>
      <c r="AW725" s="123"/>
      <c r="AX725" s="123"/>
      <c r="BC725" s="115"/>
      <c r="BD725" s="115"/>
      <c r="BE725" s="115"/>
      <c r="BF725" s="115"/>
      <c r="BG725" s="115"/>
      <c r="BH725" s="115"/>
      <c r="BI725" s="115"/>
      <c r="BJ725" s="115"/>
      <c r="BK725" s="115"/>
      <c r="BL725" s="115"/>
      <c r="BM725" s="25"/>
      <c r="BN725" s="13"/>
      <c r="BQ725" s="114"/>
    </row>
    <row r="726" spans="1:69" ht="19.5" x14ac:dyDescent="0.4">
      <c r="A726" s="117"/>
      <c r="B726" s="123"/>
      <c r="C726" s="123"/>
      <c r="D726" s="123"/>
      <c r="AD726" s="127"/>
      <c r="AE726" s="29"/>
      <c r="AO726" s="25">
        <v>45686</v>
      </c>
      <c r="AP726" s="15" t="s">
        <v>146</v>
      </c>
      <c r="AU726" s="117"/>
      <c r="AV726" s="123"/>
      <c r="AW726" s="123"/>
      <c r="AX726" s="123"/>
      <c r="BC726" s="115"/>
      <c r="BD726" s="115"/>
      <c r="BE726" s="115"/>
      <c r="BF726" s="115"/>
      <c r="BG726" s="115"/>
      <c r="BH726" s="115"/>
      <c r="BI726" s="115"/>
      <c r="BJ726" s="115"/>
      <c r="BK726" s="115"/>
      <c r="BL726" s="115" t="s">
        <v>154</v>
      </c>
      <c r="BM726" s="13">
        <f>SUBTOTAL(3,BM720:BM720)</f>
        <v>1</v>
      </c>
      <c r="BN726" s="13">
        <f>SUBTOTAL(3,BN720:BN720)</f>
        <v>1</v>
      </c>
      <c r="BQ726" s="114"/>
    </row>
    <row r="727" spans="1:69" ht="19.5" x14ac:dyDescent="0.4">
      <c r="A727" s="117"/>
      <c r="B727" s="123"/>
      <c r="C727" s="123"/>
      <c r="D727" s="123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27"/>
      <c r="AE727" s="29"/>
      <c r="AO727" s="25"/>
      <c r="AP727" s="15"/>
      <c r="AU727" s="117"/>
      <c r="AV727" s="123"/>
      <c r="AW727" s="123"/>
      <c r="AX727" s="123"/>
      <c r="BC727" s="115"/>
      <c r="BD727" s="115"/>
      <c r="BE727" s="115"/>
      <c r="BF727" s="115"/>
      <c r="BG727" s="115"/>
      <c r="BH727" s="115"/>
      <c r="BI727" s="115"/>
      <c r="BJ727" s="115"/>
      <c r="BK727" s="115"/>
      <c r="BL727" s="115"/>
      <c r="BM727" s="13"/>
      <c r="BN727" s="13"/>
      <c r="BQ727" s="114"/>
    </row>
    <row r="728" spans="1:69" ht="19.5" x14ac:dyDescent="0.4">
      <c r="A728" s="117"/>
      <c r="B728" s="123"/>
      <c r="C728" s="123"/>
      <c r="D728" s="123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27"/>
      <c r="AE728" s="29"/>
      <c r="AO728" s="25"/>
      <c r="AP728" s="15"/>
      <c r="AU728" s="117"/>
      <c r="AV728" s="123"/>
      <c r="AW728" s="123"/>
      <c r="AX728" s="123"/>
      <c r="BC728" s="115"/>
      <c r="BD728" s="115"/>
      <c r="BE728" s="115"/>
      <c r="BF728" s="115"/>
      <c r="BG728" s="115"/>
      <c r="BH728" s="115"/>
      <c r="BI728" s="115"/>
      <c r="BJ728" s="115"/>
      <c r="BK728" s="115"/>
      <c r="BL728" s="115"/>
      <c r="BM728" s="13"/>
      <c r="BN728" s="13"/>
      <c r="BQ728" s="114"/>
    </row>
    <row r="729" spans="1:69" ht="19.5" x14ac:dyDescent="0.4">
      <c r="A729" s="117"/>
      <c r="B729" s="123"/>
      <c r="C729" s="123"/>
      <c r="D729" s="123"/>
      <c r="AD729" s="127"/>
      <c r="AE729" s="29"/>
      <c r="AO729" s="25">
        <v>45686</v>
      </c>
      <c r="AP729" s="15" t="s">
        <v>146</v>
      </c>
      <c r="AU729" s="117"/>
      <c r="AV729" s="123"/>
      <c r="AW729" s="123"/>
      <c r="AX729" s="123"/>
      <c r="BC729" s="115"/>
      <c r="BD729" s="115"/>
      <c r="BE729" s="115"/>
      <c r="BF729" s="115"/>
      <c r="BG729" s="115"/>
      <c r="BH729" s="115"/>
      <c r="BI729" s="115"/>
      <c r="BJ729" s="115"/>
      <c r="BK729" s="115"/>
      <c r="BL729" s="115"/>
      <c r="BM729" s="25">
        <v>45265</v>
      </c>
      <c r="BN729" s="13" t="s">
        <v>162</v>
      </c>
      <c r="BQ729" s="114"/>
    </row>
    <row r="730" spans="1:69" ht="19.5" x14ac:dyDescent="0.4">
      <c r="A730" s="117"/>
      <c r="B730" s="123"/>
      <c r="C730" s="123"/>
      <c r="D730" s="123"/>
      <c r="AD730" s="127"/>
      <c r="AE730" s="29"/>
      <c r="AO730" s="25">
        <v>45686</v>
      </c>
      <c r="AP730" s="15" t="s">
        <v>146</v>
      </c>
      <c r="AU730" s="117"/>
      <c r="AV730" s="123"/>
      <c r="AW730" s="123"/>
      <c r="AX730" s="123"/>
      <c r="BC730" s="115"/>
      <c r="BD730" s="115"/>
      <c r="BE730" s="115"/>
      <c r="BF730" s="115"/>
      <c r="BG730" s="115"/>
      <c r="BH730" s="115"/>
      <c r="BI730" s="115"/>
      <c r="BJ730" s="115"/>
      <c r="BK730" s="115"/>
      <c r="BL730" s="115"/>
      <c r="BM730" s="25">
        <v>45265</v>
      </c>
      <c r="BN730" s="25" t="s">
        <v>162</v>
      </c>
      <c r="BQ730" s="114"/>
    </row>
    <row r="731" spans="1:69" ht="19.5" x14ac:dyDescent="0.4">
      <c r="A731" s="117"/>
      <c r="B731" s="123"/>
      <c r="C731" s="123"/>
      <c r="D731" s="123"/>
      <c r="AD731" s="127"/>
      <c r="AE731" s="29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25">
        <v>45686</v>
      </c>
      <c r="AP731" s="15" t="s">
        <v>146</v>
      </c>
      <c r="AU731" s="117"/>
      <c r="AV731" s="123"/>
      <c r="AW731" s="123"/>
      <c r="AX731" s="123"/>
      <c r="BC731" s="115"/>
      <c r="BD731" s="115"/>
      <c r="BE731" s="115"/>
      <c r="BF731" s="115"/>
      <c r="BG731" s="115"/>
      <c r="BH731" s="115"/>
      <c r="BI731" s="115"/>
      <c r="BJ731" s="115"/>
      <c r="BK731" s="115"/>
      <c r="BL731" s="115"/>
      <c r="BM731" s="25"/>
      <c r="BN731" s="25"/>
      <c r="BQ731" s="114"/>
    </row>
    <row r="732" spans="1:69" ht="19.5" x14ac:dyDescent="0.4">
      <c r="A732" s="117"/>
      <c r="B732" s="123"/>
      <c r="C732" s="123"/>
      <c r="D732" s="123"/>
      <c r="AD732" s="128"/>
      <c r="AE732" s="29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25"/>
      <c r="AP732" s="13"/>
      <c r="AU732" s="117"/>
      <c r="AV732" s="123"/>
      <c r="AW732" s="123"/>
      <c r="AX732" s="123"/>
      <c r="BC732" s="115"/>
      <c r="BD732" s="115"/>
      <c r="BE732" s="115"/>
      <c r="BF732" s="115"/>
      <c r="BG732" s="115"/>
      <c r="BH732" s="115"/>
      <c r="BI732" s="115"/>
      <c r="BJ732" s="115"/>
      <c r="BK732" s="115"/>
      <c r="BL732" s="115"/>
      <c r="BM732" s="25"/>
      <c r="BN732" s="25"/>
      <c r="BQ732" s="114"/>
    </row>
    <row r="733" spans="1:69" ht="19.5" x14ac:dyDescent="0.4">
      <c r="A733" s="117"/>
      <c r="B733" s="123"/>
      <c r="C733" s="123"/>
      <c r="D733" s="123"/>
      <c r="AD733" s="127"/>
      <c r="AE733" s="29"/>
      <c r="AO733" s="25">
        <v>45686</v>
      </c>
      <c r="AP733" s="13" t="s">
        <v>146</v>
      </c>
      <c r="AU733" s="117"/>
      <c r="AV733" s="123"/>
      <c r="AW733" s="123"/>
      <c r="AX733" s="123"/>
      <c r="BC733" s="115"/>
      <c r="BD733" s="115"/>
      <c r="BE733" s="115"/>
      <c r="BF733" s="115"/>
      <c r="BG733" s="115"/>
      <c r="BH733" s="115"/>
      <c r="BI733" s="115"/>
      <c r="BJ733" s="115"/>
      <c r="BK733" s="115"/>
      <c r="BL733" s="115"/>
      <c r="BM733" s="25">
        <v>45265</v>
      </c>
      <c r="BN733" s="13" t="s">
        <v>162</v>
      </c>
      <c r="BQ733" s="114"/>
    </row>
    <row r="734" spans="1:69" ht="19.5" x14ac:dyDescent="0.4">
      <c r="A734" s="117"/>
      <c r="B734" s="123"/>
      <c r="C734" s="123"/>
      <c r="D734" s="123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27"/>
      <c r="AE734" s="29"/>
      <c r="AO734" s="25"/>
      <c r="AP734" s="13"/>
      <c r="AU734" s="117"/>
      <c r="AV734" s="123"/>
      <c r="AW734" s="123"/>
      <c r="AX734" s="123"/>
      <c r="BC734" s="115"/>
      <c r="BD734" s="115"/>
      <c r="BE734" s="115"/>
      <c r="BF734" s="115"/>
      <c r="BG734" s="115"/>
      <c r="BH734" s="115"/>
      <c r="BI734" s="115"/>
      <c r="BJ734" s="115"/>
      <c r="BK734" s="115"/>
      <c r="BL734" s="115"/>
      <c r="BM734" s="25"/>
      <c r="BN734" s="13"/>
      <c r="BQ734" s="114"/>
    </row>
    <row r="735" spans="1:69" ht="19.5" x14ac:dyDescent="0.4">
      <c r="A735" s="117"/>
      <c r="B735" s="123"/>
      <c r="C735" s="123"/>
      <c r="D735" s="123"/>
      <c r="AD735" s="127"/>
      <c r="AE735" s="29"/>
      <c r="AK735" s="115"/>
      <c r="AL735" s="115"/>
      <c r="AM735" s="115"/>
      <c r="AN735" s="115"/>
      <c r="AO735" s="25">
        <v>45686</v>
      </c>
      <c r="AP735" s="15" t="s">
        <v>146</v>
      </c>
      <c r="AU735" s="117"/>
      <c r="AV735" s="123"/>
      <c r="AW735" s="123"/>
      <c r="AX735" s="123"/>
      <c r="BC735" s="115"/>
      <c r="BD735" s="115"/>
      <c r="BE735" s="115"/>
      <c r="BF735" s="115"/>
      <c r="BG735" s="115"/>
      <c r="BH735" s="115"/>
      <c r="BI735" s="115"/>
      <c r="BJ735" s="115"/>
      <c r="BK735" s="115"/>
      <c r="BL735" s="115"/>
      <c r="BM735" s="25"/>
      <c r="BN735" s="13"/>
      <c r="BQ735" s="114"/>
    </row>
    <row r="736" spans="1:69" ht="19.5" x14ac:dyDescent="0.4">
      <c r="A736" s="117"/>
      <c r="B736" s="123"/>
      <c r="C736" s="123"/>
      <c r="D736" s="123"/>
      <c r="AD736" s="127"/>
      <c r="AE736" s="29"/>
      <c r="AO736" s="25">
        <v>45686</v>
      </c>
      <c r="AP736" s="15" t="s">
        <v>147</v>
      </c>
      <c r="AU736" s="117"/>
      <c r="AV736" s="123"/>
      <c r="AW736" s="123"/>
      <c r="AX736" s="123"/>
      <c r="BC736" s="115"/>
      <c r="BD736" s="115"/>
      <c r="BE736" s="115"/>
      <c r="BF736" s="115"/>
      <c r="BG736" s="115"/>
      <c r="BH736" s="115"/>
      <c r="BI736" s="115"/>
      <c r="BJ736" s="115"/>
      <c r="BK736" s="115"/>
      <c r="BL736" s="115"/>
      <c r="BM736" s="25">
        <v>45265</v>
      </c>
      <c r="BN736" s="13" t="s">
        <v>162</v>
      </c>
      <c r="BQ736" s="114"/>
    </row>
    <row r="737" spans="1:69" ht="19.5" x14ac:dyDescent="0.4">
      <c r="A737" s="117"/>
      <c r="B737" s="123"/>
      <c r="C737" s="123"/>
      <c r="D737" s="123"/>
      <c r="AD737" s="127"/>
      <c r="AE737" s="29"/>
      <c r="AL737" s="115"/>
      <c r="AM737" s="115"/>
      <c r="AN737" s="115"/>
      <c r="AO737" s="25">
        <v>45686</v>
      </c>
      <c r="AP737" s="15" t="s">
        <v>147</v>
      </c>
      <c r="AU737" s="117"/>
      <c r="AV737" s="123"/>
      <c r="AW737" s="123"/>
      <c r="AX737" s="123"/>
      <c r="BC737" s="115"/>
      <c r="BD737" s="115"/>
      <c r="BE737" s="115"/>
      <c r="BF737" s="115"/>
      <c r="BG737" s="115"/>
      <c r="BH737" s="115"/>
      <c r="BI737" s="115"/>
      <c r="BJ737" s="115"/>
      <c r="BK737" s="115"/>
      <c r="BL737" s="115"/>
      <c r="BM737" s="25"/>
      <c r="BN737" s="13"/>
      <c r="BQ737" s="114"/>
    </row>
    <row r="738" spans="1:69" ht="19.5" x14ac:dyDescent="0.4">
      <c r="A738" s="117"/>
      <c r="B738" s="123"/>
      <c r="C738" s="123"/>
      <c r="D738" s="123"/>
      <c r="AD738" s="127"/>
      <c r="AE738" s="29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25">
        <v>45686</v>
      </c>
      <c r="AP738" s="13" t="s">
        <v>146</v>
      </c>
      <c r="AU738" s="117"/>
      <c r="AV738" s="123"/>
      <c r="AW738" s="123"/>
      <c r="AX738" s="123"/>
      <c r="BC738" s="115"/>
      <c r="BD738" s="115"/>
      <c r="BE738" s="115"/>
      <c r="BF738" s="115"/>
      <c r="BG738" s="115"/>
      <c r="BH738" s="115"/>
      <c r="BI738" s="115"/>
      <c r="BJ738" s="115"/>
      <c r="BK738" s="115"/>
      <c r="BL738" s="115"/>
      <c r="BM738" s="25"/>
      <c r="BN738" s="13"/>
      <c r="BQ738" s="114"/>
    </row>
    <row r="739" spans="1:69" ht="19.5" x14ac:dyDescent="0.4">
      <c r="A739" s="117"/>
      <c r="B739" s="123"/>
      <c r="C739" s="123"/>
      <c r="D739" s="123"/>
      <c r="AD739" s="127"/>
      <c r="AE739" s="29"/>
      <c r="AO739" s="25">
        <v>45686</v>
      </c>
      <c r="AP739" s="25" t="s">
        <v>146</v>
      </c>
      <c r="AU739" s="117"/>
      <c r="AV739" s="123"/>
      <c r="AW739" s="123"/>
      <c r="AX739" s="123"/>
      <c r="BC739" s="115"/>
      <c r="BD739" s="115"/>
      <c r="BE739" s="115"/>
      <c r="BF739" s="115"/>
      <c r="BG739" s="115"/>
      <c r="BH739" s="115"/>
      <c r="BI739" s="115"/>
      <c r="BJ739" s="115"/>
      <c r="BK739" s="115"/>
      <c r="BL739" s="115"/>
      <c r="BM739" s="25">
        <v>45265</v>
      </c>
      <c r="BN739" s="13" t="s">
        <v>163</v>
      </c>
      <c r="BQ739" s="114"/>
    </row>
    <row r="740" spans="1:69" ht="19.5" x14ac:dyDescent="0.4">
      <c r="A740" s="117"/>
      <c r="B740" s="123"/>
      <c r="C740" s="123"/>
      <c r="D740" s="123"/>
      <c r="AD740" s="127"/>
      <c r="AE740" s="29"/>
      <c r="AO740" s="25">
        <v>45686</v>
      </c>
      <c r="AP740" s="25" t="s">
        <v>147</v>
      </c>
      <c r="AU740" s="117"/>
      <c r="AV740" s="123"/>
      <c r="AW740" s="123"/>
      <c r="AX740" s="123"/>
      <c r="BC740" s="115"/>
      <c r="BD740" s="115"/>
      <c r="BE740" s="115"/>
      <c r="BF740" s="115"/>
      <c r="BG740" s="115"/>
      <c r="BH740" s="115"/>
      <c r="BI740" s="115"/>
      <c r="BJ740" s="115"/>
      <c r="BK740" s="115"/>
      <c r="BL740" s="115" t="s">
        <v>155</v>
      </c>
      <c r="BM740" s="13">
        <f>SUBTOTAL(3,BM729:BM739)</f>
        <v>5</v>
      </c>
      <c r="BN740" s="13">
        <f>SUBTOTAL(3,BN729:BN739)</f>
        <v>5</v>
      </c>
      <c r="BQ740" s="114"/>
    </row>
    <row r="741" spans="1:69" ht="19.5" x14ac:dyDescent="0.4">
      <c r="A741" s="117"/>
      <c r="B741" s="123"/>
      <c r="C741" s="123"/>
      <c r="D741" s="123"/>
      <c r="AD741" s="127"/>
      <c r="AE741" s="29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25">
        <v>45686</v>
      </c>
      <c r="AP741" s="25" t="s">
        <v>148</v>
      </c>
      <c r="AU741" s="117"/>
      <c r="AV741" s="123"/>
      <c r="AW741" s="123"/>
      <c r="AX741" s="123"/>
      <c r="BC741" s="115"/>
      <c r="BD741" s="115"/>
      <c r="BE741" s="115"/>
      <c r="BF741" s="115"/>
      <c r="BG741" s="115"/>
      <c r="BH741" s="115"/>
      <c r="BI741" s="115"/>
      <c r="BJ741" s="115"/>
      <c r="BK741" s="115"/>
      <c r="BL741" s="115"/>
      <c r="BM741" s="13"/>
      <c r="BN741" s="13"/>
      <c r="BQ741" s="114"/>
    </row>
    <row r="742" spans="1:69" ht="19.5" x14ac:dyDescent="0.4">
      <c r="A742" s="117"/>
      <c r="B742" s="123"/>
      <c r="C742" s="123"/>
      <c r="D742" s="123"/>
      <c r="AD742" s="127"/>
      <c r="AE742" s="29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25">
        <v>45686</v>
      </c>
      <c r="AP742" s="13" t="s">
        <v>146</v>
      </c>
      <c r="AU742" s="117"/>
      <c r="AV742" s="123"/>
      <c r="AW742" s="123"/>
      <c r="AX742" s="123"/>
      <c r="BC742" s="115"/>
      <c r="BD742" s="115"/>
      <c r="BE742" s="115"/>
      <c r="BF742" s="115"/>
      <c r="BG742" s="115"/>
      <c r="BH742" s="115"/>
      <c r="BI742" s="115"/>
      <c r="BJ742" s="115"/>
      <c r="BK742" s="115"/>
      <c r="BL742" s="115"/>
      <c r="BM742" s="13"/>
      <c r="BN742" s="13"/>
      <c r="BQ742" s="114"/>
    </row>
    <row r="743" spans="1:69" ht="19.5" x14ac:dyDescent="0.4">
      <c r="A743" s="117"/>
      <c r="B743" s="123"/>
      <c r="C743" s="123"/>
      <c r="D743" s="123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27"/>
      <c r="AE743" s="29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25">
        <v>45686</v>
      </c>
      <c r="AP743" s="13" t="s">
        <v>146</v>
      </c>
      <c r="AU743" s="117"/>
      <c r="AV743" s="123"/>
      <c r="AW743" s="123"/>
      <c r="AX743" s="123"/>
      <c r="BC743" s="115"/>
      <c r="BD743" s="115"/>
      <c r="BE743" s="115"/>
      <c r="BF743" s="115"/>
      <c r="BG743" s="115"/>
      <c r="BH743" s="115"/>
      <c r="BI743" s="115"/>
      <c r="BJ743" s="115"/>
      <c r="BK743" s="115"/>
      <c r="BL743" s="115"/>
      <c r="BM743" s="13"/>
      <c r="BN743" s="13"/>
      <c r="BQ743" s="114"/>
    </row>
    <row r="744" spans="1:69" ht="19.5" x14ac:dyDescent="0.4">
      <c r="A744" s="117"/>
      <c r="B744" s="123"/>
      <c r="C744" s="123"/>
      <c r="D744" s="123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27"/>
      <c r="AE744" s="29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25">
        <v>45686</v>
      </c>
      <c r="AP744" s="15" t="s">
        <v>148</v>
      </c>
      <c r="AU744" s="117"/>
      <c r="AV744" s="123"/>
      <c r="AW744" s="123"/>
      <c r="AX744" s="123"/>
      <c r="BC744" s="115"/>
      <c r="BD744" s="115"/>
      <c r="BE744" s="115"/>
      <c r="BF744" s="115"/>
      <c r="BG744" s="115"/>
      <c r="BH744" s="115"/>
      <c r="BI744" s="115"/>
      <c r="BJ744" s="115"/>
      <c r="BK744" s="115"/>
      <c r="BL744" s="115"/>
      <c r="BM744" s="13"/>
      <c r="BN744" s="13"/>
      <c r="BQ744" s="114"/>
    </row>
    <row r="745" spans="1:69" ht="19.5" x14ac:dyDescent="0.4">
      <c r="A745" s="117"/>
      <c r="B745" s="123"/>
      <c r="C745" s="123"/>
      <c r="D745" s="123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27"/>
      <c r="AE745" s="29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25">
        <v>45686</v>
      </c>
      <c r="AP745" s="15" t="s">
        <v>148</v>
      </c>
      <c r="AU745" s="117"/>
      <c r="AV745" s="123"/>
      <c r="AW745" s="123"/>
      <c r="AX745" s="123"/>
      <c r="BC745" s="115"/>
      <c r="BD745" s="115"/>
      <c r="BE745" s="115"/>
      <c r="BF745" s="115"/>
      <c r="BG745" s="115"/>
      <c r="BH745" s="115"/>
      <c r="BI745" s="115"/>
      <c r="BJ745" s="115"/>
      <c r="BK745" s="115"/>
      <c r="BL745" s="115"/>
      <c r="BM745" s="13"/>
      <c r="BN745" s="13"/>
      <c r="BQ745" s="114"/>
    </row>
    <row r="746" spans="1:69" ht="19.5" x14ac:dyDescent="0.4">
      <c r="A746" s="117"/>
      <c r="B746" s="123"/>
      <c r="C746" s="123"/>
      <c r="D746" s="123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27"/>
      <c r="AE746" s="29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25">
        <v>45686</v>
      </c>
      <c r="AP746" s="15" t="s">
        <v>148</v>
      </c>
      <c r="AU746" s="117"/>
      <c r="AV746" s="123"/>
      <c r="AW746" s="123"/>
      <c r="AX746" s="123"/>
      <c r="BC746" s="115"/>
      <c r="BD746" s="115"/>
      <c r="BE746" s="115"/>
      <c r="BF746" s="115"/>
      <c r="BG746" s="115"/>
      <c r="BH746" s="115"/>
      <c r="BI746" s="115"/>
      <c r="BJ746" s="115"/>
      <c r="BK746" s="115"/>
      <c r="BL746" s="115"/>
      <c r="BM746" s="13"/>
      <c r="BN746" s="13"/>
      <c r="BQ746" s="114"/>
    </row>
    <row r="747" spans="1:69" ht="19.5" x14ac:dyDescent="0.4">
      <c r="A747" s="117"/>
      <c r="B747" s="123"/>
      <c r="C747" s="123"/>
      <c r="D747" s="123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27"/>
      <c r="AE747" s="29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25">
        <v>45686</v>
      </c>
      <c r="AP747" s="15" t="s">
        <v>146</v>
      </c>
      <c r="AU747" s="117"/>
      <c r="AV747" s="123"/>
      <c r="AW747" s="123"/>
      <c r="AX747" s="123"/>
      <c r="BC747" s="115"/>
      <c r="BD747" s="115"/>
      <c r="BE747" s="115"/>
      <c r="BF747" s="115"/>
      <c r="BG747" s="115"/>
      <c r="BH747" s="115"/>
      <c r="BI747" s="115"/>
      <c r="BJ747" s="115"/>
      <c r="BK747" s="115"/>
      <c r="BL747" s="115"/>
      <c r="BM747" s="13"/>
      <c r="BN747" s="13"/>
      <c r="BQ747" s="114"/>
    </row>
    <row r="748" spans="1:69" ht="19.5" x14ac:dyDescent="0.4">
      <c r="A748" s="117"/>
      <c r="B748" s="123"/>
      <c r="C748" s="123"/>
      <c r="D748" s="123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27"/>
      <c r="AE748" s="29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25">
        <v>45686</v>
      </c>
      <c r="AP748" s="15" t="s">
        <v>148</v>
      </c>
      <c r="AU748" s="117"/>
      <c r="AV748" s="123"/>
      <c r="AW748" s="123"/>
      <c r="AX748" s="123"/>
      <c r="BC748" s="115"/>
      <c r="BD748" s="115"/>
      <c r="BE748" s="115"/>
      <c r="BF748" s="115"/>
      <c r="BG748" s="115"/>
      <c r="BH748" s="115"/>
      <c r="BI748" s="115"/>
      <c r="BJ748" s="115"/>
      <c r="BK748" s="115"/>
      <c r="BL748" s="115"/>
      <c r="BM748" s="13"/>
      <c r="BN748" s="13"/>
      <c r="BQ748" s="114"/>
    </row>
    <row r="749" spans="1:69" ht="19.5" x14ac:dyDescent="0.4">
      <c r="A749" s="117"/>
      <c r="B749" s="123"/>
      <c r="C749" s="123"/>
      <c r="D749" s="123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27"/>
      <c r="AE749" s="29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25">
        <v>45689</v>
      </c>
      <c r="AP749" s="15" t="s">
        <v>147</v>
      </c>
      <c r="AU749" s="117"/>
      <c r="AV749" s="123"/>
      <c r="AW749" s="123"/>
      <c r="AX749" s="123"/>
      <c r="BC749" s="115"/>
      <c r="BD749" s="115"/>
      <c r="BE749" s="115"/>
      <c r="BF749" s="115"/>
      <c r="BG749" s="115"/>
      <c r="BH749" s="115"/>
      <c r="BI749" s="115"/>
      <c r="BJ749" s="115"/>
      <c r="BK749" s="115"/>
      <c r="BL749" s="115"/>
      <c r="BM749" s="13"/>
      <c r="BN749" s="13"/>
      <c r="BQ749" s="114"/>
    </row>
    <row r="750" spans="1:69" ht="19.5" x14ac:dyDescent="0.4">
      <c r="A750" s="117"/>
      <c r="B750" s="123"/>
      <c r="C750" s="123"/>
      <c r="D750" s="123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27"/>
      <c r="AE750" s="29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25"/>
      <c r="AP750" s="15"/>
      <c r="AU750" s="117"/>
      <c r="AV750" s="123"/>
      <c r="AW750" s="123"/>
      <c r="AX750" s="123"/>
      <c r="BC750" s="115"/>
      <c r="BD750" s="115"/>
      <c r="BE750" s="115"/>
      <c r="BF750" s="115"/>
      <c r="BG750" s="115"/>
      <c r="BH750" s="115"/>
      <c r="BI750" s="115"/>
      <c r="BJ750" s="115"/>
      <c r="BK750" s="115"/>
      <c r="BL750" s="115"/>
      <c r="BM750" s="13"/>
      <c r="BN750" s="13"/>
      <c r="BQ750" s="114"/>
    </row>
    <row r="751" spans="1:69" ht="19.5" x14ac:dyDescent="0.4">
      <c r="A751" s="117"/>
      <c r="B751" s="123"/>
      <c r="C751" s="123"/>
      <c r="D751" s="123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27"/>
      <c r="AE751" s="29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25">
        <v>45689</v>
      </c>
      <c r="AP751" s="15" t="s">
        <v>147</v>
      </c>
      <c r="AU751" s="117"/>
      <c r="AV751" s="123"/>
      <c r="AW751" s="123"/>
      <c r="AX751" s="123"/>
      <c r="BC751" s="115"/>
      <c r="BD751" s="115"/>
      <c r="BE751" s="115"/>
      <c r="BF751" s="115"/>
      <c r="BG751" s="115"/>
      <c r="BH751" s="115"/>
      <c r="BI751" s="115"/>
      <c r="BJ751" s="115"/>
      <c r="BK751" s="115"/>
      <c r="BL751" s="115"/>
      <c r="BM751" s="13"/>
      <c r="BN751" s="13"/>
      <c r="BQ751" s="114"/>
    </row>
    <row r="752" spans="1:69" ht="19.5" x14ac:dyDescent="0.4">
      <c r="A752" s="117"/>
      <c r="B752" s="123"/>
      <c r="C752" s="123"/>
      <c r="D752" s="123"/>
      <c r="AD752" s="127"/>
      <c r="AE752" s="29"/>
      <c r="AO752" s="25">
        <v>45689</v>
      </c>
      <c r="AP752" s="15" t="s">
        <v>146</v>
      </c>
      <c r="AU752" s="117"/>
      <c r="AV752" s="123"/>
      <c r="AW752" s="123"/>
      <c r="AX752" s="123"/>
      <c r="AZ752" s="115"/>
      <c r="BA752" s="115"/>
      <c r="BB752" s="115"/>
      <c r="BC752" s="115"/>
      <c r="BD752" s="115"/>
      <c r="BE752" s="115"/>
      <c r="BF752" s="115"/>
      <c r="BG752" s="115"/>
      <c r="BH752" s="115"/>
      <c r="BI752" s="115"/>
      <c r="BJ752" s="115"/>
      <c r="BK752" s="115"/>
      <c r="BL752" s="115"/>
      <c r="BM752" s="25">
        <v>45266</v>
      </c>
      <c r="BN752" s="25" t="s">
        <v>162</v>
      </c>
      <c r="BQ752" s="114"/>
    </row>
    <row r="753" spans="1:69" ht="19.5" x14ac:dyDescent="0.4">
      <c r="A753" s="117"/>
      <c r="B753" s="123"/>
      <c r="C753" s="123"/>
      <c r="D753" s="123"/>
      <c r="AD753" s="128"/>
      <c r="AE753" s="29"/>
      <c r="AO753" s="25"/>
      <c r="AP753" s="15"/>
      <c r="AU753" s="117"/>
      <c r="AV753" s="123"/>
      <c r="AW753" s="123"/>
      <c r="AX753" s="123"/>
      <c r="AZ753" s="115"/>
      <c r="BA753" s="115"/>
      <c r="BB753" s="115"/>
      <c r="BC753" s="115"/>
      <c r="BD753" s="115"/>
      <c r="BE753" s="115"/>
      <c r="BF753" s="115"/>
      <c r="BG753" s="115"/>
      <c r="BH753" s="115"/>
      <c r="BI753" s="115"/>
      <c r="BJ753" s="115"/>
      <c r="BK753" s="115"/>
      <c r="BL753" s="115"/>
      <c r="BM753" s="25"/>
      <c r="BN753" s="25"/>
      <c r="BQ753" s="114"/>
    </row>
    <row r="754" spans="1:69" ht="19.5" x14ac:dyDescent="0.4">
      <c r="A754" s="117"/>
      <c r="B754" s="123"/>
      <c r="C754" s="123"/>
      <c r="D754" s="123"/>
      <c r="AD754" s="127"/>
      <c r="AE754" s="29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25">
        <v>45689</v>
      </c>
      <c r="AP754" s="15" t="s">
        <v>146</v>
      </c>
      <c r="AU754" s="117"/>
      <c r="AV754" s="123"/>
      <c r="AW754" s="123"/>
      <c r="AX754" s="123"/>
      <c r="AZ754" s="115"/>
      <c r="BA754" s="115"/>
      <c r="BB754" s="115"/>
      <c r="BC754" s="115"/>
      <c r="BD754" s="115"/>
      <c r="BE754" s="115"/>
      <c r="BF754" s="115"/>
      <c r="BG754" s="115"/>
      <c r="BH754" s="115"/>
      <c r="BI754" s="115"/>
      <c r="BJ754" s="115"/>
      <c r="BK754" s="115"/>
      <c r="BL754" s="115"/>
      <c r="BM754" s="25"/>
      <c r="BN754" s="25"/>
      <c r="BQ754" s="114"/>
    </row>
    <row r="755" spans="1:69" ht="19.5" x14ac:dyDescent="0.4">
      <c r="A755" s="117"/>
      <c r="B755" s="123"/>
      <c r="C755" s="123"/>
      <c r="D755" s="123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27"/>
      <c r="AE755" s="29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25"/>
      <c r="AP755" s="15"/>
      <c r="AU755" s="117"/>
      <c r="AV755" s="123"/>
      <c r="AW755" s="123"/>
      <c r="AX755" s="123"/>
      <c r="AZ755" s="115"/>
      <c r="BA755" s="115"/>
      <c r="BB755" s="115"/>
      <c r="BC755" s="115"/>
      <c r="BD755" s="115"/>
      <c r="BE755" s="115"/>
      <c r="BF755" s="115"/>
      <c r="BG755" s="115"/>
      <c r="BH755" s="115"/>
      <c r="BI755" s="115"/>
      <c r="BJ755" s="115"/>
      <c r="BK755" s="115"/>
      <c r="BL755" s="115"/>
      <c r="BM755" s="25"/>
      <c r="BN755" s="25"/>
      <c r="BQ755" s="114"/>
    </row>
    <row r="756" spans="1:69" ht="19.5" x14ac:dyDescent="0.4">
      <c r="A756" s="117"/>
      <c r="B756" s="123"/>
      <c r="C756" s="123"/>
      <c r="D756" s="123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27"/>
      <c r="AE756" s="29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25"/>
      <c r="AP756" s="15"/>
      <c r="AU756" s="117"/>
      <c r="AV756" s="123"/>
      <c r="AW756" s="123"/>
      <c r="AX756" s="123"/>
      <c r="AZ756" s="115"/>
      <c r="BA756" s="115"/>
      <c r="BB756" s="115"/>
      <c r="BC756" s="115"/>
      <c r="BD756" s="115"/>
      <c r="BE756" s="115"/>
      <c r="BF756" s="115"/>
      <c r="BG756" s="115"/>
      <c r="BH756" s="115"/>
      <c r="BI756" s="115"/>
      <c r="BJ756" s="115"/>
      <c r="BK756" s="115"/>
      <c r="BL756" s="115"/>
      <c r="BM756" s="25"/>
      <c r="BN756" s="25"/>
      <c r="BQ756" s="114"/>
    </row>
    <row r="757" spans="1:69" ht="19.5" x14ac:dyDescent="0.4">
      <c r="A757" s="117"/>
      <c r="B757" s="123"/>
      <c r="C757" s="123"/>
      <c r="D757" s="123"/>
      <c r="AD757" s="127"/>
      <c r="AE757" s="29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25">
        <v>45690</v>
      </c>
      <c r="AP757" s="15" t="s">
        <v>146</v>
      </c>
      <c r="AU757" s="117"/>
      <c r="AV757" s="123"/>
      <c r="AW757" s="123"/>
      <c r="AX757" s="123"/>
      <c r="AZ757" s="115"/>
      <c r="BA757" s="115"/>
      <c r="BB757" s="115"/>
      <c r="BC757" s="115"/>
      <c r="BD757" s="115"/>
      <c r="BE757" s="115"/>
      <c r="BF757" s="115"/>
      <c r="BG757" s="115"/>
      <c r="BH757" s="115"/>
      <c r="BI757" s="115"/>
      <c r="BJ757" s="115"/>
      <c r="BK757" s="115"/>
      <c r="BL757" s="115"/>
      <c r="BM757" s="25"/>
      <c r="BN757" s="25"/>
      <c r="BQ757" s="114"/>
    </row>
    <row r="758" spans="1:69" ht="19.5" x14ac:dyDescent="0.4">
      <c r="A758" s="117"/>
      <c r="B758" s="123"/>
      <c r="C758" s="123"/>
      <c r="D758" s="123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27"/>
      <c r="AE758" s="29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25"/>
      <c r="AP758" s="15"/>
      <c r="AU758" s="117"/>
      <c r="AV758" s="123"/>
      <c r="AW758" s="123"/>
      <c r="AX758" s="123"/>
      <c r="AZ758" s="115"/>
      <c r="BA758" s="115"/>
      <c r="BB758" s="115"/>
      <c r="BC758" s="115"/>
      <c r="BD758" s="115"/>
      <c r="BE758" s="115"/>
      <c r="BF758" s="115"/>
      <c r="BG758" s="115"/>
      <c r="BH758" s="115"/>
      <c r="BI758" s="115"/>
      <c r="BJ758" s="115"/>
      <c r="BK758" s="115"/>
      <c r="BL758" s="115"/>
      <c r="BM758" s="25"/>
      <c r="BN758" s="25"/>
      <c r="BQ758" s="114"/>
    </row>
    <row r="759" spans="1:69" ht="19.5" x14ac:dyDescent="0.4">
      <c r="A759" s="117"/>
      <c r="B759" s="123"/>
      <c r="C759" s="123"/>
      <c r="D759" s="123"/>
      <c r="AD759" s="127"/>
      <c r="AE759" s="29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25">
        <v>45691</v>
      </c>
      <c r="AP759" s="15" t="s">
        <v>146</v>
      </c>
      <c r="AU759" s="117"/>
      <c r="AV759" s="123"/>
      <c r="AW759" s="123"/>
      <c r="AX759" s="123"/>
      <c r="AZ759" s="115"/>
      <c r="BA759" s="115"/>
      <c r="BB759" s="115"/>
      <c r="BC759" s="115"/>
      <c r="BD759" s="115"/>
      <c r="BE759" s="115"/>
      <c r="BF759" s="115"/>
      <c r="BG759" s="115"/>
      <c r="BH759" s="115"/>
      <c r="BI759" s="115"/>
      <c r="BJ759" s="115"/>
      <c r="BK759" s="115"/>
      <c r="BL759" s="115"/>
      <c r="BM759" s="25"/>
      <c r="BN759" s="25"/>
      <c r="BQ759" s="114"/>
    </row>
    <row r="760" spans="1:69" ht="19.5" x14ac:dyDescent="0.4">
      <c r="A760" s="117"/>
      <c r="B760" s="123"/>
      <c r="C760" s="123"/>
      <c r="D760" s="123"/>
      <c r="AD760" s="127"/>
      <c r="AE760" s="29"/>
      <c r="AO760" s="25">
        <v>45691</v>
      </c>
      <c r="AP760" s="15" t="s">
        <v>146</v>
      </c>
      <c r="AU760" s="117"/>
      <c r="AV760" s="123"/>
      <c r="AW760" s="123"/>
      <c r="AX760" s="123"/>
      <c r="AZ760" s="115"/>
      <c r="BA760" s="115"/>
      <c r="BB760" s="115"/>
      <c r="BC760" s="115"/>
      <c r="BD760" s="115"/>
      <c r="BE760" s="115"/>
      <c r="BF760" s="115"/>
      <c r="BG760" s="115"/>
      <c r="BH760" s="115"/>
      <c r="BI760" s="115"/>
      <c r="BJ760" s="115"/>
      <c r="BK760" s="115"/>
      <c r="BL760" s="115" t="s">
        <v>156</v>
      </c>
      <c r="BM760" s="13">
        <f>SUBTOTAL(3,BM752:BM752)</f>
        <v>1</v>
      </c>
      <c r="BN760" s="13">
        <f>SUBTOTAL(3,BN752:BN752)</f>
        <v>1</v>
      </c>
      <c r="BQ760" s="114"/>
    </row>
    <row r="761" spans="1:69" ht="19.5" x14ac:dyDescent="0.4">
      <c r="A761" s="117"/>
      <c r="B761" s="123"/>
      <c r="C761" s="123"/>
      <c r="D761" s="123"/>
      <c r="AD761" s="127"/>
      <c r="AE761" s="29"/>
      <c r="AK761" s="115"/>
      <c r="AL761" s="115"/>
      <c r="AM761" s="115"/>
      <c r="AN761" s="115"/>
      <c r="AO761" s="25">
        <v>45691</v>
      </c>
      <c r="AP761" s="15" t="s">
        <v>146</v>
      </c>
      <c r="AU761" s="117"/>
      <c r="AV761" s="123"/>
      <c r="AW761" s="123"/>
      <c r="AX761" s="123"/>
      <c r="AZ761" s="115"/>
      <c r="BA761" s="115"/>
      <c r="BB761" s="115"/>
      <c r="BC761" s="115"/>
      <c r="BD761" s="115"/>
      <c r="BE761" s="115"/>
      <c r="BF761" s="115"/>
      <c r="BG761" s="115"/>
      <c r="BH761" s="115"/>
      <c r="BI761" s="115"/>
      <c r="BJ761" s="115"/>
      <c r="BK761" s="115"/>
      <c r="BL761" s="115"/>
      <c r="BM761" s="13"/>
      <c r="BN761" s="13"/>
      <c r="BQ761" s="114"/>
    </row>
    <row r="762" spans="1:69" ht="19.5" x14ac:dyDescent="0.4">
      <c r="A762" s="117"/>
      <c r="B762" s="123"/>
      <c r="C762" s="123"/>
      <c r="D762" s="123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27"/>
      <c r="AE762" s="29"/>
      <c r="AK762" s="115"/>
      <c r="AL762" s="115"/>
      <c r="AM762" s="115"/>
      <c r="AN762" s="115"/>
      <c r="AO762" s="25"/>
      <c r="AP762" s="15"/>
      <c r="AU762" s="117"/>
      <c r="AV762" s="123"/>
      <c r="AW762" s="123"/>
      <c r="AX762" s="123"/>
      <c r="AZ762" s="115"/>
      <c r="BA762" s="115"/>
      <c r="BB762" s="115"/>
      <c r="BC762" s="115"/>
      <c r="BD762" s="115"/>
      <c r="BE762" s="115"/>
      <c r="BF762" s="115"/>
      <c r="BG762" s="115"/>
      <c r="BH762" s="115"/>
      <c r="BI762" s="115"/>
      <c r="BJ762" s="115"/>
      <c r="BK762" s="115"/>
      <c r="BL762" s="115"/>
      <c r="BM762" s="13"/>
      <c r="BN762" s="13"/>
      <c r="BQ762" s="114"/>
    </row>
    <row r="763" spans="1:69" ht="19.5" x14ac:dyDescent="0.4">
      <c r="A763" s="117"/>
      <c r="B763" s="123"/>
      <c r="C763" s="123"/>
      <c r="D763" s="123"/>
      <c r="AD763" s="127"/>
      <c r="AE763" s="29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25">
        <v>45691</v>
      </c>
      <c r="AP763" s="15" t="s">
        <v>146</v>
      </c>
      <c r="AU763" s="117"/>
      <c r="AV763" s="123"/>
      <c r="AW763" s="123"/>
      <c r="AX763" s="123"/>
      <c r="AZ763" s="115"/>
      <c r="BA763" s="115"/>
      <c r="BB763" s="115"/>
      <c r="BC763" s="115"/>
      <c r="BD763" s="115"/>
      <c r="BE763" s="115"/>
      <c r="BF763" s="115"/>
      <c r="BG763" s="115"/>
      <c r="BH763" s="115"/>
      <c r="BI763" s="115"/>
      <c r="BJ763" s="115"/>
      <c r="BK763" s="115"/>
      <c r="BL763" s="115"/>
      <c r="BM763" s="13"/>
      <c r="BN763" s="13"/>
      <c r="BQ763" s="114"/>
    </row>
    <row r="764" spans="1:69" ht="19.5" x14ac:dyDescent="0.4">
      <c r="A764" s="117"/>
      <c r="B764" s="123"/>
      <c r="C764" s="123"/>
      <c r="D764" s="123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27"/>
      <c r="AE764" s="29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25"/>
      <c r="AP764" s="15"/>
      <c r="AU764" s="117"/>
      <c r="AV764" s="123"/>
      <c r="AW764" s="123"/>
      <c r="AX764" s="123"/>
      <c r="AZ764" s="115"/>
      <c r="BA764" s="115"/>
      <c r="BB764" s="115"/>
      <c r="BC764" s="115"/>
      <c r="BD764" s="115"/>
      <c r="BE764" s="115"/>
      <c r="BF764" s="115"/>
      <c r="BG764" s="115"/>
      <c r="BH764" s="115"/>
      <c r="BI764" s="115"/>
      <c r="BJ764" s="115"/>
      <c r="BK764" s="115"/>
      <c r="BL764" s="115"/>
      <c r="BM764" s="13"/>
      <c r="BN764" s="13"/>
      <c r="BQ764" s="114"/>
    </row>
    <row r="765" spans="1:69" ht="19.5" x14ac:dyDescent="0.4">
      <c r="A765" s="117"/>
      <c r="B765" s="123"/>
      <c r="C765" s="123"/>
      <c r="D765" s="123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27"/>
      <c r="AE765" s="29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25"/>
      <c r="AP765" s="15"/>
      <c r="AU765" s="117"/>
      <c r="AV765" s="123"/>
      <c r="AW765" s="123"/>
      <c r="AX765" s="123"/>
      <c r="AZ765" s="115"/>
      <c r="BA765" s="115"/>
      <c r="BB765" s="115"/>
      <c r="BC765" s="115"/>
      <c r="BD765" s="115"/>
      <c r="BE765" s="115"/>
      <c r="BF765" s="115"/>
      <c r="BG765" s="115"/>
      <c r="BH765" s="115"/>
      <c r="BI765" s="115"/>
      <c r="BJ765" s="115"/>
      <c r="BK765" s="115"/>
      <c r="BL765" s="115"/>
      <c r="BM765" s="13"/>
      <c r="BN765" s="13"/>
      <c r="BQ765" s="114"/>
    </row>
    <row r="766" spans="1:69" ht="19.5" x14ac:dyDescent="0.4">
      <c r="A766" s="117"/>
      <c r="B766" s="123"/>
      <c r="C766" s="123"/>
      <c r="D766" s="123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27"/>
      <c r="AE766" s="29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25"/>
      <c r="AP766" s="15"/>
      <c r="AU766" s="117"/>
      <c r="AV766" s="123"/>
      <c r="AW766" s="123"/>
      <c r="AX766" s="123"/>
      <c r="AZ766" s="115"/>
      <c r="BA766" s="115"/>
      <c r="BB766" s="115"/>
      <c r="BC766" s="115"/>
      <c r="BD766" s="115"/>
      <c r="BE766" s="115"/>
      <c r="BF766" s="115"/>
      <c r="BG766" s="115"/>
      <c r="BH766" s="115"/>
      <c r="BI766" s="115"/>
      <c r="BJ766" s="115"/>
      <c r="BK766" s="115"/>
      <c r="BL766" s="115"/>
      <c r="BM766" s="13"/>
      <c r="BN766" s="13"/>
      <c r="BQ766" s="114"/>
    </row>
    <row r="767" spans="1:69" ht="19.5" x14ac:dyDescent="0.4">
      <c r="A767" s="117"/>
      <c r="B767" s="123"/>
      <c r="C767" s="123"/>
      <c r="D767" s="123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28"/>
      <c r="AE767" s="29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25"/>
      <c r="AP767" s="15"/>
      <c r="AU767" s="117"/>
      <c r="AV767" s="123"/>
      <c r="AW767" s="123"/>
      <c r="AX767" s="123"/>
      <c r="AZ767" s="115"/>
      <c r="BA767" s="115"/>
      <c r="BB767" s="115"/>
      <c r="BC767" s="115"/>
      <c r="BD767" s="115"/>
      <c r="BE767" s="115"/>
      <c r="BF767" s="115"/>
      <c r="BG767" s="115"/>
      <c r="BH767" s="115"/>
      <c r="BI767" s="115"/>
      <c r="BJ767" s="115"/>
      <c r="BK767" s="115"/>
      <c r="BL767" s="115"/>
      <c r="BM767" s="13"/>
      <c r="BN767" s="13"/>
      <c r="BQ767" s="114"/>
    </row>
    <row r="768" spans="1:69" ht="19.5" x14ac:dyDescent="0.4">
      <c r="A768" s="117"/>
      <c r="B768" s="123"/>
      <c r="C768" s="123"/>
      <c r="D768" s="123"/>
      <c r="AD768" s="127"/>
      <c r="AE768" s="29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25">
        <v>45692</v>
      </c>
      <c r="AP768" s="15" t="s">
        <v>146</v>
      </c>
      <c r="AU768" s="117"/>
      <c r="AV768" s="123"/>
      <c r="AW768" s="123"/>
      <c r="AX768" s="123"/>
      <c r="AZ768" s="115"/>
      <c r="BA768" s="115"/>
      <c r="BB768" s="115"/>
      <c r="BC768" s="115"/>
      <c r="BD768" s="115"/>
      <c r="BE768" s="115"/>
      <c r="BF768" s="115"/>
      <c r="BG768" s="115"/>
      <c r="BH768" s="115"/>
      <c r="BI768" s="115"/>
      <c r="BJ768" s="115"/>
      <c r="BK768" s="115"/>
      <c r="BL768" s="115"/>
      <c r="BM768" s="13"/>
      <c r="BN768" s="13"/>
      <c r="BQ768" s="114"/>
    </row>
    <row r="769" spans="1:69" ht="19.5" x14ac:dyDescent="0.4">
      <c r="A769" s="117"/>
      <c r="B769" s="123"/>
      <c r="C769" s="123"/>
      <c r="D769" s="123"/>
      <c r="AD769" s="128"/>
      <c r="AE769" s="29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25"/>
      <c r="AP769" s="15"/>
      <c r="AU769" s="117"/>
      <c r="AV769" s="123"/>
      <c r="AW769" s="123"/>
      <c r="AX769" s="123"/>
      <c r="AZ769" s="115"/>
      <c r="BA769" s="115"/>
      <c r="BB769" s="115"/>
      <c r="BC769" s="115"/>
      <c r="BD769" s="115"/>
      <c r="BE769" s="115"/>
      <c r="BF769" s="115"/>
      <c r="BG769" s="115"/>
      <c r="BH769" s="115"/>
      <c r="BI769" s="115"/>
      <c r="BJ769" s="115"/>
      <c r="BK769" s="115"/>
      <c r="BL769" s="115"/>
      <c r="BM769" s="13"/>
      <c r="BN769" s="13"/>
      <c r="BQ769" s="114"/>
    </row>
    <row r="770" spans="1:69" ht="19.5" x14ac:dyDescent="0.4">
      <c r="A770" s="117"/>
      <c r="B770" s="123"/>
      <c r="C770" s="123"/>
      <c r="D770" s="123"/>
      <c r="AD770" s="127"/>
      <c r="AE770" s="29"/>
      <c r="AO770" s="25">
        <v>45692</v>
      </c>
      <c r="AP770" s="15" t="s">
        <v>146</v>
      </c>
      <c r="AU770" s="117"/>
      <c r="AV770" s="123"/>
      <c r="AW770" s="123"/>
      <c r="AX770" s="123"/>
      <c r="AZ770" s="115"/>
      <c r="BA770" s="115"/>
      <c r="BB770" s="115"/>
      <c r="BC770" s="115"/>
      <c r="BD770" s="115"/>
      <c r="BE770" s="115"/>
      <c r="BF770" s="115"/>
      <c r="BG770" s="115"/>
      <c r="BH770" s="115"/>
      <c r="BI770" s="115"/>
      <c r="BJ770" s="115"/>
      <c r="BK770" s="115"/>
      <c r="BL770" s="115"/>
      <c r="BM770" s="25">
        <v>45267</v>
      </c>
      <c r="BN770" s="13" t="s">
        <v>142</v>
      </c>
      <c r="BQ770" s="114"/>
    </row>
    <row r="771" spans="1:69" ht="19.5" x14ac:dyDescent="0.4">
      <c r="A771" s="117"/>
      <c r="B771" s="123"/>
      <c r="C771" s="123"/>
      <c r="D771" s="123"/>
      <c r="AD771" s="127"/>
      <c r="AE771" s="29"/>
      <c r="AK771" s="115"/>
      <c r="AL771" s="115"/>
      <c r="AM771" s="115"/>
      <c r="AN771" s="115"/>
      <c r="AO771" s="25">
        <v>45692</v>
      </c>
      <c r="AP771" s="15" t="s">
        <v>146</v>
      </c>
      <c r="AU771" s="117"/>
      <c r="AV771" s="123"/>
      <c r="AW771" s="123"/>
      <c r="AX771" s="123"/>
      <c r="AZ771" s="115"/>
      <c r="BA771" s="115"/>
      <c r="BB771" s="115"/>
      <c r="BC771" s="115"/>
      <c r="BD771" s="115"/>
      <c r="BE771" s="115"/>
      <c r="BF771" s="115"/>
      <c r="BG771" s="115"/>
      <c r="BH771" s="115"/>
      <c r="BI771" s="115"/>
      <c r="BJ771" s="115"/>
      <c r="BK771" s="115"/>
      <c r="BL771" s="115"/>
      <c r="BM771" s="25"/>
      <c r="BN771" s="13"/>
      <c r="BQ771" s="114"/>
    </row>
    <row r="772" spans="1:69" ht="19.5" x14ac:dyDescent="0.4">
      <c r="A772" s="117"/>
      <c r="B772" s="123"/>
      <c r="C772" s="123"/>
      <c r="D772" s="123"/>
      <c r="AD772" s="127"/>
      <c r="AE772" s="29"/>
      <c r="AG772" s="115"/>
      <c r="AH772" s="115"/>
      <c r="AI772" s="115"/>
      <c r="AJ772" s="115"/>
      <c r="AK772" s="115"/>
      <c r="AL772" s="115"/>
      <c r="AM772" s="115"/>
      <c r="AN772" s="115"/>
      <c r="AO772" s="25">
        <v>45692</v>
      </c>
      <c r="AP772" s="15" t="s">
        <v>146</v>
      </c>
      <c r="AU772" s="117"/>
      <c r="AV772" s="123"/>
      <c r="AW772" s="123"/>
      <c r="AX772" s="123"/>
      <c r="AZ772" s="115"/>
      <c r="BA772" s="115"/>
      <c r="BB772" s="115"/>
      <c r="BC772" s="115"/>
      <c r="BD772" s="115"/>
      <c r="BE772" s="115"/>
      <c r="BF772" s="115"/>
      <c r="BG772" s="115"/>
      <c r="BH772" s="115"/>
      <c r="BI772" s="115"/>
      <c r="BJ772" s="115"/>
      <c r="BK772" s="115"/>
      <c r="BL772" s="115"/>
      <c r="BM772" s="25"/>
      <c r="BN772" s="13"/>
      <c r="BQ772" s="114"/>
    </row>
    <row r="773" spans="1:69" ht="19.5" x14ac:dyDescent="0.4">
      <c r="A773" s="117"/>
      <c r="B773" s="123"/>
      <c r="C773" s="123"/>
      <c r="D773" s="123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27"/>
      <c r="AE773" s="29"/>
      <c r="AG773" s="115"/>
      <c r="AH773" s="115"/>
      <c r="AI773" s="115"/>
      <c r="AJ773" s="115"/>
      <c r="AK773" s="115"/>
      <c r="AL773" s="115"/>
      <c r="AM773" s="115"/>
      <c r="AN773" s="115"/>
      <c r="AO773" s="25"/>
      <c r="AP773" s="15"/>
      <c r="AU773" s="117"/>
      <c r="AV773" s="123"/>
      <c r="AW773" s="123"/>
      <c r="AX773" s="123"/>
      <c r="AZ773" s="115"/>
      <c r="BA773" s="115"/>
      <c r="BB773" s="115"/>
      <c r="BC773" s="115"/>
      <c r="BD773" s="115"/>
      <c r="BE773" s="115"/>
      <c r="BF773" s="115"/>
      <c r="BG773" s="115"/>
      <c r="BH773" s="115"/>
      <c r="BI773" s="115"/>
      <c r="BJ773" s="115"/>
      <c r="BK773" s="115"/>
      <c r="BL773" s="115"/>
      <c r="BM773" s="25"/>
      <c r="BN773" s="13"/>
      <c r="BQ773" s="114"/>
    </row>
    <row r="774" spans="1:69" ht="19.5" x14ac:dyDescent="0.4">
      <c r="A774" s="117"/>
      <c r="B774" s="123"/>
      <c r="C774" s="123"/>
      <c r="D774" s="123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28"/>
      <c r="AE774" s="29"/>
      <c r="AG774" s="115"/>
      <c r="AH774" s="115"/>
      <c r="AI774" s="115"/>
      <c r="AJ774" s="115"/>
      <c r="AK774" s="115"/>
      <c r="AL774" s="115"/>
      <c r="AM774" s="115"/>
      <c r="AN774" s="115"/>
      <c r="AO774" s="25"/>
      <c r="AP774" s="15"/>
      <c r="AU774" s="117"/>
      <c r="AV774" s="123"/>
      <c r="AW774" s="123"/>
      <c r="AX774" s="123"/>
      <c r="AZ774" s="115"/>
      <c r="BA774" s="115"/>
      <c r="BB774" s="115"/>
      <c r="BC774" s="115"/>
      <c r="BD774" s="115"/>
      <c r="BE774" s="115"/>
      <c r="BF774" s="115"/>
      <c r="BG774" s="115"/>
      <c r="BH774" s="115"/>
      <c r="BI774" s="115"/>
      <c r="BJ774" s="115"/>
      <c r="BK774" s="115"/>
      <c r="BL774" s="115"/>
      <c r="BM774" s="25"/>
      <c r="BN774" s="13"/>
      <c r="BQ774" s="114"/>
    </row>
    <row r="775" spans="1:69" ht="19.5" x14ac:dyDescent="0.4">
      <c r="A775" s="117"/>
      <c r="B775" s="123"/>
      <c r="C775" s="123"/>
      <c r="D775" s="123"/>
      <c r="AD775" s="127"/>
      <c r="AE775" s="29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25">
        <v>45693</v>
      </c>
      <c r="AP775" s="15" t="s">
        <v>146</v>
      </c>
      <c r="AU775" s="117"/>
      <c r="AV775" s="123"/>
      <c r="AW775" s="123"/>
      <c r="AX775" s="123"/>
      <c r="AZ775" s="115"/>
      <c r="BA775" s="115"/>
      <c r="BB775" s="115"/>
      <c r="BC775" s="115"/>
      <c r="BD775" s="115"/>
      <c r="BE775" s="115"/>
      <c r="BF775" s="115"/>
      <c r="BG775" s="115"/>
      <c r="BH775" s="115"/>
      <c r="BI775" s="115"/>
      <c r="BJ775" s="115"/>
      <c r="BK775" s="115"/>
      <c r="BL775" s="115"/>
      <c r="BM775" s="25"/>
      <c r="BN775" s="13"/>
      <c r="BQ775" s="114"/>
    </row>
    <row r="776" spans="1:69" ht="19.5" x14ac:dyDescent="0.4">
      <c r="A776" s="117"/>
      <c r="B776" s="123"/>
      <c r="C776" s="123"/>
      <c r="D776" s="123"/>
      <c r="AD776" s="128"/>
      <c r="AE776" s="29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25"/>
      <c r="AP776" s="15"/>
      <c r="AU776" s="117"/>
      <c r="AV776" s="123"/>
      <c r="AW776" s="123"/>
      <c r="AX776" s="123"/>
      <c r="AZ776" s="115"/>
      <c r="BA776" s="115"/>
      <c r="BB776" s="115"/>
      <c r="BC776" s="115"/>
      <c r="BD776" s="115"/>
      <c r="BE776" s="115"/>
      <c r="BF776" s="115"/>
      <c r="BG776" s="115"/>
      <c r="BH776" s="115"/>
      <c r="BI776" s="115"/>
      <c r="BJ776" s="115"/>
      <c r="BK776" s="115"/>
      <c r="BL776" s="115"/>
      <c r="BM776" s="25"/>
      <c r="BN776" s="13"/>
      <c r="BQ776" s="114"/>
    </row>
    <row r="777" spans="1:69" ht="19.5" x14ac:dyDescent="0.4">
      <c r="A777" s="117"/>
      <c r="B777" s="123"/>
      <c r="C777" s="123"/>
      <c r="D777" s="123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27"/>
      <c r="AE777" s="29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25"/>
      <c r="AP777" s="15"/>
      <c r="AU777" s="117"/>
      <c r="AV777" s="123"/>
      <c r="AW777" s="123"/>
      <c r="AX777" s="123"/>
      <c r="AZ777" s="115"/>
      <c r="BA777" s="115"/>
      <c r="BB777" s="115"/>
      <c r="BC777" s="115"/>
      <c r="BD777" s="115"/>
      <c r="BE777" s="115"/>
      <c r="BF777" s="115"/>
      <c r="BG777" s="115"/>
      <c r="BH777" s="115"/>
      <c r="BI777" s="115"/>
      <c r="BJ777" s="115"/>
      <c r="BK777" s="115"/>
      <c r="BL777" s="115"/>
      <c r="BM777" s="25"/>
      <c r="BN777" s="13"/>
      <c r="BQ777" s="114"/>
    </row>
    <row r="778" spans="1:69" ht="19.5" x14ac:dyDescent="0.4">
      <c r="A778" s="117"/>
      <c r="B778" s="123"/>
      <c r="C778" s="123"/>
      <c r="D778" s="123"/>
      <c r="AD778" s="127"/>
      <c r="AE778" s="29"/>
      <c r="AO778" s="25">
        <v>45693</v>
      </c>
      <c r="AP778" s="15" t="s">
        <v>146</v>
      </c>
      <c r="AU778" s="117"/>
      <c r="AV778" s="123"/>
      <c r="AW778" s="123"/>
      <c r="AX778" s="123"/>
      <c r="AZ778" s="115"/>
      <c r="BA778" s="115"/>
      <c r="BB778" s="115"/>
      <c r="BC778" s="115"/>
      <c r="BD778" s="115"/>
      <c r="BE778" s="115"/>
      <c r="BF778" s="115"/>
      <c r="BG778" s="115"/>
      <c r="BH778" s="115"/>
      <c r="BI778" s="115"/>
      <c r="BJ778" s="115"/>
      <c r="BK778" s="115"/>
      <c r="BL778" s="115" t="s">
        <v>157</v>
      </c>
      <c r="BM778" s="13">
        <f>SUBTOTAL(3,BM770:BM770)</f>
        <v>1</v>
      </c>
      <c r="BN778" s="13">
        <f>SUBTOTAL(3,BN770:BN770)</f>
        <v>1</v>
      </c>
      <c r="BQ778" s="114"/>
    </row>
    <row r="779" spans="1:69" ht="19.5" x14ac:dyDescent="0.4">
      <c r="A779" s="117"/>
      <c r="B779" s="123"/>
      <c r="C779" s="123"/>
      <c r="D779" s="123"/>
      <c r="AD779" s="127"/>
      <c r="AE779" s="29"/>
      <c r="AG779" s="115"/>
      <c r="AH779" s="115"/>
      <c r="AI779" s="115"/>
      <c r="AJ779" s="115"/>
      <c r="AK779" s="115"/>
      <c r="AL779" s="115"/>
      <c r="AM779" s="115"/>
      <c r="AN779" s="115"/>
      <c r="AO779" s="25">
        <v>45693</v>
      </c>
      <c r="AP779" s="15" t="s">
        <v>146</v>
      </c>
      <c r="AU779" s="117"/>
      <c r="AV779" s="123"/>
      <c r="AW779" s="123"/>
      <c r="AX779" s="123"/>
      <c r="AZ779" s="115"/>
      <c r="BA779" s="115"/>
      <c r="BB779" s="115"/>
      <c r="BC779" s="115"/>
      <c r="BD779" s="115"/>
      <c r="BE779" s="115"/>
      <c r="BF779" s="115"/>
      <c r="BG779" s="115"/>
      <c r="BH779" s="115"/>
      <c r="BI779" s="115"/>
      <c r="BJ779" s="115"/>
      <c r="BK779" s="115"/>
      <c r="BL779" s="115"/>
      <c r="BM779" s="13"/>
      <c r="BN779" s="13"/>
      <c r="BQ779" s="114"/>
    </row>
    <row r="780" spans="1:69" ht="19.5" x14ac:dyDescent="0.4">
      <c r="A780" s="117"/>
      <c r="B780" s="123"/>
      <c r="C780" s="123"/>
      <c r="D780" s="123"/>
      <c r="AD780" s="128"/>
      <c r="AE780" s="29"/>
      <c r="AG780" s="115"/>
      <c r="AH780" s="115"/>
      <c r="AI780" s="115"/>
      <c r="AJ780" s="115"/>
      <c r="AK780" s="115"/>
      <c r="AL780" s="115"/>
      <c r="AM780" s="115"/>
      <c r="AN780" s="115"/>
      <c r="AO780" s="25"/>
      <c r="AP780" s="15"/>
      <c r="AU780" s="117"/>
      <c r="AV780" s="123"/>
      <c r="AW780" s="123"/>
      <c r="AX780" s="123"/>
      <c r="AZ780" s="115"/>
      <c r="BA780" s="115"/>
      <c r="BB780" s="115"/>
      <c r="BC780" s="115"/>
      <c r="BD780" s="115"/>
      <c r="BE780" s="115"/>
      <c r="BF780" s="115"/>
      <c r="BG780" s="115"/>
      <c r="BH780" s="115"/>
      <c r="BI780" s="115"/>
      <c r="BJ780" s="115"/>
      <c r="BK780" s="115"/>
      <c r="BL780" s="115"/>
      <c r="BM780" s="13"/>
      <c r="BN780" s="13"/>
      <c r="BQ780" s="114"/>
    </row>
    <row r="781" spans="1:69" ht="19.5" x14ac:dyDescent="0.4">
      <c r="A781" s="117"/>
      <c r="B781" s="123"/>
      <c r="C781" s="123"/>
      <c r="D781" s="123"/>
      <c r="AD781" s="128"/>
      <c r="AE781" s="29"/>
      <c r="AG781" s="115"/>
      <c r="AH781" s="115"/>
      <c r="AI781" s="115"/>
      <c r="AJ781" s="115"/>
      <c r="AK781" s="115"/>
      <c r="AL781" s="115"/>
      <c r="AM781" s="115"/>
      <c r="AN781" s="115"/>
      <c r="AO781" s="25"/>
      <c r="AP781" s="15"/>
      <c r="AU781" s="117"/>
      <c r="AV781" s="123"/>
      <c r="AW781" s="123"/>
      <c r="AX781" s="123"/>
      <c r="AZ781" s="115"/>
      <c r="BA781" s="115"/>
      <c r="BB781" s="115"/>
      <c r="BC781" s="115"/>
      <c r="BD781" s="115"/>
      <c r="BE781" s="115"/>
      <c r="BF781" s="115"/>
      <c r="BG781" s="115"/>
      <c r="BH781" s="115"/>
      <c r="BI781" s="115"/>
      <c r="BJ781" s="115"/>
      <c r="BK781" s="115"/>
      <c r="BL781" s="115"/>
      <c r="BM781" s="13"/>
      <c r="BN781" s="13"/>
      <c r="BQ781" s="114"/>
    </row>
    <row r="782" spans="1:69" ht="19.5" x14ac:dyDescent="0.4">
      <c r="A782" s="117"/>
      <c r="B782" s="123"/>
      <c r="C782" s="123"/>
      <c r="D782" s="123"/>
      <c r="AD782" s="127"/>
      <c r="AE782" s="29"/>
      <c r="AG782" s="115"/>
      <c r="AH782" s="115"/>
      <c r="AI782" s="115"/>
      <c r="AJ782" s="115"/>
      <c r="AK782" s="115"/>
      <c r="AL782" s="115"/>
      <c r="AM782" s="115"/>
      <c r="AN782" s="115"/>
      <c r="AO782" s="25">
        <v>45694</v>
      </c>
      <c r="AP782" s="15" t="s">
        <v>147</v>
      </c>
      <c r="AU782" s="117"/>
      <c r="AV782" s="123"/>
      <c r="AW782" s="123"/>
      <c r="AX782" s="123"/>
      <c r="AZ782" s="115"/>
      <c r="BA782" s="115"/>
      <c r="BB782" s="115"/>
      <c r="BC782" s="115"/>
      <c r="BD782" s="115"/>
      <c r="BE782" s="115"/>
      <c r="BF782" s="115"/>
      <c r="BG782" s="115"/>
      <c r="BH782" s="115"/>
      <c r="BI782" s="115"/>
      <c r="BJ782" s="115"/>
      <c r="BK782" s="115"/>
      <c r="BL782" s="115"/>
      <c r="BM782" s="13"/>
      <c r="BN782" s="13"/>
      <c r="BQ782" s="114"/>
    </row>
    <row r="783" spans="1:69" ht="19.5" x14ac:dyDescent="0.4">
      <c r="A783" s="117"/>
      <c r="B783" s="123"/>
      <c r="C783" s="123"/>
      <c r="D783" s="123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29"/>
      <c r="AE783" s="29"/>
      <c r="AG783" s="115"/>
      <c r="AH783" s="115"/>
      <c r="AI783" s="115"/>
      <c r="AJ783" s="115"/>
      <c r="AK783" s="115"/>
      <c r="AL783" s="115"/>
      <c r="AM783" s="115"/>
      <c r="AN783" s="115"/>
      <c r="AO783" s="25"/>
      <c r="AP783" s="15"/>
      <c r="AU783" s="117"/>
      <c r="AV783" s="123"/>
      <c r="AW783" s="123"/>
      <c r="AX783" s="123"/>
      <c r="AZ783" s="115"/>
      <c r="BA783" s="115"/>
      <c r="BB783" s="115"/>
      <c r="BC783" s="115"/>
      <c r="BD783" s="115"/>
      <c r="BE783" s="115"/>
      <c r="BF783" s="115"/>
      <c r="BG783" s="115"/>
      <c r="BH783" s="115"/>
      <c r="BI783" s="115"/>
      <c r="BJ783" s="115"/>
      <c r="BK783" s="115"/>
      <c r="BL783" s="115"/>
      <c r="BM783" s="13"/>
      <c r="BN783" s="13"/>
      <c r="BQ783" s="114"/>
    </row>
    <row r="784" spans="1:69" ht="19.5" x14ac:dyDescent="0.4">
      <c r="A784" s="117"/>
      <c r="B784" s="123"/>
      <c r="C784" s="123"/>
      <c r="D784" s="123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29"/>
      <c r="AE784" s="29"/>
      <c r="AG784" s="115"/>
      <c r="AH784" s="115"/>
      <c r="AI784" s="115"/>
      <c r="AJ784" s="115"/>
      <c r="AK784" s="115"/>
      <c r="AL784" s="115"/>
      <c r="AM784" s="115"/>
      <c r="AN784" s="115"/>
      <c r="AO784" s="25"/>
      <c r="AP784" s="15"/>
      <c r="AU784" s="117"/>
      <c r="AV784" s="123"/>
      <c r="AW784" s="123"/>
      <c r="AX784" s="123"/>
      <c r="AZ784" s="115"/>
      <c r="BA784" s="115"/>
      <c r="BB784" s="115"/>
      <c r="BC784" s="115"/>
      <c r="BD784" s="115"/>
      <c r="BE784" s="115"/>
      <c r="BF784" s="115"/>
      <c r="BG784" s="115"/>
      <c r="BH784" s="115"/>
      <c r="BI784" s="115"/>
      <c r="BJ784" s="115"/>
      <c r="BK784" s="115"/>
      <c r="BL784" s="115"/>
      <c r="BM784" s="13"/>
      <c r="BN784" s="13"/>
      <c r="BQ784" s="114"/>
    </row>
    <row r="785" spans="1:69" ht="19.5" x14ac:dyDescent="0.4">
      <c r="A785" s="117"/>
      <c r="B785" s="123"/>
      <c r="C785" s="123"/>
      <c r="D785" s="123"/>
      <c r="AD785" s="127"/>
      <c r="AE785" s="29"/>
      <c r="AG785" s="115"/>
      <c r="AH785" s="115"/>
      <c r="AI785" s="115"/>
      <c r="AJ785" s="115"/>
      <c r="AK785" s="115"/>
      <c r="AL785" s="115"/>
      <c r="AM785" s="115"/>
      <c r="AN785" s="115"/>
      <c r="AO785" s="25">
        <v>45694</v>
      </c>
      <c r="AP785" s="105" t="s">
        <v>147</v>
      </c>
      <c r="AU785" s="117"/>
      <c r="AV785" s="123"/>
      <c r="AW785" s="123"/>
      <c r="AX785" s="123"/>
      <c r="AZ785" s="115"/>
      <c r="BA785" s="115"/>
      <c r="BB785" s="115"/>
      <c r="BC785" s="115"/>
      <c r="BD785" s="115"/>
      <c r="BE785" s="115"/>
      <c r="BF785" s="115"/>
      <c r="BG785" s="115"/>
      <c r="BH785" s="115"/>
      <c r="BI785" s="115"/>
      <c r="BJ785" s="115"/>
      <c r="BK785" s="115"/>
      <c r="BL785" s="115"/>
      <c r="BM785" s="13"/>
      <c r="BN785" s="13"/>
      <c r="BQ785" s="114"/>
    </row>
    <row r="786" spans="1:69" ht="19.5" x14ac:dyDescent="0.4">
      <c r="A786" s="117"/>
      <c r="B786" s="123"/>
      <c r="C786" s="123"/>
      <c r="D786" s="123"/>
      <c r="AD786" s="127"/>
      <c r="AE786" s="29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25">
        <v>45694</v>
      </c>
      <c r="AP786" s="15" t="s">
        <v>147</v>
      </c>
      <c r="AU786" s="117"/>
      <c r="AV786" s="123"/>
      <c r="AW786" s="123"/>
      <c r="AX786" s="123"/>
      <c r="AZ786" s="115"/>
      <c r="BA786" s="115"/>
      <c r="BB786" s="115"/>
      <c r="BC786" s="115"/>
      <c r="BD786" s="115"/>
      <c r="BE786" s="115"/>
      <c r="BF786" s="115"/>
      <c r="BG786" s="115"/>
      <c r="BH786" s="115"/>
      <c r="BI786" s="115"/>
      <c r="BJ786" s="115"/>
      <c r="BK786" s="115"/>
      <c r="BL786" s="115"/>
      <c r="BM786" s="13"/>
      <c r="BN786" s="13"/>
      <c r="BQ786" s="114"/>
    </row>
    <row r="787" spans="1:69" ht="19.5" x14ac:dyDescent="0.4">
      <c r="A787" s="117"/>
      <c r="B787" s="123"/>
      <c r="C787" s="123"/>
      <c r="D787" s="123"/>
      <c r="AD787" s="127"/>
      <c r="AE787" s="29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26">
        <v>45694</v>
      </c>
      <c r="AP787" s="15" t="s">
        <v>148</v>
      </c>
      <c r="AU787" s="117"/>
      <c r="AV787" s="123"/>
      <c r="AW787" s="123"/>
      <c r="AX787" s="123"/>
      <c r="AZ787" s="115"/>
      <c r="BA787" s="115"/>
      <c r="BB787" s="115"/>
      <c r="BC787" s="115"/>
      <c r="BD787" s="115"/>
      <c r="BE787" s="115"/>
      <c r="BF787" s="115"/>
      <c r="BG787" s="115"/>
      <c r="BH787" s="115"/>
      <c r="BI787" s="115"/>
      <c r="BJ787" s="115"/>
      <c r="BK787" s="115"/>
      <c r="BL787" s="115"/>
      <c r="BM787" s="13"/>
      <c r="BN787" s="13"/>
      <c r="BQ787" s="114"/>
    </row>
    <row r="788" spans="1:69" ht="19.5" x14ac:dyDescent="0.4">
      <c r="A788" s="117"/>
      <c r="B788" s="123"/>
      <c r="C788" s="123"/>
      <c r="D788" s="123"/>
      <c r="AD788" s="127"/>
      <c r="AE788" s="29"/>
      <c r="AO788" s="26">
        <v>45694</v>
      </c>
      <c r="AP788" s="13" t="s">
        <v>147</v>
      </c>
      <c r="AU788" s="117"/>
      <c r="AV788" s="123"/>
      <c r="AW788" s="123"/>
      <c r="AX788" s="123"/>
      <c r="AZ788" s="115"/>
      <c r="BA788" s="115"/>
      <c r="BB788" s="115"/>
      <c r="BC788" s="115"/>
      <c r="BD788" s="115"/>
      <c r="BE788" s="115"/>
      <c r="BF788" s="115"/>
      <c r="BG788" s="115"/>
      <c r="BH788" s="115"/>
      <c r="BI788" s="115"/>
      <c r="BJ788" s="115"/>
      <c r="BK788" s="115"/>
      <c r="BL788" s="115"/>
      <c r="BM788" s="25">
        <v>45268</v>
      </c>
      <c r="BN788" s="13" t="s">
        <v>162</v>
      </c>
      <c r="BQ788" s="114"/>
    </row>
    <row r="789" spans="1:69" ht="19.5" x14ac:dyDescent="0.4">
      <c r="A789" s="117"/>
      <c r="B789" s="123"/>
      <c r="C789" s="123"/>
      <c r="D789" s="123"/>
      <c r="AD789" s="127"/>
      <c r="AE789" s="29"/>
      <c r="AG789" s="115"/>
      <c r="AH789" s="115"/>
      <c r="AI789" s="115"/>
      <c r="AJ789" s="115"/>
      <c r="AK789" s="115"/>
      <c r="AL789" s="115"/>
      <c r="AM789" s="115"/>
      <c r="AN789" s="115"/>
      <c r="AO789" s="26">
        <v>45694</v>
      </c>
      <c r="AP789" s="13" t="s">
        <v>147</v>
      </c>
      <c r="AU789" s="117"/>
      <c r="AV789" s="123"/>
      <c r="AW789" s="123"/>
      <c r="AX789" s="123"/>
      <c r="AZ789" s="115"/>
      <c r="BA789" s="115"/>
      <c r="BB789" s="115"/>
      <c r="BC789" s="115"/>
      <c r="BD789" s="115"/>
      <c r="BE789" s="115"/>
      <c r="BF789" s="115"/>
      <c r="BG789" s="115"/>
      <c r="BH789" s="115"/>
      <c r="BI789" s="115"/>
      <c r="BJ789" s="115"/>
      <c r="BK789" s="115"/>
      <c r="BL789" s="115"/>
      <c r="BM789" s="25"/>
      <c r="BN789" s="13"/>
      <c r="BQ789" s="114"/>
    </row>
    <row r="790" spans="1:69" ht="19.5" x14ac:dyDescent="0.4">
      <c r="A790" s="117"/>
      <c r="B790" s="123"/>
      <c r="C790" s="123"/>
      <c r="D790" s="123"/>
      <c r="AD790" s="127"/>
      <c r="AE790" s="29"/>
      <c r="AO790" s="26">
        <v>45694</v>
      </c>
      <c r="AP790" s="13" t="s">
        <v>147</v>
      </c>
      <c r="AU790" s="117"/>
      <c r="AV790" s="123"/>
      <c r="AW790" s="123"/>
      <c r="AX790" s="123"/>
      <c r="AZ790" s="115"/>
      <c r="BA790" s="115"/>
      <c r="BB790" s="115"/>
      <c r="BC790" s="115"/>
      <c r="BD790" s="115"/>
      <c r="BE790" s="115"/>
      <c r="BF790" s="115"/>
      <c r="BG790" s="115"/>
      <c r="BH790" s="115"/>
      <c r="BI790" s="115"/>
      <c r="BJ790" s="115"/>
      <c r="BK790" s="115"/>
      <c r="BL790" s="115"/>
      <c r="BM790" s="25">
        <v>45268</v>
      </c>
      <c r="BN790" s="13" t="s">
        <v>162</v>
      </c>
      <c r="BQ790" s="114"/>
    </row>
    <row r="791" spans="1:69" ht="19.5" x14ac:dyDescent="0.4">
      <c r="A791" s="117"/>
      <c r="B791" s="123"/>
      <c r="C791" s="123"/>
      <c r="D791" s="123"/>
      <c r="AD791" s="127"/>
      <c r="AE791" s="29"/>
      <c r="AL791" s="115"/>
      <c r="AM791" s="115"/>
      <c r="AN791" s="115"/>
      <c r="AO791" s="26">
        <v>45696</v>
      </c>
      <c r="AP791" s="13" t="s">
        <v>147</v>
      </c>
      <c r="AU791" s="117"/>
      <c r="AV791" s="123"/>
      <c r="AW791" s="123"/>
      <c r="AX791" s="123"/>
      <c r="AZ791" s="115"/>
      <c r="BA791" s="115"/>
      <c r="BB791" s="115"/>
      <c r="BC791" s="115"/>
      <c r="BD791" s="115"/>
      <c r="BE791" s="115"/>
      <c r="BF791" s="115"/>
      <c r="BG791" s="115"/>
      <c r="BH791" s="115"/>
      <c r="BI791" s="115"/>
      <c r="BJ791" s="115"/>
      <c r="BK791" s="115"/>
      <c r="BL791" s="115"/>
      <c r="BM791" s="25"/>
      <c r="BN791" s="13"/>
      <c r="BQ791" s="114"/>
    </row>
    <row r="792" spans="1:69" ht="19.5" x14ac:dyDescent="0.4">
      <c r="A792" s="117"/>
      <c r="B792" s="123"/>
      <c r="C792" s="123"/>
      <c r="D792" s="123"/>
      <c r="AD792" s="127"/>
      <c r="AE792" s="29"/>
      <c r="AO792" s="26">
        <v>45698</v>
      </c>
      <c r="AP792" s="13" t="s">
        <v>147</v>
      </c>
      <c r="AU792" s="117"/>
      <c r="AV792" s="123"/>
      <c r="AW792" s="123"/>
      <c r="AX792" s="123"/>
      <c r="AZ792" s="115"/>
      <c r="BA792" s="115"/>
      <c r="BB792" s="115"/>
      <c r="BC792" s="115"/>
      <c r="BD792" s="115"/>
      <c r="BE792" s="115"/>
      <c r="BF792" s="115"/>
      <c r="BG792" s="115"/>
      <c r="BH792" s="115"/>
      <c r="BI792" s="115"/>
      <c r="BJ792" s="115"/>
      <c r="BK792" s="115"/>
      <c r="BL792" s="115"/>
      <c r="BM792" s="25">
        <v>45268</v>
      </c>
      <c r="BN792" s="13" t="s">
        <v>163</v>
      </c>
      <c r="BQ792" s="114"/>
    </row>
    <row r="793" spans="1:69" ht="19.5" x14ac:dyDescent="0.4">
      <c r="A793" s="117"/>
      <c r="B793" s="123"/>
      <c r="C793" s="123"/>
      <c r="D793" s="123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29"/>
      <c r="AE793" s="29"/>
      <c r="AO793" s="26"/>
      <c r="AP793" s="13"/>
      <c r="AU793" s="117"/>
      <c r="AV793" s="123"/>
      <c r="AW793" s="123"/>
      <c r="AX793" s="123"/>
      <c r="AZ793" s="115"/>
      <c r="BA793" s="115"/>
      <c r="BB793" s="115"/>
      <c r="BC793" s="115"/>
      <c r="BD793" s="115"/>
      <c r="BE793" s="115"/>
      <c r="BF793" s="115"/>
      <c r="BG793" s="115"/>
      <c r="BH793" s="115"/>
      <c r="BI793" s="115"/>
      <c r="BJ793" s="115"/>
      <c r="BK793" s="115"/>
      <c r="BL793" s="115"/>
      <c r="BM793" s="25"/>
      <c r="BN793" s="13"/>
      <c r="BQ793" s="114"/>
    </row>
    <row r="794" spans="1:69" ht="19.5" x14ac:dyDescent="0.4">
      <c r="A794" s="117"/>
      <c r="B794" s="123"/>
      <c r="C794" s="123"/>
      <c r="D794" s="123"/>
      <c r="AD794" s="127"/>
      <c r="AE794" s="29"/>
      <c r="AL794" s="115"/>
      <c r="AM794" s="115"/>
      <c r="AN794" s="115"/>
      <c r="AO794" s="26">
        <v>45698</v>
      </c>
      <c r="AP794" s="13" t="s">
        <v>147</v>
      </c>
      <c r="AU794" s="117"/>
      <c r="AV794" s="123"/>
      <c r="AW794" s="123"/>
      <c r="AX794" s="123"/>
      <c r="AZ794" s="115"/>
      <c r="BA794" s="115"/>
      <c r="BB794" s="115"/>
      <c r="BC794" s="115"/>
      <c r="BD794" s="115"/>
      <c r="BE794" s="115"/>
      <c r="BF794" s="115"/>
      <c r="BG794" s="115"/>
      <c r="BH794" s="115"/>
      <c r="BI794" s="115"/>
      <c r="BJ794" s="115"/>
      <c r="BK794" s="115"/>
      <c r="BL794" s="115"/>
      <c r="BM794" s="25"/>
      <c r="BN794" s="13"/>
      <c r="BQ794" s="114"/>
    </row>
    <row r="795" spans="1:69" ht="19.5" x14ac:dyDescent="0.4">
      <c r="A795" s="117"/>
      <c r="B795" s="123"/>
      <c r="C795" s="123"/>
      <c r="D795" s="123"/>
      <c r="AD795" s="127"/>
      <c r="AE795" s="29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26">
        <v>45699</v>
      </c>
      <c r="AP795" s="13" t="s">
        <v>148</v>
      </c>
      <c r="AU795" s="117"/>
      <c r="AV795" s="123"/>
      <c r="AW795" s="123"/>
      <c r="AX795" s="123"/>
      <c r="AZ795" s="115"/>
      <c r="BA795" s="115"/>
      <c r="BB795" s="115"/>
      <c r="BC795" s="115"/>
      <c r="BD795" s="115"/>
      <c r="BE795" s="115"/>
      <c r="BF795" s="115"/>
      <c r="BG795" s="115"/>
      <c r="BH795" s="115"/>
      <c r="BI795" s="115"/>
      <c r="BJ795" s="115"/>
      <c r="BK795" s="115"/>
      <c r="BL795" s="115"/>
      <c r="BM795" s="25"/>
      <c r="BN795" s="13"/>
      <c r="BQ795" s="114"/>
    </row>
    <row r="796" spans="1:69" ht="19.5" x14ac:dyDescent="0.4">
      <c r="A796" s="117"/>
      <c r="B796" s="123"/>
      <c r="C796" s="123"/>
      <c r="D796" s="123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29"/>
      <c r="AE796" s="29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26"/>
      <c r="AP796" s="13"/>
      <c r="AU796" s="117"/>
      <c r="AV796" s="123"/>
      <c r="AW796" s="123"/>
      <c r="AX796" s="123"/>
      <c r="AZ796" s="115"/>
      <c r="BA796" s="115"/>
      <c r="BB796" s="115"/>
      <c r="BC796" s="115"/>
      <c r="BD796" s="115"/>
      <c r="BE796" s="115"/>
      <c r="BF796" s="115"/>
      <c r="BG796" s="115"/>
      <c r="BH796" s="115"/>
      <c r="BI796" s="115"/>
      <c r="BJ796" s="115"/>
      <c r="BK796" s="115"/>
      <c r="BL796" s="115"/>
      <c r="BM796" s="25"/>
      <c r="BN796" s="13"/>
      <c r="BQ796" s="114"/>
    </row>
    <row r="797" spans="1:69" ht="19.5" x14ac:dyDescent="0.4">
      <c r="A797" s="117"/>
      <c r="B797" s="123"/>
      <c r="C797" s="123"/>
      <c r="D797" s="123"/>
      <c r="AD797" s="127"/>
      <c r="AE797" s="29"/>
      <c r="AO797" s="26">
        <v>45699</v>
      </c>
      <c r="AP797" s="13" t="s">
        <v>148</v>
      </c>
      <c r="AU797" s="117"/>
      <c r="AV797" s="123"/>
      <c r="AW797" s="123"/>
      <c r="AX797" s="123"/>
      <c r="AY797" s="115"/>
      <c r="AZ797" s="115"/>
      <c r="BA797" s="115"/>
      <c r="BB797" s="115"/>
      <c r="BC797" s="115"/>
      <c r="BD797" s="115"/>
      <c r="BE797" s="115"/>
      <c r="BF797" s="115"/>
      <c r="BG797" s="115"/>
      <c r="BH797" s="115"/>
      <c r="BI797" s="115"/>
      <c r="BJ797" s="115"/>
      <c r="BK797" s="115"/>
      <c r="BL797" s="115"/>
      <c r="BM797" s="25">
        <v>45268</v>
      </c>
      <c r="BN797" s="13" t="s">
        <v>163</v>
      </c>
      <c r="BQ797" s="114"/>
    </row>
    <row r="798" spans="1:69" ht="19.5" x14ac:dyDescent="0.4">
      <c r="A798" s="117"/>
      <c r="B798" s="123"/>
      <c r="C798" s="123"/>
      <c r="D798" s="123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29"/>
      <c r="AE798" s="29"/>
      <c r="AO798" s="26"/>
      <c r="AP798" s="13"/>
      <c r="AU798" s="117"/>
      <c r="AV798" s="123"/>
      <c r="AW798" s="123"/>
      <c r="AX798" s="123"/>
      <c r="AY798" s="115"/>
      <c r="AZ798" s="115"/>
      <c r="BA798" s="115"/>
      <c r="BB798" s="115"/>
      <c r="BC798" s="115"/>
      <c r="BD798" s="115"/>
      <c r="BE798" s="115"/>
      <c r="BF798" s="115"/>
      <c r="BG798" s="115"/>
      <c r="BH798" s="115"/>
      <c r="BI798" s="115"/>
      <c r="BJ798" s="115"/>
      <c r="BK798" s="115"/>
      <c r="BL798" s="115"/>
      <c r="BM798" s="25"/>
      <c r="BN798" s="13"/>
      <c r="BQ798" s="114"/>
    </row>
    <row r="799" spans="1:69" ht="19.5" x14ac:dyDescent="0.4">
      <c r="A799" s="117"/>
      <c r="B799" s="123"/>
      <c r="C799" s="123"/>
      <c r="D799" s="123"/>
      <c r="AD799" s="127"/>
      <c r="AE799" s="29"/>
      <c r="AH799" s="115"/>
      <c r="AI799" s="115"/>
      <c r="AJ799" s="115"/>
      <c r="AK799" s="115"/>
      <c r="AL799" s="115"/>
      <c r="AM799" s="115"/>
      <c r="AN799" s="115"/>
      <c r="AO799" s="26">
        <v>45699</v>
      </c>
      <c r="AP799" s="13" t="s">
        <v>148</v>
      </c>
      <c r="AU799" s="117"/>
      <c r="AV799" s="123"/>
      <c r="AW799" s="123"/>
      <c r="AX799" s="123"/>
      <c r="AY799" s="115"/>
      <c r="AZ799" s="115"/>
      <c r="BA799" s="115"/>
      <c r="BB799" s="115"/>
      <c r="BC799" s="115"/>
      <c r="BD799" s="115"/>
      <c r="BE799" s="115"/>
      <c r="BF799" s="115"/>
      <c r="BG799" s="115"/>
      <c r="BH799" s="115"/>
      <c r="BI799" s="115"/>
      <c r="BJ799" s="115"/>
      <c r="BK799" s="115"/>
      <c r="BL799" s="115"/>
      <c r="BM799" s="25"/>
      <c r="BN799" s="13"/>
      <c r="BQ799" s="114"/>
    </row>
    <row r="800" spans="1:69" ht="19.5" x14ac:dyDescent="0.4">
      <c r="A800" s="117"/>
      <c r="B800" s="123"/>
      <c r="C800" s="123"/>
      <c r="D800" s="123"/>
      <c r="AD800" s="127"/>
      <c r="AE800" s="29"/>
      <c r="AH800" s="115"/>
      <c r="AI800" s="115"/>
      <c r="AJ800" s="115"/>
      <c r="AK800" s="115"/>
      <c r="AL800" s="115"/>
      <c r="AM800" s="115"/>
      <c r="AN800" s="115"/>
      <c r="AO800" s="26">
        <v>45699</v>
      </c>
      <c r="AP800" s="13" t="s">
        <v>148</v>
      </c>
      <c r="AU800" s="117"/>
      <c r="AV800" s="123"/>
      <c r="AW800" s="123"/>
      <c r="AX800" s="123"/>
      <c r="AY800" s="115"/>
      <c r="AZ800" s="115"/>
      <c r="BA800" s="115"/>
      <c r="BB800" s="115"/>
      <c r="BC800" s="115"/>
      <c r="BD800" s="115"/>
      <c r="BE800" s="115"/>
      <c r="BF800" s="115"/>
      <c r="BG800" s="115"/>
      <c r="BH800" s="115"/>
      <c r="BI800" s="115"/>
      <c r="BJ800" s="115"/>
      <c r="BK800" s="115"/>
      <c r="BL800" s="115"/>
      <c r="BM800" s="25"/>
      <c r="BN800" s="13"/>
      <c r="BQ800" s="114"/>
    </row>
    <row r="801" spans="1:69" ht="19.5" x14ac:dyDescent="0.4">
      <c r="A801" s="117"/>
      <c r="B801" s="123"/>
      <c r="C801" s="123"/>
      <c r="D801" s="123"/>
      <c r="AD801" s="127"/>
      <c r="AE801" s="29"/>
      <c r="AH801" s="115"/>
      <c r="AI801" s="115"/>
      <c r="AJ801" s="115"/>
      <c r="AK801" s="115"/>
      <c r="AL801" s="115"/>
      <c r="AM801" s="115"/>
      <c r="AN801" s="115"/>
      <c r="AO801" s="26">
        <v>45699</v>
      </c>
      <c r="AP801" s="13" t="s">
        <v>148</v>
      </c>
      <c r="AU801" s="117"/>
      <c r="AV801" s="123"/>
      <c r="AW801" s="123"/>
      <c r="AX801" s="123"/>
      <c r="AY801" s="115"/>
      <c r="AZ801" s="115"/>
      <c r="BA801" s="115"/>
      <c r="BB801" s="115"/>
      <c r="BC801" s="115"/>
      <c r="BD801" s="115"/>
      <c r="BE801" s="115"/>
      <c r="BF801" s="115"/>
      <c r="BG801" s="115"/>
      <c r="BH801" s="115"/>
      <c r="BI801" s="115"/>
      <c r="BJ801" s="115"/>
      <c r="BK801" s="115"/>
      <c r="BL801" s="115"/>
      <c r="BM801" s="25"/>
      <c r="BN801" s="13"/>
      <c r="BQ801" s="114"/>
    </row>
    <row r="802" spans="1:69" ht="19.5" x14ac:dyDescent="0.4">
      <c r="A802" s="117"/>
      <c r="B802" s="123"/>
      <c r="C802" s="123"/>
      <c r="D802" s="123"/>
      <c r="AD802" s="127"/>
      <c r="AE802" s="29"/>
      <c r="AO802" s="26">
        <v>45699</v>
      </c>
      <c r="AP802" s="13" t="s">
        <v>148</v>
      </c>
      <c r="AU802" s="117"/>
      <c r="AV802" s="123"/>
      <c r="AW802" s="123"/>
      <c r="AX802" s="123"/>
      <c r="AY802" s="115"/>
      <c r="AZ802" s="115"/>
      <c r="BA802" s="115"/>
      <c r="BB802" s="115"/>
      <c r="BC802" s="115"/>
      <c r="BD802" s="115"/>
      <c r="BE802" s="115"/>
      <c r="BF802" s="115"/>
      <c r="BG802" s="115"/>
      <c r="BH802" s="115"/>
      <c r="BI802" s="115"/>
      <c r="BJ802" s="115"/>
      <c r="BK802" s="115"/>
      <c r="BL802" s="115" t="s">
        <v>158</v>
      </c>
      <c r="BM802" s="13">
        <f>SUBTOTAL(3,BM788:BM797)</f>
        <v>4</v>
      </c>
      <c r="BN802" s="13">
        <f>SUBTOTAL(3,BN788:BN797)</f>
        <v>4</v>
      </c>
      <c r="BQ802" s="114"/>
    </row>
    <row r="803" spans="1:69" ht="19.5" x14ac:dyDescent="0.4">
      <c r="A803" s="117"/>
      <c r="B803" s="123"/>
      <c r="C803" s="123"/>
      <c r="D803" s="123"/>
      <c r="AD803" s="127"/>
      <c r="AE803" s="29"/>
      <c r="AL803" s="115"/>
      <c r="AM803" s="115"/>
      <c r="AN803" s="115"/>
      <c r="AO803" s="26">
        <v>45706</v>
      </c>
      <c r="AP803" s="13" t="s">
        <v>146</v>
      </c>
      <c r="AU803" s="117"/>
      <c r="AV803" s="123"/>
      <c r="AW803" s="123"/>
      <c r="AX803" s="123"/>
      <c r="AY803" s="115"/>
      <c r="AZ803" s="115"/>
      <c r="BA803" s="115"/>
      <c r="BB803" s="115"/>
      <c r="BC803" s="115"/>
      <c r="BD803" s="115"/>
      <c r="BE803" s="115"/>
      <c r="BF803" s="115"/>
      <c r="BG803" s="115"/>
      <c r="BH803" s="115"/>
      <c r="BI803" s="115"/>
      <c r="BJ803" s="115"/>
      <c r="BK803" s="115"/>
      <c r="BL803" s="115"/>
      <c r="BM803" s="13"/>
      <c r="BN803" s="13"/>
      <c r="BQ803" s="114"/>
    </row>
    <row r="804" spans="1:69" ht="19.5" x14ac:dyDescent="0.4">
      <c r="A804" s="117"/>
      <c r="B804" s="123"/>
      <c r="C804" s="123"/>
      <c r="D804" s="123"/>
      <c r="AD804" s="127"/>
      <c r="AE804" s="29"/>
      <c r="AK804" s="115"/>
      <c r="AL804" s="115"/>
      <c r="AM804" s="115"/>
      <c r="AN804" s="115"/>
      <c r="AO804" s="26">
        <v>45709</v>
      </c>
      <c r="AP804" s="13" t="s">
        <v>148</v>
      </c>
      <c r="AU804" s="117"/>
      <c r="AV804" s="123"/>
      <c r="AW804" s="123"/>
      <c r="AX804" s="123"/>
      <c r="AY804" s="115"/>
      <c r="AZ804" s="115"/>
      <c r="BA804" s="115"/>
      <c r="BB804" s="115"/>
      <c r="BC804" s="115"/>
      <c r="BD804" s="115"/>
      <c r="BE804" s="115"/>
      <c r="BF804" s="115"/>
      <c r="BG804" s="115"/>
      <c r="BH804" s="115"/>
      <c r="BI804" s="115"/>
      <c r="BJ804" s="115"/>
      <c r="BK804" s="115"/>
      <c r="BL804" s="115"/>
      <c r="BM804" s="13"/>
      <c r="BN804" s="13"/>
      <c r="BQ804" s="114"/>
    </row>
    <row r="805" spans="1:69" ht="19.5" x14ac:dyDescent="0.4">
      <c r="A805" s="117"/>
      <c r="B805" s="123"/>
      <c r="C805" s="123"/>
      <c r="D805" s="123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29"/>
      <c r="AE805" s="29"/>
      <c r="AK805" s="115"/>
      <c r="AL805" s="115"/>
      <c r="AM805" s="115"/>
      <c r="AN805" s="115"/>
      <c r="AO805" s="26"/>
      <c r="AP805" s="13"/>
      <c r="AU805" s="117"/>
      <c r="AV805" s="123"/>
      <c r="AW805" s="123"/>
      <c r="AX805" s="123"/>
      <c r="AY805" s="115"/>
      <c r="AZ805" s="115"/>
      <c r="BA805" s="115"/>
      <c r="BB805" s="115"/>
      <c r="BC805" s="115"/>
      <c r="BD805" s="115"/>
      <c r="BE805" s="115"/>
      <c r="BF805" s="115"/>
      <c r="BG805" s="115"/>
      <c r="BH805" s="115"/>
      <c r="BI805" s="115"/>
      <c r="BJ805" s="115"/>
      <c r="BK805" s="115"/>
      <c r="BL805" s="115"/>
      <c r="BM805" s="13"/>
      <c r="BN805" s="13"/>
      <c r="BQ805" s="114"/>
    </row>
    <row r="806" spans="1:69" ht="19.5" x14ac:dyDescent="0.4">
      <c r="A806" s="117"/>
      <c r="B806" s="123"/>
      <c r="C806" s="123"/>
      <c r="D806" s="123"/>
      <c r="AD806" s="127"/>
      <c r="AE806" s="29"/>
      <c r="AK806" s="115"/>
      <c r="AL806" s="115"/>
      <c r="AM806" s="115"/>
      <c r="AN806" s="115"/>
      <c r="AO806" s="26">
        <v>45709</v>
      </c>
      <c r="AP806" s="13" t="s">
        <v>147</v>
      </c>
      <c r="AU806" s="117"/>
      <c r="AV806" s="123"/>
      <c r="AW806" s="123"/>
      <c r="AX806" s="123"/>
      <c r="AY806" s="115"/>
      <c r="AZ806" s="115"/>
      <c r="BA806" s="115"/>
      <c r="BB806" s="115"/>
      <c r="BC806" s="115"/>
      <c r="BD806" s="115"/>
      <c r="BE806" s="115"/>
      <c r="BF806" s="115"/>
      <c r="BG806" s="115"/>
      <c r="BH806" s="115"/>
      <c r="BI806" s="115"/>
      <c r="BJ806" s="115"/>
      <c r="BK806" s="115"/>
      <c r="BL806" s="115"/>
      <c r="BM806" s="13"/>
      <c r="BN806" s="13"/>
      <c r="BQ806" s="114"/>
    </row>
    <row r="807" spans="1:69" ht="19.5" x14ac:dyDescent="0.4">
      <c r="A807" s="117"/>
      <c r="B807" s="123"/>
      <c r="C807" s="123"/>
      <c r="D807" s="123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29"/>
      <c r="AE807" s="29"/>
      <c r="AK807" s="115"/>
      <c r="AL807" s="115"/>
      <c r="AM807" s="115"/>
      <c r="AN807" s="115"/>
      <c r="AO807" s="26"/>
      <c r="AP807" s="13"/>
      <c r="AU807" s="117"/>
      <c r="AV807" s="123"/>
      <c r="AW807" s="123"/>
      <c r="AX807" s="123"/>
      <c r="AY807" s="115"/>
      <c r="AZ807" s="115"/>
      <c r="BA807" s="115"/>
      <c r="BB807" s="115"/>
      <c r="BC807" s="115"/>
      <c r="BD807" s="115"/>
      <c r="BE807" s="115"/>
      <c r="BF807" s="115"/>
      <c r="BG807" s="115"/>
      <c r="BH807" s="115"/>
      <c r="BI807" s="115"/>
      <c r="BJ807" s="115"/>
      <c r="BK807" s="115"/>
      <c r="BL807" s="115"/>
      <c r="BM807" s="13"/>
      <c r="BN807" s="13"/>
      <c r="BQ807" s="114"/>
    </row>
    <row r="808" spans="1:69" ht="19.5" x14ac:dyDescent="0.4">
      <c r="A808" s="117"/>
      <c r="B808" s="123"/>
      <c r="C808" s="123"/>
      <c r="D808" s="123"/>
      <c r="AD808" s="127"/>
      <c r="AE808" s="29"/>
      <c r="AK808" s="115"/>
      <c r="AL808" s="115"/>
      <c r="AM808" s="115"/>
      <c r="AN808" s="115"/>
      <c r="AO808" s="26">
        <v>45712</v>
      </c>
      <c r="AP808" s="13" t="s">
        <v>146</v>
      </c>
      <c r="AU808" s="117"/>
      <c r="AV808" s="123"/>
      <c r="AW808" s="123"/>
      <c r="AX808" s="123"/>
      <c r="AY808" s="115"/>
      <c r="AZ808" s="115"/>
      <c r="BA808" s="115"/>
      <c r="BB808" s="115"/>
      <c r="BC808" s="115"/>
      <c r="BD808" s="115"/>
      <c r="BE808" s="115"/>
      <c r="BF808" s="115"/>
      <c r="BG808" s="115"/>
      <c r="BH808" s="115"/>
      <c r="BI808" s="115"/>
      <c r="BJ808" s="115"/>
      <c r="BK808" s="115"/>
      <c r="BL808" s="115"/>
      <c r="BM808" s="13"/>
      <c r="BN808" s="13"/>
      <c r="BQ808" s="114"/>
    </row>
    <row r="809" spans="1:69" ht="19.5" x14ac:dyDescent="0.4">
      <c r="A809" s="117"/>
      <c r="B809" s="123"/>
      <c r="C809" s="123"/>
      <c r="D809" s="123"/>
      <c r="AD809" s="127"/>
      <c r="AE809" s="29"/>
      <c r="AK809" s="115"/>
      <c r="AL809" s="115"/>
      <c r="AM809" s="115"/>
      <c r="AN809" s="115"/>
      <c r="AO809" s="26">
        <v>45712</v>
      </c>
      <c r="AP809" s="13" t="s">
        <v>148</v>
      </c>
      <c r="AU809" s="117"/>
      <c r="AV809" s="123"/>
      <c r="AW809" s="123"/>
      <c r="AX809" s="123"/>
      <c r="AY809" s="115"/>
      <c r="AZ809" s="115"/>
      <c r="BA809" s="115"/>
      <c r="BB809" s="115"/>
      <c r="BC809" s="115"/>
      <c r="BD809" s="115"/>
      <c r="BE809" s="115"/>
      <c r="BF809" s="115"/>
      <c r="BG809" s="115"/>
      <c r="BH809" s="115"/>
      <c r="BI809" s="115"/>
      <c r="BJ809" s="115"/>
      <c r="BK809" s="115"/>
      <c r="BL809" s="115"/>
      <c r="BM809" s="13"/>
      <c r="BN809" s="13"/>
      <c r="BQ809" s="114"/>
    </row>
    <row r="810" spans="1:69" ht="19.5" x14ac:dyDescent="0.4">
      <c r="A810" s="117"/>
      <c r="B810" s="123"/>
      <c r="C810" s="123"/>
      <c r="D810" s="123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29"/>
      <c r="AE810" s="29"/>
      <c r="AK810" s="115"/>
      <c r="AL810" s="115"/>
      <c r="AM810" s="115"/>
      <c r="AN810" s="115"/>
      <c r="AO810" s="26"/>
      <c r="AP810" s="13"/>
      <c r="AU810" s="117"/>
      <c r="AV810" s="123"/>
      <c r="AW810" s="123"/>
      <c r="AX810" s="123"/>
      <c r="AY810" s="115"/>
      <c r="AZ810" s="115"/>
      <c r="BA810" s="115"/>
      <c r="BB810" s="115"/>
      <c r="BC810" s="115"/>
      <c r="BD810" s="115"/>
      <c r="BE810" s="115"/>
      <c r="BF810" s="115"/>
      <c r="BG810" s="115"/>
      <c r="BH810" s="115"/>
      <c r="BI810" s="115"/>
      <c r="BJ810" s="115"/>
      <c r="BK810" s="115"/>
      <c r="BL810" s="115"/>
      <c r="BM810" s="13"/>
      <c r="BN810" s="13"/>
      <c r="BQ810" s="114"/>
    </row>
    <row r="811" spans="1:69" ht="19.5" x14ac:dyDescent="0.4">
      <c r="A811" s="117"/>
      <c r="B811" s="123"/>
      <c r="C811" s="123"/>
      <c r="D811" s="123"/>
      <c r="AD811" s="127"/>
      <c r="AE811" s="29"/>
      <c r="AI811" s="115"/>
      <c r="AJ811" s="115"/>
      <c r="AK811" s="115"/>
      <c r="AL811" s="115"/>
      <c r="AM811" s="115"/>
      <c r="AN811" s="115"/>
      <c r="AO811" s="26">
        <v>45714</v>
      </c>
      <c r="AP811" s="13" t="s">
        <v>147</v>
      </c>
      <c r="AU811" s="117"/>
      <c r="AV811" s="123"/>
      <c r="AW811" s="123"/>
      <c r="AX811" s="123"/>
      <c r="AY811" s="115"/>
      <c r="AZ811" s="115"/>
      <c r="BA811" s="115"/>
      <c r="BB811" s="115"/>
      <c r="BC811" s="115"/>
      <c r="BD811" s="115"/>
      <c r="BE811" s="115"/>
      <c r="BF811" s="115"/>
      <c r="BG811" s="115"/>
      <c r="BH811" s="115"/>
      <c r="BI811" s="115"/>
      <c r="BJ811" s="115"/>
      <c r="BK811" s="115"/>
      <c r="BL811" s="115"/>
      <c r="BM811" s="13"/>
      <c r="BN811" s="13"/>
      <c r="BQ811" s="114"/>
    </row>
    <row r="812" spans="1:69" ht="19.5" x14ac:dyDescent="0.4">
      <c r="A812" s="117"/>
      <c r="B812" s="123"/>
      <c r="C812" s="123"/>
      <c r="D812" s="123"/>
      <c r="AD812" s="127"/>
      <c r="AE812" s="29"/>
      <c r="AO812" s="26">
        <v>45714</v>
      </c>
      <c r="AP812" s="13" t="s">
        <v>147</v>
      </c>
      <c r="AU812" s="117"/>
      <c r="AV812" s="123"/>
      <c r="AW812" s="123"/>
      <c r="AX812" s="123"/>
      <c r="AY812" s="115"/>
      <c r="AZ812" s="115"/>
      <c r="BA812" s="115"/>
      <c r="BB812" s="115"/>
      <c r="BC812" s="115"/>
      <c r="BD812" s="115"/>
      <c r="BE812" s="115"/>
      <c r="BF812" s="115"/>
      <c r="BG812" s="115"/>
      <c r="BH812" s="115"/>
      <c r="BI812" s="115"/>
      <c r="BJ812" s="115"/>
      <c r="BK812" s="115"/>
      <c r="BL812" s="115"/>
      <c r="BM812" s="25">
        <v>45269</v>
      </c>
      <c r="BN812" s="13" t="s">
        <v>163</v>
      </c>
      <c r="BQ812" s="114"/>
    </row>
    <row r="813" spans="1:69" ht="19.5" x14ac:dyDescent="0.4">
      <c r="A813" s="117"/>
      <c r="B813" s="123"/>
      <c r="C813" s="123"/>
      <c r="D813" s="123"/>
      <c r="AD813" s="127"/>
      <c r="AE813" s="29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26">
        <v>45714</v>
      </c>
      <c r="AP813" s="13" t="s">
        <v>147</v>
      </c>
      <c r="AU813" s="117"/>
      <c r="AV813" s="123"/>
      <c r="AW813" s="123"/>
      <c r="AX813" s="123"/>
      <c r="AY813" s="115"/>
      <c r="AZ813" s="115"/>
      <c r="BA813" s="115"/>
      <c r="BB813" s="115"/>
      <c r="BC813" s="115"/>
      <c r="BD813" s="115"/>
      <c r="BE813" s="115"/>
      <c r="BF813" s="115"/>
      <c r="BG813" s="115"/>
      <c r="BH813" s="115"/>
      <c r="BI813" s="115"/>
      <c r="BJ813" s="115"/>
      <c r="BK813" s="115"/>
      <c r="BL813" s="115"/>
      <c r="BM813" s="25"/>
      <c r="BN813" s="13"/>
      <c r="BQ813" s="114"/>
    </row>
    <row r="814" spans="1:69" ht="19.5" x14ac:dyDescent="0.4">
      <c r="A814" s="117"/>
      <c r="B814" s="123"/>
      <c r="C814" s="123"/>
      <c r="D814" s="123"/>
      <c r="AD814" s="127"/>
      <c r="AE814" s="29"/>
      <c r="AF814" s="115"/>
      <c r="AG814" s="115"/>
      <c r="AH814" s="115"/>
      <c r="AI814" s="115"/>
      <c r="AJ814" s="115"/>
      <c r="AK814" s="115"/>
      <c r="AL814" s="115"/>
      <c r="AM814" s="115" t="s">
        <v>145</v>
      </c>
      <c r="AN814" s="115">
        <f>SUBTOTAL(3,AN2:AN813)</f>
        <v>0</v>
      </c>
      <c r="AO814" s="26"/>
      <c r="AP814" s="13">
        <f>SUBTOTAL(3,AP2:AP813)</f>
        <v>145</v>
      </c>
      <c r="AU814" s="117"/>
      <c r="AV814" s="123"/>
      <c r="AW814" s="123"/>
      <c r="AX814" s="123"/>
      <c r="AY814" s="115"/>
      <c r="AZ814" s="115"/>
      <c r="BA814" s="115"/>
      <c r="BB814" s="115"/>
      <c r="BC814" s="115"/>
      <c r="BD814" s="115"/>
      <c r="BE814" s="115"/>
      <c r="BF814" s="115"/>
      <c r="BG814" s="115"/>
      <c r="BH814" s="115"/>
      <c r="BI814" s="115"/>
      <c r="BJ814" s="115"/>
      <c r="BK814" s="115"/>
      <c r="BL814" s="115"/>
      <c r="BM814" s="25"/>
      <c r="BN814" s="13"/>
      <c r="BQ814" s="114"/>
    </row>
    <row r="815" spans="1:69" ht="19.5" x14ac:dyDescent="0.4">
      <c r="A815" s="117"/>
      <c r="B815" s="123"/>
      <c r="C815" s="123"/>
      <c r="D815" s="123"/>
      <c r="AD815" s="127"/>
      <c r="AE815" s="29"/>
      <c r="AO815" s="26"/>
      <c r="AP815" s="13"/>
      <c r="AU815" s="117"/>
      <c r="AV815" s="123"/>
      <c r="AW815" s="123"/>
      <c r="AX815" s="123"/>
      <c r="AY815" s="115"/>
      <c r="AZ815" s="115"/>
      <c r="BA815" s="115"/>
      <c r="BB815" s="115"/>
      <c r="BC815" s="115"/>
      <c r="BD815" s="115"/>
      <c r="BE815" s="115"/>
      <c r="BF815" s="115"/>
      <c r="BG815" s="115"/>
      <c r="BH815" s="115"/>
      <c r="BI815" s="115"/>
      <c r="BJ815" s="115"/>
      <c r="BK815" s="115"/>
      <c r="BL815" s="115"/>
      <c r="BM815" s="25">
        <v>45269</v>
      </c>
      <c r="BN815" s="13" t="s">
        <v>163</v>
      </c>
      <c r="BQ815" s="114"/>
    </row>
    <row r="816" spans="1:69" ht="19.5" x14ac:dyDescent="0.4">
      <c r="A816" s="117"/>
      <c r="B816" s="123"/>
      <c r="C816" s="123"/>
      <c r="D816" s="123"/>
      <c r="AD816" s="127"/>
      <c r="AE816" s="29"/>
      <c r="AH816" s="115"/>
      <c r="AI816" s="115"/>
      <c r="AJ816" s="115"/>
      <c r="AK816" s="115"/>
      <c r="AL816" s="115"/>
      <c r="AM816" s="115"/>
      <c r="AN816" s="115"/>
      <c r="AO816" s="26"/>
      <c r="AP816" s="13"/>
      <c r="AU816" s="117"/>
      <c r="AV816" s="123"/>
      <c r="AW816" s="123"/>
      <c r="AX816" s="123"/>
      <c r="AY816" s="115"/>
      <c r="AZ816" s="115"/>
      <c r="BA816" s="115"/>
      <c r="BB816" s="115"/>
      <c r="BC816" s="115"/>
      <c r="BD816" s="115"/>
      <c r="BE816" s="115"/>
      <c r="BF816" s="115"/>
      <c r="BG816" s="115"/>
      <c r="BH816" s="115"/>
      <c r="BI816" s="115"/>
      <c r="BJ816" s="115"/>
      <c r="BK816" s="115"/>
      <c r="BL816" s="115"/>
      <c r="BM816" s="25"/>
      <c r="BN816" s="13"/>
      <c r="BQ816" s="114"/>
    </row>
    <row r="817" spans="1:69" ht="19.5" x14ac:dyDescent="0.4">
      <c r="A817" s="117"/>
      <c r="B817" s="123"/>
      <c r="C817" s="123"/>
      <c r="D817" s="123"/>
      <c r="AD817" s="127"/>
      <c r="AE817" s="29"/>
      <c r="AO817" s="26"/>
      <c r="AP817" s="13"/>
      <c r="AU817" s="117"/>
      <c r="AV817" s="123"/>
      <c r="AW817" s="123"/>
      <c r="AX817" s="123"/>
      <c r="AY817" s="115"/>
      <c r="AZ817" s="115"/>
      <c r="BA817" s="115"/>
      <c r="BB817" s="115"/>
      <c r="BC817" s="115"/>
      <c r="BD817" s="115"/>
      <c r="BE817" s="115"/>
      <c r="BF817" s="115"/>
      <c r="BG817" s="115"/>
      <c r="BH817" s="115"/>
      <c r="BI817" s="115"/>
      <c r="BJ817" s="115"/>
      <c r="BK817" s="115"/>
      <c r="BL817" s="115" t="s">
        <v>159</v>
      </c>
      <c r="BM817" s="13">
        <f>SUBTOTAL(3,BM812:BM815)</f>
        <v>2</v>
      </c>
      <c r="BN817" s="13">
        <f>SUBTOTAL(3,BN812:BN815)</f>
        <v>2</v>
      </c>
      <c r="BQ817" s="114"/>
    </row>
    <row r="818" spans="1:69" ht="19.5" x14ac:dyDescent="0.4">
      <c r="A818" s="117"/>
      <c r="B818" s="123"/>
      <c r="C818" s="123"/>
      <c r="D818" s="123"/>
      <c r="AD818" s="127"/>
      <c r="AE818" s="29"/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26"/>
      <c r="AP818" s="13"/>
      <c r="AU818" s="117"/>
      <c r="AV818" s="123"/>
      <c r="AW818" s="123"/>
      <c r="AX818" s="123"/>
      <c r="AY818" s="115"/>
      <c r="AZ818" s="115"/>
      <c r="BA818" s="115"/>
      <c r="BB818" s="115"/>
      <c r="BC818" s="115"/>
      <c r="BD818" s="115"/>
      <c r="BE818" s="115"/>
      <c r="BF818" s="115"/>
      <c r="BG818" s="115"/>
      <c r="BH818" s="115"/>
      <c r="BI818" s="115"/>
      <c r="BJ818" s="115"/>
      <c r="BK818" s="115"/>
      <c r="BL818" s="115"/>
      <c r="BM818" s="13"/>
      <c r="BN818" s="13"/>
      <c r="BQ818" s="114"/>
    </row>
    <row r="819" spans="1:69" ht="19.5" x14ac:dyDescent="0.4">
      <c r="A819" s="117"/>
      <c r="B819" s="123"/>
      <c r="C819" s="123"/>
      <c r="D819" s="123"/>
      <c r="AD819" s="127"/>
      <c r="AE819" s="29"/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26"/>
      <c r="AP819" s="13"/>
      <c r="AU819" s="117"/>
      <c r="AV819" s="123"/>
      <c r="AW819" s="123"/>
      <c r="AX819" s="123"/>
      <c r="AY819" s="115"/>
      <c r="AZ819" s="115"/>
      <c r="BA819" s="115"/>
      <c r="BB819" s="115"/>
      <c r="BC819" s="115"/>
      <c r="BD819" s="115"/>
      <c r="BE819" s="115"/>
      <c r="BF819" s="115"/>
      <c r="BG819" s="115"/>
      <c r="BH819" s="115"/>
      <c r="BI819" s="115"/>
      <c r="BJ819" s="115"/>
      <c r="BK819" s="115"/>
      <c r="BL819" s="115"/>
      <c r="BM819" s="13"/>
      <c r="BN819" s="13"/>
      <c r="BQ819" s="114"/>
    </row>
    <row r="820" spans="1:69" ht="19.5" x14ac:dyDescent="0.4">
      <c r="A820" s="117"/>
      <c r="B820" s="123"/>
      <c r="C820" s="123"/>
      <c r="D820" s="123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27"/>
      <c r="AE820" s="29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26"/>
      <c r="AP820" s="13"/>
      <c r="AU820" s="117"/>
      <c r="AV820" s="123"/>
      <c r="AW820" s="123"/>
      <c r="AX820" s="123"/>
      <c r="AY820" s="115"/>
      <c r="AZ820" s="115"/>
      <c r="BA820" s="115"/>
      <c r="BB820" s="115"/>
      <c r="BC820" s="115"/>
      <c r="BD820" s="115"/>
      <c r="BE820" s="115"/>
      <c r="BF820" s="115"/>
      <c r="BG820" s="115"/>
      <c r="BH820" s="115"/>
      <c r="BI820" s="115"/>
      <c r="BJ820" s="115"/>
      <c r="BK820" s="115"/>
      <c r="BL820" s="115"/>
      <c r="BM820" s="13"/>
      <c r="BN820" s="13"/>
      <c r="BQ820" s="114"/>
    </row>
    <row r="821" spans="1:69" ht="19.5" x14ac:dyDescent="0.4">
      <c r="A821" s="117"/>
      <c r="B821" s="123"/>
      <c r="C821" s="123"/>
      <c r="D821" s="123"/>
      <c r="AD821" s="127"/>
      <c r="AE821" s="29"/>
      <c r="AO821" s="26"/>
      <c r="AP821" s="13"/>
      <c r="AU821" s="117"/>
      <c r="AV821" s="123"/>
      <c r="AW821" s="123"/>
      <c r="AX821" s="123"/>
      <c r="AY821" s="115"/>
      <c r="AZ821" s="115"/>
      <c r="BA821" s="115"/>
      <c r="BB821" s="115"/>
      <c r="BC821" s="115"/>
      <c r="BD821" s="115"/>
      <c r="BE821" s="115"/>
      <c r="BF821" s="115"/>
      <c r="BG821" s="115"/>
      <c r="BH821" s="115"/>
      <c r="BI821" s="115"/>
      <c r="BJ821" s="115"/>
      <c r="BK821" s="115"/>
      <c r="BL821" s="115"/>
      <c r="BM821" s="25">
        <v>45270</v>
      </c>
      <c r="BN821" s="13" t="s">
        <v>164</v>
      </c>
      <c r="BQ821" s="114"/>
    </row>
    <row r="822" spans="1:69" ht="19.5" x14ac:dyDescent="0.4">
      <c r="A822" s="117"/>
      <c r="B822" s="123"/>
      <c r="C822" s="123"/>
      <c r="D822" s="123"/>
      <c r="AD822" s="127"/>
      <c r="AE822" s="29"/>
      <c r="AJ822" s="115"/>
      <c r="AK822" s="115"/>
      <c r="AL822" s="115"/>
      <c r="AM822" s="115"/>
      <c r="AN822" s="115"/>
      <c r="AO822" s="17"/>
      <c r="AP822" s="13"/>
      <c r="AU822" s="117"/>
      <c r="AV822" s="123"/>
      <c r="AW822" s="123"/>
      <c r="AX822" s="123"/>
      <c r="AY822" s="115"/>
      <c r="AZ822" s="115"/>
      <c r="BA822" s="115"/>
      <c r="BB822" s="115"/>
      <c r="BC822" s="115"/>
      <c r="BD822" s="115"/>
      <c r="BE822" s="115"/>
      <c r="BF822" s="115"/>
      <c r="BG822" s="115"/>
      <c r="BH822" s="115"/>
      <c r="BI822" s="115"/>
      <c r="BJ822" s="115"/>
      <c r="BK822" s="115"/>
      <c r="BL822" s="115"/>
      <c r="BM822" s="25"/>
      <c r="BN822" s="13"/>
      <c r="BQ822" s="114"/>
    </row>
    <row r="823" spans="1:69" ht="19.5" x14ac:dyDescent="0.4">
      <c r="A823" s="117"/>
      <c r="B823" s="123"/>
      <c r="C823" s="123"/>
      <c r="D823" s="123"/>
      <c r="AD823" s="127"/>
      <c r="AE823" s="29"/>
      <c r="AO823" s="26"/>
      <c r="AP823" s="13"/>
      <c r="AU823" s="117"/>
      <c r="AV823" s="123"/>
      <c r="AW823" s="123"/>
      <c r="AX823" s="123"/>
      <c r="AY823" s="115"/>
      <c r="AZ823" s="115"/>
      <c r="BA823" s="115"/>
      <c r="BB823" s="115"/>
      <c r="BC823" s="115"/>
      <c r="BD823" s="115"/>
      <c r="BE823" s="115"/>
      <c r="BF823" s="115"/>
      <c r="BG823" s="115"/>
      <c r="BH823" s="115"/>
      <c r="BI823" s="115"/>
      <c r="BJ823" s="115"/>
      <c r="BK823" s="115"/>
      <c r="BL823" s="115"/>
      <c r="BM823" s="25"/>
      <c r="BN823" s="13"/>
      <c r="BQ823" s="114"/>
    </row>
    <row r="824" spans="1:69" ht="19.5" x14ac:dyDescent="0.4">
      <c r="A824" s="117"/>
      <c r="B824" s="123"/>
      <c r="C824" s="123"/>
      <c r="D824" s="123"/>
      <c r="AD824" s="127"/>
      <c r="AE824" s="29"/>
      <c r="AG824" s="115"/>
      <c r="AH824" s="115"/>
      <c r="AI824" s="115"/>
      <c r="AJ824" s="115"/>
      <c r="AK824" s="115"/>
      <c r="AL824" s="115"/>
      <c r="AM824" s="115"/>
      <c r="AN824" s="115"/>
      <c r="AO824" s="26"/>
      <c r="AP824" s="13"/>
      <c r="AU824" s="117"/>
      <c r="AV824" s="123"/>
      <c r="AW824" s="123"/>
      <c r="AX824" s="123"/>
      <c r="AY824" s="115"/>
      <c r="AZ824" s="115"/>
      <c r="BA824" s="115"/>
      <c r="BB824" s="115"/>
      <c r="BC824" s="115"/>
      <c r="BD824" s="115"/>
      <c r="BE824" s="115"/>
      <c r="BF824" s="115"/>
      <c r="BG824" s="115"/>
      <c r="BH824" s="115"/>
      <c r="BI824" s="115"/>
      <c r="BJ824" s="115"/>
      <c r="BK824" s="115"/>
      <c r="BL824" s="115"/>
      <c r="BM824" s="25"/>
      <c r="BN824" s="13"/>
      <c r="BQ824" s="114"/>
    </row>
    <row r="825" spans="1:69" ht="19.5" x14ac:dyDescent="0.4">
      <c r="A825" s="117"/>
      <c r="B825" s="123"/>
      <c r="C825" s="123"/>
      <c r="D825" s="123"/>
      <c r="AD825" s="127"/>
      <c r="AE825" s="29"/>
      <c r="AO825" s="26"/>
      <c r="AP825" s="13"/>
      <c r="AU825" s="117"/>
      <c r="AV825" s="123"/>
      <c r="AW825" s="123"/>
      <c r="AX825" s="123"/>
      <c r="AY825" s="115"/>
      <c r="AZ825" s="115"/>
      <c r="BA825" s="115"/>
      <c r="BB825" s="115"/>
      <c r="BC825" s="115"/>
      <c r="BD825" s="115"/>
      <c r="BE825" s="115"/>
      <c r="BF825" s="115"/>
      <c r="BG825" s="115"/>
      <c r="BH825" s="115"/>
      <c r="BI825" s="115"/>
      <c r="BJ825" s="115"/>
      <c r="BK825" s="115"/>
      <c r="BL825" s="115"/>
      <c r="BM825" s="25">
        <v>45270</v>
      </c>
      <c r="BN825" s="13" t="s">
        <v>164</v>
      </c>
      <c r="BQ825" s="114"/>
    </row>
    <row r="826" spans="1:69" ht="19.5" x14ac:dyDescent="0.4">
      <c r="A826" s="117"/>
      <c r="B826" s="123"/>
      <c r="C826" s="123"/>
      <c r="D826" s="123"/>
      <c r="AD826" s="127"/>
      <c r="AE826" s="29"/>
      <c r="AI826" s="115"/>
      <c r="AJ826" s="115"/>
      <c r="AK826" s="115"/>
      <c r="AL826" s="115"/>
      <c r="AM826" s="115"/>
      <c r="AN826" s="115"/>
      <c r="AO826" s="26"/>
      <c r="AP826" s="13"/>
      <c r="AU826" s="117"/>
      <c r="AV826" s="123"/>
      <c r="AW826" s="123"/>
      <c r="AX826" s="123"/>
      <c r="AY826" s="115"/>
      <c r="AZ826" s="115"/>
      <c r="BA826" s="115"/>
      <c r="BB826" s="115"/>
      <c r="BC826" s="115"/>
      <c r="BD826" s="115"/>
      <c r="BE826" s="115"/>
      <c r="BF826" s="115"/>
      <c r="BG826" s="115"/>
      <c r="BH826" s="115"/>
      <c r="BI826" s="115"/>
      <c r="BJ826" s="115"/>
      <c r="BK826" s="115"/>
      <c r="BL826" s="115"/>
      <c r="BM826" s="25"/>
      <c r="BN826" s="13"/>
      <c r="BQ826" s="114"/>
    </row>
    <row r="827" spans="1:69" ht="19.5" x14ac:dyDescent="0.4">
      <c r="A827" s="117"/>
      <c r="B827" s="123"/>
      <c r="C827" s="123"/>
      <c r="D827" s="123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27"/>
      <c r="AE827" s="29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26"/>
      <c r="AP827" s="13"/>
      <c r="AU827" s="117"/>
      <c r="AV827" s="123"/>
      <c r="AW827" s="123"/>
      <c r="AX827" s="123"/>
      <c r="AY827" s="115"/>
      <c r="AZ827" s="115"/>
      <c r="BA827" s="115"/>
      <c r="BB827" s="115"/>
      <c r="BC827" s="115"/>
      <c r="BD827" s="115"/>
      <c r="BE827" s="115"/>
      <c r="BF827" s="115"/>
      <c r="BG827" s="115"/>
      <c r="BH827" s="115"/>
      <c r="BI827" s="115"/>
      <c r="BJ827" s="115"/>
      <c r="BK827" s="115"/>
      <c r="BL827" s="115"/>
      <c r="BM827" s="25"/>
      <c r="BN827" s="13"/>
      <c r="BQ827" s="114"/>
    </row>
    <row r="828" spans="1:69" ht="19.5" x14ac:dyDescent="0.4">
      <c r="A828" s="117"/>
      <c r="B828" s="123"/>
      <c r="C828" s="123"/>
      <c r="D828" s="123"/>
      <c r="AD828" s="127"/>
      <c r="AE828" s="29"/>
      <c r="AO828" s="26"/>
      <c r="AP828" s="13"/>
      <c r="AU828" s="117"/>
      <c r="AV828" s="123"/>
      <c r="AW828" s="123"/>
      <c r="AX828" s="123"/>
      <c r="AY828" s="115"/>
      <c r="AZ828" s="115"/>
      <c r="BA828" s="115"/>
      <c r="BB828" s="115"/>
      <c r="BC828" s="115"/>
      <c r="BD828" s="115"/>
      <c r="BE828" s="115"/>
      <c r="BF828" s="115"/>
      <c r="BG828" s="115"/>
      <c r="BH828" s="115"/>
      <c r="BI828" s="115"/>
      <c r="BJ828" s="115"/>
      <c r="BK828" s="115"/>
      <c r="BL828" s="115"/>
      <c r="BM828" s="25">
        <v>45270</v>
      </c>
      <c r="BN828" s="13" t="s">
        <v>162</v>
      </c>
      <c r="BQ828" s="114"/>
    </row>
    <row r="829" spans="1:69" ht="19.5" x14ac:dyDescent="0.4">
      <c r="A829" s="117"/>
      <c r="B829" s="123"/>
      <c r="C829" s="123"/>
      <c r="D829" s="123"/>
      <c r="AD829" s="127"/>
      <c r="AE829" s="29"/>
      <c r="AH829" s="115"/>
      <c r="AI829" s="115"/>
      <c r="AJ829" s="115"/>
      <c r="AK829" s="115"/>
      <c r="AL829" s="115"/>
      <c r="AM829" s="115"/>
      <c r="AN829" s="115"/>
      <c r="AO829" s="26"/>
      <c r="AP829" s="15"/>
      <c r="AU829" s="117"/>
      <c r="AV829" s="123"/>
      <c r="AW829" s="123"/>
      <c r="AX829" s="123"/>
      <c r="AY829" s="115"/>
      <c r="AZ829" s="115"/>
      <c r="BA829" s="115"/>
      <c r="BB829" s="115"/>
      <c r="BC829" s="115"/>
      <c r="BD829" s="115"/>
      <c r="BE829" s="115"/>
      <c r="BF829" s="115"/>
      <c r="BG829" s="115"/>
      <c r="BH829" s="115"/>
      <c r="BI829" s="115"/>
      <c r="BJ829" s="115"/>
      <c r="BK829" s="115"/>
      <c r="BL829" s="115"/>
      <c r="BM829" s="25"/>
      <c r="BN829" s="13"/>
      <c r="BQ829" s="114"/>
    </row>
    <row r="830" spans="1:69" ht="19.5" x14ac:dyDescent="0.4">
      <c r="A830" s="117"/>
      <c r="B830" s="123"/>
      <c r="C830" s="123"/>
      <c r="D830" s="123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29"/>
      <c r="AE830" s="29"/>
      <c r="AH830" s="115"/>
      <c r="AI830" s="115"/>
      <c r="AJ830" s="115"/>
      <c r="AK830" s="115"/>
      <c r="AL830" s="115"/>
      <c r="AM830" s="115"/>
      <c r="AN830" s="115"/>
      <c r="AO830" s="26"/>
      <c r="AP830" s="13"/>
      <c r="AU830" s="117"/>
      <c r="AV830" s="123"/>
      <c r="AW830" s="123"/>
      <c r="AX830" s="123"/>
      <c r="AY830" s="115"/>
      <c r="AZ830" s="115"/>
      <c r="BA830" s="115"/>
      <c r="BB830" s="115"/>
      <c r="BC830" s="115"/>
      <c r="BD830" s="115"/>
      <c r="BE830" s="115"/>
      <c r="BF830" s="115"/>
      <c r="BG830" s="115"/>
      <c r="BH830" s="115"/>
      <c r="BI830" s="115"/>
      <c r="BJ830" s="115"/>
      <c r="BK830" s="115"/>
      <c r="BL830" s="115"/>
      <c r="BM830" s="25"/>
      <c r="BN830" s="13"/>
      <c r="BQ830" s="114"/>
    </row>
    <row r="831" spans="1:69" ht="19.5" x14ac:dyDescent="0.4">
      <c r="A831" s="117"/>
      <c r="B831" s="123"/>
      <c r="C831" s="123"/>
      <c r="D831" s="123"/>
      <c r="AD831" s="127"/>
      <c r="AE831" s="29"/>
      <c r="AO831" s="26"/>
      <c r="AP831" s="13"/>
      <c r="AU831" s="117"/>
      <c r="AV831" s="123"/>
      <c r="AW831" s="123"/>
      <c r="AX831" s="123"/>
      <c r="AY831" s="115"/>
      <c r="AZ831" s="115"/>
      <c r="BA831" s="115"/>
      <c r="BB831" s="115"/>
      <c r="BC831" s="115"/>
      <c r="BD831" s="115"/>
      <c r="BE831" s="115"/>
      <c r="BF831" s="115"/>
      <c r="BG831" s="115"/>
      <c r="BH831" s="115"/>
      <c r="BI831" s="115"/>
      <c r="BJ831" s="115"/>
      <c r="BK831" s="115"/>
      <c r="BL831" s="115"/>
      <c r="BM831" s="25">
        <v>45270</v>
      </c>
      <c r="BN831" s="13" t="s">
        <v>162</v>
      </c>
      <c r="BQ831" s="114"/>
    </row>
    <row r="832" spans="1:69" ht="19.5" x14ac:dyDescent="0.4">
      <c r="A832" s="117"/>
      <c r="B832" s="123"/>
      <c r="C832" s="123"/>
      <c r="D832" s="123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29"/>
      <c r="AE832" s="29"/>
      <c r="AO832" s="26"/>
      <c r="AP832" s="13"/>
      <c r="AU832" s="117"/>
      <c r="AV832" s="123"/>
      <c r="AW832" s="123"/>
      <c r="AX832" s="123"/>
      <c r="AY832" s="115"/>
      <c r="AZ832" s="115"/>
      <c r="BA832" s="115"/>
      <c r="BB832" s="115"/>
      <c r="BC832" s="115"/>
      <c r="BD832" s="115"/>
      <c r="BE832" s="115"/>
      <c r="BF832" s="115"/>
      <c r="BG832" s="115"/>
      <c r="BH832" s="115"/>
      <c r="BI832" s="115"/>
      <c r="BJ832" s="115"/>
      <c r="BK832" s="115"/>
      <c r="BL832" s="115"/>
      <c r="BM832" s="25"/>
      <c r="BN832" s="13"/>
      <c r="BQ832" s="114"/>
    </row>
    <row r="833" spans="1:69" ht="19.5" x14ac:dyDescent="0.4">
      <c r="A833" s="117"/>
      <c r="B833" s="123"/>
      <c r="C833" s="123"/>
      <c r="D833" s="123"/>
      <c r="AD833" s="127"/>
      <c r="AE833" s="29"/>
      <c r="AJ833" s="115"/>
      <c r="AK833" s="115"/>
      <c r="AL833" s="115"/>
      <c r="AM833" s="115"/>
      <c r="AN833" s="115"/>
      <c r="AO833" s="17"/>
      <c r="AP833" s="13"/>
      <c r="AU833" s="117"/>
      <c r="AV833" s="123"/>
      <c r="AW833" s="123"/>
      <c r="AX833" s="123"/>
      <c r="AY833" s="115"/>
      <c r="AZ833" s="115"/>
      <c r="BA833" s="115"/>
      <c r="BB833" s="115"/>
      <c r="BC833" s="115"/>
      <c r="BD833" s="115"/>
      <c r="BE833" s="115"/>
      <c r="BF833" s="115"/>
      <c r="BG833" s="115"/>
      <c r="BH833" s="115"/>
      <c r="BI833" s="115"/>
      <c r="BJ833" s="115"/>
      <c r="BK833" s="115"/>
      <c r="BL833" s="115"/>
      <c r="BM833" s="25"/>
      <c r="BN833" s="13"/>
      <c r="BQ833" s="114"/>
    </row>
    <row r="834" spans="1:69" ht="19.5" x14ac:dyDescent="0.4">
      <c r="A834" s="117"/>
      <c r="B834" s="123"/>
      <c r="C834" s="123"/>
      <c r="D834" s="123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29"/>
      <c r="AE834" s="29"/>
      <c r="AJ834" s="115"/>
      <c r="AK834" s="115"/>
      <c r="AL834" s="115"/>
      <c r="AM834" s="115"/>
      <c r="AN834" s="115"/>
      <c r="AO834" s="17"/>
      <c r="AP834" s="13"/>
      <c r="AU834" s="117"/>
      <c r="AV834" s="123"/>
      <c r="AW834" s="123"/>
      <c r="AX834" s="123"/>
      <c r="AY834" s="115"/>
      <c r="AZ834" s="115"/>
      <c r="BA834" s="115"/>
      <c r="BB834" s="115"/>
      <c r="BC834" s="115"/>
      <c r="BD834" s="115"/>
      <c r="BE834" s="115"/>
      <c r="BF834" s="115"/>
      <c r="BG834" s="115"/>
      <c r="BH834" s="115"/>
      <c r="BI834" s="115"/>
      <c r="BJ834" s="115"/>
      <c r="BK834" s="115"/>
      <c r="BL834" s="115"/>
      <c r="BM834" s="25"/>
      <c r="BN834" s="13"/>
      <c r="BQ834" s="114"/>
    </row>
    <row r="835" spans="1:69" ht="19.5" x14ac:dyDescent="0.4">
      <c r="A835" s="117"/>
      <c r="B835" s="123"/>
      <c r="C835" s="123"/>
      <c r="D835" s="123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29"/>
      <c r="AE835" s="29"/>
      <c r="AJ835" s="115"/>
      <c r="AK835" s="115"/>
      <c r="AL835" s="115"/>
      <c r="AM835" s="115"/>
      <c r="AN835" s="115"/>
      <c r="AO835" s="17"/>
      <c r="AP835" s="13"/>
      <c r="AU835" s="117"/>
      <c r="AV835" s="123"/>
      <c r="AW835" s="123"/>
      <c r="AX835" s="123"/>
      <c r="AY835" s="115"/>
      <c r="AZ835" s="115"/>
      <c r="BA835" s="115"/>
      <c r="BB835" s="115"/>
      <c r="BC835" s="115"/>
      <c r="BD835" s="115"/>
      <c r="BE835" s="115"/>
      <c r="BF835" s="115"/>
      <c r="BG835" s="115"/>
      <c r="BH835" s="115"/>
      <c r="BI835" s="115"/>
      <c r="BJ835" s="115"/>
      <c r="BK835" s="115"/>
      <c r="BL835" s="115"/>
      <c r="BM835" s="25"/>
      <c r="BN835" s="13"/>
      <c r="BQ835" s="114"/>
    </row>
    <row r="836" spans="1:69" ht="19.5" x14ac:dyDescent="0.4">
      <c r="A836" s="117"/>
      <c r="B836" s="123"/>
      <c r="C836" s="123"/>
      <c r="D836" s="123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26"/>
      <c r="AP836" s="13"/>
      <c r="AU836" s="117"/>
      <c r="AV836" s="123"/>
      <c r="AW836" s="123"/>
      <c r="AX836" s="123"/>
      <c r="AY836" s="115"/>
      <c r="AZ836" s="115"/>
      <c r="BA836" s="115"/>
      <c r="BB836" s="115"/>
      <c r="BC836" s="115"/>
      <c r="BD836" s="115"/>
      <c r="BE836" s="115"/>
      <c r="BF836" s="115"/>
      <c r="BG836" s="115"/>
      <c r="BH836" s="115"/>
      <c r="BI836" s="115"/>
      <c r="BJ836" s="115"/>
      <c r="BK836" s="115"/>
      <c r="BL836" s="115"/>
      <c r="BM836" s="25"/>
      <c r="BN836" s="13"/>
      <c r="BQ836" s="114"/>
    </row>
    <row r="837" spans="1:69" ht="19.5" x14ac:dyDescent="0.4">
      <c r="A837" s="117"/>
      <c r="B837" s="123"/>
      <c r="C837" s="123"/>
      <c r="D837" s="123"/>
      <c r="AO837" s="26"/>
      <c r="AP837" s="13"/>
      <c r="AU837" s="117"/>
      <c r="AV837" s="123"/>
      <c r="AW837" s="123"/>
      <c r="AX837" s="123"/>
      <c r="AY837" s="115"/>
      <c r="AZ837" s="115"/>
      <c r="BA837" s="115"/>
      <c r="BB837" s="115"/>
      <c r="BC837" s="115"/>
      <c r="BD837" s="115"/>
      <c r="BE837" s="115"/>
      <c r="BF837" s="115"/>
      <c r="BG837" s="115"/>
      <c r="BH837" s="115"/>
      <c r="BI837" s="115"/>
      <c r="BJ837" s="115"/>
      <c r="BK837" s="115"/>
      <c r="BL837" s="115"/>
      <c r="BM837" s="25"/>
      <c r="BN837" s="13"/>
      <c r="BQ837" s="114"/>
    </row>
    <row r="838" spans="1:69" ht="19.5" x14ac:dyDescent="0.4">
      <c r="A838" s="117"/>
      <c r="B838" s="123"/>
      <c r="C838" s="123"/>
      <c r="D838" s="123"/>
      <c r="AO838" s="26"/>
      <c r="AP838" s="13"/>
      <c r="AU838" s="117"/>
      <c r="AV838" s="123"/>
      <c r="AW838" s="123"/>
      <c r="AX838" s="123"/>
      <c r="AY838" s="115"/>
      <c r="AZ838" s="115"/>
      <c r="BA838" s="115"/>
      <c r="BB838" s="115"/>
      <c r="BC838" s="115"/>
      <c r="BD838" s="115"/>
      <c r="BE838" s="115"/>
      <c r="BF838" s="115"/>
      <c r="BG838" s="115"/>
      <c r="BH838" s="115"/>
      <c r="BI838" s="115"/>
      <c r="BJ838" s="115"/>
      <c r="BK838" s="115"/>
      <c r="BL838" s="115"/>
      <c r="BM838" s="25">
        <v>45270</v>
      </c>
      <c r="BN838" s="13" t="s">
        <v>163</v>
      </c>
      <c r="BQ838" s="114"/>
    </row>
    <row r="839" spans="1:69" ht="19.5" x14ac:dyDescent="0.4">
      <c r="A839" s="117"/>
      <c r="B839" s="123"/>
      <c r="C839" s="123"/>
      <c r="D839" s="123"/>
      <c r="AJ839" s="115"/>
      <c r="AK839" s="115"/>
      <c r="AL839" s="115"/>
      <c r="AM839" s="115"/>
      <c r="AN839" s="115"/>
      <c r="AO839" s="17"/>
      <c r="AP839" s="13"/>
      <c r="AU839" s="117"/>
      <c r="AV839" s="123"/>
      <c r="AW839" s="123"/>
      <c r="AX839" s="123"/>
      <c r="AY839" s="115"/>
      <c r="AZ839" s="115"/>
      <c r="BA839" s="115"/>
      <c r="BB839" s="115"/>
      <c r="BC839" s="115"/>
      <c r="BD839" s="115"/>
      <c r="BE839" s="115"/>
      <c r="BF839" s="115"/>
      <c r="BG839" s="115"/>
      <c r="BH839" s="115"/>
      <c r="BI839" s="115"/>
      <c r="BJ839" s="115"/>
      <c r="BK839" s="115"/>
      <c r="BL839" s="115"/>
      <c r="BM839" s="25"/>
      <c r="BN839" s="13"/>
      <c r="BQ839" s="114"/>
    </row>
    <row r="840" spans="1:69" ht="19.5" x14ac:dyDescent="0.4">
      <c r="A840" s="117"/>
      <c r="B840" s="123"/>
      <c r="C840" s="123"/>
      <c r="D840" s="123"/>
      <c r="AO840" s="26"/>
      <c r="AP840" s="13"/>
      <c r="AU840" s="117"/>
      <c r="AV840" s="123"/>
      <c r="AW840" s="123"/>
      <c r="AX840" s="123"/>
      <c r="AY840" s="115"/>
      <c r="AZ840" s="115"/>
      <c r="BA840" s="115"/>
      <c r="BB840" s="115"/>
      <c r="BC840" s="115"/>
      <c r="BD840" s="115"/>
      <c r="BE840" s="115"/>
      <c r="BF840" s="115"/>
      <c r="BG840" s="115"/>
      <c r="BH840" s="115"/>
      <c r="BI840" s="115"/>
      <c r="BJ840" s="115"/>
      <c r="BK840" s="115"/>
      <c r="BL840" s="115" t="s">
        <v>151</v>
      </c>
      <c r="BM840" s="13">
        <f>SUBTOTAL(3,BM821:BM838)</f>
        <v>5</v>
      </c>
      <c r="BN840" s="13">
        <f>SUBTOTAL(3,BN821:BN838)</f>
        <v>5</v>
      </c>
      <c r="BQ840" s="114"/>
    </row>
    <row r="841" spans="1:69" ht="19.5" x14ac:dyDescent="0.4">
      <c r="A841" s="117"/>
      <c r="B841" s="123"/>
      <c r="C841" s="123"/>
      <c r="D841" s="123"/>
      <c r="AI841" s="115"/>
      <c r="AJ841" s="115"/>
      <c r="AK841" s="115"/>
      <c r="AL841" s="115"/>
      <c r="AM841" s="115"/>
      <c r="AN841" s="115"/>
      <c r="AO841" s="26"/>
      <c r="AP841" s="13"/>
      <c r="AU841" s="117"/>
      <c r="AV841" s="123"/>
      <c r="AW841" s="123"/>
      <c r="AX841" s="123"/>
      <c r="AY841" s="115"/>
      <c r="AZ841" s="115"/>
      <c r="BA841" s="115"/>
      <c r="BB841" s="115"/>
      <c r="BC841" s="115"/>
      <c r="BD841" s="115"/>
      <c r="BE841" s="115"/>
      <c r="BF841" s="115"/>
      <c r="BG841" s="115"/>
      <c r="BH841" s="115"/>
      <c r="BI841" s="115"/>
      <c r="BJ841" s="115"/>
      <c r="BK841" s="115"/>
      <c r="BL841" s="115"/>
      <c r="BM841" s="13"/>
      <c r="BN841" s="13"/>
      <c r="BQ841" s="114"/>
    </row>
    <row r="842" spans="1:69" ht="19.5" x14ac:dyDescent="0.4">
      <c r="A842" s="117"/>
      <c r="B842" s="123"/>
      <c r="C842" s="123"/>
      <c r="D842" s="123"/>
      <c r="AO842" s="26"/>
      <c r="AP842" s="13"/>
      <c r="AU842" s="117"/>
      <c r="AV842" s="123"/>
      <c r="AW842" s="123"/>
      <c r="AX842" s="123"/>
      <c r="AY842" s="115"/>
      <c r="AZ842" s="115"/>
      <c r="BA842" s="115"/>
      <c r="BB842" s="115"/>
      <c r="BC842" s="115"/>
      <c r="BD842" s="115"/>
      <c r="BE842" s="115"/>
      <c r="BF842" s="115"/>
      <c r="BG842" s="115"/>
      <c r="BH842" s="115"/>
      <c r="BI842" s="115"/>
      <c r="BJ842" s="115"/>
      <c r="BK842" s="115"/>
      <c r="BL842" s="115"/>
      <c r="BM842" s="25">
        <v>45271</v>
      </c>
      <c r="BN842" s="13" t="s">
        <v>162</v>
      </c>
      <c r="BQ842" s="114"/>
    </row>
    <row r="843" spans="1:69" ht="19.5" x14ac:dyDescent="0.4">
      <c r="A843" s="117"/>
      <c r="B843" s="123"/>
      <c r="C843" s="123"/>
      <c r="D843" s="123"/>
      <c r="AO843" s="26"/>
      <c r="AP843" s="13"/>
      <c r="AU843" s="117"/>
      <c r="AV843" s="123"/>
      <c r="AW843" s="123"/>
      <c r="AX843" s="123"/>
      <c r="AY843" s="115"/>
      <c r="AZ843" s="115"/>
      <c r="BA843" s="115"/>
      <c r="BB843" s="115"/>
      <c r="BC843" s="115"/>
      <c r="BD843" s="115"/>
      <c r="BE843" s="115"/>
      <c r="BF843" s="115"/>
      <c r="BG843" s="115"/>
      <c r="BH843" s="115"/>
      <c r="BI843" s="115"/>
      <c r="BJ843" s="115"/>
      <c r="BK843" s="115"/>
      <c r="BL843" s="115"/>
      <c r="BM843" s="25">
        <v>45271</v>
      </c>
      <c r="BN843" s="13" t="s">
        <v>163</v>
      </c>
      <c r="BQ843" s="114"/>
    </row>
    <row r="844" spans="1:69" ht="19.5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26"/>
      <c r="AP844" s="13"/>
      <c r="AU844" s="117"/>
      <c r="AV844" s="123"/>
      <c r="AW844" s="123"/>
      <c r="AX844" s="123"/>
      <c r="AY844" s="115"/>
      <c r="AZ844" s="115"/>
      <c r="BA844" s="115"/>
      <c r="BB844" s="115"/>
      <c r="BC844" s="115"/>
      <c r="BD844" s="115"/>
      <c r="BE844" s="115"/>
      <c r="BF844" s="115"/>
      <c r="BG844" s="115"/>
      <c r="BH844" s="115"/>
      <c r="BI844" s="115"/>
      <c r="BJ844" s="115"/>
      <c r="BK844" s="115"/>
      <c r="BL844" s="115"/>
      <c r="BM844" s="25"/>
      <c r="BN844" s="13"/>
      <c r="BQ844" s="114"/>
    </row>
    <row r="845" spans="1:69" ht="19.5" x14ac:dyDescent="0.4">
      <c r="A845" s="117"/>
      <c r="B845" s="123"/>
      <c r="C845" s="123"/>
      <c r="D845" s="123"/>
      <c r="AH845" s="115"/>
      <c r="AI845" s="115"/>
      <c r="AJ845" s="115"/>
      <c r="AK845" s="115"/>
      <c r="AL845" s="115"/>
      <c r="AM845" s="115"/>
      <c r="AN845" s="115"/>
      <c r="AO845" s="26"/>
      <c r="AP845" s="13"/>
      <c r="AU845" s="117"/>
      <c r="AV845" s="123"/>
      <c r="AW845" s="123"/>
      <c r="AX845" s="123"/>
      <c r="AY845" s="115"/>
      <c r="AZ845" s="115"/>
      <c r="BA845" s="115"/>
      <c r="BB845" s="115"/>
      <c r="BC845" s="115"/>
      <c r="BD845" s="115"/>
      <c r="BE845" s="115"/>
      <c r="BF845" s="115"/>
      <c r="BG845" s="115"/>
      <c r="BH845" s="115"/>
      <c r="BI845" s="115"/>
      <c r="BJ845" s="115"/>
      <c r="BK845" s="115"/>
      <c r="BL845" s="115"/>
      <c r="BM845" s="25"/>
      <c r="BN845" s="13"/>
      <c r="BQ845" s="114"/>
    </row>
    <row r="846" spans="1:69" ht="19.5" x14ac:dyDescent="0.4">
      <c r="A846" s="117"/>
      <c r="B846" s="123"/>
      <c r="C846" s="123"/>
      <c r="D846" s="123"/>
      <c r="AH846" s="115"/>
      <c r="AI846" s="115"/>
      <c r="AJ846" s="115"/>
      <c r="AK846" s="115"/>
      <c r="AL846" s="115"/>
      <c r="AM846" s="115"/>
      <c r="AN846" s="115"/>
      <c r="AO846" s="17"/>
      <c r="AP846" s="13"/>
      <c r="AU846" s="117"/>
      <c r="AV846" s="123"/>
      <c r="AW846" s="123"/>
      <c r="AX846" s="123"/>
      <c r="AY846" s="115"/>
      <c r="AZ846" s="115"/>
      <c r="BA846" s="115"/>
      <c r="BB846" s="115"/>
      <c r="BC846" s="115"/>
      <c r="BD846" s="115"/>
      <c r="BE846" s="115"/>
      <c r="BF846" s="115"/>
      <c r="BG846" s="115"/>
      <c r="BH846" s="115"/>
      <c r="BI846" s="115"/>
      <c r="BJ846" s="115"/>
      <c r="BK846" s="115"/>
      <c r="BL846" s="115"/>
      <c r="BM846" s="25"/>
      <c r="BN846" s="13"/>
      <c r="BQ846" s="114"/>
    </row>
    <row r="847" spans="1:69" ht="19.5" x14ac:dyDescent="0.4">
      <c r="A847" s="117"/>
      <c r="B847" s="123"/>
      <c r="C847" s="123"/>
      <c r="D847" s="123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26"/>
      <c r="AP847" s="13"/>
      <c r="AU847" s="117"/>
      <c r="AV847" s="123"/>
      <c r="AW847" s="123"/>
      <c r="AX847" s="123"/>
      <c r="AY847" s="115"/>
      <c r="AZ847" s="115"/>
      <c r="BA847" s="115"/>
      <c r="BB847" s="115"/>
      <c r="BC847" s="115"/>
      <c r="BD847" s="115"/>
      <c r="BE847" s="115"/>
      <c r="BF847" s="115"/>
      <c r="BG847" s="115"/>
      <c r="BH847" s="115"/>
      <c r="BI847" s="115"/>
      <c r="BJ847" s="115"/>
      <c r="BK847" s="115"/>
      <c r="BL847" s="115"/>
      <c r="BM847" s="25"/>
      <c r="BN847" s="13"/>
      <c r="BQ847" s="114"/>
    </row>
    <row r="848" spans="1:69" ht="19.5" x14ac:dyDescent="0.4">
      <c r="A848" s="117"/>
      <c r="B848" s="123"/>
      <c r="C848" s="123"/>
      <c r="D848" s="123"/>
      <c r="AO848" s="26"/>
      <c r="AP848" s="13"/>
      <c r="AU848" s="117"/>
      <c r="AV848" s="123"/>
      <c r="AW848" s="123"/>
      <c r="AX848" s="123"/>
      <c r="AY848" s="115"/>
      <c r="AZ848" s="115"/>
      <c r="BA848" s="115"/>
      <c r="BB848" s="115"/>
      <c r="BC848" s="115"/>
      <c r="BD848" s="115"/>
      <c r="BE848" s="115"/>
      <c r="BF848" s="115"/>
      <c r="BG848" s="115"/>
      <c r="BH848" s="115"/>
      <c r="BI848" s="115"/>
      <c r="BJ848" s="115"/>
      <c r="BK848" s="115"/>
      <c r="BL848" s="115"/>
      <c r="BM848" s="25">
        <v>45271</v>
      </c>
      <c r="BN848" s="13" t="s">
        <v>163</v>
      </c>
      <c r="BQ848" s="114"/>
    </row>
    <row r="849" spans="1:69" ht="19.5" x14ac:dyDescent="0.4">
      <c r="A849" s="117"/>
      <c r="B849" s="123"/>
      <c r="C849" s="123"/>
      <c r="D849" s="123"/>
      <c r="AI849" s="115"/>
      <c r="AJ849" s="115"/>
      <c r="AK849" s="115"/>
      <c r="AL849" s="115"/>
      <c r="AM849" s="115"/>
      <c r="AN849" s="115"/>
      <c r="AO849" s="26"/>
      <c r="AP849" s="13"/>
      <c r="AU849" s="117"/>
      <c r="AV849" s="123"/>
      <c r="AW849" s="123"/>
      <c r="AX849" s="123"/>
      <c r="AY849" s="115"/>
      <c r="AZ849" s="115"/>
      <c r="BA849" s="115"/>
      <c r="BB849" s="115"/>
      <c r="BC849" s="115"/>
      <c r="BD849" s="115"/>
      <c r="BE849" s="115"/>
      <c r="BF849" s="115"/>
      <c r="BG849" s="115"/>
      <c r="BH849" s="115"/>
      <c r="BI849" s="115"/>
      <c r="BJ849" s="115"/>
      <c r="BK849" s="115"/>
      <c r="BL849" s="115"/>
      <c r="BM849" s="25"/>
      <c r="BN849" s="13"/>
      <c r="BQ849" s="114"/>
    </row>
    <row r="850" spans="1:69" ht="19.5" x14ac:dyDescent="0.4">
      <c r="A850" s="117"/>
      <c r="B850" s="123"/>
      <c r="C850" s="123"/>
      <c r="D850" s="123"/>
      <c r="AG850" s="115"/>
      <c r="AH850" s="115"/>
      <c r="AI850" s="115"/>
      <c r="AJ850" s="115"/>
      <c r="AK850" s="115"/>
      <c r="AL850" s="115"/>
      <c r="AM850" s="115"/>
      <c r="AN850" s="115"/>
      <c r="AO850" s="26"/>
      <c r="AP850" s="13"/>
      <c r="AU850" s="117"/>
      <c r="AV850" s="123"/>
      <c r="AW850" s="123"/>
      <c r="AX850" s="123"/>
      <c r="AY850" s="115"/>
      <c r="AZ850" s="115"/>
      <c r="BA850" s="115"/>
      <c r="BB850" s="115"/>
      <c r="BC850" s="115"/>
      <c r="BD850" s="115"/>
      <c r="BE850" s="115"/>
      <c r="BF850" s="115"/>
      <c r="BG850" s="115"/>
      <c r="BH850" s="115"/>
      <c r="BI850" s="115"/>
      <c r="BJ850" s="115"/>
      <c r="BK850" s="115"/>
      <c r="BL850" s="115"/>
      <c r="BM850" s="25"/>
      <c r="BN850" s="13"/>
      <c r="BQ850" s="114"/>
    </row>
    <row r="851" spans="1:69" ht="19.5" x14ac:dyDescent="0.4">
      <c r="A851" s="117"/>
      <c r="B851" s="123"/>
      <c r="C851" s="123"/>
      <c r="D851" s="123"/>
      <c r="AG851" s="115"/>
      <c r="AH851" s="115"/>
      <c r="AI851" s="115"/>
      <c r="AJ851" s="115"/>
      <c r="AK851" s="115"/>
      <c r="AL851" s="115"/>
      <c r="AM851" s="115"/>
      <c r="AN851" s="115"/>
      <c r="AO851" s="17"/>
      <c r="AP851" s="13"/>
      <c r="AU851" s="117"/>
      <c r="AV851" s="123"/>
      <c r="AW851" s="123"/>
      <c r="AX851" s="123"/>
      <c r="AY851" s="115"/>
      <c r="AZ851" s="115"/>
      <c r="BA851" s="115"/>
      <c r="BB851" s="115"/>
      <c r="BC851" s="115"/>
      <c r="BD851" s="115"/>
      <c r="BE851" s="115"/>
      <c r="BF851" s="115"/>
      <c r="BG851" s="115"/>
      <c r="BH851" s="115"/>
      <c r="BI851" s="115"/>
      <c r="BJ851" s="115"/>
      <c r="BK851" s="115"/>
      <c r="BL851" s="115"/>
      <c r="BM851" s="25"/>
      <c r="BN851" s="13"/>
      <c r="BQ851" s="114"/>
    </row>
    <row r="852" spans="1:69" ht="19.5" x14ac:dyDescent="0.4">
      <c r="A852" s="117"/>
      <c r="B852" s="123"/>
      <c r="C852" s="123"/>
      <c r="D852" s="123"/>
      <c r="AO852" s="26"/>
      <c r="AP852" s="13"/>
      <c r="AU852" s="117"/>
      <c r="AV852" s="123"/>
      <c r="AW852" s="123"/>
      <c r="AX852" s="123"/>
      <c r="AY852" s="115"/>
      <c r="AZ852" s="115"/>
      <c r="BA852" s="115"/>
      <c r="BB852" s="115"/>
      <c r="BC852" s="115"/>
      <c r="BD852" s="115"/>
      <c r="BE852" s="115"/>
      <c r="BF852" s="115"/>
      <c r="BG852" s="115"/>
      <c r="BH852" s="115"/>
      <c r="BI852" s="115"/>
      <c r="BJ852" s="115"/>
      <c r="BK852" s="115"/>
      <c r="BL852" s="115" t="s">
        <v>165</v>
      </c>
      <c r="BM852" s="13">
        <f>SUBTOTAL(3,BM842:BM848)</f>
        <v>3</v>
      </c>
      <c r="BN852" s="13">
        <f>SUBTOTAL(3,BN842:BN848)</f>
        <v>3</v>
      </c>
      <c r="BQ852" s="114"/>
    </row>
    <row r="853" spans="1:69" ht="19.5" x14ac:dyDescent="0.4">
      <c r="A853" s="117"/>
      <c r="B853" s="123"/>
      <c r="C853" s="123"/>
      <c r="D853" s="123"/>
      <c r="AO853" s="26"/>
      <c r="AP853" s="13"/>
      <c r="AU853" s="117"/>
      <c r="AV853" s="123"/>
      <c r="AW853" s="123"/>
      <c r="AX853" s="123"/>
      <c r="AY853" s="115"/>
      <c r="AZ853" s="115"/>
      <c r="BA853" s="115"/>
      <c r="BB853" s="115"/>
      <c r="BC853" s="115"/>
      <c r="BD853" s="115"/>
      <c r="BE853" s="115"/>
      <c r="BF853" s="115"/>
      <c r="BG853" s="115"/>
      <c r="BH853" s="115"/>
      <c r="BI853" s="115"/>
      <c r="BJ853" s="115"/>
      <c r="BK853" s="115"/>
      <c r="BL853" s="115"/>
      <c r="BM853" s="25">
        <v>45272</v>
      </c>
      <c r="BN853" s="13" t="s">
        <v>162</v>
      </c>
      <c r="BQ853" s="114"/>
    </row>
    <row r="854" spans="1:69" ht="19.5" x14ac:dyDescent="0.4">
      <c r="A854" s="117"/>
      <c r="B854" s="123"/>
      <c r="C854" s="123"/>
      <c r="D854" s="123"/>
      <c r="AJ854" s="115"/>
      <c r="AK854" s="115"/>
      <c r="AL854" s="115"/>
      <c r="AM854" s="115"/>
      <c r="AN854" s="115"/>
      <c r="AO854" s="17"/>
      <c r="AP854" s="13"/>
      <c r="AU854" s="117"/>
      <c r="AV854" s="123"/>
      <c r="AW854" s="123"/>
      <c r="AX854" s="123"/>
      <c r="AY854" s="115"/>
      <c r="AZ854" s="115"/>
      <c r="BA854" s="115"/>
      <c r="BB854" s="115"/>
      <c r="BC854" s="115"/>
      <c r="BD854" s="115"/>
      <c r="BE854" s="115"/>
      <c r="BF854" s="115"/>
      <c r="BG854" s="115"/>
      <c r="BH854" s="115"/>
      <c r="BI854" s="115"/>
      <c r="BJ854" s="115"/>
      <c r="BK854" s="115"/>
      <c r="BL854" s="115"/>
      <c r="BM854" s="25"/>
      <c r="BN854" s="13"/>
      <c r="BQ854" s="114"/>
    </row>
    <row r="855" spans="1:69" ht="19.5" x14ac:dyDescent="0.4">
      <c r="A855" s="117"/>
      <c r="B855" s="123"/>
      <c r="C855" s="123"/>
      <c r="D855" s="123"/>
      <c r="AO855" s="26"/>
      <c r="AP855" s="15"/>
      <c r="AU855" s="117"/>
      <c r="AV855" s="123"/>
      <c r="AW855" s="123"/>
      <c r="AX855" s="123"/>
      <c r="AY855" s="115"/>
      <c r="AZ855" s="115"/>
      <c r="BA855" s="115"/>
      <c r="BB855" s="115"/>
      <c r="BC855" s="115"/>
      <c r="BD855" s="115"/>
      <c r="BE855" s="115"/>
      <c r="BF855" s="115"/>
      <c r="BG855" s="115"/>
      <c r="BH855" s="115"/>
      <c r="BI855" s="115"/>
      <c r="BJ855" s="115"/>
      <c r="BK855" s="115"/>
      <c r="BL855" s="115"/>
      <c r="BM855" s="25">
        <v>45272</v>
      </c>
      <c r="BN855" s="13" t="s">
        <v>162</v>
      </c>
      <c r="BQ855" s="114"/>
    </row>
    <row r="856" spans="1:69" ht="19.5" x14ac:dyDescent="0.4">
      <c r="A856" s="117"/>
      <c r="B856" s="123"/>
      <c r="C856" s="123"/>
      <c r="D856" s="123"/>
      <c r="AJ856" s="115"/>
      <c r="AK856" s="115"/>
      <c r="AL856" s="115"/>
      <c r="AM856" s="115"/>
      <c r="AN856" s="115"/>
      <c r="AO856" s="17"/>
      <c r="AP856" s="13"/>
      <c r="AU856" s="117"/>
      <c r="AV856" s="123"/>
      <c r="AW856" s="123"/>
      <c r="AX856" s="123"/>
      <c r="AY856" s="115"/>
      <c r="AZ856" s="115"/>
      <c r="BA856" s="115"/>
      <c r="BB856" s="115"/>
      <c r="BC856" s="115"/>
      <c r="BD856" s="115"/>
      <c r="BE856" s="115"/>
      <c r="BF856" s="115"/>
      <c r="BG856" s="115"/>
      <c r="BH856" s="115"/>
      <c r="BI856" s="115"/>
      <c r="BJ856" s="115"/>
      <c r="BK856" s="115"/>
      <c r="BL856" s="115"/>
      <c r="BM856" s="25"/>
      <c r="BN856" s="13"/>
      <c r="BQ856" s="114"/>
    </row>
    <row r="857" spans="1:69" ht="19.5" x14ac:dyDescent="0.4">
      <c r="A857" s="117"/>
      <c r="B857" s="123"/>
      <c r="C857" s="123"/>
      <c r="D857" s="123"/>
      <c r="AJ857" s="115"/>
      <c r="AK857" s="115"/>
      <c r="AL857" s="115"/>
      <c r="AM857" s="115"/>
      <c r="AN857" s="115"/>
      <c r="AO857" s="17"/>
      <c r="AP857" s="13"/>
      <c r="AU857" s="117"/>
      <c r="AV857" s="123"/>
      <c r="AW857" s="123"/>
      <c r="AX857" s="123"/>
      <c r="AY857" s="115"/>
      <c r="AZ857" s="115"/>
      <c r="BA857" s="115"/>
      <c r="BB857" s="115"/>
      <c r="BC857" s="115"/>
      <c r="BD857" s="115"/>
      <c r="BE857" s="115"/>
      <c r="BF857" s="115"/>
      <c r="BG857" s="115"/>
      <c r="BH857" s="115"/>
      <c r="BI857" s="115"/>
      <c r="BJ857" s="115"/>
      <c r="BK857" s="115"/>
      <c r="BL857" s="115"/>
      <c r="BM857" s="25"/>
      <c r="BN857" s="13"/>
      <c r="BQ857" s="114"/>
    </row>
    <row r="858" spans="1:69" ht="19.5" x14ac:dyDescent="0.4">
      <c r="A858" s="117"/>
      <c r="B858" s="123"/>
      <c r="C858" s="123"/>
      <c r="D858" s="123"/>
      <c r="AO858" s="26"/>
      <c r="AP858" s="13"/>
      <c r="AU858" s="117"/>
      <c r="AV858" s="123"/>
      <c r="AW858" s="123"/>
      <c r="AX858" s="123"/>
      <c r="AY858" s="115"/>
      <c r="AZ858" s="115"/>
      <c r="BA858" s="115"/>
      <c r="BB858" s="115"/>
      <c r="BC858" s="115"/>
      <c r="BD858" s="115"/>
      <c r="BE858" s="115"/>
      <c r="BF858" s="115"/>
      <c r="BG858" s="115"/>
      <c r="BH858" s="115"/>
      <c r="BI858" s="115"/>
      <c r="BJ858" s="115"/>
      <c r="BK858" s="115"/>
      <c r="BL858" s="115"/>
      <c r="BM858" s="25">
        <v>45272</v>
      </c>
      <c r="BN858" s="13" t="s">
        <v>162</v>
      </c>
      <c r="BQ858" s="114"/>
    </row>
    <row r="859" spans="1:69" ht="19.5" x14ac:dyDescent="0.4">
      <c r="A859" s="125"/>
      <c r="B859" s="126"/>
      <c r="C859" s="126"/>
      <c r="D859" s="126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26"/>
      <c r="AP859" s="13"/>
      <c r="AU859" s="117"/>
      <c r="AV859" s="123"/>
      <c r="AW859" s="123"/>
      <c r="AX859" s="123"/>
      <c r="AY859" s="115"/>
      <c r="AZ859" s="115"/>
      <c r="BA859" s="115"/>
      <c r="BB859" s="115"/>
      <c r="BC859" s="115"/>
      <c r="BD859" s="115"/>
      <c r="BE859" s="115"/>
      <c r="BF859" s="115"/>
      <c r="BG859" s="115"/>
      <c r="BH859" s="115"/>
      <c r="BI859" s="115"/>
      <c r="BJ859" s="115"/>
      <c r="BK859" s="115"/>
      <c r="BL859" s="115"/>
      <c r="BM859" s="25"/>
      <c r="BN859" s="13"/>
      <c r="BQ859" s="114"/>
    </row>
    <row r="860" spans="1:69" ht="19.5" x14ac:dyDescent="0.4">
      <c r="A860" s="125"/>
      <c r="B860" s="126"/>
      <c r="C860" s="126"/>
      <c r="D860" s="126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26"/>
      <c r="AP860" s="13"/>
      <c r="AU860" s="117"/>
      <c r="AV860" s="123"/>
      <c r="AW860" s="123"/>
      <c r="AX860" s="123"/>
      <c r="AY860" s="115"/>
      <c r="AZ860" s="115"/>
      <c r="BA860" s="115"/>
      <c r="BB860" s="115"/>
      <c r="BC860" s="115"/>
      <c r="BD860" s="115"/>
      <c r="BE860" s="115"/>
      <c r="BF860" s="115"/>
      <c r="BG860" s="115"/>
      <c r="BH860" s="115"/>
      <c r="BI860" s="115"/>
      <c r="BJ860" s="115"/>
      <c r="BK860" s="115"/>
      <c r="BL860" s="115"/>
      <c r="BM860" s="25"/>
      <c r="BN860" s="13"/>
      <c r="BQ860" s="114"/>
    </row>
    <row r="861" spans="1:69" ht="19.5" x14ac:dyDescent="0.4">
      <c r="A861" s="125"/>
      <c r="B861" s="126"/>
      <c r="C861" s="126"/>
      <c r="D861" s="126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115"/>
      <c r="AO861" s="17"/>
      <c r="AP861" s="13"/>
      <c r="AU861" s="117"/>
      <c r="AV861" s="123"/>
      <c r="AW861" s="123"/>
      <c r="AX861" s="123"/>
      <c r="AY861" s="115"/>
      <c r="AZ861" s="115"/>
      <c r="BA861" s="115"/>
      <c r="BB861" s="115"/>
      <c r="BC861" s="115"/>
      <c r="BD861" s="115"/>
      <c r="BE861" s="115"/>
      <c r="BF861" s="115"/>
      <c r="BG861" s="115"/>
      <c r="BH861" s="115"/>
      <c r="BI861" s="115"/>
      <c r="BJ861" s="115"/>
      <c r="BK861" s="115"/>
      <c r="BL861" s="115"/>
      <c r="BM861" s="25"/>
      <c r="BN861" s="13"/>
      <c r="BQ861" s="114"/>
    </row>
    <row r="862" spans="1:69" ht="19.5" x14ac:dyDescent="0.4">
      <c r="A862" s="125"/>
      <c r="B862" s="126"/>
      <c r="C862" s="126"/>
      <c r="D862" s="126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26"/>
      <c r="AP862" s="13"/>
      <c r="AU862" s="117"/>
      <c r="AV862" s="123"/>
      <c r="AW862" s="123"/>
      <c r="AX862" s="123"/>
      <c r="AY862" s="115"/>
      <c r="AZ862" s="115"/>
      <c r="BA862" s="115"/>
      <c r="BB862" s="115"/>
      <c r="BC862" s="115"/>
      <c r="BD862" s="115"/>
      <c r="BE862" s="115"/>
      <c r="BF862" s="115"/>
      <c r="BG862" s="115"/>
      <c r="BH862" s="115"/>
      <c r="BI862" s="115"/>
      <c r="BJ862" s="115"/>
      <c r="BK862" s="115"/>
      <c r="BL862" s="115"/>
      <c r="BM862" s="25"/>
      <c r="BN862" s="13"/>
      <c r="BQ862" s="114"/>
    </row>
    <row r="863" spans="1:69" ht="19.5" x14ac:dyDescent="0.4">
      <c r="AO863" s="26"/>
      <c r="AP863" s="13"/>
      <c r="AU863" s="117"/>
      <c r="AV863" s="123"/>
      <c r="AW863" s="123"/>
      <c r="AX863" s="123"/>
      <c r="AY863" s="115"/>
      <c r="AZ863" s="115"/>
      <c r="BA863" s="115"/>
      <c r="BB863" s="115"/>
      <c r="BC863" s="115"/>
      <c r="BD863" s="115"/>
      <c r="BE863" s="115"/>
      <c r="BF863" s="115"/>
      <c r="BG863" s="115"/>
      <c r="BH863" s="115"/>
      <c r="BI863" s="115"/>
      <c r="BJ863" s="115"/>
      <c r="BK863" s="115"/>
      <c r="BL863" s="115"/>
      <c r="BM863" s="25">
        <v>45272</v>
      </c>
      <c r="BN863" s="13" t="s">
        <v>162</v>
      </c>
      <c r="BQ863" s="114"/>
    </row>
    <row r="864" spans="1:69" ht="19.5" x14ac:dyDescent="0.4">
      <c r="AO864" s="26"/>
      <c r="AP864" s="13"/>
      <c r="AU864" s="117"/>
      <c r="AV864" s="123"/>
      <c r="AW864" s="123"/>
      <c r="AX864" s="123"/>
      <c r="AY864" s="115"/>
      <c r="AZ864" s="115"/>
      <c r="BA864" s="115"/>
      <c r="BB864" s="115"/>
      <c r="BC864" s="115"/>
      <c r="BD864" s="115"/>
      <c r="BE864" s="115"/>
      <c r="BF864" s="115"/>
      <c r="BG864" s="115"/>
      <c r="BH864" s="115"/>
      <c r="BI864" s="115"/>
      <c r="BJ864" s="115"/>
      <c r="BK864" s="115"/>
      <c r="BL864" s="115"/>
      <c r="BM864" s="25"/>
      <c r="BN864" s="13"/>
      <c r="BQ864" s="114"/>
    </row>
    <row r="865" spans="6:69" ht="19.5" x14ac:dyDescent="0.4"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115"/>
      <c r="AO865" s="26"/>
      <c r="AP865" s="25"/>
      <c r="AU865" s="117"/>
      <c r="AV865" s="123"/>
      <c r="AW865" s="123"/>
      <c r="AX865" s="123"/>
      <c r="AY865" s="115"/>
      <c r="AZ865" s="115"/>
      <c r="BA865" s="115"/>
      <c r="BB865" s="115"/>
      <c r="BC865" s="115"/>
      <c r="BD865" s="115"/>
      <c r="BE865" s="115"/>
      <c r="BF865" s="115"/>
      <c r="BG865" s="115"/>
      <c r="BH865" s="115"/>
      <c r="BI865" s="115"/>
      <c r="BJ865" s="115"/>
      <c r="BK865" s="115"/>
      <c r="BL865" s="115"/>
      <c r="BM865" s="25"/>
      <c r="BN865" s="13"/>
      <c r="BQ865" s="114"/>
    </row>
    <row r="866" spans="6:69" ht="19.5" x14ac:dyDescent="0.4">
      <c r="AO866" s="26"/>
      <c r="AP866" s="25"/>
      <c r="AU866" s="117"/>
      <c r="AV866" s="123"/>
      <c r="AW866" s="123"/>
      <c r="AX866" s="123"/>
      <c r="AY866" s="115"/>
      <c r="AZ866" s="115"/>
      <c r="BA866" s="115"/>
      <c r="BB866" s="115"/>
      <c r="BC866" s="115"/>
      <c r="BD866" s="115"/>
      <c r="BE866" s="115"/>
      <c r="BF866" s="115"/>
      <c r="BG866" s="115"/>
      <c r="BH866" s="115"/>
      <c r="BI866" s="115"/>
      <c r="BJ866" s="115"/>
      <c r="BK866" s="115"/>
      <c r="BL866" s="115"/>
      <c r="BM866" s="25">
        <v>45272</v>
      </c>
      <c r="BN866" s="13" t="s">
        <v>162</v>
      </c>
      <c r="BQ866" s="114"/>
    </row>
    <row r="867" spans="6:69" ht="19.5" x14ac:dyDescent="0.4">
      <c r="AO867" s="26"/>
      <c r="AP867" s="13"/>
      <c r="AU867" s="117"/>
      <c r="AV867" s="123"/>
      <c r="AW867" s="123"/>
      <c r="AX867" s="123"/>
      <c r="AY867" s="115"/>
      <c r="AZ867" s="115"/>
      <c r="BA867" s="115"/>
      <c r="BB867" s="115"/>
      <c r="BC867" s="115"/>
      <c r="BD867" s="115"/>
      <c r="BE867" s="115"/>
      <c r="BF867" s="115"/>
      <c r="BG867" s="115"/>
      <c r="BH867" s="115"/>
      <c r="BI867" s="115"/>
      <c r="BJ867" s="115"/>
      <c r="BK867" s="115"/>
      <c r="BL867" s="115"/>
      <c r="BM867" s="25">
        <v>45272</v>
      </c>
      <c r="BN867" s="15" t="s">
        <v>162</v>
      </c>
      <c r="BQ867" s="114"/>
    </row>
    <row r="868" spans="6:69" ht="19.5" x14ac:dyDescent="0.4">
      <c r="AO868" s="26"/>
      <c r="AP868" s="13"/>
      <c r="AU868" s="117"/>
      <c r="AV868" s="123"/>
      <c r="AW868" s="123"/>
      <c r="AX868" s="123"/>
      <c r="AY868" s="115"/>
      <c r="AZ868" s="115"/>
      <c r="BA868" s="115"/>
      <c r="BB868" s="115"/>
      <c r="BC868" s="115"/>
      <c r="BD868" s="115"/>
      <c r="BE868" s="115"/>
      <c r="BF868" s="115"/>
      <c r="BG868" s="115"/>
      <c r="BH868" s="115"/>
      <c r="BI868" s="115"/>
      <c r="BJ868" s="115"/>
      <c r="BK868" s="115"/>
      <c r="BL868" s="115"/>
      <c r="BM868" s="25">
        <v>45272</v>
      </c>
      <c r="BN868" s="15" t="s">
        <v>162</v>
      </c>
      <c r="BQ868" s="114"/>
    </row>
    <row r="869" spans="6:69" ht="19.5" x14ac:dyDescent="0.4"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26"/>
      <c r="AP869" s="13"/>
      <c r="AU869" s="117"/>
      <c r="AV869" s="123"/>
      <c r="AW869" s="123"/>
      <c r="AX869" s="123"/>
      <c r="AY869" s="115"/>
      <c r="AZ869" s="115"/>
      <c r="BA869" s="115"/>
      <c r="BB869" s="115"/>
      <c r="BC869" s="115"/>
      <c r="BD869" s="115"/>
      <c r="BE869" s="115"/>
      <c r="BF869" s="115"/>
      <c r="BG869" s="115"/>
      <c r="BH869" s="115"/>
      <c r="BI869" s="115"/>
      <c r="BJ869" s="115"/>
      <c r="BK869" s="115"/>
      <c r="BL869" s="115"/>
      <c r="BM869" s="25"/>
      <c r="BN869" s="15"/>
      <c r="BQ869" s="114"/>
    </row>
    <row r="870" spans="6:69" ht="19.5" x14ac:dyDescent="0.4"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7"/>
      <c r="AP870" s="13"/>
      <c r="AU870" s="117"/>
      <c r="AV870" s="123"/>
      <c r="AW870" s="123"/>
      <c r="AX870" s="123"/>
      <c r="AY870" s="115"/>
      <c r="AZ870" s="115"/>
      <c r="BA870" s="115"/>
      <c r="BB870" s="115"/>
      <c r="BC870" s="115"/>
      <c r="BD870" s="115"/>
      <c r="BE870" s="115"/>
      <c r="BF870" s="115"/>
      <c r="BG870" s="115"/>
      <c r="BH870" s="115"/>
      <c r="BI870" s="115"/>
      <c r="BJ870" s="115"/>
      <c r="BK870" s="115"/>
      <c r="BL870" s="115"/>
      <c r="BM870" s="25"/>
      <c r="BN870" s="15"/>
      <c r="BQ870" s="114"/>
    </row>
    <row r="871" spans="6:69" ht="19.5" x14ac:dyDescent="0.4">
      <c r="AO871" s="26"/>
      <c r="AP871" s="13"/>
      <c r="AU871" s="117"/>
      <c r="AV871" s="123"/>
      <c r="AW871" s="123"/>
      <c r="AX871" s="123"/>
      <c r="AY871" s="115"/>
      <c r="AZ871" s="115"/>
      <c r="BA871" s="115"/>
      <c r="BB871" s="115"/>
      <c r="BC871" s="115"/>
      <c r="BD871" s="115"/>
      <c r="BE871" s="115"/>
      <c r="BF871" s="115"/>
      <c r="BG871" s="115"/>
      <c r="BH871" s="115"/>
      <c r="BI871" s="115"/>
      <c r="BJ871" s="115"/>
      <c r="BK871" s="115"/>
      <c r="BL871" s="115"/>
      <c r="BM871" s="25">
        <v>45272</v>
      </c>
      <c r="BN871" s="15" t="s">
        <v>162</v>
      </c>
      <c r="BQ871" s="114"/>
    </row>
    <row r="872" spans="6:69" ht="19.5" x14ac:dyDescent="0.4"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26"/>
      <c r="AP872" s="13"/>
      <c r="AU872" s="117"/>
      <c r="AV872" s="123"/>
      <c r="AW872" s="123"/>
      <c r="AX872" s="123"/>
      <c r="AY872" s="115"/>
      <c r="AZ872" s="115"/>
      <c r="BA872" s="115"/>
      <c r="BB872" s="115"/>
      <c r="BC872" s="115"/>
      <c r="BD872" s="115"/>
      <c r="BE872" s="115"/>
      <c r="BF872" s="115"/>
      <c r="BG872" s="115"/>
      <c r="BH872" s="115"/>
      <c r="BI872" s="115"/>
      <c r="BJ872" s="115"/>
      <c r="BK872" s="115"/>
      <c r="BL872" s="115"/>
      <c r="BM872" s="25"/>
      <c r="BN872" s="15"/>
      <c r="BQ872" s="114"/>
    </row>
    <row r="873" spans="6:69" ht="19.5" x14ac:dyDescent="0.4"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26"/>
      <c r="AP873" s="13"/>
      <c r="AU873" s="117"/>
      <c r="AV873" s="123"/>
      <c r="AW873" s="123"/>
      <c r="AX873" s="123"/>
      <c r="AY873" s="115"/>
      <c r="AZ873" s="115"/>
      <c r="BA873" s="115"/>
      <c r="BB873" s="115"/>
      <c r="BC873" s="115"/>
      <c r="BD873" s="115"/>
      <c r="BE873" s="115"/>
      <c r="BF873" s="115"/>
      <c r="BG873" s="115"/>
      <c r="BH873" s="115"/>
      <c r="BI873" s="115"/>
      <c r="BJ873" s="115"/>
      <c r="BK873" s="115"/>
      <c r="BL873" s="115"/>
      <c r="BM873" s="25"/>
      <c r="BN873" s="15"/>
      <c r="BQ873" s="114"/>
    </row>
    <row r="874" spans="6:69" ht="19.5" x14ac:dyDescent="0.4"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7"/>
      <c r="AP874" s="13"/>
      <c r="AU874" s="117"/>
      <c r="AV874" s="123"/>
      <c r="AW874" s="123"/>
      <c r="AX874" s="123"/>
      <c r="AY874" s="115"/>
      <c r="AZ874" s="115"/>
      <c r="BA874" s="115"/>
      <c r="BB874" s="115"/>
      <c r="BC874" s="115"/>
      <c r="BD874" s="115"/>
      <c r="BE874" s="115"/>
      <c r="BF874" s="115"/>
      <c r="BG874" s="115"/>
      <c r="BH874" s="115"/>
      <c r="BI874" s="115"/>
      <c r="BJ874" s="115"/>
      <c r="BK874" s="115"/>
      <c r="BL874" s="115"/>
      <c r="BM874" s="25"/>
      <c r="BN874" s="15"/>
      <c r="BQ874" s="114"/>
    </row>
    <row r="875" spans="6:69" ht="19.5" x14ac:dyDescent="0.4"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26"/>
      <c r="AP875" s="13"/>
      <c r="AU875" s="117"/>
      <c r="AV875" s="123"/>
      <c r="AW875" s="123"/>
      <c r="AX875" s="123"/>
      <c r="AY875" s="115"/>
      <c r="AZ875" s="115"/>
      <c r="BA875" s="115"/>
      <c r="BB875" s="115"/>
      <c r="BC875" s="115"/>
      <c r="BD875" s="115"/>
      <c r="BE875" s="115"/>
      <c r="BF875" s="115"/>
      <c r="BG875" s="115"/>
      <c r="BH875" s="115"/>
      <c r="BI875" s="115"/>
      <c r="BJ875" s="115"/>
      <c r="BK875" s="115"/>
      <c r="BL875" s="115"/>
      <c r="BM875" s="25"/>
      <c r="BN875" s="15"/>
      <c r="BQ875" s="114"/>
    </row>
    <row r="876" spans="6:69" ht="19.5" x14ac:dyDescent="0.4"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7"/>
      <c r="AP876" s="13"/>
      <c r="AU876" s="117"/>
      <c r="AV876" s="123"/>
      <c r="AW876" s="123"/>
      <c r="AX876" s="123"/>
      <c r="AY876" s="115"/>
      <c r="AZ876" s="115"/>
      <c r="BA876" s="115"/>
      <c r="BB876" s="115"/>
      <c r="BC876" s="115"/>
      <c r="BD876" s="115"/>
      <c r="BE876" s="115"/>
      <c r="BF876" s="115"/>
      <c r="BG876" s="115"/>
      <c r="BH876" s="115"/>
      <c r="BI876" s="115"/>
      <c r="BJ876" s="115"/>
      <c r="BK876" s="115"/>
      <c r="BL876" s="115"/>
      <c r="BM876" s="25"/>
      <c r="BN876" s="15"/>
      <c r="BQ876" s="114"/>
    </row>
    <row r="877" spans="6:69" ht="19.5" x14ac:dyDescent="0.4"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26"/>
      <c r="AP877" s="13"/>
      <c r="AU877" s="117"/>
      <c r="AV877" s="123"/>
      <c r="AW877" s="123"/>
      <c r="AX877" s="123"/>
      <c r="AY877" s="115"/>
      <c r="AZ877" s="115"/>
      <c r="BA877" s="115"/>
      <c r="BB877" s="115"/>
      <c r="BC877" s="115"/>
      <c r="BD877" s="115"/>
      <c r="BE877" s="115"/>
      <c r="BF877" s="115"/>
      <c r="BG877" s="115"/>
      <c r="BH877" s="115"/>
      <c r="BI877" s="115"/>
      <c r="BJ877" s="115"/>
      <c r="BK877" s="115"/>
      <c r="BL877" s="115"/>
      <c r="BM877" s="25"/>
      <c r="BN877" s="15"/>
      <c r="BQ877" s="114"/>
    </row>
    <row r="878" spans="6:69" ht="19.5" x14ac:dyDescent="0.4">
      <c r="AO878" s="26"/>
      <c r="AP878" s="13"/>
      <c r="AU878" s="117"/>
      <c r="AV878" s="123"/>
      <c r="AW878" s="123"/>
      <c r="AX878" s="123"/>
      <c r="AY878" s="115"/>
      <c r="AZ878" s="115"/>
      <c r="BA878" s="115"/>
      <c r="BB878" s="115"/>
      <c r="BC878" s="115"/>
      <c r="BD878" s="115"/>
      <c r="BE878" s="115"/>
      <c r="BF878" s="115"/>
      <c r="BG878" s="115"/>
      <c r="BH878" s="115"/>
      <c r="BI878" s="115"/>
      <c r="BJ878" s="115"/>
      <c r="BK878" s="115"/>
      <c r="BL878" s="115"/>
      <c r="BM878" s="25">
        <v>45272</v>
      </c>
      <c r="BN878" s="15" t="s">
        <v>162</v>
      </c>
      <c r="BQ878" s="114"/>
    </row>
    <row r="879" spans="6:69" ht="19.5" x14ac:dyDescent="0.4">
      <c r="AH879" s="115"/>
      <c r="AI879" s="115"/>
      <c r="AJ879" s="115"/>
      <c r="AK879" s="115"/>
      <c r="AL879" s="115"/>
      <c r="AM879" s="115"/>
      <c r="AN879" s="115"/>
      <c r="AO879" s="26"/>
      <c r="AP879" s="13"/>
      <c r="AU879" s="117"/>
      <c r="AV879" s="123"/>
      <c r="AW879" s="123"/>
      <c r="AX879" s="123"/>
      <c r="AY879" s="115"/>
      <c r="AZ879" s="115"/>
      <c r="BA879" s="115"/>
      <c r="BB879" s="115"/>
      <c r="BC879" s="115"/>
      <c r="BD879" s="115"/>
      <c r="BE879" s="115"/>
      <c r="BF879" s="115"/>
      <c r="BG879" s="115"/>
      <c r="BH879" s="115"/>
      <c r="BI879" s="115"/>
      <c r="BJ879" s="115"/>
      <c r="BK879" s="115"/>
      <c r="BL879" s="115"/>
      <c r="BM879" s="25"/>
      <c r="BN879" s="15"/>
      <c r="BQ879" s="114"/>
    </row>
    <row r="880" spans="6:69" ht="19.5" x14ac:dyDescent="0.4">
      <c r="AH880" s="115"/>
      <c r="AI880" s="115"/>
      <c r="AJ880" s="115"/>
      <c r="AK880" s="115"/>
      <c r="AL880" s="115"/>
      <c r="AM880" s="115"/>
      <c r="AN880" s="115"/>
      <c r="AO880" s="17"/>
      <c r="AP880" s="13"/>
      <c r="AU880" s="117"/>
      <c r="AV880" s="123"/>
      <c r="AW880" s="123"/>
      <c r="AX880" s="123"/>
      <c r="AY880" s="115"/>
      <c r="AZ880" s="115"/>
      <c r="BA880" s="115"/>
      <c r="BB880" s="115"/>
      <c r="BC880" s="115"/>
      <c r="BD880" s="115"/>
      <c r="BE880" s="115"/>
      <c r="BF880" s="115"/>
      <c r="BG880" s="115"/>
      <c r="BH880" s="115"/>
      <c r="BI880" s="115"/>
      <c r="BJ880" s="115"/>
      <c r="BK880" s="115"/>
      <c r="BL880" s="115"/>
      <c r="BM880" s="25"/>
      <c r="BN880" s="15"/>
      <c r="BQ880" s="114"/>
    </row>
    <row r="881" spans="6:69" ht="19.5" x14ac:dyDescent="0.4"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26"/>
      <c r="AP881" s="13"/>
      <c r="AU881" s="117"/>
      <c r="AV881" s="123"/>
      <c r="AW881" s="123"/>
      <c r="AX881" s="123"/>
      <c r="AY881" s="115"/>
      <c r="AZ881" s="115"/>
      <c r="BA881" s="115"/>
      <c r="BB881" s="115"/>
      <c r="BC881" s="115"/>
      <c r="BD881" s="115"/>
      <c r="BE881" s="115"/>
      <c r="BF881" s="115"/>
      <c r="BG881" s="115"/>
      <c r="BH881" s="115"/>
      <c r="BI881" s="115"/>
      <c r="BJ881" s="115"/>
      <c r="BK881" s="115"/>
      <c r="BL881" s="115"/>
      <c r="BM881" s="25"/>
      <c r="BN881" s="15"/>
      <c r="BQ881" s="114"/>
    </row>
    <row r="882" spans="6:69" ht="19.5" x14ac:dyDescent="0.4"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7"/>
      <c r="AP882" s="13"/>
      <c r="AU882" s="117"/>
      <c r="AV882" s="123"/>
      <c r="AW882" s="123"/>
      <c r="AX882" s="123"/>
      <c r="AY882" s="115"/>
      <c r="AZ882" s="115"/>
      <c r="BA882" s="115"/>
      <c r="BB882" s="115"/>
      <c r="BC882" s="115"/>
      <c r="BD882" s="115"/>
      <c r="BE882" s="115"/>
      <c r="BF882" s="115"/>
      <c r="BG882" s="115"/>
      <c r="BH882" s="115"/>
      <c r="BI882" s="115"/>
      <c r="BJ882" s="115"/>
      <c r="BK882" s="115"/>
      <c r="BL882" s="115"/>
      <c r="BM882" s="25"/>
      <c r="BN882" s="15"/>
      <c r="BQ882" s="114"/>
    </row>
    <row r="883" spans="6:69" ht="19.5" x14ac:dyDescent="0.4"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26"/>
      <c r="AP883" s="25"/>
      <c r="AU883" s="117"/>
      <c r="AV883" s="123"/>
      <c r="AW883" s="123"/>
      <c r="AX883" s="123"/>
      <c r="AY883" s="115"/>
      <c r="AZ883" s="115"/>
      <c r="BA883" s="115"/>
      <c r="BB883" s="115"/>
      <c r="BC883" s="115"/>
      <c r="BD883" s="115"/>
      <c r="BE883" s="115"/>
      <c r="BF883" s="115"/>
      <c r="BG883" s="115"/>
      <c r="BH883" s="115"/>
      <c r="BI883" s="115"/>
      <c r="BJ883" s="115"/>
      <c r="BK883" s="115"/>
      <c r="BL883" s="115"/>
      <c r="BM883" s="25"/>
      <c r="BN883" s="15"/>
      <c r="BQ883" s="114"/>
    </row>
    <row r="884" spans="6:69" ht="19.5" x14ac:dyDescent="0.4"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7"/>
      <c r="AP884" s="13"/>
      <c r="AU884" s="117"/>
      <c r="AV884" s="123"/>
      <c r="AW884" s="123"/>
      <c r="AX884" s="123"/>
      <c r="AY884" s="115"/>
      <c r="AZ884" s="115"/>
      <c r="BA884" s="115"/>
      <c r="BB884" s="115"/>
      <c r="BC884" s="115"/>
      <c r="BD884" s="115"/>
      <c r="BE884" s="115"/>
      <c r="BF884" s="115"/>
      <c r="BG884" s="115"/>
      <c r="BH884" s="115"/>
      <c r="BI884" s="115"/>
      <c r="BJ884" s="115"/>
      <c r="BK884" s="115"/>
      <c r="BL884" s="115"/>
      <c r="BM884" s="25"/>
      <c r="BN884" s="15"/>
      <c r="BQ884" s="114"/>
    </row>
    <row r="885" spans="6:69" ht="19.5" x14ac:dyDescent="0.4"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26"/>
      <c r="AP885" s="13"/>
      <c r="AU885" s="117"/>
      <c r="AV885" s="123"/>
      <c r="AW885" s="123"/>
      <c r="AX885" s="123"/>
      <c r="AY885" s="115"/>
      <c r="AZ885" s="115"/>
      <c r="BA885" s="115"/>
      <c r="BB885" s="115"/>
      <c r="BC885" s="115"/>
      <c r="BD885" s="115"/>
      <c r="BE885" s="115"/>
      <c r="BF885" s="115"/>
      <c r="BG885" s="115"/>
      <c r="BH885" s="115"/>
      <c r="BI885" s="115"/>
      <c r="BJ885" s="115"/>
      <c r="BK885" s="115"/>
      <c r="BL885" s="115"/>
      <c r="BM885" s="25"/>
      <c r="BN885" s="15"/>
      <c r="BQ885" s="114"/>
    </row>
    <row r="886" spans="6:69" ht="19.5" x14ac:dyDescent="0.4">
      <c r="AO886" s="26"/>
      <c r="AP886" s="13"/>
      <c r="AU886" s="117"/>
      <c r="AV886" s="123"/>
      <c r="AW886" s="123"/>
      <c r="AX886" s="123"/>
      <c r="AY886" s="115"/>
      <c r="AZ886" s="115"/>
      <c r="BA886" s="115"/>
      <c r="BB886" s="115"/>
      <c r="BC886" s="115"/>
      <c r="BD886" s="115"/>
      <c r="BE886" s="115"/>
      <c r="BF886" s="115"/>
      <c r="BG886" s="115"/>
      <c r="BH886" s="115"/>
      <c r="BI886" s="115"/>
      <c r="BJ886" s="115"/>
      <c r="BK886" s="115"/>
      <c r="BL886" s="115"/>
      <c r="BM886" s="25">
        <v>45272</v>
      </c>
      <c r="BN886" s="15" t="s">
        <v>162</v>
      </c>
      <c r="BQ886" s="114"/>
    </row>
    <row r="887" spans="6:69" ht="19.5" x14ac:dyDescent="0.4">
      <c r="AI887" s="115"/>
      <c r="AJ887" s="115"/>
      <c r="AK887" s="115"/>
      <c r="AL887" s="115"/>
      <c r="AM887" s="115"/>
      <c r="AN887" s="115"/>
      <c r="AO887" s="17"/>
      <c r="AP887" s="13"/>
      <c r="AU887" s="117"/>
      <c r="AV887" s="123"/>
      <c r="AW887" s="123"/>
      <c r="AX887" s="123"/>
      <c r="AY887" s="115"/>
      <c r="AZ887" s="115"/>
      <c r="BA887" s="115"/>
      <c r="BB887" s="115"/>
      <c r="BC887" s="115"/>
      <c r="BD887" s="115"/>
      <c r="BE887" s="115"/>
      <c r="BF887" s="115"/>
      <c r="BG887" s="115"/>
      <c r="BH887" s="115"/>
      <c r="BI887" s="115"/>
      <c r="BJ887" s="115"/>
      <c r="BK887" s="115"/>
      <c r="BL887" s="115"/>
      <c r="BM887" s="25"/>
      <c r="BN887" s="15"/>
      <c r="BQ887" s="114"/>
    </row>
    <row r="888" spans="6:69" ht="19.5" x14ac:dyDescent="0.4">
      <c r="AH888" s="115"/>
      <c r="AI888" s="115"/>
      <c r="AJ888" s="115"/>
      <c r="AK888" s="115"/>
      <c r="AL888" s="115"/>
      <c r="AM888" s="115"/>
      <c r="AN888" s="115"/>
      <c r="AO888" s="26"/>
      <c r="AP888" s="13"/>
      <c r="AU888" s="117"/>
      <c r="AV888" s="123"/>
      <c r="AW888" s="123"/>
      <c r="AX888" s="123"/>
      <c r="AY888" s="115"/>
      <c r="AZ888" s="115"/>
      <c r="BA888" s="115"/>
      <c r="BB888" s="115"/>
      <c r="BC888" s="115"/>
      <c r="BD888" s="115"/>
      <c r="BE888" s="115"/>
      <c r="BF888" s="115"/>
      <c r="BG888" s="115"/>
      <c r="BH888" s="115"/>
      <c r="BI888" s="115"/>
      <c r="BJ888" s="115"/>
      <c r="BK888" s="115"/>
      <c r="BL888" s="115"/>
      <c r="BM888" s="25"/>
      <c r="BN888" s="15"/>
      <c r="BQ888" s="114"/>
    </row>
    <row r="889" spans="6:69" ht="19.5" x14ac:dyDescent="0.4">
      <c r="AH889" s="115"/>
      <c r="AI889" s="115"/>
      <c r="AJ889" s="115"/>
      <c r="AK889" s="115"/>
      <c r="AL889" s="115"/>
      <c r="AM889" s="115"/>
      <c r="AN889" s="115"/>
      <c r="AO889" s="17"/>
      <c r="AP889" s="13"/>
      <c r="AU889" s="117"/>
      <c r="AV889" s="123"/>
      <c r="AW889" s="123"/>
      <c r="AX889" s="123"/>
      <c r="AY889" s="115"/>
      <c r="AZ889" s="115"/>
      <c r="BA889" s="115"/>
      <c r="BB889" s="115"/>
      <c r="BC889" s="115"/>
      <c r="BD889" s="115"/>
      <c r="BE889" s="115"/>
      <c r="BF889" s="115"/>
      <c r="BG889" s="115"/>
      <c r="BH889" s="115"/>
      <c r="BI889" s="115"/>
      <c r="BJ889" s="115"/>
      <c r="BK889" s="115"/>
      <c r="BL889" s="115"/>
      <c r="BM889" s="25"/>
      <c r="BN889" s="15"/>
      <c r="BQ889" s="114"/>
    </row>
    <row r="890" spans="6:69" ht="19.5" x14ac:dyDescent="0.4">
      <c r="AH890" s="115"/>
      <c r="AI890" s="115"/>
      <c r="AJ890" s="115"/>
      <c r="AK890" s="115"/>
      <c r="AL890" s="115"/>
      <c r="AM890" s="115"/>
      <c r="AN890" s="115"/>
      <c r="AO890" s="17"/>
      <c r="AP890" s="13"/>
      <c r="AU890" s="117"/>
      <c r="AV890" s="123"/>
      <c r="AW890" s="123"/>
      <c r="AX890" s="123"/>
      <c r="AY890" s="115"/>
      <c r="AZ890" s="115"/>
      <c r="BA890" s="115"/>
      <c r="BB890" s="115"/>
      <c r="BC890" s="115"/>
      <c r="BD890" s="115"/>
      <c r="BE890" s="115"/>
      <c r="BF890" s="115"/>
      <c r="BG890" s="115"/>
      <c r="BH890" s="115"/>
      <c r="BI890" s="115"/>
      <c r="BJ890" s="115"/>
      <c r="BK890" s="115"/>
      <c r="BL890" s="115"/>
      <c r="BM890" s="25"/>
      <c r="BN890" s="15"/>
      <c r="BQ890" s="114"/>
    </row>
    <row r="891" spans="6:69" ht="19.5" x14ac:dyDescent="0.4"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26"/>
      <c r="AP891" s="13"/>
      <c r="AU891" s="117"/>
      <c r="AV891" s="123"/>
      <c r="AW891" s="123"/>
      <c r="AX891" s="123"/>
      <c r="AY891" s="115"/>
      <c r="AZ891" s="115"/>
      <c r="BA891" s="115"/>
      <c r="BB891" s="115"/>
      <c r="BC891" s="115"/>
      <c r="BD891" s="115"/>
      <c r="BE891" s="115"/>
      <c r="BF891" s="115"/>
      <c r="BG891" s="115"/>
      <c r="BH891" s="115"/>
      <c r="BI891" s="115"/>
      <c r="BJ891" s="115"/>
      <c r="BK891" s="115"/>
      <c r="BL891" s="115"/>
      <c r="BM891" s="25"/>
      <c r="BN891" s="15"/>
      <c r="BQ891" s="114"/>
    </row>
    <row r="892" spans="6:69" ht="19.5" x14ac:dyDescent="0.4"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20"/>
      <c r="AP892" s="13"/>
      <c r="AU892" s="117"/>
      <c r="AV892" s="123"/>
      <c r="AW892" s="123"/>
      <c r="AX892" s="123"/>
      <c r="AY892" s="115"/>
      <c r="AZ892" s="115"/>
      <c r="BA892" s="115"/>
      <c r="BB892" s="115"/>
      <c r="BC892" s="115"/>
      <c r="BD892" s="115"/>
      <c r="BE892" s="115"/>
      <c r="BF892" s="115"/>
      <c r="BG892" s="115"/>
      <c r="BH892" s="115"/>
      <c r="BI892" s="115"/>
      <c r="BJ892" s="115"/>
      <c r="BK892" s="115"/>
      <c r="BL892" s="115"/>
      <c r="BM892" s="25"/>
      <c r="BN892" s="15"/>
      <c r="BQ892" s="114"/>
    </row>
    <row r="893" spans="6:69" ht="19.5" x14ac:dyDescent="0.4"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20"/>
      <c r="AP893" s="13"/>
      <c r="AU893" s="117"/>
      <c r="AV893" s="123"/>
      <c r="AW893" s="123"/>
      <c r="AX893" s="123"/>
      <c r="AY893" s="115"/>
      <c r="AZ893" s="115"/>
      <c r="BA893" s="115"/>
      <c r="BB893" s="115"/>
      <c r="BC893" s="115"/>
      <c r="BD893" s="115"/>
      <c r="BE893" s="115"/>
      <c r="BF893" s="115"/>
      <c r="BG893" s="115"/>
      <c r="BH893" s="115"/>
      <c r="BI893" s="115"/>
      <c r="BJ893" s="115"/>
      <c r="BK893" s="115"/>
      <c r="BL893" s="115"/>
      <c r="BM893" s="25"/>
      <c r="BN893" s="15"/>
      <c r="BQ893" s="114"/>
    </row>
    <row r="894" spans="6:69" ht="19.5" x14ac:dyDescent="0.4"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25"/>
      <c r="AP894" s="15"/>
      <c r="AU894" s="117"/>
      <c r="AV894" s="123"/>
      <c r="AW894" s="123"/>
      <c r="AX894" s="123"/>
      <c r="AY894" s="115"/>
      <c r="AZ894" s="115"/>
      <c r="BA894" s="115"/>
      <c r="BB894" s="115"/>
      <c r="BC894" s="115"/>
      <c r="BD894" s="115"/>
      <c r="BE894" s="115"/>
      <c r="BF894" s="115"/>
      <c r="BG894" s="115"/>
      <c r="BH894" s="115"/>
      <c r="BI894" s="115"/>
      <c r="BJ894" s="115"/>
      <c r="BK894" s="115"/>
      <c r="BL894" s="115"/>
      <c r="BM894" s="25"/>
      <c r="BN894" s="15"/>
      <c r="BQ894" s="114"/>
    </row>
    <row r="895" spans="6:69" ht="19.5" x14ac:dyDescent="0.4"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25"/>
      <c r="AP895" s="15"/>
      <c r="AU895" s="117"/>
      <c r="AV895" s="123"/>
      <c r="AW895" s="123"/>
      <c r="AX895" s="123"/>
      <c r="AY895" s="115"/>
      <c r="AZ895" s="115"/>
      <c r="BA895" s="115"/>
      <c r="BB895" s="115"/>
      <c r="BC895" s="115"/>
      <c r="BD895" s="115"/>
      <c r="BE895" s="115"/>
      <c r="BF895" s="115"/>
      <c r="BG895" s="115"/>
      <c r="BH895" s="115"/>
      <c r="BI895" s="115"/>
      <c r="BJ895" s="115"/>
      <c r="BK895" s="115"/>
      <c r="BL895" s="115"/>
      <c r="BM895" s="25"/>
      <c r="BN895" s="15"/>
      <c r="BQ895" s="114"/>
    </row>
    <row r="896" spans="6:69" ht="19.5" x14ac:dyDescent="0.4"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25"/>
      <c r="AP896" s="15"/>
      <c r="AU896" s="117"/>
      <c r="AV896" s="123"/>
      <c r="AW896" s="123"/>
      <c r="AX896" s="123"/>
      <c r="AY896" s="115"/>
      <c r="AZ896" s="115"/>
      <c r="BA896" s="115"/>
      <c r="BB896" s="115"/>
      <c r="BC896" s="115"/>
      <c r="BD896" s="115"/>
      <c r="BE896" s="115"/>
      <c r="BF896" s="115"/>
      <c r="BG896" s="115"/>
      <c r="BH896" s="115"/>
      <c r="BI896" s="115"/>
      <c r="BJ896" s="115"/>
      <c r="BK896" s="115"/>
      <c r="BL896" s="115"/>
      <c r="BM896" s="25"/>
      <c r="BN896" s="15"/>
      <c r="BQ896" s="114"/>
    </row>
    <row r="897" spans="30:69" ht="19.5" x14ac:dyDescent="0.4">
      <c r="AO897" s="26"/>
      <c r="AP897" s="15"/>
      <c r="AU897" s="117"/>
      <c r="AV897" s="123"/>
      <c r="AW897" s="123"/>
      <c r="AX897" s="123"/>
      <c r="AY897" s="115"/>
      <c r="AZ897" s="115"/>
      <c r="BA897" s="115"/>
      <c r="BB897" s="115"/>
      <c r="BC897" s="115"/>
      <c r="BD897" s="115"/>
      <c r="BE897" s="115"/>
      <c r="BF897" s="115"/>
      <c r="BG897" s="115"/>
      <c r="BH897" s="115"/>
      <c r="BI897" s="115"/>
      <c r="BJ897" s="115"/>
      <c r="BK897" s="115"/>
      <c r="BL897" s="115"/>
      <c r="BM897" s="25">
        <v>45272</v>
      </c>
      <c r="BN897" s="15" t="s">
        <v>162</v>
      </c>
      <c r="BQ897" s="114"/>
    </row>
    <row r="898" spans="30:69" ht="19.5" x14ac:dyDescent="0.4">
      <c r="AO898" s="26"/>
      <c r="AP898" s="13"/>
      <c r="AU898" s="117"/>
      <c r="AV898" s="123"/>
      <c r="AW898" s="123"/>
      <c r="AX898" s="123"/>
      <c r="AY898" s="115"/>
      <c r="AZ898" s="115"/>
      <c r="BA898" s="115"/>
      <c r="BB898" s="115"/>
      <c r="BC898" s="115"/>
      <c r="BD898" s="115"/>
      <c r="BE898" s="115"/>
      <c r="BF898" s="115"/>
      <c r="BG898" s="115"/>
      <c r="BH898" s="115"/>
      <c r="BI898" s="115"/>
      <c r="BJ898" s="115"/>
      <c r="BK898" s="115"/>
      <c r="BL898" s="115"/>
      <c r="BM898" s="25"/>
      <c r="BN898" s="15"/>
      <c r="BQ898" s="114"/>
    </row>
    <row r="899" spans="30:69" ht="19.5" x14ac:dyDescent="0.4"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26"/>
      <c r="AP899" s="13"/>
      <c r="AU899" s="117"/>
      <c r="AV899" s="123"/>
      <c r="AW899" s="123"/>
      <c r="AX899" s="123"/>
      <c r="AY899" s="115"/>
      <c r="AZ899" s="115"/>
      <c r="BA899" s="115"/>
      <c r="BB899" s="115"/>
      <c r="BC899" s="115"/>
      <c r="BD899" s="115"/>
      <c r="BE899" s="115"/>
      <c r="BF899" s="115"/>
      <c r="BG899" s="115"/>
      <c r="BH899" s="115"/>
      <c r="BI899" s="115"/>
      <c r="BJ899" s="115"/>
      <c r="BK899" s="115"/>
      <c r="BL899" s="115"/>
      <c r="BM899" s="25"/>
      <c r="BN899" s="15"/>
      <c r="BQ899" s="114"/>
    </row>
    <row r="900" spans="30:69" ht="19.5" x14ac:dyDescent="0.4">
      <c r="AO900" s="26"/>
      <c r="AP900" s="13"/>
      <c r="AU900" s="117"/>
      <c r="AV900" s="123"/>
      <c r="AW900" s="123"/>
      <c r="AX900" s="123"/>
      <c r="AY900" s="115"/>
      <c r="AZ900" s="115"/>
      <c r="BA900" s="115"/>
      <c r="BB900" s="115"/>
      <c r="BC900" s="115"/>
      <c r="BD900" s="115"/>
      <c r="BE900" s="115"/>
      <c r="BF900" s="115"/>
      <c r="BG900" s="115"/>
      <c r="BH900" s="115"/>
      <c r="BI900" s="115"/>
      <c r="BJ900" s="115"/>
      <c r="BK900" s="115"/>
      <c r="BL900" s="115"/>
      <c r="BM900" s="25">
        <v>45272</v>
      </c>
      <c r="BN900" s="15" t="s">
        <v>162</v>
      </c>
      <c r="BQ900" s="114"/>
    </row>
    <row r="901" spans="30:69" ht="19.5" x14ac:dyDescent="0.4">
      <c r="AG901" s="115"/>
      <c r="AH901" s="115"/>
      <c r="AI901" s="115"/>
      <c r="AJ901" s="115"/>
      <c r="AK901" s="115"/>
      <c r="AL901" s="115"/>
      <c r="AM901" s="115"/>
      <c r="AN901" s="115"/>
      <c r="AO901" s="17"/>
      <c r="AP901" s="13"/>
      <c r="AU901" s="117"/>
      <c r="AV901" s="123"/>
      <c r="AW901" s="123"/>
      <c r="AX901" s="123"/>
      <c r="AY901" s="115"/>
      <c r="AZ901" s="115"/>
      <c r="BA901" s="115"/>
      <c r="BB901" s="115"/>
      <c r="BC901" s="115"/>
      <c r="BD901" s="115"/>
      <c r="BE901" s="115"/>
      <c r="BF901" s="115"/>
      <c r="BG901" s="115"/>
      <c r="BH901" s="115"/>
      <c r="BI901" s="115"/>
      <c r="BJ901" s="115"/>
      <c r="BK901" s="115"/>
      <c r="BL901" s="115"/>
      <c r="BM901" s="25"/>
      <c r="BN901" s="15"/>
      <c r="BQ901" s="114"/>
    </row>
    <row r="902" spans="30:69" ht="19.5" x14ac:dyDescent="0.4">
      <c r="AO902" s="26"/>
      <c r="AP902" s="13"/>
      <c r="AU902" s="117"/>
      <c r="AV902" s="123"/>
      <c r="AW902" s="123"/>
      <c r="AX902" s="123"/>
      <c r="AY902" s="115"/>
      <c r="AZ902" s="115"/>
      <c r="BA902" s="115"/>
      <c r="BB902" s="115"/>
      <c r="BC902" s="115"/>
      <c r="BD902" s="115"/>
      <c r="BE902" s="115"/>
      <c r="BF902" s="115"/>
      <c r="BG902" s="115"/>
      <c r="BH902" s="115"/>
      <c r="BI902" s="115"/>
      <c r="BJ902" s="115"/>
      <c r="BK902" s="115"/>
      <c r="BL902" s="115"/>
      <c r="BM902" s="25"/>
      <c r="BN902" s="15"/>
      <c r="BQ902" s="114"/>
    </row>
    <row r="903" spans="30:69" ht="19.5" x14ac:dyDescent="0.4"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26"/>
      <c r="AP903" s="13"/>
      <c r="AU903" s="117"/>
      <c r="AV903" s="123"/>
      <c r="AW903" s="123"/>
      <c r="AX903" s="123"/>
      <c r="AY903" s="115"/>
      <c r="AZ903" s="115"/>
      <c r="BA903" s="115"/>
      <c r="BB903" s="115"/>
      <c r="BC903" s="115"/>
      <c r="BD903" s="115"/>
      <c r="BE903" s="115"/>
      <c r="BF903" s="115"/>
      <c r="BG903" s="115"/>
      <c r="BH903" s="115"/>
      <c r="BI903" s="115"/>
      <c r="BJ903" s="115"/>
      <c r="BK903" s="115"/>
      <c r="BL903" s="115"/>
      <c r="BM903" s="25"/>
      <c r="BN903" s="15"/>
      <c r="BQ903" s="114"/>
    </row>
    <row r="904" spans="30:69" ht="19.5" x14ac:dyDescent="0.4">
      <c r="AO904" s="26"/>
      <c r="AP904" s="13"/>
      <c r="AU904" s="117"/>
      <c r="AV904" s="123"/>
      <c r="AW904" s="123"/>
      <c r="AX904" s="123"/>
      <c r="AY904" s="115"/>
      <c r="AZ904" s="115"/>
      <c r="BA904" s="115"/>
      <c r="BB904" s="115"/>
      <c r="BC904" s="115"/>
      <c r="BD904" s="115"/>
      <c r="BE904" s="115"/>
      <c r="BF904" s="115"/>
      <c r="BG904" s="115"/>
      <c r="BH904" s="115"/>
      <c r="BI904" s="115"/>
      <c r="BJ904" s="115"/>
      <c r="BK904" s="115"/>
      <c r="BL904" s="115"/>
      <c r="BM904" s="25">
        <v>45272</v>
      </c>
      <c r="BN904" s="15" t="s">
        <v>162</v>
      </c>
      <c r="BQ904" s="114"/>
    </row>
    <row r="905" spans="30:69" ht="19.5" x14ac:dyDescent="0.4">
      <c r="AO905" s="26"/>
      <c r="AP905" s="13"/>
      <c r="AU905" s="117"/>
      <c r="AV905" s="123"/>
      <c r="AW905" s="123"/>
      <c r="AX905" s="123"/>
      <c r="AY905" s="115"/>
      <c r="AZ905" s="115"/>
      <c r="BA905" s="115"/>
      <c r="BB905" s="115"/>
      <c r="BC905" s="115"/>
      <c r="BD905" s="115"/>
      <c r="BE905" s="115"/>
      <c r="BF905" s="115"/>
      <c r="BG905" s="115"/>
      <c r="BH905" s="115"/>
      <c r="BI905" s="115"/>
      <c r="BJ905" s="115"/>
      <c r="BK905" s="115"/>
      <c r="BL905" s="115" t="s">
        <v>166</v>
      </c>
      <c r="BM905" s="13">
        <f>SUBTOTAL(3,BM853:BM904)</f>
        <v>13</v>
      </c>
      <c r="BN905" s="15">
        <f>SUBTOTAL(3,BN853:BN904)</f>
        <v>13</v>
      </c>
      <c r="BQ905" s="114"/>
    </row>
    <row r="906" spans="30:69" ht="19.5" x14ac:dyDescent="0.4">
      <c r="AG906" s="115"/>
      <c r="AH906" s="115"/>
      <c r="AI906" s="115"/>
      <c r="AJ906" s="115"/>
      <c r="AK906" s="115"/>
      <c r="AL906" s="115"/>
      <c r="AM906" s="115"/>
      <c r="AN906" s="115"/>
      <c r="AO906" s="17"/>
      <c r="AP906" s="13"/>
      <c r="AU906" s="117"/>
      <c r="AV906" s="123"/>
      <c r="AW906" s="123"/>
      <c r="AX906" s="123"/>
      <c r="AY906" s="115"/>
      <c r="AZ906" s="115"/>
      <c r="BA906" s="115"/>
      <c r="BB906" s="115"/>
      <c r="BC906" s="115"/>
      <c r="BD906" s="115"/>
      <c r="BE906" s="115"/>
      <c r="BF906" s="115"/>
      <c r="BG906" s="115"/>
      <c r="BH906" s="115"/>
      <c r="BI906" s="115"/>
      <c r="BJ906" s="115"/>
      <c r="BK906" s="115"/>
      <c r="BL906" s="115"/>
      <c r="BM906" s="13"/>
      <c r="BN906" s="15"/>
      <c r="BQ906" s="114"/>
    </row>
    <row r="907" spans="30:69" ht="19.5" x14ac:dyDescent="0.4">
      <c r="AO907" s="26"/>
      <c r="AP907" s="13"/>
      <c r="AU907" s="117"/>
      <c r="AV907" s="123"/>
      <c r="AW907" s="123"/>
      <c r="AX907" s="123"/>
      <c r="AY907" s="115"/>
      <c r="AZ907" s="115"/>
      <c r="BA907" s="115"/>
      <c r="BB907" s="115"/>
      <c r="BC907" s="115"/>
      <c r="BD907" s="115"/>
      <c r="BE907" s="115"/>
      <c r="BF907" s="115"/>
      <c r="BG907" s="115"/>
      <c r="BH907" s="115"/>
      <c r="BI907" s="115"/>
      <c r="BJ907" s="115"/>
      <c r="BK907" s="115"/>
      <c r="BL907" s="115"/>
      <c r="BM907" s="25">
        <v>45273</v>
      </c>
      <c r="BN907" s="105" t="s">
        <v>164</v>
      </c>
      <c r="BQ907" s="114"/>
    </row>
    <row r="908" spans="30:69" ht="19.5" x14ac:dyDescent="0.4">
      <c r="AO908" s="26"/>
      <c r="AP908" s="13"/>
      <c r="AU908" s="117"/>
      <c r="AV908" s="123"/>
      <c r="AW908" s="123"/>
      <c r="AX908" s="123"/>
      <c r="AY908" s="115"/>
      <c r="AZ908" s="115"/>
      <c r="BA908" s="115"/>
      <c r="BB908" s="115"/>
      <c r="BC908" s="115"/>
      <c r="BD908" s="115"/>
      <c r="BE908" s="115"/>
      <c r="BF908" s="115"/>
      <c r="BG908" s="115"/>
      <c r="BH908" s="115"/>
      <c r="BI908" s="115"/>
      <c r="BJ908" s="115"/>
      <c r="BK908" s="115"/>
      <c r="BL908" s="115"/>
      <c r="BM908" s="25">
        <v>45273</v>
      </c>
      <c r="BN908" s="15" t="s">
        <v>164</v>
      </c>
      <c r="BQ908" s="114"/>
    </row>
    <row r="909" spans="30:69" ht="19.5" x14ac:dyDescent="0.4"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26"/>
      <c r="AP909" s="13"/>
      <c r="AU909" s="117"/>
      <c r="AV909" s="123"/>
      <c r="AW909" s="123"/>
      <c r="AX909" s="123"/>
      <c r="AY909" s="115"/>
      <c r="AZ909" s="115"/>
      <c r="BA909" s="115"/>
      <c r="BB909" s="115"/>
      <c r="BC909" s="115"/>
      <c r="BD909" s="115"/>
      <c r="BE909" s="115"/>
      <c r="BF909" s="115"/>
      <c r="BG909" s="115"/>
      <c r="BH909" s="115"/>
      <c r="BI909" s="115"/>
      <c r="BJ909" s="115"/>
      <c r="BK909" s="115"/>
      <c r="BL909" s="115"/>
      <c r="BM909" s="25"/>
      <c r="BN909" s="13"/>
      <c r="BQ909" s="114"/>
    </row>
    <row r="910" spans="30:69" ht="19.5" x14ac:dyDescent="0.4">
      <c r="AO910" s="26"/>
      <c r="AP910" s="13"/>
      <c r="AU910" s="117"/>
      <c r="AV910" s="123"/>
      <c r="AW910" s="123"/>
      <c r="AX910" s="123"/>
      <c r="AY910" s="115"/>
      <c r="AZ910" s="115"/>
      <c r="BA910" s="115"/>
      <c r="BB910" s="115"/>
      <c r="BC910" s="115"/>
      <c r="BD910" s="115"/>
      <c r="BE910" s="115"/>
      <c r="BF910" s="115"/>
      <c r="BG910" s="115"/>
      <c r="BH910" s="115"/>
      <c r="BI910" s="115"/>
      <c r="BJ910" s="115"/>
      <c r="BK910" s="115"/>
      <c r="BL910" s="115"/>
      <c r="BM910" s="25">
        <v>45273</v>
      </c>
      <c r="BN910" s="13" t="s">
        <v>164</v>
      </c>
      <c r="BQ910" s="114"/>
    </row>
    <row r="911" spans="30:69" ht="19.5" x14ac:dyDescent="0.4">
      <c r="AO911" s="26"/>
      <c r="AP911" s="13"/>
      <c r="AU911" s="117"/>
      <c r="AV911" s="123"/>
      <c r="AW911" s="123"/>
      <c r="AX911" s="123"/>
      <c r="AY911" s="115"/>
      <c r="AZ911" s="115"/>
      <c r="BA911" s="115"/>
      <c r="BB911" s="115"/>
      <c r="BC911" s="115"/>
      <c r="BD911" s="115"/>
      <c r="BE911" s="115"/>
      <c r="BF911" s="115"/>
      <c r="BG911" s="115"/>
      <c r="BH911" s="115"/>
      <c r="BI911" s="115"/>
      <c r="BJ911" s="115"/>
      <c r="BK911" s="115"/>
      <c r="BL911" s="115"/>
      <c r="BM911" s="25">
        <v>45273</v>
      </c>
      <c r="BN911" s="15" t="s">
        <v>164</v>
      </c>
      <c r="BQ911" s="114"/>
    </row>
    <row r="912" spans="30:69" ht="19.5" x14ac:dyDescent="0.4">
      <c r="AO912" s="26"/>
      <c r="AP912" s="13"/>
      <c r="AU912" s="117"/>
      <c r="AV912" s="123"/>
      <c r="AW912" s="123"/>
      <c r="AX912" s="123"/>
      <c r="AY912" s="115"/>
      <c r="AZ912" s="115"/>
      <c r="BA912" s="115"/>
      <c r="BB912" s="115"/>
      <c r="BC912" s="115"/>
      <c r="BD912" s="115"/>
      <c r="BE912" s="115"/>
      <c r="BF912" s="115"/>
      <c r="BG912" s="115"/>
      <c r="BH912" s="115"/>
      <c r="BI912" s="115"/>
      <c r="BJ912" s="115"/>
      <c r="BK912" s="115"/>
      <c r="BL912" s="115"/>
      <c r="BM912" s="25">
        <v>45273</v>
      </c>
      <c r="BN912" s="15" t="s">
        <v>162</v>
      </c>
      <c r="BQ912" s="114"/>
    </row>
    <row r="913" spans="31:69" ht="19.5" x14ac:dyDescent="0.4"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26"/>
      <c r="AP913" s="13"/>
      <c r="AU913" s="117"/>
      <c r="AV913" s="123"/>
      <c r="AW913" s="123"/>
      <c r="AX913" s="123"/>
      <c r="AY913" s="115"/>
      <c r="AZ913" s="115"/>
      <c r="BA913" s="115"/>
      <c r="BB913" s="115"/>
      <c r="BC913" s="115"/>
      <c r="BD913" s="115"/>
      <c r="BE913" s="115"/>
      <c r="BF913" s="115"/>
      <c r="BG913" s="115"/>
      <c r="BH913" s="115"/>
      <c r="BI913" s="115"/>
      <c r="BJ913" s="115"/>
      <c r="BK913" s="115"/>
      <c r="BL913" s="115"/>
      <c r="BM913" s="25"/>
      <c r="BN913" s="15"/>
      <c r="BQ913" s="114"/>
    </row>
    <row r="914" spans="31:69" ht="19.5" x14ac:dyDescent="0.4">
      <c r="AO914" s="26"/>
      <c r="AP914" s="13"/>
      <c r="AU914" s="117"/>
      <c r="AV914" s="123"/>
      <c r="AW914" s="123"/>
      <c r="AX914" s="123"/>
      <c r="AY914" s="115"/>
      <c r="AZ914" s="115"/>
      <c r="BA914" s="115"/>
      <c r="BB914" s="115"/>
      <c r="BC914" s="115"/>
      <c r="BD914" s="115"/>
      <c r="BE914" s="115"/>
      <c r="BF914" s="115"/>
      <c r="BG914" s="115"/>
      <c r="BH914" s="115"/>
      <c r="BI914" s="115"/>
      <c r="BJ914" s="115"/>
      <c r="BK914" s="115"/>
      <c r="BL914" s="115"/>
      <c r="BM914" s="25">
        <v>45273</v>
      </c>
      <c r="BN914" s="15" t="s">
        <v>162</v>
      </c>
      <c r="BQ914" s="114"/>
    </row>
    <row r="915" spans="31:69" ht="19.5" x14ac:dyDescent="0.4">
      <c r="AO915" s="26"/>
      <c r="AP915" s="13"/>
      <c r="AU915" s="117"/>
      <c r="AV915" s="123"/>
      <c r="AW915" s="123"/>
      <c r="AX915" s="123"/>
      <c r="AY915" s="115"/>
      <c r="AZ915" s="115"/>
      <c r="BA915" s="115"/>
      <c r="BB915" s="115"/>
      <c r="BC915" s="115"/>
      <c r="BD915" s="115"/>
      <c r="BE915" s="115"/>
      <c r="BF915" s="115"/>
      <c r="BG915" s="115"/>
      <c r="BH915" s="115"/>
      <c r="BI915" s="115"/>
      <c r="BJ915" s="115"/>
      <c r="BK915" s="115"/>
      <c r="BL915" s="115"/>
      <c r="BM915" s="25">
        <v>45273</v>
      </c>
      <c r="BN915" s="15" t="s">
        <v>162</v>
      </c>
      <c r="BQ915" s="114"/>
    </row>
    <row r="916" spans="31:69" ht="19.5" x14ac:dyDescent="0.4">
      <c r="AO916" s="26"/>
      <c r="AP916" s="13"/>
      <c r="AU916" s="117"/>
      <c r="AV916" s="123"/>
      <c r="AW916" s="123"/>
      <c r="AX916" s="123"/>
      <c r="AY916" s="115"/>
      <c r="AZ916" s="115"/>
      <c r="BA916" s="115"/>
      <c r="BB916" s="115"/>
      <c r="BC916" s="115"/>
      <c r="BD916" s="115"/>
      <c r="BE916" s="115"/>
      <c r="BF916" s="115"/>
      <c r="BG916" s="115"/>
      <c r="BH916" s="115"/>
      <c r="BI916" s="115"/>
      <c r="BJ916" s="115"/>
      <c r="BK916" s="115"/>
      <c r="BL916" s="115"/>
      <c r="BM916" s="25">
        <v>45273</v>
      </c>
      <c r="BN916" s="15" t="s">
        <v>162</v>
      </c>
      <c r="BQ916" s="114"/>
    </row>
    <row r="917" spans="31:69" ht="19.5" x14ac:dyDescent="0.4"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26"/>
      <c r="AP917" s="13"/>
      <c r="AU917" s="117"/>
      <c r="AV917" s="123"/>
      <c r="AW917" s="123"/>
      <c r="AX917" s="123"/>
      <c r="AY917" s="115"/>
      <c r="AZ917" s="115"/>
      <c r="BA917" s="115"/>
      <c r="BB917" s="115"/>
      <c r="BC917" s="115"/>
      <c r="BD917" s="115"/>
      <c r="BE917" s="115"/>
      <c r="BF917" s="115"/>
      <c r="BG917" s="115"/>
      <c r="BH917" s="115"/>
      <c r="BI917" s="115"/>
      <c r="BJ917" s="115"/>
      <c r="BK917" s="115"/>
      <c r="BL917" s="115"/>
      <c r="BM917" s="25"/>
      <c r="BN917" s="15"/>
      <c r="BQ917" s="114"/>
    </row>
    <row r="918" spans="31:69" ht="19.5" x14ac:dyDescent="0.4">
      <c r="AO918" s="26"/>
      <c r="AP918" s="13"/>
      <c r="AU918" s="117"/>
      <c r="AV918" s="123"/>
      <c r="AW918" s="123"/>
      <c r="AX918" s="123"/>
      <c r="AY918" s="115"/>
      <c r="AZ918" s="115"/>
      <c r="BA918" s="115"/>
      <c r="BB918" s="115"/>
      <c r="BC918" s="115"/>
      <c r="BD918" s="115"/>
      <c r="BE918" s="115"/>
      <c r="BF918" s="115"/>
      <c r="BG918" s="115"/>
      <c r="BH918" s="115"/>
      <c r="BI918" s="115"/>
      <c r="BJ918" s="115"/>
      <c r="BK918" s="115"/>
      <c r="BL918" s="115"/>
      <c r="BM918" s="25">
        <v>45273</v>
      </c>
      <c r="BN918" s="15" t="s">
        <v>162</v>
      </c>
      <c r="BQ918" s="114"/>
    </row>
    <row r="919" spans="31:69" ht="19.5" x14ac:dyDescent="0.4">
      <c r="AO919" s="26"/>
      <c r="AP919" s="13"/>
      <c r="AU919" s="117"/>
      <c r="AV919" s="123"/>
      <c r="AW919" s="123"/>
      <c r="AX919" s="123"/>
      <c r="AY919" s="115"/>
      <c r="AZ919" s="115"/>
      <c r="BA919" s="115"/>
      <c r="BB919" s="115"/>
      <c r="BC919" s="115"/>
      <c r="BD919" s="115"/>
      <c r="BE919" s="115"/>
      <c r="BF919" s="115"/>
      <c r="BG919" s="115"/>
      <c r="BH919" s="115"/>
      <c r="BI919" s="115"/>
      <c r="BJ919" s="115"/>
      <c r="BK919" s="115"/>
      <c r="BL919" s="115"/>
      <c r="BM919" s="25">
        <v>45273</v>
      </c>
      <c r="BN919" s="15" t="s">
        <v>162</v>
      </c>
      <c r="BQ919" s="114"/>
    </row>
    <row r="920" spans="31:69" ht="19.5" x14ac:dyDescent="0.4">
      <c r="AO920" s="26"/>
      <c r="AP920" s="13"/>
      <c r="AU920" s="117"/>
      <c r="AV920" s="123"/>
      <c r="AW920" s="123"/>
      <c r="AX920" s="123"/>
      <c r="AY920" s="115"/>
      <c r="AZ920" s="115"/>
      <c r="BA920" s="115"/>
      <c r="BB920" s="115"/>
      <c r="BC920" s="124"/>
      <c r="BD920" s="124"/>
      <c r="BE920" s="124"/>
      <c r="BF920" s="124"/>
      <c r="BG920" s="124"/>
      <c r="BH920" s="124"/>
      <c r="BI920" s="124"/>
      <c r="BJ920" s="124"/>
      <c r="BK920" s="124"/>
      <c r="BL920" s="124"/>
      <c r="BM920" s="25">
        <v>45273</v>
      </c>
      <c r="BN920" s="15" t="s">
        <v>162</v>
      </c>
      <c r="BQ920" s="114"/>
    </row>
    <row r="921" spans="31:69" ht="19.5" x14ac:dyDescent="0.4">
      <c r="AO921" s="26"/>
      <c r="AP921" s="13"/>
      <c r="AU921" s="117"/>
      <c r="AV921" s="123"/>
      <c r="AW921" s="123"/>
      <c r="AX921" s="123"/>
      <c r="AY921" s="115"/>
      <c r="AZ921" s="115"/>
      <c r="BA921" s="115"/>
      <c r="BB921" s="115"/>
      <c r="BC921" s="124"/>
      <c r="BD921" s="124"/>
      <c r="BE921" s="124"/>
      <c r="BF921" s="124"/>
      <c r="BG921" s="124"/>
      <c r="BH921" s="124"/>
      <c r="BI921" s="124"/>
      <c r="BJ921" s="124"/>
      <c r="BK921" s="124"/>
      <c r="BL921" s="124"/>
      <c r="BM921" s="25">
        <v>45273</v>
      </c>
      <c r="BN921" s="15" t="s">
        <v>162</v>
      </c>
      <c r="BQ921" s="114"/>
    </row>
    <row r="922" spans="31:69" ht="19.5" x14ac:dyDescent="0.4">
      <c r="AG922" s="115"/>
      <c r="AH922" s="115"/>
      <c r="AI922" s="115"/>
      <c r="AJ922" s="115"/>
      <c r="AK922" s="115"/>
      <c r="AL922" s="115"/>
      <c r="AM922" s="115"/>
      <c r="AN922" s="115"/>
      <c r="AO922" s="17"/>
      <c r="AP922" s="13"/>
      <c r="AU922" s="117"/>
      <c r="AV922" s="123"/>
      <c r="AW922" s="123"/>
      <c r="AX922" s="123"/>
      <c r="AY922" s="115"/>
      <c r="AZ922" s="115"/>
      <c r="BA922" s="115"/>
      <c r="BB922" s="115"/>
      <c r="BC922" s="124"/>
      <c r="BD922" s="124"/>
      <c r="BE922" s="124"/>
      <c r="BF922" s="124"/>
      <c r="BG922" s="124"/>
      <c r="BH922" s="124"/>
      <c r="BI922" s="124"/>
      <c r="BJ922" s="124"/>
      <c r="BK922" s="124"/>
      <c r="BL922" s="124"/>
      <c r="BM922" s="25"/>
      <c r="BN922" s="15"/>
      <c r="BQ922" s="114"/>
    </row>
    <row r="923" spans="31:69" ht="19.5" x14ac:dyDescent="0.4">
      <c r="AO923" s="26"/>
      <c r="AP923" s="13"/>
      <c r="AU923" s="117"/>
      <c r="AV923" s="123"/>
      <c r="AW923" s="123"/>
      <c r="AX923" s="123"/>
      <c r="AY923" s="115"/>
      <c r="AZ923" s="115"/>
      <c r="BA923" s="115"/>
      <c r="BB923" s="115"/>
      <c r="BC923" s="124"/>
      <c r="BD923" s="124"/>
      <c r="BE923" s="124"/>
      <c r="BF923" s="124"/>
      <c r="BG923" s="124"/>
      <c r="BH923" s="124"/>
      <c r="BI923" s="124"/>
      <c r="BJ923" s="124"/>
      <c r="BK923" s="124"/>
      <c r="BL923" s="124"/>
      <c r="BM923" s="25">
        <v>45273</v>
      </c>
      <c r="BN923" s="15" t="s">
        <v>162</v>
      </c>
      <c r="BQ923" s="114"/>
    </row>
    <row r="924" spans="31:69" ht="19.5" x14ac:dyDescent="0.4">
      <c r="AG924" s="115"/>
      <c r="AH924" s="115"/>
      <c r="AI924" s="115"/>
      <c r="AJ924" s="115"/>
      <c r="AK924" s="115"/>
      <c r="AL924" s="115"/>
      <c r="AM924" s="115"/>
      <c r="AN924" s="115"/>
      <c r="AO924" s="17"/>
      <c r="AP924" s="13"/>
      <c r="AU924" s="117"/>
      <c r="AV924" s="123"/>
      <c r="AW924" s="123"/>
      <c r="AX924" s="123"/>
      <c r="AY924" s="115"/>
      <c r="AZ924" s="115"/>
      <c r="BA924" s="115"/>
      <c r="BB924" s="115"/>
      <c r="BC924" s="124"/>
      <c r="BD924" s="124"/>
      <c r="BE924" s="124"/>
      <c r="BF924" s="124"/>
      <c r="BG924" s="124"/>
      <c r="BH924" s="124"/>
      <c r="BI924" s="124"/>
      <c r="BJ924" s="124"/>
      <c r="BK924" s="124"/>
      <c r="BL924" s="124"/>
      <c r="BM924" s="25"/>
      <c r="BN924" s="15"/>
      <c r="BQ924" s="114"/>
    </row>
    <row r="925" spans="31:69" ht="19.5" x14ac:dyDescent="0.4">
      <c r="AO925" s="26"/>
      <c r="AP925" s="13"/>
      <c r="AU925" s="117"/>
      <c r="AV925" s="123"/>
      <c r="AW925" s="123"/>
      <c r="AX925" s="123"/>
      <c r="AY925" s="115"/>
      <c r="AZ925" s="115"/>
      <c r="BA925" s="115"/>
      <c r="BB925" s="115"/>
      <c r="BC925" s="124"/>
      <c r="BD925" s="124"/>
      <c r="BE925" s="124"/>
      <c r="BF925" s="124"/>
      <c r="BG925" s="124"/>
      <c r="BH925" s="124"/>
      <c r="BI925" s="124"/>
      <c r="BJ925" s="124"/>
      <c r="BK925" s="124"/>
      <c r="BL925" s="124"/>
      <c r="BM925" s="25">
        <v>45273</v>
      </c>
      <c r="BN925" s="15" t="s">
        <v>162</v>
      </c>
      <c r="BQ925" s="114"/>
    </row>
    <row r="926" spans="31:69" ht="19.5" x14ac:dyDescent="0.4">
      <c r="AO926" s="26"/>
      <c r="AP926" s="13"/>
      <c r="AU926" s="117"/>
      <c r="AV926" s="123"/>
      <c r="AW926" s="123"/>
      <c r="AX926" s="123"/>
      <c r="AY926" s="115"/>
      <c r="AZ926" s="115"/>
      <c r="BA926" s="115"/>
      <c r="BB926" s="115"/>
      <c r="BC926" s="115"/>
      <c r="BD926" s="115"/>
      <c r="BE926" s="115"/>
      <c r="BF926" s="115"/>
      <c r="BG926" s="115"/>
      <c r="BH926" s="115"/>
      <c r="BI926" s="115"/>
      <c r="BJ926" s="115"/>
      <c r="BK926" s="115"/>
      <c r="BL926" s="115"/>
      <c r="BM926" s="25">
        <v>45273</v>
      </c>
      <c r="BN926" s="13" t="s">
        <v>162</v>
      </c>
      <c r="BQ926" s="114"/>
    </row>
    <row r="927" spans="31:69" ht="19.5" x14ac:dyDescent="0.4">
      <c r="AO927" s="26"/>
      <c r="AP927" s="13"/>
      <c r="AU927" s="117"/>
      <c r="AV927" s="123"/>
      <c r="AW927" s="123"/>
      <c r="AX927" s="123"/>
      <c r="AY927" s="115"/>
      <c r="AZ927" s="115"/>
      <c r="BA927" s="115"/>
      <c r="BB927" s="115"/>
      <c r="BC927" s="115"/>
      <c r="BD927" s="115"/>
      <c r="BE927" s="115"/>
      <c r="BF927" s="115"/>
      <c r="BG927" s="115"/>
      <c r="BH927" s="115"/>
      <c r="BI927" s="115"/>
      <c r="BJ927" s="115"/>
      <c r="BK927" s="115"/>
      <c r="BL927" s="115"/>
      <c r="BM927" s="25">
        <v>45273</v>
      </c>
      <c r="BN927" s="15" t="s">
        <v>162</v>
      </c>
      <c r="BQ927" s="114"/>
    </row>
    <row r="928" spans="31:69" ht="19.5" x14ac:dyDescent="0.4">
      <c r="AO928" s="26"/>
      <c r="AP928" s="13"/>
      <c r="AU928" s="117"/>
      <c r="AV928" s="123"/>
      <c r="AW928" s="123"/>
      <c r="AX928" s="123"/>
      <c r="AY928" s="115"/>
      <c r="AZ928" s="115"/>
      <c r="BA928" s="115"/>
      <c r="BB928" s="115"/>
      <c r="BC928" s="115"/>
      <c r="BD928" s="115"/>
      <c r="BE928" s="115"/>
      <c r="BF928" s="115"/>
      <c r="BG928" s="115"/>
      <c r="BH928" s="115"/>
      <c r="BI928" s="115"/>
      <c r="BJ928" s="115"/>
      <c r="BK928" s="115"/>
      <c r="BL928" s="115"/>
      <c r="BM928" s="25">
        <v>45273</v>
      </c>
      <c r="BN928" s="15" t="s">
        <v>162</v>
      </c>
      <c r="BQ928" s="114"/>
    </row>
    <row r="929" spans="6:69" ht="19.5" x14ac:dyDescent="0.4">
      <c r="AD929" s="115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26"/>
      <c r="AP929" s="25"/>
      <c r="AU929" s="117"/>
      <c r="AV929" s="123"/>
      <c r="AW929" s="123"/>
      <c r="AX929" s="123"/>
      <c r="AY929" s="115"/>
      <c r="AZ929" s="115"/>
      <c r="BA929" s="115"/>
      <c r="BB929" s="115"/>
      <c r="BC929" s="115"/>
      <c r="BD929" s="115"/>
      <c r="BE929" s="115"/>
      <c r="BF929" s="115"/>
      <c r="BG929" s="115"/>
      <c r="BH929" s="115"/>
      <c r="BI929" s="115"/>
      <c r="BJ929" s="115"/>
      <c r="BK929" s="115"/>
      <c r="BL929" s="115"/>
      <c r="BM929" s="25"/>
      <c r="BN929" s="15"/>
      <c r="BQ929" s="114"/>
    </row>
    <row r="930" spans="6:69" ht="19.5" x14ac:dyDescent="0.4">
      <c r="AO930" s="26"/>
      <c r="AP930" s="25"/>
      <c r="AU930" s="117"/>
      <c r="AV930" s="123"/>
      <c r="AW930" s="123"/>
      <c r="AX930" s="123"/>
      <c r="AY930" s="115"/>
      <c r="AZ930" s="115"/>
      <c r="BA930" s="115"/>
      <c r="BB930" s="115"/>
      <c r="BC930" s="115"/>
      <c r="BD930" s="115"/>
      <c r="BE930" s="115"/>
      <c r="BF930" s="115"/>
      <c r="BG930" s="115"/>
      <c r="BH930" s="115"/>
      <c r="BI930" s="115"/>
      <c r="BJ930" s="115"/>
      <c r="BK930" s="115"/>
      <c r="BL930" s="115"/>
      <c r="BM930" s="25">
        <v>45273</v>
      </c>
      <c r="BN930" s="15" t="s">
        <v>162</v>
      </c>
      <c r="BQ930" s="114"/>
    </row>
    <row r="931" spans="6:69" ht="19.5" x14ac:dyDescent="0.4">
      <c r="AO931" s="26"/>
      <c r="AP931" s="13"/>
      <c r="AU931" s="117"/>
      <c r="AV931" s="123"/>
      <c r="AW931" s="123"/>
      <c r="AX931" s="123"/>
      <c r="AY931" s="115"/>
      <c r="AZ931" s="115"/>
      <c r="BA931" s="115"/>
      <c r="BB931" s="115"/>
      <c r="BC931" s="115"/>
      <c r="BD931" s="115"/>
      <c r="BE931" s="115"/>
      <c r="BF931" s="115"/>
      <c r="BG931" s="115"/>
      <c r="BH931" s="115"/>
      <c r="BI931" s="115"/>
      <c r="BJ931" s="115"/>
      <c r="BK931" s="115"/>
      <c r="BL931" s="115"/>
      <c r="BM931" s="25">
        <v>45273</v>
      </c>
      <c r="BN931" s="15" t="s">
        <v>162</v>
      </c>
      <c r="BQ931" s="114"/>
    </row>
    <row r="932" spans="6:69" ht="19.5" x14ac:dyDescent="0.4"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26"/>
      <c r="AP932" s="13"/>
      <c r="AU932" s="117"/>
      <c r="AV932" s="123"/>
      <c r="AW932" s="123"/>
      <c r="AX932" s="123"/>
      <c r="AY932" s="115"/>
      <c r="AZ932" s="115"/>
      <c r="BA932" s="115"/>
      <c r="BB932" s="115"/>
      <c r="BC932" s="115"/>
      <c r="BD932" s="115"/>
      <c r="BE932" s="115"/>
      <c r="BF932" s="115"/>
      <c r="BG932" s="115"/>
      <c r="BH932" s="115"/>
      <c r="BI932" s="115"/>
      <c r="BJ932" s="115"/>
      <c r="BK932" s="115"/>
      <c r="BL932" s="115"/>
      <c r="BM932" s="25"/>
      <c r="BN932" s="15"/>
      <c r="BQ932" s="114"/>
    </row>
    <row r="933" spans="6:69" ht="19.5" x14ac:dyDescent="0.4"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15"/>
      <c r="AO933" s="26"/>
      <c r="AP933" s="13"/>
      <c r="AU933" s="117"/>
      <c r="AV933" s="123"/>
      <c r="AW933" s="123"/>
      <c r="AX933" s="123"/>
      <c r="AY933" s="115"/>
      <c r="AZ933" s="115"/>
      <c r="BA933" s="115"/>
      <c r="BB933" s="115"/>
      <c r="BC933" s="115"/>
      <c r="BD933" s="115"/>
      <c r="BE933" s="115"/>
      <c r="BF933" s="115"/>
      <c r="BG933" s="115"/>
      <c r="BH933" s="115"/>
      <c r="BI933" s="115"/>
      <c r="BJ933" s="115"/>
      <c r="BK933" s="115"/>
      <c r="BL933" s="115"/>
      <c r="BM933" s="25"/>
      <c r="BN933" s="15"/>
      <c r="BQ933" s="114"/>
    </row>
    <row r="934" spans="6:69" ht="19.5" x14ac:dyDescent="0.4">
      <c r="AO934" s="26"/>
      <c r="AP934" s="13"/>
      <c r="AU934" s="117"/>
      <c r="AV934" s="123"/>
      <c r="AW934" s="123"/>
      <c r="AX934" s="123"/>
      <c r="AY934" s="115"/>
      <c r="AZ934" s="115"/>
      <c r="BA934" s="115"/>
      <c r="BB934" s="115"/>
      <c r="BC934" s="115"/>
      <c r="BD934" s="115"/>
      <c r="BE934" s="115"/>
      <c r="BF934" s="115"/>
      <c r="BG934" s="115"/>
      <c r="BH934" s="115"/>
      <c r="BI934" s="115"/>
      <c r="BJ934" s="115"/>
      <c r="BK934" s="115"/>
      <c r="BL934" s="115"/>
      <c r="BM934" s="25">
        <v>45273</v>
      </c>
      <c r="BN934" s="15" t="s">
        <v>162</v>
      </c>
      <c r="BQ934" s="114"/>
    </row>
    <row r="935" spans="6:69" ht="19.5" x14ac:dyDescent="0.4">
      <c r="AO935" s="26"/>
      <c r="AP935" s="13"/>
      <c r="AU935" s="117"/>
      <c r="AV935" s="123"/>
      <c r="AW935" s="123"/>
      <c r="AX935" s="123"/>
      <c r="AY935" s="115"/>
      <c r="AZ935" s="115"/>
      <c r="BA935" s="115"/>
      <c r="BB935" s="115"/>
      <c r="BC935" s="115"/>
      <c r="BD935" s="115"/>
      <c r="BE935" s="115"/>
      <c r="BF935" s="115"/>
      <c r="BG935" s="115"/>
      <c r="BH935" s="115"/>
      <c r="BI935" s="115"/>
      <c r="BJ935" s="115"/>
      <c r="BK935" s="115"/>
      <c r="BL935" s="115"/>
      <c r="BM935" s="25">
        <v>45273</v>
      </c>
      <c r="BN935" s="15" t="s">
        <v>162</v>
      </c>
      <c r="BQ935" s="114"/>
    </row>
    <row r="936" spans="6:69" ht="19.5" x14ac:dyDescent="0.4">
      <c r="AO936" s="26"/>
      <c r="AP936" s="13"/>
      <c r="AU936" s="117"/>
      <c r="AV936" s="123"/>
      <c r="AW936" s="123"/>
      <c r="AX936" s="123"/>
      <c r="AY936" s="115"/>
      <c r="AZ936" s="115"/>
      <c r="BA936" s="115"/>
      <c r="BB936" s="115"/>
      <c r="BC936" s="115"/>
      <c r="BD936" s="115"/>
      <c r="BE936" s="115"/>
      <c r="BF936" s="115"/>
      <c r="BG936" s="115"/>
      <c r="BH936" s="115"/>
      <c r="BI936" s="115"/>
      <c r="BJ936" s="115"/>
      <c r="BK936" s="115"/>
      <c r="BL936" s="115"/>
      <c r="BM936" s="25">
        <v>45273</v>
      </c>
      <c r="BN936" s="13" t="s">
        <v>163</v>
      </c>
      <c r="BQ936" s="114"/>
    </row>
    <row r="937" spans="6:69" ht="19.5" x14ac:dyDescent="0.4">
      <c r="AO937" s="26"/>
      <c r="AP937" s="13"/>
      <c r="AU937" s="117"/>
      <c r="AV937" s="123"/>
      <c r="AW937" s="123"/>
      <c r="AX937" s="123"/>
      <c r="AY937" s="115"/>
      <c r="AZ937" s="115"/>
      <c r="BA937" s="115"/>
      <c r="BB937" s="115"/>
      <c r="BC937" s="115"/>
      <c r="BD937" s="115"/>
      <c r="BE937" s="115"/>
      <c r="BF937" s="115"/>
      <c r="BG937" s="115"/>
      <c r="BH937" s="115"/>
      <c r="BI937" s="115"/>
      <c r="BJ937" s="115"/>
      <c r="BK937" s="115"/>
      <c r="BL937" s="115"/>
      <c r="BM937" s="25"/>
      <c r="BN937" s="13"/>
      <c r="BQ937" s="114"/>
    </row>
    <row r="938" spans="6:69" ht="19.5" x14ac:dyDescent="0.4">
      <c r="AO938" s="26"/>
      <c r="AP938" s="13"/>
      <c r="AU938" s="117"/>
      <c r="AV938" s="123"/>
      <c r="AW938" s="123"/>
      <c r="AX938" s="123"/>
      <c r="AY938" s="115"/>
      <c r="AZ938" s="115"/>
      <c r="BA938" s="115"/>
      <c r="BB938" s="115"/>
      <c r="BC938" s="115"/>
      <c r="BD938" s="115"/>
      <c r="BE938" s="115"/>
      <c r="BF938" s="115"/>
      <c r="BG938" s="115"/>
      <c r="BH938" s="115"/>
      <c r="BI938" s="115"/>
      <c r="BJ938" s="115"/>
      <c r="BK938" s="115"/>
      <c r="BL938" s="115" t="s">
        <v>152</v>
      </c>
      <c r="BM938" s="13">
        <f>SUBTOTAL(3,BM907:BM936)</f>
        <v>22</v>
      </c>
      <c r="BN938" s="13">
        <f>SUBTOTAL(3,BN907:BN936)</f>
        <v>22</v>
      </c>
      <c r="BQ938" s="114"/>
    </row>
    <row r="939" spans="6:69" ht="19.5" x14ac:dyDescent="0.4">
      <c r="AO939" s="26"/>
      <c r="AP939" s="13"/>
      <c r="AU939" s="117"/>
      <c r="AV939" s="123"/>
      <c r="AW939" s="123"/>
      <c r="AX939" s="123"/>
      <c r="AY939" s="115"/>
      <c r="AZ939" s="115"/>
      <c r="BA939" s="115"/>
      <c r="BB939" s="115"/>
      <c r="BC939" s="115"/>
      <c r="BD939" s="115"/>
      <c r="BE939" s="115"/>
      <c r="BF939" s="115"/>
      <c r="BG939" s="115"/>
      <c r="BH939" s="115"/>
      <c r="BI939" s="115"/>
      <c r="BJ939" s="115"/>
      <c r="BK939" s="115"/>
      <c r="BL939" s="115"/>
      <c r="BM939" s="25">
        <v>45274</v>
      </c>
      <c r="BN939" s="15" t="s">
        <v>162</v>
      </c>
      <c r="BQ939" s="114"/>
    </row>
    <row r="940" spans="6:69" ht="19.5" x14ac:dyDescent="0.4"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26"/>
      <c r="AP940" s="13"/>
      <c r="AU940" s="117"/>
      <c r="AV940" s="123"/>
      <c r="AW940" s="123"/>
      <c r="AX940" s="123"/>
      <c r="AY940" s="115"/>
      <c r="AZ940" s="115"/>
      <c r="BA940" s="115"/>
      <c r="BB940" s="115"/>
      <c r="BC940" s="115"/>
      <c r="BD940" s="115"/>
      <c r="BE940" s="115"/>
      <c r="BF940" s="115"/>
      <c r="BG940" s="115"/>
      <c r="BH940" s="115"/>
      <c r="BI940" s="115"/>
      <c r="BJ940" s="115"/>
      <c r="BK940" s="115"/>
      <c r="BL940" s="115"/>
      <c r="BM940" s="25"/>
      <c r="BN940" s="15"/>
      <c r="BQ940" s="114"/>
    </row>
    <row r="941" spans="6:69" ht="19.5" x14ac:dyDescent="0.4"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26"/>
      <c r="AP941" s="13"/>
      <c r="AU941" s="117"/>
      <c r="AV941" s="123"/>
      <c r="AW941" s="123"/>
      <c r="AX941" s="123"/>
      <c r="AY941" s="115"/>
      <c r="AZ941" s="115"/>
      <c r="BA941" s="115"/>
      <c r="BB941" s="115"/>
      <c r="BC941" s="115"/>
      <c r="BD941" s="115"/>
      <c r="BE941" s="115"/>
      <c r="BF941" s="115"/>
      <c r="BG941" s="115"/>
      <c r="BH941" s="115"/>
      <c r="BI941" s="115"/>
      <c r="BJ941" s="115"/>
      <c r="BK941" s="115"/>
      <c r="BL941" s="115"/>
      <c r="BM941" s="25"/>
      <c r="BN941" s="15"/>
      <c r="BQ941" s="114"/>
    </row>
    <row r="942" spans="6:69" ht="19.5" x14ac:dyDescent="0.4">
      <c r="AO942" s="26"/>
      <c r="AP942" s="13"/>
      <c r="AU942" s="117"/>
      <c r="AV942" s="123"/>
      <c r="AW942" s="123"/>
      <c r="AX942" s="123"/>
      <c r="AY942" s="115"/>
      <c r="AZ942" s="115"/>
      <c r="BA942" s="115"/>
      <c r="BB942" s="115"/>
      <c r="BC942" s="115"/>
      <c r="BD942" s="115"/>
      <c r="BE942" s="115"/>
      <c r="BF942" s="115"/>
      <c r="BG942" s="115"/>
      <c r="BH942" s="115"/>
      <c r="BI942" s="115"/>
      <c r="BJ942" s="115"/>
      <c r="BK942" s="115"/>
      <c r="BL942" s="115"/>
      <c r="BM942" s="25">
        <v>45274</v>
      </c>
      <c r="BN942" s="15" t="s">
        <v>162</v>
      </c>
      <c r="BQ942" s="114"/>
    </row>
    <row r="943" spans="6:69" ht="19.5" x14ac:dyDescent="0.4"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26"/>
      <c r="AP943" s="13"/>
      <c r="AU943" s="117"/>
      <c r="AV943" s="123"/>
      <c r="AW943" s="123"/>
      <c r="AX943" s="123"/>
      <c r="AY943" s="115"/>
      <c r="AZ943" s="115"/>
      <c r="BA943" s="115"/>
      <c r="BB943" s="115"/>
      <c r="BC943" s="115"/>
      <c r="BD943" s="115"/>
      <c r="BE943" s="115"/>
      <c r="BF943" s="115"/>
      <c r="BG943" s="115"/>
      <c r="BH943" s="115"/>
      <c r="BI943" s="115"/>
      <c r="BJ943" s="115"/>
      <c r="BK943" s="115"/>
      <c r="BL943" s="115"/>
      <c r="BM943" s="25"/>
      <c r="BN943" s="15"/>
      <c r="BQ943" s="114"/>
    </row>
    <row r="944" spans="6:69" ht="19.5" x14ac:dyDescent="0.4"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26"/>
      <c r="AP944" s="13"/>
      <c r="AU944" s="117"/>
      <c r="AV944" s="123"/>
      <c r="AW944" s="123"/>
      <c r="AX944" s="123"/>
      <c r="AY944" s="115"/>
      <c r="AZ944" s="115"/>
      <c r="BA944" s="115"/>
      <c r="BB944" s="115"/>
      <c r="BC944" s="115"/>
      <c r="BD944" s="115"/>
      <c r="BE944" s="115"/>
      <c r="BF944" s="115"/>
      <c r="BG944" s="115"/>
      <c r="BH944" s="115"/>
      <c r="BI944" s="115"/>
      <c r="BJ944" s="115"/>
      <c r="BK944" s="115"/>
      <c r="BL944" s="115"/>
      <c r="BM944" s="25"/>
      <c r="BN944" s="15"/>
      <c r="BQ944" s="114"/>
    </row>
    <row r="945" spans="6:69" ht="19.5" x14ac:dyDescent="0.4"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26"/>
      <c r="AP945" s="13"/>
      <c r="AU945" s="117"/>
      <c r="AV945" s="123"/>
      <c r="AW945" s="123"/>
      <c r="AX945" s="123"/>
      <c r="AY945" s="115"/>
      <c r="AZ945" s="115"/>
      <c r="BA945" s="115"/>
      <c r="BB945" s="115"/>
      <c r="BC945" s="115"/>
      <c r="BD945" s="115"/>
      <c r="BE945" s="115"/>
      <c r="BF945" s="115"/>
      <c r="BG945" s="115"/>
      <c r="BH945" s="115"/>
      <c r="BI945" s="115"/>
      <c r="BJ945" s="115"/>
      <c r="BK945" s="115"/>
      <c r="BL945" s="115"/>
      <c r="BM945" s="25"/>
      <c r="BN945" s="15"/>
      <c r="BQ945" s="114"/>
    </row>
    <row r="946" spans="6:69" ht="19.5" x14ac:dyDescent="0.4">
      <c r="AO946" s="26"/>
      <c r="AP946" s="13"/>
      <c r="AU946" s="117"/>
      <c r="AV946" s="123"/>
      <c r="AW946" s="123"/>
      <c r="AX946" s="123"/>
      <c r="AY946" s="115"/>
      <c r="AZ946" s="115"/>
      <c r="BA946" s="115"/>
      <c r="BB946" s="115"/>
      <c r="BC946" s="115"/>
      <c r="BD946" s="115"/>
      <c r="BE946" s="115"/>
      <c r="BF946" s="115"/>
      <c r="BG946" s="115"/>
      <c r="BH946" s="115"/>
      <c r="BI946" s="115"/>
      <c r="BJ946" s="115"/>
      <c r="BK946" s="115"/>
      <c r="BL946" s="115"/>
      <c r="BM946" s="25">
        <v>45274</v>
      </c>
      <c r="BN946" s="15" t="s">
        <v>162</v>
      </c>
      <c r="BQ946" s="114"/>
    </row>
    <row r="947" spans="6:69" ht="19.5" x14ac:dyDescent="0.4">
      <c r="AD947" s="115"/>
      <c r="AE947" s="115"/>
      <c r="AF947" s="115"/>
      <c r="AG947" s="115"/>
      <c r="AH947" s="115"/>
      <c r="AI947" s="115"/>
      <c r="AJ947" s="115"/>
      <c r="AK947" s="115"/>
      <c r="AL947" s="115"/>
      <c r="AM947" s="115"/>
      <c r="AN947" s="115"/>
      <c r="AO947" s="26"/>
      <c r="AP947" s="13"/>
      <c r="AU947" s="117"/>
      <c r="AV947" s="123"/>
      <c r="AW947" s="123"/>
      <c r="AX947" s="123"/>
      <c r="AY947" s="115"/>
      <c r="AZ947" s="115"/>
      <c r="BA947" s="115"/>
      <c r="BB947" s="115"/>
      <c r="BC947" s="115"/>
      <c r="BD947" s="115"/>
      <c r="BE947" s="115"/>
      <c r="BF947" s="115"/>
      <c r="BG947" s="115"/>
      <c r="BH947" s="115"/>
      <c r="BI947" s="115"/>
      <c r="BJ947" s="115"/>
      <c r="BK947" s="115"/>
      <c r="BL947" s="115"/>
      <c r="BM947" s="25"/>
      <c r="BN947" s="15"/>
      <c r="BQ947" s="114"/>
    </row>
    <row r="948" spans="6:69" ht="19.5" x14ac:dyDescent="0.4">
      <c r="AO948" s="26"/>
      <c r="AP948" s="13"/>
      <c r="AU948" s="117"/>
      <c r="AV948" s="123"/>
      <c r="AW948" s="123"/>
      <c r="AX948" s="123"/>
      <c r="AY948" s="115"/>
      <c r="AZ948" s="115"/>
      <c r="BA948" s="115"/>
      <c r="BB948" s="115"/>
      <c r="BC948" s="115"/>
      <c r="BD948" s="115"/>
      <c r="BE948" s="115"/>
      <c r="BF948" s="115"/>
      <c r="BG948" s="115"/>
      <c r="BH948" s="115"/>
      <c r="BI948" s="115"/>
      <c r="BJ948" s="115"/>
      <c r="BK948" s="115"/>
      <c r="BL948" s="115"/>
      <c r="BM948" s="25">
        <v>45274</v>
      </c>
      <c r="BN948" s="15" t="s">
        <v>162</v>
      </c>
      <c r="BQ948" s="114"/>
    </row>
    <row r="949" spans="6:69" ht="19.5" x14ac:dyDescent="0.4">
      <c r="AO949" s="26"/>
      <c r="AP949" s="13"/>
      <c r="AU949" s="117"/>
      <c r="AV949" s="123"/>
      <c r="AW949" s="123"/>
      <c r="AX949" s="123"/>
      <c r="AY949" s="115"/>
      <c r="AZ949" s="115"/>
      <c r="BA949" s="115"/>
      <c r="BB949" s="115"/>
      <c r="BC949" s="115"/>
      <c r="BD949" s="115"/>
      <c r="BE949" s="115"/>
      <c r="BF949" s="115"/>
      <c r="BG949" s="115"/>
      <c r="BH949" s="115"/>
      <c r="BI949" s="115"/>
      <c r="BJ949" s="115"/>
      <c r="BK949" s="115"/>
      <c r="BL949" s="115"/>
      <c r="BM949" s="25">
        <v>45274</v>
      </c>
      <c r="BN949" s="15" t="s">
        <v>163</v>
      </c>
      <c r="BQ949" s="114"/>
    </row>
    <row r="950" spans="6:69" ht="19.5" x14ac:dyDescent="0.4">
      <c r="AG950" s="115"/>
      <c r="AH950" s="115"/>
      <c r="AI950" s="115"/>
      <c r="AJ950" s="115"/>
      <c r="AK950" s="115"/>
      <c r="AL950" s="115"/>
      <c r="AM950" s="115"/>
      <c r="AN950" s="115"/>
      <c r="AO950" s="17"/>
      <c r="AP950" s="13"/>
      <c r="AU950" s="117"/>
      <c r="AV950" s="123"/>
      <c r="AW950" s="123"/>
      <c r="AX950" s="123"/>
      <c r="AY950" s="115"/>
      <c r="AZ950" s="115"/>
      <c r="BA950" s="115"/>
      <c r="BB950" s="115"/>
      <c r="BC950" s="115"/>
      <c r="BD950" s="115"/>
      <c r="BE950" s="115"/>
      <c r="BF950" s="115"/>
      <c r="BG950" s="115"/>
      <c r="BH950" s="115"/>
      <c r="BI950" s="115"/>
      <c r="BJ950" s="115"/>
      <c r="BK950" s="115"/>
      <c r="BL950" s="115"/>
      <c r="BM950" s="25"/>
      <c r="BN950" s="15"/>
      <c r="BQ950" s="114"/>
    </row>
    <row r="951" spans="6:69" ht="19.5" x14ac:dyDescent="0.4"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26"/>
      <c r="AP951" s="13"/>
      <c r="AU951" s="117"/>
      <c r="AV951" s="123"/>
      <c r="AW951" s="123"/>
      <c r="AX951" s="123"/>
      <c r="AY951" s="115"/>
      <c r="AZ951" s="115"/>
      <c r="BA951" s="115"/>
      <c r="BB951" s="115"/>
      <c r="BC951" s="115"/>
      <c r="BD951" s="115"/>
      <c r="BE951" s="115"/>
      <c r="BF951" s="115"/>
      <c r="BG951" s="115"/>
      <c r="BH951" s="115"/>
      <c r="BI951" s="115"/>
      <c r="BJ951" s="115"/>
      <c r="BK951" s="115"/>
      <c r="BL951" s="115"/>
      <c r="BM951" s="25"/>
      <c r="BN951" s="15"/>
      <c r="BQ951" s="114"/>
    </row>
    <row r="952" spans="6:69" ht="19.5" x14ac:dyDescent="0.4">
      <c r="AO952" s="26"/>
      <c r="AP952" s="25"/>
      <c r="AU952" s="117"/>
      <c r="AV952" s="123"/>
      <c r="AW952" s="123"/>
      <c r="AX952" s="123"/>
      <c r="AY952" s="115"/>
      <c r="AZ952" s="115"/>
      <c r="BA952" s="115"/>
      <c r="BB952" s="115"/>
      <c r="BC952" s="115"/>
      <c r="BD952" s="115"/>
      <c r="BE952" s="115"/>
      <c r="BF952" s="115"/>
      <c r="BG952" s="115"/>
      <c r="BH952" s="115"/>
      <c r="BI952" s="115"/>
      <c r="BJ952" s="115"/>
      <c r="BK952" s="115"/>
      <c r="BL952" s="115" t="s">
        <v>167</v>
      </c>
      <c r="BM952" s="13">
        <f>SUBTOTAL(3,BM939:BM949)</f>
        <v>5</v>
      </c>
      <c r="BN952" s="15">
        <f>SUBTOTAL(3,BN939:BN949)</f>
        <v>5</v>
      </c>
      <c r="BQ952" s="114"/>
    </row>
    <row r="953" spans="6:69" ht="19.5" x14ac:dyDescent="0.4"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26"/>
      <c r="AP953" s="105"/>
      <c r="AU953" s="117"/>
      <c r="AV953" s="123"/>
      <c r="AW953" s="123"/>
      <c r="AX953" s="123"/>
      <c r="AY953" s="115"/>
      <c r="AZ953" s="115"/>
      <c r="BA953" s="115"/>
      <c r="BB953" s="115"/>
      <c r="BC953" s="115"/>
      <c r="BD953" s="115"/>
      <c r="BE953" s="115"/>
      <c r="BF953" s="115"/>
      <c r="BG953" s="115"/>
      <c r="BH953" s="115"/>
      <c r="BI953" s="115"/>
      <c r="BJ953" s="115"/>
      <c r="BK953" s="115"/>
      <c r="BL953" s="115"/>
      <c r="BM953" s="13"/>
      <c r="BN953" s="15"/>
      <c r="BQ953" s="114"/>
    </row>
    <row r="954" spans="6:69" ht="19.5" x14ac:dyDescent="0.4">
      <c r="AO954" s="26"/>
      <c r="AP954" s="105"/>
      <c r="AU954" s="117"/>
      <c r="AV954" s="123"/>
      <c r="AW954" s="123"/>
      <c r="AX954" s="123"/>
      <c r="AY954" s="115"/>
      <c r="AZ954" s="115"/>
      <c r="BA954" s="115"/>
      <c r="BB954" s="115"/>
      <c r="BC954" s="115"/>
      <c r="BD954" s="115"/>
      <c r="BE954" s="115"/>
      <c r="BF954" s="115"/>
      <c r="BG954" s="115"/>
      <c r="BH954" s="115"/>
      <c r="BI954" s="115"/>
      <c r="BJ954" s="115"/>
      <c r="BK954" s="115"/>
      <c r="BL954" s="115"/>
      <c r="BM954" s="13"/>
      <c r="BN954" s="15"/>
      <c r="BQ954" s="114"/>
    </row>
    <row r="955" spans="6:69" ht="19.5" x14ac:dyDescent="0.4">
      <c r="AG955" s="115"/>
      <c r="AH955" s="115"/>
      <c r="AI955" s="115"/>
      <c r="AJ955" s="115"/>
      <c r="AK955" s="115"/>
      <c r="AL955" s="115"/>
      <c r="AM955" s="115"/>
      <c r="AN955" s="115"/>
      <c r="AO955" s="17"/>
      <c r="AP955" s="15"/>
      <c r="AU955" s="117"/>
      <c r="AV955" s="123"/>
      <c r="AW955" s="123"/>
      <c r="AX955" s="123"/>
      <c r="AY955" s="115"/>
      <c r="AZ955" s="115"/>
      <c r="BA955" s="115"/>
      <c r="BB955" s="115"/>
      <c r="BC955" s="115"/>
      <c r="BD955" s="115"/>
      <c r="BE955" s="115"/>
      <c r="BF955" s="115"/>
      <c r="BG955" s="115"/>
      <c r="BH955" s="115"/>
      <c r="BI955" s="115"/>
      <c r="BJ955" s="115"/>
      <c r="BK955" s="115"/>
      <c r="BL955" s="115"/>
      <c r="BM955" s="13"/>
      <c r="BN955" s="15"/>
      <c r="BQ955" s="114"/>
    </row>
    <row r="956" spans="6:69" ht="19.5" x14ac:dyDescent="0.4"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26"/>
      <c r="AP956" s="15"/>
      <c r="AU956" s="117"/>
      <c r="AV956" s="123"/>
      <c r="AW956" s="123"/>
      <c r="AX956" s="123"/>
      <c r="AY956" s="115"/>
      <c r="AZ956" s="115"/>
      <c r="BA956" s="115"/>
      <c r="BB956" s="115"/>
      <c r="BC956" s="115"/>
      <c r="BD956" s="115"/>
      <c r="BE956" s="115"/>
      <c r="BF956" s="115"/>
      <c r="BG956" s="115"/>
      <c r="BH956" s="115"/>
      <c r="BI956" s="115"/>
      <c r="BJ956" s="115"/>
      <c r="BK956" s="115"/>
      <c r="BL956" s="115"/>
      <c r="BM956" s="13"/>
      <c r="BN956" s="15"/>
      <c r="BQ956" s="114"/>
    </row>
    <row r="957" spans="6:69" ht="19.5" x14ac:dyDescent="0.4"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26"/>
      <c r="AP957" s="15"/>
      <c r="AU957" s="117"/>
      <c r="AV957" s="123"/>
      <c r="AW957" s="123"/>
      <c r="AX957" s="123"/>
      <c r="AY957" s="115"/>
      <c r="AZ957" s="115"/>
      <c r="BA957" s="115"/>
      <c r="BB957" s="115"/>
      <c r="BC957" s="115"/>
      <c r="BD957" s="115"/>
      <c r="BE957" s="115"/>
      <c r="BF957" s="115"/>
      <c r="BG957" s="115"/>
      <c r="BH957" s="115"/>
      <c r="BI957" s="115"/>
      <c r="BJ957" s="115"/>
      <c r="BK957" s="115"/>
      <c r="BL957" s="115"/>
      <c r="BM957" s="13"/>
      <c r="BN957" s="15"/>
      <c r="BQ957" s="114"/>
    </row>
    <row r="958" spans="6:69" ht="19.5" x14ac:dyDescent="0.4"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26"/>
      <c r="AP958" s="15"/>
      <c r="AU958" s="117"/>
      <c r="AV958" s="123"/>
      <c r="AW958" s="123"/>
      <c r="AX958" s="123"/>
      <c r="AY958" s="115"/>
      <c r="AZ958" s="115"/>
      <c r="BA958" s="115"/>
      <c r="BB958" s="115"/>
      <c r="BC958" s="115"/>
      <c r="BD958" s="115"/>
      <c r="BE958" s="115"/>
      <c r="BF958" s="115"/>
      <c r="BG958" s="115"/>
      <c r="BH958" s="115"/>
      <c r="BI958" s="115"/>
      <c r="BJ958" s="115"/>
      <c r="BK958" s="115"/>
      <c r="BL958" s="115"/>
      <c r="BM958" s="13"/>
      <c r="BN958" s="15"/>
      <c r="BQ958" s="114"/>
    </row>
    <row r="959" spans="6:69" ht="19.5" x14ac:dyDescent="0.4"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26"/>
      <c r="AP959" s="15"/>
      <c r="AU959" s="117"/>
      <c r="AV959" s="123"/>
      <c r="AW959" s="123"/>
      <c r="AX959" s="123"/>
      <c r="AY959" s="115"/>
      <c r="AZ959" s="115"/>
      <c r="BA959" s="115"/>
      <c r="BB959" s="115"/>
      <c r="BC959" s="115"/>
      <c r="BD959" s="115"/>
      <c r="BE959" s="115"/>
      <c r="BF959" s="115"/>
      <c r="BG959" s="115"/>
      <c r="BH959" s="115"/>
      <c r="BI959" s="115"/>
      <c r="BJ959" s="115"/>
      <c r="BK959" s="115"/>
      <c r="BL959" s="115"/>
      <c r="BM959" s="13"/>
      <c r="BN959" s="15"/>
      <c r="BQ959" s="114"/>
    </row>
    <row r="960" spans="6:69" ht="19.5" x14ac:dyDescent="0.4">
      <c r="AO960" s="26"/>
      <c r="AP960" s="15"/>
      <c r="AU960" s="117"/>
      <c r="AV960" s="123"/>
      <c r="AW960" s="123"/>
      <c r="AX960" s="123"/>
      <c r="AY960" s="115"/>
      <c r="AZ960" s="115"/>
      <c r="BA960" s="115"/>
      <c r="BB960" s="115"/>
      <c r="BC960" s="115"/>
      <c r="BD960" s="115"/>
      <c r="BE960" s="115"/>
      <c r="BF960" s="115"/>
      <c r="BG960" s="115"/>
      <c r="BH960" s="115"/>
      <c r="BI960" s="115"/>
      <c r="BJ960" s="115"/>
      <c r="BK960" s="115"/>
      <c r="BL960" s="115"/>
      <c r="BM960" s="25">
        <v>45275</v>
      </c>
      <c r="BN960" s="15" t="s">
        <v>163</v>
      </c>
      <c r="BQ960" s="114"/>
    </row>
    <row r="961" spans="6:69" ht="19.5" x14ac:dyDescent="0.4">
      <c r="AO961" s="26"/>
      <c r="AP961" s="15"/>
      <c r="AU961" s="117"/>
      <c r="AV961" s="123"/>
      <c r="AW961" s="123"/>
      <c r="AX961" s="123"/>
      <c r="AY961" s="115"/>
      <c r="AZ961" s="115"/>
      <c r="BA961" s="115"/>
      <c r="BB961" s="115"/>
      <c r="BC961" s="115"/>
      <c r="BD961" s="115"/>
      <c r="BE961" s="115"/>
      <c r="BF961" s="115"/>
      <c r="BG961" s="115"/>
      <c r="BH961" s="115"/>
      <c r="BI961" s="115"/>
      <c r="BJ961" s="115"/>
      <c r="BK961" s="115"/>
      <c r="BL961" s="115" t="s">
        <v>168</v>
      </c>
      <c r="BM961" s="13">
        <f>SUBTOTAL(3,BM960:BM960)</f>
        <v>1</v>
      </c>
      <c r="BN961" s="15">
        <f>SUBTOTAL(3,BN960:BN960)</f>
        <v>1</v>
      </c>
      <c r="BQ961" s="114"/>
    </row>
    <row r="962" spans="6:69" ht="19.5" x14ac:dyDescent="0.4">
      <c r="AO962" s="26"/>
      <c r="AP962" s="15"/>
      <c r="AU962" s="117"/>
      <c r="AV962" s="123"/>
      <c r="AW962" s="123"/>
      <c r="AX962" s="123"/>
      <c r="AY962" s="115"/>
      <c r="AZ962" s="115"/>
      <c r="BA962" s="115"/>
      <c r="BB962" s="115"/>
      <c r="BC962" s="115"/>
      <c r="BD962" s="115"/>
      <c r="BE962" s="115"/>
      <c r="BF962" s="115"/>
      <c r="BG962" s="115"/>
      <c r="BH962" s="115"/>
      <c r="BI962" s="115"/>
      <c r="BJ962" s="115"/>
      <c r="BK962" s="115"/>
      <c r="BL962" s="115"/>
      <c r="BM962" s="25">
        <v>45276</v>
      </c>
      <c r="BN962" s="15" t="s">
        <v>164</v>
      </c>
      <c r="BQ962" s="114"/>
    </row>
    <row r="963" spans="6:69" ht="19.5" x14ac:dyDescent="0.4">
      <c r="AO963" s="26"/>
      <c r="AP963" s="15"/>
      <c r="AU963" s="117"/>
      <c r="AV963" s="123"/>
      <c r="AW963" s="123"/>
      <c r="AX963" s="123"/>
      <c r="AY963" s="115"/>
      <c r="AZ963" s="115"/>
      <c r="BA963" s="115"/>
      <c r="BB963" s="115"/>
      <c r="BC963" s="115"/>
      <c r="BD963" s="115"/>
      <c r="BE963" s="115"/>
      <c r="BF963" s="115"/>
      <c r="BG963" s="115"/>
      <c r="BH963" s="115"/>
      <c r="BI963" s="115"/>
      <c r="BJ963" s="115"/>
      <c r="BK963" s="115"/>
      <c r="BL963" s="115"/>
      <c r="BM963" s="25">
        <v>45276</v>
      </c>
      <c r="BN963" s="15" t="s">
        <v>162</v>
      </c>
      <c r="BQ963" s="114"/>
    </row>
    <row r="964" spans="6:69" ht="19.5" x14ac:dyDescent="0.4">
      <c r="AO964" s="26"/>
      <c r="AP964" s="15"/>
      <c r="AU964" s="117"/>
      <c r="AV964" s="123"/>
      <c r="AW964" s="123"/>
      <c r="AX964" s="123"/>
      <c r="AY964" s="115"/>
      <c r="AZ964" s="115"/>
      <c r="BA964" s="115"/>
      <c r="BB964" s="115"/>
      <c r="BC964" s="115"/>
      <c r="BD964" s="115"/>
      <c r="BE964" s="115"/>
      <c r="BF964" s="115"/>
      <c r="BG964" s="115"/>
      <c r="BH964" s="115"/>
      <c r="BI964" s="115"/>
      <c r="BJ964" s="115"/>
      <c r="BK964" s="115"/>
      <c r="BL964" s="115"/>
      <c r="BM964" s="25">
        <v>45276</v>
      </c>
      <c r="BN964" s="15" t="s">
        <v>162</v>
      </c>
      <c r="BQ964" s="114"/>
    </row>
    <row r="965" spans="6:69" ht="19.5" x14ac:dyDescent="0.4">
      <c r="AO965" s="26"/>
      <c r="AP965" s="15"/>
      <c r="AU965" s="117"/>
      <c r="AV965" s="123"/>
      <c r="AW965" s="123"/>
      <c r="AX965" s="123"/>
      <c r="AY965" s="115"/>
      <c r="AZ965" s="115"/>
      <c r="BA965" s="115"/>
      <c r="BB965" s="115"/>
      <c r="BC965" s="115"/>
      <c r="BD965" s="115"/>
      <c r="BE965" s="115"/>
      <c r="BF965" s="115"/>
      <c r="BG965" s="115"/>
      <c r="BH965" s="115"/>
      <c r="BI965" s="115"/>
      <c r="BJ965" s="115"/>
      <c r="BK965" s="115"/>
      <c r="BL965" s="115"/>
      <c r="BM965" s="25">
        <v>45276</v>
      </c>
      <c r="BN965" s="15" t="s">
        <v>162</v>
      </c>
      <c r="BQ965" s="114"/>
    </row>
    <row r="966" spans="6:69" ht="19.5" x14ac:dyDescent="0.4">
      <c r="AO966" s="26"/>
      <c r="AP966" s="15"/>
      <c r="AU966" s="117"/>
      <c r="AV966" s="123"/>
      <c r="AW966" s="123"/>
      <c r="AX966" s="123"/>
      <c r="AY966" s="115"/>
      <c r="AZ966" s="115"/>
      <c r="BA966" s="115"/>
      <c r="BB966" s="115"/>
      <c r="BC966" s="115"/>
      <c r="BD966" s="115"/>
      <c r="BE966" s="115"/>
      <c r="BF966" s="115"/>
      <c r="BG966" s="115"/>
      <c r="BH966" s="115"/>
      <c r="BI966" s="115"/>
      <c r="BJ966" s="115"/>
      <c r="BK966" s="115"/>
      <c r="BL966" s="115"/>
      <c r="BM966" s="25">
        <v>45276</v>
      </c>
      <c r="BN966" s="15" t="s">
        <v>162</v>
      </c>
      <c r="BQ966" s="114"/>
    </row>
    <row r="967" spans="6:69" ht="19.5" x14ac:dyDescent="0.4"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15"/>
      <c r="AO967" s="26"/>
      <c r="AP967" s="15"/>
      <c r="AU967" s="117"/>
      <c r="AV967" s="123"/>
      <c r="AW967" s="123"/>
      <c r="AX967" s="123"/>
      <c r="AY967" s="115"/>
      <c r="AZ967" s="115"/>
      <c r="BA967" s="115"/>
      <c r="BB967" s="115"/>
      <c r="BC967" s="115"/>
      <c r="BD967" s="115"/>
      <c r="BE967" s="115"/>
      <c r="BF967" s="115"/>
      <c r="BG967" s="115"/>
      <c r="BH967" s="115"/>
      <c r="BI967" s="115"/>
      <c r="BJ967" s="115"/>
      <c r="BK967" s="115"/>
      <c r="BL967" s="115"/>
      <c r="BM967" s="25"/>
      <c r="BN967" s="15"/>
      <c r="BQ967" s="114"/>
    </row>
    <row r="968" spans="6:69" ht="19.5" x14ac:dyDescent="0.4">
      <c r="AO968" s="26"/>
      <c r="AP968" s="15"/>
      <c r="AU968" s="117"/>
      <c r="AV968" s="123"/>
      <c r="AW968" s="123"/>
      <c r="AX968" s="123"/>
      <c r="AY968" s="115"/>
      <c r="AZ968" s="115"/>
      <c r="BA968" s="115"/>
      <c r="BB968" s="115"/>
      <c r="BC968" s="115"/>
      <c r="BD968" s="115"/>
      <c r="BE968" s="115"/>
      <c r="BF968" s="115"/>
      <c r="BG968" s="115"/>
      <c r="BH968" s="115"/>
      <c r="BI968" s="115"/>
      <c r="BJ968" s="115"/>
      <c r="BK968" s="115"/>
      <c r="BL968" s="115"/>
      <c r="BM968" s="25">
        <v>45276</v>
      </c>
      <c r="BN968" s="15" t="s">
        <v>162</v>
      </c>
      <c r="BQ968" s="114"/>
    </row>
    <row r="969" spans="6:69" ht="19.5" x14ac:dyDescent="0.4">
      <c r="AO969" s="26"/>
      <c r="AP969" s="15"/>
      <c r="AU969" s="117"/>
      <c r="AV969" s="123"/>
      <c r="AW969" s="123"/>
      <c r="AX969" s="123"/>
      <c r="AY969" s="115"/>
      <c r="AZ969" s="115"/>
      <c r="BA969" s="115"/>
      <c r="BB969" s="115"/>
      <c r="BC969" s="115"/>
      <c r="BD969" s="115"/>
      <c r="BE969" s="115"/>
      <c r="BF969" s="115"/>
      <c r="BG969" s="115"/>
      <c r="BH969" s="115"/>
      <c r="BI969" s="115"/>
      <c r="BJ969" s="115"/>
      <c r="BK969" s="115"/>
      <c r="BL969" s="115"/>
      <c r="BM969" s="25">
        <v>45276</v>
      </c>
      <c r="BN969" s="15" t="s">
        <v>162</v>
      </c>
      <c r="BQ969" s="114"/>
    </row>
    <row r="970" spans="6:69" ht="19.5" x14ac:dyDescent="0.4">
      <c r="AG970" s="115"/>
      <c r="AH970" s="115"/>
      <c r="AI970" s="115"/>
      <c r="AJ970" s="115"/>
      <c r="AK970" s="115"/>
      <c r="AL970" s="115"/>
      <c r="AM970" s="115"/>
      <c r="AN970" s="115"/>
      <c r="AO970" s="17"/>
      <c r="AP970" s="15"/>
      <c r="AU970" s="117"/>
      <c r="AV970" s="123"/>
      <c r="AW970" s="123"/>
      <c r="AX970" s="123"/>
      <c r="AY970" s="115"/>
      <c r="AZ970" s="115"/>
      <c r="BA970" s="115"/>
      <c r="BB970" s="115"/>
      <c r="BC970" s="115"/>
      <c r="BD970" s="115"/>
      <c r="BE970" s="115"/>
      <c r="BF970" s="115"/>
      <c r="BG970" s="115"/>
      <c r="BH970" s="115"/>
      <c r="BI970" s="115"/>
      <c r="BJ970" s="115"/>
      <c r="BK970" s="115"/>
      <c r="BL970" s="115"/>
      <c r="BM970" s="25"/>
      <c r="BN970" s="15"/>
      <c r="BQ970" s="114"/>
    </row>
    <row r="971" spans="6:69" ht="19.5" x14ac:dyDescent="0.4"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26"/>
      <c r="AP971" s="15"/>
      <c r="AU971" s="117"/>
      <c r="AV971" s="123"/>
      <c r="AW971" s="123"/>
      <c r="AX971" s="123"/>
      <c r="AY971" s="115"/>
      <c r="AZ971" s="115"/>
      <c r="BA971" s="115"/>
      <c r="BB971" s="115"/>
      <c r="BC971" s="115"/>
      <c r="BD971" s="115"/>
      <c r="BE971" s="115"/>
      <c r="BF971" s="115"/>
      <c r="BG971" s="115"/>
      <c r="BH971" s="115"/>
      <c r="BI971" s="115"/>
      <c r="BJ971" s="115"/>
      <c r="BK971" s="115"/>
      <c r="BL971" s="115"/>
      <c r="BM971" s="25"/>
      <c r="BN971" s="15"/>
      <c r="BQ971" s="114"/>
    </row>
    <row r="972" spans="6:69" ht="19.5" x14ac:dyDescent="0.4"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26"/>
      <c r="AP972" s="15"/>
      <c r="AU972" s="117"/>
      <c r="AV972" s="123"/>
      <c r="AW972" s="123"/>
      <c r="AX972" s="123"/>
      <c r="AY972" s="115"/>
      <c r="AZ972" s="115"/>
      <c r="BA972" s="115"/>
      <c r="BB972" s="115"/>
      <c r="BC972" s="115"/>
      <c r="BD972" s="115"/>
      <c r="BE972" s="115"/>
      <c r="BF972" s="115"/>
      <c r="BG972" s="115"/>
      <c r="BH972" s="115"/>
      <c r="BI972" s="115"/>
      <c r="BJ972" s="115"/>
      <c r="BK972" s="115"/>
      <c r="BL972" s="115"/>
      <c r="BM972" s="25"/>
      <c r="BN972" s="15"/>
      <c r="BQ972" s="114"/>
    </row>
    <row r="973" spans="6:69" ht="19.5" x14ac:dyDescent="0.4"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26"/>
      <c r="AP973" s="15"/>
      <c r="AU973" s="117"/>
      <c r="AV973" s="123"/>
      <c r="AW973" s="123"/>
      <c r="AX973" s="123"/>
      <c r="AY973" s="115"/>
      <c r="AZ973" s="115"/>
      <c r="BA973" s="115"/>
      <c r="BB973" s="115"/>
      <c r="BC973" s="115"/>
      <c r="BD973" s="115"/>
      <c r="BE973" s="115"/>
      <c r="BF973" s="115"/>
      <c r="BG973" s="115"/>
      <c r="BH973" s="115"/>
      <c r="BI973" s="115"/>
      <c r="BJ973" s="115"/>
      <c r="BK973" s="115"/>
      <c r="BL973" s="115"/>
      <c r="BM973" s="25"/>
      <c r="BN973" s="15"/>
      <c r="BQ973" s="114"/>
    </row>
    <row r="974" spans="6:69" ht="19.5" x14ac:dyDescent="0.4">
      <c r="AO974" s="26"/>
      <c r="AP974" s="15"/>
      <c r="AT974" s="115"/>
      <c r="AU974" s="117"/>
      <c r="AV974" s="123"/>
      <c r="AW974" s="123"/>
      <c r="AX974" s="123"/>
      <c r="AY974" s="115"/>
      <c r="AZ974" s="115"/>
      <c r="BA974" s="115"/>
      <c r="BB974" s="115"/>
      <c r="BC974" s="115"/>
      <c r="BD974" s="115"/>
      <c r="BE974" s="115"/>
      <c r="BF974" s="115"/>
      <c r="BG974" s="115"/>
      <c r="BH974" s="115"/>
      <c r="BI974" s="115"/>
      <c r="BJ974" s="115"/>
      <c r="BK974" s="115"/>
      <c r="BL974" s="115"/>
      <c r="BM974" s="25">
        <v>45276</v>
      </c>
      <c r="BN974" s="15" t="s">
        <v>162</v>
      </c>
      <c r="BQ974" s="114"/>
    </row>
    <row r="975" spans="6:69" ht="19.5" x14ac:dyDescent="0.4">
      <c r="AO975" s="26"/>
      <c r="AP975" s="15"/>
      <c r="AT975" s="115"/>
      <c r="AU975" s="117"/>
      <c r="AV975" s="123"/>
      <c r="AW975" s="123"/>
      <c r="AX975" s="123"/>
      <c r="AY975" s="115"/>
      <c r="AZ975" s="115"/>
      <c r="BA975" s="115"/>
      <c r="BB975" s="115"/>
      <c r="BC975" s="115"/>
      <c r="BD975" s="115"/>
      <c r="BE975" s="115"/>
      <c r="BF975" s="115"/>
      <c r="BG975" s="115"/>
      <c r="BH975" s="115"/>
      <c r="BI975" s="115"/>
      <c r="BJ975" s="115"/>
      <c r="BK975" s="115"/>
      <c r="BL975" s="115"/>
      <c r="BM975" s="25">
        <v>45276</v>
      </c>
      <c r="BN975" s="15" t="s">
        <v>162</v>
      </c>
      <c r="BQ975" s="114"/>
    </row>
    <row r="976" spans="6:69" ht="19.5" x14ac:dyDescent="0.4">
      <c r="AO976" s="26"/>
      <c r="AP976" s="15"/>
      <c r="AT976" s="115"/>
      <c r="AU976" s="117"/>
      <c r="AV976" s="123"/>
      <c r="AW976" s="123"/>
      <c r="AX976" s="123"/>
      <c r="AY976" s="115"/>
      <c r="AZ976" s="115"/>
      <c r="BA976" s="115"/>
      <c r="BB976" s="115"/>
      <c r="BC976" s="115"/>
      <c r="BD976" s="115"/>
      <c r="BE976" s="115"/>
      <c r="BF976" s="115"/>
      <c r="BG976" s="115"/>
      <c r="BH976" s="115"/>
      <c r="BI976" s="115"/>
      <c r="BJ976" s="115"/>
      <c r="BK976" s="115"/>
      <c r="BL976" s="115"/>
      <c r="BM976" s="25">
        <v>45276</v>
      </c>
      <c r="BN976" s="15" t="s">
        <v>162</v>
      </c>
      <c r="BQ976" s="114"/>
    </row>
    <row r="977" spans="6:69" ht="19.5" x14ac:dyDescent="0.4">
      <c r="AG977" s="115"/>
      <c r="AH977" s="115"/>
      <c r="AI977" s="115"/>
      <c r="AJ977" s="115"/>
      <c r="AK977" s="115"/>
      <c r="AL977" s="115"/>
      <c r="AM977" s="115"/>
      <c r="AN977" s="115"/>
      <c r="AO977" s="17"/>
      <c r="AP977" s="15"/>
      <c r="AT977" s="115"/>
      <c r="AU977" s="117"/>
      <c r="AV977" s="123"/>
      <c r="AW977" s="123"/>
      <c r="AX977" s="123"/>
      <c r="AY977" s="115"/>
      <c r="AZ977" s="115"/>
      <c r="BA977" s="115"/>
      <c r="BB977" s="115"/>
      <c r="BC977" s="115"/>
      <c r="BD977" s="115"/>
      <c r="BE977" s="115"/>
      <c r="BF977" s="115"/>
      <c r="BG977" s="115"/>
      <c r="BH977" s="115"/>
      <c r="BI977" s="115"/>
      <c r="BJ977" s="115"/>
      <c r="BK977" s="115"/>
      <c r="BL977" s="115"/>
      <c r="BM977" s="25"/>
      <c r="BN977" s="15"/>
      <c r="BQ977" s="114"/>
    </row>
    <row r="978" spans="6:69" ht="19.5" x14ac:dyDescent="0.4"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26"/>
      <c r="AP978" s="15"/>
      <c r="AT978" s="115"/>
      <c r="AU978" s="117"/>
      <c r="AV978" s="123"/>
      <c r="AW978" s="123"/>
      <c r="AX978" s="123"/>
      <c r="AY978" s="115"/>
      <c r="AZ978" s="115"/>
      <c r="BA978" s="115"/>
      <c r="BB978" s="115"/>
      <c r="BC978" s="115"/>
      <c r="BD978" s="115"/>
      <c r="BE978" s="115"/>
      <c r="BF978" s="115"/>
      <c r="BG978" s="115"/>
      <c r="BH978" s="115"/>
      <c r="BI978" s="115"/>
      <c r="BJ978" s="115"/>
      <c r="BK978" s="115"/>
      <c r="BL978" s="115"/>
      <c r="BM978" s="25"/>
      <c r="BN978" s="15"/>
      <c r="BQ978" s="114"/>
    </row>
    <row r="979" spans="6:69" ht="19.5" x14ac:dyDescent="0.4"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7"/>
      <c r="AP979" s="15"/>
      <c r="AT979" s="115"/>
      <c r="AU979" s="117"/>
      <c r="AV979" s="123"/>
      <c r="AW979" s="123"/>
      <c r="AX979" s="123"/>
      <c r="AY979" s="115"/>
      <c r="AZ979" s="115"/>
      <c r="BA979" s="115"/>
      <c r="BB979" s="115"/>
      <c r="BC979" s="115"/>
      <c r="BD979" s="115"/>
      <c r="BE979" s="115"/>
      <c r="BF979" s="115"/>
      <c r="BG979" s="115"/>
      <c r="BH979" s="115"/>
      <c r="BI979" s="115"/>
      <c r="BJ979" s="115"/>
      <c r="BK979" s="115"/>
      <c r="BL979" s="115"/>
      <c r="BM979" s="25"/>
      <c r="BN979" s="15"/>
      <c r="BQ979" s="114"/>
    </row>
    <row r="980" spans="6:69" ht="19.5" x14ac:dyDescent="0.4">
      <c r="AO980" s="26"/>
      <c r="AP980" s="15"/>
      <c r="AT980" s="115"/>
      <c r="AU980" s="117"/>
      <c r="AV980" s="123"/>
      <c r="AW980" s="123"/>
      <c r="AX980" s="123"/>
      <c r="AY980" s="115"/>
      <c r="AZ980" s="115"/>
      <c r="BA980" s="115"/>
      <c r="BB980" s="115"/>
      <c r="BC980" s="115"/>
      <c r="BD980" s="115"/>
      <c r="BE980" s="115"/>
      <c r="BF980" s="115"/>
      <c r="BG980" s="115"/>
      <c r="BH980" s="115"/>
      <c r="BI980" s="115"/>
      <c r="BJ980" s="115"/>
      <c r="BK980" s="115"/>
      <c r="BL980" s="115"/>
      <c r="BM980" s="25"/>
      <c r="BN980" s="15"/>
      <c r="BQ980" s="114"/>
    </row>
    <row r="981" spans="6:69" ht="19.5" x14ac:dyDescent="0.4"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26"/>
      <c r="AP981" s="15"/>
      <c r="AT981" s="115"/>
      <c r="AU981" s="117"/>
      <c r="AV981" s="123"/>
      <c r="AW981" s="123"/>
      <c r="AX981" s="123"/>
      <c r="AY981" s="115"/>
      <c r="AZ981" s="115"/>
      <c r="BA981" s="115"/>
      <c r="BB981" s="115"/>
      <c r="BC981" s="115"/>
      <c r="BD981" s="115"/>
      <c r="BE981" s="115"/>
      <c r="BF981" s="115"/>
      <c r="BG981" s="115"/>
      <c r="BH981" s="115"/>
      <c r="BI981" s="115"/>
      <c r="BJ981" s="115"/>
      <c r="BK981" s="115"/>
      <c r="BL981" s="115"/>
      <c r="BM981" s="25"/>
      <c r="BN981" s="15"/>
      <c r="BQ981" s="114"/>
    </row>
    <row r="982" spans="6:69" ht="19.5" x14ac:dyDescent="0.4">
      <c r="AO982" s="26"/>
      <c r="AP982" s="15"/>
      <c r="AT982" s="115"/>
      <c r="AU982" s="117"/>
      <c r="AV982" s="123"/>
      <c r="AW982" s="123"/>
      <c r="AX982" s="123"/>
      <c r="AY982" s="115"/>
      <c r="AZ982" s="115"/>
      <c r="BA982" s="115"/>
      <c r="BB982" s="115"/>
      <c r="BC982" s="115"/>
      <c r="BD982" s="115"/>
      <c r="BE982" s="115"/>
      <c r="BF982" s="115"/>
      <c r="BG982" s="115"/>
      <c r="BH982" s="115"/>
      <c r="BI982" s="115"/>
      <c r="BJ982" s="115"/>
      <c r="BK982" s="115"/>
      <c r="BL982" s="115"/>
      <c r="BM982" s="25">
        <v>45276</v>
      </c>
      <c r="BN982" s="15" t="s">
        <v>162</v>
      </c>
      <c r="BQ982" s="114"/>
    </row>
    <row r="983" spans="6:69" ht="19.5" x14ac:dyDescent="0.4">
      <c r="AG983" s="115"/>
      <c r="AH983" s="115"/>
      <c r="AI983" s="115"/>
      <c r="AJ983" s="115"/>
      <c r="AK983" s="115"/>
      <c r="AL983" s="115"/>
      <c r="AM983" s="115"/>
      <c r="AN983" s="115"/>
      <c r="AO983" s="17"/>
      <c r="AP983" s="15"/>
      <c r="AT983" s="115"/>
      <c r="AU983" s="117"/>
      <c r="AV983" s="123"/>
      <c r="AW983" s="123"/>
      <c r="AX983" s="123"/>
      <c r="AY983" s="115"/>
      <c r="AZ983" s="115"/>
      <c r="BA983" s="115"/>
      <c r="BB983" s="115"/>
      <c r="BC983" s="115"/>
      <c r="BD983" s="115"/>
      <c r="BE983" s="115"/>
      <c r="BF983" s="115"/>
      <c r="BG983" s="115"/>
      <c r="BH983" s="115"/>
      <c r="BI983" s="115"/>
      <c r="BJ983" s="115"/>
      <c r="BK983" s="115"/>
      <c r="BL983" s="115"/>
      <c r="BM983" s="25"/>
      <c r="BN983" s="15"/>
      <c r="BQ983" s="114"/>
    </row>
    <row r="984" spans="6:69" ht="19.5" x14ac:dyDescent="0.4">
      <c r="AO984" s="26"/>
      <c r="AP984" s="15"/>
      <c r="AT984" s="115"/>
      <c r="AU984" s="117"/>
      <c r="AV984" s="123"/>
      <c r="AW984" s="123"/>
      <c r="AX984" s="123"/>
      <c r="AY984" s="115"/>
      <c r="AZ984" s="115"/>
      <c r="BA984" s="115"/>
      <c r="BB984" s="115"/>
      <c r="BC984" s="115"/>
      <c r="BD984" s="115"/>
      <c r="BE984" s="115"/>
      <c r="BF984" s="115"/>
      <c r="BG984" s="115"/>
      <c r="BH984" s="115"/>
      <c r="BI984" s="115"/>
      <c r="BJ984" s="115"/>
      <c r="BK984" s="115"/>
      <c r="BL984" s="115"/>
      <c r="BM984" s="25">
        <v>45276</v>
      </c>
      <c r="BN984" s="15" t="s">
        <v>162</v>
      </c>
      <c r="BQ984" s="114"/>
    </row>
    <row r="985" spans="6:69" ht="19.5" x14ac:dyDescent="0.4">
      <c r="AG985" s="115"/>
      <c r="AH985" s="115"/>
      <c r="AI985" s="115"/>
      <c r="AJ985" s="115"/>
      <c r="AK985" s="115"/>
      <c r="AL985" s="115"/>
      <c r="AM985" s="115"/>
      <c r="AN985" s="115"/>
      <c r="AO985" s="17"/>
      <c r="AP985" s="15"/>
      <c r="AT985" s="115"/>
      <c r="AU985" s="117"/>
      <c r="AV985" s="123"/>
      <c r="AW985" s="123"/>
      <c r="AX985" s="123"/>
      <c r="AY985" s="115"/>
      <c r="AZ985" s="115"/>
      <c r="BA985" s="115"/>
      <c r="BB985" s="115"/>
      <c r="BC985" s="115"/>
      <c r="BD985" s="115"/>
      <c r="BE985" s="115"/>
      <c r="BF985" s="115"/>
      <c r="BG985" s="115"/>
      <c r="BH985" s="115"/>
      <c r="BI985" s="115"/>
      <c r="BJ985" s="115"/>
      <c r="BK985" s="115"/>
      <c r="BL985" s="115"/>
      <c r="BM985" s="25"/>
      <c r="BN985" s="15"/>
      <c r="BQ985" s="114"/>
    </row>
    <row r="986" spans="6:69" ht="19.5" x14ac:dyDescent="0.4"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26"/>
      <c r="AP986" s="15"/>
      <c r="AT986" s="115"/>
      <c r="AU986" s="117"/>
      <c r="AV986" s="123"/>
      <c r="AW986" s="123"/>
      <c r="AX986" s="123"/>
      <c r="AY986" s="115"/>
      <c r="AZ986" s="115"/>
      <c r="BA986" s="115"/>
      <c r="BB986" s="115"/>
      <c r="BC986" s="115"/>
      <c r="BD986" s="115"/>
      <c r="BE986" s="115"/>
      <c r="BF986" s="115"/>
      <c r="BG986" s="115"/>
      <c r="BH986" s="115"/>
      <c r="BI986" s="115"/>
      <c r="BJ986" s="115"/>
      <c r="BK986" s="115"/>
      <c r="BL986" s="115"/>
      <c r="BM986" s="25"/>
      <c r="BN986" s="15"/>
      <c r="BQ986" s="114"/>
    </row>
    <row r="987" spans="6:69" ht="19.5" x14ac:dyDescent="0.4"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7"/>
      <c r="AP987" s="15"/>
      <c r="AT987" s="115"/>
      <c r="AU987" s="117"/>
      <c r="AV987" s="123"/>
      <c r="AW987" s="123"/>
      <c r="AX987" s="123"/>
      <c r="AY987" s="115"/>
      <c r="AZ987" s="115"/>
      <c r="BA987" s="115"/>
      <c r="BB987" s="115"/>
      <c r="BC987" s="115"/>
      <c r="BD987" s="115"/>
      <c r="BE987" s="115"/>
      <c r="BF987" s="115"/>
      <c r="BG987" s="115"/>
      <c r="BH987" s="115"/>
      <c r="BI987" s="115"/>
      <c r="BJ987" s="115"/>
      <c r="BK987" s="115"/>
      <c r="BL987" s="115"/>
      <c r="BM987" s="25"/>
      <c r="BN987" s="15"/>
      <c r="BQ987" s="114"/>
    </row>
    <row r="988" spans="6:69" ht="19.5" x14ac:dyDescent="0.4">
      <c r="AO988" s="26"/>
      <c r="AP988" s="15"/>
      <c r="AT988" s="115"/>
      <c r="AU988" s="117"/>
      <c r="AV988" s="123"/>
      <c r="AW988" s="123"/>
      <c r="AX988" s="123"/>
      <c r="AY988" s="115"/>
      <c r="AZ988" s="115"/>
      <c r="BA988" s="115"/>
      <c r="BB988" s="115"/>
      <c r="BC988" s="115"/>
      <c r="BD988" s="115"/>
      <c r="BE988" s="115"/>
      <c r="BF988" s="115"/>
      <c r="BG988" s="115"/>
      <c r="BH988" s="115"/>
      <c r="BI988" s="115"/>
      <c r="BJ988" s="115"/>
      <c r="BK988" s="115"/>
      <c r="BL988" s="115"/>
      <c r="BM988" s="25">
        <v>45276</v>
      </c>
      <c r="BN988" s="15" t="s">
        <v>162</v>
      </c>
      <c r="BQ988" s="114"/>
    </row>
    <row r="989" spans="6:69" ht="19.5" x14ac:dyDescent="0.4">
      <c r="AO989" s="26"/>
      <c r="AP989" s="15"/>
      <c r="AT989" s="115"/>
      <c r="AU989" s="117"/>
      <c r="AV989" s="123"/>
      <c r="AW989" s="123"/>
      <c r="AX989" s="123"/>
      <c r="AY989" s="115"/>
      <c r="AZ989" s="115"/>
      <c r="BA989" s="115"/>
      <c r="BB989" s="115"/>
      <c r="BC989" s="115"/>
      <c r="BD989" s="115"/>
      <c r="BE989" s="115"/>
      <c r="BF989" s="115"/>
      <c r="BG989" s="115"/>
      <c r="BH989" s="115"/>
      <c r="BI989" s="115"/>
      <c r="BJ989" s="115"/>
      <c r="BK989" s="115"/>
      <c r="BL989" s="115"/>
      <c r="BM989" s="25">
        <v>45276</v>
      </c>
      <c r="BN989" s="15" t="s">
        <v>162</v>
      </c>
      <c r="BQ989" s="114"/>
    </row>
    <row r="990" spans="6:69" ht="19.5" x14ac:dyDescent="0.4">
      <c r="AO990" s="26"/>
      <c r="AP990" s="15"/>
      <c r="AT990" s="115"/>
      <c r="AU990" s="117"/>
      <c r="AV990" s="123"/>
      <c r="AW990" s="123"/>
      <c r="AX990" s="123"/>
      <c r="AY990" s="115"/>
      <c r="AZ990" s="115"/>
      <c r="BA990" s="115"/>
      <c r="BB990" s="115"/>
      <c r="BC990" s="115"/>
      <c r="BD990" s="115"/>
      <c r="BE990" s="115"/>
      <c r="BF990" s="115"/>
      <c r="BG990" s="115"/>
      <c r="BH990" s="115"/>
      <c r="BI990" s="115"/>
      <c r="BJ990" s="115"/>
      <c r="BK990" s="115"/>
      <c r="BL990" s="115"/>
      <c r="BM990" s="25">
        <v>45276</v>
      </c>
      <c r="BN990" s="15" t="s">
        <v>162</v>
      </c>
      <c r="BQ990" s="114"/>
    </row>
    <row r="991" spans="6:69" ht="19.5" x14ac:dyDescent="0.4">
      <c r="AO991" s="26"/>
      <c r="AP991" s="15"/>
      <c r="AT991" s="115"/>
      <c r="AU991" s="117"/>
      <c r="AV991" s="123"/>
      <c r="AW991" s="123"/>
      <c r="AX991" s="123"/>
      <c r="AY991" s="115"/>
      <c r="AZ991" s="115"/>
      <c r="BA991" s="115"/>
      <c r="BB991" s="115"/>
      <c r="BC991" s="115"/>
      <c r="BD991" s="115"/>
      <c r="BE991" s="115"/>
      <c r="BF991" s="115"/>
      <c r="BG991" s="115"/>
      <c r="BH991" s="115"/>
      <c r="BI991" s="115"/>
      <c r="BJ991" s="115"/>
      <c r="BK991" s="115"/>
      <c r="BL991" s="115"/>
      <c r="BM991" s="25"/>
      <c r="BN991" s="15"/>
      <c r="BQ991" s="114"/>
    </row>
    <row r="992" spans="6:69" ht="19.5" x14ac:dyDescent="0.4">
      <c r="AG992" s="115"/>
      <c r="AH992" s="115"/>
      <c r="AI992" s="115"/>
      <c r="AJ992" s="115"/>
      <c r="AK992" s="115"/>
      <c r="AL992" s="115"/>
      <c r="AM992" s="115"/>
      <c r="AN992" s="115"/>
      <c r="AO992" s="17"/>
      <c r="AP992" s="15"/>
      <c r="AT992" s="115"/>
      <c r="AU992" s="117"/>
      <c r="AV992" s="123"/>
      <c r="AW992" s="123"/>
      <c r="AX992" s="123"/>
      <c r="AY992" s="115"/>
      <c r="AZ992" s="115"/>
      <c r="BA992" s="115"/>
      <c r="BB992" s="115"/>
      <c r="BC992" s="115"/>
      <c r="BD992" s="115"/>
      <c r="BE992" s="115"/>
      <c r="BF992" s="115"/>
      <c r="BG992" s="115"/>
      <c r="BH992" s="115"/>
      <c r="BI992" s="115"/>
      <c r="BJ992" s="115"/>
      <c r="BK992" s="115"/>
      <c r="BL992" s="115"/>
      <c r="BM992" s="25"/>
      <c r="BN992" s="15"/>
      <c r="BQ992" s="114"/>
    </row>
    <row r="993" spans="30:69" ht="19.5" x14ac:dyDescent="0.4">
      <c r="AO993" s="26"/>
      <c r="AP993" s="15"/>
      <c r="AT993" s="115"/>
      <c r="AU993" s="117"/>
      <c r="AV993" s="123"/>
      <c r="AW993" s="123"/>
      <c r="AX993" s="123"/>
      <c r="AY993" s="115"/>
      <c r="AZ993" s="115"/>
      <c r="BA993" s="115"/>
      <c r="BB993" s="115"/>
      <c r="BC993" s="115"/>
      <c r="BD993" s="115"/>
      <c r="BE993" s="115"/>
      <c r="BF993" s="115"/>
      <c r="BG993" s="115"/>
      <c r="BH993" s="115"/>
      <c r="BI993" s="115"/>
      <c r="BJ993" s="115"/>
      <c r="BK993" s="115"/>
      <c r="BL993" s="115"/>
      <c r="BM993" s="25">
        <v>45276</v>
      </c>
      <c r="BN993" s="15" t="s">
        <v>162</v>
      </c>
      <c r="BQ993" s="114"/>
    </row>
    <row r="994" spans="30:69" ht="19.5" x14ac:dyDescent="0.4">
      <c r="AO994" s="26"/>
      <c r="AP994" s="15"/>
      <c r="AT994" s="115"/>
      <c r="AU994" s="117"/>
      <c r="AV994" s="123"/>
      <c r="AW994" s="123"/>
      <c r="AX994" s="123"/>
      <c r="AY994" s="115"/>
      <c r="AZ994" s="115"/>
      <c r="BA994" s="115"/>
      <c r="BB994" s="115"/>
      <c r="BC994" s="115"/>
      <c r="BD994" s="115"/>
      <c r="BE994" s="115"/>
      <c r="BF994" s="115"/>
      <c r="BG994" s="115"/>
      <c r="BH994" s="115"/>
      <c r="BI994" s="115"/>
      <c r="BJ994" s="115"/>
      <c r="BK994" s="115"/>
      <c r="BL994" s="115"/>
      <c r="BM994" s="25">
        <v>45276</v>
      </c>
      <c r="BN994" s="15" t="s">
        <v>162</v>
      </c>
      <c r="BQ994" s="114"/>
    </row>
    <row r="995" spans="30:69" ht="19.5" x14ac:dyDescent="0.4">
      <c r="AG995" s="115"/>
      <c r="AH995" s="115"/>
      <c r="AI995" s="115"/>
      <c r="AJ995" s="115"/>
      <c r="AK995" s="115"/>
      <c r="AL995" s="115"/>
      <c r="AM995" s="115"/>
      <c r="AN995" s="115"/>
      <c r="AO995" s="17"/>
      <c r="AP995" s="15"/>
      <c r="AT995" s="115"/>
      <c r="AU995" s="117"/>
      <c r="AV995" s="123"/>
      <c r="AW995" s="123"/>
      <c r="AX995" s="123"/>
      <c r="AY995" s="115"/>
      <c r="AZ995" s="115"/>
      <c r="BA995" s="115"/>
      <c r="BB995" s="115"/>
      <c r="BC995" s="115"/>
      <c r="BD995" s="115"/>
      <c r="BE995" s="115"/>
      <c r="BF995" s="115"/>
      <c r="BG995" s="115"/>
      <c r="BH995" s="115"/>
      <c r="BI995" s="115"/>
      <c r="BJ995" s="115"/>
      <c r="BK995" s="115"/>
      <c r="BL995" s="115"/>
      <c r="BM995" s="25"/>
      <c r="BN995" s="15"/>
      <c r="BQ995" s="114"/>
    </row>
    <row r="996" spans="30:69" ht="19.5" x14ac:dyDescent="0.4"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26"/>
      <c r="AP996" s="15"/>
      <c r="AT996" s="115"/>
      <c r="AU996" s="117"/>
      <c r="AV996" s="123"/>
      <c r="AW996" s="123"/>
      <c r="AX996" s="123"/>
      <c r="AY996" s="115"/>
      <c r="AZ996" s="115"/>
      <c r="BA996" s="115"/>
      <c r="BB996" s="115"/>
      <c r="BC996" s="115"/>
      <c r="BD996" s="115"/>
      <c r="BE996" s="115"/>
      <c r="BF996" s="115"/>
      <c r="BG996" s="115"/>
      <c r="BH996" s="115"/>
      <c r="BI996" s="115"/>
      <c r="BJ996" s="115"/>
      <c r="BK996" s="115"/>
      <c r="BL996" s="115"/>
      <c r="BM996" s="25"/>
      <c r="BN996" s="15"/>
      <c r="BQ996" s="114"/>
    </row>
    <row r="997" spans="30:69" ht="19.5" x14ac:dyDescent="0.4"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7"/>
      <c r="AP997" s="15"/>
      <c r="AT997" s="115"/>
      <c r="AU997" s="117"/>
      <c r="AV997" s="123"/>
      <c r="AW997" s="123"/>
      <c r="AX997" s="123"/>
      <c r="AY997" s="115"/>
      <c r="AZ997" s="115"/>
      <c r="BA997" s="115"/>
      <c r="BB997" s="115"/>
      <c r="BC997" s="115"/>
      <c r="BD997" s="115"/>
      <c r="BE997" s="115"/>
      <c r="BF997" s="115"/>
      <c r="BG997" s="115"/>
      <c r="BH997" s="115"/>
      <c r="BI997" s="115"/>
      <c r="BJ997" s="115"/>
      <c r="BK997" s="115"/>
      <c r="BL997" s="115"/>
      <c r="BM997" s="25"/>
      <c r="BN997" s="15"/>
      <c r="BQ997" s="114"/>
    </row>
    <row r="998" spans="30:69" ht="19.5" x14ac:dyDescent="0.4"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26"/>
      <c r="AP998" s="15"/>
      <c r="AT998" s="115"/>
      <c r="AU998" s="117"/>
      <c r="AV998" s="123"/>
      <c r="AW998" s="123"/>
      <c r="AX998" s="123"/>
      <c r="AY998" s="115"/>
      <c r="AZ998" s="115"/>
      <c r="BA998" s="115"/>
      <c r="BB998" s="115"/>
      <c r="BC998" s="115"/>
      <c r="BD998" s="115"/>
      <c r="BE998" s="115"/>
      <c r="BF998" s="115"/>
      <c r="BG998" s="115"/>
      <c r="BH998" s="115"/>
      <c r="BI998" s="115"/>
      <c r="BJ998" s="115"/>
      <c r="BK998" s="115"/>
      <c r="BL998" s="115"/>
      <c r="BM998" s="25"/>
      <c r="BN998" s="15"/>
      <c r="BQ998" s="114"/>
    </row>
    <row r="999" spans="30:69" ht="19.5" x14ac:dyDescent="0.4">
      <c r="AO999" s="26"/>
      <c r="AP999" s="15"/>
      <c r="AT999" s="115"/>
      <c r="AU999" s="117"/>
      <c r="AV999" s="123"/>
      <c r="AW999" s="123"/>
      <c r="AX999" s="123"/>
      <c r="AY999" s="115"/>
      <c r="AZ999" s="115"/>
      <c r="BA999" s="115"/>
      <c r="BB999" s="115"/>
      <c r="BC999" s="115"/>
      <c r="BD999" s="115"/>
      <c r="BE999" s="115"/>
      <c r="BF999" s="115"/>
      <c r="BG999" s="115"/>
      <c r="BH999" s="115"/>
      <c r="BI999" s="115"/>
      <c r="BJ999" s="115"/>
      <c r="BK999" s="115"/>
      <c r="BL999" s="115" t="s">
        <v>169</v>
      </c>
      <c r="BM999" s="13">
        <f>SUBTOTAL(3,BM962:BM994)</f>
        <v>17</v>
      </c>
      <c r="BN999" s="15">
        <f>SUBTOTAL(3,BN962:BN994)</f>
        <v>17</v>
      </c>
      <c r="BQ999" s="114"/>
    </row>
    <row r="1000" spans="30:69" ht="19.5" x14ac:dyDescent="0.4"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26"/>
      <c r="AP1000" s="15"/>
      <c r="AT1000" s="115"/>
      <c r="AU1000" s="117"/>
      <c r="AV1000" s="123"/>
      <c r="AW1000" s="123"/>
      <c r="AX1000" s="123"/>
      <c r="AY1000" s="115"/>
      <c r="AZ1000" s="115"/>
      <c r="BA1000" s="115"/>
      <c r="BB1000" s="115"/>
      <c r="BC1000" s="115"/>
      <c r="BD1000" s="115"/>
      <c r="BE1000" s="115"/>
      <c r="BF1000" s="115"/>
      <c r="BG1000" s="115"/>
      <c r="BH1000" s="115"/>
      <c r="BI1000" s="115"/>
      <c r="BJ1000" s="115"/>
      <c r="BK1000" s="115"/>
      <c r="BL1000" s="115"/>
      <c r="BM1000" s="13"/>
      <c r="BN1000" s="15"/>
      <c r="BQ1000" s="114"/>
    </row>
    <row r="1001" spans="30:69" ht="19.5" x14ac:dyDescent="0.4">
      <c r="AO1001" s="26"/>
      <c r="AP1001" s="15"/>
      <c r="AT1001" s="115"/>
      <c r="AU1001" s="117"/>
      <c r="AV1001" s="123"/>
      <c r="AW1001" s="123"/>
      <c r="AX1001" s="123"/>
      <c r="AY1001" s="115"/>
      <c r="AZ1001" s="115"/>
      <c r="BA1001" s="115"/>
      <c r="BB1001" s="115"/>
      <c r="BC1001" s="115"/>
      <c r="BD1001" s="115"/>
      <c r="BE1001" s="115"/>
      <c r="BF1001" s="115"/>
      <c r="BG1001" s="115"/>
      <c r="BH1001" s="115"/>
      <c r="BI1001" s="115"/>
      <c r="BJ1001" s="115"/>
      <c r="BK1001" s="115"/>
      <c r="BL1001" s="115"/>
      <c r="BM1001" s="25">
        <v>45277</v>
      </c>
      <c r="BN1001" s="15" t="s">
        <v>162</v>
      </c>
      <c r="BQ1001" s="114"/>
    </row>
    <row r="1002" spans="30:69" ht="19.5" x14ac:dyDescent="0.4">
      <c r="AG1002" s="115"/>
      <c r="AH1002" s="115"/>
      <c r="AI1002" s="115"/>
      <c r="AJ1002" s="115"/>
      <c r="AK1002" s="115"/>
      <c r="AL1002" s="115"/>
      <c r="AM1002" s="115"/>
      <c r="AN1002" s="115"/>
      <c r="AO1002" s="17"/>
      <c r="AP1002" s="15"/>
      <c r="AT1002" s="115"/>
      <c r="AU1002" s="117"/>
      <c r="AV1002" s="123"/>
      <c r="AW1002" s="123"/>
      <c r="AX1002" s="123"/>
      <c r="AY1002" s="115"/>
      <c r="AZ1002" s="115"/>
      <c r="BA1002" s="115"/>
      <c r="BB1002" s="115"/>
      <c r="BC1002" s="115"/>
      <c r="BD1002" s="115"/>
      <c r="BE1002" s="115"/>
      <c r="BF1002" s="115"/>
      <c r="BG1002" s="115"/>
      <c r="BH1002" s="115"/>
      <c r="BI1002" s="115"/>
      <c r="BJ1002" s="115"/>
      <c r="BK1002" s="115"/>
      <c r="BL1002" s="115"/>
      <c r="BM1002" s="25"/>
      <c r="BN1002" s="15"/>
      <c r="BQ1002" s="114"/>
    </row>
    <row r="1003" spans="30:69" ht="19.5" x14ac:dyDescent="0.4"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26"/>
      <c r="AP1003" s="15"/>
      <c r="AT1003" s="115"/>
      <c r="AU1003" s="117"/>
      <c r="AV1003" s="123"/>
      <c r="AW1003" s="123"/>
      <c r="AX1003" s="123"/>
      <c r="AY1003" s="115"/>
      <c r="AZ1003" s="115"/>
      <c r="BA1003" s="115"/>
      <c r="BB1003" s="115"/>
      <c r="BC1003" s="115"/>
      <c r="BD1003" s="115"/>
      <c r="BE1003" s="115"/>
      <c r="BF1003" s="115"/>
      <c r="BG1003" s="115"/>
      <c r="BH1003" s="115"/>
      <c r="BI1003" s="115"/>
      <c r="BJ1003" s="115"/>
      <c r="BK1003" s="115"/>
      <c r="BL1003" s="115"/>
      <c r="BM1003" s="25"/>
      <c r="BN1003" s="15"/>
      <c r="BQ1003" s="114"/>
    </row>
    <row r="1004" spans="30:69" ht="19.5" x14ac:dyDescent="0.4"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7"/>
      <c r="AP1004" s="15"/>
      <c r="AT1004" s="115"/>
      <c r="AU1004" s="117"/>
      <c r="AV1004" s="123"/>
      <c r="AW1004" s="123"/>
      <c r="AX1004" s="123"/>
      <c r="AY1004" s="115"/>
      <c r="AZ1004" s="115"/>
      <c r="BA1004" s="115"/>
      <c r="BB1004" s="115"/>
      <c r="BC1004" s="115"/>
      <c r="BD1004" s="115"/>
      <c r="BE1004" s="115"/>
      <c r="BF1004" s="115"/>
      <c r="BG1004" s="115"/>
      <c r="BH1004" s="115"/>
      <c r="BI1004" s="115"/>
      <c r="BJ1004" s="115"/>
      <c r="BK1004" s="115"/>
      <c r="BL1004" s="115"/>
      <c r="BM1004" s="25"/>
      <c r="BN1004" s="15"/>
      <c r="BQ1004" s="114"/>
    </row>
    <row r="1005" spans="30:69" ht="19.5" x14ac:dyDescent="0.4"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7"/>
      <c r="AP1005" s="15"/>
      <c r="AT1005" s="115"/>
      <c r="AU1005" s="117"/>
      <c r="AV1005" s="123"/>
      <c r="AW1005" s="123"/>
      <c r="AX1005" s="123"/>
      <c r="AY1005" s="115"/>
      <c r="AZ1005" s="115"/>
      <c r="BA1005" s="115"/>
      <c r="BB1005" s="115"/>
      <c r="BC1005" s="115"/>
      <c r="BD1005" s="115"/>
      <c r="BE1005" s="115"/>
      <c r="BF1005" s="115"/>
      <c r="BG1005" s="115"/>
      <c r="BH1005" s="115"/>
      <c r="BI1005" s="115"/>
      <c r="BJ1005" s="115"/>
      <c r="BK1005" s="115"/>
      <c r="BL1005" s="115"/>
      <c r="BM1005" s="25"/>
      <c r="BN1005" s="15"/>
      <c r="BQ1005" s="114"/>
    </row>
    <row r="1006" spans="30:69" ht="19.5" x14ac:dyDescent="0.4">
      <c r="AO1006" s="26"/>
      <c r="AP1006" s="15"/>
      <c r="AT1006" s="115"/>
      <c r="AU1006" s="117"/>
      <c r="AV1006" s="123"/>
      <c r="AW1006" s="123"/>
      <c r="AX1006" s="123"/>
      <c r="AY1006" s="115"/>
      <c r="AZ1006" s="115"/>
      <c r="BA1006" s="115"/>
      <c r="BB1006" s="115"/>
      <c r="BC1006" s="115"/>
      <c r="BD1006" s="115"/>
      <c r="BE1006" s="115"/>
      <c r="BF1006" s="115"/>
      <c r="BG1006" s="115"/>
      <c r="BH1006" s="115"/>
      <c r="BI1006" s="115"/>
      <c r="BJ1006" s="115"/>
      <c r="BK1006" s="115"/>
      <c r="BL1006" s="115"/>
      <c r="BM1006" s="25">
        <v>45277</v>
      </c>
      <c r="BN1006" s="15" t="s">
        <v>162</v>
      </c>
      <c r="BQ1006" s="114"/>
    </row>
    <row r="1007" spans="30:69" ht="19.5" x14ac:dyDescent="0.4"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7"/>
      <c r="AP1007" s="15"/>
      <c r="AT1007" s="115"/>
      <c r="AU1007" s="117"/>
      <c r="AV1007" s="123"/>
      <c r="AW1007" s="123"/>
      <c r="AX1007" s="123"/>
      <c r="AY1007" s="115"/>
      <c r="AZ1007" s="115"/>
      <c r="BA1007" s="115"/>
      <c r="BB1007" s="115"/>
      <c r="BC1007" s="115"/>
      <c r="BD1007" s="115"/>
      <c r="BE1007" s="115"/>
      <c r="BF1007" s="115"/>
      <c r="BG1007" s="115"/>
      <c r="BH1007" s="115"/>
      <c r="BI1007" s="115"/>
      <c r="BJ1007" s="115"/>
      <c r="BK1007" s="115"/>
      <c r="BL1007" s="115"/>
      <c r="BM1007" s="131"/>
      <c r="BN1007" s="13"/>
      <c r="BQ1007" s="114"/>
    </row>
    <row r="1008" spans="30:69" ht="19.5" x14ac:dyDescent="0.4">
      <c r="AO1008" s="26"/>
      <c r="AP1008" s="15"/>
      <c r="AT1008" s="115"/>
      <c r="AU1008" s="117"/>
      <c r="AV1008" s="123"/>
      <c r="AW1008" s="123"/>
      <c r="AX1008" s="123"/>
      <c r="AY1008" s="115"/>
      <c r="AZ1008" s="115"/>
      <c r="BA1008" s="115"/>
      <c r="BB1008" s="115"/>
      <c r="BC1008" s="115"/>
      <c r="BD1008" s="115"/>
      <c r="BE1008" s="115"/>
      <c r="BF1008" s="115"/>
      <c r="BG1008" s="115"/>
      <c r="BH1008" s="115"/>
      <c r="BI1008" s="115"/>
      <c r="BJ1008" s="115"/>
      <c r="BK1008" s="115"/>
      <c r="BL1008" s="115"/>
      <c r="BM1008" s="26">
        <v>45277</v>
      </c>
      <c r="BN1008" s="13" t="s">
        <v>162</v>
      </c>
      <c r="BQ1008" s="114"/>
    </row>
    <row r="1009" spans="6:69" ht="19.5" x14ac:dyDescent="0.4">
      <c r="AO1009" s="26"/>
      <c r="AP1009" s="15"/>
      <c r="AT1009" s="115"/>
      <c r="AU1009" s="117"/>
      <c r="AV1009" s="123"/>
      <c r="AW1009" s="123"/>
      <c r="AX1009" s="123"/>
      <c r="AY1009" s="115"/>
      <c r="AZ1009" s="115"/>
      <c r="BA1009" s="115"/>
      <c r="BB1009" s="115"/>
      <c r="BC1009" s="115"/>
      <c r="BD1009" s="115"/>
      <c r="BE1009" s="115"/>
      <c r="BF1009" s="115"/>
      <c r="BG1009" s="115"/>
      <c r="BH1009" s="115"/>
      <c r="BI1009" s="115"/>
      <c r="BJ1009" s="115"/>
      <c r="BK1009" s="115"/>
      <c r="BL1009" s="115"/>
      <c r="BM1009" s="26">
        <v>45277</v>
      </c>
      <c r="BN1009" s="15" t="s">
        <v>162</v>
      </c>
      <c r="BQ1009" s="114"/>
    </row>
    <row r="1010" spans="6:69" ht="19.5" x14ac:dyDescent="0.4"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26"/>
      <c r="AP1010" s="15"/>
      <c r="AT1010" s="115"/>
      <c r="AU1010" s="117"/>
      <c r="AV1010" s="123"/>
      <c r="AW1010" s="123"/>
      <c r="AX1010" s="123"/>
      <c r="AY1010" s="115"/>
      <c r="AZ1010" s="115"/>
      <c r="BA1010" s="115"/>
      <c r="BB1010" s="115"/>
      <c r="BC1010" s="115"/>
      <c r="BD1010" s="115"/>
      <c r="BE1010" s="115"/>
      <c r="BF1010" s="115"/>
      <c r="BG1010" s="115"/>
      <c r="BH1010" s="115"/>
      <c r="BI1010" s="115"/>
      <c r="BJ1010" s="115"/>
      <c r="BK1010" s="115"/>
      <c r="BL1010" s="115"/>
      <c r="BM1010" s="26"/>
      <c r="BN1010" s="15"/>
      <c r="BQ1010" s="114"/>
    </row>
    <row r="1011" spans="6:69" ht="19.5" x14ac:dyDescent="0.4">
      <c r="AO1011" s="26"/>
      <c r="AP1011" s="15"/>
      <c r="AT1011" s="115"/>
      <c r="AU1011" s="117"/>
      <c r="AV1011" s="123"/>
      <c r="AW1011" s="123"/>
      <c r="AX1011" s="123"/>
      <c r="AY1011" s="115"/>
      <c r="AZ1011" s="115"/>
      <c r="BA1011" s="115"/>
      <c r="BB1011" s="115"/>
      <c r="BC1011" s="115"/>
      <c r="BD1011" s="115"/>
      <c r="BE1011" s="115"/>
      <c r="BF1011" s="115"/>
      <c r="BG1011" s="115"/>
      <c r="BH1011" s="115"/>
      <c r="BI1011" s="115"/>
      <c r="BJ1011" s="115"/>
      <c r="BK1011" s="115"/>
      <c r="BL1011" s="115"/>
      <c r="BM1011" s="26">
        <v>45277</v>
      </c>
      <c r="BN1011" s="15" t="s">
        <v>162</v>
      </c>
      <c r="BQ1011" s="114"/>
    </row>
    <row r="1012" spans="6:69" ht="19.5" x14ac:dyDescent="0.4">
      <c r="AO1012" s="26"/>
      <c r="AP1012" s="15"/>
      <c r="AT1012" s="115"/>
      <c r="AU1012" s="117"/>
      <c r="AV1012" s="123"/>
      <c r="AW1012" s="123"/>
      <c r="AX1012" s="123"/>
      <c r="AY1012" s="115"/>
      <c r="AZ1012" s="115"/>
      <c r="BA1012" s="115"/>
      <c r="BB1012" s="115"/>
      <c r="BC1012" s="115"/>
      <c r="BD1012" s="115"/>
      <c r="BE1012" s="115"/>
      <c r="BF1012" s="115"/>
      <c r="BG1012" s="115"/>
      <c r="BH1012" s="115"/>
      <c r="BI1012" s="115"/>
      <c r="BJ1012" s="115"/>
      <c r="BK1012" s="115"/>
      <c r="BL1012" s="115" t="s">
        <v>160</v>
      </c>
      <c r="BM1012" s="17">
        <f>SUBTOTAL(3,BM1001:BM1011)</f>
        <v>5</v>
      </c>
      <c r="BN1012" s="15">
        <f>SUBTOTAL(3,BN1001:BN1011)</f>
        <v>5</v>
      </c>
      <c r="BQ1012" s="114"/>
    </row>
    <row r="1013" spans="6:69" ht="19.5" x14ac:dyDescent="0.4"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26"/>
      <c r="AP1013" s="15"/>
      <c r="AT1013" s="115"/>
      <c r="AU1013" s="117"/>
      <c r="AV1013" s="123"/>
      <c r="AW1013" s="123"/>
      <c r="AX1013" s="123"/>
      <c r="AY1013" s="115"/>
      <c r="AZ1013" s="115"/>
      <c r="BA1013" s="115"/>
      <c r="BB1013" s="115"/>
      <c r="BC1013" s="115"/>
      <c r="BD1013" s="115"/>
      <c r="BE1013" s="115"/>
      <c r="BF1013" s="115"/>
      <c r="BG1013" s="115"/>
      <c r="BH1013" s="115"/>
      <c r="BI1013" s="115"/>
      <c r="BJ1013" s="115"/>
      <c r="BK1013" s="115"/>
      <c r="BL1013" s="115"/>
      <c r="BM1013" s="17"/>
      <c r="BN1013" s="15"/>
      <c r="BQ1013" s="114"/>
    </row>
    <row r="1014" spans="6:69" ht="19.5" x14ac:dyDescent="0.4"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26"/>
      <c r="AP1014" s="15"/>
      <c r="AT1014" s="115"/>
      <c r="AU1014" s="117"/>
      <c r="AV1014" s="123"/>
      <c r="AW1014" s="123"/>
      <c r="AX1014" s="123"/>
      <c r="AY1014" s="115"/>
      <c r="AZ1014" s="115"/>
      <c r="BA1014" s="115"/>
      <c r="BB1014" s="115"/>
      <c r="BC1014" s="115"/>
      <c r="BD1014" s="115"/>
      <c r="BE1014" s="115"/>
      <c r="BF1014" s="115"/>
      <c r="BG1014" s="115"/>
      <c r="BH1014" s="115"/>
      <c r="BI1014" s="115"/>
      <c r="BJ1014" s="115"/>
      <c r="BK1014" s="115"/>
      <c r="BL1014" s="115"/>
      <c r="BM1014" s="17"/>
      <c r="BN1014" s="15"/>
      <c r="BQ1014" s="114"/>
    </row>
    <row r="1015" spans="6:69" ht="19.5" x14ac:dyDescent="0.4">
      <c r="AO1015" s="26"/>
      <c r="AP1015" s="15"/>
      <c r="AT1015" s="115"/>
      <c r="AU1015" s="117"/>
      <c r="AV1015" s="123"/>
      <c r="AW1015" s="123"/>
      <c r="AX1015" s="123"/>
      <c r="AY1015" s="115"/>
      <c r="AZ1015" s="115"/>
      <c r="BA1015" s="115"/>
      <c r="BB1015" s="115"/>
      <c r="BC1015" s="115"/>
      <c r="BD1015" s="115"/>
      <c r="BE1015" s="115"/>
      <c r="BF1015" s="115"/>
      <c r="BG1015" s="115"/>
      <c r="BH1015" s="115"/>
      <c r="BI1015" s="115"/>
      <c r="BJ1015" s="115"/>
      <c r="BK1015" s="115"/>
      <c r="BL1015" s="115"/>
      <c r="BM1015" s="26">
        <v>45278</v>
      </c>
      <c r="BN1015" s="15" t="s">
        <v>164</v>
      </c>
      <c r="BQ1015" s="114"/>
    </row>
    <row r="1016" spans="6:69" ht="19.5" x14ac:dyDescent="0.4">
      <c r="AO1016" s="26"/>
      <c r="AP1016" s="15"/>
      <c r="AT1016" s="115"/>
      <c r="AU1016" s="117"/>
      <c r="AV1016" s="123"/>
      <c r="AW1016" s="123"/>
      <c r="AX1016" s="123"/>
      <c r="AY1016" s="115"/>
      <c r="AZ1016" s="115"/>
      <c r="BA1016" s="115"/>
      <c r="BB1016" s="115"/>
      <c r="BC1016" s="115"/>
      <c r="BD1016" s="115"/>
      <c r="BE1016" s="115"/>
      <c r="BF1016" s="115"/>
      <c r="BG1016" s="115"/>
      <c r="BH1016" s="115"/>
      <c r="BI1016" s="115"/>
      <c r="BJ1016" s="115"/>
      <c r="BK1016" s="115"/>
      <c r="BL1016" s="115"/>
      <c r="BM1016" s="26">
        <v>45278</v>
      </c>
      <c r="BN1016" s="15" t="s">
        <v>164</v>
      </c>
      <c r="BQ1016" s="114"/>
    </row>
    <row r="1017" spans="6:69" ht="19.5" x14ac:dyDescent="0.4"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26"/>
      <c r="AP1017" s="15"/>
      <c r="AT1017" s="115"/>
      <c r="AU1017" s="117"/>
      <c r="AV1017" s="123"/>
      <c r="AW1017" s="123"/>
      <c r="AX1017" s="123"/>
      <c r="AY1017" s="115"/>
      <c r="AZ1017" s="115"/>
      <c r="BA1017" s="115"/>
      <c r="BB1017" s="115"/>
      <c r="BC1017" s="115"/>
      <c r="BD1017" s="115"/>
      <c r="BE1017" s="115"/>
      <c r="BF1017" s="115"/>
      <c r="BG1017" s="115"/>
      <c r="BH1017" s="115"/>
      <c r="BI1017" s="115"/>
      <c r="BJ1017" s="115"/>
      <c r="BK1017" s="115"/>
      <c r="BL1017" s="115"/>
      <c r="BM1017" s="26"/>
      <c r="BN1017" s="15"/>
      <c r="BQ1017" s="114"/>
    </row>
    <row r="1018" spans="6:69" ht="19.5" x14ac:dyDescent="0.4">
      <c r="AO1018" s="26"/>
      <c r="AP1018" s="15"/>
      <c r="AT1018" s="115"/>
      <c r="AU1018" s="117"/>
      <c r="AV1018" s="123"/>
      <c r="AW1018" s="123"/>
      <c r="AX1018" s="123"/>
      <c r="AY1018" s="115"/>
      <c r="AZ1018" s="115"/>
      <c r="BA1018" s="115"/>
      <c r="BB1018" s="115"/>
      <c r="BC1018" s="115"/>
      <c r="BD1018" s="115"/>
      <c r="BE1018" s="115"/>
      <c r="BF1018" s="115"/>
      <c r="BG1018" s="115"/>
      <c r="BH1018" s="115"/>
      <c r="BI1018" s="115"/>
      <c r="BJ1018" s="115"/>
      <c r="BK1018" s="115"/>
      <c r="BL1018" s="115"/>
      <c r="BM1018" s="26">
        <v>45278</v>
      </c>
      <c r="BN1018" s="15" t="s">
        <v>162</v>
      </c>
      <c r="BQ1018" s="114"/>
    </row>
    <row r="1019" spans="6:69" ht="19.5" x14ac:dyDescent="0.4"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7"/>
      <c r="AP1019" s="15"/>
      <c r="AT1019" s="115"/>
      <c r="AU1019" s="117"/>
      <c r="AV1019" s="123"/>
      <c r="AW1019" s="123"/>
      <c r="AX1019" s="123"/>
      <c r="AY1019" s="115"/>
      <c r="AZ1019" s="115"/>
      <c r="BA1019" s="115"/>
      <c r="BB1019" s="115"/>
      <c r="BC1019" s="115"/>
      <c r="BD1019" s="115"/>
      <c r="BE1019" s="115"/>
      <c r="BF1019" s="115"/>
      <c r="BG1019" s="115"/>
      <c r="BH1019" s="115"/>
      <c r="BI1019" s="115"/>
      <c r="BJ1019" s="115"/>
      <c r="BK1019" s="115"/>
      <c r="BL1019" s="115"/>
      <c r="BM1019" s="26"/>
      <c r="BN1019" s="15"/>
      <c r="BQ1019" s="114"/>
    </row>
    <row r="1020" spans="6:69" ht="19.5" x14ac:dyDescent="0.4"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26"/>
      <c r="AP1020" s="15"/>
      <c r="AT1020" s="115"/>
      <c r="AU1020" s="117"/>
      <c r="AV1020" s="123"/>
      <c r="AW1020" s="123"/>
      <c r="AX1020" s="123"/>
      <c r="AY1020" s="115"/>
      <c r="AZ1020" s="115"/>
      <c r="BA1020" s="115"/>
      <c r="BB1020" s="115"/>
      <c r="BC1020" s="115"/>
      <c r="BD1020" s="115"/>
      <c r="BE1020" s="115"/>
      <c r="BF1020" s="115"/>
      <c r="BG1020" s="115"/>
      <c r="BH1020" s="115"/>
      <c r="BI1020" s="115"/>
      <c r="BJ1020" s="115"/>
      <c r="BK1020" s="115"/>
      <c r="BL1020" s="115"/>
      <c r="BM1020" s="26"/>
      <c r="BN1020" s="15"/>
      <c r="BQ1020" s="114"/>
    </row>
    <row r="1021" spans="6:69" ht="19.5" x14ac:dyDescent="0.4"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7"/>
      <c r="AP1021" s="15"/>
      <c r="AT1021" s="115"/>
      <c r="AU1021" s="117"/>
      <c r="AV1021" s="123"/>
      <c r="AW1021" s="123"/>
      <c r="AX1021" s="123"/>
      <c r="AY1021" s="115"/>
      <c r="AZ1021" s="115"/>
      <c r="BA1021" s="115"/>
      <c r="BB1021" s="115"/>
      <c r="BC1021" s="115"/>
      <c r="BD1021" s="115"/>
      <c r="BE1021" s="115"/>
      <c r="BF1021" s="115"/>
      <c r="BG1021" s="115"/>
      <c r="BH1021" s="115"/>
      <c r="BI1021" s="115"/>
      <c r="BJ1021" s="115"/>
      <c r="BK1021" s="115"/>
      <c r="BL1021" s="115"/>
      <c r="BM1021" s="26"/>
      <c r="BN1021" s="15"/>
      <c r="BQ1021" s="114"/>
    </row>
    <row r="1022" spans="6:69" ht="19.5" x14ac:dyDescent="0.4">
      <c r="AO1022" s="26"/>
      <c r="AP1022" s="15"/>
      <c r="AT1022" s="115"/>
      <c r="AU1022" s="117"/>
      <c r="AV1022" s="123"/>
      <c r="AW1022" s="123"/>
      <c r="AX1022" s="123"/>
      <c r="AY1022" s="115"/>
      <c r="AZ1022" s="115"/>
      <c r="BA1022" s="115"/>
      <c r="BB1022" s="115"/>
      <c r="BC1022" s="115"/>
      <c r="BD1022" s="115"/>
      <c r="BE1022" s="115"/>
      <c r="BF1022" s="115"/>
      <c r="BG1022" s="115"/>
      <c r="BH1022" s="115"/>
      <c r="BI1022" s="115"/>
      <c r="BJ1022" s="115"/>
      <c r="BK1022" s="115"/>
      <c r="BL1022" s="115"/>
      <c r="BM1022" s="26">
        <v>45278</v>
      </c>
      <c r="BN1022" s="15" t="s">
        <v>142</v>
      </c>
      <c r="BQ1022" s="114"/>
    </row>
    <row r="1023" spans="6:69" ht="19.5" x14ac:dyDescent="0.4">
      <c r="AO1023" s="26"/>
      <c r="AP1023" s="15"/>
      <c r="AT1023" s="115"/>
      <c r="AU1023" s="117"/>
      <c r="AV1023" s="123"/>
      <c r="AW1023" s="123"/>
      <c r="AX1023" s="123"/>
      <c r="AY1023" s="115"/>
      <c r="AZ1023" s="115"/>
      <c r="BA1023" s="115"/>
      <c r="BB1023" s="115"/>
      <c r="BC1023" s="115"/>
      <c r="BD1023" s="115"/>
      <c r="BE1023" s="115"/>
      <c r="BF1023" s="115"/>
      <c r="BG1023" s="115"/>
      <c r="BH1023" s="115"/>
      <c r="BI1023" s="115"/>
      <c r="BJ1023" s="115"/>
      <c r="BK1023" s="115"/>
      <c r="BL1023" s="115"/>
      <c r="BM1023" s="26">
        <v>45278</v>
      </c>
      <c r="BN1023" s="15" t="s">
        <v>162</v>
      </c>
      <c r="BQ1023" s="114"/>
    </row>
    <row r="1024" spans="6:69" ht="19.5" x14ac:dyDescent="0.4">
      <c r="AO1024" s="26"/>
      <c r="AP1024" s="15"/>
      <c r="AT1024" s="115"/>
      <c r="AU1024" s="117"/>
      <c r="AV1024" s="123"/>
      <c r="AW1024" s="123"/>
      <c r="AX1024" s="123"/>
      <c r="AY1024" s="115"/>
      <c r="AZ1024" s="115"/>
      <c r="BA1024" s="115"/>
      <c r="BB1024" s="115"/>
      <c r="BC1024" s="115"/>
      <c r="BD1024" s="115"/>
      <c r="BE1024" s="115"/>
      <c r="BF1024" s="115"/>
      <c r="BG1024" s="115"/>
      <c r="BH1024" s="115"/>
      <c r="BI1024" s="115"/>
      <c r="BJ1024" s="115"/>
      <c r="BK1024" s="115"/>
      <c r="BL1024" s="115"/>
      <c r="BM1024" s="26">
        <v>45278</v>
      </c>
      <c r="BN1024" s="15" t="s">
        <v>162</v>
      </c>
      <c r="BQ1024" s="114"/>
    </row>
    <row r="1025" spans="6:69" ht="19.5" x14ac:dyDescent="0.4"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7"/>
      <c r="AP1025" s="15"/>
      <c r="AT1025" s="115"/>
      <c r="AU1025" s="117"/>
      <c r="AV1025" s="123"/>
      <c r="AW1025" s="123"/>
      <c r="AX1025" s="123"/>
      <c r="AY1025" s="115"/>
      <c r="AZ1025" s="115"/>
      <c r="BA1025" s="115"/>
      <c r="BB1025" s="115"/>
      <c r="BC1025" s="115"/>
      <c r="BD1025" s="115"/>
      <c r="BE1025" s="115"/>
      <c r="BF1025" s="115"/>
      <c r="BG1025" s="115"/>
      <c r="BH1025" s="115"/>
      <c r="BI1025" s="115"/>
      <c r="BJ1025" s="115"/>
      <c r="BK1025" s="115"/>
      <c r="BL1025" s="115"/>
      <c r="BM1025" s="26"/>
      <c r="BN1025" s="15"/>
      <c r="BQ1025" s="114"/>
    </row>
    <row r="1026" spans="6:69" ht="19.5" x14ac:dyDescent="0.4"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26"/>
      <c r="AP1026" s="15"/>
      <c r="AT1026" s="115"/>
      <c r="AU1026" s="117"/>
      <c r="AV1026" s="123"/>
      <c r="AW1026" s="123"/>
      <c r="AX1026" s="123"/>
      <c r="AY1026" s="115"/>
      <c r="AZ1026" s="115"/>
      <c r="BA1026" s="115"/>
      <c r="BB1026" s="115"/>
      <c r="BC1026" s="115"/>
      <c r="BD1026" s="115"/>
      <c r="BE1026" s="115"/>
      <c r="BF1026" s="115"/>
      <c r="BG1026" s="115"/>
      <c r="BH1026" s="115"/>
      <c r="BI1026" s="115"/>
      <c r="BJ1026" s="115"/>
      <c r="BK1026" s="115"/>
      <c r="BL1026" s="115"/>
      <c r="BM1026" s="26"/>
      <c r="BN1026" s="15"/>
      <c r="BQ1026" s="114"/>
    </row>
    <row r="1027" spans="6:69" ht="19.5" x14ac:dyDescent="0.4"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26"/>
      <c r="AP1027" s="15"/>
      <c r="AT1027" s="115"/>
      <c r="AU1027" s="117"/>
      <c r="AV1027" s="123"/>
      <c r="AW1027" s="123"/>
      <c r="AX1027" s="123"/>
      <c r="AY1027" s="115"/>
      <c r="AZ1027" s="115"/>
      <c r="BA1027" s="115"/>
      <c r="BB1027" s="115"/>
      <c r="BC1027" s="115"/>
      <c r="BD1027" s="115"/>
      <c r="BE1027" s="115"/>
      <c r="BF1027" s="115"/>
      <c r="BG1027" s="115"/>
      <c r="BH1027" s="115"/>
      <c r="BI1027" s="115"/>
      <c r="BJ1027" s="115"/>
      <c r="BK1027" s="115"/>
      <c r="BL1027" s="115"/>
      <c r="BM1027" s="26"/>
      <c r="BN1027" s="15"/>
      <c r="BQ1027" s="114"/>
    </row>
    <row r="1028" spans="6:69" ht="19.5" x14ac:dyDescent="0.4"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7"/>
      <c r="AP1028" s="15"/>
      <c r="AT1028" s="115"/>
      <c r="AU1028" s="117"/>
      <c r="AV1028" s="123"/>
      <c r="AW1028" s="123"/>
      <c r="AX1028" s="123"/>
      <c r="AY1028" s="115"/>
      <c r="AZ1028" s="115"/>
      <c r="BA1028" s="115"/>
      <c r="BB1028" s="115"/>
      <c r="BC1028" s="115"/>
      <c r="BD1028" s="115"/>
      <c r="BE1028" s="115"/>
      <c r="BF1028" s="115"/>
      <c r="BG1028" s="115"/>
      <c r="BH1028" s="115"/>
      <c r="BI1028" s="115"/>
      <c r="BJ1028" s="115"/>
      <c r="BK1028" s="115"/>
      <c r="BL1028" s="115"/>
      <c r="BM1028" s="26"/>
      <c r="BN1028" s="15"/>
      <c r="BQ1028" s="114"/>
    </row>
    <row r="1029" spans="6:69" ht="19.5" x14ac:dyDescent="0.4"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26"/>
      <c r="AP1029" s="15"/>
      <c r="AT1029" s="115"/>
      <c r="AU1029" s="117"/>
      <c r="AV1029" s="123"/>
      <c r="AW1029" s="123"/>
      <c r="AX1029" s="123"/>
      <c r="AY1029" s="115"/>
      <c r="AZ1029" s="115"/>
      <c r="BA1029" s="115"/>
      <c r="BB1029" s="115"/>
      <c r="BC1029" s="115"/>
      <c r="BD1029" s="115"/>
      <c r="BE1029" s="115"/>
      <c r="BF1029" s="115"/>
      <c r="BG1029" s="115"/>
      <c r="BH1029" s="115"/>
      <c r="BI1029" s="115"/>
      <c r="BJ1029" s="115"/>
      <c r="BK1029" s="115"/>
      <c r="BL1029" s="115"/>
      <c r="BM1029" s="26"/>
      <c r="BN1029" s="15"/>
      <c r="BQ1029" s="114"/>
    </row>
    <row r="1030" spans="6:69" ht="19.5" x14ac:dyDescent="0.4">
      <c r="AO1030" s="26"/>
      <c r="AP1030" s="15"/>
      <c r="AT1030" s="115"/>
      <c r="AU1030" s="117"/>
      <c r="AV1030" s="123"/>
      <c r="AW1030" s="123"/>
      <c r="AX1030" s="123"/>
      <c r="AY1030" s="115"/>
      <c r="AZ1030" s="115"/>
      <c r="BA1030" s="115"/>
      <c r="BB1030" s="115"/>
      <c r="BC1030" s="115"/>
      <c r="BD1030" s="115"/>
      <c r="BE1030" s="115"/>
      <c r="BF1030" s="115"/>
      <c r="BG1030" s="115"/>
      <c r="BH1030" s="115"/>
      <c r="BI1030" s="115"/>
      <c r="BJ1030" s="115"/>
      <c r="BK1030" s="115"/>
      <c r="BL1030" s="115"/>
      <c r="BM1030" s="26">
        <v>45278</v>
      </c>
      <c r="BN1030" s="15" t="s">
        <v>162</v>
      </c>
      <c r="BQ1030" s="114"/>
    </row>
    <row r="1031" spans="6:69" ht="19.5" x14ac:dyDescent="0.4"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26"/>
      <c r="AP1031" s="15"/>
      <c r="AT1031" s="115"/>
      <c r="AU1031" s="117"/>
      <c r="AV1031" s="123"/>
      <c r="AW1031" s="123"/>
      <c r="AX1031" s="123"/>
      <c r="AY1031" s="115"/>
      <c r="AZ1031" s="115"/>
      <c r="BA1031" s="115"/>
      <c r="BB1031" s="115"/>
      <c r="BC1031" s="115"/>
      <c r="BD1031" s="115"/>
      <c r="BE1031" s="115"/>
      <c r="BF1031" s="115"/>
      <c r="BG1031" s="115"/>
      <c r="BH1031" s="115"/>
      <c r="BI1031" s="115"/>
      <c r="BJ1031" s="115"/>
      <c r="BK1031" s="115"/>
      <c r="BL1031" s="115"/>
      <c r="BM1031" s="26"/>
      <c r="BN1031" s="15"/>
      <c r="BQ1031" s="114"/>
    </row>
    <row r="1032" spans="6:69" ht="19.5" x14ac:dyDescent="0.4">
      <c r="AO1032" s="26"/>
      <c r="AP1032" s="15"/>
      <c r="AT1032" s="115"/>
      <c r="AU1032" s="117"/>
      <c r="AV1032" s="123"/>
      <c r="AW1032" s="123"/>
      <c r="AX1032" s="123"/>
      <c r="AY1032" s="115"/>
      <c r="AZ1032" s="115"/>
      <c r="BA1032" s="115"/>
      <c r="BB1032" s="115"/>
      <c r="BC1032" s="115"/>
      <c r="BD1032" s="115"/>
      <c r="BE1032" s="115"/>
      <c r="BF1032" s="115"/>
      <c r="BG1032" s="115"/>
      <c r="BH1032" s="115"/>
      <c r="BI1032" s="115"/>
      <c r="BJ1032" s="115"/>
      <c r="BK1032" s="115"/>
      <c r="BL1032" s="115"/>
      <c r="BM1032" s="26">
        <v>45278</v>
      </c>
      <c r="BN1032" s="15" t="s">
        <v>163</v>
      </c>
      <c r="BQ1032" s="114"/>
    </row>
    <row r="1033" spans="6:69" ht="19.5" x14ac:dyDescent="0.4">
      <c r="AO1033" s="26"/>
      <c r="AP1033" s="15"/>
      <c r="AT1033" s="115"/>
      <c r="AU1033" s="117"/>
      <c r="AV1033" s="123"/>
      <c r="AW1033" s="123"/>
      <c r="AX1033" s="123"/>
      <c r="AY1033" s="115"/>
      <c r="AZ1033" s="115"/>
      <c r="BA1033" s="115"/>
      <c r="BB1033" s="115"/>
      <c r="BC1033" s="115"/>
      <c r="BD1033" s="115"/>
      <c r="BE1033" s="115"/>
      <c r="BF1033" s="115"/>
      <c r="BG1033" s="115"/>
      <c r="BH1033" s="115"/>
      <c r="BI1033" s="115"/>
      <c r="BJ1033" s="115"/>
      <c r="BK1033" s="115"/>
      <c r="BL1033" s="115"/>
      <c r="BM1033" s="26">
        <v>45278</v>
      </c>
      <c r="BN1033" s="105" t="s">
        <v>163</v>
      </c>
      <c r="BQ1033" s="114"/>
    </row>
    <row r="1034" spans="6:69" ht="19.5" x14ac:dyDescent="0.4">
      <c r="AO1034" s="25"/>
      <c r="AP1034" s="13"/>
      <c r="AT1034" s="115"/>
      <c r="AU1034" s="117"/>
      <c r="AV1034" s="123"/>
      <c r="AW1034" s="123"/>
      <c r="AX1034" s="123"/>
      <c r="AY1034" s="115"/>
      <c r="AZ1034" s="115"/>
      <c r="BA1034" s="115"/>
      <c r="BB1034" s="115"/>
      <c r="BC1034" s="115"/>
      <c r="BD1034" s="115"/>
      <c r="BE1034" s="115"/>
      <c r="BF1034" s="115"/>
      <c r="BG1034" s="115"/>
      <c r="BH1034" s="115"/>
      <c r="BI1034" s="115"/>
      <c r="BJ1034" s="115"/>
      <c r="BK1034" s="115"/>
      <c r="BL1034" s="115"/>
      <c r="BM1034" s="26">
        <v>45278</v>
      </c>
      <c r="BN1034" s="15" t="s">
        <v>163</v>
      </c>
      <c r="BQ1034" s="114"/>
    </row>
    <row r="1035" spans="6:69" ht="19.5" x14ac:dyDescent="0.4"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25"/>
      <c r="AP1035" s="13"/>
      <c r="AT1035" s="115"/>
      <c r="AU1035" s="117"/>
      <c r="AV1035" s="123"/>
      <c r="AW1035" s="123"/>
      <c r="AX1035" s="123"/>
      <c r="AY1035" s="115"/>
      <c r="AZ1035" s="115"/>
      <c r="BA1035" s="115"/>
      <c r="BB1035" s="115"/>
      <c r="BC1035" s="115"/>
      <c r="BD1035" s="115"/>
      <c r="BE1035" s="115"/>
      <c r="BF1035" s="115"/>
      <c r="BG1035" s="115"/>
      <c r="BH1035" s="115"/>
      <c r="BI1035" s="115"/>
      <c r="BJ1035" s="115"/>
      <c r="BK1035" s="115"/>
      <c r="BL1035" s="115"/>
      <c r="BM1035" s="26"/>
      <c r="BN1035" s="15"/>
      <c r="BQ1035" s="114"/>
    </row>
    <row r="1036" spans="6:69" ht="19.5" x14ac:dyDescent="0.4"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25"/>
      <c r="AP1036" s="13"/>
      <c r="AT1036" s="115"/>
      <c r="AU1036" s="117"/>
      <c r="AV1036" s="123"/>
      <c r="AW1036" s="123"/>
      <c r="AX1036" s="123"/>
      <c r="AY1036" s="115"/>
      <c r="AZ1036" s="115"/>
      <c r="BA1036" s="115"/>
      <c r="BB1036" s="115"/>
      <c r="BC1036" s="115"/>
      <c r="BD1036" s="115"/>
      <c r="BE1036" s="115"/>
      <c r="BF1036" s="115"/>
      <c r="BG1036" s="115"/>
      <c r="BH1036" s="115"/>
      <c r="BI1036" s="115"/>
      <c r="BJ1036" s="115"/>
      <c r="BK1036" s="115"/>
      <c r="BL1036" s="115"/>
      <c r="BM1036" s="26"/>
      <c r="BN1036" s="15"/>
      <c r="BQ1036" s="114"/>
    </row>
    <row r="1037" spans="6:69" ht="19.5" x14ac:dyDescent="0.4"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  <c r="AK1037" s="115"/>
      <c r="AL1037" s="115"/>
      <c r="AM1037" s="115"/>
      <c r="AN1037" s="115"/>
      <c r="AO1037" s="25"/>
      <c r="AP1037" s="13"/>
      <c r="AT1037" s="115"/>
      <c r="AU1037" s="117"/>
      <c r="AV1037" s="123"/>
      <c r="AW1037" s="123"/>
      <c r="AX1037" s="123"/>
      <c r="AY1037" s="115"/>
      <c r="AZ1037" s="115"/>
      <c r="BA1037" s="115"/>
      <c r="BB1037" s="115"/>
      <c r="BC1037" s="115"/>
      <c r="BD1037" s="115"/>
      <c r="BE1037" s="115"/>
      <c r="BF1037" s="115"/>
      <c r="BG1037" s="115"/>
      <c r="BH1037" s="115"/>
      <c r="BI1037" s="115"/>
      <c r="BJ1037" s="115"/>
      <c r="BK1037" s="115"/>
      <c r="BL1037" s="115"/>
      <c r="BM1037" s="26"/>
      <c r="BN1037" s="15"/>
      <c r="BQ1037" s="114"/>
    </row>
    <row r="1038" spans="6:69" ht="19.5" x14ac:dyDescent="0.4"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25"/>
      <c r="AP1038" s="13"/>
      <c r="AT1038" s="115"/>
      <c r="AU1038" s="117"/>
      <c r="AV1038" s="123"/>
      <c r="AW1038" s="123"/>
      <c r="AX1038" s="123"/>
      <c r="AY1038" s="115"/>
      <c r="AZ1038" s="115"/>
      <c r="BA1038" s="115"/>
      <c r="BB1038" s="115"/>
      <c r="BC1038" s="115"/>
      <c r="BD1038" s="115"/>
      <c r="BE1038" s="115"/>
      <c r="BF1038" s="115"/>
      <c r="BG1038" s="115"/>
      <c r="BH1038" s="115"/>
      <c r="BI1038" s="115"/>
      <c r="BJ1038" s="115"/>
      <c r="BK1038" s="115"/>
      <c r="BL1038" s="115"/>
      <c r="BM1038" s="26"/>
      <c r="BN1038" s="15"/>
      <c r="BQ1038" s="114"/>
    </row>
    <row r="1039" spans="6:69" ht="19.5" x14ac:dyDescent="0.4"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25"/>
      <c r="AP1039" s="13"/>
      <c r="AT1039" s="115"/>
      <c r="AU1039" s="117"/>
      <c r="AV1039" s="123"/>
      <c r="AW1039" s="123"/>
      <c r="AX1039" s="123"/>
      <c r="AY1039" s="115"/>
      <c r="AZ1039" s="115"/>
      <c r="BA1039" s="115"/>
      <c r="BB1039" s="115"/>
      <c r="BC1039" s="115"/>
      <c r="BD1039" s="115"/>
      <c r="BE1039" s="115"/>
      <c r="BF1039" s="115"/>
      <c r="BG1039" s="115"/>
      <c r="BH1039" s="115"/>
      <c r="BI1039" s="115"/>
      <c r="BJ1039" s="115"/>
      <c r="BK1039" s="115"/>
      <c r="BL1039" s="115"/>
      <c r="BM1039" s="26"/>
      <c r="BN1039" s="15"/>
      <c r="BQ1039" s="114"/>
    </row>
    <row r="1040" spans="6:69" ht="19.5" x14ac:dyDescent="0.4"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25"/>
      <c r="AP1040" s="13"/>
      <c r="AT1040" s="115"/>
      <c r="AU1040" s="117"/>
      <c r="AV1040" s="123"/>
      <c r="AW1040" s="123"/>
      <c r="AX1040" s="123"/>
      <c r="AY1040" s="115"/>
      <c r="AZ1040" s="115"/>
      <c r="BA1040" s="115"/>
      <c r="BB1040" s="115"/>
      <c r="BC1040" s="115"/>
      <c r="BD1040" s="115"/>
      <c r="BE1040" s="115"/>
      <c r="BF1040" s="115"/>
      <c r="BG1040" s="115"/>
      <c r="BH1040" s="115"/>
      <c r="BI1040" s="115"/>
      <c r="BJ1040" s="115"/>
      <c r="BK1040" s="115"/>
      <c r="BL1040" s="115"/>
      <c r="BM1040" s="26"/>
      <c r="BN1040" s="15"/>
      <c r="BQ1040" s="114"/>
    </row>
    <row r="1041" spans="32:69" ht="19.5" x14ac:dyDescent="0.4">
      <c r="AO1041" s="25"/>
      <c r="AP1041" s="13"/>
      <c r="AT1041" s="115"/>
      <c r="AU1041" s="117"/>
      <c r="AV1041" s="123"/>
      <c r="AW1041" s="123"/>
      <c r="AX1041" s="123"/>
      <c r="AY1041" s="115"/>
      <c r="AZ1041" s="115"/>
      <c r="BA1041" s="115"/>
      <c r="BB1041" s="115"/>
      <c r="BC1041" s="115"/>
      <c r="BD1041" s="115"/>
      <c r="BE1041" s="115"/>
      <c r="BF1041" s="115"/>
      <c r="BG1041" s="115"/>
      <c r="BH1041" s="115"/>
      <c r="BI1041" s="115"/>
      <c r="BJ1041" s="115"/>
      <c r="BK1041" s="115"/>
      <c r="BL1041" s="115"/>
      <c r="BM1041" s="26">
        <v>45278</v>
      </c>
      <c r="BN1041" s="15" t="s">
        <v>163</v>
      </c>
      <c r="BQ1041" s="114"/>
    </row>
    <row r="1042" spans="32:69" ht="19.5" x14ac:dyDescent="0.4">
      <c r="AO1042" s="25"/>
      <c r="AP1042" s="13"/>
      <c r="AT1042" s="115"/>
      <c r="AU1042" s="117"/>
      <c r="AV1042" s="123"/>
      <c r="AW1042" s="123"/>
      <c r="AX1042" s="123"/>
      <c r="AY1042" s="115"/>
      <c r="AZ1042" s="115"/>
      <c r="BA1042" s="115"/>
      <c r="BB1042" s="115"/>
      <c r="BC1042" s="115"/>
      <c r="BD1042" s="115"/>
      <c r="BE1042" s="115"/>
      <c r="BF1042" s="115"/>
      <c r="BG1042" s="115"/>
      <c r="BH1042" s="115"/>
      <c r="BI1042" s="115"/>
      <c r="BJ1042" s="115"/>
      <c r="BK1042" s="115"/>
      <c r="BL1042" s="115"/>
      <c r="BM1042" s="26"/>
      <c r="BN1042" s="15"/>
      <c r="BQ1042" s="114"/>
    </row>
    <row r="1043" spans="32:69" ht="19.5" x14ac:dyDescent="0.4"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3"/>
      <c r="AP1043" s="13"/>
      <c r="AT1043" s="115"/>
      <c r="AU1043" s="117"/>
      <c r="AV1043" s="123"/>
      <c r="AW1043" s="123"/>
      <c r="AX1043" s="123"/>
      <c r="AY1043" s="115"/>
      <c r="AZ1043" s="115"/>
      <c r="BA1043" s="115"/>
      <c r="BB1043" s="115"/>
      <c r="BC1043" s="115"/>
      <c r="BD1043" s="115"/>
      <c r="BE1043" s="115"/>
      <c r="BF1043" s="115"/>
      <c r="BG1043" s="115"/>
      <c r="BH1043" s="115"/>
      <c r="BI1043" s="115"/>
      <c r="BJ1043" s="115"/>
      <c r="BK1043" s="115"/>
      <c r="BL1043" s="115"/>
      <c r="BM1043" s="26"/>
      <c r="BN1043" s="15"/>
      <c r="BQ1043" s="114"/>
    </row>
    <row r="1044" spans="32:69" ht="19.5" x14ac:dyDescent="0.4">
      <c r="AO1044" s="25"/>
      <c r="AP1044" s="13"/>
      <c r="AT1044" s="115"/>
      <c r="AU1044" s="117"/>
      <c r="AV1044" s="123"/>
      <c r="AW1044" s="123"/>
      <c r="AX1044" s="123"/>
      <c r="AY1044" s="115"/>
      <c r="AZ1044" s="115"/>
      <c r="BA1044" s="115"/>
      <c r="BB1044" s="115"/>
      <c r="BC1044" s="115"/>
      <c r="BD1044" s="115"/>
      <c r="BE1044" s="115"/>
      <c r="BF1044" s="115"/>
      <c r="BG1044" s="115"/>
      <c r="BH1044" s="115"/>
      <c r="BI1044" s="115"/>
      <c r="BJ1044" s="115"/>
      <c r="BK1044" s="115"/>
      <c r="BL1044" s="115"/>
      <c r="BM1044" s="26">
        <v>45278</v>
      </c>
      <c r="BN1044" s="15" t="s">
        <v>163</v>
      </c>
      <c r="BQ1044" s="114"/>
    </row>
    <row r="1045" spans="32:69" ht="19.5" x14ac:dyDescent="0.4"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3"/>
      <c r="AP1045" s="13"/>
      <c r="AT1045" s="115"/>
      <c r="AU1045" s="117"/>
      <c r="AV1045" s="123"/>
      <c r="AW1045" s="123"/>
      <c r="AX1045" s="123"/>
      <c r="AY1045" s="115"/>
      <c r="AZ1045" s="115"/>
      <c r="BA1045" s="115"/>
      <c r="BB1045" s="115"/>
      <c r="BC1045" s="115"/>
      <c r="BD1045" s="115"/>
      <c r="BE1045" s="115"/>
      <c r="BF1045" s="115"/>
      <c r="BG1045" s="115"/>
      <c r="BH1045" s="115"/>
      <c r="BI1045" s="115"/>
      <c r="BJ1045" s="115"/>
      <c r="BK1045" s="115"/>
      <c r="BL1045" s="115"/>
      <c r="BM1045" s="26"/>
      <c r="BN1045" s="13"/>
      <c r="BQ1045" s="114"/>
    </row>
    <row r="1046" spans="32:69" ht="19.5" x14ac:dyDescent="0.4">
      <c r="AO1046" s="25"/>
      <c r="AP1046" s="13"/>
      <c r="AT1046" s="115"/>
      <c r="AU1046" s="117"/>
      <c r="AV1046" s="123"/>
      <c r="AW1046" s="123"/>
      <c r="AX1046" s="123"/>
      <c r="AY1046" s="115"/>
      <c r="AZ1046" s="115"/>
      <c r="BA1046" s="115"/>
      <c r="BB1046" s="115"/>
      <c r="BC1046" s="115"/>
      <c r="BD1046" s="115"/>
      <c r="BE1046" s="115"/>
      <c r="BF1046" s="115"/>
      <c r="BG1046" s="115"/>
      <c r="BH1046" s="115"/>
      <c r="BI1046" s="115"/>
      <c r="BJ1046" s="115"/>
      <c r="BK1046" s="115"/>
      <c r="BL1046" s="115" t="s">
        <v>153</v>
      </c>
      <c r="BM1046" s="17">
        <f>SUBTOTAL(3,BM1015:BM1044)</f>
        <v>12</v>
      </c>
      <c r="BN1046" s="13">
        <f>SUBTOTAL(3,BN1015:BN1044)</f>
        <v>12</v>
      </c>
      <c r="BQ1046" s="114"/>
    </row>
    <row r="1047" spans="32:69" ht="19.5" x14ac:dyDescent="0.4"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3"/>
      <c r="AP1047" s="13"/>
      <c r="AT1047" s="115"/>
      <c r="AU1047" s="117"/>
      <c r="AV1047" s="123"/>
      <c r="AW1047" s="123"/>
      <c r="AX1047" s="123"/>
      <c r="AY1047" s="115"/>
      <c r="AZ1047" s="115"/>
      <c r="BA1047" s="115"/>
      <c r="BB1047" s="115"/>
      <c r="BC1047" s="115"/>
      <c r="BD1047" s="115"/>
      <c r="BE1047" s="115"/>
      <c r="BF1047" s="115"/>
      <c r="BG1047" s="115"/>
      <c r="BH1047" s="115"/>
      <c r="BI1047" s="115"/>
      <c r="BJ1047" s="115"/>
      <c r="BK1047" s="115"/>
      <c r="BL1047" s="115"/>
      <c r="BM1047" s="17"/>
      <c r="BN1047" s="13"/>
      <c r="BQ1047" s="114"/>
    </row>
    <row r="1048" spans="32:69" ht="19.5" x14ac:dyDescent="0.4">
      <c r="AO1048" s="25"/>
      <c r="AP1048" s="13"/>
      <c r="AT1048" s="115"/>
      <c r="AU1048" s="117"/>
      <c r="AV1048" s="123"/>
      <c r="AW1048" s="123"/>
      <c r="AX1048" s="123"/>
      <c r="AY1048" s="115"/>
      <c r="AZ1048" s="115"/>
      <c r="BA1048" s="115"/>
      <c r="BB1048" s="115"/>
      <c r="BC1048" s="115"/>
      <c r="BD1048" s="115"/>
      <c r="BE1048" s="115"/>
      <c r="BF1048" s="115"/>
      <c r="BG1048" s="115"/>
      <c r="BH1048" s="115"/>
      <c r="BI1048" s="115"/>
      <c r="BJ1048" s="115"/>
      <c r="BK1048" s="115"/>
      <c r="BL1048" s="115"/>
      <c r="BM1048" s="26">
        <v>45279</v>
      </c>
      <c r="BN1048" s="25" t="s">
        <v>162</v>
      </c>
      <c r="BQ1048" s="114"/>
    </row>
    <row r="1049" spans="32:69" ht="19.5" x14ac:dyDescent="0.4">
      <c r="AO1049" s="25"/>
      <c r="AP1049" s="13"/>
      <c r="AT1049" s="115"/>
      <c r="AU1049" s="117"/>
      <c r="AV1049" s="123"/>
      <c r="AW1049" s="123"/>
      <c r="AX1049" s="123"/>
      <c r="AY1049" s="115"/>
      <c r="AZ1049" s="115"/>
      <c r="BA1049" s="115"/>
      <c r="BB1049" s="115"/>
      <c r="BC1049" s="115"/>
      <c r="BD1049" s="115"/>
      <c r="BE1049" s="115"/>
      <c r="BF1049" s="115"/>
      <c r="BG1049" s="115"/>
      <c r="BH1049" s="115"/>
      <c r="BI1049" s="115"/>
      <c r="BJ1049" s="115"/>
      <c r="BK1049" s="115"/>
      <c r="BL1049" s="115"/>
      <c r="BM1049" s="26">
        <v>45279</v>
      </c>
      <c r="BN1049" s="13" t="s">
        <v>162</v>
      </c>
      <c r="BQ1049" s="114"/>
    </row>
    <row r="1050" spans="32:69" ht="19.5" x14ac:dyDescent="0.4"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20"/>
      <c r="AP1050" s="13"/>
      <c r="AT1050" s="115"/>
      <c r="AU1050" s="117"/>
      <c r="AV1050" s="123"/>
      <c r="AW1050" s="123"/>
      <c r="AX1050" s="123"/>
      <c r="AY1050" s="115"/>
      <c r="AZ1050" s="115"/>
      <c r="BA1050" s="115"/>
      <c r="BB1050" s="115"/>
      <c r="BC1050" s="115"/>
      <c r="BD1050" s="115"/>
      <c r="BE1050" s="115"/>
      <c r="BF1050" s="115"/>
      <c r="BG1050" s="115"/>
      <c r="BH1050" s="115"/>
      <c r="BI1050" s="115"/>
      <c r="BJ1050" s="115"/>
      <c r="BK1050" s="115"/>
      <c r="BL1050" s="115"/>
      <c r="BM1050" s="26"/>
      <c r="BN1050" s="13"/>
      <c r="BQ1050" s="114"/>
    </row>
    <row r="1051" spans="32:69" ht="19.5" x14ac:dyDescent="0.4"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20"/>
      <c r="AP1051" s="13"/>
      <c r="AT1051" s="115"/>
      <c r="AU1051" s="117"/>
      <c r="AV1051" s="123"/>
      <c r="AW1051" s="123"/>
      <c r="AX1051" s="123"/>
      <c r="AY1051" s="115"/>
      <c r="AZ1051" s="115"/>
      <c r="BA1051" s="115"/>
      <c r="BB1051" s="115"/>
      <c r="BC1051" s="115"/>
      <c r="BD1051" s="115"/>
      <c r="BE1051" s="115"/>
      <c r="BF1051" s="115"/>
      <c r="BG1051" s="115"/>
      <c r="BH1051" s="115"/>
      <c r="BI1051" s="115"/>
      <c r="BJ1051" s="115"/>
      <c r="BK1051" s="115"/>
      <c r="BL1051" s="115"/>
      <c r="BM1051" s="26"/>
      <c r="BN1051" s="13"/>
      <c r="BQ1051" s="114"/>
    </row>
    <row r="1052" spans="32:69" ht="19.5" x14ac:dyDescent="0.4">
      <c r="AO1052" s="26"/>
      <c r="AP1052" s="13"/>
      <c r="AT1052" s="115"/>
      <c r="AU1052" s="117"/>
      <c r="AV1052" s="123"/>
      <c r="AW1052" s="123"/>
      <c r="AX1052" s="123"/>
      <c r="AY1052" s="115"/>
      <c r="AZ1052" s="115"/>
      <c r="BA1052" s="115"/>
      <c r="BB1052" s="115"/>
      <c r="BC1052" s="115"/>
      <c r="BD1052" s="115"/>
      <c r="BE1052" s="115"/>
      <c r="BF1052" s="115"/>
      <c r="BG1052" s="115"/>
      <c r="BH1052" s="115"/>
      <c r="BI1052" s="115"/>
      <c r="BJ1052" s="115"/>
      <c r="BK1052" s="115"/>
      <c r="BL1052" s="115"/>
      <c r="BM1052" s="26">
        <v>45279</v>
      </c>
      <c r="BN1052" s="13" t="s">
        <v>162</v>
      </c>
      <c r="BQ1052" s="114"/>
    </row>
    <row r="1053" spans="32:69" ht="19.5" x14ac:dyDescent="0.4">
      <c r="AO1053" s="26"/>
      <c r="AP1053" s="13"/>
      <c r="AT1053" s="115"/>
      <c r="AU1053" s="117"/>
      <c r="AV1053" s="123"/>
      <c r="AW1053" s="123"/>
      <c r="AX1053" s="123"/>
      <c r="AY1053" s="115"/>
      <c r="AZ1053" s="115"/>
      <c r="BA1053" s="115"/>
      <c r="BB1053" s="115"/>
      <c r="BC1053" s="115"/>
      <c r="BD1053" s="115"/>
      <c r="BE1053" s="115"/>
      <c r="BF1053" s="115"/>
      <c r="BG1053" s="115"/>
      <c r="BH1053" s="115"/>
      <c r="BI1053" s="115"/>
      <c r="BJ1053" s="115"/>
      <c r="BK1053" s="115"/>
      <c r="BL1053" s="115"/>
      <c r="BM1053" s="26">
        <v>45279</v>
      </c>
      <c r="BN1053" s="13" t="s">
        <v>162</v>
      </c>
      <c r="BQ1053" s="114"/>
    </row>
    <row r="1054" spans="32:69" ht="19.5" x14ac:dyDescent="0.4">
      <c r="AO1054" s="129"/>
      <c r="AP1054" s="13"/>
      <c r="AT1054" s="115"/>
      <c r="AU1054" s="117"/>
      <c r="AV1054" s="123"/>
      <c r="AW1054" s="123"/>
      <c r="AX1054" s="123"/>
      <c r="AY1054" s="115"/>
      <c r="AZ1054" s="115"/>
      <c r="BA1054" s="115"/>
      <c r="BB1054" s="115"/>
      <c r="BC1054" s="115"/>
      <c r="BD1054" s="115"/>
      <c r="BE1054" s="115"/>
      <c r="BF1054" s="115"/>
      <c r="BG1054" s="115"/>
      <c r="BH1054" s="115"/>
      <c r="BI1054" s="115"/>
      <c r="BJ1054" s="115"/>
      <c r="BK1054" s="115"/>
      <c r="BL1054" s="115"/>
      <c r="BM1054" s="26"/>
      <c r="BN1054" s="13"/>
      <c r="BQ1054" s="114"/>
    </row>
    <row r="1055" spans="32:69" ht="19.5" x14ac:dyDescent="0.4">
      <c r="AO1055" s="26"/>
      <c r="AP1055" s="13"/>
      <c r="AT1055" s="115"/>
      <c r="AU1055" s="117"/>
      <c r="AV1055" s="123"/>
      <c r="AW1055" s="123"/>
      <c r="AX1055" s="123"/>
      <c r="AY1055" s="115"/>
      <c r="AZ1055" s="115"/>
      <c r="BA1055" s="115"/>
      <c r="BB1055" s="115"/>
      <c r="BC1055" s="115"/>
      <c r="BD1055" s="115"/>
      <c r="BE1055" s="115"/>
      <c r="BF1055" s="115"/>
      <c r="BG1055" s="115"/>
      <c r="BH1055" s="115"/>
      <c r="BI1055" s="115"/>
      <c r="BJ1055" s="115"/>
      <c r="BK1055" s="115"/>
      <c r="BL1055" s="115"/>
      <c r="BM1055" s="26">
        <v>45279</v>
      </c>
      <c r="BN1055" s="13" t="s">
        <v>162</v>
      </c>
      <c r="BQ1055" s="114"/>
    </row>
    <row r="1056" spans="32:69" ht="19.5" x14ac:dyDescent="0.4">
      <c r="AO1056" s="26"/>
      <c r="AP1056" s="13"/>
      <c r="AT1056" s="115"/>
      <c r="AU1056" s="117"/>
      <c r="AV1056" s="123"/>
      <c r="AW1056" s="123"/>
      <c r="AX1056" s="123"/>
      <c r="AY1056" s="115"/>
      <c r="AZ1056" s="115"/>
      <c r="BA1056" s="115"/>
      <c r="BB1056" s="115"/>
      <c r="BC1056" s="115"/>
      <c r="BD1056" s="115"/>
      <c r="BE1056" s="115"/>
      <c r="BF1056" s="115"/>
      <c r="BG1056" s="115"/>
      <c r="BH1056" s="115"/>
      <c r="BI1056" s="115"/>
      <c r="BJ1056" s="115"/>
      <c r="BK1056" s="115"/>
      <c r="BL1056" s="115"/>
      <c r="BM1056" s="26">
        <v>45279</v>
      </c>
      <c r="BN1056" s="13" t="s">
        <v>162</v>
      </c>
      <c r="BQ1056" s="114"/>
    </row>
    <row r="1057" spans="41:69" ht="19.5" x14ac:dyDescent="0.4">
      <c r="AO1057" s="26"/>
      <c r="AP1057" s="13"/>
      <c r="AT1057" s="115"/>
      <c r="AU1057" s="117"/>
      <c r="AV1057" s="123"/>
      <c r="AW1057" s="123"/>
      <c r="AX1057" s="123"/>
      <c r="AY1057" s="115"/>
      <c r="AZ1057" s="115"/>
      <c r="BA1057" s="115"/>
      <c r="BB1057" s="115"/>
      <c r="BC1057" s="115"/>
      <c r="BD1057" s="115"/>
      <c r="BE1057" s="115"/>
      <c r="BF1057" s="115"/>
      <c r="BG1057" s="115"/>
      <c r="BH1057" s="115"/>
      <c r="BI1057" s="115"/>
      <c r="BJ1057" s="115"/>
      <c r="BK1057" s="115"/>
      <c r="BL1057" s="115" t="s">
        <v>170</v>
      </c>
      <c r="BM1057" s="17">
        <f>SUBTOTAL(3,BM1048:BM1056)</f>
        <v>6</v>
      </c>
      <c r="BN1057" s="13">
        <f>SUBTOTAL(3,BN1048:BN1056)</f>
        <v>6</v>
      </c>
      <c r="BQ1057" s="114"/>
    </row>
    <row r="1058" spans="41:69" ht="19.5" x14ac:dyDescent="0.4">
      <c r="AO1058" s="129"/>
      <c r="AP1058" s="13"/>
      <c r="AT1058" s="115"/>
      <c r="AU1058" s="117"/>
      <c r="AV1058" s="123"/>
      <c r="AW1058" s="123"/>
      <c r="AX1058" s="123"/>
      <c r="AY1058" s="115"/>
      <c r="AZ1058" s="115"/>
      <c r="BA1058" s="115"/>
      <c r="BB1058" s="115"/>
      <c r="BC1058" s="115"/>
      <c r="BD1058" s="115"/>
      <c r="BE1058" s="115"/>
      <c r="BF1058" s="115"/>
      <c r="BG1058" s="115"/>
      <c r="BH1058" s="115"/>
      <c r="BI1058" s="115"/>
      <c r="BJ1058" s="115"/>
      <c r="BK1058" s="115"/>
      <c r="BL1058" s="115"/>
      <c r="BM1058" s="17"/>
      <c r="BN1058" s="13"/>
      <c r="BQ1058" s="114"/>
    </row>
    <row r="1059" spans="41:69" ht="19.5" x14ac:dyDescent="0.4">
      <c r="AO1059" s="26"/>
      <c r="AP1059" s="13"/>
      <c r="AT1059" s="115"/>
      <c r="AU1059" s="117"/>
      <c r="AV1059" s="123"/>
      <c r="AW1059" s="123"/>
      <c r="AX1059" s="123"/>
      <c r="AY1059" s="115"/>
      <c r="AZ1059" s="115"/>
      <c r="BA1059" s="115"/>
      <c r="BB1059" s="115"/>
      <c r="BC1059" s="115"/>
      <c r="BD1059" s="115"/>
      <c r="BE1059" s="115"/>
      <c r="BF1059" s="115"/>
      <c r="BG1059" s="115"/>
      <c r="BH1059" s="115"/>
      <c r="BI1059" s="115"/>
      <c r="BJ1059" s="115"/>
      <c r="BK1059" s="115"/>
      <c r="BL1059" s="115"/>
      <c r="BM1059" s="26">
        <v>45280</v>
      </c>
      <c r="BN1059" s="13" t="s">
        <v>162</v>
      </c>
      <c r="BQ1059" s="114"/>
    </row>
    <row r="1060" spans="41:69" ht="19.5" x14ac:dyDescent="0.4">
      <c r="AO1060" s="26"/>
      <c r="AP1060" s="13"/>
      <c r="AT1060" s="115"/>
      <c r="AU1060" s="116"/>
      <c r="AV1060" s="123"/>
      <c r="AW1060" s="123"/>
      <c r="AX1060" s="123"/>
      <c r="AY1060" s="115"/>
      <c r="AZ1060" s="115"/>
      <c r="BA1060" s="115"/>
      <c r="BB1060" s="115"/>
      <c r="BC1060" s="115"/>
      <c r="BD1060" s="115"/>
      <c r="BE1060" s="115"/>
      <c r="BF1060" s="115"/>
      <c r="BG1060" s="115"/>
      <c r="BH1060" s="115"/>
      <c r="BI1060" s="115"/>
      <c r="BJ1060" s="115"/>
      <c r="BK1060" s="115"/>
      <c r="BL1060" s="115"/>
      <c r="BM1060" s="26">
        <v>45280</v>
      </c>
      <c r="BN1060" s="13" t="s">
        <v>162</v>
      </c>
      <c r="BQ1060" s="114"/>
    </row>
    <row r="1061" spans="41:69" ht="19.5" x14ac:dyDescent="0.4">
      <c r="AO1061" s="26"/>
      <c r="AP1061" s="13"/>
      <c r="AT1061" s="115"/>
      <c r="AU1061" s="116"/>
      <c r="AV1061" s="123"/>
      <c r="AW1061" s="123"/>
      <c r="AX1061" s="123"/>
      <c r="AY1061" s="115"/>
      <c r="AZ1061" s="115"/>
      <c r="BA1061" s="115"/>
      <c r="BB1061" s="115"/>
      <c r="BC1061" s="115"/>
      <c r="BD1061" s="115"/>
      <c r="BE1061" s="115"/>
      <c r="BF1061" s="115"/>
      <c r="BG1061" s="115"/>
      <c r="BH1061" s="115"/>
      <c r="BI1061" s="115"/>
      <c r="BJ1061" s="115"/>
      <c r="BK1061" s="115"/>
      <c r="BL1061" s="115"/>
      <c r="BM1061" s="26">
        <v>45280</v>
      </c>
      <c r="BN1061" s="13" t="s">
        <v>162</v>
      </c>
      <c r="BQ1061" s="114"/>
    </row>
    <row r="1062" spans="41:69" ht="19.5" x14ac:dyDescent="0.4">
      <c r="AO1062" s="26"/>
      <c r="AP1062" s="13"/>
      <c r="AT1062" s="115"/>
      <c r="AU1062" s="116"/>
      <c r="AV1062" s="123"/>
      <c r="AW1062" s="123"/>
      <c r="AX1062" s="123"/>
      <c r="AY1062" s="115"/>
      <c r="AZ1062" s="115"/>
      <c r="BA1062" s="115"/>
      <c r="BB1062" s="115"/>
      <c r="BC1062" s="115"/>
      <c r="BD1062" s="115"/>
      <c r="BE1062" s="115"/>
      <c r="BF1062" s="115"/>
      <c r="BG1062" s="115"/>
      <c r="BH1062" s="115"/>
      <c r="BI1062" s="115"/>
      <c r="BJ1062" s="115"/>
      <c r="BK1062" s="115"/>
      <c r="BL1062" s="115"/>
      <c r="BM1062" s="26">
        <v>45280</v>
      </c>
      <c r="BN1062" s="13" t="s">
        <v>162</v>
      </c>
      <c r="BQ1062" s="114"/>
    </row>
    <row r="1063" spans="41:69" ht="19.5" x14ac:dyDescent="0.4">
      <c r="AO1063" s="129"/>
      <c r="AP1063" s="13"/>
      <c r="AT1063" s="115"/>
      <c r="AU1063" s="116"/>
      <c r="AV1063" s="123"/>
      <c r="AW1063" s="123"/>
      <c r="AX1063" s="123"/>
      <c r="AY1063" s="115"/>
      <c r="AZ1063" s="115"/>
      <c r="BA1063" s="115"/>
      <c r="BB1063" s="115"/>
      <c r="BC1063" s="115"/>
      <c r="BD1063" s="115"/>
      <c r="BE1063" s="115"/>
      <c r="BF1063" s="115"/>
      <c r="BG1063" s="115"/>
      <c r="BH1063" s="115"/>
      <c r="BI1063" s="115"/>
      <c r="BJ1063" s="115"/>
      <c r="BK1063" s="115"/>
      <c r="BL1063" s="115"/>
      <c r="BM1063" s="26"/>
      <c r="BN1063" s="13"/>
      <c r="BQ1063" s="114"/>
    </row>
    <row r="1064" spans="41:69" ht="19.5" x14ac:dyDescent="0.4">
      <c r="AO1064" s="26"/>
      <c r="AP1064" s="13"/>
      <c r="AT1064" s="115"/>
      <c r="AU1064" s="116"/>
      <c r="AV1064" s="123"/>
      <c r="AW1064" s="123"/>
      <c r="AX1064" s="123"/>
      <c r="AY1064" s="115"/>
      <c r="AZ1064" s="115"/>
      <c r="BA1064" s="115"/>
      <c r="BB1064" s="115"/>
      <c r="BC1064" s="115"/>
      <c r="BD1064" s="115"/>
      <c r="BE1064" s="115"/>
      <c r="BF1064" s="115"/>
      <c r="BG1064" s="115"/>
      <c r="BH1064" s="115"/>
      <c r="BI1064" s="115"/>
      <c r="BJ1064" s="115"/>
      <c r="BK1064" s="115"/>
      <c r="BL1064" s="115"/>
      <c r="BM1064" s="26">
        <v>45280</v>
      </c>
      <c r="BN1064" s="13" t="s">
        <v>162</v>
      </c>
      <c r="BQ1064" s="114"/>
    </row>
    <row r="1065" spans="41:69" ht="19.5" x14ac:dyDescent="0.4">
      <c r="AO1065" s="130"/>
      <c r="AP1065" s="119"/>
      <c r="AT1065" s="115"/>
      <c r="AU1065" s="116"/>
      <c r="AV1065" s="123"/>
      <c r="AW1065" s="123"/>
      <c r="AX1065" s="123"/>
      <c r="AY1065" s="115"/>
      <c r="AZ1065" s="115"/>
      <c r="BA1065" s="115"/>
      <c r="BB1065" s="115"/>
      <c r="BC1065" s="115"/>
      <c r="BD1065" s="115"/>
      <c r="BE1065" s="115"/>
      <c r="BF1065" s="115"/>
      <c r="BG1065" s="115"/>
      <c r="BH1065" s="115"/>
      <c r="BI1065" s="115"/>
      <c r="BJ1065" s="115"/>
      <c r="BK1065" s="115"/>
      <c r="BL1065" s="115"/>
      <c r="BM1065" s="26"/>
      <c r="BN1065" s="13"/>
      <c r="BQ1065" s="114"/>
    </row>
    <row r="1066" spans="41:69" ht="19.5" x14ac:dyDescent="0.4">
      <c r="AO1066" s="130"/>
      <c r="AP1066" s="119"/>
      <c r="AT1066" s="115"/>
      <c r="AU1066" s="116"/>
      <c r="AV1066" s="123"/>
      <c r="AW1066" s="123"/>
      <c r="AX1066" s="123"/>
      <c r="AY1066" s="115"/>
      <c r="AZ1066" s="115"/>
      <c r="BA1066" s="115"/>
      <c r="BB1066" s="115"/>
      <c r="BC1066" s="115"/>
      <c r="BD1066" s="115"/>
      <c r="BE1066" s="115"/>
      <c r="BF1066" s="115"/>
      <c r="BG1066" s="115"/>
      <c r="BH1066" s="115"/>
      <c r="BI1066" s="115"/>
      <c r="BJ1066" s="115"/>
      <c r="BK1066" s="115"/>
      <c r="BL1066" s="115"/>
      <c r="BM1066" s="26"/>
      <c r="BN1066" s="13"/>
      <c r="BQ1066" s="114"/>
    </row>
    <row r="1067" spans="41:69" ht="19.5" x14ac:dyDescent="0.4">
      <c r="AT1067" s="115"/>
      <c r="AU1067" s="116"/>
      <c r="AV1067" s="123"/>
      <c r="AW1067" s="123"/>
      <c r="AX1067" s="123"/>
      <c r="AY1067" s="115"/>
      <c r="AZ1067" s="115"/>
      <c r="BA1067" s="115"/>
      <c r="BB1067" s="115"/>
      <c r="BC1067" s="115"/>
      <c r="BD1067" s="115"/>
      <c r="BE1067" s="115"/>
      <c r="BF1067" s="115"/>
      <c r="BG1067" s="115"/>
      <c r="BH1067" s="115"/>
      <c r="BI1067" s="115"/>
      <c r="BJ1067" s="115"/>
      <c r="BK1067" s="115"/>
      <c r="BL1067" s="115"/>
      <c r="BM1067" s="26">
        <v>45280</v>
      </c>
      <c r="BN1067" s="13" t="s">
        <v>162</v>
      </c>
      <c r="BQ1067" s="114"/>
    </row>
    <row r="1068" spans="41:69" ht="19.5" x14ac:dyDescent="0.4">
      <c r="AT1068" s="115"/>
      <c r="AU1068" s="116"/>
      <c r="AV1068" s="123"/>
      <c r="AW1068" s="123"/>
      <c r="AX1068" s="123"/>
      <c r="AY1068" s="115"/>
      <c r="AZ1068" s="115"/>
      <c r="BA1068" s="115"/>
      <c r="BB1068" s="115"/>
      <c r="BC1068" s="115"/>
      <c r="BD1068" s="115"/>
      <c r="BE1068" s="115"/>
      <c r="BF1068" s="115"/>
      <c r="BG1068" s="115"/>
      <c r="BH1068" s="115"/>
      <c r="BI1068" s="115"/>
      <c r="BJ1068" s="115"/>
      <c r="BK1068" s="115"/>
      <c r="BL1068" s="115"/>
      <c r="BM1068" s="26">
        <v>45280</v>
      </c>
      <c r="BN1068" s="13" t="s">
        <v>162</v>
      </c>
      <c r="BQ1068" s="114"/>
    </row>
    <row r="1069" spans="41:69" ht="19.5" x14ac:dyDescent="0.4">
      <c r="AT1069" s="115"/>
      <c r="AU1069" s="116"/>
      <c r="AV1069" s="123"/>
      <c r="AW1069" s="123"/>
      <c r="AX1069" s="123"/>
      <c r="AY1069" s="115"/>
      <c r="AZ1069" s="115"/>
      <c r="BA1069" s="115"/>
      <c r="BB1069" s="115"/>
      <c r="BC1069" s="115"/>
      <c r="BD1069" s="115"/>
      <c r="BE1069" s="115"/>
      <c r="BF1069" s="115"/>
      <c r="BG1069" s="115"/>
      <c r="BH1069" s="115"/>
      <c r="BI1069" s="115"/>
      <c r="BJ1069" s="115"/>
      <c r="BK1069" s="115"/>
      <c r="BL1069" s="115"/>
      <c r="BM1069" s="26">
        <v>45280</v>
      </c>
      <c r="BN1069" s="13" t="s">
        <v>162</v>
      </c>
      <c r="BQ1069" s="114"/>
    </row>
    <row r="1070" spans="41:69" ht="19.5" x14ac:dyDescent="0.4">
      <c r="AS1070" s="115"/>
      <c r="AT1070" s="115"/>
      <c r="AU1070" s="116"/>
      <c r="AV1070" s="123"/>
      <c r="AW1070" s="123"/>
      <c r="AX1070" s="123"/>
      <c r="AY1070" s="115"/>
      <c r="AZ1070" s="115"/>
      <c r="BA1070" s="115"/>
      <c r="BB1070" s="115"/>
      <c r="BC1070" s="115"/>
      <c r="BD1070" s="115"/>
      <c r="BE1070" s="115"/>
      <c r="BF1070" s="115"/>
      <c r="BG1070" s="115"/>
      <c r="BH1070" s="115"/>
      <c r="BI1070" s="115"/>
      <c r="BJ1070" s="115"/>
      <c r="BK1070" s="115"/>
      <c r="BL1070" s="115"/>
      <c r="BM1070" s="26">
        <v>45280</v>
      </c>
      <c r="BN1070" s="13" t="s">
        <v>162</v>
      </c>
      <c r="BQ1070" s="114"/>
    </row>
    <row r="1071" spans="41:69" ht="19.5" x14ac:dyDescent="0.4">
      <c r="AS1071" s="115"/>
      <c r="AT1071" s="115"/>
      <c r="AU1071" s="116"/>
      <c r="AV1071" s="123"/>
      <c r="AW1071" s="123"/>
      <c r="AX1071" s="123"/>
      <c r="AY1071" s="115"/>
      <c r="AZ1071" s="115"/>
      <c r="BA1071" s="115"/>
      <c r="BB1071" s="115"/>
      <c r="BC1071" s="115"/>
      <c r="BD1071" s="115"/>
      <c r="BE1071" s="115"/>
      <c r="BF1071" s="115"/>
      <c r="BG1071" s="115"/>
      <c r="BH1071" s="115"/>
      <c r="BI1071" s="115"/>
      <c r="BJ1071" s="115"/>
      <c r="BK1071" s="115"/>
      <c r="BL1071" s="115"/>
      <c r="BM1071" s="26">
        <v>45280</v>
      </c>
      <c r="BN1071" s="13" t="s">
        <v>162</v>
      </c>
      <c r="BQ1071" s="114"/>
    </row>
    <row r="1072" spans="41:69" ht="19.5" x14ac:dyDescent="0.4">
      <c r="AQ1072" s="115"/>
      <c r="AR1072" s="115"/>
      <c r="AS1072" s="115"/>
      <c r="AT1072" s="115"/>
      <c r="AU1072" s="116"/>
      <c r="AV1072" s="123"/>
      <c r="AW1072" s="123"/>
      <c r="AX1072" s="123"/>
      <c r="AY1072" s="115"/>
      <c r="AZ1072" s="115"/>
      <c r="BA1072" s="115"/>
      <c r="BB1072" s="115"/>
      <c r="BC1072" s="115"/>
      <c r="BD1072" s="115"/>
      <c r="BE1072" s="115"/>
      <c r="BF1072" s="115"/>
      <c r="BG1072" s="115"/>
      <c r="BH1072" s="115"/>
      <c r="BI1072" s="115"/>
      <c r="BJ1072" s="115"/>
      <c r="BK1072" s="115"/>
      <c r="BL1072" s="115"/>
      <c r="BM1072" s="26">
        <v>45280</v>
      </c>
      <c r="BN1072" s="13" t="s">
        <v>162</v>
      </c>
      <c r="BQ1072" s="114"/>
    </row>
    <row r="1073" spans="43:69" x14ac:dyDescent="0.4">
      <c r="AQ1073" s="115"/>
      <c r="AR1073" s="115"/>
      <c r="AS1073" s="115"/>
      <c r="AT1073" s="115"/>
      <c r="AU1073" s="115"/>
      <c r="AV1073" s="122"/>
      <c r="AW1073" s="122"/>
      <c r="AX1073" s="122"/>
      <c r="AY1073" s="115"/>
      <c r="AZ1073" s="115"/>
      <c r="BA1073" s="115"/>
      <c r="BB1073" s="115"/>
      <c r="BC1073" s="115"/>
      <c r="BD1073" s="115"/>
      <c r="BE1073" s="115"/>
      <c r="BF1073" s="115"/>
      <c r="BG1073" s="115"/>
      <c r="BH1073" s="115"/>
      <c r="BI1073" s="115"/>
      <c r="BJ1073" s="115"/>
      <c r="BK1073" s="115"/>
      <c r="BL1073" s="115"/>
      <c r="BM1073" s="26">
        <v>45280</v>
      </c>
      <c r="BN1073" s="13" t="s">
        <v>162</v>
      </c>
      <c r="BQ1073" s="114"/>
    </row>
    <row r="1074" spans="43:69" x14ac:dyDescent="0.4">
      <c r="AQ1074" s="115"/>
      <c r="AR1074" s="115"/>
      <c r="AS1074" s="115"/>
      <c r="AT1074" s="115"/>
      <c r="AU1074" s="115"/>
      <c r="AV1074" s="122"/>
      <c r="AW1074" s="122"/>
      <c r="AX1074" s="122"/>
      <c r="AY1074" s="115"/>
      <c r="AZ1074" s="115"/>
      <c r="BA1074" s="115"/>
      <c r="BB1074" s="115"/>
      <c r="BC1074" s="115"/>
      <c r="BD1074" s="115"/>
      <c r="BE1074" s="115"/>
      <c r="BF1074" s="115"/>
      <c r="BG1074" s="115"/>
      <c r="BH1074" s="115"/>
      <c r="BI1074" s="115"/>
      <c r="BJ1074" s="115"/>
      <c r="BK1074" s="115"/>
      <c r="BL1074" s="115"/>
      <c r="BM1074" s="26">
        <v>45280</v>
      </c>
      <c r="BN1074" s="13" t="s">
        <v>162</v>
      </c>
      <c r="BQ1074" s="114"/>
    </row>
    <row r="1075" spans="43:69" x14ac:dyDescent="0.4">
      <c r="AQ1075" s="115"/>
      <c r="AR1075" s="115"/>
      <c r="AS1075" s="115"/>
      <c r="AT1075" s="115"/>
      <c r="AU1075" s="115"/>
      <c r="AV1075" s="122"/>
      <c r="AW1075" s="122"/>
      <c r="AX1075" s="122"/>
      <c r="AY1075" s="115"/>
      <c r="AZ1075" s="115"/>
      <c r="BA1075" s="115"/>
      <c r="BB1075" s="115"/>
      <c r="BC1075" s="115"/>
      <c r="BD1075" s="115"/>
      <c r="BE1075" s="115"/>
      <c r="BF1075" s="115"/>
      <c r="BG1075" s="115"/>
      <c r="BH1075" s="115"/>
      <c r="BI1075" s="115"/>
      <c r="BJ1075" s="115"/>
      <c r="BK1075" s="115"/>
      <c r="BL1075" s="115" t="s">
        <v>171</v>
      </c>
      <c r="BM1075" s="17">
        <f>SUBTOTAL(3,BM1059:BM1074)</f>
        <v>13</v>
      </c>
      <c r="BN1075" s="13">
        <f>SUBTOTAL(3,BN1059:BN1074)</f>
        <v>13</v>
      </c>
      <c r="BQ1075" s="114"/>
    </row>
    <row r="1076" spans="43:69" x14ac:dyDescent="0.4">
      <c r="AQ1076" s="115"/>
      <c r="AR1076" s="115"/>
      <c r="AS1076" s="115"/>
      <c r="AT1076" s="115"/>
      <c r="AU1076" s="115"/>
      <c r="AV1076" s="122"/>
      <c r="AW1076" s="122"/>
      <c r="AX1076" s="122"/>
      <c r="AY1076" s="115"/>
      <c r="AZ1076" s="115"/>
      <c r="BA1076" s="115"/>
      <c r="BB1076" s="115"/>
      <c r="BC1076" s="115"/>
      <c r="BD1076" s="115"/>
      <c r="BE1076" s="115"/>
      <c r="BF1076" s="115"/>
      <c r="BG1076" s="115"/>
      <c r="BH1076" s="115"/>
      <c r="BI1076" s="115"/>
      <c r="BJ1076" s="115"/>
      <c r="BK1076" s="115"/>
      <c r="BL1076" s="115"/>
      <c r="BM1076" s="26">
        <v>45283</v>
      </c>
      <c r="BN1076" s="13" t="s">
        <v>162</v>
      </c>
      <c r="BQ1076" s="114"/>
    </row>
    <row r="1077" spans="43:69" x14ac:dyDescent="0.4">
      <c r="AQ1077" s="115"/>
      <c r="AR1077" s="115"/>
      <c r="AS1077" s="115"/>
      <c r="AT1077" s="115"/>
      <c r="AU1077" s="115"/>
      <c r="AV1077" s="122"/>
      <c r="AW1077" s="122"/>
      <c r="AX1077" s="122"/>
      <c r="AY1077" s="115"/>
      <c r="AZ1077" s="115"/>
      <c r="BA1077" s="115"/>
      <c r="BB1077" s="115"/>
      <c r="BC1077" s="115"/>
      <c r="BD1077" s="115"/>
      <c r="BE1077" s="115"/>
      <c r="BF1077" s="115"/>
      <c r="BG1077" s="115"/>
      <c r="BH1077" s="115"/>
      <c r="BI1077" s="115"/>
      <c r="BJ1077" s="115"/>
      <c r="BK1077" s="115"/>
      <c r="BL1077" s="115"/>
      <c r="BM1077" s="26">
        <v>45283</v>
      </c>
      <c r="BN1077" s="13" t="s">
        <v>162</v>
      </c>
      <c r="BQ1077" s="114"/>
    </row>
    <row r="1078" spans="43:69" x14ac:dyDescent="0.4">
      <c r="AQ1078" s="115"/>
      <c r="AR1078" s="115"/>
      <c r="AS1078" s="115"/>
      <c r="AT1078" s="115"/>
      <c r="AU1078" s="115"/>
      <c r="AV1078" s="122"/>
      <c r="AW1078" s="122"/>
      <c r="AX1078" s="122"/>
      <c r="AY1078" s="115"/>
      <c r="AZ1078" s="115"/>
      <c r="BA1078" s="115"/>
      <c r="BB1078" s="115"/>
      <c r="BC1078" s="115"/>
      <c r="BD1078" s="115"/>
      <c r="BE1078" s="115"/>
      <c r="BF1078" s="115"/>
      <c r="BG1078" s="115"/>
      <c r="BH1078" s="115"/>
      <c r="BI1078" s="115"/>
      <c r="BJ1078" s="115"/>
      <c r="BK1078" s="115"/>
      <c r="BL1078" s="115"/>
      <c r="BM1078" s="26">
        <v>45283</v>
      </c>
      <c r="BN1078" s="13" t="s">
        <v>162</v>
      </c>
      <c r="BQ1078" s="114"/>
    </row>
    <row r="1079" spans="43:69" x14ac:dyDescent="0.4">
      <c r="AQ1079" s="115"/>
      <c r="AR1079" s="115"/>
      <c r="AS1079" s="115"/>
      <c r="AT1079" s="115"/>
      <c r="AU1079" s="115"/>
      <c r="AV1079" s="122"/>
      <c r="AW1079" s="122"/>
      <c r="AX1079" s="122"/>
      <c r="AY1079" s="115"/>
      <c r="AZ1079" s="115"/>
      <c r="BA1079" s="115"/>
      <c r="BB1079" s="115"/>
      <c r="BC1079" s="115"/>
      <c r="BD1079" s="115"/>
      <c r="BE1079" s="115"/>
      <c r="BF1079" s="115"/>
      <c r="BG1079" s="115"/>
      <c r="BH1079" s="115"/>
      <c r="BI1079" s="115"/>
      <c r="BJ1079" s="115"/>
      <c r="BK1079" s="115"/>
      <c r="BL1079" s="115"/>
      <c r="BM1079" s="26">
        <v>45283</v>
      </c>
      <c r="BN1079" s="13" t="s">
        <v>162</v>
      </c>
      <c r="BQ1079" s="114"/>
    </row>
    <row r="1080" spans="43:69" x14ac:dyDescent="0.4">
      <c r="AQ1080" s="115"/>
      <c r="AR1080" s="115"/>
      <c r="AS1080" s="115"/>
      <c r="AT1080" s="115"/>
      <c r="AU1080" s="115"/>
      <c r="AV1080" s="122"/>
      <c r="AW1080" s="122"/>
      <c r="AX1080" s="122"/>
      <c r="AY1080" s="115"/>
      <c r="AZ1080" s="115"/>
      <c r="BA1080" s="115"/>
      <c r="BB1080" s="115"/>
      <c r="BC1080" s="115"/>
      <c r="BD1080" s="115"/>
      <c r="BE1080" s="115"/>
      <c r="BF1080" s="115"/>
      <c r="BG1080" s="115"/>
      <c r="BH1080" s="115"/>
      <c r="BI1080" s="115"/>
      <c r="BJ1080" s="115"/>
      <c r="BK1080" s="115"/>
      <c r="BL1080" s="115"/>
      <c r="BM1080" s="26">
        <v>45283</v>
      </c>
      <c r="BN1080" s="13" t="s">
        <v>162</v>
      </c>
      <c r="BQ1080" s="114"/>
    </row>
    <row r="1081" spans="43:69" x14ac:dyDescent="0.4">
      <c r="AQ1081" s="115"/>
      <c r="AR1081" s="115"/>
      <c r="AS1081" s="115"/>
      <c r="AT1081" s="115"/>
      <c r="AU1081" s="115"/>
      <c r="AV1081" s="122"/>
      <c r="AW1081" s="122"/>
      <c r="AX1081" s="122"/>
      <c r="AY1081" s="115"/>
      <c r="AZ1081" s="115"/>
      <c r="BA1081" s="115"/>
      <c r="BB1081" s="115"/>
      <c r="BC1081" s="115"/>
      <c r="BD1081" s="115"/>
      <c r="BE1081" s="115"/>
      <c r="BF1081" s="115"/>
      <c r="BG1081" s="115"/>
      <c r="BH1081" s="115"/>
      <c r="BI1081" s="115"/>
      <c r="BJ1081" s="115"/>
      <c r="BK1081" s="115"/>
      <c r="BL1081" s="115"/>
      <c r="BM1081" s="26">
        <v>45283</v>
      </c>
      <c r="BN1081" s="13" t="s">
        <v>162</v>
      </c>
      <c r="BQ1081" s="114"/>
    </row>
    <row r="1082" spans="43:69" x14ac:dyDescent="0.4">
      <c r="AQ1082" s="115"/>
      <c r="AR1082" s="115"/>
      <c r="AS1082" s="115"/>
      <c r="AT1082" s="115"/>
      <c r="AU1082" s="115"/>
      <c r="AV1082" s="122"/>
      <c r="AW1082" s="122"/>
      <c r="AX1082" s="122"/>
      <c r="AY1082" s="115"/>
      <c r="AZ1082" s="115"/>
      <c r="BA1082" s="115"/>
      <c r="BB1082" s="115"/>
      <c r="BC1082" s="115"/>
      <c r="BD1082" s="115"/>
      <c r="BE1082" s="115"/>
      <c r="BF1082" s="115"/>
      <c r="BG1082" s="115"/>
      <c r="BH1082" s="115"/>
      <c r="BI1082" s="115"/>
      <c r="BJ1082" s="115"/>
      <c r="BK1082" s="115"/>
      <c r="BL1082" s="115"/>
      <c r="BM1082" s="26">
        <v>45283</v>
      </c>
      <c r="BN1082" s="13" t="s">
        <v>162</v>
      </c>
      <c r="BQ1082" s="114"/>
    </row>
    <row r="1083" spans="43:69" x14ac:dyDescent="0.4">
      <c r="AQ1083" s="115"/>
      <c r="AR1083" s="115"/>
      <c r="AS1083" s="115"/>
      <c r="AT1083" s="115"/>
      <c r="AU1083" s="115"/>
      <c r="AV1083" s="122"/>
      <c r="AW1083" s="122"/>
      <c r="AX1083" s="122"/>
      <c r="AY1083" s="115"/>
      <c r="AZ1083" s="115"/>
      <c r="BA1083" s="115"/>
      <c r="BB1083" s="115"/>
      <c r="BC1083" s="115"/>
      <c r="BD1083" s="115"/>
      <c r="BE1083" s="115"/>
      <c r="BF1083" s="115"/>
      <c r="BG1083" s="115"/>
      <c r="BH1083" s="115"/>
      <c r="BI1083" s="115"/>
      <c r="BJ1083" s="115"/>
      <c r="BK1083" s="115"/>
      <c r="BL1083" s="115"/>
      <c r="BM1083" s="26">
        <v>45283</v>
      </c>
      <c r="BN1083" s="13" t="s">
        <v>162</v>
      </c>
      <c r="BQ1083" s="114"/>
    </row>
    <row r="1084" spans="43:69" x14ac:dyDescent="0.4">
      <c r="AQ1084" s="115"/>
      <c r="AR1084" s="115"/>
      <c r="AS1084" s="115"/>
      <c r="AT1084" s="115"/>
      <c r="AU1084" s="115"/>
      <c r="AV1084" s="122"/>
      <c r="AW1084" s="122"/>
      <c r="AX1084" s="122"/>
      <c r="AY1084" s="115"/>
      <c r="AZ1084" s="115"/>
      <c r="BA1084" s="115"/>
      <c r="BB1084" s="115"/>
      <c r="BC1084" s="115"/>
      <c r="BD1084" s="115"/>
      <c r="BE1084" s="115"/>
      <c r="BF1084" s="115"/>
      <c r="BG1084" s="115"/>
      <c r="BH1084" s="115"/>
      <c r="BI1084" s="115"/>
      <c r="BJ1084" s="115"/>
      <c r="BK1084" s="115"/>
      <c r="BL1084" s="115"/>
      <c r="BM1084" s="26">
        <v>45283</v>
      </c>
      <c r="BN1084" s="13" t="s">
        <v>162</v>
      </c>
      <c r="BQ1084" s="114"/>
    </row>
    <row r="1085" spans="43:69" x14ac:dyDescent="0.4">
      <c r="AQ1085" s="115"/>
      <c r="AR1085" s="115"/>
      <c r="AS1085" s="115"/>
      <c r="AT1085" s="115"/>
      <c r="AU1085" s="115"/>
      <c r="AV1085" s="122"/>
      <c r="AW1085" s="122"/>
      <c r="AX1085" s="122"/>
      <c r="AY1085" s="115"/>
      <c r="AZ1085" s="115"/>
      <c r="BA1085" s="115"/>
      <c r="BB1085" s="115"/>
      <c r="BC1085" s="115"/>
      <c r="BD1085" s="115"/>
      <c r="BE1085" s="115"/>
      <c r="BF1085" s="115"/>
      <c r="BG1085" s="115"/>
      <c r="BH1085" s="115"/>
      <c r="BI1085" s="115"/>
      <c r="BJ1085" s="115"/>
      <c r="BK1085" s="115"/>
      <c r="BL1085" s="115"/>
      <c r="BM1085" s="26">
        <v>45283</v>
      </c>
      <c r="BN1085" s="13" t="s">
        <v>162</v>
      </c>
      <c r="BQ1085" s="114"/>
    </row>
    <row r="1086" spans="43:69" x14ac:dyDescent="0.4">
      <c r="AQ1086" s="115"/>
      <c r="AR1086" s="115"/>
      <c r="AS1086" s="115"/>
      <c r="AT1086" s="115"/>
      <c r="AU1086" s="115"/>
      <c r="AV1086" s="122"/>
      <c r="AW1086" s="122"/>
      <c r="AX1086" s="122"/>
      <c r="AY1086" s="115"/>
      <c r="AZ1086" s="115"/>
      <c r="BA1086" s="115"/>
      <c r="BB1086" s="115"/>
      <c r="BC1086" s="115"/>
      <c r="BD1086" s="115"/>
      <c r="BE1086" s="115"/>
      <c r="BF1086" s="115"/>
      <c r="BG1086" s="115"/>
      <c r="BH1086" s="115"/>
      <c r="BI1086" s="115"/>
      <c r="BJ1086" s="115"/>
      <c r="BK1086" s="115"/>
      <c r="BL1086" s="115"/>
      <c r="BM1086" s="26">
        <v>45283</v>
      </c>
      <c r="BN1086" s="13" t="s">
        <v>163</v>
      </c>
      <c r="BQ1086" s="114"/>
    </row>
    <row r="1087" spans="43:69" x14ac:dyDescent="0.4">
      <c r="AQ1087" s="115"/>
      <c r="AR1087" s="115"/>
      <c r="AS1087" s="115"/>
      <c r="AT1087" s="115"/>
      <c r="AU1087" s="115"/>
      <c r="AV1087" s="122"/>
      <c r="AW1087" s="122"/>
      <c r="AX1087" s="122"/>
      <c r="AY1087" s="115"/>
      <c r="AZ1087" s="115"/>
      <c r="BA1087" s="115"/>
      <c r="BB1087" s="115"/>
      <c r="BC1087" s="115"/>
      <c r="BD1087" s="115"/>
      <c r="BE1087" s="115"/>
      <c r="BF1087" s="115"/>
      <c r="BG1087" s="115"/>
      <c r="BH1087" s="115"/>
      <c r="BI1087" s="115"/>
      <c r="BJ1087" s="115"/>
      <c r="BK1087" s="115"/>
      <c r="BL1087" s="115"/>
      <c r="BM1087" s="26">
        <v>45283</v>
      </c>
      <c r="BN1087" s="13" t="s">
        <v>163</v>
      </c>
      <c r="BQ1087" s="114"/>
    </row>
    <row r="1088" spans="43:69" x14ac:dyDescent="0.4">
      <c r="AQ1088" s="115"/>
      <c r="AR1088" s="115"/>
      <c r="AS1088" s="115"/>
      <c r="AT1088" s="115"/>
      <c r="AU1088" s="115"/>
      <c r="AV1088" s="122"/>
      <c r="AW1088" s="122"/>
      <c r="AX1088" s="122"/>
      <c r="AY1088" s="115"/>
      <c r="AZ1088" s="115"/>
      <c r="BA1088" s="115"/>
      <c r="BB1088" s="115"/>
      <c r="BC1088" s="115"/>
      <c r="BD1088" s="115"/>
      <c r="BE1088" s="115"/>
      <c r="BF1088" s="115"/>
      <c r="BG1088" s="115"/>
      <c r="BH1088" s="115"/>
      <c r="BI1088" s="115"/>
      <c r="BJ1088" s="115"/>
      <c r="BK1088" s="115"/>
      <c r="BL1088" s="115"/>
      <c r="BM1088" s="26">
        <v>45283</v>
      </c>
      <c r="BN1088" s="13" t="s">
        <v>163</v>
      </c>
      <c r="BQ1088" s="114"/>
    </row>
    <row r="1089" spans="43:69" x14ac:dyDescent="0.4">
      <c r="AQ1089" s="115"/>
      <c r="AR1089" s="115"/>
      <c r="AS1089" s="115"/>
      <c r="AT1089" s="115"/>
      <c r="AU1089" s="115"/>
      <c r="AV1089" s="122"/>
      <c r="AW1089" s="122"/>
      <c r="AX1089" s="122"/>
      <c r="AY1089" s="115"/>
      <c r="AZ1089" s="115"/>
      <c r="BA1089" s="115"/>
      <c r="BB1089" s="115"/>
      <c r="BC1089" s="115"/>
      <c r="BD1089" s="115"/>
      <c r="BE1089" s="115"/>
      <c r="BF1089" s="115"/>
      <c r="BG1089" s="115"/>
      <c r="BH1089" s="115"/>
      <c r="BI1089" s="115"/>
      <c r="BJ1089" s="115"/>
      <c r="BK1089" s="115"/>
      <c r="BL1089" s="115" t="s">
        <v>161</v>
      </c>
      <c r="BM1089" s="17">
        <f>SUBTOTAL(3,BM1076:BM1088)</f>
        <v>13</v>
      </c>
      <c r="BN1089" s="13">
        <f>SUBTOTAL(3,BN1076:BN1088)</f>
        <v>13</v>
      </c>
      <c r="BQ1089" s="114"/>
    </row>
    <row r="1090" spans="43:69" x14ac:dyDescent="0.4">
      <c r="AQ1090" s="115"/>
      <c r="AR1090" s="115"/>
      <c r="AS1090" s="115"/>
      <c r="AT1090" s="115"/>
      <c r="AU1090" s="115"/>
      <c r="AV1090" s="122"/>
      <c r="AW1090" s="122"/>
      <c r="AX1090" s="122"/>
      <c r="AY1090" s="115"/>
      <c r="AZ1090" s="115"/>
      <c r="BA1090" s="115"/>
      <c r="BB1090" s="115"/>
      <c r="BC1090" s="115"/>
      <c r="BD1090" s="115"/>
      <c r="BE1090" s="115"/>
      <c r="BF1090" s="115"/>
      <c r="BG1090" s="115"/>
      <c r="BH1090" s="115"/>
      <c r="BI1090" s="115"/>
      <c r="BJ1090" s="115"/>
      <c r="BK1090" s="115"/>
      <c r="BL1090" s="115"/>
      <c r="BM1090" s="26">
        <v>45285</v>
      </c>
      <c r="BN1090" s="13" t="s">
        <v>163</v>
      </c>
      <c r="BQ1090" s="114"/>
    </row>
    <row r="1091" spans="43:69" x14ac:dyDescent="0.4">
      <c r="AQ1091" s="115"/>
      <c r="AR1091" s="115"/>
      <c r="AS1091" s="115"/>
      <c r="AT1091" s="115"/>
      <c r="AU1091" s="115"/>
      <c r="AV1091" s="122"/>
      <c r="AW1091" s="122"/>
      <c r="AX1091" s="122"/>
      <c r="AY1091" s="115"/>
      <c r="AZ1091" s="115"/>
      <c r="BA1091" s="115"/>
      <c r="BB1091" s="115"/>
      <c r="BC1091" s="115"/>
      <c r="BD1091" s="115"/>
      <c r="BE1091" s="115"/>
      <c r="BF1091" s="115"/>
      <c r="BG1091" s="115"/>
      <c r="BH1091" s="115"/>
      <c r="BI1091" s="115"/>
      <c r="BJ1091" s="115"/>
      <c r="BK1091" s="115"/>
      <c r="BL1091" s="115" t="s">
        <v>172</v>
      </c>
      <c r="BM1091" s="17">
        <f>SUBTOTAL(3,BM1090:BM1090)</f>
        <v>1</v>
      </c>
      <c r="BN1091" s="13">
        <f>SUBTOTAL(3,BN1090:BN1090)</f>
        <v>1</v>
      </c>
      <c r="BQ1091" s="114"/>
    </row>
    <row r="1092" spans="43:69" x14ac:dyDescent="0.4">
      <c r="AQ1092" s="115"/>
      <c r="AR1092" s="115"/>
      <c r="AS1092" s="115"/>
      <c r="AT1092" s="115"/>
      <c r="AU1092" s="115"/>
      <c r="AV1092" s="122"/>
      <c r="AW1092" s="122"/>
      <c r="AX1092" s="122"/>
      <c r="AY1092" s="115"/>
      <c r="AZ1092" s="115"/>
      <c r="BA1092" s="115"/>
      <c r="BB1092" s="115"/>
      <c r="BC1092" s="115"/>
      <c r="BD1092" s="115"/>
      <c r="BE1092" s="115"/>
      <c r="BF1092" s="115"/>
      <c r="BG1092" s="115"/>
      <c r="BH1092" s="115"/>
      <c r="BI1092" s="115"/>
      <c r="BJ1092" s="115"/>
      <c r="BK1092" s="115"/>
      <c r="BL1092" s="115"/>
      <c r="BM1092" s="26">
        <v>45299</v>
      </c>
      <c r="BN1092" s="13" t="s">
        <v>164</v>
      </c>
      <c r="BQ1092" s="114"/>
    </row>
    <row r="1093" spans="43:69" x14ac:dyDescent="0.4">
      <c r="AQ1093" s="115"/>
      <c r="AR1093" s="115"/>
      <c r="AS1093" s="115"/>
      <c r="AT1093" s="115"/>
      <c r="AU1093" s="115"/>
      <c r="AV1093" s="122"/>
      <c r="AW1093" s="122"/>
      <c r="AX1093" s="122"/>
      <c r="AY1093" s="115"/>
      <c r="AZ1093" s="115"/>
      <c r="BA1093" s="115"/>
      <c r="BB1093" s="115"/>
      <c r="BC1093" s="115"/>
      <c r="BD1093" s="115"/>
      <c r="BE1093" s="115"/>
      <c r="BF1093" s="115"/>
      <c r="BG1093" s="115"/>
      <c r="BH1093" s="115"/>
      <c r="BI1093" s="115"/>
      <c r="BJ1093" s="115"/>
      <c r="BK1093" s="115"/>
      <c r="BL1093" s="115"/>
      <c r="BM1093" s="26">
        <v>45299</v>
      </c>
      <c r="BN1093" s="13" t="s">
        <v>162</v>
      </c>
      <c r="BQ1093" s="114"/>
    </row>
    <row r="1094" spans="43:69" x14ac:dyDescent="0.4">
      <c r="AQ1094" s="115"/>
      <c r="AR1094" s="115"/>
      <c r="AS1094" s="115"/>
      <c r="AT1094" s="115"/>
      <c r="AU1094" s="115"/>
      <c r="AV1094" s="122"/>
      <c r="AW1094" s="122"/>
      <c r="AX1094" s="122"/>
      <c r="AY1094" s="115"/>
      <c r="AZ1094" s="115"/>
      <c r="BA1094" s="115"/>
      <c r="BB1094" s="115"/>
      <c r="BC1094" s="115"/>
      <c r="BD1094" s="115"/>
      <c r="BE1094" s="115"/>
      <c r="BF1094" s="115"/>
      <c r="BG1094" s="115"/>
      <c r="BH1094" s="115"/>
      <c r="BI1094" s="115"/>
      <c r="BJ1094" s="115"/>
      <c r="BK1094" s="115"/>
      <c r="BL1094" s="115"/>
      <c r="BM1094" s="26">
        <v>45299</v>
      </c>
      <c r="BN1094" s="13" t="s">
        <v>162</v>
      </c>
      <c r="BQ1094" s="114"/>
    </row>
    <row r="1095" spans="43:69" x14ac:dyDescent="0.4">
      <c r="AQ1095" s="115"/>
      <c r="AR1095" s="115"/>
      <c r="AS1095" s="115"/>
      <c r="AT1095" s="115"/>
      <c r="AU1095" s="115"/>
      <c r="AV1095" s="122"/>
      <c r="AW1095" s="122"/>
      <c r="AX1095" s="122"/>
      <c r="AY1095" s="115"/>
      <c r="AZ1095" s="115"/>
      <c r="BA1095" s="115"/>
      <c r="BB1095" s="115"/>
      <c r="BC1095" s="115"/>
      <c r="BD1095" s="115"/>
      <c r="BE1095" s="115"/>
      <c r="BF1095" s="115"/>
      <c r="BG1095" s="115"/>
      <c r="BH1095" s="115"/>
      <c r="BI1095" s="115"/>
      <c r="BJ1095" s="115"/>
      <c r="BK1095" s="115"/>
      <c r="BL1095" s="115"/>
      <c r="BM1095" s="26">
        <v>45299</v>
      </c>
      <c r="BN1095" s="15" t="s">
        <v>162</v>
      </c>
      <c r="BQ1095" s="114"/>
    </row>
    <row r="1096" spans="43:69" x14ac:dyDescent="0.4">
      <c r="AQ1096" s="115"/>
      <c r="AR1096" s="115"/>
      <c r="AS1096" s="115"/>
      <c r="AT1096" s="115"/>
      <c r="AU1096" s="115"/>
      <c r="AV1096" s="122"/>
      <c r="AW1096" s="122"/>
      <c r="AX1096" s="122"/>
      <c r="AY1096" s="115"/>
      <c r="AZ1096" s="115"/>
      <c r="BA1096" s="115"/>
      <c r="BB1096" s="115"/>
      <c r="BC1096" s="115"/>
      <c r="BD1096" s="115"/>
      <c r="BE1096" s="115"/>
      <c r="BF1096" s="115"/>
      <c r="BG1096" s="115"/>
      <c r="BH1096" s="115"/>
      <c r="BI1096" s="115"/>
      <c r="BJ1096" s="115"/>
      <c r="BK1096" s="115"/>
      <c r="BL1096" s="115" t="s">
        <v>173</v>
      </c>
      <c r="BM1096" s="17">
        <f>SUBTOTAL(3,BM1092:BM1095)</f>
        <v>4</v>
      </c>
      <c r="BN1096" s="13">
        <f>SUBTOTAL(3,BN1092:BN1095)</f>
        <v>4</v>
      </c>
      <c r="BQ1096" s="114"/>
    </row>
    <row r="1097" spans="43:69" x14ac:dyDescent="0.4">
      <c r="AQ1097" s="115"/>
      <c r="AR1097" s="115"/>
      <c r="AS1097" s="115"/>
      <c r="AT1097" s="115"/>
      <c r="AU1097" s="115"/>
      <c r="AV1097" s="122"/>
      <c r="AW1097" s="122"/>
      <c r="AX1097" s="122"/>
      <c r="AY1097" s="115"/>
      <c r="AZ1097" s="115"/>
      <c r="BA1097" s="115"/>
      <c r="BB1097" s="115"/>
      <c r="BC1097" s="115"/>
      <c r="BD1097" s="115"/>
      <c r="BE1097" s="115"/>
      <c r="BF1097" s="115"/>
      <c r="BG1097" s="115"/>
      <c r="BH1097" s="115"/>
      <c r="BI1097" s="115"/>
      <c r="BJ1097" s="115"/>
      <c r="BK1097" s="115"/>
      <c r="BL1097" s="115" t="s">
        <v>145</v>
      </c>
      <c r="BM1097" s="17">
        <f>SUBTOTAL(3,BM2:BM1095)</f>
        <v>136</v>
      </c>
      <c r="BN1097" s="13">
        <f>SUBTOTAL(3,BN2:BN1095)</f>
        <v>136</v>
      </c>
      <c r="BQ1097" s="114"/>
    </row>
    <row r="1098" spans="43:69" x14ac:dyDescent="0.4">
      <c r="AQ1098" s="115"/>
      <c r="AR1098" s="115"/>
      <c r="AS1098" s="115"/>
      <c r="AT1098" s="115"/>
      <c r="AU1098" s="115"/>
      <c r="AV1098" s="122"/>
      <c r="AW1098" s="122"/>
      <c r="AX1098" s="122"/>
      <c r="AY1098" s="115"/>
      <c r="AZ1098" s="115"/>
      <c r="BA1098" s="115"/>
      <c r="BB1098" s="115"/>
      <c r="BC1098" s="115"/>
      <c r="BD1098" s="115"/>
      <c r="BE1098" s="115"/>
      <c r="BF1098" s="115"/>
      <c r="BG1098" s="115"/>
      <c r="BH1098" s="115"/>
      <c r="BI1098" s="115"/>
      <c r="BJ1098" s="115" t="s">
        <v>145</v>
      </c>
      <c r="BK1098" s="115"/>
      <c r="BL1098" s="115"/>
      <c r="BM1098" s="26"/>
      <c r="BN1098" s="13"/>
      <c r="BQ1098" s="114"/>
    </row>
    <row r="1099" spans="43:69" x14ac:dyDescent="0.4">
      <c r="AQ1099" s="115"/>
      <c r="AR1099" s="115"/>
      <c r="AS1099" s="115"/>
      <c r="AT1099" s="115"/>
      <c r="AU1099" s="115"/>
      <c r="AV1099" s="122"/>
      <c r="AW1099" s="122"/>
      <c r="AX1099" s="122"/>
      <c r="AY1099" s="115"/>
      <c r="AZ1099" s="115"/>
      <c r="BA1099" s="115"/>
      <c r="BB1099" s="115"/>
      <c r="BC1099" s="115"/>
      <c r="BD1099" s="115"/>
      <c r="BE1099" s="115"/>
      <c r="BF1099" s="115"/>
      <c r="BG1099" s="115"/>
      <c r="BH1099" s="115"/>
      <c r="BI1099" s="115"/>
      <c r="BJ1099" s="115"/>
      <c r="BK1099" s="115"/>
      <c r="BL1099" s="115"/>
      <c r="BM1099" s="17"/>
      <c r="BN1099" s="13"/>
      <c r="BQ1099" s="114"/>
    </row>
    <row r="1100" spans="43:69" x14ac:dyDescent="0.4">
      <c r="AQ1100" s="115"/>
      <c r="AR1100" s="115"/>
      <c r="AS1100" s="115"/>
      <c r="AT1100" s="115"/>
      <c r="AU1100" s="115"/>
      <c r="AV1100" s="122"/>
      <c r="AW1100" s="122"/>
      <c r="AX1100" s="122"/>
      <c r="AY1100" s="115"/>
      <c r="AZ1100" s="115"/>
      <c r="BA1100" s="115"/>
      <c r="BB1100" s="115"/>
      <c r="BC1100" s="115"/>
      <c r="BD1100" s="115"/>
      <c r="BE1100" s="115"/>
      <c r="BF1100" s="115"/>
      <c r="BG1100" s="115"/>
      <c r="BH1100" s="115"/>
      <c r="BI1100" s="115"/>
      <c r="BJ1100" s="115"/>
      <c r="BK1100" s="115"/>
      <c r="BL1100" s="115"/>
      <c r="BM1100" s="26"/>
      <c r="BN1100" s="13"/>
      <c r="BQ1100" s="114"/>
    </row>
    <row r="1101" spans="43:69" x14ac:dyDescent="0.4">
      <c r="AQ1101" s="115"/>
      <c r="AR1101" s="115"/>
      <c r="AS1101" s="115"/>
      <c r="AT1101" s="115"/>
      <c r="AU1101" s="115"/>
      <c r="AV1101" s="122"/>
      <c r="AW1101" s="122"/>
      <c r="AX1101" s="122"/>
      <c r="AY1101" s="115"/>
      <c r="AZ1101" s="115"/>
      <c r="BA1101" s="115"/>
      <c r="BB1101" s="115"/>
      <c r="BC1101" s="115"/>
      <c r="BD1101" s="115"/>
      <c r="BE1101" s="115"/>
      <c r="BF1101" s="115"/>
      <c r="BG1101" s="115"/>
      <c r="BH1101" s="115"/>
      <c r="BI1101" s="115"/>
      <c r="BJ1101" s="115"/>
      <c r="BK1101" s="115"/>
      <c r="BL1101" s="115"/>
      <c r="BM1101" s="17"/>
      <c r="BN1101" s="13"/>
      <c r="BQ1101" s="114"/>
    </row>
    <row r="1102" spans="43:69" x14ac:dyDescent="0.4">
      <c r="AQ1102" s="115"/>
      <c r="AR1102" s="115"/>
      <c r="AS1102" s="115"/>
      <c r="AT1102" s="115"/>
      <c r="AU1102" s="115"/>
      <c r="AV1102" s="122"/>
      <c r="AW1102" s="122"/>
      <c r="AX1102" s="122"/>
      <c r="AY1102" s="115"/>
      <c r="AZ1102" s="115"/>
      <c r="BA1102" s="115"/>
      <c r="BB1102" s="115"/>
      <c r="BC1102" s="115"/>
      <c r="BD1102" s="115"/>
      <c r="BE1102" s="115"/>
      <c r="BF1102" s="115"/>
      <c r="BG1102" s="115"/>
      <c r="BH1102" s="115"/>
      <c r="BI1102" s="115"/>
      <c r="BJ1102" s="115"/>
      <c r="BK1102" s="115"/>
      <c r="BL1102" s="115"/>
      <c r="BM1102" s="26"/>
      <c r="BN1102" s="13"/>
      <c r="BQ1102" s="114"/>
    </row>
    <row r="1103" spans="43:69" x14ac:dyDescent="0.4">
      <c r="AQ1103" s="115"/>
      <c r="AR1103" s="115"/>
      <c r="AS1103" s="115"/>
      <c r="AT1103" s="115"/>
      <c r="AU1103" s="115"/>
      <c r="AV1103" s="122"/>
      <c r="AW1103" s="122"/>
      <c r="AX1103" s="122"/>
      <c r="AY1103" s="115"/>
      <c r="AZ1103" s="115"/>
      <c r="BA1103" s="115"/>
      <c r="BB1103" s="115"/>
      <c r="BC1103" s="115"/>
      <c r="BD1103" s="115"/>
      <c r="BE1103" s="115"/>
      <c r="BF1103" s="115"/>
      <c r="BG1103" s="115"/>
      <c r="BH1103" s="115"/>
      <c r="BI1103" s="115"/>
      <c r="BJ1103" s="115"/>
      <c r="BK1103" s="115"/>
      <c r="BL1103" s="115"/>
      <c r="BM1103" s="26"/>
      <c r="BN1103" s="13"/>
      <c r="BQ1103" s="114"/>
    </row>
    <row r="1104" spans="43:69" x14ac:dyDescent="0.4">
      <c r="AQ1104" s="115"/>
      <c r="AR1104" s="115"/>
      <c r="AS1104" s="115"/>
      <c r="AT1104" s="115"/>
      <c r="AU1104" s="115"/>
      <c r="AV1104" s="122"/>
      <c r="AW1104" s="122"/>
      <c r="AX1104" s="122"/>
      <c r="AY1104" s="115"/>
      <c r="AZ1104" s="115"/>
      <c r="BA1104" s="115"/>
      <c r="BB1104" s="115"/>
      <c r="BC1104" s="115"/>
      <c r="BD1104" s="115"/>
      <c r="BE1104" s="115"/>
      <c r="BF1104" s="115"/>
      <c r="BG1104" s="115"/>
      <c r="BH1104" s="115"/>
      <c r="BI1104" s="115"/>
      <c r="BJ1104" s="115"/>
      <c r="BK1104" s="115"/>
      <c r="BL1104" s="115"/>
      <c r="BM1104" s="26"/>
      <c r="BN1104" s="13"/>
      <c r="BQ1104" s="114"/>
    </row>
    <row r="1105" spans="43:69" x14ac:dyDescent="0.4">
      <c r="AQ1105" s="115"/>
      <c r="AR1105" s="115"/>
      <c r="AS1105" s="115"/>
      <c r="AT1105" s="115"/>
      <c r="AU1105" s="115"/>
      <c r="AV1105" s="122"/>
      <c r="AW1105" s="122"/>
      <c r="AX1105" s="122"/>
      <c r="AY1105" s="115"/>
      <c r="AZ1105" s="115"/>
      <c r="BA1105" s="115"/>
      <c r="BB1105" s="115"/>
      <c r="BC1105" s="115"/>
      <c r="BD1105" s="115"/>
      <c r="BE1105" s="115"/>
      <c r="BF1105" s="115"/>
      <c r="BG1105" s="115"/>
      <c r="BH1105" s="115"/>
      <c r="BI1105" s="115"/>
      <c r="BJ1105" s="115"/>
      <c r="BK1105" s="115"/>
      <c r="BL1105" s="115"/>
      <c r="BM1105" s="17"/>
      <c r="BN1105" s="13"/>
      <c r="BQ1105" s="114"/>
    </row>
    <row r="1106" spans="43:69" x14ac:dyDescent="0.4">
      <c r="AQ1106" s="115"/>
      <c r="AR1106" s="115"/>
      <c r="AS1106" s="115"/>
      <c r="AT1106" s="115"/>
      <c r="AU1106" s="115"/>
      <c r="AV1106" s="122"/>
      <c r="AW1106" s="122"/>
      <c r="AX1106" s="122"/>
      <c r="AY1106" s="115"/>
      <c r="AZ1106" s="115"/>
      <c r="BA1106" s="115"/>
      <c r="BB1106" s="115"/>
      <c r="BC1106" s="115"/>
      <c r="BD1106" s="115"/>
      <c r="BE1106" s="115"/>
      <c r="BF1106" s="115"/>
      <c r="BG1106" s="115"/>
      <c r="BH1106" s="115"/>
      <c r="BI1106" s="115"/>
      <c r="BJ1106" s="115"/>
      <c r="BK1106" s="115"/>
      <c r="BL1106" s="115"/>
      <c r="BM1106" s="26"/>
      <c r="BN1106" s="13"/>
      <c r="BQ1106" s="114"/>
    </row>
    <row r="1107" spans="43:69" x14ac:dyDescent="0.4">
      <c r="AQ1107" s="115"/>
      <c r="AR1107" s="115"/>
      <c r="AS1107" s="115"/>
      <c r="AT1107" s="115"/>
      <c r="AU1107" s="115"/>
      <c r="AV1107" s="122"/>
      <c r="AW1107" s="122"/>
      <c r="AX1107" s="122"/>
      <c r="AY1107" s="115"/>
      <c r="AZ1107" s="115"/>
      <c r="BA1107" s="115"/>
      <c r="BB1107" s="115"/>
      <c r="BC1107" s="115"/>
      <c r="BD1107" s="115"/>
      <c r="BE1107" s="115"/>
      <c r="BF1107" s="115"/>
      <c r="BG1107" s="115"/>
      <c r="BH1107" s="115"/>
      <c r="BI1107" s="115"/>
      <c r="BJ1107" s="115"/>
      <c r="BK1107" s="115"/>
      <c r="BL1107" s="115"/>
      <c r="BM1107" s="17"/>
      <c r="BN1107" s="13"/>
      <c r="BQ1107" s="114"/>
    </row>
    <row r="1108" spans="43:69" x14ac:dyDescent="0.4">
      <c r="AQ1108" s="115"/>
      <c r="AR1108" s="115"/>
      <c r="AS1108" s="115"/>
      <c r="AT1108" s="115"/>
      <c r="AU1108" s="115"/>
      <c r="AV1108" s="122"/>
      <c r="AW1108" s="122"/>
      <c r="AX1108" s="122"/>
      <c r="AY1108" s="115"/>
      <c r="AZ1108" s="115"/>
      <c r="BA1108" s="115"/>
      <c r="BB1108" s="115"/>
      <c r="BC1108" s="115"/>
      <c r="BD1108" s="115"/>
      <c r="BE1108" s="115"/>
      <c r="BF1108" s="115"/>
      <c r="BG1108" s="115"/>
      <c r="BH1108" s="115"/>
      <c r="BI1108" s="115"/>
      <c r="BJ1108" s="115"/>
      <c r="BK1108" s="115"/>
      <c r="BL1108" s="115"/>
      <c r="BM1108" s="26"/>
      <c r="BN1108" s="13"/>
      <c r="BQ1108" s="114"/>
    </row>
    <row r="1109" spans="43:69" x14ac:dyDescent="0.4">
      <c r="AQ1109" s="115"/>
      <c r="AR1109" s="115"/>
      <c r="AS1109" s="115"/>
      <c r="AT1109" s="115"/>
      <c r="AU1109" s="115"/>
      <c r="AV1109" s="122"/>
      <c r="AW1109" s="122"/>
      <c r="AX1109" s="122"/>
      <c r="AY1109" s="115"/>
      <c r="AZ1109" s="115"/>
      <c r="BA1109" s="115"/>
      <c r="BB1109" s="115"/>
      <c r="BC1109" s="115"/>
      <c r="BD1109" s="115"/>
      <c r="BE1109" s="115"/>
      <c r="BF1109" s="115"/>
      <c r="BG1109" s="115"/>
      <c r="BH1109" s="115"/>
      <c r="BI1109" s="115"/>
      <c r="BJ1109" s="115"/>
      <c r="BK1109" s="115"/>
      <c r="BL1109" s="115"/>
      <c r="BM1109" s="17"/>
      <c r="BN1109" s="13"/>
      <c r="BQ1109" s="114"/>
    </row>
    <row r="1110" spans="43:69" x14ac:dyDescent="0.4">
      <c r="AQ1110" s="115"/>
      <c r="AR1110" s="115"/>
      <c r="AS1110" s="115"/>
      <c r="AT1110" s="115"/>
      <c r="AU1110" s="115"/>
      <c r="AV1110" s="122"/>
      <c r="AW1110" s="122"/>
      <c r="AX1110" s="122"/>
      <c r="AY1110" s="115"/>
      <c r="AZ1110" s="115"/>
      <c r="BA1110" s="115"/>
      <c r="BB1110" s="115"/>
      <c r="BC1110" s="115"/>
      <c r="BD1110" s="115"/>
      <c r="BE1110" s="115"/>
      <c r="BF1110" s="115"/>
      <c r="BG1110" s="115"/>
      <c r="BH1110" s="115"/>
      <c r="BI1110" s="115"/>
      <c r="BJ1110" s="115"/>
      <c r="BK1110" s="115"/>
      <c r="BL1110" s="115"/>
      <c r="BM1110" s="17"/>
      <c r="BN1110" s="13"/>
      <c r="BQ1110" s="114"/>
    </row>
    <row r="1111" spans="43:69" x14ac:dyDescent="0.4">
      <c r="AQ1111" s="115"/>
      <c r="AR1111" s="115"/>
      <c r="AS1111" s="115"/>
      <c r="AT1111" s="115"/>
      <c r="AU1111" s="115"/>
      <c r="AV1111" s="122"/>
      <c r="AW1111" s="122"/>
      <c r="AX1111" s="122"/>
      <c r="AY1111" s="115"/>
      <c r="AZ1111" s="115"/>
      <c r="BA1111" s="115"/>
      <c r="BB1111" s="115"/>
      <c r="BC1111" s="115"/>
      <c r="BD1111" s="115"/>
      <c r="BE1111" s="115"/>
      <c r="BF1111" s="115"/>
      <c r="BG1111" s="115"/>
      <c r="BH1111" s="115"/>
      <c r="BI1111" s="115"/>
      <c r="BJ1111" s="115"/>
      <c r="BK1111" s="115"/>
      <c r="BL1111" s="115"/>
      <c r="BM1111" s="17"/>
      <c r="BN1111" s="13"/>
      <c r="BQ1111" s="114"/>
    </row>
    <row r="1112" spans="43:69" x14ac:dyDescent="0.4">
      <c r="AQ1112" s="115"/>
      <c r="AR1112" s="115"/>
      <c r="AS1112" s="115"/>
      <c r="AT1112" s="115"/>
      <c r="AU1112" s="115"/>
      <c r="AV1112" s="122"/>
      <c r="AW1112" s="122"/>
      <c r="AX1112" s="122"/>
      <c r="AY1112" s="115"/>
      <c r="AZ1112" s="115"/>
      <c r="BA1112" s="115"/>
      <c r="BB1112" s="115"/>
      <c r="BC1112" s="115"/>
      <c r="BD1112" s="115"/>
      <c r="BE1112" s="115"/>
      <c r="BF1112" s="115"/>
      <c r="BG1112" s="115"/>
      <c r="BH1112" s="115"/>
      <c r="BI1112" s="115"/>
      <c r="BJ1112" s="115"/>
      <c r="BK1112" s="115"/>
      <c r="BL1112" s="115"/>
      <c r="BM1112" s="26"/>
      <c r="BN1112" s="13"/>
      <c r="BQ1112" s="114"/>
    </row>
    <row r="1113" spans="43:69" x14ac:dyDescent="0.4">
      <c r="AQ1113" s="115"/>
      <c r="AR1113" s="115"/>
      <c r="AS1113" s="115"/>
      <c r="AT1113" s="115"/>
      <c r="AU1113" s="115"/>
      <c r="AV1113" s="122"/>
      <c r="AW1113" s="122"/>
      <c r="AX1113" s="122"/>
      <c r="AY1113" s="115"/>
      <c r="AZ1113" s="115"/>
      <c r="BA1113" s="115"/>
      <c r="BB1113" s="115"/>
      <c r="BC1113" s="115"/>
      <c r="BD1113" s="115"/>
      <c r="BE1113" s="115"/>
      <c r="BF1113" s="115"/>
      <c r="BG1113" s="115"/>
      <c r="BH1113" s="115"/>
      <c r="BI1113" s="115"/>
      <c r="BJ1113" s="115"/>
      <c r="BK1113" s="115"/>
      <c r="BL1113" s="115"/>
      <c r="BM1113" s="17"/>
      <c r="BN1113" s="13"/>
      <c r="BQ1113" s="114"/>
    </row>
    <row r="1114" spans="43:69" x14ac:dyDescent="0.4">
      <c r="AQ1114" s="115"/>
      <c r="AR1114" s="115"/>
      <c r="AS1114" s="115"/>
      <c r="AT1114" s="115"/>
      <c r="AU1114" s="115"/>
      <c r="AV1114" s="122"/>
      <c r="AW1114" s="122"/>
      <c r="AX1114" s="122"/>
      <c r="AY1114" s="115"/>
      <c r="AZ1114" s="115"/>
      <c r="BA1114" s="115"/>
      <c r="BB1114" s="115"/>
      <c r="BC1114" s="115"/>
      <c r="BD1114" s="115"/>
      <c r="BE1114" s="115"/>
      <c r="BF1114" s="115"/>
      <c r="BG1114" s="115"/>
      <c r="BH1114" s="115"/>
      <c r="BI1114" s="115"/>
      <c r="BJ1114" s="115"/>
      <c r="BK1114" s="115"/>
      <c r="BL1114" s="115"/>
      <c r="BM1114" s="26"/>
      <c r="BN1114" s="13"/>
      <c r="BQ1114" s="114"/>
    </row>
    <row r="1115" spans="43:69" x14ac:dyDescent="0.4">
      <c r="AQ1115" s="115"/>
      <c r="AR1115" s="115"/>
      <c r="AS1115" s="115"/>
      <c r="AT1115" s="115"/>
      <c r="AU1115" s="115"/>
      <c r="AV1115" s="122"/>
      <c r="AW1115" s="122"/>
      <c r="AX1115" s="122"/>
      <c r="AY1115" s="115"/>
      <c r="AZ1115" s="115"/>
      <c r="BA1115" s="115"/>
      <c r="BB1115" s="115"/>
      <c r="BC1115" s="115"/>
      <c r="BD1115" s="115"/>
      <c r="BE1115" s="115"/>
      <c r="BF1115" s="115"/>
      <c r="BG1115" s="115"/>
      <c r="BH1115" s="115"/>
      <c r="BI1115" s="115"/>
      <c r="BJ1115" s="115"/>
      <c r="BK1115" s="115"/>
      <c r="BL1115" s="115"/>
      <c r="BM1115" s="17"/>
      <c r="BN1115" s="13"/>
      <c r="BQ1115" s="114"/>
    </row>
    <row r="1116" spans="43:69" x14ac:dyDescent="0.4">
      <c r="AQ1116" s="115"/>
      <c r="AR1116" s="115"/>
      <c r="AS1116" s="115"/>
      <c r="AT1116" s="115"/>
      <c r="AU1116" s="115"/>
      <c r="AV1116" s="122"/>
      <c r="AW1116" s="122"/>
      <c r="AX1116" s="122"/>
      <c r="AY1116" s="115"/>
      <c r="AZ1116" s="115"/>
      <c r="BA1116" s="115"/>
      <c r="BB1116" s="115"/>
      <c r="BC1116" s="115"/>
      <c r="BD1116" s="115"/>
      <c r="BE1116" s="115"/>
      <c r="BF1116" s="115"/>
      <c r="BG1116" s="115"/>
      <c r="BH1116" s="115"/>
      <c r="BI1116" s="115"/>
      <c r="BJ1116" s="115"/>
      <c r="BK1116" s="115"/>
      <c r="BL1116" s="115"/>
      <c r="BM1116" s="26"/>
      <c r="BN1116" s="25"/>
      <c r="BQ1116" s="114"/>
    </row>
    <row r="1117" spans="43:69" x14ac:dyDescent="0.4">
      <c r="AQ1117" s="115"/>
      <c r="AR1117" s="115"/>
      <c r="AS1117" s="115"/>
      <c r="AT1117" s="115"/>
      <c r="AU1117" s="115"/>
      <c r="AV1117" s="122"/>
      <c r="AW1117" s="122"/>
      <c r="AX1117" s="122"/>
      <c r="AY1117" s="115"/>
      <c r="AZ1117" s="115"/>
      <c r="BA1117" s="115"/>
      <c r="BB1117" s="115"/>
      <c r="BC1117" s="115"/>
      <c r="BD1117" s="115"/>
      <c r="BE1117" s="115"/>
      <c r="BF1117" s="115"/>
      <c r="BG1117" s="115"/>
      <c r="BH1117" s="115"/>
      <c r="BI1117" s="115"/>
      <c r="BJ1117" s="115"/>
      <c r="BK1117" s="115"/>
      <c r="BL1117" s="115"/>
      <c r="BM1117" s="17"/>
      <c r="BN1117" s="13"/>
      <c r="BQ1117" s="114"/>
    </row>
    <row r="1118" spans="43:69" x14ac:dyDescent="0.4">
      <c r="AQ1118" s="115"/>
      <c r="AR1118" s="115"/>
      <c r="AS1118" s="115"/>
      <c r="AT1118" s="115"/>
      <c r="AU1118" s="115"/>
      <c r="AV1118" s="122"/>
      <c r="AW1118" s="122"/>
      <c r="AX1118" s="122"/>
      <c r="AY1118" s="115"/>
      <c r="AZ1118" s="115"/>
      <c r="BA1118" s="115"/>
      <c r="BB1118" s="115"/>
      <c r="BC1118" s="115"/>
      <c r="BD1118" s="115"/>
      <c r="BE1118" s="115"/>
      <c r="BF1118" s="115"/>
      <c r="BG1118" s="115"/>
      <c r="BH1118" s="115"/>
      <c r="BI1118" s="115"/>
      <c r="BJ1118" s="115"/>
      <c r="BK1118" s="115"/>
      <c r="BL1118" s="115"/>
      <c r="BM1118" s="17"/>
      <c r="BN1118" s="13"/>
      <c r="BQ1118" s="114"/>
    </row>
    <row r="1119" spans="43:69" x14ac:dyDescent="0.4">
      <c r="AQ1119" s="115"/>
      <c r="AR1119" s="115"/>
      <c r="AS1119" s="115"/>
      <c r="AT1119" s="115"/>
      <c r="AU1119" s="115"/>
      <c r="AV1119" s="122"/>
      <c r="AW1119" s="122"/>
      <c r="AX1119" s="122"/>
      <c r="AY1119" s="115"/>
      <c r="AZ1119" s="115"/>
      <c r="BA1119" s="115"/>
      <c r="BB1119" s="115"/>
      <c r="BC1119" s="115"/>
      <c r="BD1119" s="115"/>
      <c r="BE1119" s="115"/>
      <c r="BF1119" s="115"/>
      <c r="BG1119" s="115"/>
      <c r="BH1119" s="115"/>
      <c r="BI1119" s="115"/>
      <c r="BJ1119" s="115"/>
      <c r="BK1119" s="115"/>
      <c r="BL1119" s="115"/>
      <c r="BM1119" s="26"/>
      <c r="BN1119" s="15"/>
      <c r="BQ1119" s="114"/>
    </row>
    <row r="1120" spans="43:69" x14ac:dyDescent="0.4">
      <c r="AQ1120" s="115"/>
      <c r="AR1120" s="115"/>
      <c r="AS1120" s="115"/>
      <c r="AT1120" s="115"/>
      <c r="AU1120" s="115"/>
      <c r="AV1120" s="122"/>
      <c r="AW1120" s="122"/>
      <c r="AX1120" s="122"/>
      <c r="AY1120" s="115"/>
      <c r="AZ1120" s="115"/>
      <c r="BA1120" s="115"/>
      <c r="BB1120" s="115"/>
      <c r="BC1120" s="115"/>
      <c r="BD1120" s="115"/>
      <c r="BE1120" s="115"/>
      <c r="BF1120" s="115"/>
      <c r="BG1120" s="115"/>
      <c r="BH1120" s="115"/>
      <c r="BI1120" s="115"/>
      <c r="BJ1120" s="115"/>
      <c r="BK1120" s="115"/>
      <c r="BL1120" s="115"/>
      <c r="BM1120" s="26"/>
      <c r="BN1120" s="15"/>
      <c r="BQ1120" s="114"/>
    </row>
    <row r="1121" spans="43:69" x14ac:dyDescent="0.4">
      <c r="AQ1121" s="115"/>
      <c r="AR1121" s="115"/>
      <c r="AS1121" s="115"/>
      <c r="AT1121" s="115"/>
      <c r="AU1121" s="115"/>
      <c r="AV1121" s="122"/>
      <c r="AW1121" s="122"/>
      <c r="AX1121" s="122"/>
      <c r="AY1121" s="115"/>
      <c r="AZ1121" s="115"/>
      <c r="BA1121" s="115"/>
      <c r="BB1121" s="115"/>
      <c r="BC1121" s="115"/>
      <c r="BD1121" s="115"/>
      <c r="BE1121" s="115"/>
      <c r="BF1121" s="115"/>
      <c r="BG1121" s="115"/>
      <c r="BH1121" s="115"/>
      <c r="BI1121" s="115"/>
      <c r="BJ1121" s="115"/>
      <c r="BK1121" s="115"/>
      <c r="BL1121" s="115"/>
      <c r="BM1121" s="26"/>
      <c r="BN1121" s="15"/>
      <c r="BQ1121" s="114"/>
    </row>
    <row r="1122" spans="43:69" x14ac:dyDescent="0.4">
      <c r="AQ1122" s="115"/>
      <c r="AR1122" s="115"/>
      <c r="AS1122" s="115"/>
      <c r="AT1122" s="115"/>
      <c r="AU1122" s="115"/>
      <c r="AV1122" s="122"/>
      <c r="AW1122" s="122"/>
      <c r="AX1122" s="122"/>
      <c r="AY1122" s="115"/>
      <c r="AZ1122" s="115"/>
      <c r="BA1122" s="115"/>
      <c r="BB1122" s="115"/>
      <c r="BC1122" s="115"/>
      <c r="BD1122" s="115"/>
      <c r="BE1122" s="115"/>
      <c r="BF1122" s="115"/>
      <c r="BG1122" s="115"/>
      <c r="BH1122" s="115"/>
      <c r="BI1122" s="115"/>
      <c r="BJ1122" s="115"/>
      <c r="BK1122" s="115"/>
      <c r="BL1122" s="115"/>
      <c r="BM1122" s="26"/>
      <c r="BN1122" s="15"/>
      <c r="BQ1122" s="114"/>
    </row>
    <row r="1123" spans="43:69" x14ac:dyDescent="0.4">
      <c r="AQ1123" s="115"/>
      <c r="AR1123" s="115"/>
      <c r="AS1123" s="115"/>
      <c r="AT1123" s="115"/>
      <c r="AU1123" s="115"/>
      <c r="AV1123" s="122"/>
      <c r="AW1123" s="122"/>
      <c r="AX1123" s="122"/>
      <c r="AY1123" s="115"/>
      <c r="AZ1123" s="115"/>
      <c r="BA1123" s="115"/>
      <c r="BB1123" s="115"/>
      <c r="BC1123" s="115"/>
      <c r="BD1123" s="115"/>
      <c r="BE1123" s="115"/>
      <c r="BF1123" s="115"/>
      <c r="BG1123" s="115"/>
      <c r="BH1123" s="115"/>
      <c r="BI1123" s="115"/>
      <c r="BJ1123" s="115"/>
      <c r="BK1123" s="115"/>
      <c r="BL1123" s="115"/>
      <c r="BM1123" s="26"/>
      <c r="BN1123" s="15"/>
      <c r="BQ1123" s="114"/>
    </row>
    <row r="1124" spans="43:69" x14ac:dyDescent="0.4">
      <c r="AQ1124" s="115"/>
      <c r="AR1124" s="115"/>
      <c r="AS1124" s="115"/>
      <c r="AT1124" s="115"/>
      <c r="AU1124" s="115"/>
      <c r="AV1124" s="122"/>
      <c r="AW1124" s="122"/>
      <c r="AX1124" s="122"/>
      <c r="AY1124" s="115"/>
      <c r="AZ1124" s="115"/>
      <c r="BA1124" s="115"/>
      <c r="BB1124" s="115"/>
      <c r="BC1124" s="115"/>
      <c r="BD1124" s="115"/>
      <c r="BE1124" s="115"/>
      <c r="BF1124" s="115"/>
      <c r="BG1124" s="115"/>
      <c r="BH1124" s="115"/>
      <c r="BI1124" s="115"/>
      <c r="BJ1124" s="115"/>
      <c r="BK1124" s="115"/>
      <c r="BL1124" s="115"/>
      <c r="BM1124" s="26"/>
      <c r="BN1124" s="15"/>
      <c r="BQ1124" s="114"/>
    </row>
    <row r="1125" spans="43:69" x14ac:dyDescent="0.4">
      <c r="AQ1125" s="115"/>
      <c r="AR1125" s="115"/>
      <c r="AS1125" s="115"/>
      <c r="AT1125" s="115"/>
      <c r="AU1125" s="115"/>
      <c r="AV1125" s="122"/>
      <c r="AW1125" s="122"/>
      <c r="AX1125" s="122"/>
      <c r="AY1125" s="115"/>
      <c r="AZ1125" s="115"/>
      <c r="BA1125" s="115"/>
      <c r="BB1125" s="115"/>
      <c r="BC1125" s="115"/>
      <c r="BD1125" s="115"/>
      <c r="BE1125" s="115"/>
      <c r="BF1125" s="115"/>
      <c r="BG1125" s="115"/>
      <c r="BH1125" s="115"/>
      <c r="BI1125" s="115"/>
      <c r="BJ1125" s="115"/>
      <c r="BK1125" s="115"/>
      <c r="BL1125" s="115"/>
      <c r="BM1125" s="26"/>
      <c r="BN1125" s="15"/>
      <c r="BQ1125" s="114"/>
    </row>
    <row r="1126" spans="43:69" x14ac:dyDescent="0.4">
      <c r="AQ1126" s="115"/>
      <c r="AR1126" s="115"/>
      <c r="AS1126" s="115"/>
      <c r="AT1126" s="115"/>
      <c r="AU1126" s="115"/>
      <c r="AV1126" s="122"/>
      <c r="AW1126" s="122"/>
      <c r="AX1126" s="122"/>
      <c r="AY1126" s="115"/>
      <c r="AZ1126" s="115"/>
      <c r="BA1126" s="115"/>
      <c r="BB1126" s="115"/>
      <c r="BC1126" s="115"/>
      <c r="BD1126" s="115"/>
      <c r="BE1126" s="115"/>
      <c r="BF1126" s="115"/>
      <c r="BG1126" s="115"/>
      <c r="BH1126" s="115"/>
      <c r="BI1126" s="115"/>
      <c r="BJ1126" s="115"/>
      <c r="BK1126" s="115"/>
      <c r="BL1126" s="115"/>
      <c r="BM1126" s="26"/>
      <c r="BN1126" s="15"/>
      <c r="BQ1126" s="114"/>
    </row>
    <row r="1127" spans="43:69" x14ac:dyDescent="0.4">
      <c r="AQ1127" s="115"/>
      <c r="AR1127" s="115"/>
      <c r="AS1127" s="115"/>
      <c r="AT1127" s="115"/>
      <c r="AU1127" s="115"/>
      <c r="AV1127" s="122"/>
      <c r="AW1127" s="122"/>
      <c r="AX1127" s="122"/>
      <c r="AY1127" s="115"/>
      <c r="AZ1127" s="115"/>
      <c r="BA1127" s="115"/>
      <c r="BB1127" s="115"/>
      <c r="BC1127" s="115"/>
      <c r="BD1127" s="115"/>
      <c r="BE1127" s="115"/>
      <c r="BF1127" s="115"/>
      <c r="BG1127" s="115"/>
      <c r="BH1127" s="115"/>
      <c r="BI1127" s="115"/>
      <c r="BJ1127" s="115"/>
      <c r="BK1127" s="115"/>
      <c r="BL1127" s="115"/>
      <c r="BM1127" s="17"/>
      <c r="BN1127" s="15"/>
      <c r="BQ1127" s="114"/>
    </row>
    <row r="1128" spans="43:69" x14ac:dyDescent="0.4">
      <c r="AQ1128" s="115"/>
      <c r="AR1128" s="115"/>
      <c r="AS1128" s="115"/>
      <c r="AT1128" s="115"/>
      <c r="AU1128" s="115"/>
      <c r="AV1128" s="122"/>
      <c r="AW1128" s="122"/>
      <c r="AX1128" s="122"/>
      <c r="AY1128" s="115"/>
      <c r="AZ1128" s="115"/>
      <c r="BA1128" s="115"/>
      <c r="BB1128" s="115"/>
      <c r="BC1128" s="115"/>
      <c r="BD1128" s="115"/>
      <c r="BE1128" s="115"/>
      <c r="BF1128" s="115"/>
      <c r="BG1128" s="115"/>
      <c r="BH1128" s="115"/>
      <c r="BI1128" s="115"/>
      <c r="BJ1128" s="115"/>
      <c r="BK1128" s="115"/>
      <c r="BL1128" s="115"/>
      <c r="BM1128" s="26"/>
      <c r="BN1128" s="15"/>
      <c r="BQ1128" s="114"/>
    </row>
    <row r="1129" spans="43:69" x14ac:dyDescent="0.4">
      <c r="AQ1129" s="115"/>
      <c r="AR1129" s="115"/>
      <c r="AS1129" s="115"/>
      <c r="AT1129" s="115"/>
      <c r="AU1129" s="115"/>
      <c r="AV1129" s="122"/>
      <c r="AW1129" s="122"/>
      <c r="AX1129" s="122"/>
      <c r="AY1129" s="115"/>
      <c r="AZ1129" s="115"/>
      <c r="BA1129" s="115"/>
      <c r="BB1129" s="115"/>
      <c r="BC1129" s="115"/>
      <c r="BD1129" s="115"/>
      <c r="BE1129" s="115"/>
      <c r="BF1129" s="115"/>
      <c r="BG1129" s="115"/>
      <c r="BH1129" s="115"/>
      <c r="BI1129" s="115"/>
      <c r="BJ1129" s="115"/>
      <c r="BK1129" s="115"/>
      <c r="BL1129" s="115"/>
      <c r="BM1129" s="26"/>
      <c r="BN1129" s="13"/>
      <c r="BQ1129" s="114"/>
    </row>
    <row r="1130" spans="43:69" x14ac:dyDescent="0.4">
      <c r="AQ1130" s="115"/>
      <c r="AR1130" s="115"/>
      <c r="AS1130" s="115"/>
      <c r="AT1130" s="115"/>
      <c r="AU1130" s="115"/>
      <c r="AV1130" s="122"/>
      <c r="AW1130" s="122"/>
      <c r="AX1130" s="122"/>
      <c r="AY1130" s="115"/>
      <c r="AZ1130" s="115"/>
      <c r="BA1130" s="115"/>
      <c r="BB1130" s="115"/>
      <c r="BC1130" s="115"/>
      <c r="BD1130" s="115"/>
      <c r="BE1130" s="115"/>
      <c r="BF1130" s="115"/>
      <c r="BG1130" s="115"/>
      <c r="BH1130" s="115"/>
      <c r="BI1130" s="115"/>
      <c r="BJ1130" s="115"/>
      <c r="BK1130" s="115"/>
      <c r="BL1130" s="115"/>
      <c r="BM1130" s="26"/>
      <c r="BN1130" s="13"/>
      <c r="BQ1130" s="114"/>
    </row>
    <row r="1131" spans="43:69" x14ac:dyDescent="0.4">
      <c r="AQ1131" s="115"/>
      <c r="AR1131" s="115"/>
      <c r="AS1131" s="115"/>
      <c r="AT1131" s="115"/>
      <c r="AU1131" s="115"/>
      <c r="AV1131" s="122"/>
      <c r="AW1131" s="122"/>
      <c r="AX1131" s="122"/>
      <c r="AY1131" s="115"/>
      <c r="AZ1131" s="115"/>
      <c r="BA1131" s="115"/>
      <c r="BB1131" s="115"/>
      <c r="BC1131" s="115"/>
      <c r="BD1131" s="115"/>
      <c r="BE1131" s="115"/>
      <c r="BF1131" s="115"/>
      <c r="BG1131" s="115"/>
      <c r="BH1131" s="115"/>
      <c r="BI1131" s="115"/>
      <c r="BJ1131" s="115"/>
      <c r="BK1131" s="115"/>
      <c r="BL1131" s="115"/>
      <c r="BM1131" s="26"/>
      <c r="BN1131" s="13"/>
      <c r="BQ1131" s="114"/>
    </row>
    <row r="1132" spans="43:69" x14ac:dyDescent="0.4">
      <c r="AQ1132" s="115"/>
      <c r="AR1132" s="115"/>
      <c r="AS1132" s="115"/>
      <c r="AT1132" s="115"/>
      <c r="AU1132" s="115"/>
      <c r="AV1132" s="122"/>
      <c r="AW1132" s="122"/>
      <c r="AX1132" s="122"/>
      <c r="AY1132" s="115"/>
      <c r="AZ1132" s="115"/>
      <c r="BA1132" s="115"/>
      <c r="BB1132" s="115"/>
      <c r="BC1132" s="115"/>
      <c r="BD1132" s="115"/>
      <c r="BE1132" s="115"/>
      <c r="BF1132" s="115"/>
      <c r="BG1132" s="115"/>
      <c r="BH1132" s="115"/>
      <c r="BI1132" s="115"/>
      <c r="BJ1132" s="115"/>
      <c r="BK1132" s="115"/>
      <c r="BL1132" s="115"/>
      <c r="BM1132" s="26"/>
      <c r="BN1132" s="13"/>
      <c r="BQ1132" s="114"/>
    </row>
    <row r="1133" spans="43:69" x14ac:dyDescent="0.4">
      <c r="AQ1133" s="115"/>
      <c r="AR1133" s="115"/>
      <c r="AS1133" s="115"/>
      <c r="AT1133" s="115"/>
      <c r="AU1133" s="115"/>
      <c r="AV1133" s="122"/>
      <c r="AW1133" s="122"/>
      <c r="AX1133" s="122"/>
      <c r="AY1133" s="115"/>
      <c r="AZ1133" s="115"/>
      <c r="BA1133" s="115"/>
      <c r="BB1133" s="115"/>
      <c r="BC1133" s="115"/>
      <c r="BD1133" s="115"/>
      <c r="BE1133" s="115"/>
      <c r="BF1133" s="115"/>
      <c r="BG1133" s="115"/>
      <c r="BH1133" s="115"/>
      <c r="BI1133" s="115"/>
      <c r="BJ1133" s="115"/>
      <c r="BK1133" s="115"/>
      <c r="BL1133" s="115"/>
      <c r="BM1133" s="26"/>
      <c r="BN1133" s="13"/>
      <c r="BQ1133" s="114"/>
    </row>
    <row r="1134" spans="43:69" x14ac:dyDescent="0.4">
      <c r="AQ1134" s="115"/>
      <c r="AR1134" s="115"/>
      <c r="AS1134" s="115"/>
      <c r="AT1134" s="115"/>
      <c r="AU1134" s="115"/>
      <c r="AV1134" s="122"/>
      <c r="AW1134" s="122"/>
      <c r="AX1134" s="122"/>
      <c r="AY1134" s="115"/>
      <c r="AZ1134" s="115"/>
      <c r="BA1134" s="115"/>
      <c r="BB1134" s="115"/>
      <c r="BC1134" s="115"/>
      <c r="BD1134" s="115"/>
      <c r="BE1134" s="115"/>
      <c r="BF1134" s="115"/>
      <c r="BG1134" s="115"/>
      <c r="BH1134" s="115"/>
      <c r="BI1134" s="115"/>
      <c r="BJ1134" s="115"/>
      <c r="BK1134" s="115"/>
      <c r="BL1134" s="115"/>
      <c r="BM1134" s="26"/>
      <c r="BN1134" s="13"/>
      <c r="BQ1134" s="114"/>
    </row>
    <row r="1135" spans="43:69" x14ac:dyDescent="0.4">
      <c r="AQ1135" s="115"/>
      <c r="AR1135" s="115"/>
      <c r="AS1135" s="115"/>
      <c r="AT1135" s="115"/>
      <c r="AU1135" s="115"/>
      <c r="AV1135" s="122"/>
      <c r="AW1135" s="122"/>
      <c r="AX1135" s="122"/>
      <c r="AY1135" s="115"/>
      <c r="AZ1135" s="115"/>
      <c r="BA1135" s="115"/>
      <c r="BB1135" s="115"/>
      <c r="BC1135" s="115"/>
      <c r="BD1135" s="115"/>
      <c r="BE1135" s="115"/>
      <c r="BF1135" s="115"/>
      <c r="BG1135" s="115"/>
      <c r="BH1135" s="115"/>
      <c r="BI1135" s="115"/>
      <c r="BJ1135" s="115"/>
      <c r="BK1135" s="115"/>
      <c r="BL1135" s="115"/>
      <c r="BM1135" s="26"/>
      <c r="BN1135" s="13"/>
      <c r="BQ1135" s="114"/>
    </row>
    <row r="1136" spans="43:69" x14ac:dyDescent="0.4">
      <c r="AQ1136" s="115"/>
      <c r="AR1136" s="115"/>
      <c r="AS1136" s="115"/>
      <c r="AT1136" s="115"/>
      <c r="AU1136" s="115"/>
      <c r="AV1136" s="122"/>
      <c r="AW1136" s="122"/>
      <c r="AX1136" s="122"/>
      <c r="AY1136" s="115"/>
      <c r="AZ1136" s="115"/>
      <c r="BA1136" s="115"/>
      <c r="BB1136" s="115"/>
      <c r="BC1136" s="115"/>
      <c r="BD1136" s="115"/>
      <c r="BE1136" s="115"/>
      <c r="BF1136" s="115"/>
      <c r="BG1136" s="115"/>
      <c r="BH1136" s="115"/>
      <c r="BI1136" s="115"/>
      <c r="BJ1136" s="115"/>
      <c r="BK1136" s="115"/>
      <c r="BL1136" s="115"/>
      <c r="BM1136" s="26"/>
      <c r="BN1136" s="13"/>
      <c r="BQ1136" s="114"/>
    </row>
    <row r="1137" spans="42:69" x14ac:dyDescent="0.4">
      <c r="AQ1137" s="115"/>
      <c r="AR1137" s="115"/>
      <c r="AS1137" s="115"/>
      <c r="AT1137" s="115"/>
      <c r="AU1137" s="115"/>
      <c r="AV1137" s="122"/>
      <c r="AW1137" s="122"/>
      <c r="AX1137" s="122"/>
      <c r="AY1137" s="115"/>
      <c r="AZ1137" s="115"/>
      <c r="BA1137" s="115"/>
      <c r="BB1137" s="115"/>
      <c r="BC1137" s="115"/>
      <c r="BD1137" s="115"/>
      <c r="BE1137" s="115"/>
      <c r="BF1137" s="115"/>
      <c r="BG1137" s="115"/>
      <c r="BH1137" s="115"/>
      <c r="BI1137" s="115"/>
      <c r="BJ1137" s="115"/>
      <c r="BK1137" s="115"/>
      <c r="BL1137" s="115"/>
      <c r="BM1137" s="26"/>
      <c r="BN1137" s="13"/>
      <c r="BQ1137" s="114"/>
    </row>
    <row r="1138" spans="42:69" x14ac:dyDescent="0.4">
      <c r="AQ1138" s="115"/>
      <c r="AR1138" s="115"/>
      <c r="AS1138" s="115"/>
      <c r="AT1138" s="115"/>
      <c r="AU1138" s="115"/>
      <c r="AV1138" s="122"/>
      <c r="AW1138" s="122"/>
      <c r="AX1138" s="122"/>
      <c r="AY1138" s="115"/>
      <c r="AZ1138" s="115"/>
      <c r="BA1138" s="115"/>
      <c r="BB1138" s="115"/>
      <c r="BC1138" s="115"/>
      <c r="BD1138" s="115"/>
      <c r="BE1138" s="115"/>
      <c r="BF1138" s="115"/>
      <c r="BG1138" s="115"/>
      <c r="BH1138" s="115"/>
      <c r="BI1138" s="115"/>
      <c r="BJ1138" s="115"/>
      <c r="BK1138" s="115"/>
      <c r="BL1138" s="115"/>
      <c r="BM1138" s="26"/>
      <c r="BN1138" s="13"/>
      <c r="BQ1138" s="114"/>
    </row>
    <row r="1139" spans="42:69" x14ac:dyDescent="0.4">
      <c r="AQ1139" s="115"/>
      <c r="AR1139" s="115"/>
      <c r="AS1139" s="115"/>
      <c r="AT1139" s="115"/>
      <c r="AU1139" s="115"/>
      <c r="AV1139" s="122"/>
      <c r="AW1139" s="122"/>
      <c r="AX1139" s="122"/>
      <c r="AY1139" s="115"/>
      <c r="AZ1139" s="115"/>
      <c r="BA1139" s="115"/>
      <c r="BB1139" s="115"/>
      <c r="BC1139" s="115"/>
      <c r="BD1139" s="115"/>
      <c r="BE1139" s="115"/>
      <c r="BF1139" s="115"/>
      <c r="BG1139" s="115"/>
      <c r="BH1139" s="115"/>
      <c r="BI1139" s="115"/>
      <c r="BJ1139" s="115"/>
      <c r="BK1139" s="115"/>
      <c r="BL1139" s="115"/>
      <c r="BM1139" s="26"/>
      <c r="BN1139" s="13"/>
      <c r="BQ1139" s="114"/>
    </row>
    <row r="1140" spans="42:69" x14ac:dyDescent="0.4">
      <c r="AQ1140" s="115"/>
      <c r="AR1140" s="115"/>
      <c r="AS1140" s="115"/>
      <c r="AT1140" s="115"/>
      <c r="AU1140" s="115"/>
      <c r="AV1140" s="122"/>
      <c r="AW1140" s="122"/>
      <c r="AX1140" s="122"/>
      <c r="AY1140" s="115"/>
      <c r="AZ1140" s="115"/>
      <c r="BA1140" s="115"/>
      <c r="BB1140" s="115"/>
      <c r="BC1140" s="115"/>
      <c r="BD1140" s="115"/>
      <c r="BE1140" s="115"/>
      <c r="BF1140" s="115"/>
      <c r="BG1140" s="115"/>
      <c r="BH1140" s="115"/>
      <c r="BI1140" s="115"/>
      <c r="BJ1140" s="115"/>
      <c r="BK1140" s="115"/>
      <c r="BL1140" s="115"/>
      <c r="BM1140" s="17"/>
      <c r="BN1140" s="13"/>
      <c r="BQ1140" s="114"/>
    </row>
    <row r="1141" spans="42:69" x14ac:dyDescent="0.4">
      <c r="AQ1141" s="115"/>
      <c r="AR1141" s="115"/>
      <c r="AS1141" s="115"/>
      <c r="AT1141" s="115"/>
      <c r="AU1141" s="115"/>
      <c r="AV1141" s="122"/>
      <c r="AW1141" s="122"/>
      <c r="AX1141" s="122"/>
      <c r="AY1141" s="115"/>
      <c r="AZ1141" s="115"/>
      <c r="BA1141" s="115"/>
      <c r="BB1141" s="115"/>
      <c r="BC1141" s="115"/>
      <c r="BD1141" s="115"/>
      <c r="BE1141" s="115"/>
      <c r="BF1141" s="115"/>
      <c r="BG1141" s="115"/>
      <c r="BH1141" s="115"/>
      <c r="BI1141" s="115"/>
      <c r="BJ1141" s="115"/>
      <c r="BK1141" s="115"/>
      <c r="BL1141" s="115"/>
      <c r="BM1141" s="26"/>
      <c r="BN1141" s="13"/>
      <c r="BQ1141" s="114"/>
    </row>
    <row r="1142" spans="42:69" x14ac:dyDescent="0.4">
      <c r="AQ1142" s="115"/>
      <c r="AR1142" s="115"/>
      <c r="AS1142" s="115"/>
      <c r="AT1142" s="115"/>
      <c r="AU1142" s="115"/>
      <c r="AV1142" s="122"/>
      <c r="AW1142" s="122"/>
      <c r="AX1142" s="122"/>
      <c r="AY1142" s="115"/>
      <c r="AZ1142" s="115"/>
      <c r="BA1142" s="115"/>
      <c r="BB1142" s="115"/>
      <c r="BC1142" s="115"/>
      <c r="BD1142" s="115"/>
      <c r="BE1142" s="115"/>
      <c r="BF1142" s="115"/>
      <c r="BG1142" s="115"/>
      <c r="BH1142" s="115"/>
      <c r="BI1142" s="115"/>
      <c r="BJ1142" s="115"/>
      <c r="BK1142" s="115"/>
      <c r="BL1142" s="115"/>
      <c r="BM1142" s="26"/>
      <c r="BN1142" s="13"/>
      <c r="BQ1142" s="114"/>
    </row>
    <row r="1143" spans="42:69" x14ac:dyDescent="0.4">
      <c r="AQ1143" s="115"/>
      <c r="AR1143" s="115"/>
      <c r="AS1143" s="115"/>
      <c r="AT1143" s="115"/>
      <c r="AU1143" s="115"/>
      <c r="AV1143" s="122"/>
      <c r="AW1143" s="122"/>
      <c r="AX1143" s="122"/>
      <c r="AY1143" s="115"/>
      <c r="AZ1143" s="115"/>
      <c r="BA1143" s="115"/>
      <c r="BB1143" s="115"/>
      <c r="BC1143" s="115"/>
      <c r="BD1143" s="115"/>
      <c r="BE1143" s="115"/>
      <c r="BF1143" s="115"/>
      <c r="BG1143" s="115"/>
      <c r="BH1143" s="115"/>
      <c r="BI1143" s="115"/>
      <c r="BJ1143" s="115"/>
      <c r="BK1143" s="115"/>
      <c r="BL1143" s="115"/>
      <c r="BM1143" s="26"/>
      <c r="BN1143" s="13"/>
      <c r="BQ1143" s="114"/>
    </row>
    <row r="1144" spans="42:69" x14ac:dyDescent="0.4">
      <c r="AQ1144" s="115"/>
      <c r="AR1144" s="115"/>
      <c r="AS1144" s="115"/>
      <c r="AT1144" s="115"/>
      <c r="AU1144" s="115"/>
      <c r="AV1144" s="122"/>
      <c r="AW1144" s="122"/>
      <c r="AX1144" s="122"/>
      <c r="AY1144" s="115"/>
      <c r="AZ1144" s="115"/>
      <c r="BA1144" s="115"/>
      <c r="BB1144" s="115"/>
      <c r="BC1144" s="115"/>
      <c r="BD1144" s="115"/>
      <c r="BE1144" s="115"/>
      <c r="BF1144" s="115"/>
      <c r="BG1144" s="115"/>
      <c r="BH1144" s="115"/>
      <c r="BI1144" s="115"/>
      <c r="BJ1144" s="115"/>
      <c r="BK1144" s="115"/>
      <c r="BL1144" s="115"/>
      <c r="BM1144" s="17"/>
      <c r="BN1144" s="13"/>
      <c r="BQ1144" s="114"/>
    </row>
    <row r="1145" spans="42:69" x14ac:dyDescent="0.4">
      <c r="AQ1145" s="115"/>
      <c r="AR1145" s="115"/>
      <c r="AS1145" s="115"/>
      <c r="AT1145" s="115"/>
      <c r="AU1145" s="115"/>
      <c r="AV1145" s="122"/>
      <c r="AW1145" s="122"/>
      <c r="AX1145" s="122"/>
      <c r="AY1145" s="115"/>
      <c r="AZ1145" s="115"/>
      <c r="BA1145" s="115"/>
      <c r="BB1145" s="115"/>
      <c r="BC1145" s="115"/>
      <c r="BD1145" s="115"/>
      <c r="BE1145" s="115"/>
      <c r="BF1145" s="115"/>
      <c r="BG1145" s="115"/>
      <c r="BH1145" s="115"/>
      <c r="BI1145" s="115"/>
      <c r="BJ1145" s="115"/>
      <c r="BK1145" s="115"/>
      <c r="BL1145" s="115"/>
      <c r="BM1145" s="26"/>
      <c r="BN1145" s="13"/>
      <c r="BQ1145" s="114"/>
    </row>
    <row r="1146" spans="42:69" x14ac:dyDescent="0.4">
      <c r="AQ1146" s="115"/>
      <c r="AR1146" s="115"/>
      <c r="AS1146" s="115"/>
      <c r="AT1146" s="115"/>
      <c r="AU1146" s="115"/>
      <c r="AV1146" s="122"/>
      <c r="AW1146" s="122"/>
      <c r="AX1146" s="122"/>
      <c r="AY1146" s="115"/>
      <c r="AZ1146" s="115"/>
      <c r="BA1146" s="115"/>
      <c r="BB1146" s="115"/>
      <c r="BC1146" s="115"/>
      <c r="BD1146" s="115"/>
      <c r="BE1146" s="115"/>
      <c r="BF1146" s="115"/>
      <c r="BG1146" s="115"/>
      <c r="BH1146" s="115"/>
      <c r="BI1146" s="115"/>
      <c r="BJ1146" s="115"/>
      <c r="BK1146" s="115"/>
      <c r="BL1146" s="115"/>
      <c r="BM1146" s="17"/>
      <c r="BN1146" s="13"/>
      <c r="BQ1146" s="114"/>
    </row>
    <row r="1147" spans="42:69" x14ac:dyDescent="0.4">
      <c r="AQ1147" s="115"/>
      <c r="AR1147" s="115"/>
      <c r="AS1147" s="115"/>
      <c r="AT1147" s="115"/>
      <c r="AU1147" s="115"/>
      <c r="AV1147" s="122"/>
      <c r="AW1147" s="122"/>
      <c r="AX1147" s="122"/>
      <c r="AY1147" s="115"/>
      <c r="AZ1147" s="115"/>
      <c r="BA1147" s="115"/>
      <c r="BB1147" s="115"/>
      <c r="BC1147" s="115"/>
      <c r="BD1147" s="115"/>
      <c r="BE1147" s="115"/>
      <c r="BF1147" s="115"/>
      <c r="BG1147" s="115"/>
      <c r="BH1147" s="115"/>
      <c r="BI1147" s="115"/>
      <c r="BJ1147" s="115"/>
      <c r="BK1147" s="115"/>
      <c r="BL1147" s="115"/>
      <c r="BM1147" s="26"/>
      <c r="BN1147" s="13"/>
      <c r="BQ1147" s="114"/>
    </row>
    <row r="1148" spans="42:69" x14ac:dyDescent="0.4">
      <c r="AQ1148" s="115"/>
      <c r="AR1148" s="115"/>
      <c r="AS1148" s="115"/>
      <c r="AT1148" s="115"/>
      <c r="AU1148" s="115"/>
      <c r="AV1148" s="122"/>
      <c r="AW1148" s="122"/>
      <c r="AX1148" s="122"/>
      <c r="AY1148" s="115"/>
      <c r="AZ1148" s="115"/>
      <c r="BA1148" s="115"/>
      <c r="BB1148" s="115"/>
      <c r="BC1148" s="115"/>
      <c r="BD1148" s="115"/>
      <c r="BE1148" s="115"/>
      <c r="BF1148" s="115"/>
      <c r="BG1148" s="115"/>
      <c r="BH1148" s="115"/>
      <c r="BI1148" s="115"/>
      <c r="BJ1148" s="115"/>
      <c r="BK1148" s="115"/>
      <c r="BL1148" s="115"/>
      <c r="BM1148" s="26"/>
      <c r="BN1148" s="15"/>
      <c r="BQ1148" s="114"/>
    </row>
    <row r="1149" spans="42:69" x14ac:dyDescent="0.4">
      <c r="AQ1149" s="115"/>
      <c r="AR1149" s="115"/>
      <c r="AS1149" s="115"/>
      <c r="AT1149" s="115"/>
      <c r="AU1149" s="115"/>
      <c r="AV1149" s="122"/>
      <c r="AW1149" s="122"/>
      <c r="AX1149" s="122"/>
      <c r="AY1149" s="115"/>
      <c r="AZ1149" s="115"/>
      <c r="BA1149" s="115"/>
      <c r="BB1149" s="115"/>
      <c r="BC1149" s="115"/>
      <c r="BD1149" s="115"/>
      <c r="BE1149" s="115"/>
      <c r="BF1149" s="115"/>
      <c r="BG1149" s="115"/>
      <c r="BH1149" s="115"/>
      <c r="BI1149" s="115"/>
      <c r="BJ1149" s="115"/>
      <c r="BK1149" s="115"/>
      <c r="BL1149" s="115"/>
      <c r="BM1149" s="17"/>
      <c r="BN1149" s="15"/>
      <c r="BQ1149" s="114"/>
    </row>
    <row r="1150" spans="42:69" x14ac:dyDescent="0.4">
      <c r="AQ1150" s="115"/>
      <c r="AR1150" s="115"/>
      <c r="AS1150" s="115"/>
      <c r="AT1150" s="115"/>
      <c r="AU1150" s="115"/>
      <c r="AV1150" s="122"/>
      <c r="AW1150" s="122"/>
      <c r="AX1150" s="122"/>
      <c r="AY1150" s="115"/>
      <c r="AZ1150" s="115"/>
      <c r="BA1150" s="115"/>
      <c r="BB1150" s="115"/>
      <c r="BC1150" s="115"/>
      <c r="BD1150" s="115"/>
      <c r="BE1150" s="115"/>
      <c r="BF1150" s="115"/>
      <c r="BG1150" s="115"/>
      <c r="BH1150" s="115"/>
      <c r="BI1150" s="115"/>
      <c r="BJ1150" s="115"/>
      <c r="BK1150" s="115"/>
      <c r="BL1150" s="115"/>
      <c r="BM1150" s="17"/>
      <c r="BN1150" s="15"/>
      <c r="BQ1150" s="114"/>
    </row>
    <row r="1151" spans="42:69" x14ac:dyDescent="0.4">
      <c r="AP1151" s="115"/>
      <c r="AQ1151" s="115"/>
      <c r="AR1151" s="115"/>
      <c r="AS1151" s="115"/>
      <c r="AT1151" s="115"/>
      <c r="AU1151" s="115"/>
      <c r="AV1151" s="122"/>
      <c r="AW1151" s="122"/>
      <c r="AX1151" s="122"/>
      <c r="AY1151" s="115"/>
      <c r="AZ1151" s="115"/>
      <c r="BA1151" s="115"/>
      <c r="BB1151" s="115"/>
      <c r="BC1151" s="115"/>
      <c r="BD1151" s="115"/>
      <c r="BE1151" s="115"/>
      <c r="BF1151" s="115"/>
      <c r="BG1151" s="115"/>
      <c r="BH1151" s="115"/>
      <c r="BI1151" s="115"/>
      <c r="BJ1151" s="115"/>
      <c r="BK1151" s="115"/>
      <c r="BL1151" s="115"/>
      <c r="BM1151" s="26"/>
      <c r="BN1151" s="15"/>
      <c r="BQ1151" s="114"/>
    </row>
    <row r="1152" spans="42:69" x14ac:dyDescent="0.4">
      <c r="AP1152" s="115"/>
      <c r="AQ1152" s="115"/>
      <c r="AR1152" s="115"/>
      <c r="AS1152" s="115"/>
      <c r="AT1152" s="115"/>
      <c r="AU1152" s="115"/>
      <c r="AV1152" s="122"/>
      <c r="AW1152" s="122"/>
      <c r="AX1152" s="122"/>
      <c r="AY1152" s="115"/>
      <c r="AZ1152" s="115"/>
      <c r="BA1152" s="115"/>
      <c r="BB1152" s="115"/>
      <c r="BC1152" s="115"/>
      <c r="BD1152" s="115"/>
      <c r="BE1152" s="115"/>
      <c r="BF1152" s="115"/>
      <c r="BG1152" s="115"/>
      <c r="BH1152" s="115"/>
      <c r="BI1152" s="115"/>
      <c r="BJ1152" s="115"/>
      <c r="BK1152" s="115"/>
      <c r="BL1152" s="115"/>
      <c r="BM1152" s="17"/>
      <c r="BN1152" s="15"/>
      <c r="BQ1152" s="114"/>
    </row>
    <row r="1153" spans="42:69" x14ac:dyDescent="0.4">
      <c r="AP1153" s="115"/>
      <c r="AQ1153" s="115"/>
      <c r="AR1153" s="115"/>
      <c r="AS1153" s="115"/>
      <c r="AT1153" s="115"/>
      <c r="AU1153" s="115"/>
      <c r="AV1153" s="122"/>
      <c r="AW1153" s="122"/>
      <c r="AX1153" s="122"/>
      <c r="AY1153" s="115"/>
      <c r="AZ1153" s="115"/>
      <c r="BA1153" s="115"/>
      <c r="BB1153" s="115"/>
      <c r="BC1153" s="115"/>
      <c r="BD1153" s="115"/>
      <c r="BE1153" s="115"/>
      <c r="BF1153" s="115"/>
      <c r="BG1153" s="115"/>
      <c r="BH1153" s="115"/>
      <c r="BI1153" s="115"/>
      <c r="BJ1153" s="115"/>
      <c r="BK1153" s="115"/>
      <c r="BL1153" s="115"/>
      <c r="BM1153" s="26"/>
      <c r="BN1153" s="15"/>
      <c r="BQ1153" s="114"/>
    </row>
    <row r="1154" spans="42:69" x14ac:dyDescent="0.4">
      <c r="AP1154" s="115"/>
      <c r="AQ1154" s="115"/>
      <c r="AR1154" s="115"/>
      <c r="AS1154" s="115"/>
      <c r="AT1154" s="115"/>
      <c r="AU1154" s="115"/>
      <c r="AV1154" s="122"/>
      <c r="AW1154" s="122"/>
      <c r="AX1154" s="122"/>
      <c r="AY1154" s="115"/>
      <c r="AZ1154" s="115"/>
      <c r="BA1154" s="115"/>
      <c r="BB1154" s="115"/>
      <c r="BC1154" s="115"/>
      <c r="BD1154" s="115"/>
      <c r="BE1154" s="115"/>
      <c r="BF1154" s="115"/>
      <c r="BG1154" s="115"/>
      <c r="BH1154" s="115"/>
      <c r="BI1154" s="115"/>
      <c r="BJ1154" s="115"/>
      <c r="BK1154" s="115"/>
      <c r="BL1154" s="115"/>
      <c r="BM1154" s="26"/>
      <c r="BN1154" s="15"/>
      <c r="BQ1154" s="114"/>
    </row>
    <row r="1155" spans="42:69" x14ac:dyDescent="0.4">
      <c r="AP1155" s="115"/>
      <c r="AQ1155" s="115"/>
      <c r="AR1155" s="115"/>
      <c r="AS1155" s="115"/>
      <c r="AT1155" s="115"/>
      <c r="AU1155" s="115"/>
      <c r="AV1155" s="122"/>
      <c r="AW1155" s="122"/>
      <c r="AX1155" s="122"/>
      <c r="AY1155" s="115"/>
      <c r="AZ1155" s="115"/>
      <c r="BA1155" s="115"/>
      <c r="BB1155" s="115"/>
      <c r="BC1155" s="115"/>
      <c r="BD1155" s="115"/>
      <c r="BE1155" s="115"/>
      <c r="BF1155" s="115"/>
      <c r="BG1155" s="115"/>
      <c r="BH1155" s="115"/>
      <c r="BI1155" s="115"/>
      <c r="BJ1155" s="115"/>
      <c r="BK1155" s="115"/>
      <c r="BL1155" s="115"/>
      <c r="BM1155" s="17"/>
      <c r="BN1155" s="15"/>
      <c r="BQ1155" s="114"/>
    </row>
    <row r="1156" spans="42:69" x14ac:dyDescent="0.4">
      <c r="AP1156" s="115"/>
      <c r="AQ1156" s="115"/>
      <c r="AR1156" s="115"/>
      <c r="AS1156" s="115"/>
      <c r="AT1156" s="115"/>
      <c r="AU1156" s="115"/>
      <c r="AV1156" s="122"/>
      <c r="AW1156" s="122"/>
      <c r="AX1156" s="122"/>
      <c r="AY1156" s="115"/>
      <c r="AZ1156" s="115"/>
      <c r="BA1156" s="115"/>
      <c r="BB1156" s="115"/>
      <c r="BC1156" s="115"/>
      <c r="BD1156" s="115"/>
      <c r="BE1156" s="115"/>
      <c r="BF1156" s="115"/>
      <c r="BG1156" s="115"/>
      <c r="BH1156" s="115"/>
      <c r="BI1156" s="115"/>
      <c r="BJ1156" s="115"/>
      <c r="BK1156" s="115"/>
      <c r="BL1156" s="115"/>
      <c r="BM1156" s="26"/>
      <c r="BN1156" s="15"/>
      <c r="BQ1156" s="114"/>
    </row>
    <row r="1157" spans="42:69" x14ac:dyDescent="0.4">
      <c r="AP1157" s="115"/>
      <c r="AQ1157" s="115"/>
      <c r="AR1157" s="115"/>
      <c r="AS1157" s="115"/>
      <c r="AT1157" s="115"/>
      <c r="AU1157" s="115"/>
      <c r="AV1157" s="122"/>
      <c r="AW1157" s="122"/>
      <c r="AX1157" s="122"/>
      <c r="AY1157" s="115"/>
      <c r="AZ1157" s="115"/>
      <c r="BA1157" s="115"/>
      <c r="BB1157" s="115"/>
      <c r="BC1157" s="115"/>
      <c r="BD1157" s="115"/>
      <c r="BE1157" s="115"/>
      <c r="BF1157" s="115"/>
      <c r="BG1157" s="115"/>
      <c r="BH1157" s="115"/>
      <c r="BI1157" s="115"/>
      <c r="BJ1157" s="115"/>
      <c r="BK1157" s="115"/>
      <c r="BL1157" s="115"/>
      <c r="BM1157" s="17"/>
      <c r="BN1157" s="15"/>
      <c r="BQ1157" s="114"/>
    </row>
    <row r="1158" spans="42:69" x14ac:dyDescent="0.4">
      <c r="AP1158" s="115"/>
      <c r="AQ1158" s="115"/>
      <c r="AR1158" s="115"/>
      <c r="AS1158" s="115"/>
      <c r="AT1158" s="115"/>
      <c r="AU1158" s="115"/>
      <c r="AV1158" s="122"/>
      <c r="AW1158" s="122"/>
      <c r="AX1158" s="122"/>
      <c r="AY1158" s="115"/>
      <c r="AZ1158" s="115"/>
      <c r="BA1158" s="115"/>
      <c r="BB1158" s="115"/>
      <c r="BC1158" s="115"/>
      <c r="BD1158" s="115"/>
      <c r="BE1158" s="115"/>
      <c r="BF1158" s="115"/>
      <c r="BG1158" s="115"/>
      <c r="BH1158" s="115"/>
      <c r="BI1158" s="115"/>
      <c r="BJ1158" s="115"/>
      <c r="BK1158" s="115"/>
      <c r="BL1158" s="115"/>
      <c r="BM1158" s="17"/>
      <c r="BN1158" s="15"/>
      <c r="BQ1158" s="114"/>
    </row>
    <row r="1159" spans="42:69" x14ac:dyDescent="0.4">
      <c r="AP1159" s="115"/>
      <c r="AQ1159" s="115"/>
      <c r="AR1159" s="115"/>
      <c r="AS1159" s="115"/>
      <c r="AT1159" s="115"/>
      <c r="AU1159" s="115"/>
      <c r="AV1159" s="122"/>
      <c r="AW1159" s="122"/>
      <c r="AX1159" s="122"/>
      <c r="AY1159" s="115"/>
      <c r="AZ1159" s="115"/>
      <c r="BA1159" s="115"/>
      <c r="BB1159" s="115"/>
      <c r="BC1159" s="115"/>
      <c r="BD1159" s="115"/>
      <c r="BE1159" s="115"/>
      <c r="BF1159" s="115"/>
      <c r="BG1159" s="115"/>
      <c r="BH1159" s="115"/>
      <c r="BI1159" s="115"/>
      <c r="BJ1159" s="115"/>
      <c r="BK1159" s="115"/>
      <c r="BL1159" s="115"/>
      <c r="BM1159" s="26"/>
      <c r="BN1159" s="15"/>
      <c r="BQ1159" s="114"/>
    </row>
    <row r="1160" spans="42:69" x14ac:dyDescent="0.4">
      <c r="AP1160" s="115"/>
      <c r="AQ1160" s="115"/>
      <c r="AR1160" s="115"/>
      <c r="AS1160" s="115"/>
      <c r="AT1160" s="115"/>
      <c r="AU1160" s="115"/>
      <c r="AV1160" s="122"/>
      <c r="AW1160" s="122"/>
      <c r="AX1160" s="122"/>
      <c r="AY1160" s="115"/>
      <c r="AZ1160" s="115"/>
      <c r="BA1160" s="115"/>
      <c r="BB1160" s="115"/>
      <c r="BC1160" s="115"/>
      <c r="BD1160" s="115"/>
      <c r="BE1160" s="115"/>
      <c r="BF1160" s="115"/>
      <c r="BG1160" s="115"/>
      <c r="BH1160" s="115"/>
      <c r="BI1160" s="115"/>
      <c r="BJ1160" s="115"/>
      <c r="BK1160" s="115"/>
      <c r="BL1160" s="115"/>
      <c r="BM1160" s="26"/>
      <c r="BN1160" s="15"/>
      <c r="BQ1160" s="114"/>
    </row>
    <row r="1161" spans="42:69" x14ac:dyDescent="0.4">
      <c r="AP1161" s="115"/>
      <c r="AQ1161" s="115"/>
      <c r="AR1161" s="115"/>
      <c r="AS1161" s="115"/>
      <c r="AT1161" s="115"/>
      <c r="AU1161" s="115"/>
      <c r="AV1161" s="122"/>
      <c r="AW1161" s="122"/>
      <c r="AX1161" s="122"/>
      <c r="AY1161" s="115"/>
      <c r="AZ1161" s="115"/>
      <c r="BA1161" s="115"/>
      <c r="BB1161" s="115"/>
      <c r="BC1161" s="115"/>
      <c r="BD1161" s="115"/>
      <c r="BE1161" s="115"/>
      <c r="BF1161" s="115"/>
      <c r="BG1161" s="115"/>
      <c r="BH1161" s="115"/>
      <c r="BI1161" s="115"/>
      <c r="BJ1161" s="115"/>
      <c r="BK1161" s="115"/>
      <c r="BL1161" s="115"/>
      <c r="BM1161" s="26"/>
      <c r="BN1161" s="15"/>
      <c r="BQ1161" s="114"/>
    </row>
    <row r="1162" spans="42:69" x14ac:dyDescent="0.4">
      <c r="AP1162" s="115"/>
      <c r="AQ1162" s="115"/>
      <c r="AR1162" s="115"/>
      <c r="AS1162" s="115"/>
      <c r="AT1162" s="115"/>
      <c r="AU1162" s="115"/>
      <c r="AV1162" s="122"/>
      <c r="AW1162" s="122"/>
      <c r="AX1162" s="122"/>
      <c r="AY1162" s="115"/>
      <c r="AZ1162" s="115"/>
      <c r="BA1162" s="115"/>
      <c r="BB1162" s="115"/>
      <c r="BC1162" s="115"/>
      <c r="BD1162" s="115"/>
      <c r="BE1162" s="115"/>
      <c r="BF1162" s="115"/>
      <c r="BG1162" s="115"/>
      <c r="BH1162" s="115"/>
      <c r="BI1162" s="115"/>
      <c r="BJ1162" s="115"/>
      <c r="BK1162" s="115"/>
      <c r="BL1162" s="115"/>
      <c r="BM1162" s="26"/>
      <c r="BN1162" s="15"/>
      <c r="BQ1162" s="114"/>
    </row>
    <row r="1163" spans="42:69" x14ac:dyDescent="0.4">
      <c r="AP1163" s="115"/>
      <c r="AQ1163" s="115"/>
      <c r="AR1163" s="115"/>
      <c r="AS1163" s="115"/>
      <c r="AT1163" s="115"/>
      <c r="AU1163" s="115"/>
      <c r="AV1163" s="122"/>
      <c r="AW1163" s="122"/>
      <c r="AX1163" s="122"/>
      <c r="AY1163" s="115"/>
      <c r="AZ1163" s="115"/>
      <c r="BA1163" s="115"/>
      <c r="BB1163" s="115"/>
      <c r="BC1163" s="115"/>
      <c r="BD1163" s="115"/>
      <c r="BE1163" s="115"/>
      <c r="BF1163" s="115"/>
      <c r="BG1163" s="115"/>
      <c r="BH1163" s="115"/>
      <c r="BI1163" s="115"/>
      <c r="BJ1163" s="115"/>
      <c r="BK1163" s="115"/>
      <c r="BL1163" s="115"/>
      <c r="BM1163" s="26"/>
      <c r="BN1163" s="15"/>
      <c r="BQ1163" s="114"/>
    </row>
    <row r="1164" spans="42:69" x14ac:dyDescent="0.4">
      <c r="AP1164" s="115"/>
      <c r="AQ1164" s="115"/>
      <c r="AR1164" s="115"/>
      <c r="AS1164" s="115"/>
      <c r="AT1164" s="115"/>
      <c r="AU1164" s="115"/>
      <c r="AV1164" s="122"/>
      <c r="AW1164" s="122"/>
      <c r="AX1164" s="122"/>
      <c r="AY1164" s="115"/>
      <c r="AZ1164" s="115"/>
      <c r="BA1164" s="115"/>
      <c r="BB1164" s="115"/>
      <c r="BC1164" s="115"/>
      <c r="BD1164" s="115"/>
      <c r="BE1164" s="115"/>
      <c r="BF1164" s="115"/>
      <c r="BG1164" s="115"/>
      <c r="BH1164" s="115"/>
      <c r="BI1164" s="115"/>
      <c r="BJ1164" s="115"/>
      <c r="BK1164" s="115"/>
      <c r="BL1164" s="115"/>
      <c r="BM1164" s="26"/>
      <c r="BN1164" s="15"/>
      <c r="BQ1164" s="114"/>
    </row>
    <row r="1165" spans="42:69" x14ac:dyDescent="0.4">
      <c r="AP1165" s="115"/>
      <c r="AQ1165" s="115"/>
      <c r="AR1165" s="115"/>
      <c r="AS1165" s="115"/>
      <c r="AT1165" s="115"/>
      <c r="AU1165" s="115"/>
      <c r="AV1165" s="122"/>
      <c r="AW1165" s="122"/>
      <c r="AX1165" s="122"/>
      <c r="AY1165" s="115"/>
      <c r="AZ1165" s="115"/>
      <c r="BA1165" s="115"/>
      <c r="BB1165" s="115"/>
      <c r="BC1165" s="115"/>
      <c r="BD1165" s="115"/>
      <c r="BE1165" s="115"/>
      <c r="BF1165" s="115"/>
      <c r="BG1165" s="115"/>
      <c r="BH1165" s="115"/>
      <c r="BI1165" s="115"/>
      <c r="BJ1165" s="115"/>
      <c r="BK1165" s="115"/>
      <c r="BL1165" s="115"/>
      <c r="BM1165" s="26"/>
      <c r="BN1165" s="15"/>
      <c r="BQ1165" s="114"/>
    </row>
    <row r="1166" spans="42:69" x14ac:dyDescent="0.4">
      <c r="AP1166" s="115"/>
      <c r="AQ1166" s="115"/>
      <c r="AR1166" s="115"/>
      <c r="AS1166" s="115"/>
      <c r="AT1166" s="115"/>
      <c r="AU1166" s="115"/>
      <c r="AV1166" s="122"/>
      <c r="AW1166" s="122"/>
      <c r="AX1166" s="122"/>
      <c r="AY1166" s="115"/>
      <c r="AZ1166" s="115"/>
      <c r="BA1166" s="115"/>
      <c r="BB1166" s="115"/>
      <c r="BC1166" s="115"/>
      <c r="BD1166" s="115"/>
      <c r="BE1166" s="115"/>
      <c r="BF1166" s="115"/>
      <c r="BG1166" s="115"/>
      <c r="BH1166" s="115"/>
      <c r="BI1166" s="115"/>
      <c r="BJ1166" s="115"/>
      <c r="BK1166" s="115"/>
      <c r="BL1166" s="115"/>
      <c r="BM1166" s="17"/>
      <c r="BN1166" s="15"/>
      <c r="BQ1166" s="114"/>
    </row>
    <row r="1167" spans="42:69" x14ac:dyDescent="0.4">
      <c r="AP1167" s="115"/>
      <c r="AQ1167" s="115"/>
      <c r="AR1167" s="115"/>
      <c r="AS1167" s="115"/>
      <c r="AT1167" s="115"/>
      <c r="AU1167" s="115"/>
      <c r="AV1167" s="122"/>
      <c r="AW1167" s="122"/>
      <c r="AX1167" s="122"/>
      <c r="AY1167" s="115"/>
      <c r="AZ1167" s="115"/>
      <c r="BA1167" s="115"/>
      <c r="BB1167" s="115"/>
      <c r="BC1167" s="115"/>
      <c r="BD1167" s="115"/>
      <c r="BE1167" s="115"/>
      <c r="BF1167" s="115"/>
      <c r="BG1167" s="115"/>
      <c r="BH1167" s="115"/>
      <c r="BI1167" s="115"/>
      <c r="BJ1167" s="115"/>
      <c r="BK1167" s="115"/>
      <c r="BL1167" s="115"/>
      <c r="BM1167" s="26"/>
      <c r="BN1167" s="15"/>
      <c r="BQ1167" s="114"/>
    </row>
    <row r="1168" spans="42:69" x14ac:dyDescent="0.4">
      <c r="AP1168" s="115"/>
      <c r="AQ1168" s="115"/>
      <c r="AR1168" s="115"/>
      <c r="AS1168" s="115"/>
      <c r="AT1168" s="115"/>
      <c r="AU1168" s="115"/>
      <c r="AV1168" s="122"/>
      <c r="AW1168" s="122"/>
      <c r="AX1168" s="122"/>
      <c r="AY1168" s="115"/>
      <c r="AZ1168" s="115"/>
      <c r="BA1168" s="115"/>
      <c r="BB1168" s="115"/>
      <c r="BC1168" s="115"/>
      <c r="BD1168" s="115"/>
      <c r="BE1168" s="115"/>
      <c r="BF1168" s="115"/>
      <c r="BG1168" s="115"/>
      <c r="BH1168" s="115"/>
      <c r="BI1168" s="115"/>
      <c r="BJ1168" s="115"/>
      <c r="BK1168" s="115"/>
      <c r="BL1168" s="115"/>
      <c r="BM1168" s="26"/>
      <c r="BN1168" s="15"/>
      <c r="BQ1168" s="114"/>
    </row>
    <row r="1169" spans="5:69" x14ac:dyDescent="0.4">
      <c r="AP1169" s="115"/>
      <c r="AQ1169" s="115"/>
      <c r="AR1169" s="115"/>
      <c r="AS1169" s="115"/>
      <c r="AT1169" s="115"/>
      <c r="AU1169" s="115"/>
      <c r="AV1169" s="122"/>
      <c r="AW1169" s="122"/>
      <c r="AX1169" s="122"/>
      <c r="AY1169" s="115"/>
      <c r="AZ1169" s="115"/>
      <c r="BA1169" s="115"/>
      <c r="BB1169" s="115"/>
      <c r="BC1169" s="115"/>
      <c r="BD1169" s="115"/>
      <c r="BE1169" s="115"/>
      <c r="BF1169" s="115"/>
      <c r="BG1169" s="115"/>
      <c r="BH1169" s="115"/>
      <c r="BI1169" s="115"/>
      <c r="BJ1169" s="115"/>
      <c r="BK1169" s="115"/>
      <c r="BL1169" s="115"/>
      <c r="BM1169" s="26"/>
      <c r="BN1169" s="15"/>
      <c r="BQ1169" s="114"/>
    </row>
    <row r="1170" spans="5:69" x14ac:dyDescent="0.4">
      <c r="AP1170" s="115"/>
      <c r="AQ1170" s="115"/>
      <c r="AR1170" s="115"/>
      <c r="AS1170" s="115"/>
      <c r="AT1170" s="115"/>
      <c r="AU1170" s="115"/>
      <c r="AV1170" s="122"/>
      <c r="AW1170" s="122"/>
      <c r="AX1170" s="122"/>
      <c r="AY1170" s="115"/>
      <c r="AZ1170" s="115"/>
      <c r="BA1170" s="115"/>
      <c r="BB1170" s="115"/>
      <c r="BC1170" s="115"/>
      <c r="BD1170" s="115"/>
      <c r="BE1170" s="115"/>
      <c r="BF1170" s="115"/>
      <c r="BG1170" s="115"/>
      <c r="BH1170" s="115"/>
      <c r="BI1170" s="115"/>
      <c r="BJ1170" s="115"/>
      <c r="BK1170" s="115"/>
      <c r="BL1170" s="115"/>
      <c r="BM1170" s="26"/>
      <c r="BN1170" s="13"/>
      <c r="BQ1170" s="114"/>
    </row>
    <row r="1171" spans="5:69" x14ac:dyDescent="0.4">
      <c r="AP1171" s="115"/>
      <c r="AQ1171" s="115"/>
      <c r="AR1171" s="115"/>
      <c r="AS1171" s="115"/>
      <c r="AT1171" s="115"/>
      <c r="AU1171" s="115"/>
      <c r="AV1171" s="122"/>
      <c r="AW1171" s="122"/>
      <c r="AX1171" s="122"/>
      <c r="AY1171" s="115"/>
      <c r="AZ1171" s="115"/>
      <c r="BA1171" s="115"/>
      <c r="BB1171" s="115"/>
      <c r="BC1171" s="115"/>
      <c r="BD1171" s="115"/>
      <c r="BE1171" s="115"/>
      <c r="BF1171" s="115"/>
      <c r="BG1171" s="115"/>
      <c r="BH1171" s="115"/>
      <c r="BI1171" s="115"/>
      <c r="BJ1171" s="115"/>
      <c r="BK1171" s="115"/>
      <c r="BL1171" s="115"/>
      <c r="BM1171" s="17"/>
      <c r="BN1171" s="13"/>
      <c r="BQ1171" s="114"/>
    </row>
    <row r="1172" spans="5:69" x14ac:dyDescent="0.4">
      <c r="AP1172" s="115"/>
      <c r="AQ1172" s="115"/>
      <c r="AR1172" s="115"/>
      <c r="AS1172" s="115"/>
      <c r="AT1172" s="115"/>
      <c r="AU1172" s="115"/>
      <c r="AV1172" s="122"/>
      <c r="AW1172" s="122"/>
      <c r="AX1172" s="122"/>
      <c r="AY1172" s="115"/>
      <c r="AZ1172" s="115"/>
      <c r="BA1172" s="115"/>
      <c r="BB1172" s="115"/>
      <c r="BC1172" s="115"/>
      <c r="BD1172" s="115"/>
      <c r="BE1172" s="115"/>
      <c r="BF1172" s="115"/>
      <c r="BG1172" s="115"/>
      <c r="BH1172" s="115"/>
      <c r="BI1172" s="115"/>
      <c r="BJ1172" s="115"/>
      <c r="BK1172" s="115"/>
      <c r="BL1172" s="115"/>
      <c r="BM1172" s="26"/>
      <c r="BN1172" s="13"/>
      <c r="BQ1172" s="114"/>
    </row>
    <row r="1173" spans="5:69" x14ac:dyDescent="0.4">
      <c r="AP1173" s="115"/>
      <c r="AQ1173" s="115"/>
      <c r="AR1173" s="115"/>
      <c r="AS1173" s="115"/>
      <c r="AT1173" s="115"/>
      <c r="AU1173" s="115"/>
      <c r="AV1173" s="122"/>
      <c r="AW1173" s="122"/>
      <c r="AX1173" s="122"/>
      <c r="AY1173" s="115"/>
      <c r="AZ1173" s="115"/>
      <c r="BA1173" s="115"/>
      <c r="BB1173" s="115"/>
      <c r="BC1173" s="115"/>
      <c r="BD1173" s="115"/>
      <c r="BE1173" s="115"/>
      <c r="BF1173" s="115"/>
      <c r="BG1173" s="115"/>
      <c r="BH1173" s="115"/>
      <c r="BI1173" s="115"/>
      <c r="BJ1173" s="115"/>
      <c r="BK1173" s="115"/>
      <c r="BL1173" s="115"/>
      <c r="BM1173" s="26"/>
      <c r="BN1173" s="13"/>
      <c r="BQ1173" s="114"/>
    </row>
    <row r="1174" spans="5:69" x14ac:dyDescent="0.4">
      <c r="AP1174" s="115"/>
      <c r="AQ1174" s="115"/>
      <c r="AR1174" s="115"/>
      <c r="AS1174" s="115"/>
      <c r="AT1174" s="115"/>
      <c r="AU1174" s="115"/>
      <c r="AV1174" s="122"/>
      <c r="AW1174" s="122"/>
      <c r="AX1174" s="122"/>
      <c r="AY1174" s="115"/>
      <c r="AZ1174" s="115"/>
      <c r="BA1174" s="115"/>
      <c r="BB1174" s="115"/>
      <c r="BC1174" s="115"/>
      <c r="BD1174" s="115"/>
      <c r="BE1174" s="115"/>
      <c r="BF1174" s="115"/>
      <c r="BG1174" s="115"/>
      <c r="BH1174" s="115"/>
      <c r="BI1174" s="115"/>
      <c r="BJ1174" s="115"/>
      <c r="BK1174" s="115"/>
      <c r="BL1174" s="115"/>
      <c r="BM1174" s="26"/>
      <c r="BN1174" s="13"/>
      <c r="BQ1174" s="114"/>
    </row>
    <row r="1175" spans="5:69" x14ac:dyDescent="0.4">
      <c r="AP1175" s="115"/>
      <c r="AQ1175" s="115"/>
      <c r="AR1175" s="115"/>
      <c r="AS1175" s="115"/>
      <c r="AT1175" s="115"/>
      <c r="AU1175" s="115"/>
      <c r="AV1175" s="122"/>
      <c r="AW1175" s="122"/>
      <c r="AX1175" s="122"/>
      <c r="AY1175" s="115"/>
      <c r="AZ1175" s="115"/>
      <c r="BA1175" s="115"/>
      <c r="BB1175" s="115"/>
      <c r="BC1175" s="115"/>
      <c r="BD1175" s="115"/>
      <c r="BE1175" s="115"/>
      <c r="BF1175" s="115"/>
      <c r="BG1175" s="115"/>
      <c r="BH1175" s="115"/>
      <c r="BI1175" s="115"/>
      <c r="BJ1175" s="115"/>
      <c r="BK1175" s="115"/>
      <c r="BL1175" s="115"/>
      <c r="BM1175" s="26"/>
      <c r="BN1175" s="13"/>
      <c r="BQ1175" s="114"/>
    </row>
    <row r="1176" spans="5:69" x14ac:dyDescent="0.4">
      <c r="AP1176" s="115"/>
      <c r="AQ1176" s="115"/>
      <c r="AR1176" s="115"/>
      <c r="AS1176" s="115"/>
      <c r="AT1176" s="115"/>
      <c r="AU1176" s="115"/>
      <c r="AV1176" s="122"/>
      <c r="AW1176" s="122"/>
      <c r="AX1176" s="122"/>
      <c r="AY1176" s="115"/>
      <c r="AZ1176" s="115"/>
      <c r="BA1176" s="115"/>
      <c r="BB1176" s="115"/>
      <c r="BC1176" s="115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26"/>
      <c r="BN1176" s="13"/>
      <c r="BQ1176" s="114"/>
    </row>
    <row r="1177" spans="5:69" x14ac:dyDescent="0.4">
      <c r="AP1177" s="115"/>
      <c r="AQ1177" s="115"/>
      <c r="AR1177" s="115"/>
      <c r="AS1177" s="115"/>
      <c r="AT1177" s="115"/>
      <c r="AU1177" s="115"/>
      <c r="AV1177" s="122"/>
      <c r="AW1177" s="122"/>
      <c r="AX1177" s="122"/>
      <c r="AY1177" s="115"/>
      <c r="AZ1177" s="115"/>
      <c r="BA1177" s="115"/>
      <c r="BB1177" s="115"/>
      <c r="BC1177" s="115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26"/>
      <c r="BN1177" s="13"/>
      <c r="BQ1177" s="114"/>
    </row>
    <row r="1178" spans="5:69" x14ac:dyDescent="0.4">
      <c r="AP1178" s="115"/>
      <c r="AQ1178" s="115"/>
      <c r="AR1178" s="115"/>
      <c r="AS1178" s="115"/>
      <c r="AT1178" s="115"/>
      <c r="AU1178" s="115"/>
      <c r="AV1178" s="122"/>
      <c r="AW1178" s="122"/>
      <c r="AX1178" s="122"/>
      <c r="AY1178" s="115"/>
      <c r="AZ1178" s="115"/>
      <c r="BA1178" s="115"/>
      <c r="BB1178" s="115"/>
      <c r="BC1178" s="115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7"/>
      <c r="BN1178" s="13"/>
      <c r="BQ1178" s="114"/>
    </row>
    <row r="1179" spans="5:69" x14ac:dyDescent="0.4">
      <c r="AP1179" s="115"/>
      <c r="AQ1179" s="115"/>
      <c r="AR1179" s="115"/>
      <c r="AS1179" s="115"/>
      <c r="AT1179" s="115"/>
      <c r="AU1179" s="115"/>
      <c r="AV1179" s="122"/>
      <c r="AW1179" s="122"/>
      <c r="AX1179" s="122"/>
      <c r="AY1179" s="115"/>
      <c r="AZ1179" s="115"/>
      <c r="BA1179" s="115"/>
      <c r="BB1179" s="115"/>
      <c r="BC1179" s="115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26"/>
      <c r="BN1179" s="13"/>
      <c r="BQ1179" s="114"/>
    </row>
    <row r="1180" spans="5:69" x14ac:dyDescent="0.4">
      <c r="AP1180" s="115"/>
      <c r="AQ1180" s="115"/>
      <c r="AR1180" s="115"/>
      <c r="AS1180" s="115"/>
      <c r="AT1180" s="115"/>
      <c r="AU1180" s="115"/>
      <c r="AV1180" s="122"/>
      <c r="AW1180" s="122"/>
      <c r="AX1180" s="122"/>
      <c r="AY1180" s="115"/>
      <c r="AZ1180" s="115"/>
      <c r="BA1180" s="115"/>
      <c r="BB1180" s="115"/>
      <c r="BC1180" s="115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26"/>
      <c r="BN1180" s="13"/>
      <c r="BQ1180" s="114"/>
    </row>
    <row r="1181" spans="5:69" x14ac:dyDescent="0.4"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115"/>
      <c r="AT1181" s="115"/>
      <c r="AU1181" s="115"/>
      <c r="AV1181" s="122"/>
      <c r="AW1181" s="122"/>
      <c r="AX1181" s="122"/>
      <c r="AY1181" s="115"/>
      <c r="AZ1181" s="115"/>
      <c r="BA1181" s="115"/>
      <c r="BB1181" s="115"/>
      <c r="BC1181" s="115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26"/>
      <c r="BN1181" s="13"/>
      <c r="BQ1181" s="114"/>
    </row>
    <row r="1182" spans="5:69" x14ac:dyDescent="0.4"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115"/>
      <c r="AT1182" s="115"/>
      <c r="AU1182" s="115"/>
      <c r="AV1182" s="122"/>
      <c r="AW1182" s="122"/>
      <c r="AX1182" s="122"/>
      <c r="AY1182" s="115"/>
      <c r="AZ1182" s="115"/>
      <c r="BA1182" s="115"/>
      <c r="BB1182" s="115"/>
      <c r="BC1182" s="115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26"/>
      <c r="BN1182" s="13"/>
      <c r="BQ1182" s="114"/>
    </row>
    <row r="1183" spans="5:69" x14ac:dyDescent="0.4"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22"/>
      <c r="AW1183" s="122"/>
      <c r="AX1183" s="122"/>
      <c r="AY1183" s="115"/>
      <c r="AZ1183" s="115"/>
      <c r="BA1183" s="115"/>
      <c r="BB1183" s="115"/>
      <c r="BC1183" s="115"/>
      <c r="BD1183" s="115"/>
      <c r="BE1183" s="115"/>
      <c r="BF1183" s="115"/>
      <c r="BG1183" s="115"/>
      <c r="BH1183" s="115"/>
      <c r="BI1183" s="115"/>
      <c r="BJ1183" s="115"/>
      <c r="BK1183" s="115"/>
      <c r="BL1183" s="115"/>
      <c r="BM1183" s="26"/>
      <c r="BN1183" s="13"/>
      <c r="BQ1183" s="114"/>
    </row>
    <row r="1184" spans="5:69" x14ac:dyDescent="0.4">
      <c r="E1184" s="115"/>
      <c r="F1184" s="115"/>
      <c r="G1184" s="115"/>
      <c r="H1184" s="115"/>
      <c r="I1184" s="115"/>
      <c r="J1184" s="115"/>
      <c r="K1184" s="115"/>
      <c r="L1184" s="115"/>
      <c r="M1184" s="115"/>
      <c r="N1184" s="115"/>
      <c r="O1184" s="115"/>
      <c r="P1184" s="115"/>
      <c r="Q1184" s="115"/>
      <c r="R1184" s="115"/>
      <c r="S1184" s="115"/>
      <c r="T1184" s="115"/>
      <c r="U1184" s="115"/>
      <c r="V1184" s="115"/>
      <c r="W1184" s="115"/>
      <c r="X1184" s="115"/>
      <c r="Y1184" s="115"/>
      <c r="Z1184" s="115"/>
      <c r="AA1184" s="115"/>
      <c r="AB1184" s="115"/>
      <c r="AC1184" s="115"/>
      <c r="AD1184" s="115"/>
      <c r="AE1184" s="115"/>
      <c r="AF1184" s="115"/>
      <c r="AG1184" s="115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22"/>
      <c r="AW1184" s="122"/>
      <c r="AX1184" s="122"/>
      <c r="AY1184" s="115"/>
      <c r="AZ1184" s="115"/>
      <c r="BA1184" s="115"/>
      <c r="BB1184" s="115"/>
      <c r="BC1184" s="115"/>
      <c r="BD1184" s="115"/>
      <c r="BE1184" s="115"/>
      <c r="BF1184" s="115"/>
      <c r="BG1184" s="115"/>
      <c r="BH1184" s="115"/>
      <c r="BI1184" s="115"/>
      <c r="BJ1184" s="115"/>
      <c r="BK1184" s="115"/>
      <c r="BL1184" s="115"/>
      <c r="BM1184" s="26"/>
      <c r="BN1184" s="13"/>
      <c r="BQ1184" s="114"/>
    </row>
    <row r="1185" spans="4:69" x14ac:dyDescent="0.4">
      <c r="E1185" s="115"/>
      <c r="F1185" s="115"/>
      <c r="G1185" s="115"/>
      <c r="H1185" s="115"/>
      <c r="I1185" s="115"/>
      <c r="J1185" s="115"/>
      <c r="K1185" s="115"/>
      <c r="L1185" s="115"/>
      <c r="M1185" s="115"/>
      <c r="N1185" s="115"/>
      <c r="O1185" s="115"/>
      <c r="P1185" s="115"/>
      <c r="Q1185" s="115"/>
      <c r="R1185" s="115"/>
      <c r="S1185" s="115"/>
      <c r="T1185" s="115"/>
      <c r="U1185" s="115"/>
      <c r="V1185" s="115"/>
      <c r="W1185" s="115"/>
      <c r="X1185" s="115"/>
      <c r="Y1185" s="115"/>
      <c r="Z1185" s="115"/>
      <c r="AA1185" s="115"/>
      <c r="AB1185" s="115"/>
      <c r="AC1185" s="115"/>
      <c r="AD1185" s="115"/>
      <c r="AE1185" s="115"/>
      <c r="AF1185" s="115"/>
      <c r="AG1185" s="115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22"/>
      <c r="AW1185" s="122"/>
      <c r="AX1185" s="122"/>
      <c r="AY1185" s="115"/>
      <c r="AZ1185" s="115"/>
      <c r="BA1185" s="115"/>
      <c r="BB1185" s="115"/>
      <c r="BC1185" s="115"/>
      <c r="BD1185" s="115"/>
      <c r="BE1185" s="115"/>
      <c r="BF1185" s="115"/>
      <c r="BG1185" s="115"/>
      <c r="BH1185" s="115"/>
      <c r="BI1185" s="115"/>
      <c r="BJ1185" s="115"/>
      <c r="BK1185" s="115"/>
      <c r="BL1185" s="115"/>
      <c r="BM1185" s="26"/>
      <c r="BN1185" s="13"/>
      <c r="BQ1185" s="114"/>
    </row>
    <row r="1186" spans="4:69" x14ac:dyDescent="0.4"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22"/>
      <c r="AW1186" s="122"/>
      <c r="AX1186" s="122"/>
      <c r="AY1186" s="115"/>
      <c r="AZ1186" s="115"/>
      <c r="BA1186" s="115"/>
      <c r="BB1186" s="115"/>
      <c r="BC1186" s="115"/>
      <c r="BD1186" s="115"/>
      <c r="BE1186" s="115"/>
      <c r="BF1186" s="115"/>
      <c r="BG1186" s="115"/>
      <c r="BH1186" s="115"/>
      <c r="BI1186" s="115"/>
      <c r="BJ1186" s="115"/>
      <c r="BK1186" s="115"/>
      <c r="BL1186" s="115"/>
      <c r="BM1186" s="26"/>
      <c r="BN1186" s="13"/>
      <c r="BQ1186" s="114"/>
    </row>
    <row r="1187" spans="4:69" x14ac:dyDescent="0.4"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122"/>
      <c r="AW1187" s="122"/>
      <c r="AX1187" s="122"/>
      <c r="AY1187" s="115"/>
      <c r="AZ1187" s="115"/>
      <c r="BA1187" s="115"/>
      <c r="BB1187" s="115"/>
      <c r="BC1187" s="115"/>
      <c r="BD1187" s="115"/>
      <c r="BE1187" s="115"/>
      <c r="BF1187" s="115"/>
      <c r="BG1187" s="115"/>
      <c r="BH1187" s="115"/>
      <c r="BI1187" s="115"/>
      <c r="BJ1187" s="115"/>
      <c r="BK1187" s="115"/>
      <c r="BL1187" s="115"/>
      <c r="BM1187" s="26"/>
      <c r="BN1187" s="13"/>
      <c r="BQ1187" s="114"/>
    </row>
    <row r="1188" spans="4:69" x14ac:dyDescent="0.4"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22"/>
      <c r="AW1188" s="122"/>
      <c r="AX1188" s="122"/>
      <c r="AY1188" s="115"/>
      <c r="AZ1188" s="115"/>
      <c r="BA1188" s="115"/>
      <c r="BB1188" s="115"/>
      <c r="BC1188" s="115"/>
      <c r="BD1188" s="115"/>
      <c r="BE1188" s="115"/>
      <c r="BF1188" s="115"/>
      <c r="BG1188" s="115"/>
      <c r="BH1188" s="115"/>
      <c r="BI1188" s="115"/>
      <c r="BJ1188" s="115"/>
      <c r="BK1188" s="115"/>
      <c r="BL1188" s="115"/>
      <c r="BM1188" s="26"/>
      <c r="BN1188" s="13"/>
      <c r="BQ1188" s="114"/>
    </row>
    <row r="1189" spans="4:69" x14ac:dyDescent="0.4"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15"/>
      <c r="AS1189" s="115"/>
      <c r="AT1189" s="115"/>
      <c r="AU1189" s="115"/>
      <c r="AV1189" s="122"/>
      <c r="AW1189" s="122"/>
      <c r="AX1189" s="122"/>
      <c r="AY1189" s="115"/>
      <c r="AZ1189" s="115"/>
      <c r="BA1189" s="115"/>
      <c r="BB1189" s="115"/>
      <c r="BC1189" s="115"/>
      <c r="BD1189" s="115"/>
      <c r="BE1189" s="115"/>
      <c r="BF1189" s="115"/>
      <c r="BG1189" s="115"/>
      <c r="BH1189" s="115"/>
      <c r="BI1189" s="115"/>
      <c r="BJ1189" s="115"/>
      <c r="BK1189" s="115"/>
      <c r="BL1189" s="115"/>
      <c r="BM1189" s="26"/>
      <c r="BN1189" s="13"/>
      <c r="BQ1189" s="114"/>
    </row>
    <row r="1190" spans="4:69" x14ac:dyDescent="0.4"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122"/>
      <c r="AW1190" s="122"/>
      <c r="AX1190" s="122"/>
      <c r="AY1190" s="115"/>
      <c r="AZ1190" s="115"/>
      <c r="BA1190" s="115"/>
      <c r="BB1190" s="115"/>
      <c r="BC1190" s="115"/>
      <c r="BD1190" s="115"/>
      <c r="BE1190" s="115"/>
      <c r="BF1190" s="115"/>
      <c r="BG1190" s="115"/>
      <c r="BH1190" s="115"/>
      <c r="BI1190" s="115"/>
      <c r="BJ1190" s="115"/>
      <c r="BK1190" s="115"/>
      <c r="BL1190" s="115"/>
      <c r="BM1190" s="26"/>
      <c r="BN1190" s="13"/>
      <c r="BQ1190" s="114"/>
    </row>
    <row r="1191" spans="4:69" x14ac:dyDescent="0.4"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115"/>
      <c r="AT1191" s="115"/>
      <c r="AU1191" s="115"/>
      <c r="AV1191" s="122"/>
      <c r="AW1191" s="122"/>
      <c r="AX1191" s="122"/>
      <c r="AY1191" s="115"/>
      <c r="AZ1191" s="115"/>
      <c r="BA1191" s="115"/>
      <c r="BB1191" s="115"/>
      <c r="BC1191" s="115"/>
      <c r="BD1191" s="115"/>
      <c r="BE1191" s="115"/>
      <c r="BF1191" s="115"/>
      <c r="BG1191" s="115"/>
      <c r="BH1191" s="115"/>
      <c r="BI1191" s="115"/>
      <c r="BJ1191" s="115"/>
      <c r="BK1191" s="115"/>
      <c r="BL1191" s="115"/>
      <c r="BM1191" s="26"/>
      <c r="BN1191" s="13"/>
      <c r="BQ1191" s="114"/>
    </row>
    <row r="1192" spans="4:69" x14ac:dyDescent="0.4"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22"/>
      <c r="AW1192" s="122"/>
      <c r="AX1192" s="122"/>
      <c r="AY1192" s="115"/>
      <c r="AZ1192" s="115"/>
      <c r="BA1192" s="115"/>
      <c r="BB1192" s="115"/>
      <c r="BC1192" s="115"/>
      <c r="BD1192" s="115"/>
      <c r="BE1192" s="115"/>
      <c r="BF1192" s="115"/>
      <c r="BG1192" s="115"/>
      <c r="BH1192" s="115"/>
      <c r="BI1192" s="115"/>
      <c r="BJ1192" s="115"/>
      <c r="BK1192" s="115"/>
      <c r="BL1192" s="115"/>
      <c r="BM1192" s="26"/>
      <c r="BN1192" s="13"/>
      <c r="BQ1192" s="114"/>
    </row>
    <row r="1193" spans="4:69" x14ac:dyDescent="0.4"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22"/>
      <c r="AW1193" s="122"/>
      <c r="AX1193" s="122"/>
      <c r="AY1193" s="115"/>
      <c r="AZ1193" s="115"/>
      <c r="BA1193" s="115"/>
      <c r="BB1193" s="115"/>
      <c r="BC1193" s="115"/>
      <c r="BD1193" s="115"/>
      <c r="BE1193" s="115"/>
      <c r="BF1193" s="115"/>
      <c r="BG1193" s="115"/>
      <c r="BH1193" s="115"/>
      <c r="BI1193" s="115"/>
      <c r="BJ1193" s="115"/>
      <c r="BK1193" s="115"/>
      <c r="BL1193" s="115"/>
      <c r="BM1193" s="26"/>
      <c r="BN1193" s="13"/>
      <c r="BQ1193" s="114"/>
    </row>
    <row r="1194" spans="4:69" x14ac:dyDescent="0.4"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22"/>
      <c r="AW1194" s="122"/>
      <c r="AX1194" s="122"/>
      <c r="AY1194" s="115"/>
      <c r="AZ1194" s="115"/>
      <c r="BA1194" s="115"/>
      <c r="BB1194" s="115"/>
      <c r="BC1194" s="115"/>
      <c r="BD1194" s="115"/>
      <c r="BE1194" s="115"/>
      <c r="BF1194" s="115"/>
      <c r="BG1194" s="115"/>
      <c r="BH1194" s="115"/>
      <c r="BI1194" s="115"/>
      <c r="BJ1194" s="115"/>
      <c r="BK1194" s="115"/>
      <c r="BL1194" s="115"/>
      <c r="BM1194" s="26"/>
      <c r="BN1194" s="13"/>
      <c r="BQ1194" s="114"/>
    </row>
    <row r="1195" spans="4:69" x14ac:dyDescent="0.4"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22"/>
      <c r="AW1195" s="122"/>
      <c r="AX1195" s="122"/>
      <c r="AY1195" s="115"/>
      <c r="AZ1195" s="115"/>
      <c r="BA1195" s="115"/>
      <c r="BB1195" s="115"/>
      <c r="BC1195" s="115"/>
      <c r="BD1195" s="115"/>
      <c r="BE1195" s="115"/>
      <c r="BF1195" s="115"/>
      <c r="BG1195" s="115"/>
      <c r="BH1195" s="115"/>
      <c r="BI1195" s="115"/>
      <c r="BJ1195" s="115"/>
      <c r="BK1195" s="115"/>
      <c r="BL1195" s="115"/>
      <c r="BM1195" s="26"/>
      <c r="BN1195" s="13"/>
      <c r="BQ1195" s="114"/>
    </row>
    <row r="1196" spans="4:69" x14ac:dyDescent="0.4"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115"/>
      <c r="AV1196" s="122"/>
      <c r="AW1196" s="122"/>
      <c r="AX1196" s="122"/>
      <c r="AY1196" s="115"/>
      <c r="AZ1196" s="115"/>
      <c r="BA1196" s="115"/>
      <c r="BB1196" s="115"/>
      <c r="BC1196" s="115"/>
      <c r="BD1196" s="115"/>
      <c r="BE1196" s="115"/>
      <c r="BF1196" s="115"/>
      <c r="BG1196" s="115"/>
      <c r="BH1196" s="115"/>
      <c r="BI1196" s="115"/>
      <c r="BJ1196" s="115"/>
      <c r="BK1196" s="115"/>
      <c r="BL1196" s="115"/>
      <c r="BM1196" s="26"/>
      <c r="BN1196" s="13"/>
      <c r="BQ1196" s="114"/>
    </row>
    <row r="1197" spans="4:69" x14ac:dyDescent="0.4"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115"/>
      <c r="AU1197" s="115"/>
      <c r="AV1197" s="122"/>
      <c r="AW1197" s="122"/>
      <c r="AX1197" s="122"/>
      <c r="AY1197" s="115"/>
      <c r="AZ1197" s="115"/>
      <c r="BA1197" s="115"/>
      <c r="BB1197" s="115"/>
      <c r="BC1197" s="115"/>
      <c r="BD1197" s="115"/>
      <c r="BE1197" s="115"/>
      <c r="BF1197" s="115"/>
      <c r="BG1197" s="115"/>
      <c r="BH1197" s="115"/>
      <c r="BI1197" s="115"/>
      <c r="BJ1197" s="115"/>
      <c r="BK1197" s="115"/>
      <c r="BL1197" s="115"/>
      <c r="BM1197" s="17"/>
      <c r="BN1197" s="13"/>
      <c r="BQ1197" s="114"/>
    </row>
    <row r="1198" spans="4:69" x14ac:dyDescent="0.4"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115"/>
      <c r="AT1198" s="115"/>
      <c r="AU1198" s="115"/>
      <c r="AV1198" s="122"/>
      <c r="AW1198" s="122"/>
      <c r="AX1198" s="122"/>
      <c r="AY1198" s="115"/>
      <c r="AZ1198" s="115"/>
      <c r="BA1198" s="115"/>
      <c r="BB1198" s="115"/>
      <c r="BC1198" s="115"/>
      <c r="BD1198" s="115"/>
      <c r="BE1198" s="115"/>
      <c r="BF1198" s="115"/>
      <c r="BG1198" s="115"/>
      <c r="BH1198" s="115"/>
      <c r="BI1198" s="115"/>
      <c r="BJ1198" s="115"/>
      <c r="BK1198" s="115"/>
      <c r="BL1198" s="115"/>
      <c r="BM1198" s="26"/>
      <c r="BN1198" s="13"/>
      <c r="BQ1198" s="114"/>
    </row>
    <row r="1199" spans="4:69" x14ac:dyDescent="0.4"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115"/>
      <c r="AU1199" s="115"/>
      <c r="AV1199" s="122"/>
      <c r="AW1199" s="122"/>
      <c r="AX1199" s="122"/>
      <c r="AY1199" s="115"/>
      <c r="AZ1199" s="115"/>
      <c r="BA1199" s="115"/>
      <c r="BB1199" s="115"/>
      <c r="BC1199" s="115"/>
      <c r="BD1199" s="115"/>
      <c r="BE1199" s="115"/>
      <c r="BF1199" s="115"/>
      <c r="BG1199" s="115"/>
      <c r="BH1199" s="115"/>
      <c r="BI1199" s="115"/>
      <c r="BJ1199" s="115"/>
      <c r="BK1199" s="115"/>
      <c r="BL1199" s="115"/>
      <c r="BM1199" s="26"/>
      <c r="BN1199" s="13"/>
      <c r="BQ1199" s="114"/>
    </row>
    <row r="1200" spans="4:69" x14ac:dyDescent="0.4"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15"/>
      <c r="AS1200" s="115"/>
      <c r="AT1200" s="115"/>
      <c r="AU1200" s="115"/>
      <c r="AV1200" s="122"/>
      <c r="AW1200" s="122"/>
      <c r="AX1200" s="122"/>
      <c r="AY1200" s="115"/>
      <c r="AZ1200" s="115"/>
      <c r="BA1200" s="115"/>
      <c r="BB1200" s="115"/>
      <c r="BC1200" s="115"/>
      <c r="BD1200" s="115"/>
      <c r="BE1200" s="115"/>
      <c r="BF1200" s="115"/>
      <c r="BG1200" s="115"/>
      <c r="BH1200" s="115"/>
      <c r="BI1200" s="115"/>
      <c r="BJ1200" s="115"/>
      <c r="BK1200" s="115"/>
      <c r="BL1200" s="115"/>
      <c r="BM1200" s="26"/>
      <c r="BN1200" s="13"/>
      <c r="BQ1200" s="114"/>
    </row>
    <row r="1201" spans="3:69" x14ac:dyDescent="0.4"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115"/>
      <c r="AV1201" s="122"/>
      <c r="AW1201" s="122"/>
      <c r="AX1201" s="122"/>
      <c r="AY1201" s="115"/>
      <c r="AZ1201" s="115"/>
      <c r="BA1201" s="115"/>
      <c r="BB1201" s="115"/>
      <c r="BC1201" s="115"/>
      <c r="BD1201" s="115"/>
      <c r="BE1201" s="115"/>
      <c r="BF1201" s="115"/>
      <c r="BG1201" s="115"/>
      <c r="BH1201" s="115"/>
      <c r="BI1201" s="115"/>
      <c r="BJ1201" s="115"/>
      <c r="BK1201" s="115"/>
      <c r="BL1201" s="115"/>
      <c r="BM1201" s="26"/>
      <c r="BN1201" s="15"/>
      <c r="BQ1201" s="114"/>
    </row>
    <row r="1202" spans="3:69" x14ac:dyDescent="0.4"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22"/>
      <c r="AW1202" s="122"/>
      <c r="AX1202" s="122"/>
      <c r="AY1202" s="115"/>
      <c r="AZ1202" s="115"/>
      <c r="BA1202" s="115"/>
      <c r="BB1202" s="115"/>
      <c r="BC1202" s="115"/>
      <c r="BD1202" s="115"/>
      <c r="BE1202" s="115"/>
      <c r="BF1202" s="115"/>
      <c r="BG1202" s="115"/>
      <c r="BH1202" s="115"/>
      <c r="BI1202" s="115"/>
      <c r="BJ1202" s="115"/>
      <c r="BK1202" s="115"/>
      <c r="BL1202" s="115"/>
      <c r="BM1202" s="26"/>
      <c r="BN1202" s="15"/>
      <c r="BQ1202" s="114"/>
    </row>
    <row r="1203" spans="3:69" x14ac:dyDescent="0.4"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22"/>
      <c r="AW1203" s="122"/>
      <c r="AX1203" s="122"/>
      <c r="AY1203" s="115"/>
      <c r="AZ1203" s="115"/>
      <c r="BA1203" s="115"/>
      <c r="BB1203" s="115"/>
      <c r="BC1203" s="115"/>
      <c r="BD1203" s="115"/>
      <c r="BE1203" s="115"/>
      <c r="BF1203" s="115"/>
      <c r="BG1203" s="115"/>
      <c r="BH1203" s="115"/>
      <c r="BI1203" s="115"/>
      <c r="BJ1203" s="115"/>
      <c r="BK1203" s="115"/>
      <c r="BL1203" s="115"/>
      <c r="BM1203" s="26"/>
      <c r="BN1203" s="15"/>
      <c r="BQ1203" s="114"/>
    </row>
    <row r="1204" spans="3:69" x14ac:dyDescent="0.4"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22"/>
      <c r="AW1204" s="122"/>
      <c r="AX1204" s="122"/>
      <c r="AY1204" s="115"/>
      <c r="AZ1204" s="115"/>
      <c r="BA1204" s="115"/>
      <c r="BB1204" s="115"/>
      <c r="BC1204" s="115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26"/>
      <c r="BN1204" s="13"/>
      <c r="BQ1204" s="114"/>
    </row>
    <row r="1205" spans="3:69" x14ac:dyDescent="0.4"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22"/>
      <c r="AW1205" s="122"/>
      <c r="AX1205" s="122"/>
      <c r="AY1205" s="115"/>
      <c r="AZ1205" s="115"/>
      <c r="BA1205" s="115"/>
      <c r="BB1205" s="115"/>
      <c r="BC1205" s="115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26"/>
      <c r="BN1205" s="13"/>
      <c r="BQ1205" s="114"/>
    </row>
    <row r="1206" spans="3:69" x14ac:dyDescent="0.4"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22"/>
      <c r="AW1206" s="122"/>
      <c r="AX1206" s="122"/>
      <c r="AY1206" s="115"/>
      <c r="AZ1206" s="115"/>
      <c r="BA1206" s="115"/>
      <c r="BB1206" s="115"/>
      <c r="BC1206" s="115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26"/>
      <c r="BN1206" s="13"/>
      <c r="BQ1206" s="114"/>
    </row>
    <row r="1207" spans="3:69" x14ac:dyDescent="0.4"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22"/>
      <c r="AW1207" s="122"/>
      <c r="AX1207" s="122"/>
      <c r="AY1207" s="115"/>
      <c r="AZ1207" s="115"/>
      <c r="BA1207" s="115"/>
      <c r="BB1207" s="115"/>
      <c r="BC1207" s="115"/>
      <c r="BD1207" s="115"/>
      <c r="BE1207" s="115"/>
      <c r="BF1207" s="115"/>
      <c r="BG1207" s="115"/>
      <c r="BH1207" s="115"/>
      <c r="BI1207" s="115"/>
      <c r="BJ1207" s="115"/>
      <c r="BK1207" s="115"/>
      <c r="BL1207" s="115"/>
      <c r="BM1207" s="17"/>
      <c r="BN1207" s="13"/>
      <c r="BQ1207" s="114"/>
    </row>
    <row r="1208" spans="3:69" x14ac:dyDescent="0.4"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22"/>
      <c r="AW1208" s="122"/>
      <c r="AX1208" s="122"/>
      <c r="AY1208" s="115"/>
      <c r="AZ1208" s="115"/>
      <c r="BA1208" s="115"/>
      <c r="BB1208" s="115"/>
      <c r="BC1208" s="115"/>
      <c r="BD1208" s="115"/>
      <c r="BE1208" s="115"/>
      <c r="BF1208" s="115"/>
      <c r="BG1208" s="115"/>
      <c r="BH1208" s="115"/>
      <c r="BI1208" s="115"/>
      <c r="BJ1208" s="115"/>
      <c r="BK1208" s="115"/>
      <c r="BL1208" s="115"/>
      <c r="BM1208" s="26"/>
      <c r="BN1208" s="13"/>
      <c r="BQ1208" s="114"/>
    </row>
    <row r="1209" spans="3:69" x14ac:dyDescent="0.4"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15"/>
      <c r="AQ1209" s="115"/>
      <c r="AR1209" s="115"/>
      <c r="AS1209" s="115"/>
      <c r="AT1209" s="115"/>
      <c r="AU1209" s="115"/>
      <c r="AV1209" s="122"/>
      <c r="AW1209" s="122"/>
      <c r="AX1209" s="122"/>
      <c r="AY1209" s="115"/>
      <c r="AZ1209" s="115"/>
      <c r="BA1209" s="115"/>
      <c r="BB1209" s="115"/>
      <c r="BC1209" s="115"/>
      <c r="BD1209" s="115"/>
      <c r="BE1209" s="115"/>
      <c r="BF1209" s="115"/>
      <c r="BG1209" s="115"/>
      <c r="BH1209" s="115"/>
      <c r="BI1209" s="115"/>
      <c r="BJ1209" s="115"/>
      <c r="BK1209" s="115"/>
      <c r="BL1209" s="115"/>
      <c r="BM1209" s="26"/>
      <c r="BN1209" s="25"/>
      <c r="BQ1209" s="114"/>
    </row>
    <row r="1210" spans="3:69" x14ac:dyDescent="0.4"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22"/>
      <c r="AW1210" s="122"/>
      <c r="AX1210" s="122"/>
      <c r="AY1210" s="115"/>
      <c r="AZ1210" s="115"/>
      <c r="BA1210" s="115"/>
      <c r="BB1210" s="115"/>
      <c r="BC1210" s="115"/>
      <c r="BD1210" s="115"/>
      <c r="BE1210" s="115"/>
      <c r="BF1210" s="115"/>
      <c r="BG1210" s="115"/>
      <c r="BH1210" s="115"/>
      <c r="BI1210" s="115"/>
      <c r="BJ1210" s="115"/>
      <c r="BK1210" s="115"/>
      <c r="BL1210" s="115"/>
      <c r="BM1210" s="26"/>
      <c r="BN1210" s="13"/>
      <c r="BQ1210" s="114"/>
    </row>
    <row r="1211" spans="3:69" x14ac:dyDescent="0.4"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15"/>
      <c r="AT1211" s="115"/>
      <c r="AU1211" s="115"/>
      <c r="AV1211" s="122"/>
      <c r="AW1211" s="122"/>
      <c r="AX1211" s="122"/>
      <c r="AY1211" s="115"/>
      <c r="AZ1211" s="115"/>
      <c r="BA1211" s="115"/>
      <c r="BB1211" s="115"/>
      <c r="BC1211" s="115"/>
      <c r="BD1211" s="115"/>
      <c r="BE1211" s="115"/>
      <c r="BF1211" s="115"/>
      <c r="BG1211" s="115"/>
      <c r="BH1211" s="115"/>
      <c r="BI1211" s="115"/>
      <c r="BJ1211" s="115"/>
      <c r="BK1211" s="115"/>
      <c r="BL1211" s="115"/>
      <c r="BM1211" s="26"/>
      <c r="BN1211" s="13"/>
      <c r="BQ1211" s="114"/>
    </row>
    <row r="1212" spans="3:69" x14ac:dyDescent="0.4"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122"/>
      <c r="AW1212" s="122"/>
      <c r="AX1212" s="122"/>
      <c r="AY1212" s="115"/>
      <c r="AZ1212" s="115"/>
      <c r="BA1212" s="115"/>
      <c r="BB1212" s="115"/>
      <c r="BC1212" s="115"/>
      <c r="BD1212" s="115"/>
      <c r="BE1212" s="115"/>
      <c r="BF1212" s="115"/>
      <c r="BG1212" s="115"/>
      <c r="BH1212" s="115"/>
      <c r="BI1212" s="115"/>
      <c r="BJ1212" s="115"/>
      <c r="BK1212" s="115"/>
      <c r="BL1212" s="115"/>
      <c r="BM1212" s="26"/>
      <c r="BN1212" s="13"/>
      <c r="BQ1212" s="114"/>
    </row>
    <row r="1213" spans="3:69" x14ac:dyDescent="0.4"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15"/>
      <c r="AS1213" s="115"/>
      <c r="AT1213" s="115"/>
      <c r="AU1213" s="115"/>
      <c r="AV1213" s="122"/>
      <c r="AW1213" s="122"/>
      <c r="AX1213" s="122"/>
      <c r="AY1213" s="115"/>
      <c r="AZ1213" s="115"/>
      <c r="BA1213" s="115"/>
      <c r="BB1213" s="115"/>
      <c r="BC1213" s="115"/>
      <c r="BD1213" s="115"/>
      <c r="BE1213" s="115"/>
      <c r="BF1213" s="115"/>
      <c r="BG1213" s="115"/>
      <c r="BH1213" s="115"/>
      <c r="BI1213" s="115"/>
      <c r="BJ1213" s="115"/>
      <c r="BK1213" s="115"/>
      <c r="BL1213" s="115"/>
      <c r="BM1213" s="26"/>
      <c r="BN1213" s="13"/>
      <c r="BQ1213" s="114"/>
    </row>
    <row r="1214" spans="3:69" x14ac:dyDescent="0.4"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22"/>
      <c r="AW1214" s="122"/>
      <c r="AX1214" s="122"/>
      <c r="AY1214" s="115"/>
      <c r="AZ1214" s="115"/>
      <c r="BA1214" s="115"/>
      <c r="BB1214" s="115"/>
      <c r="BM1214" s="26"/>
      <c r="BN1214" s="13"/>
      <c r="BQ1214" s="114"/>
    </row>
    <row r="1215" spans="3:69" x14ac:dyDescent="0.4"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22"/>
      <c r="AW1215" s="122"/>
      <c r="AX1215" s="122"/>
      <c r="AY1215" s="115"/>
      <c r="AZ1215" s="115"/>
      <c r="BA1215" s="115"/>
      <c r="BB1215" s="115"/>
      <c r="BC1215" s="115"/>
      <c r="BD1215" s="115"/>
      <c r="BE1215" s="115"/>
      <c r="BF1215" s="115"/>
      <c r="BG1215" s="115"/>
      <c r="BH1215" s="115"/>
      <c r="BI1215" s="115"/>
      <c r="BJ1215" s="115"/>
      <c r="BK1215" s="115"/>
      <c r="BL1215" s="115"/>
      <c r="BM1215" s="26"/>
      <c r="BN1215" s="13"/>
      <c r="BQ1215" s="114"/>
    </row>
    <row r="1216" spans="3:69" x14ac:dyDescent="0.4"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22"/>
      <c r="AW1216" s="122"/>
      <c r="AX1216" s="122"/>
      <c r="AY1216" s="115"/>
      <c r="AZ1216" s="115"/>
      <c r="BA1216" s="115"/>
      <c r="BB1216" s="115"/>
      <c r="BC1216" s="115"/>
      <c r="BD1216" s="115"/>
      <c r="BE1216" s="115"/>
      <c r="BF1216" s="115"/>
      <c r="BG1216" s="115"/>
      <c r="BH1216" s="115"/>
      <c r="BI1216" s="115"/>
      <c r="BJ1216" s="115"/>
      <c r="BK1216" s="115"/>
      <c r="BL1216" s="115"/>
      <c r="BM1216" s="17"/>
      <c r="BN1216" s="13"/>
      <c r="BQ1216" s="114"/>
    </row>
    <row r="1217" spans="1:69" x14ac:dyDescent="0.4"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122"/>
      <c r="AW1217" s="122"/>
      <c r="AX1217" s="122"/>
      <c r="AY1217" s="115"/>
      <c r="AZ1217" s="115"/>
      <c r="BA1217" s="115"/>
      <c r="BB1217" s="115"/>
      <c r="BC1217" s="115"/>
      <c r="BD1217" s="115"/>
      <c r="BE1217" s="115"/>
      <c r="BF1217" s="115"/>
      <c r="BG1217" s="115"/>
      <c r="BH1217" s="115"/>
      <c r="BI1217" s="115"/>
      <c r="BJ1217" s="115"/>
      <c r="BK1217" s="115"/>
      <c r="BL1217" s="115"/>
      <c r="BM1217" s="26"/>
      <c r="BN1217" s="13"/>
      <c r="BQ1217" s="114"/>
    </row>
    <row r="1218" spans="1:69" x14ac:dyDescent="0.4"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22"/>
      <c r="AW1218" s="122"/>
      <c r="AX1218" s="122"/>
      <c r="AY1218" s="115"/>
      <c r="AZ1218" s="115"/>
      <c r="BA1218" s="115"/>
      <c r="BB1218" s="115"/>
      <c r="BC1218" s="115"/>
      <c r="BD1218" s="115"/>
      <c r="BE1218" s="115"/>
      <c r="BF1218" s="115"/>
      <c r="BG1218" s="115"/>
      <c r="BH1218" s="115"/>
      <c r="BI1218" s="115"/>
      <c r="BJ1218" s="115"/>
      <c r="BK1218" s="115"/>
      <c r="BL1218" s="115"/>
      <c r="BM1218" s="26"/>
      <c r="BN1218" s="15"/>
      <c r="BQ1218" s="114"/>
    </row>
    <row r="1219" spans="1:69" x14ac:dyDescent="0.4"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115"/>
      <c r="AV1219" s="122"/>
      <c r="AW1219" s="122"/>
      <c r="AX1219" s="122"/>
      <c r="AY1219" s="115"/>
      <c r="AZ1219" s="115"/>
      <c r="BA1219" s="115"/>
      <c r="BB1219" s="115"/>
      <c r="BC1219" s="115"/>
      <c r="BD1219" s="115"/>
      <c r="BE1219" s="115"/>
      <c r="BF1219" s="115"/>
      <c r="BG1219" s="115"/>
      <c r="BH1219" s="115"/>
      <c r="BI1219" s="115"/>
      <c r="BJ1219" s="115"/>
      <c r="BK1219" s="115"/>
      <c r="BL1219" s="115"/>
      <c r="BM1219" s="17"/>
      <c r="BN1219" s="15"/>
      <c r="BQ1219" s="114"/>
    </row>
    <row r="1220" spans="1:69" x14ac:dyDescent="0.4"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122"/>
      <c r="AW1220" s="122"/>
      <c r="AX1220" s="122"/>
      <c r="AY1220" s="115"/>
      <c r="AZ1220" s="115"/>
      <c r="BA1220" s="115"/>
      <c r="BB1220" s="115"/>
      <c r="BC1220" s="115"/>
      <c r="BD1220" s="115"/>
      <c r="BE1220" s="115"/>
      <c r="BF1220" s="115"/>
      <c r="BG1220" s="115"/>
      <c r="BH1220" s="115"/>
      <c r="BI1220" s="115"/>
      <c r="BJ1220" s="115"/>
      <c r="BK1220" s="115"/>
      <c r="BL1220" s="115"/>
      <c r="BM1220" s="26"/>
      <c r="BN1220" s="15"/>
      <c r="BQ1220" s="114"/>
    </row>
    <row r="1221" spans="1:69" x14ac:dyDescent="0.4">
      <c r="A1221" s="115"/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22"/>
      <c r="AW1221" s="122"/>
      <c r="AX1221" s="122"/>
      <c r="AY1221" s="115"/>
      <c r="AZ1221" s="115"/>
      <c r="BA1221" s="115"/>
      <c r="BB1221" s="115"/>
      <c r="BC1221" s="115"/>
      <c r="BD1221" s="115"/>
      <c r="BE1221" s="115"/>
      <c r="BF1221" s="115"/>
      <c r="BG1221" s="115"/>
      <c r="BH1221" s="115"/>
      <c r="BI1221" s="115"/>
      <c r="BJ1221" s="115"/>
      <c r="BK1221" s="115"/>
      <c r="BL1221" s="115"/>
      <c r="BM1221" s="26"/>
      <c r="BN1221" s="15"/>
      <c r="BQ1221" s="114"/>
    </row>
    <row r="1222" spans="1:69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22"/>
      <c r="AW1222" s="122"/>
      <c r="AX1222" s="122"/>
      <c r="AY1222" s="115"/>
      <c r="AZ1222" s="115"/>
      <c r="BA1222" s="115"/>
      <c r="BB1222" s="115"/>
      <c r="BC1222" s="115"/>
      <c r="BD1222" s="115"/>
      <c r="BE1222" s="115"/>
      <c r="BF1222" s="115"/>
      <c r="BG1222" s="115"/>
      <c r="BH1222" s="115"/>
      <c r="BI1222" s="115"/>
      <c r="BJ1222" s="115"/>
      <c r="BK1222" s="115"/>
      <c r="BL1222" s="115"/>
      <c r="BM1222" s="17"/>
      <c r="BN1222" s="13"/>
      <c r="BQ1222" s="114"/>
    </row>
    <row r="1223" spans="1:69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22"/>
      <c r="AW1223" s="122"/>
      <c r="AX1223" s="122"/>
      <c r="AY1223" s="115"/>
      <c r="AZ1223" s="115"/>
      <c r="BA1223" s="115"/>
      <c r="BB1223" s="115"/>
      <c r="BC1223" s="115"/>
      <c r="BD1223" s="115"/>
      <c r="BE1223" s="115"/>
      <c r="BF1223" s="115"/>
      <c r="BG1223" s="115"/>
      <c r="BH1223" s="115"/>
      <c r="BI1223" s="115"/>
      <c r="BJ1223" s="115"/>
      <c r="BK1223" s="115"/>
      <c r="BL1223" s="115"/>
      <c r="BM1223" s="17"/>
      <c r="BN1223" s="13"/>
      <c r="BQ1223" s="114"/>
    </row>
    <row r="1224" spans="1:69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122"/>
      <c r="AW1224" s="122"/>
      <c r="AX1224" s="122"/>
      <c r="AY1224" s="115"/>
      <c r="AZ1224" s="115"/>
      <c r="BA1224" s="115"/>
      <c r="BB1224" s="115"/>
      <c r="BC1224" s="115"/>
      <c r="BD1224" s="115"/>
      <c r="BE1224" s="115"/>
      <c r="BF1224" s="115"/>
      <c r="BG1224" s="115"/>
      <c r="BH1224" s="115"/>
      <c r="BI1224" s="115"/>
      <c r="BJ1224" s="115"/>
      <c r="BK1224" s="115"/>
      <c r="BL1224" s="115"/>
      <c r="BM1224" s="26"/>
      <c r="BN1224" s="13"/>
      <c r="BQ1224" s="114"/>
    </row>
    <row r="1225" spans="1:69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22"/>
      <c r="AW1225" s="122"/>
      <c r="AX1225" s="122"/>
      <c r="AY1225" s="115"/>
      <c r="AZ1225" s="115"/>
      <c r="BA1225" s="115"/>
      <c r="BB1225" s="115"/>
      <c r="BC1225" s="115"/>
      <c r="BD1225" s="115"/>
      <c r="BE1225" s="115"/>
      <c r="BF1225" s="115"/>
      <c r="BG1225" s="115"/>
      <c r="BH1225" s="115"/>
      <c r="BI1225" s="115"/>
      <c r="BJ1225" s="115"/>
      <c r="BK1225" s="115"/>
      <c r="BL1225" s="115"/>
      <c r="BM1225" s="26"/>
      <c r="BN1225" s="13"/>
      <c r="BQ1225" s="114"/>
    </row>
    <row r="1226" spans="1:69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22"/>
      <c r="AW1226" s="122"/>
      <c r="AX1226" s="122"/>
      <c r="AY1226" s="115"/>
      <c r="AZ1226" s="115"/>
      <c r="BA1226" s="115"/>
      <c r="BB1226" s="115"/>
      <c r="BC1226" s="115"/>
      <c r="BD1226" s="115"/>
      <c r="BE1226" s="115"/>
      <c r="BF1226" s="115"/>
      <c r="BG1226" s="115"/>
      <c r="BH1226" s="115"/>
      <c r="BI1226" s="115"/>
      <c r="BJ1226" s="115"/>
      <c r="BK1226" s="115"/>
      <c r="BL1226" s="115"/>
      <c r="BM1226" s="17"/>
      <c r="BN1226" s="13"/>
      <c r="BQ1226" s="114"/>
    </row>
    <row r="1227" spans="1:69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22"/>
      <c r="AW1227" s="122"/>
      <c r="AX1227" s="122"/>
      <c r="AY1227" s="115"/>
      <c r="AZ1227" s="115"/>
      <c r="BA1227" s="115"/>
      <c r="BB1227" s="115"/>
      <c r="BC1227" s="115"/>
      <c r="BD1227" s="115"/>
      <c r="BE1227" s="115"/>
      <c r="BF1227" s="115"/>
      <c r="BG1227" s="115"/>
      <c r="BH1227" s="115"/>
      <c r="BI1227" s="115"/>
      <c r="BJ1227" s="115"/>
      <c r="BK1227" s="115"/>
      <c r="BL1227" s="115"/>
      <c r="BM1227" s="26"/>
      <c r="BN1227" s="15"/>
      <c r="BQ1227" s="114"/>
    </row>
    <row r="1228" spans="1:69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22"/>
      <c r="AW1228" s="122"/>
      <c r="AX1228" s="122"/>
      <c r="AY1228" s="115"/>
      <c r="AZ1228" s="115"/>
      <c r="BA1228" s="115"/>
      <c r="BB1228" s="115"/>
      <c r="BC1228" s="115"/>
      <c r="BD1228" s="115"/>
      <c r="BE1228" s="115"/>
      <c r="BF1228" s="115"/>
      <c r="BG1228" s="115"/>
      <c r="BH1228" s="115"/>
      <c r="BI1228" s="115"/>
      <c r="BJ1228" s="115"/>
      <c r="BK1228" s="115"/>
      <c r="BL1228" s="115"/>
      <c r="BM1228" s="26"/>
      <c r="BN1228" s="15"/>
      <c r="BQ1228" s="114"/>
    </row>
    <row r="1229" spans="1:69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22"/>
      <c r="AW1229" s="122"/>
      <c r="AX1229" s="122"/>
      <c r="AY1229" s="115"/>
      <c r="AZ1229" s="115"/>
      <c r="BA1229" s="115"/>
      <c r="BB1229" s="115"/>
      <c r="BC1229" s="115"/>
      <c r="BD1229" s="115"/>
      <c r="BE1229" s="115"/>
      <c r="BF1229" s="115"/>
      <c r="BG1229" s="115"/>
      <c r="BH1229" s="115"/>
      <c r="BI1229" s="115"/>
      <c r="BJ1229" s="115"/>
      <c r="BK1229" s="115"/>
      <c r="BL1229" s="115"/>
      <c r="BM1229" s="26"/>
      <c r="BN1229" s="15"/>
      <c r="BQ1229" s="114"/>
    </row>
    <row r="1230" spans="1:69" x14ac:dyDescent="0.4">
      <c r="A1230" s="115"/>
      <c r="B1230" s="115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15"/>
      <c r="AT1230" s="115"/>
      <c r="AU1230" s="115"/>
      <c r="AV1230" s="122"/>
      <c r="AW1230" s="122"/>
      <c r="AX1230" s="122"/>
      <c r="AY1230" s="115"/>
      <c r="AZ1230" s="115"/>
      <c r="BA1230" s="115"/>
      <c r="BB1230" s="115"/>
      <c r="BC1230" s="115"/>
      <c r="BD1230" s="115"/>
      <c r="BE1230" s="115"/>
      <c r="BF1230" s="115"/>
      <c r="BG1230" s="115"/>
      <c r="BH1230" s="115"/>
      <c r="BI1230" s="115"/>
      <c r="BJ1230" s="115"/>
      <c r="BK1230" s="115"/>
      <c r="BL1230" s="115"/>
      <c r="BM1230" s="26"/>
      <c r="BN1230" s="13"/>
      <c r="BQ1230" s="114"/>
    </row>
    <row r="1231" spans="1:69" x14ac:dyDescent="0.4">
      <c r="A1231" s="115"/>
      <c r="B1231" s="115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22"/>
      <c r="AW1231" s="122"/>
      <c r="AX1231" s="122"/>
      <c r="AY1231" s="115"/>
      <c r="AZ1231" s="115"/>
      <c r="BA1231" s="115"/>
      <c r="BB1231" s="115"/>
      <c r="BC1231" s="115"/>
      <c r="BD1231" s="115"/>
      <c r="BE1231" s="115"/>
      <c r="BF1231" s="115"/>
      <c r="BG1231" s="115"/>
      <c r="BH1231" s="115"/>
      <c r="BI1231" s="115"/>
      <c r="BJ1231" s="115"/>
      <c r="BK1231" s="115"/>
      <c r="BL1231" s="115"/>
      <c r="BM1231" s="26"/>
      <c r="BN1231" s="25"/>
      <c r="BQ1231" s="114"/>
    </row>
    <row r="1232" spans="1:69" x14ac:dyDescent="0.4">
      <c r="A1232" s="115"/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15"/>
      <c r="AS1232" s="115"/>
      <c r="AT1232" s="115"/>
      <c r="AU1232" s="115"/>
      <c r="AV1232" s="122"/>
      <c r="AW1232" s="122"/>
      <c r="AX1232" s="122"/>
      <c r="AY1232" s="115"/>
      <c r="AZ1232" s="115"/>
      <c r="BA1232" s="115"/>
      <c r="BB1232" s="115"/>
      <c r="BC1232" s="115"/>
      <c r="BD1232" s="115"/>
      <c r="BE1232" s="115"/>
      <c r="BF1232" s="115"/>
      <c r="BG1232" s="115"/>
      <c r="BH1232" s="115"/>
      <c r="BI1232" s="115"/>
      <c r="BJ1232" s="115"/>
      <c r="BK1232" s="115"/>
      <c r="BL1232" s="115"/>
      <c r="BM1232" s="26"/>
      <c r="BN1232" s="13"/>
      <c r="BQ1232" s="114"/>
    </row>
    <row r="1233" spans="1:69" x14ac:dyDescent="0.4">
      <c r="A1233" s="115"/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22"/>
      <c r="AW1233" s="122"/>
      <c r="AX1233" s="122"/>
      <c r="AY1233" s="115"/>
      <c r="AZ1233" s="115"/>
      <c r="BA1233" s="115"/>
      <c r="BB1233" s="115"/>
      <c r="BC1233" s="115"/>
      <c r="BD1233" s="115"/>
      <c r="BE1233" s="115"/>
      <c r="BF1233" s="115"/>
      <c r="BG1233" s="115"/>
      <c r="BH1233" s="115"/>
      <c r="BI1233" s="115"/>
      <c r="BJ1233" s="115"/>
      <c r="BK1233" s="115"/>
      <c r="BL1233" s="115"/>
      <c r="BM1233" s="26"/>
      <c r="BN1233" s="13"/>
      <c r="BQ1233" s="114"/>
    </row>
    <row r="1234" spans="1:69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22"/>
      <c r="AW1234" s="122"/>
      <c r="AX1234" s="122"/>
      <c r="AY1234" s="115"/>
      <c r="AZ1234" s="115"/>
      <c r="BA1234" s="115"/>
      <c r="BB1234" s="115"/>
      <c r="BC1234" s="115"/>
      <c r="BD1234" s="115"/>
      <c r="BE1234" s="115"/>
      <c r="BF1234" s="115"/>
      <c r="BG1234" s="115"/>
      <c r="BH1234" s="115"/>
      <c r="BI1234" s="115"/>
      <c r="BJ1234" s="115"/>
      <c r="BK1234" s="115"/>
      <c r="BL1234" s="115"/>
      <c r="BM1234" s="26"/>
      <c r="BN1234" s="13"/>
      <c r="BQ1234" s="114"/>
    </row>
    <row r="1235" spans="1:69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22"/>
      <c r="AW1235" s="122"/>
      <c r="AX1235" s="122"/>
      <c r="AY1235" s="115"/>
      <c r="AZ1235" s="115"/>
      <c r="BA1235" s="115"/>
      <c r="BB1235" s="115"/>
      <c r="BC1235" s="115"/>
      <c r="BD1235" s="115"/>
      <c r="BE1235" s="115"/>
      <c r="BF1235" s="115"/>
      <c r="BG1235" s="115"/>
      <c r="BH1235" s="115"/>
      <c r="BI1235" s="115"/>
      <c r="BJ1235" s="115"/>
      <c r="BK1235" s="115"/>
      <c r="BL1235" s="115"/>
      <c r="BM1235" s="26"/>
      <c r="BN1235" s="13"/>
      <c r="BQ1235" s="114"/>
    </row>
    <row r="1236" spans="1:69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22"/>
      <c r="AW1236" s="122"/>
      <c r="AX1236" s="122"/>
      <c r="AY1236" s="115"/>
      <c r="AZ1236" s="115"/>
      <c r="BA1236" s="115"/>
      <c r="BB1236" s="115"/>
      <c r="BC1236" s="115"/>
      <c r="BD1236" s="115"/>
      <c r="BE1236" s="115"/>
      <c r="BF1236" s="115"/>
      <c r="BG1236" s="115"/>
      <c r="BH1236" s="115"/>
      <c r="BI1236" s="115"/>
      <c r="BJ1236" s="115"/>
      <c r="BK1236" s="115"/>
      <c r="BL1236" s="115"/>
      <c r="BM1236" s="26"/>
      <c r="BN1236" s="13"/>
      <c r="BQ1236" s="114"/>
    </row>
    <row r="1237" spans="1:69" x14ac:dyDescent="0.4">
      <c r="A1237" s="115"/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15"/>
      <c r="AV1237" s="122"/>
      <c r="AW1237" s="122"/>
      <c r="AX1237" s="122"/>
      <c r="AY1237" s="115"/>
      <c r="AZ1237" s="115"/>
      <c r="BA1237" s="115"/>
      <c r="BB1237" s="115"/>
      <c r="BC1237" s="115"/>
      <c r="BD1237" s="115"/>
      <c r="BE1237" s="115"/>
      <c r="BF1237" s="115"/>
      <c r="BG1237" s="115"/>
      <c r="BH1237" s="115"/>
      <c r="BI1237" s="115"/>
      <c r="BJ1237" s="115"/>
      <c r="BK1237" s="115"/>
      <c r="BL1237" s="115"/>
      <c r="BM1237" s="26"/>
      <c r="BN1237" s="13"/>
      <c r="BQ1237" s="114"/>
    </row>
    <row r="1238" spans="1:69" x14ac:dyDescent="0.4">
      <c r="A1238" s="115"/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22"/>
      <c r="AW1238" s="122"/>
      <c r="AX1238" s="122"/>
      <c r="AY1238" s="115"/>
      <c r="AZ1238" s="115"/>
      <c r="BA1238" s="115"/>
      <c r="BB1238" s="115"/>
      <c r="BC1238" s="115"/>
      <c r="BD1238" s="115"/>
      <c r="BE1238" s="115"/>
      <c r="BF1238" s="115"/>
      <c r="BG1238" s="115"/>
      <c r="BH1238" s="115"/>
      <c r="BI1238" s="115"/>
      <c r="BJ1238" s="115"/>
      <c r="BK1238" s="115"/>
      <c r="BL1238" s="115"/>
      <c r="BM1238" s="26"/>
      <c r="BN1238" s="13"/>
      <c r="BQ1238" s="114"/>
    </row>
    <row r="1239" spans="1:69" x14ac:dyDescent="0.4">
      <c r="A1239" s="115"/>
      <c r="B1239" s="115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22"/>
      <c r="AW1239" s="122"/>
      <c r="AX1239" s="122"/>
      <c r="AY1239" s="115"/>
      <c r="AZ1239" s="115"/>
      <c r="BA1239" s="115"/>
      <c r="BB1239" s="115"/>
      <c r="BC1239" s="115"/>
      <c r="BD1239" s="115"/>
      <c r="BE1239" s="115"/>
      <c r="BF1239" s="115"/>
      <c r="BG1239" s="115"/>
      <c r="BH1239" s="115"/>
      <c r="BI1239" s="115"/>
      <c r="BJ1239" s="115"/>
      <c r="BK1239" s="115"/>
      <c r="BL1239" s="115"/>
      <c r="BM1239" s="26"/>
      <c r="BN1239" s="13"/>
      <c r="BQ1239" s="114"/>
    </row>
    <row r="1240" spans="1:69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22"/>
      <c r="AW1240" s="122"/>
      <c r="AX1240" s="122"/>
      <c r="AY1240" s="115"/>
      <c r="AZ1240" s="115"/>
      <c r="BA1240" s="115"/>
      <c r="BB1240" s="115"/>
      <c r="BC1240" s="115"/>
      <c r="BD1240" s="115"/>
      <c r="BE1240" s="115"/>
      <c r="BF1240" s="115"/>
      <c r="BG1240" s="115"/>
      <c r="BH1240" s="115"/>
      <c r="BI1240" s="115"/>
      <c r="BJ1240" s="115"/>
      <c r="BK1240" s="115"/>
      <c r="BL1240" s="115"/>
      <c r="BM1240" s="26"/>
      <c r="BN1240" s="13"/>
      <c r="BQ1240" s="114"/>
    </row>
    <row r="1241" spans="1:69" x14ac:dyDescent="0.4">
      <c r="A1241" s="115"/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22"/>
      <c r="AW1241" s="122"/>
      <c r="AX1241" s="122"/>
      <c r="AY1241" s="115"/>
      <c r="AZ1241" s="115"/>
      <c r="BA1241" s="115"/>
      <c r="BB1241" s="115"/>
      <c r="BC1241" s="115"/>
      <c r="BD1241" s="115"/>
      <c r="BE1241" s="115"/>
      <c r="BF1241" s="115"/>
      <c r="BG1241" s="115"/>
      <c r="BH1241" s="115"/>
      <c r="BI1241" s="115"/>
      <c r="BJ1241" s="115"/>
      <c r="BK1241" s="115"/>
      <c r="BL1241" s="115"/>
      <c r="BM1241" s="26"/>
      <c r="BN1241" s="13"/>
      <c r="BQ1241" s="114"/>
    </row>
    <row r="1242" spans="1:69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22"/>
      <c r="AW1242" s="122"/>
      <c r="AX1242" s="122"/>
      <c r="AY1242" s="115"/>
      <c r="AZ1242" s="115"/>
      <c r="BA1242" s="115"/>
      <c r="BB1242" s="115"/>
      <c r="BC1242" s="115"/>
      <c r="BD1242" s="115"/>
      <c r="BE1242" s="115"/>
      <c r="BF1242" s="115"/>
      <c r="BG1242" s="115"/>
      <c r="BH1242" s="115"/>
      <c r="BI1242" s="115"/>
      <c r="BJ1242" s="115"/>
      <c r="BK1242" s="115"/>
      <c r="BL1242" s="115"/>
      <c r="BM1242" s="26"/>
      <c r="BN1242" s="15"/>
      <c r="BQ1242" s="114"/>
    </row>
    <row r="1243" spans="1:69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22"/>
      <c r="AW1243" s="122"/>
      <c r="AX1243" s="122"/>
      <c r="AY1243" s="115"/>
      <c r="AZ1243" s="115"/>
      <c r="BA1243" s="115"/>
      <c r="BB1243" s="115"/>
      <c r="BC1243" s="115"/>
      <c r="BD1243" s="115"/>
      <c r="BE1243" s="115"/>
      <c r="BF1243" s="115"/>
      <c r="BG1243" s="115"/>
      <c r="BH1243" s="115"/>
      <c r="BI1243" s="115"/>
      <c r="BJ1243" s="115"/>
      <c r="BK1243" s="115"/>
      <c r="BL1243" s="115"/>
      <c r="BM1243" s="26"/>
      <c r="BN1243" s="15"/>
      <c r="BQ1243" s="114"/>
    </row>
    <row r="1244" spans="1:69" x14ac:dyDescent="0.4">
      <c r="A1244" s="115"/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22"/>
      <c r="AW1244" s="122"/>
      <c r="AX1244" s="122"/>
      <c r="AY1244" s="115"/>
      <c r="AZ1244" s="115"/>
      <c r="BA1244" s="115"/>
      <c r="BB1244" s="115"/>
      <c r="BC1244" s="115"/>
      <c r="BD1244" s="115"/>
      <c r="BE1244" s="115"/>
      <c r="BF1244" s="115"/>
      <c r="BG1244" s="115"/>
      <c r="BH1244" s="115"/>
      <c r="BI1244" s="115"/>
      <c r="BJ1244" s="115"/>
      <c r="BK1244" s="115"/>
      <c r="BL1244" s="115"/>
      <c r="BM1244" s="26"/>
      <c r="BN1244" s="15"/>
      <c r="BQ1244" s="114"/>
    </row>
    <row r="1245" spans="1:69" x14ac:dyDescent="0.4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15"/>
      <c r="AT1245" s="115"/>
      <c r="AU1245" s="115"/>
      <c r="AV1245" s="122"/>
      <c r="AW1245" s="122"/>
      <c r="AX1245" s="122"/>
      <c r="AY1245" s="115"/>
      <c r="AZ1245" s="115"/>
      <c r="BA1245" s="115"/>
      <c r="BB1245" s="115"/>
      <c r="BC1245" s="115"/>
      <c r="BD1245" s="115"/>
      <c r="BE1245" s="115"/>
      <c r="BF1245" s="115"/>
      <c r="BG1245" s="115"/>
      <c r="BH1245" s="115"/>
      <c r="BI1245" s="115"/>
      <c r="BJ1245" s="115"/>
      <c r="BK1245" s="115"/>
      <c r="BL1245" s="115"/>
      <c r="BM1245" s="26"/>
      <c r="BN1245" s="15"/>
      <c r="BQ1245" s="114"/>
    </row>
    <row r="1246" spans="1:69" x14ac:dyDescent="0.4">
      <c r="A1246" s="115"/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15"/>
      <c r="AV1246" s="122"/>
      <c r="AW1246" s="122"/>
      <c r="AX1246" s="122"/>
      <c r="AY1246" s="115"/>
      <c r="AZ1246" s="115"/>
      <c r="BA1246" s="115"/>
      <c r="BB1246" s="115"/>
      <c r="BC1246" s="115"/>
      <c r="BD1246" s="115"/>
      <c r="BE1246" s="115"/>
      <c r="BF1246" s="115"/>
      <c r="BG1246" s="115"/>
      <c r="BH1246" s="115"/>
      <c r="BI1246" s="115"/>
      <c r="BJ1246" s="115"/>
      <c r="BK1246" s="115"/>
      <c r="BL1246" s="115"/>
      <c r="BM1246" s="26"/>
      <c r="BN1246" s="13"/>
      <c r="BQ1246" s="114"/>
    </row>
    <row r="1247" spans="1:69" x14ac:dyDescent="0.4">
      <c r="A1247" s="115"/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22"/>
      <c r="AW1247" s="122"/>
      <c r="AX1247" s="122"/>
      <c r="AY1247" s="115"/>
      <c r="AZ1247" s="115"/>
      <c r="BA1247" s="115"/>
      <c r="BB1247" s="115"/>
      <c r="BC1247" s="115"/>
      <c r="BD1247" s="115"/>
      <c r="BE1247" s="115"/>
      <c r="BF1247" s="115"/>
      <c r="BG1247" s="115"/>
      <c r="BH1247" s="115"/>
      <c r="BI1247" s="115"/>
      <c r="BJ1247" s="115"/>
      <c r="BK1247" s="115"/>
      <c r="BL1247" s="115"/>
      <c r="BM1247" s="26"/>
      <c r="BN1247" s="15"/>
      <c r="BQ1247" s="114"/>
    </row>
    <row r="1248" spans="1:69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22"/>
      <c r="AW1248" s="122"/>
      <c r="AX1248" s="122"/>
      <c r="AY1248" s="115"/>
      <c r="AZ1248" s="115"/>
      <c r="BA1248" s="115"/>
      <c r="BB1248" s="115"/>
      <c r="BC1248" s="115"/>
      <c r="BD1248" s="115"/>
      <c r="BE1248" s="115"/>
      <c r="BF1248" s="115"/>
      <c r="BG1248" s="115"/>
      <c r="BH1248" s="115"/>
      <c r="BI1248" s="115"/>
      <c r="BJ1248" s="115"/>
      <c r="BK1248" s="115"/>
      <c r="BL1248" s="115"/>
      <c r="BM1248" s="26"/>
      <c r="BN1248" s="15"/>
      <c r="BQ1248" s="114"/>
    </row>
    <row r="1249" spans="1:69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22"/>
      <c r="AW1249" s="122"/>
      <c r="AX1249" s="122"/>
      <c r="AY1249" s="115"/>
      <c r="AZ1249" s="115"/>
      <c r="BA1249" s="115"/>
      <c r="BB1249" s="115"/>
      <c r="BC1249" s="115"/>
      <c r="BD1249" s="115"/>
      <c r="BE1249" s="115"/>
      <c r="BF1249" s="115"/>
      <c r="BG1249" s="115"/>
      <c r="BH1249" s="115"/>
      <c r="BI1249" s="115"/>
      <c r="BJ1249" s="115"/>
      <c r="BK1249" s="115"/>
      <c r="BL1249" s="115"/>
      <c r="BM1249" s="26"/>
      <c r="BN1249" s="15"/>
      <c r="BQ1249" s="114"/>
    </row>
    <row r="1250" spans="1:69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22"/>
      <c r="AW1250" s="122"/>
      <c r="AX1250" s="122"/>
      <c r="AY1250" s="115"/>
      <c r="AZ1250" s="115"/>
      <c r="BA1250" s="115"/>
      <c r="BB1250" s="115"/>
      <c r="BC1250" s="115"/>
      <c r="BD1250" s="115"/>
      <c r="BE1250" s="115"/>
      <c r="BF1250" s="115"/>
      <c r="BG1250" s="115"/>
      <c r="BH1250" s="115"/>
      <c r="BI1250" s="115"/>
      <c r="BJ1250" s="115"/>
      <c r="BK1250" s="115"/>
      <c r="BL1250" s="115"/>
      <c r="BM1250" s="26"/>
      <c r="BN1250" s="15"/>
      <c r="BQ1250" s="114"/>
    </row>
    <row r="1251" spans="1:69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22"/>
      <c r="AW1251" s="122"/>
      <c r="AX1251" s="122"/>
      <c r="AY1251" s="115"/>
      <c r="AZ1251" s="115"/>
      <c r="BA1251" s="115"/>
      <c r="BB1251" s="115"/>
      <c r="BC1251" s="115"/>
      <c r="BD1251" s="115"/>
      <c r="BE1251" s="115"/>
      <c r="BF1251" s="115"/>
      <c r="BG1251" s="115"/>
      <c r="BH1251" s="115"/>
      <c r="BI1251" s="115"/>
      <c r="BJ1251" s="115"/>
      <c r="BK1251" s="115"/>
      <c r="BL1251" s="115"/>
      <c r="BM1251" s="26"/>
      <c r="BN1251" s="15"/>
      <c r="BQ1251" s="114"/>
    </row>
    <row r="1252" spans="1:69" x14ac:dyDescent="0.4">
      <c r="A1252" s="115"/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22"/>
      <c r="AW1252" s="122"/>
      <c r="AX1252" s="122"/>
      <c r="AY1252" s="115"/>
      <c r="AZ1252" s="115"/>
      <c r="BA1252" s="115"/>
      <c r="BB1252" s="115"/>
      <c r="BC1252" s="115"/>
      <c r="BD1252" s="115"/>
      <c r="BE1252" s="115"/>
      <c r="BF1252" s="115"/>
      <c r="BG1252" s="115"/>
      <c r="BH1252" s="115"/>
      <c r="BI1252" s="115"/>
      <c r="BJ1252" s="115"/>
      <c r="BK1252" s="115"/>
      <c r="BL1252" s="115"/>
      <c r="BM1252" s="26"/>
      <c r="BN1252" s="105"/>
      <c r="BQ1252" s="114"/>
    </row>
    <row r="1253" spans="1:69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22"/>
      <c r="AW1253" s="122"/>
      <c r="AX1253" s="122"/>
      <c r="AY1253" s="115"/>
      <c r="AZ1253" s="115"/>
      <c r="BA1253" s="115"/>
      <c r="BB1253" s="115"/>
      <c r="BC1253" s="115"/>
      <c r="BD1253" s="115"/>
      <c r="BE1253" s="115"/>
      <c r="BF1253" s="115"/>
      <c r="BG1253" s="115"/>
      <c r="BH1253" s="115"/>
      <c r="BI1253" s="115"/>
      <c r="BJ1253" s="115"/>
      <c r="BK1253" s="115"/>
      <c r="BL1253" s="115"/>
      <c r="BM1253" s="17"/>
      <c r="BN1253" s="15"/>
      <c r="BQ1253" s="114"/>
    </row>
    <row r="1254" spans="1:69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22"/>
      <c r="AW1254" s="122"/>
      <c r="AX1254" s="122"/>
      <c r="AY1254" s="115"/>
      <c r="AZ1254" s="115"/>
      <c r="BA1254" s="115"/>
      <c r="BB1254" s="115"/>
      <c r="BC1254" s="115"/>
      <c r="BD1254" s="115"/>
      <c r="BE1254" s="115"/>
      <c r="BF1254" s="115"/>
      <c r="BG1254" s="115"/>
      <c r="BH1254" s="115"/>
      <c r="BI1254" s="115"/>
      <c r="BJ1254" s="115"/>
      <c r="BK1254" s="115"/>
      <c r="BL1254" s="115"/>
      <c r="BM1254" s="26"/>
      <c r="BN1254" s="15"/>
      <c r="BQ1254" s="114"/>
    </row>
    <row r="1255" spans="1:69" x14ac:dyDescent="0.4">
      <c r="A1255" s="115"/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15"/>
      <c r="AV1255" s="122"/>
      <c r="AW1255" s="122"/>
      <c r="AX1255" s="122"/>
      <c r="AY1255" s="115"/>
      <c r="AZ1255" s="115"/>
      <c r="BA1255" s="115"/>
      <c r="BB1255" s="115"/>
      <c r="BC1255" s="115"/>
      <c r="BD1255" s="115"/>
      <c r="BE1255" s="115"/>
      <c r="BF1255" s="115"/>
      <c r="BG1255" s="115"/>
      <c r="BH1255" s="115"/>
      <c r="BI1255" s="115"/>
      <c r="BJ1255" s="115"/>
      <c r="BK1255" s="115"/>
      <c r="BL1255" s="115"/>
      <c r="BM1255" s="26"/>
      <c r="BN1255" s="15"/>
      <c r="BQ1255" s="114"/>
    </row>
    <row r="1256" spans="1:69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22"/>
      <c r="AW1256" s="122"/>
      <c r="AX1256" s="122"/>
      <c r="AY1256" s="115"/>
      <c r="AZ1256" s="115"/>
      <c r="BA1256" s="115"/>
      <c r="BB1256" s="115"/>
      <c r="BC1256" s="115"/>
      <c r="BD1256" s="115"/>
      <c r="BE1256" s="115"/>
      <c r="BF1256" s="115"/>
      <c r="BG1256" s="115"/>
      <c r="BH1256" s="115"/>
      <c r="BI1256" s="115"/>
      <c r="BJ1256" s="115"/>
      <c r="BK1256" s="115"/>
      <c r="BL1256" s="115"/>
      <c r="BM1256" s="26"/>
      <c r="BN1256" s="105"/>
      <c r="BQ1256" s="114"/>
    </row>
    <row r="1257" spans="1:69" x14ac:dyDescent="0.4">
      <c r="BM1257" s="26"/>
      <c r="BN1257" s="15"/>
      <c r="BQ1257" s="114"/>
    </row>
    <row r="1258" spans="1:69" x14ac:dyDescent="0.4">
      <c r="AW1258" s="122"/>
      <c r="AX1258" s="122"/>
      <c r="AY1258" s="115"/>
      <c r="AZ1258" s="115"/>
      <c r="BA1258" s="115"/>
      <c r="BB1258" s="115"/>
      <c r="BC1258" s="115"/>
      <c r="BD1258" s="115"/>
      <c r="BE1258" s="115"/>
      <c r="BF1258" s="115"/>
      <c r="BG1258" s="115"/>
      <c r="BH1258" s="115"/>
      <c r="BI1258" s="115"/>
      <c r="BJ1258" s="115"/>
      <c r="BK1258" s="115"/>
      <c r="BL1258" s="115"/>
      <c r="BM1258" s="26"/>
      <c r="BN1258" s="15"/>
      <c r="BQ1258" s="114"/>
    </row>
    <row r="1259" spans="1:69" x14ac:dyDescent="0.4">
      <c r="AS1259" s="115"/>
      <c r="AT1259" s="115"/>
      <c r="AU1259" s="115"/>
      <c r="AV1259" s="122"/>
      <c r="AW1259" s="122"/>
      <c r="AX1259" s="122"/>
      <c r="AY1259" s="115"/>
      <c r="AZ1259" s="115"/>
      <c r="BA1259" s="115"/>
      <c r="BB1259" s="115"/>
      <c r="BC1259" s="115"/>
      <c r="BD1259" s="115"/>
      <c r="BE1259" s="115"/>
      <c r="BF1259" s="115"/>
      <c r="BG1259" s="115"/>
      <c r="BH1259" s="115"/>
      <c r="BI1259" s="115"/>
      <c r="BJ1259" s="115"/>
      <c r="BK1259" s="115"/>
      <c r="BL1259" s="115"/>
      <c r="BM1259" s="26"/>
      <c r="BN1259" s="15"/>
      <c r="BQ1259" s="114"/>
    </row>
    <row r="1260" spans="1:69" x14ac:dyDescent="0.4"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22"/>
      <c r="AW1260" s="122"/>
      <c r="AX1260" s="122"/>
      <c r="AY1260" s="115"/>
      <c r="AZ1260" s="115"/>
      <c r="BA1260" s="115"/>
      <c r="BB1260" s="115"/>
      <c r="BC1260" s="115"/>
      <c r="BD1260" s="115"/>
      <c r="BE1260" s="115"/>
      <c r="BF1260" s="115"/>
      <c r="BG1260" s="115"/>
      <c r="BH1260" s="115"/>
      <c r="BI1260" s="115"/>
      <c r="BJ1260" s="115"/>
      <c r="BK1260" s="115"/>
      <c r="BL1260" s="115"/>
      <c r="BM1260" s="26"/>
      <c r="BN1260" s="15"/>
      <c r="BQ1260" s="114"/>
    </row>
    <row r="1261" spans="1:69" x14ac:dyDescent="0.4"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22"/>
      <c r="AW1261" s="122"/>
      <c r="AX1261" s="122"/>
      <c r="AY1261" s="115"/>
      <c r="AZ1261" s="115"/>
      <c r="BA1261" s="115"/>
      <c r="BB1261" s="115"/>
      <c r="BC1261" s="115"/>
      <c r="BD1261" s="115"/>
      <c r="BE1261" s="115"/>
      <c r="BF1261" s="115"/>
      <c r="BG1261" s="115"/>
      <c r="BH1261" s="115"/>
      <c r="BI1261" s="115"/>
      <c r="BJ1261" s="115"/>
      <c r="BK1261" s="115"/>
      <c r="BL1261" s="115"/>
      <c r="BM1261" s="17"/>
      <c r="BN1261" s="15"/>
      <c r="BQ1261" s="114"/>
    </row>
    <row r="1262" spans="1:69" x14ac:dyDescent="0.4"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22"/>
      <c r="AW1262" s="122"/>
      <c r="AX1262" s="122"/>
      <c r="AY1262" s="115"/>
      <c r="AZ1262" s="115"/>
      <c r="BA1262" s="115"/>
      <c r="BB1262" s="115"/>
      <c r="BC1262" s="115"/>
      <c r="BD1262" s="115"/>
      <c r="BE1262" s="115"/>
      <c r="BF1262" s="115"/>
      <c r="BG1262" s="115"/>
      <c r="BH1262" s="115"/>
      <c r="BI1262" s="115"/>
      <c r="BJ1262" s="115"/>
      <c r="BK1262" s="115"/>
      <c r="BL1262" s="115"/>
      <c r="BM1262" s="26"/>
      <c r="BN1262" s="15"/>
      <c r="BQ1262" s="114"/>
    </row>
    <row r="1263" spans="1:69" x14ac:dyDescent="0.4"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22"/>
      <c r="AW1263" s="122"/>
      <c r="AX1263" s="122"/>
      <c r="AY1263" s="115"/>
      <c r="AZ1263" s="115"/>
      <c r="BA1263" s="115"/>
      <c r="BB1263" s="115"/>
      <c r="BC1263" s="115"/>
      <c r="BD1263" s="115"/>
      <c r="BE1263" s="115"/>
      <c r="BF1263" s="115"/>
      <c r="BG1263" s="115"/>
      <c r="BH1263" s="115"/>
      <c r="BI1263" s="115"/>
      <c r="BJ1263" s="115"/>
      <c r="BK1263" s="115"/>
      <c r="BL1263" s="115"/>
      <c r="BM1263" s="26"/>
      <c r="BN1263" s="15"/>
      <c r="BQ1263" s="114"/>
    </row>
    <row r="1264" spans="1:69" x14ac:dyDescent="0.4"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15"/>
      <c r="AT1264" s="115"/>
      <c r="AU1264" s="115"/>
      <c r="AV1264" s="122"/>
      <c r="AW1264" s="122"/>
      <c r="AX1264" s="122"/>
      <c r="AY1264" s="115"/>
      <c r="AZ1264" s="115"/>
      <c r="BA1264" s="115"/>
      <c r="BB1264" s="115"/>
      <c r="BC1264" s="115"/>
      <c r="BD1264" s="115"/>
      <c r="BE1264" s="115"/>
      <c r="BF1264" s="115"/>
      <c r="BG1264" s="115"/>
      <c r="BH1264" s="115"/>
      <c r="BI1264" s="115"/>
      <c r="BJ1264" s="115"/>
      <c r="BK1264" s="115"/>
      <c r="BL1264" s="115"/>
      <c r="BM1264" s="26"/>
      <c r="BN1264" s="15"/>
      <c r="BQ1264" s="114"/>
    </row>
    <row r="1265" spans="2:69" x14ac:dyDescent="0.4"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15"/>
      <c r="AV1265" s="122"/>
      <c r="AW1265" s="122"/>
      <c r="AX1265" s="122"/>
      <c r="AY1265" s="115"/>
      <c r="AZ1265" s="115"/>
      <c r="BA1265" s="115"/>
      <c r="BB1265" s="115"/>
      <c r="BC1265" s="115"/>
      <c r="BD1265" s="115"/>
      <c r="BE1265" s="115"/>
      <c r="BF1265" s="115"/>
      <c r="BG1265" s="115"/>
      <c r="BH1265" s="115"/>
      <c r="BI1265" s="115"/>
      <c r="BJ1265" s="115"/>
      <c r="BK1265" s="115"/>
      <c r="BL1265" s="115"/>
      <c r="BM1265" s="26"/>
      <c r="BN1265" s="15"/>
      <c r="BQ1265" s="114"/>
    </row>
    <row r="1266" spans="2:69" x14ac:dyDescent="0.4"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22"/>
      <c r="AW1266" s="122"/>
      <c r="AX1266" s="122"/>
      <c r="AY1266" s="115"/>
      <c r="AZ1266" s="115"/>
      <c r="BA1266" s="115"/>
      <c r="BB1266" s="115"/>
      <c r="BC1266" s="115"/>
      <c r="BD1266" s="115"/>
      <c r="BE1266" s="115"/>
      <c r="BF1266" s="115"/>
      <c r="BG1266" s="115"/>
      <c r="BH1266" s="115"/>
      <c r="BI1266" s="115"/>
      <c r="BJ1266" s="115"/>
      <c r="BK1266" s="115"/>
      <c r="BL1266" s="115"/>
      <c r="BM1266" s="26"/>
      <c r="BN1266" s="15"/>
      <c r="BQ1266" s="114"/>
    </row>
    <row r="1267" spans="2:69" x14ac:dyDescent="0.4"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22"/>
      <c r="AW1267" s="122"/>
      <c r="AX1267" s="122"/>
      <c r="AY1267" s="115"/>
      <c r="AZ1267" s="115"/>
      <c r="BA1267" s="115"/>
      <c r="BB1267" s="115"/>
      <c r="BC1267" s="115"/>
      <c r="BD1267" s="115"/>
      <c r="BE1267" s="115"/>
      <c r="BF1267" s="115"/>
      <c r="BG1267" s="115"/>
      <c r="BH1267" s="115"/>
      <c r="BI1267" s="115"/>
      <c r="BJ1267" s="115"/>
      <c r="BK1267" s="115"/>
      <c r="BL1267" s="115"/>
      <c r="BM1267" s="26"/>
      <c r="BN1267" s="15"/>
      <c r="BQ1267" s="114"/>
    </row>
    <row r="1268" spans="2:69" x14ac:dyDescent="0.4"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22"/>
      <c r="AW1268" s="122"/>
      <c r="AX1268" s="122"/>
      <c r="AY1268" s="115"/>
      <c r="AZ1268" s="115"/>
      <c r="BA1268" s="115"/>
      <c r="BB1268" s="115"/>
      <c r="BC1268" s="115"/>
      <c r="BD1268" s="115"/>
      <c r="BE1268" s="115"/>
      <c r="BF1268" s="115"/>
      <c r="BG1268" s="115"/>
      <c r="BH1268" s="115"/>
      <c r="BI1268" s="115"/>
      <c r="BJ1268" s="115"/>
      <c r="BK1268" s="115"/>
      <c r="BL1268" s="115"/>
      <c r="BM1268" s="26"/>
      <c r="BN1268" s="15"/>
      <c r="BQ1268" s="114"/>
    </row>
    <row r="1269" spans="2:69" x14ac:dyDescent="0.4"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22"/>
      <c r="AW1269" s="122"/>
      <c r="AX1269" s="122"/>
      <c r="AY1269" s="115"/>
      <c r="AZ1269" s="115"/>
      <c r="BA1269" s="115"/>
      <c r="BB1269" s="115"/>
      <c r="BC1269" s="115"/>
      <c r="BD1269" s="115"/>
      <c r="BE1269" s="115"/>
      <c r="BF1269" s="115"/>
      <c r="BG1269" s="115"/>
      <c r="BH1269" s="115"/>
      <c r="BI1269" s="115"/>
      <c r="BJ1269" s="115"/>
      <c r="BK1269" s="115"/>
      <c r="BL1269" s="115"/>
      <c r="BM1269" s="17"/>
      <c r="BN1269" s="15"/>
      <c r="BQ1269" s="114"/>
    </row>
    <row r="1270" spans="2:69" x14ac:dyDescent="0.4"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15"/>
      <c r="AT1270" s="115"/>
      <c r="AU1270" s="115"/>
      <c r="AV1270" s="122"/>
      <c r="AW1270" s="122"/>
      <c r="AX1270" s="122"/>
      <c r="AY1270" s="115"/>
      <c r="AZ1270" s="115"/>
      <c r="BA1270" s="115"/>
      <c r="BB1270" s="115"/>
      <c r="BC1270" s="115"/>
      <c r="BD1270" s="115"/>
      <c r="BE1270" s="115"/>
      <c r="BF1270" s="115"/>
      <c r="BG1270" s="115"/>
      <c r="BH1270" s="115"/>
      <c r="BI1270" s="115"/>
      <c r="BJ1270" s="115"/>
      <c r="BK1270" s="115"/>
      <c r="BL1270" s="115"/>
      <c r="BM1270" s="26"/>
      <c r="BN1270" s="15"/>
      <c r="BQ1270" s="114"/>
    </row>
    <row r="1271" spans="2:69" x14ac:dyDescent="0.4"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22"/>
      <c r="AW1271" s="122"/>
      <c r="AX1271" s="122"/>
      <c r="AY1271" s="115"/>
      <c r="AZ1271" s="115"/>
      <c r="BA1271" s="115"/>
      <c r="BB1271" s="115"/>
      <c r="BC1271" s="115"/>
      <c r="BD1271" s="115"/>
      <c r="BE1271" s="115"/>
      <c r="BF1271" s="115"/>
      <c r="BG1271" s="115"/>
      <c r="BH1271" s="115"/>
      <c r="BI1271" s="115"/>
      <c r="BJ1271" s="115"/>
      <c r="BK1271" s="115"/>
      <c r="BL1271" s="115"/>
      <c r="BM1271" s="26"/>
      <c r="BN1271" s="15"/>
      <c r="BQ1271" s="114"/>
    </row>
    <row r="1272" spans="2:69" x14ac:dyDescent="0.4"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15"/>
      <c r="AT1272" s="115"/>
      <c r="AU1272" s="115"/>
      <c r="AV1272" s="122"/>
      <c r="AW1272" s="122"/>
      <c r="AX1272" s="122"/>
      <c r="AY1272" s="115"/>
      <c r="AZ1272" s="115"/>
      <c r="BA1272" s="115"/>
      <c r="BB1272" s="115"/>
      <c r="BC1272" s="115"/>
      <c r="BD1272" s="115"/>
      <c r="BE1272" s="115"/>
      <c r="BF1272" s="115"/>
      <c r="BG1272" s="115"/>
      <c r="BH1272" s="115"/>
      <c r="BI1272" s="115"/>
      <c r="BJ1272" s="115"/>
      <c r="BK1272" s="115"/>
      <c r="BL1272" s="115"/>
      <c r="BM1272" s="26"/>
      <c r="BN1272" s="15"/>
      <c r="BQ1272" s="114"/>
    </row>
    <row r="1273" spans="2:69" x14ac:dyDescent="0.4"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22"/>
      <c r="AW1273" s="122"/>
      <c r="AX1273" s="122"/>
      <c r="AY1273" s="115"/>
      <c r="AZ1273" s="115"/>
      <c r="BA1273" s="115"/>
      <c r="BB1273" s="115"/>
      <c r="BC1273" s="115"/>
      <c r="BD1273" s="115"/>
      <c r="BE1273" s="115"/>
      <c r="BF1273" s="115"/>
      <c r="BG1273" s="115"/>
      <c r="BH1273" s="115"/>
      <c r="BI1273" s="115"/>
      <c r="BJ1273" s="115"/>
      <c r="BK1273" s="115"/>
      <c r="BL1273" s="115"/>
      <c r="BM1273" s="26"/>
      <c r="BN1273" s="15"/>
      <c r="BQ1273" s="114"/>
    </row>
    <row r="1274" spans="2:69" x14ac:dyDescent="0.4"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22"/>
      <c r="AW1274" s="122"/>
      <c r="AX1274" s="122"/>
      <c r="AY1274" s="115"/>
      <c r="AZ1274" s="115"/>
      <c r="BA1274" s="115"/>
      <c r="BB1274" s="115"/>
      <c r="BC1274" s="115"/>
      <c r="BD1274" s="115"/>
      <c r="BE1274" s="115"/>
      <c r="BF1274" s="115"/>
      <c r="BG1274" s="115"/>
      <c r="BH1274" s="115"/>
      <c r="BI1274" s="115"/>
      <c r="BJ1274" s="115"/>
      <c r="BK1274" s="115"/>
      <c r="BL1274" s="115"/>
      <c r="BM1274" s="26"/>
      <c r="BN1274" s="15"/>
      <c r="BQ1274" s="114"/>
    </row>
    <row r="1275" spans="2:69" x14ac:dyDescent="0.4"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22"/>
      <c r="AW1275" s="122"/>
      <c r="AX1275" s="122"/>
      <c r="AY1275" s="115"/>
      <c r="AZ1275" s="115"/>
      <c r="BA1275" s="115"/>
      <c r="BB1275" s="115"/>
      <c r="BC1275" s="115"/>
      <c r="BD1275" s="115"/>
      <c r="BE1275" s="115"/>
      <c r="BF1275" s="115"/>
      <c r="BG1275" s="115"/>
      <c r="BH1275" s="115"/>
      <c r="BI1275" s="115"/>
      <c r="BJ1275" s="115"/>
      <c r="BK1275" s="115"/>
      <c r="BL1275" s="115"/>
      <c r="BM1275" s="26"/>
      <c r="BN1275" s="15"/>
      <c r="BQ1275" s="114"/>
    </row>
    <row r="1276" spans="2:69" x14ac:dyDescent="0.4"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22"/>
      <c r="AW1276" s="122"/>
      <c r="AX1276" s="122"/>
      <c r="AY1276" s="115"/>
      <c r="AZ1276" s="115"/>
      <c r="BA1276" s="115"/>
      <c r="BB1276" s="115"/>
      <c r="BC1276" s="115"/>
      <c r="BD1276" s="115"/>
      <c r="BE1276" s="115"/>
      <c r="BF1276" s="115"/>
      <c r="BG1276" s="115"/>
      <c r="BH1276" s="115"/>
      <c r="BI1276" s="115"/>
      <c r="BJ1276" s="115"/>
      <c r="BK1276" s="115"/>
      <c r="BL1276" s="115"/>
      <c r="BM1276" s="26"/>
      <c r="BN1276" s="15"/>
      <c r="BQ1276" s="114"/>
    </row>
    <row r="1277" spans="2:69" x14ac:dyDescent="0.4"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22"/>
      <c r="AW1277" s="122"/>
      <c r="AX1277" s="122"/>
      <c r="AY1277" s="115"/>
      <c r="AZ1277" s="115"/>
      <c r="BA1277" s="115"/>
      <c r="BB1277" s="115"/>
      <c r="BC1277" s="115"/>
      <c r="BD1277" s="115"/>
      <c r="BE1277" s="115"/>
      <c r="BF1277" s="115"/>
      <c r="BG1277" s="115"/>
      <c r="BH1277" s="115"/>
      <c r="BI1277" s="115"/>
      <c r="BJ1277" s="115"/>
      <c r="BK1277" s="115"/>
      <c r="BL1277" s="115"/>
      <c r="BM1277" s="17"/>
      <c r="BN1277" s="15"/>
      <c r="BQ1277" s="114"/>
    </row>
    <row r="1278" spans="2:69" x14ac:dyDescent="0.4"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22"/>
      <c r="AW1278" s="122"/>
      <c r="AX1278" s="122"/>
      <c r="AY1278" s="115"/>
      <c r="AZ1278" s="115"/>
      <c r="BA1278" s="115"/>
      <c r="BB1278" s="115"/>
      <c r="BC1278" s="115"/>
      <c r="BD1278" s="115"/>
      <c r="BE1278" s="115"/>
      <c r="BF1278" s="115"/>
      <c r="BG1278" s="115"/>
      <c r="BH1278" s="115"/>
      <c r="BI1278" s="115"/>
      <c r="BJ1278" s="115"/>
      <c r="BK1278" s="115"/>
      <c r="BL1278" s="115"/>
      <c r="BM1278" s="26"/>
      <c r="BN1278" s="15"/>
      <c r="BQ1278" s="114"/>
    </row>
    <row r="1279" spans="2:69" x14ac:dyDescent="0.4"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22"/>
      <c r="AW1279" s="122"/>
      <c r="AX1279" s="122"/>
      <c r="AY1279" s="115"/>
      <c r="AZ1279" s="115"/>
      <c r="BA1279" s="115"/>
      <c r="BB1279" s="115"/>
      <c r="BC1279" s="115"/>
      <c r="BD1279" s="115"/>
      <c r="BE1279" s="115"/>
      <c r="BF1279" s="115"/>
      <c r="BG1279" s="115"/>
      <c r="BH1279" s="115"/>
      <c r="BI1279" s="115"/>
      <c r="BJ1279" s="115"/>
      <c r="BK1279" s="115"/>
      <c r="BL1279" s="115"/>
      <c r="BM1279" s="26"/>
      <c r="BN1279" s="15"/>
      <c r="BQ1279" s="114"/>
    </row>
    <row r="1280" spans="2:69" x14ac:dyDescent="0.4"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22"/>
      <c r="AW1280" s="122"/>
      <c r="AX1280" s="122"/>
      <c r="AY1280" s="115"/>
      <c r="AZ1280" s="115"/>
      <c r="BA1280" s="115"/>
      <c r="BB1280" s="115"/>
      <c r="BC1280" s="115"/>
      <c r="BD1280" s="115"/>
      <c r="BE1280" s="115"/>
      <c r="BF1280" s="115"/>
      <c r="BG1280" s="115"/>
      <c r="BH1280" s="115"/>
      <c r="BI1280" s="115"/>
      <c r="BJ1280" s="115"/>
      <c r="BK1280" s="115"/>
      <c r="BL1280" s="115"/>
      <c r="BM1280" s="26"/>
      <c r="BN1280" s="15"/>
      <c r="BQ1280" s="114"/>
    </row>
    <row r="1281" spans="1:69" x14ac:dyDescent="0.4"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22"/>
      <c r="AW1281" s="122"/>
      <c r="AX1281" s="122"/>
      <c r="AY1281" s="115"/>
      <c r="AZ1281" s="115"/>
      <c r="BA1281" s="115"/>
      <c r="BB1281" s="115"/>
      <c r="BC1281" s="115"/>
      <c r="BD1281" s="115"/>
      <c r="BE1281" s="115"/>
      <c r="BF1281" s="115"/>
      <c r="BG1281" s="115"/>
      <c r="BH1281" s="115"/>
      <c r="BI1281" s="115"/>
      <c r="BJ1281" s="115"/>
      <c r="BK1281" s="115"/>
      <c r="BL1281" s="115"/>
      <c r="BM1281" s="26"/>
      <c r="BN1281" s="15"/>
      <c r="BQ1281" s="114"/>
    </row>
    <row r="1282" spans="1:69" x14ac:dyDescent="0.4"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22"/>
      <c r="AW1282" s="122"/>
      <c r="AX1282" s="122"/>
      <c r="AY1282" s="115"/>
      <c r="AZ1282" s="115"/>
      <c r="BA1282" s="115"/>
      <c r="BB1282" s="115"/>
      <c r="BC1282" s="115"/>
      <c r="BD1282" s="115"/>
      <c r="BE1282" s="115"/>
      <c r="BF1282" s="115"/>
      <c r="BG1282" s="115"/>
      <c r="BH1282" s="115"/>
      <c r="BI1282" s="115"/>
      <c r="BJ1282" s="115"/>
      <c r="BK1282" s="115"/>
      <c r="BL1282" s="115"/>
      <c r="BM1282" s="26"/>
      <c r="BN1282" s="15"/>
      <c r="BQ1282" s="114"/>
    </row>
    <row r="1283" spans="1:69" x14ac:dyDescent="0.4"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22"/>
      <c r="AW1283" s="122"/>
      <c r="AX1283" s="122"/>
      <c r="AY1283" s="115"/>
      <c r="AZ1283" s="115"/>
      <c r="BA1283" s="115"/>
      <c r="BB1283" s="115"/>
      <c r="BC1283" s="115"/>
      <c r="BD1283" s="115"/>
      <c r="BE1283" s="115"/>
      <c r="BF1283" s="115"/>
      <c r="BG1283" s="115"/>
      <c r="BH1283" s="115"/>
      <c r="BI1283" s="115"/>
      <c r="BJ1283" s="115"/>
      <c r="BK1283" s="115"/>
      <c r="BL1283" s="115"/>
      <c r="BM1283" s="26"/>
      <c r="BN1283" s="15"/>
      <c r="BQ1283" s="114"/>
    </row>
    <row r="1284" spans="1:69" x14ac:dyDescent="0.4"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22"/>
      <c r="AW1284" s="122"/>
      <c r="AX1284" s="122"/>
      <c r="AY1284" s="115"/>
      <c r="AZ1284" s="115"/>
      <c r="BA1284" s="115"/>
      <c r="BB1284" s="115"/>
      <c r="BC1284" s="115"/>
      <c r="BD1284" s="115"/>
      <c r="BE1284" s="115"/>
      <c r="BF1284" s="115"/>
      <c r="BG1284" s="115"/>
      <c r="BH1284" s="115"/>
      <c r="BI1284" s="115"/>
      <c r="BJ1284" s="115"/>
      <c r="BK1284" s="115"/>
      <c r="BL1284" s="115"/>
      <c r="BM1284" s="26"/>
      <c r="BN1284" s="15"/>
      <c r="BQ1284" s="114"/>
    </row>
    <row r="1285" spans="1:69" x14ac:dyDescent="0.4"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22"/>
      <c r="AW1285" s="122"/>
      <c r="AX1285" s="122"/>
      <c r="AY1285" s="115"/>
      <c r="AZ1285" s="115"/>
      <c r="BA1285" s="115"/>
      <c r="BB1285" s="115"/>
      <c r="BC1285" s="115"/>
      <c r="BD1285" s="115"/>
      <c r="BE1285" s="115"/>
      <c r="BF1285" s="115"/>
      <c r="BG1285" s="115"/>
      <c r="BH1285" s="115"/>
      <c r="BI1285" s="115"/>
      <c r="BJ1285" s="115"/>
      <c r="BK1285" s="115"/>
      <c r="BL1285" s="115"/>
      <c r="BM1285" s="26"/>
      <c r="BN1285" s="15"/>
      <c r="BQ1285" s="114"/>
    </row>
    <row r="1286" spans="1:69" x14ac:dyDescent="0.4"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22"/>
      <c r="AW1286" s="122"/>
      <c r="AX1286" s="122"/>
      <c r="AY1286" s="115"/>
      <c r="AZ1286" s="115"/>
      <c r="BA1286" s="115"/>
      <c r="BB1286" s="115"/>
      <c r="BC1286" s="115"/>
      <c r="BD1286" s="115"/>
      <c r="BE1286" s="115"/>
      <c r="BF1286" s="115"/>
      <c r="BG1286" s="115"/>
      <c r="BH1286" s="115"/>
      <c r="BI1286" s="115"/>
      <c r="BJ1286" s="115"/>
      <c r="BK1286" s="115"/>
      <c r="BL1286" s="115"/>
      <c r="BM1286" s="17"/>
      <c r="BN1286" s="15"/>
      <c r="BQ1286" s="114"/>
    </row>
    <row r="1287" spans="1:69" x14ac:dyDescent="0.4">
      <c r="B1287" s="115"/>
      <c r="C1287" s="115"/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22"/>
      <c r="AW1287" s="122"/>
      <c r="AX1287" s="122"/>
      <c r="AY1287" s="115"/>
      <c r="AZ1287" s="115"/>
      <c r="BA1287" s="115"/>
      <c r="BB1287" s="115"/>
      <c r="BC1287" s="115"/>
      <c r="BD1287" s="115"/>
      <c r="BE1287" s="115"/>
      <c r="BF1287" s="115"/>
      <c r="BG1287" s="115"/>
      <c r="BH1287" s="115"/>
      <c r="BI1287" s="115"/>
      <c r="BJ1287" s="115"/>
      <c r="BK1287" s="115"/>
      <c r="BL1287" s="115"/>
      <c r="BM1287" s="26"/>
      <c r="BN1287" s="15"/>
      <c r="BQ1287" s="114"/>
    </row>
    <row r="1288" spans="1:69" x14ac:dyDescent="0.4"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22"/>
      <c r="AW1288" s="122"/>
      <c r="AX1288" s="122"/>
      <c r="AY1288" s="115"/>
      <c r="AZ1288" s="115"/>
      <c r="BA1288" s="115"/>
      <c r="BB1288" s="115"/>
      <c r="BC1288" s="115"/>
      <c r="BD1288" s="115"/>
      <c r="BE1288" s="115"/>
      <c r="BF1288" s="115"/>
      <c r="BG1288" s="115"/>
      <c r="BH1288" s="115"/>
      <c r="BI1288" s="115"/>
      <c r="BJ1288" s="115"/>
      <c r="BK1288" s="115"/>
      <c r="BL1288" s="115"/>
      <c r="BM1288" s="17"/>
      <c r="BN1288" s="15"/>
      <c r="BQ1288" s="114"/>
    </row>
    <row r="1289" spans="1:69" x14ac:dyDescent="0.4">
      <c r="B1289" s="115"/>
      <c r="C1289" s="115"/>
      <c r="D1289" s="115"/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22"/>
      <c r="AW1289" s="122"/>
      <c r="AX1289" s="122"/>
      <c r="AY1289" s="115"/>
      <c r="AZ1289" s="115"/>
      <c r="BA1289" s="115"/>
      <c r="BB1289" s="115"/>
      <c r="BC1289" s="115"/>
      <c r="BD1289" s="115"/>
      <c r="BE1289" s="115"/>
      <c r="BF1289" s="115"/>
      <c r="BG1289" s="115"/>
      <c r="BH1289" s="115"/>
      <c r="BI1289" s="115"/>
      <c r="BJ1289" s="115"/>
      <c r="BK1289" s="115"/>
      <c r="BL1289" s="115"/>
      <c r="BM1289" s="26"/>
      <c r="BN1289" s="15"/>
      <c r="BQ1289" s="114"/>
    </row>
    <row r="1290" spans="1:69" x14ac:dyDescent="0.4">
      <c r="B1290" s="115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22"/>
      <c r="AW1290" s="122"/>
      <c r="AX1290" s="122"/>
      <c r="AY1290" s="115"/>
      <c r="AZ1290" s="115"/>
      <c r="BA1290" s="115"/>
      <c r="BB1290" s="115"/>
      <c r="BC1290" s="115"/>
      <c r="BD1290" s="115"/>
      <c r="BE1290" s="115"/>
      <c r="BF1290" s="115"/>
      <c r="BG1290" s="115"/>
      <c r="BH1290" s="115"/>
      <c r="BI1290" s="115"/>
      <c r="BJ1290" s="115"/>
      <c r="BK1290" s="115"/>
      <c r="BL1290" s="115"/>
      <c r="BM1290" s="17"/>
      <c r="BN1290" s="15"/>
      <c r="BQ1290" s="114"/>
    </row>
    <row r="1291" spans="1:69" x14ac:dyDescent="0.4">
      <c r="B1291" s="115"/>
      <c r="C1291" s="115"/>
      <c r="D1291" s="115"/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22"/>
      <c r="AW1291" s="122"/>
      <c r="AX1291" s="122"/>
      <c r="AY1291" s="115"/>
      <c r="AZ1291" s="115"/>
      <c r="BA1291" s="115"/>
      <c r="BB1291" s="115"/>
      <c r="BC1291" s="115"/>
      <c r="BD1291" s="115"/>
      <c r="BE1291" s="115"/>
      <c r="BF1291" s="115"/>
      <c r="BG1291" s="115"/>
      <c r="BH1291" s="115"/>
      <c r="BI1291" s="115"/>
      <c r="BJ1291" s="115"/>
      <c r="BK1291" s="115"/>
      <c r="BL1291" s="115"/>
      <c r="BM1291" s="26"/>
      <c r="BN1291" s="15"/>
      <c r="BQ1291" s="114"/>
    </row>
    <row r="1292" spans="1:69" x14ac:dyDescent="0.4">
      <c r="B1292" s="115"/>
      <c r="C1292" s="115"/>
      <c r="D1292" s="115"/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22"/>
      <c r="AW1292" s="122"/>
      <c r="AX1292" s="122"/>
      <c r="AY1292" s="115"/>
      <c r="AZ1292" s="115"/>
      <c r="BA1292" s="115"/>
      <c r="BB1292" s="115"/>
      <c r="BC1292" s="115"/>
      <c r="BD1292" s="115"/>
      <c r="BE1292" s="115"/>
      <c r="BF1292" s="115"/>
      <c r="BG1292" s="115"/>
      <c r="BH1292" s="115"/>
      <c r="BI1292" s="115"/>
      <c r="BJ1292" s="115"/>
      <c r="BK1292" s="115"/>
      <c r="BL1292" s="115"/>
      <c r="BM1292" s="26"/>
      <c r="BN1292" s="15"/>
      <c r="BQ1292" s="114"/>
    </row>
    <row r="1293" spans="1:69" x14ac:dyDescent="0.4">
      <c r="B1293" s="115"/>
      <c r="C1293" s="115"/>
      <c r="D1293" s="115"/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22"/>
      <c r="AW1293" s="122"/>
      <c r="AX1293" s="122"/>
      <c r="AY1293" s="115"/>
      <c r="AZ1293" s="115"/>
      <c r="BA1293" s="115"/>
      <c r="BB1293" s="115"/>
      <c r="BC1293" s="115"/>
      <c r="BD1293" s="115"/>
      <c r="BE1293" s="115"/>
      <c r="BF1293" s="115"/>
      <c r="BG1293" s="115"/>
      <c r="BH1293" s="115"/>
      <c r="BI1293" s="115"/>
      <c r="BJ1293" s="115"/>
      <c r="BK1293" s="115"/>
      <c r="BL1293" s="115"/>
      <c r="BM1293" s="17"/>
      <c r="BN1293" s="15"/>
      <c r="BQ1293" s="114"/>
    </row>
    <row r="1294" spans="1:69" x14ac:dyDescent="0.4">
      <c r="B1294" s="115"/>
      <c r="C1294" s="115"/>
      <c r="D1294" s="115"/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22"/>
      <c r="AW1294" s="122"/>
      <c r="AX1294" s="122"/>
      <c r="AY1294" s="115"/>
      <c r="AZ1294" s="115"/>
      <c r="BA1294" s="115"/>
      <c r="BB1294" s="115"/>
      <c r="BC1294" s="115"/>
      <c r="BD1294" s="115"/>
      <c r="BE1294" s="115"/>
      <c r="BF1294" s="115"/>
      <c r="BG1294" s="115"/>
      <c r="BH1294" s="115"/>
      <c r="BI1294" s="115"/>
      <c r="BJ1294" s="115"/>
      <c r="BK1294" s="115"/>
      <c r="BL1294" s="115"/>
      <c r="BM1294" s="26"/>
      <c r="BN1294" s="15"/>
      <c r="BQ1294" s="114"/>
    </row>
    <row r="1295" spans="1:69" x14ac:dyDescent="0.4">
      <c r="B1295" s="115"/>
      <c r="C1295" s="115"/>
      <c r="D1295" s="115"/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22"/>
      <c r="AW1295" s="122"/>
      <c r="AX1295" s="122"/>
      <c r="AY1295" s="115"/>
      <c r="AZ1295" s="115"/>
      <c r="BA1295" s="115"/>
      <c r="BB1295" s="115"/>
      <c r="BC1295" s="115"/>
      <c r="BD1295" s="115"/>
      <c r="BE1295" s="115"/>
      <c r="BF1295" s="115"/>
      <c r="BG1295" s="115"/>
      <c r="BH1295" s="115"/>
      <c r="BI1295" s="115"/>
      <c r="BJ1295" s="115"/>
      <c r="BK1295" s="115"/>
      <c r="BL1295" s="115"/>
      <c r="BM1295" s="26"/>
      <c r="BN1295" s="15"/>
      <c r="BQ1295" s="114"/>
    </row>
    <row r="1296" spans="1:69" x14ac:dyDescent="0.4">
      <c r="A1296" s="115"/>
      <c r="B1296" s="115"/>
      <c r="C1296" s="115"/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22"/>
      <c r="AW1296" s="122"/>
      <c r="AX1296" s="122"/>
      <c r="AY1296" s="115"/>
      <c r="AZ1296" s="115"/>
      <c r="BA1296" s="115"/>
      <c r="BB1296" s="115"/>
      <c r="BC1296" s="115"/>
      <c r="BD1296" s="115"/>
      <c r="BE1296" s="115"/>
      <c r="BF1296" s="115"/>
      <c r="BG1296" s="115"/>
      <c r="BH1296" s="115"/>
      <c r="BI1296" s="115"/>
      <c r="BJ1296" s="115"/>
      <c r="BK1296" s="115"/>
      <c r="BL1296" s="115"/>
      <c r="BM1296" s="26"/>
      <c r="BN1296" s="105"/>
      <c r="BQ1296" s="114"/>
    </row>
    <row r="1297" spans="1:69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122"/>
      <c r="AW1297" s="122"/>
      <c r="AX1297" s="122"/>
      <c r="AY1297" s="115"/>
      <c r="AZ1297" s="115"/>
      <c r="BA1297" s="115"/>
      <c r="BB1297" s="115"/>
      <c r="BC1297" s="115"/>
      <c r="BD1297" s="115"/>
      <c r="BE1297" s="115"/>
      <c r="BF1297" s="115"/>
      <c r="BG1297" s="115"/>
      <c r="BH1297" s="115"/>
      <c r="BI1297" s="115"/>
      <c r="BJ1297" s="115"/>
      <c r="BK1297" s="115"/>
      <c r="BL1297" s="115"/>
      <c r="BM1297" s="17"/>
      <c r="BN1297" s="15"/>
      <c r="BQ1297" s="114"/>
    </row>
    <row r="1298" spans="1:69" x14ac:dyDescent="0.4">
      <c r="A1298" s="115"/>
      <c r="B1298" s="115"/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22"/>
      <c r="AW1298" s="122"/>
      <c r="AX1298" s="122"/>
      <c r="AY1298" s="115"/>
      <c r="AZ1298" s="115"/>
      <c r="BA1298" s="115"/>
      <c r="BB1298" s="115"/>
      <c r="BC1298" s="115"/>
      <c r="BD1298" s="115"/>
      <c r="BE1298" s="115"/>
      <c r="BF1298" s="115"/>
      <c r="BG1298" s="115"/>
      <c r="BH1298" s="115"/>
      <c r="BI1298" s="115"/>
      <c r="BJ1298" s="115"/>
      <c r="BK1298" s="115"/>
      <c r="BL1298" s="115"/>
      <c r="BM1298" s="17"/>
      <c r="BN1298" s="15"/>
      <c r="BQ1298" s="114"/>
    </row>
    <row r="1299" spans="1:69" x14ac:dyDescent="0.4">
      <c r="A1299" s="115"/>
      <c r="B1299" s="115"/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22"/>
      <c r="AW1299" s="122"/>
      <c r="AX1299" s="122"/>
      <c r="AY1299" s="115"/>
      <c r="AZ1299" s="115"/>
      <c r="BA1299" s="115"/>
      <c r="BB1299" s="115"/>
      <c r="BC1299" s="115"/>
      <c r="BD1299" s="115"/>
      <c r="BE1299" s="115"/>
      <c r="BF1299" s="115"/>
      <c r="BG1299" s="115"/>
      <c r="BH1299" s="115"/>
      <c r="BI1299" s="115"/>
      <c r="BJ1299" s="115"/>
      <c r="BK1299" s="115"/>
      <c r="BL1299" s="115"/>
      <c r="BM1299" s="26"/>
      <c r="BN1299" s="15"/>
      <c r="BQ1299" s="114"/>
    </row>
    <row r="1300" spans="1:69" x14ac:dyDescent="0.4">
      <c r="A1300" s="115"/>
      <c r="B1300" s="115"/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22"/>
      <c r="AW1300" s="122"/>
      <c r="AX1300" s="122"/>
      <c r="AY1300" s="115"/>
      <c r="AZ1300" s="115"/>
      <c r="BA1300" s="115"/>
      <c r="BB1300" s="115"/>
      <c r="BC1300" s="115"/>
      <c r="BD1300" s="115"/>
      <c r="BE1300" s="115"/>
      <c r="BF1300" s="115"/>
      <c r="BG1300" s="115"/>
      <c r="BH1300" s="115"/>
      <c r="BI1300" s="115"/>
      <c r="BJ1300" s="115"/>
      <c r="BK1300" s="115"/>
      <c r="BL1300" s="115"/>
      <c r="BM1300" s="26"/>
      <c r="BN1300" s="15"/>
      <c r="BQ1300" s="114"/>
    </row>
    <row r="1301" spans="1:69" x14ac:dyDescent="0.4">
      <c r="A1301" s="115"/>
      <c r="B1301" s="115"/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22"/>
      <c r="AW1301" s="122"/>
      <c r="AX1301" s="122"/>
      <c r="AY1301" s="115"/>
      <c r="AZ1301" s="115"/>
      <c r="BA1301" s="115"/>
      <c r="BB1301" s="115"/>
      <c r="BC1301" s="115"/>
      <c r="BD1301" s="115"/>
      <c r="BE1301" s="115"/>
      <c r="BF1301" s="115"/>
      <c r="BG1301" s="115"/>
      <c r="BH1301" s="115"/>
      <c r="BI1301" s="115"/>
      <c r="BJ1301" s="115"/>
      <c r="BK1301" s="115"/>
      <c r="BL1301" s="115"/>
      <c r="BM1301" s="26"/>
      <c r="BN1301" s="15"/>
      <c r="BQ1301" s="114"/>
    </row>
    <row r="1302" spans="1:69" x14ac:dyDescent="0.4">
      <c r="A1302" s="115"/>
      <c r="B1302" s="115"/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22"/>
      <c r="AW1302" s="122"/>
      <c r="AX1302" s="122"/>
      <c r="AY1302" s="115"/>
      <c r="AZ1302" s="115"/>
      <c r="BA1302" s="115"/>
      <c r="BB1302" s="115"/>
      <c r="BC1302" s="115"/>
      <c r="BD1302" s="115"/>
      <c r="BE1302" s="115"/>
      <c r="BF1302" s="115"/>
      <c r="BG1302" s="115"/>
      <c r="BH1302" s="115"/>
      <c r="BI1302" s="115"/>
      <c r="BJ1302" s="115"/>
      <c r="BK1302" s="115"/>
      <c r="BL1302" s="115"/>
      <c r="BM1302" s="26"/>
      <c r="BN1302" s="15"/>
      <c r="BQ1302" s="114"/>
    </row>
    <row r="1303" spans="1:69" x14ac:dyDescent="0.4">
      <c r="A1303" s="115"/>
      <c r="B1303" s="115"/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22"/>
      <c r="AW1303" s="122"/>
      <c r="AX1303" s="122"/>
      <c r="AY1303" s="115"/>
      <c r="AZ1303" s="115"/>
      <c r="BA1303" s="115"/>
      <c r="BB1303" s="115"/>
      <c r="BC1303" s="115"/>
      <c r="BD1303" s="115"/>
      <c r="BE1303" s="115"/>
      <c r="BF1303" s="115"/>
      <c r="BG1303" s="115"/>
      <c r="BH1303" s="115"/>
      <c r="BI1303" s="115"/>
      <c r="BJ1303" s="115"/>
      <c r="BK1303" s="115"/>
      <c r="BL1303" s="115"/>
      <c r="BM1303" s="26"/>
      <c r="BN1303" s="15"/>
      <c r="BQ1303" s="114"/>
    </row>
    <row r="1304" spans="1:69" x14ac:dyDescent="0.4">
      <c r="A1304" s="115"/>
      <c r="B1304" s="115"/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22"/>
      <c r="AW1304" s="122"/>
      <c r="AX1304" s="122"/>
      <c r="AY1304" s="115"/>
      <c r="AZ1304" s="115"/>
      <c r="BA1304" s="115"/>
      <c r="BB1304" s="115"/>
      <c r="BC1304" s="115"/>
      <c r="BD1304" s="115"/>
      <c r="BE1304" s="115"/>
      <c r="BF1304" s="115"/>
      <c r="BG1304" s="115"/>
      <c r="BH1304" s="115"/>
      <c r="BI1304" s="115"/>
      <c r="BJ1304" s="115"/>
      <c r="BK1304" s="115"/>
      <c r="BL1304" s="115"/>
      <c r="BM1304" s="26"/>
      <c r="BN1304" s="15"/>
      <c r="BQ1304" s="114"/>
    </row>
    <row r="1305" spans="1:69" x14ac:dyDescent="0.4">
      <c r="A1305" s="115"/>
      <c r="B1305" s="115"/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22"/>
      <c r="AW1305" s="122"/>
      <c r="AX1305" s="122"/>
      <c r="AY1305" s="115"/>
      <c r="AZ1305" s="115"/>
      <c r="BA1305" s="115"/>
      <c r="BB1305" s="115"/>
      <c r="BC1305" s="115"/>
      <c r="BD1305" s="115"/>
      <c r="BE1305" s="115"/>
      <c r="BF1305" s="115"/>
      <c r="BG1305" s="115"/>
      <c r="BH1305" s="115"/>
      <c r="BI1305" s="115"/>
      <c r="BJ1305" s="115"/>
      <c r="BK1305" s="115"/>
      <c r="BL1305" s="115"/>
      <c r="BM1305" s="26"/>
      <c r="BN1305" s="15"/>
      <c r="BQ1305" s="114"/>
    </row>
    <row r="1306" spans="1:69" x14ac:dyDescent="0.4">
      <c r="A1306" s="115"/>
      <c r="B1306" s="115"/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22"/>
      <c r="AW1306" s="122"/>
      <c r="AX1306" s="122"/>
      <c r="AY1306" s="115"/>
      <c r="AZ1306" s="115"/>
      <c r="BA1306" s="115"/>
      <c r="BB1306" s="115"/>
      <c r="BC1306" s="115"/>
      <c r="BD1306" s="115"/>
      <c r="BE1306" s="115"/>
      <c r="BF1306" s="115"/>
      <c r="BG1306" s="115"/>
      <c r="BH1306" s="115"/>
      <c r="BI1306" s="115"/>
      <c r="BJ1306" s="115"/>
      <c r="BK1306" s="115"/>
      <c r="BL1306" s="115"/>
      <c r="BM1306" s="26"/>
      <c r="BN1306" s="15"/>
      <c r="BQ1306" s="114"/>
    </row>
    <row r="1307" spans="1:69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22"/>
      <c r="AW1307" s="122"/>
      <c r="AX1307" s="122"/>
      <c r="AY1307" s="115"/>
      <c r="AZ1307" s="115"/>
      <c r="BA1307" s="115"/>
      <c r="BB1307" s="115"/>
      <c r="BC1307" s="115"/>
      <c r="BD1307" s="115"/>
      <c r="BE1307" s="115"/>
      <c r="BF1307" s="115"/>
      <c r="BG1307" s="115"/>
      <c r="BH1307" s="115"/>
      <c r="BI1307" s="115"/>
      <c r="BJ1307" s="115"/>
      <c r="BK1307" s="115"/>
      <c r="BL1307" s="115"/>
      <c r="BM1307" s="26"/>
      <c r="BN1307" s="105"/>
      <c r="BQ1307" s="114"/>
    </row>
    <row r="1308" spans="1:69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22"/>
      <c r="AW1308" s="122"/>
      <c r="AX1308" s="122"/>
      <c r="AY1308" s="115"/>
      <c r="AZ1308" s="115"/>
      <c r="BA1308" s="115"/>
      <c r="BB1308" s="115"/>
      <c r="BC1308" s="115"/>
      <c r="BD1308" s="115"/>
      <c r="BE1308" s="115"/>
      <c r="BF1308" s="115"/>
      <c r="BG1308" s="115"/>
      <c r="BH1308" s="115"/>
      <c r="BI1308" s="115"/>
      <c r="BJ1308" s="115"/>
      <c r="BK1308" s="115"/>
      <c r="BL1308" s="115"/>
      <c r="BM1308" s="26"/>
      <c r="BN1308" s="15"/>
      <c r="BQ1308" s="114"/>
    </row>
    <row r="1309" spans="1:69" x14ac:dyDescent="0.4">
      <c r="A1309" s="115"/>
      <c r="B1309" s="115"/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22"/>
      <c r="AW1309" s="122"/>
      <c r="AX1309" s="122"/>
      <c r="AY1309" s="115"/>
      <c r="AZ1309" s="115"/>
      <c r="BA1309" s="115"/>
      <c r="BB1309" s="115"/>
      <c r="BC1309" s="115"/>
      <c r="BD1309" s="115"/>
      <c r="BE1309" s="115"/>
      <c r="BF1309" s="115"/>
      <c r="BG1309" s="115"/>
      <c r="BH1309" s="115"/>
      <c r="BI1309" s="115"/>
      <c r="BJ1309" s="115"/>
      <c r="BK1309" s="115"/>
      <c r="BL1309" s="115"/>
      <c r="BM1309" s="26"/>
      <c r="BN1309" s="15"/>
      <c r="BQ1309" s="114"/>
    </row>
    <row r="1310" spans="1:69" x14ac:dyDescent="0.4">
      <c r="A1310" s="115"/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22"/>
      <c r="AW1310" s="122"/>
      <c r="AX1310" s="122"/>
      <c r="AY1310" s="115"/>
      <c r="AZ1310" s="115"/>
      <c r="BA1310" s="115"/>
      <c r="BB1310" s="115"/>
      <c r="BC1310" s="115"/>
      <c r="BD1310" s="115"/>
      <c r="BE1310" s="115"/>
      <c r="BF1310" s="115"/>
      <c r="BG1310" s="115"/>
      <c r="BH1310" s="115"/>
      <c r="BI1310" s="115"/>
      <c r="BJ1310" s="115"/>
      <c r="BK1310" s="115"/>
      <c r="BL1310" s="115"/>
      <c r="BM1310" s="26"/>
      <c r="BN1310" s="13"/>
      <c r="BQ1310" s="114"/>
    </row>
    <row r="1311" spans="1:69" x14ac:dyDescent="0.4">
      <c r="A1311" s="115"/>
      <c r="B1311" s="115"/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22"/>
      <c r="AW1311" s="122"/>
      <c r="AX1311" s="122"/>
      <c r="AY1311" s="115"/>
      <c r="AZ1311" s="115"/>
      <c r="BA1311" s="115"/>
      <c r="BB1311" s="115"/>
      <c r="BC1311" s="115"/>
      <c r="BD1311" s="115"/>
      <c r="BE1311" s="115"/>
      <c r="BF1311" s="115"/>
      <c r="BG1311" s="115"/>
      <c r="BH1311" s="115"/>
      <c r="BI1311" s="115"/>
      <c r="BJ1311" s="115"/>
      <c r="BK1311" s="115"/>
      <c r="BL1311" s="115"/>
      <c r="BM1311" s="17"/>
      <c r="BN1311" s="13"/>
      <c r="BQ1311" s="114"/>
    </row>
    <row r="1312" spans="1:69" x14ac:dyDescent="0.4">
      <c r="A1312" s="115"/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22"/>
      <c r="AW1312" s="122"/>
      <c r="AX1312" s="122"/>
      <c r="AY1312" s="115"/>
      <c r="AZ1312" s="115"/>
      <c r="BA1312" s="115"/>
      <c r="BB1312" s="115"/>
      <c r="BC1312" s="115"/>
      <c r="BD1312" s="115"/>
      <c r="BE1312" s="115"/>
      <c r="BF1312" s="115"/>
      <c r="BG1312" s="115"/>
      <c r="BH1312" s="115"/>
      <c r="BI1312" s="115"/>
      <c r="BJ1312" s="115"/>
      <c r="BK1312" s="115"/>
      <c r="BL1312" s="115"/>
      <c r="BM1312" s="26"/>
      <c r="BN1312" s="13"/>
      <c r="BQ1312" s="114"/>
    </row>
    <row r="1313" spans="1:69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22"/>
      <c r="AW1313" s="122"/>
      <c r="AX1313" s="122"/>
      <c r="AY1313" s="115"/>
      <c r="AZ1313" s="115"/>
      <c r="BA1313" s="115"/>
      <c r="BB1313" s="115"/>
      <c r="BC1313" s="115"/>
      <c r="BD1313" s="115"/>
      <c r="BE1313" s="115"/>
      <c r="BF1313" s="115"/>
      <c r="BG1313" s="115"/>
      <c r="BH1313" s="115"/>
      <c r="BI1313" s="115"/>
      <c r="BJ1313" s="115"/>
      <c r="BK1313" s="115"/>
      <c r="BL1313" s="115"/>
      <c r="BM1313" s="26"/>
      <c r="BN1313" s="13"/>
      <c r="BQ1313" s="114"/>
    </row>
    <row r="1314" spans="1:69" x14ac:dyDescent="0.4">
      <c r="A1314" s="115"/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22"/>
      <c r="AW1314" s="122"/>
      <c r="AX1314" s="122"/>
      <c r="AY1314" s="115"/>
      <c r="AZ1314" s="115"/>
      <c r="BA1314" s="115"/>
      <c r="BB1314" s="115"/>
      <c r="BC1314" s="115"/>
      <c r="BD1314" s="115"/>
      <c r="BE1314" s="115"/>
      <c r="BF1314" s="115"/>
      <c r="BG1314" s="115"/>
      <c r="BH1314" s="115"/>
      <c r="BI1314" s="115"/>
      <c r="BJ1314" s="115"/>
      <c r="BK1314" s="115"/>
      <c r="BL1314" s="115"/>
      <c r="BM1314" s="26"/>
      <c r="BN1314" s="13"/>
      <c r="BQ1314" s="114"/>
    </row>
    <row r="1315" spans="1:69" x14ac:dyDescent="0.4">
      <c r="A1315" s="115"/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22"/>
      <c r="AW1315" s="122"/>
      <c r="AX1315" s="122"/>
      <c r="AY1315" s="115"/>
      <c r="AZ1315" s="115"/>
      <c r="BA1315" s="115"/>
      <c r="BB1315" s="115"/>
      <c r="BC1315" s="115"/>
      <c r="BD1315" s="115"/>
      <c r="BE1315" s="115"/>
      <c r="BF1315" s="115"/>
      <c r="BG1315" s="115"/>
      <c r="BH1315" s="115"/>
      <c r="BI1315" s="115"/>
      <c r="BJ1315" s="115"/>
      <c r="BK1315" s="115"/>
      <c r="BL1315" s="115"/>
      <c r="BM1315" s="26"/>
      <c r="BN1315" s="13"/>
      <c r="BQ1315" s="114"/>
    </row>
    <row r="1316" spans="1:69" x14ac:dyDescent="0.4">
      <c r="A1316" s="115"/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22"/>
      <c r="AW1316" s="122"/>
      <c r="AX1316" s="122"/>
      <c r="AY1316" s="115"/>
      <c r="AZ1316" s="115"/>
      <c r="BA1316" s="115"/>
      <c r="BB1316" s="115"/>
      <c r="BC1316" s="115"/>
      <c r="BD1316" s="115"/>
      <c r="BE1316" s="115"/>
      <c r="BF1316" s="115"/>
      <c r="BG1316" s="115"/>
      <c r="BH1316" s="115"/>
      <c r="BI1316" s="115"/>
      <c r="BJ1316" s="115"/>
      <c r="BK1316" s="115"/>
      <c r="BL1316" s="115"/>
      <c r="BM1316" s="26"/>
      <c r="BN1316" s="13"/>
      <c r="BQ1316" s="114"/>
    </row>
    <row r="1317" spans="1:69" x14ac:dyDescent="0.4">
      <c r="A1317" s="115"/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22"/>
      <c r="AW1317" s="122"/>
      <c r="AX1317" s="122"/>
      <c r="AY1317" s="115"/>
      <c r="AZ1317" s="115"/>
      <c r="BA1317" s="115"/>
      <c r="BB1317" s="115"/>
      <c r="BC1317" s="115"/>
      <c r="BD1317" s="115"/>
      <c r="BE1317" s="115"/>
      <c r="BF1317" s="115"/>
      <c r="BG1317" s="115"/>
      <c r="BH1317" s="115"/>
      <c r="BI1317" s="115"/>
      <c r="BJ1317" s="115"/>
      <c r="BK1317" s="115"/>
      <c r="BL1317" s="115"/>
      <c r="BM1317" s="26"/>
      <c r="BN1317" s="13"/>
      <c r="BQ1317" s="114"/>
    </row>
    <row r="1318" spans="1:69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22"/>
      <c r="AW1318" s="122"/>
      <c r="AX1318" s="122"/>
      <c r="AY1318" s="115"/>
      <c r="AZ1318" s="115"/>
      <c r="BA1318" s="115"/>
      <c r="BB1318" s="115"/>
      <c r="BC1318" s="115"/>
      <c r="BD1318" s="115"/>
      <c r="BE1318" s="115"/>
      <c r="BF1318" s="115"/>
      <c r="BG1318" s="115"/>
      <c r="BH1318" s="115"/>
      <c r="BI1318" s="115"/>
      <c r="BJ1318" s="115"/>
      <c r="BK1318" s="115"/>
      <c r="BL1318" s="115"/>
      <c r="BM1318" s="17"/>
      <c r="BN1318" s="13"/>
      <c r="BQ1318" s="114"/>
    </row>
    <row r="1319" spans="1:69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22"/>
      <c r="AW1319" s="122"/>
      <c r="AX1319" s="122"/>
      <c r="AY1319" s="115"/>
      <c r="AZ1319" s="115"/>
      <c r="BA1319" s="115"/>
      <c r="BB1319" s="115"/>
      <c r="BC1319" s="115"/>
      <c r="BD1319" s="115"/>
      <c r="BE1319" s="115"/>
      <c r="BF1319" s="115"/>
      <c r="BG1319" s="115"/>
      <c r="BH1319" s="115"/>
      <c r="BI1319" s="115"/>
      <c r="BJ1319" s="115"/>
      <c r="BK1319" s="115"/>
      <c r="BL1319" s="115"/>
      <c r="BM1319" s="26"/>
      <c r="BN1319" s="13"/>
      <c r="BQ1319" s="114"/>
    </row>
    <row r="1320" spans="1:69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22"/>
      <c r="AW1320" s="122"/>
      <c r="AX1320" s="122"/>
      <c r="AY1320" s="115"/>
      <c r="AZ1320" s="115"/>
      <c r="BA1320" s="115"/>
      <c r="BB1320" s="115"/>
      <c r="BC1320" s="115"/>
      <c r="BD1320" s="115"/>
      <c r="BE1320" s="115"/>
      <c r="BF1320" s="115"/>
      <c r="BG1320" s="115"/>
      <c r="BH1320" s="115"/>
      <c r="BI1320" s="115"/>
      <c r="BJ1320" s="115"/>
      <c r="BK1320" s="115"/>
      <c r="BL1320" s="115"/>
      <c r="BM1320" s="26"/>
      <c r="BN1320" s="13"/>
      <c r="BQ1320" s="114"/>
    </row>
    <row r="1321" spans="1:69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22"/>
      <c r="AW1321" s="122"/>
      <c r="AX1321" s="122"/>
      <c r="AY1321" s="115"/>
      <c r="AZ1321" s="115"/>
      <c r="BA1321" s="115"/>
      <c r="BB1321" s="115"/>
      <c r="BC1321" s="115"/>
      <c r="BD1321" s="115"/>
      <c r="BE1321" s="115"/>
      <c r="BF1321" s="115"/>
      <c r="BG1321" s="115"/>
      <c r="BH1321" s="115"/>
      <c r="BI1321" s="115"/>
      <c r="BJ1321" s="115"/>
      <c r="BK1321" s="115"/>
      <c r="BL1321" s="115"/>
      <c r="BM1321" s="26"/>
      <c r="BN1321" s="13"/>
      <c r="BQ1321" s="114"/>
    </row>
    <row r="1322" spans="1:69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22"/>
      <c r="AW1322" s="122"/>
      <c r="AX1322" s="122"/>
      <c r="AY1322" s="115"/>
      <c r="AZ1322" s="115"/>
      <c r="BA1322" s="115"/>
      <c r="BB1322" s="115"/>
      <c r="BC1322" s="115"/>
      <c r="BD1322" s="115"/>
      <c r="BE1322" s="115"/>
      <c r="BF1322" s="115"/>
      <c r="BG1322" s="115"/>
      <c r="BH1322" s="115"/>
      <c r="BI1322" s="115"/>
      <c r="BJ1322" s="115"/>
      <c r="BK1322" s="115"/>
      <c r="BL1322" s="115"/>
      <c r="BM1322" s="26"/>
      <c r="BN1322" s="13"/>
      <c r="BQ1322" s="114"/>
    </row>
    <row r="1323" spans="1:69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22"/>
      <c r="AW1323" s="122"/>
      <c r="AX1323" s="122"/>
      <c r="AY1323" s="115"/>
      <c r="AZ1323" s="115"/>
      <c r="BA1323" s="115"/>
      <c r="BB1323" s="115"/>
      <c r="BC1323" s="115"/>
      <c r="BD1323" s="115"/>
      <c r="BE1323" s="115"/>
      <c r="BF1323" s="115"/>
      <c r="BG1323" s="115"/>
      <c r="BH1323" s="115"/>
      <c r="BI1323" s="115"/>
      <c r="BJ1323" s="115"/>
      <c r="BK1323" s="115"/>
      <c r="BL1323" s="115"/>
      <c r="BM1323" s="26"/>
      <c r="BN1323" s="25"/>
      <c r="BQ1323" s="114"/>
    </row>
    <row r="1324" spans="1:69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22"/>
      <c r="AW1324" s="122"/>
      <c r="AX1324" s="122"/>
      <c r="AY1324" s="115"/>
      <c r="AZ1324" s="115"/>
      <c r="BA1324" s="115"/>
      <c r="BB1324" s="115"/>
      <c r="BC1324" s="115"/>
      <c r="BD1324" s="115"/>
      <c r="BE1324" s="115"/>
      <c r="BF1324" s="115"/>
      <c r="BG1324" s="115"/>
      <c r="BH1324" s="115"/>
      <c r="BI1324" s="115"/>
      <c r="BJ1324" s="115"/>
      <c r="BK1324" s="115"/>
      <c r="BL1324" s="115"/>
      <c r="BM1324" s="17"/>
      <c r="BN1324" s="13"/>
      <c r="BQ1324" s="114"/>
    </row>
    <row r="1325" spans="1:69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22"/>
      <c r="AW1325" s="122"/>
      <c r="AX1325" s="122"/>
      <c r="AY1325" s="115"/>
      <c r="AZ1325" s="115"/>
      <c r="BA1325" s="115"/>
      <c r="BB1325" s="115"/>
      <c r="BC1325" s="115"/>
      <c r="BD1325" s="115"/>
      <c r="BE1325" s="115"/>
      <c r="BF1325" s="115"/>
      <c r="BG1325" s="115"/>
      <c r="BH1325" s="115"/>
      <c r="BI1325" s="115"/>
      <c r="BJ1325" s="115"/>
      <c r="BK1325" s="115"/>
      <c r="BL1325" s="115"/>
      <c r="BM1325" s="26"/>
      <c r="BN1325" s="15"/>
      <c r="BQ1325" s="114"/>
    </row>
    <row r="1326" spans="1:69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22"/>
      <c r="AW1326" s="122"/>
      <c r="AX1326" s="122"/>
      <c r="AY1326" s="115"/>
      <c r="AZ1326" s="115"/>
      <c r="BA1326" s="115"/>
      <c r="BB1326" s="115"/>
      <c r="BC1326" s="115"/>
      <c r="BD1326" s="115"/>
      <c r="BE1326" s="115"/>
      <c r="BF1326" s="115"/>
      <c r="BG1326" s="115"/>
      <c r="BH1326" s="115"/>
      <c r="BI1326" s="115"/>
      <c r="BJ1326" s="115"/>
      <c r="BK1326" s="115"/>
      <c r="BL1326" s="115"/>
      <c r="BM1326" s="26"/>
      <c r="BN1326" s="15"/>
      <c r="BQ1326" s="114"/>
    </row>
    <row r="1327" spans="1:69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22"/>
      <c r="AW1327" s="122"/>
      <c r="AX1327" s="122"/>
      <c r="AY1327" s="115"/>
      <c r="AZ1327" s="115"/>
      <c r="BA1327" s="115"/>
      <c r="BB1327" s="115"/>
      <c r="BC1327" s="115"/>
      <c r="BD1327" s="115"/>
      <c r="BE1327" s="115"/>
      <c r="BF1327" s="115"/>
      <c r="BG1327" s="115"/>
      <c r="BH1327" s="115"/>
      <c r="BI1327" s="115"/>
      <c r="BJ1327" s="115"/>
      <c r="BK1327" s="115"/>
      <c r="BL1327" s="115"/>
      <c r="BM1327" s="17"/>
      <c r="BN1327" s="15"/>
      <c r="BQ1327" s="114"/>
    </row>
    <row r="1328" spans="1:69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22"/>
      <c r="AW1328" s="122"/>
      <c r="AX1328" s="122"/>
      <c r="AY1328" s="115"/>
      <c r="AZ1328" s="115"/>
      <c r="BA1328" s="115"/>
      <c r="BB1328" s="115"/>
      <c r="BC1328" s="115"/>
      <c r="BD1328" s="115"/>
      <c r="BE1328" s="115"/>
      <c r="BF1328" s="115"/>
      <c r="BG1328" s="115"/>
      <c r="BH1328" s="115"/>
      <c r="BI1328" s="115"/>
      <c r="BJ1328" s="115"/>
      <c r="BK1328" s="115"/>
      <c r="BL1328" s="115"/>
      <c r="BM1328" s="26"/>
      <c r="BN1328" s="15"/>
      <c r="BQ1328" s="114"/>
    </row>
    <row r="1329" spans="1:69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22"/>
      <c r="AW1329" s="122"/>
      <c r="AX1329" s="122"/>
      <c r="AY1329" s="115"/>
      <c r="AZ1329" s="115"/>
      <c r="BA1329" s="115"/>
      <c r="BB1329" s="115"/>
      <c r="BC1329" s="115"/>
      <c r="BD1329" s="115"/>
      <c r="BE1329" s="115"/>
      <c r="BF1329" s="115"/>
      <c r="BG1329" s="115"/>
      <c r="BH1329" s="115"/>
      <c r="BI1329" s="115"/>
      <c r="BJ1329" s="115"/>
      <c r="BK1329" s="115"/>
      <c r="BL1329" s="115"/>
      <c r="BM1329" s="26"/>
      <c r="BN1329" s="15"/>
      <c r="BQ1329" s="114"/>
    </row>
    <row r="1330" spans="1:69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22"/>
      <c r="AW1330" s="122"/>
      <c r="AX1330" s="122"/>
      <c r="AY1330" s="115"/>
      <c r="AZ1330" s="115"/>
      <c r="BA1330" s="115"/>
      <c r="BB1330" s="115"/>
      <c r="BC1330" s="115"/>
      <c r="BD1330" s="115"/>
      <c r="BE1330" s="115"/>
      <c r="BF1330" s="115"/>
      <c r="BG1330" s="115"/>
      <c r="BH1330" s="115"/>
      <c r="BI1330" s="115"/>
      <c r="BJ1330" s="115"/>
      <c r="BK1330" s="115"/>
      <c r="BL1330" s="115"/>
      <c r="BM1330" s="26"/>
      <c r="BN1330" s="13"/>
      <c r="BQ1330" s="114"/>
    </row>
    <row r="1331" spans="1:69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22"/>
      <c r="AW1331" s="122"/>
      <c r="AX1331" s="122"/>
      <c r="AY1331" s="115"/>
      <c r="AZ1331" s="115"/>
      <c r="BA1331" s="115"/>
      <c r="BB1331" s="115"/>
      <c r="BC1331" s="115"/>
      <c r="BD1331" s="115"/>
      <c r="BE1331" s="115"/>
      <c r="BF1331" s="115"/>
      <c r="BG1331" s="115"/>
      <c r="BH1331" s="115"/>
      <c r="BI1331" s="115"/>
      <c r="BJ1331" s="115"/>
      <c r="BK1331" s="115"/>
      <c r="BL1331" s="115"/>
      <c r="BM1331" s="26"/>
      <c r="BN1331" s="13"/>
      <c r="BQ1331" s="114"/>
    </row>
    <row r="1332" spans="1:69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22"/>
      <c r="AW1332" s="122"/>
      <c r="AX1332" s="122"/>
      <c r="AY1332" s="115"/>
      <c r="AZ1332" s="115"/>
      <c r="BA1332" s="115"/>
      <c r="BB1332" s="115"/>
      <c r="BC1332" s="115"/>
      <c r="BD1332" s="115"/>
      <c r="BE1332" s="115"/>
      <c r="BF1332" s="115"/>
      <c r="BG1332" s="115"/>
      <c r="BH1332" s="115"/>
      <c r="BI1332" s="115"/>
      <c r="BJ1332" s="115"/>
      <c r="BK1332" s="115"/>
      <c r="BL1332" s="115"/>
      <c r="BM1332" s="26"/>
      <c r="BN1332" s="13"/>
      <c r="BQ1332" s="114"/>
    </row>
    <row r="1333" spans="1:69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22"/>
      <c r="AW1333" s="122"/>
      <c r="AX1333" s="122"/>
      <c r="AY1333" s="115"/>
      <c r="AZ1333" s="115"/>
      <c r="BA1333" s="115"/>
      <c r="BB1333" s="115"/>
      <c r="BC1333" s="115"/>
      <c r="BD1333" s="115"/>
      <c r="BE1333" s="115"/>
      <c r="BF1333" s="115"/>
      <c r="BG1333" s="115"/>
      <c r="BH1333" s="115"/>
      <c r="BI1333" s="115"/>
      <c r="BJ1333" s="115"/>
      <c r="BK1333" s="115"/>
      <c r="BL1333" s="115"/>
      <c r="BM1333" s="26"/>
      <c r="BN1333" s="13"/>
      <c r="BQ1333" s="114"/>
    </row>
    <row r="1334" spans="1:69" x14ac:dyDescent="0.4">
      <c r="A1334" s="115"/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22"/>
      <c r="AW1334" s="122"/>
      <c r="AX1334" s="122"/>
      <c r="AY1334" s="115"/>
      <c r="AZ1334" s="115"/>
      <c r="BA1334" s="115"/>
      <c r="BB1334" s="115"/>
      <c r="BC1334" s="115"/>
      <c r="BD1334" s="115"/>
      <c r="BE1334" s="115"/>
      <c r="BF1334" s="115"/>
      <c r="BG1334" s="115"/>
      <c r="BH1334" s="115"/>
      <c r="BI1334" s="115"/>
      <c r="BJ1334" s="115"/>
      <c r="BK1334" s="115"/>
      <c r="BL1334" s="115"/>
      <c r="BM1334" s="26"/>
      <c r="BN1334" s="13"/>
      <c r="BQ1334" s="114"/>
    </row>
    <row r="1335" spans="1:69" x14ac:dyDescent="0.4">
      <c r="A1335" s="115"/>
      <c r="B1335" s="115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22"/>
      <c r="AW1335" s="122"/>
      <c r="AX1335" s="122"/>
      <c r="AY1335" s="115"/>
      <c r="AZ1335" s="115"/>
      <c r="BA1335" s="115"/>
      <c r="BB1335" s="115"/>
      <c r="BC1335" s="115"/>
      <c r="BD1335" s="115"/>
      <c r="BE1335" s="115"/>
      <c r="BF1335" s="115"/>
      <c r="BG1335" s="115"/>
      <c r="BH1335" s="115"/>
      <c r="BI1335" s="115"/>
      <c r="BJ1335" s="115"/>
      <c r="BK1335" s="115"/>
      <c r="BL1335" s="115"/>
      <c r="BM1335" s="26"/>
      <c r="BN1335" s="13"/>
      <c r="BQ1335" s="114"/>
    </row>
    <row r="1336" spans="1:69" x14ac:dyDescent="0.4">
      <c r="A1336" s="115"/>
      <c r="B1336" s="115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22"/>
      <c r="AW1336" s="122"/>
      <c r="AX1336" s="122"/>
      <c r="AY1336" s="115"/>
      <c r="AZ1336" s="115"/>
      <c r="BA1336" s="115"/>
      <c r="BB1336" s="115"/>
      <c r="BC1336" s="115"/>
      <c r="BD1336" s="115"/>
      <c r="BE1336" s="115"/>
      <c r="BF1336" s="115"/>
      <c r="BG1336" s="115"/>
      <c r="BH1336" s="115"/>
      <c r="BI1336" s="115"/>
      <c r="BJ1336" s="115"/>
      <c r="BK1336" s="115"/>
      <c r="BL1336" s="115"/>
      <c r="BM1336" s="26"/>
      <c r="BN1336" s="13"/>
      <c r="BQ1336" s="114"/>
    </row>
    <row r="1337" spans="1:69" x14ac:dyDescent="0.4">
      <c r="A1337" s="115"/>
      <c r="B1337" s="115"/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22"/>
      <c r="AW1337" s="122"/>
      <c r="AX1337" s="122"/>
      <c r="AY1337" s="115"/>
      <c r="AZ1337" s="115"/>
      <c r="BA1337" s="115"/>
      <c r="BB1337" s="115"/>
      <c r="BC1337" s="115"/>
      <c r="BD1337" s="115"/>
      <c r="BE1337" s="115"/>
      <c r="BF1337" s="115"/>
      <c r="BG1337" s="115"/>
      <c r="BH1337" s="115"/>
      <c r="BI1337" s="115"/>
      <c r="BJ1337" s="115"/>
      <c r="BK1337" s="115"/>
      <c r="BL1337" s="115"/>
      <c r="BM1337" s="26"/>
      <c r="BN1337" s="13"/>
      <c r="BQ1337" s="114"/>
    </row>
    <row r="1338" spans="1:69" x14ac:dyDescent="0.4">
      <c r="A1338" s="115"/>
      <c r="B1338" s="115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22"/>
      <c r="AW1338" s="122"/>
      <c r="AX1338" s="122"/>
      <c r="AY1338" s="115"/>
      <c r="AZ1338" s="115"/>
      <c r="BA1338" s="115"/>
      <c r="BB1338" s="115"/>
      <c r="BC1338" s="115"/>
      <c r="BD1338" s="115"/>
      <c r="BE1338" s="115"/>
      <c r="BF1338" s="115"/>
      <c r="BG1338" s="115"/>
      <c r="BH1338" s="115"/>
      <c r="BI1338" s="115"/>
      <c r="BJ1338" s="115"/>
      <c r="BK1338" s="115"/>
      <c r="BL1338" s="115"/>
      <c r="BM1338" s="17"/>
      <c r="BN1338" s="13"/>
      <c r="BQ1338" s="114"/>
    </row>
    <row r="1339" spans="1:69" x14ac:dyDescent="0.4">
      <c r="A1339" s="115"/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22"/>
      <c r="AW1339" s="122"/>
      <c r="AX1339" s="122"/>
      <c r="AY1339" s="115"/>
      <c r="AZ1339" s="115"/>
      <c r="BA1339" s="115"/>
      <c r="BB1339" s="115"/>
      <c r="BC1339" s="115"/>
      <c r="BD1339" s="115"/>
      <c r="BE1339" s="115"/>
      <c r="BF1339" s="115"/>
      <c r="BG1339" s="115"/>
      <c r="BH1339" s="115"/>
      <c r="BI1339" s="115"/>
      <c r="BJ1339" s="115"/>
      <c r="BK1339" s="115"/>
      <c r="BL1339" s="115"/>
      <c r="BM1339" s="26"/>
      <c r="BN1339" s="13"/>
      <c r="BQ1339" s="114"/>
    </row>
    <row r="1340" spans="1:69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22"/>
      <c r="AW1340" s="122"/>
      <c r="AX1340" s="122"/>
      <c r="AY1340" s="115"/>
      <c r="AZ1340" s="115"/>
      <c r="BA1340" s="115"/>
      <c r="BB1340" s="115"/>
      <c r="BC1340" s="115"/>
      <c r="BD1340" s="115"/>
      <c r="BE1340" s="115"/>
      <c r="BF1340" s="115"/>
      <c r="BG1340" s="115"/>
      <c r="BH1340" s="115"/>
      <c r="BI1340" s="115"/>
      <c r="BJ1340" s="115"/>
      <c r="BK1340" s="115"/>
      <c r="BL1340" s="115"/>
      <c r="BM1340" s="17"/>
      <c r="BN1340" s="13"/>
      <c r="BQ1340" s="114"/>
    </row>
    <row r="1341" spans="1:69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22"/>
      <c r="AW1341" s="122"/>
      <c r="AX1341" s="122"/>
      <c r="AY1341" s="115"/>
      <c r="AZ1341" s="115"/>
      <c r="BA1341" s="115"/>
      <c r="BB1341" s="115"/>
      <c r="BC1341" s="115"/>
      <c r="BD1341" s="115"/>
      <c r="BE1341" s="115"/>
      <c r="BF1341" s="115"/>
      <c r="BG1341" s="115"/>
      <c r="BH1341" s="115"/>
      <c r="BI1341" s="115"/>
      <c r="BJ1341" s="115"/>
      <c r="BK1341" s="115"/>
      <c r="BL1341" s="115"/>
      <c r="BM1341" s="26"/>
      <c r="BN1341" s="13"/>
      <c r="BQ1341" s="114"/>
    </row>
    <row r="1342" spans="1:69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22"/>
      <c r="AW1342" s="122"/>
      <c r="AX1342" s="122"/>
      <c r="AY1342" s="115"/>
      <c r="AZ1342" s="115"/>
      <c r="BA1342" s="115"/>
      <c r="BB1342" s="115"/>
      <c r="BC1342" s="115"/>
      <c r="BD1342" s="115"/>
      <c r="BE1342" s="115"/>
      <c r="BF1342" s="115"/>
      <c r="BG1342" s="115"/>
      <c r="BH1342" s="115"/>
      <c r="BI1342" s="115"/>
      <c r="BJ1342" s="115"/>
      <c r="BK1342" s="115"/>
      <c r="BL1342" s="115"/>
      <c r="BM1342" s="26"/>
      <c r="BN1342" s="13"/>
      <c r="BQ1342" s="114"/>
    </row>
    <row r="1343" spans="1:69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22"/>
      <c r="AW1343" s="122"/>
      <c r="AX1343" s="122"/>
      <c r="AY1343" s="115"/>
      <c r="AZ1343" s="115"/>
      <c r="BA1343" s="115"/>
      <c r="BB1343" s="115"/>
      <c r="BC1343" s="115"/>
      <c r="BD1343" s="115"/>
      <c r="BE1343" s="115"/>
      <c r="BF1343" s="115"/>
      <c r="BG1343" s="115"/>
      <c r="BH1343" s="115"/>
      <c r="BI1343" s="115"/>
      <c r="BJ1343" s="115"/>
      <c r="BK1343" s="115"/>
      <c r="BL1343" s="115"/>
      <c r="BM1343" s="26"/>
      <c r="BN1343" s="13"/>
      <c r="BQ1343" s="114"/>
    </row>
    <row r="1344" spans="1:69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22"/>
      <c r="AW1344" s="122"/>
      <c r="AX1344" s="122"/>
      <c r="AY1344" s="115"/>
      <c r="AZ1344" s="115"/>
      <c r="BA1344" s="115"/>
      <c r="BB1344" s="115"/>
      <c r="BC1344" s="115"/>
      <c r="BD1344" s="115"/>
      <c r="BE1344" s="115"/>
      <c r="BF1344" s="115"/>
      <c r="BG1344" s="115"/>
      <c r="BH1344" s="115"/>
      <c r="BI1344" s="115"/>
      <c r="BJ1344" s="115"/>
      <c r="BK1344" s="115"/>
      <c r="BL1344" s="115"/>
      <c r="BM1344" s="26"/>
      <c r="BN1344" s="15"/>
      <c r="BQ1344" s="114"/>
    </row>
    <row r="1345" spans="1:70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22"/>
      <c r="AW1345" s="122"/>
      <c r="AX1345" s="122"/>
      <c r="AY1345" s="115"/>
      <c r="AZ1345" s="115"/>
      <c r="BA1345" s="115"/>
      <c r="BB1345" s="115"/>
      <c r="BC1345" s="115"/>
      <c r="BD1345" s="115"/>
      <c r="BE1345" s="115"/>
      <c r="BF1345" s="115"/>
      <c r="BG1345" s="115"/>
      <c r="BH1345" s="115"/>
      <c r="BI1345" s="115"/>
      <c r="BJ1345" s="115"/>
      <c r="BK1345" s="115"/>
      <c r="BL1345" s="115"/>
      <c r="BM1345" s="26"/>
      <c r="BN1345" s="15"/>
      <c r="BQ1345" s="114"/>
    </row>
    <row r="1346" spans="1:70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22"/>
      <c r="AW1346" s="122"/>
      <c r="AX1346" s="122"/>
      <c r="AY1346" s="115"/>
      <c r="AZ1346" s="115"/>
      <c r="BA1346" s="115"/>
      <c r="BB1346" s="115"/>
      <c r="BC1346" s="115"/>
      <c r="BD1346" s="115"/>
      <c r="BE1346" s="115"/>
      <c r="BF1346" s="115"/>
      <c r="BG1346" s="115"/>
      <c r="BH1346" s="115"/>
      <c r="BI1346" s="115"/>
      <c r="BJ1346" s="115"/>
      <c r="BK1346" s="115"/>
      <c r="BL1346" s="115"/>
      <c r="BM1346" s="26"/>
      <c r="BN1346" s="15"/>
      <c r="BQ1346" s="114"/>
    </row>
    <row r="1347" spans="1:70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22"/>
      <c r="AW1347" s="122"/>
      <c r="AX1347" s="122"/>
      <c r="AY1347" s="115"/>
      <c r="AZ1347" s="115"/>
      <c r="BA1347" s="115"/>
      <c r="BB1347" s="115"/>
      <c r="BC1347" s="115"/>
      <c r="BD1347" s="115"/>
      <c r="BE1347" s="115"/>
      <c r="BF1347" s="115"/>
      <c r="BG1347" s="115"/>
      <c r="BH1347" s="115"/>
      <c r="BI1347" s="115"/>
      <c r="BJ1347" s="115"/>
      <c r="BK1347" s="115"/>
      <c r="BL1347" s="115"/>
      <c r="BM1347" s="26"/>
      <c r="BN1347" s="13"/>
      <c r="BQ1347" s="114"/>
    </row>
    <row r="1348" spans="1:70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22"/>
      <c r="AW1348" s="122"/>
      <c r="AX1348" s="122"/>
      <c r="AY1348" s="115"/>
      <c r="AZ1348" s="115"/>
      <c r="BA1348" s="115"/>
      <c r="BB1348" s="115"/>
      <c r="BC1348" s="115"/>
      <c r="BD1348" s="115"/>
      <c r="BE1348" s="115"/>
      <c r="BF1348" s="115"/>
      <c r="BG1348" s="115"/>
      <c r="BH1348" s="115"/>
      <c r="BI1348" s="115"/>
      <c r="BJ1348" s="115"/>
      <c r="BK1348" s="115"/>
      <c r="BL1348" s="115"/>
      <c r="BM1348" s="26"/>
      <c r="BN1348" s="15"/>
      <c r="BQ1348" s="114"/>
    </row>
    <row r="1349" spans="1:70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22"/>
      <c r="AW1349" s="122"/>
      <c r="AX1349" s="122"/>
      <c r="AY1349" s="115"/>
      <c r="AZ1349" s="115"/>
      <c r="BA1349" s="115"/>
      <c r="BB1349" s="115"/>
      <c r="BC1349" s="115"/>
      <c r="BD1349" s="115"/>
      <c r="BE1349" s="115"/>
      <c r="BF1349" s="115"/>
      <c r="BG1349" s="115"/>
      <c r="BH1349" s="115"/>
      <c r="BI1349" s="115"/>
      <c r="BJ1349" s="115"/>
      <c r="BK1349" s="115"/>
      <c r="BL1349" s="115"/>
      <c r="BM1349" s="26"/>
      <c r="BN1349" s="15"/>
      <c r="BQ1349" s="114"/>
      <c r="BR1349" s="120"/>
    </row>
    <row r="1350" spans="1:70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22"/>
      <c r="AW1350" s="122"/>
      <c r="AX1350" s="122"/>
      <c r="AY1350" s="115"/>
      <c r="AZ1350" s="115"/>
      <c r="BA1350" s="115"/>
      <c r="BB1350" s="115"/>
      <c r="BC1350" s="115"/>
      <c r="BD1350" s="115"/>
      <c r="BE1350" s="115"/>
      <c r="BF1350" s="115"/>
      <c r="BG1350" s="115"/>
      <c r="BH1350" s="115"/>
      <c r="BI1350" s="115"/>
      <c r="BJ1350" s="115"/>
      <c r="BK1350" s="115"/>
      <c r="BL1350" s="115"/>
      <c r="BM1350" s="26"/>
      <c r="BN1350" s="15"/>
      <c r="BQ1350" s="114"/>
      <c r="BR1350" s="120"/>
    </row>
    <row r="1351" spans="1:70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22"/>
      <c r="AW1351" s="122"/>
      <c r="AX1351" s="122"/>
      <c r="AY1351" s="115"/>
      <c r="AZ1351" s="115"/>
      <c r="BA1351" s="115"/>
      <c r="BB1351" s="115"/>
      <c r="BC1351" s="115"/>
      <c r="BD1351" s="115"/>
      <c r="BE1351" s="115"/>
      <c r="BF1351" s="115"/>
      <c r="BG1351" s="115"/>
      <c r="BH1351" s="115"/>
      <c r="BI1351" s="115"/>
      <c r="BJ1351" s="115"/>
      <c r="BK1351" s="115"/>
      <c r="BL1351" s="115"/>
      <c r="BM1351" s="26"/>
      <c r="BN1351" s="15"/>
      <c r="BQ1351" s="114"/>
      <c r="BR1351" s="120"/>
    </row>
    <row r="1352" spans="1:70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22"/>
      <c r="AW1352" s="122"/>
      <c r="AX1352" s="122"/>
      <c r="AY1352" s="115"/>
      <c r="AZ1352" s="115"/>
      <c r="BA1352" s="115"/>
      <c r="BB1352" s="115"/>
      <c r="BC1352" s="115"/>
      <c r="BD1352" s="115"/>
      <c r="BE1352" s="115"/>
      <c r="BF1352" s="115"/>
      <c r="BG1352" s="115"/>
      <c r="BH1352" s="115"/>
      <c r="BI1352" s="115"/>
      <c r="BJ1352" s="115"/>
      <c r="BK1352" s="115"/>
      <c r="BL1352" s="115"/>
      <c r="BM1352" s="26"/>
      <c r="BN1352" s="15"/>
      <c r="BQ1352" s="114"/>
      <c r="BR1352" s="120"/>
    </row>
    <row r="1353" spans="1:70" x14ac:dyDescent="0.4">
      <c r="A1353" s="115"/>
      <c r="B1353" s="115"/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22"/>
      <c r="AW1353" s="122"/>
      <c r="AX1353" s="122"/>
      <c r="AY1353" s="115"/>
      <c r="AZ1353" s="115"/>
      <c r="BA1353" s="115"/>
      <c r="BB1353" s="115"/>
      <c r="BC1353" s="115"/>
      <c r="BD1353" s="115"/>
      <c r="BE1353" s="115"/>
      <c r="BF1353" s="115"/>
      <c r="BG1353" s="115"/>
      <c r="BH1353" s="115"/>
      <c r="BI1353" s="115"/>
      <c r="BJ1353" s="115"/>
      <c r="BK1353" s="115"/>
      <c r="BL1353" s="115"/>
      <c r="BM1353" s="26"/>
      <c r="BN1353" s="15"/>
      <c r="BQ1353" s="114"/>
      <c r="BR1353" s="120"/>
    </row>
    <row r="1354" spans="1:70" x14ac:dyDescent="0.4">
      <c r="A1354" s="115"/>
      <c r="B1354" s="115"/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22"/>
      <c r="AW1354" s="122"/>
      <c r="AX1354" s="122"/>
      <c r="AY1354" s="115"/>
      <c r="AZ1354" s="115"/>
      <c r="BA1354" s="115"/>
      <c r="BB1354" s="115"/>
      <c r="BC1354" s="115"/>
      <c r="BD1354" s="115"/>
      <c r="BE1354" s="115"/>
      <c r="BF1354" s="115"/>
      <c r="BG1354" s="115"/>
      <c r="BH1354" s="115"/>
      <c r="BI1354" s="115"/>
      <c r="BJ1354" s="115"/>
      <c r="BK1354" s="115"/>
      <c r="BL1354" s="115"/>
      <c r="BM1354" s="26"/>
      <c r="BN1354" s="15"/>
      <c r="BQ1354" s="114"/>
      <c r="BR1354" s="120"/>
    </row>
    <row r="1355" spans="1:70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22"/>
      <c r="AW1355" s="122"/>
      <c r="AX1355" s="122"/>
      <c r="AY1355" s="115"/>
      <c r="AZ1355" s="115"/>
      <c r="BA1355" s="115"/>
      <c r="BB1355" s="115"/>
      <c r="BC1355" s="115"/>
      <c r="BD1355" s="115"/>
      <c r="BE1355" s="115"/>
      <c r="BF1355" s="115"/>
      <c r="BG1355" s="115"/>
      <c r="BH1355" s="115"/>
      <c r="BI1355" s="115"/>
      <c r="BJ1355" s="115"/>
      <c r="BK1355" s="115"/>
      <c r="BL1355" s="115"/>
      <c r="BM1355" s="26"/>
      <c r="BN1355" s="15"/>
      <c r="BQ1355" s="114"/>
      <c r="BR1355" s="120"/>
    </row>
    <row r="1356" spans="1:70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22"/>
      <c r="AW1356" s="122"/>
      <c r="AX1356" s="122"/>
      <c r="AY1356" s="115"/>
      <c r="AZ1356" s="115"/>
      <c r="BA1356" s="115"/>
      <c r="BB1356" s="115"/>
      <c r="BC1356" s="115"/>
      <c r="BD1356" s="115"/>
      <c r="BE1356" s="115"/>
      <c r="BF1356" s="115"/>
      <c r="BG1356" s="115"/>
      <c r="BH1356" s="115"/>
      <c r="BI1356" s="115"/>
      <c r="BJ1356" s="115"/>
      <c r="BK1356" s="115"/>
      <c r="BL1356" s="115"/>
      <c r="BM1356" s="17"/>
      <c r="BN1356" s="15"/>
      <c r="BQ1356" s="114"/>
      <c r="BR1356" s="120"/>
    </row>
    <row r="1357" spans="1:70" x14ac:dyDescent="0.4">
      <c r="A1357" s="115"/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22"/>
      <c r="AW1357" s="122"/>
      <c r="AX1357" s="122"/>
      <c r="AY1357" s="115"/>
      <c r="AZ1357" s="115"/>
      <c r="BA1357" s="115"/>
      <c r="BB1357" s="115"/>
      <c r="BC1357" s="115"/>
      <c r="BD1357" s="115"/>
      <c r="BE1357" s="115"/>
      <c r="BF1357" s="115"/>
      <c r="BG1357" s="115"/>
      <c r="BH1357" s="115"/>
      <c r="BI1357" s="115"/>
      <c r="BJ1357" s="115"/>
      <c r="BK1357" s="115"/>
      <c r="BL1357" s="115"/>
      <c r="BM1357" s="26"/>
      <c r="BN1357" s="15"/>
      <c r="BQ1357" s="114"/>
      <c r="BR1357" s="120"/>
    </row>
    <row r="1358" spans="1:70" x14ac:dyDescent="0.4">
      <c r="A1358" s="115"/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22"/>
      <c r="AW1358" s="122"/>
      <c r="AX1358" s="122"/>
      <c r="AY1358" s="115"/>
      <c r="AZ1358" s="115"/>
      <c r="BA1358" s="115"/>
      <c r="BB1358" s="115"/>
      <c r="BC1358" s="115"/>
      <c r="BD1358" s="115"/>
      <c r="BE1358" s="115"/>
      <c r="BF1358" s="115"/>
      <c r="BG1358" s="115"/>
      <c r="BH1358" s="115"/>
      <c r="BI1358" s="115"/>
      <c r="BJ1358" s="115"/>
      <c r="BK1358" s="115"/>
      <c r="BL1358" s="115"/>
      <c r="BM1358" s="26"/>
      <c r="BN1358" s="15"/>
      <c r="BQ1358" s="114"/>
    </row>
    <row r="1359" spans="1:70" x14ac:dyDescent="0.4">
      <c r="BM1359" s="26"/>
      <c r="BN1359" s="15"/>
      <c r="BQ1359" s="114"/>
    </row>
    <row r="1360" spans="1:70" x14ac:dyDescent="0.4">
      <c r="AZ1360" s="115"/>
      <c r="BA1360" s="115"/>
      <c r="BB1360" s="115"/>
      <c r="BC1360" s="115"/>
      <c r="BD1360" s="115"/>
      <c r="BE1360" s="115"/>
      <c r="BF1360" s="115"/>
      <c r="BG1360" s="115"/>
      <c r="BH1360" s="115"/>
      <c r="BI1360" s="115"/>
      <c r="BJ1360" s="115"/>
      <c r="BK1360" s="115"/>
      <c r="BL1360" s="115"/>
      <c r="BM1360" s="17"/>
      <c r="BN1360" s="15"/>
      <c r="BQ1360" s="114"/>
    </row>
    <row r="1361" spans="4:73" x14ac:dyDescent="0.4">
      <c r="AZ1361" s="115"/>
      <c r="BA1361" s="115"/>
      <c r="BB1361" s="115"/>
      <c r="BC1361" s="115"/>
      <c r="BD1361" s="115"/>
      <c r="BE1361" s="115"/>
      <c r="BF1361" s="115"/>
      <c r="BG1361" s="115"/>
      <c r="BH1361" s="115"/>
      <c r="BI1361" s="115"/>
      <c r="BJ1361" s="115"/>
      <c r="BK1361" s="115"/>
      <c r="BL1361" s="115"/>
      <c r="BM1361" s="17"/>
      <c r="BN1361" s="15"/>
      <c r="BQ1361" s="114"/>
    </row>
    <row r="1362" spans="4:73" x14ac:dyDescent="0.4">
      <c r="AX1362" s="122"/>
      <c r="AY1362" s="115"/>
      <c r="AZ1362" s="115"/>
      <c r="BA1362" s="115"/>
      <c r="BB1362" s="115"/>
      <c r="BC1362" s="115"/>
      <c r="BD1362" s="115"/>
      <c r="BE1362" s="115"/>
      <c r="BF1362" s="115"/>
      <c r="BG1362" s="115"/>
      <c r="BH1362" s="115"/>
      <c r="BI1362" s="115"/>
      <c r="BJ1362" s="115"/>
      <c r="BK1362" s="115"/>
      <c r="BL1362" s="115"/>
      <c r="BM1362" s="17"/>
      <c r="BN1362" s="15"/>
      <c r="BQ1362" s="114"/>
    </row>
    <row r="1363" spans="4:73" x14ac:dyDescent="0.4">
      <c r="AS1363" s="115"/>
      <c r="AT1363" s="115"/>
      <c r="AU1363" s="115"/>
      <c r="AV1363" s="122"/>
      <c r="AW1363" s="122"/>
      <c r="AX1363" s="122"/>
      <c r="AY1363" s="115"/>
      <c r="AZ1363" s="115"/>
      <c r="BA1363" s="115"/>
      <c r="BB1363" s="115"/>
      <c r="BC1363" s="115"/>
      <c r="BD1363" s="115"/>
      <c r="BE1363" s="115"/>
      <c r="BF1363" s="115"/>
      <c r="BG1363" s="115"/>
      <c r="BH1363" s="115"/>
      <c r="BI1363" s="115"/>
      <c r="BJ1363" s="115"/>
      <c r="BK1363" s="115"/>
      <c r="BL1363" s="115"/>
      <c r="BM1363" s="26"/>
      <c r="BN1363" s="15"/>
      <c r="BQ1363" s="114"/>
    </row>
    <row r="1364" spans="4:73" x14ac:dyDescent="0.4">
      <c r="AS1364" s="115"/>
      <c r="AT1364" s="115"/>
      <c r="AU1364" s="115"/>
      <c r="AV1364" s="122"/>
      <c r="AW1364" s="122"/>
      <c r="AX1364" s="122"/>
      <c r="AY1364" s="115"/>
      <c r="AZ1364" s="115"/>
      <c r="BA1364" s="115"/>
      <c r="BB1364" s="115"/>
      <c r="BC1364" s="115"/>
      <c r="BD1364" s="115"/>
      <c r="BE1364" s="115"/>
      <c r="BF1364" s="115"/>
      <c r="BG1364" s="115"/>
      <c r="BH1364" s="115"/>
      <c r="BI1364" s="115"/>
      <c r="BJ1364" s="115"/>
      <c r="BK1364" s="115"/>
      <c r="BL1364" s="115"/>
      <c r="BM1364" s="17"/>
      <c r="BN1364" s="15"/>
      <c r="BQ1364" s="114"/>
    </row>
    <row r="1365" spans="4:73" x14ac:dyDescent="0.4">
      <c r="AR1365" s="115"/>
      <c r="AS1365" s="115"/>
      <c r="AT1365" s="115"/>
      <c r="AU1365" s="115"/>
      <c r="AV1365" s="122"/>
      <c r="AW1365" s="122"/>
      <c r="AX1365" s="122"/>
      <c r="AY1365" s="115"/>
      <c r="AZ1365" s="115"/>
      <c r="BA1365" s="115"/>
      <c r="BB1365" s="115"/>
      <c r="BC1365" s="115"/>
      <c r="BD1365" s="115"/>
      <c r="BE1365" s="115"/>
      <c r="BF1365" s="115"/>
      <c r="BG1365" s="115"/>
      <c r="BH1365" s="115"/>
      <c r="BI1365" s="115"/>
      <c r="BJ1365" s="115"/>
      <c r="BK1365" s="115"/>
      <c r="BL1365" s="115"/>
      <c r="BM1365" s="26"/>
      <c r="BN1365" s="15"/>
      <c r="BQ1365" s="114"/>
    </row>
    <row r="1366" spans="4:73" x14ac:dyDescent="0.4">
      <c r="AR1366" s="115"/>
      <c r="AS1366" s="115"/>
      <c r="AT1366" s="115"/>
      <c r="AU1366" s="115"/>
      <c r="AV1366" s="122"/>
      <c r="AW1366" s="122"/>
      <c r="AX1366" s="122"/>
      <c r="AY1366" s="115"/>
      <c r="AZ1366" s="115"/>
      <c r="BA1366" s="115"/>
      <c r="BB1366" s="115"/>
      <c r="BC1366" s="115"/>
      <c r="BD1366" s="115"/>
      <c r="BE1366" s="115"/>
      <c r="BF1366" s="115"/>
      <c r="BG1366" s="115"/>
      <c r="BH1366" s="115"/>
      <c r="BI1366" s="115"/>
      <c r="BJ1366" s="115"/>
      <c r="BK1366" s="115"/>
      <c r="BL1366" s="115"/>
      <c r="BM1366" s="17"/>
      <c r="BN1366" s="15"/>
      <c r="BQ1366" s="114"/>
    </row>
    <row r="1367" spans="4:73" x14ac:dyDescent="0.4">
      <c r="AR1367" s="115"/>
      <c r="AS1367" s="115"/>
      <c r="AT1367" s="115"/>
      <c r="AU1367" s="115"/>
      <c r="AV1367" s="122"/>
      <c r="AW1367" s="122"/>
      <c r="AX1367" s="122"/>
      <c r="AY1367" s="115"/>
      <c r="AZ1367" s="115"/>
      <c r="BA1367" s="115"/>
      <c r="BB1367" s="115"/>
      <c r="BC1367" s="115"/>
      <c r="BD1367" s="115"/>
      <c r="BE1367" s="115"/>
      <c r="BF1367" s="115"/>
      <c r="BG1367" s="115"/>
      <c r="BH1367" s="115"/>
      <c r="BI1367" s="115"/>
      <c r="BJ1367" s="115"/>
      <c r="BK1367" s="115"/>
      <c r="BL1367" s="115"/>
      <c r="BM1367" s="17"/>
      <c r="BN1367" s="15"/>
      <c r="BQ1367" s="114"/>
    </row>
    <row r="1368" spans="4:73" x14ac:dyDescent="0.4">
      <c r="AR1368" s="115"/>
      <c r="AS1368" s="115"/>
      <c r="AT1368" s="115"/>
      <c r="AU1368" s="115"/>
      <c r="AV1368" s="122"/>
      <c r="AW1368" s="122"/>
      <c r="AX1368" s="122"/>
      <c r="AY1368" s="115"/>
      <c r="AZ1368" s="115"/>
      <c r="BA1368" s="115"/>
      <c r="BB1368" s="115"/>
      <c r="BC1368" s="115"/>
      <c r="BD1368" s="115"/>
      <c r="BE1368" s="115"/>
      <c r="BF1368" s="115"/>
      <c r="BG1368" s="115"/>
      <c r="BH1368" s="115"/>
      <c r="BI1368" s="115"/>
      <c r="BJ1368" s="115"/>
      <c r="BK1368" s="115"/>
      <c r="BL1368" s="115"/>
      <c r="BM1368" s="17"/>
      <c r="BN1368" s="15"/>
      <c r="BQ1368" s="114"/>
    </row>
    <row r="1369" spans="4:73" x14ac:dyDescent="0.4">
      <c r="AR1369" s="115"/>
      <c r="AS1369" s="115"/>
      <c r="AT1369" s="115"/>
      <c r="AU1369" s="115"/>
      <c r="AV1369" s="122"/>
      <c r="AW1369" s="122"/>
      <c r="AX1369" s="122"/>
      <c r="AY1369" s="115"/>
      <c r="AZ1369" s="115"/>
      <c r="BA1369" s="115"/>
      <c r="BB1369" s="115"/>
      <c r="BC1369" s="115"/>
      <c r="BD1369" s="115"/>
      <c r="BE1369" s="115"/>
      <c r="BF1369" s="115"/>
      <c r="BG1369" s="115"/>
      <c r="BH1369" s="115"/>
      <c r="BI1369" s="115"/>
      <c r="BJ1369" s="115"/>
      <c r="BK1369" s="115"/>
      <c r="BL1369" s="115"/>
      <c r="BM1369" s="26"/>
      <c r="BN1369" s="15"/>
      <c r="BQ1369" s="114"/>
    </row>
    <row r="1370" spans="4:73" x14ac:dyDescent="0.4">
      <c r="AR1370" s="115"/>
      <c r="AS1370" s="115"/>
      <c r="AT1370" s="115"/>
      <c r="AU1370" s="115"/>
      <c r="AV1370" s="122"/>
      <c r="AW1370" s="122"/>
      <c r="AX1370" s="122"/>
      <c r="AY1370" s="115"/>
      <c r="AZ1370" s="115"/>
      <c r="BA1370" s="115"/>
      <c r="BB1370" s="115"/>
      <c r="BC1370" s="115"/>
      <c r="BD1370" s="115"/>
      <c r="BE1370" s="115"/>
      <c r="BF1370" s="115"/>
      <c r="BG1370" s="115"/>
      <c r="BH1370" s="115"/>
      <c r="BI1370" s="115"/>
      <c r="BJ1370" s="115"/>
      <c r="BK1370" s="115"/>
      <c r="BL1370" s="115"/>
      <c r="BM1370" s="17"/>
      <c r="BN1370" s="15"/>
      <c r="BQ1370" s="114"/>
    </row>
    <row r="1371" spans="4:73" ht="19.5" x14ac:dyDescent="0.4">
      <c r="BM1371" s="26"/>
      <c r="BN1371" s="15"/>
      <c r="BR1371" s="116"/>
      <c r="BS1371" s="116"/>
      <c r="BT1371" s="116"/>
      <c r="BU1371" s="116"/>
    </row>
    <row r="1372" spans="4:73" ht="19.5" x14ac:dyDescent="0.4">
      <c r="AW1372" s="122"/>
      <c r="AX1372" s="122"/>
      <c r="AY1372" s="115"/>
      <c r="AZ1372" s="115"/>
      <c r="BA1372" s="115"/>
      <c r="BB1372" s="115"/>
      <c r="BC1372" s="115"/>
      <c r="BD1372" s="115"/>
      <c r="BE1372" s="115"/>
      <c r="BF1372" s="115"/>
      <c r="BG1372" s="115"/>
      <c r="BH1372" s="115"/>
      <c r="BI1372" s="115"/>
      <c r="BJ1372" s="115"/>
      <c r="BK1372" s="115"/>
      <c r="BL1372" s="115"/>
      <c r="BM1372" s="17"/>
      <c r="BN1372" s="15"/>
      <c r="BR1372" s="117"/>
      <c r="BS1372" s="116"/>
      <c r="BT1372" s="116"/>
      <c r="BU1372" s="116"/>
    </row>
    <row r="1373" spans="4:73" ht="19.5" x14ac:dyDescent="0.4">
      <c r="AO1373" s="115"/>
      <c r="AP1373" s="115"/>
      <c r="AQ1373" s="115"/>
      <c r="AR1373" s="115"/>
      <c r="AS1373" s="115"/>
      <c r="AT1373" s="115"/>
      <c r="AU1373" s="115"/>
      <c r="AV1373" s="122"/>
      <c r="AW1373" s="122"/>
      <c r="AX1373" s="122"/>
      <c r="AY1373" s="115"/>
      <c r="AZ1373" s="115"/>
      <c r="BA1373" s="115"/>
      <c r="BB1373" s="115"/>
      <c r="BC1373" s="115"/>
      <c r="BD1373" s="115"/>
      <c r="BE1373" s="115"/>
      <c r="BF1373" s="115"/>
      <c r="BG1373" s="115"/>
      <c r="BH1373" s="115"/>
      <c r="BI1373" s="115"/>
      <c r="BJ1373" s="115"/>
      <c r="BK1373" s="115"/>
      <c r="BL1373" s="115"/>
      <c r="BM1373" s="26"/>
      <c r="BN1373" s="15"/>
      <c r="BR1373" s="117"/>
      <c r="BS1373" s="116"/>
      <c r="BT1373" s="116"/>
      <c r="BU1373" s="116"/>
    </row>
    <row r="1374" spans="4:73" ht="19.5" x14ac:dyDescent="0.4"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22"/>
      <c r="AW1374" s="122"/>
      <c r="AX1374" s="122"/>
      <c r="AY1374" s="115"/>
      <c r="AZ1374" s="115"/>
      <c r="BA1374" s="115"/>
      <c r="BB1374" s="115"/>
      <c r="BC1374" s="115"/>
      <c r="BD1374" s="115"/>
      <c r="BE1374" s="115"/>
      <c r="BF1374" s="115"/>
      <c r="BG1374" s="115"/>
      <c r="BH1374" s="115"/>
      <c r="BI1374" s="115"/>
      <c r="BJ1374" s="115"/>
      <c r="BK1374" s="115"/>
      <c r="BL1374" s="115"/>
      <c r="BM1374" s="26"/>
      <c r="BN1374" s="13"/>
      <c r="BR1374" s="117"/>
      <c r="BS1374" s="116"/>
      <c r="BT1374" s="116"/>
      <c r="BU1374" s="116"/>
    </row>
    <row r="1375" spans="4:73" ht="19.5" x14ac:dyDescent="0.4"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22"/>
      <c r="AW1375" s="122"/>
      <c r="AX1375" s="122"/>
      <c r="AY1375" s="115"/>
      <c r="AZ1375" s="115"/>
      <c r="BA1375" s="115"/>
      <c r="BB1375" s="115"/>
      <c r="BC1375" s="115"/>
      <c r="BD1375" s="115"/>
      <c r="BE1375" s="115"/>
      <c r="BF1375" s="115"/>
      <c r="BG1375" s="115"/>
      <c r="BH1375" s="115"/>
      <c r="BI1375" s="115"/>
      <c r="BJ1375" s="115"/>
      <c r="BK1375" s="115"/>
      <c r="BL1375" s="115"/>
      <c r="BM1375" s="26"/>
      <c r="BN1375" s="15"/>
      <c r="BR1375" s="117"/>
      <c r="BS1375" s="116"/>
      <c r="BT1375" s="116"/>
      <c r="BU1375" s="116"/>
    </row>
    <row r="1376" spans="4:73" ht="19.5" x14ac:dyDescent="0.4"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22"/>
      <c r="AW1376" s="122"/>
      <c r="AX1376" s="122"/>
      <c r="AY1376" s="115"/>
      <c r="AZ1376" s="115"/>
      <c r="BA1376" s="115"/>
      <c r="BB1376" s="115"/>
      <c r="BC1376" s="115"/>
      <c r="BD1376" s="115"/>
      <c r="BE1376" s="115"/>
      <c r="BF1376" s="115"/>
      <c r="BG1376" s="115"/>
      <c r="BH1376" s="115"/>
      <c r="BI1376" s="115"/>
      <c r="BJ1376" s="115"/>
      <c r="BK1376" s="115"/>
      <c r="BL1376" s="115"/>
      <c r="BM1376" s="17"/>
      <c r="BN1376" s="15"/>
      <c r="BR1376" s="117"/>
      <c r="BS1376" s="116"/>
      <c r="BT1376" s="116"/>
      <c r="BU1376" s="116"/>
    </row>
    <row r="1377" spans="1:73" ht="19.5" x14ac:dyDescent="0.4"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22"/>
      <c r="AW1377" s="122"/>
      <c r="AX1377" s="122"/>
      <c r="AY1377" s="115"/>
      <c r="AZ1377" s="115"/>
      <c r="BA1377" s="115"/>
      <c r="BB1377" s="115"/>
      <c r="BC1377" s="115"/>
      <c r="BD1377" s="115"/>
      <c r="BE1377" s="115"/>
      <c r="BF1377" s="115"/>
      <c r="BG1377" s="115"/>
      <c r="BH1377" s="115"/>
      <c r="BI1377" s="115"/>
      <c r="BJ1377" s="115"/>
      <c r="BK1377" s="115"/>
      <c r="BL1377" s="115"/>
      <c r="BM1377" s="26"/>
      <c r="BN1377" s="15"/>
      <c r="BR1377" s="117"/>
      <c r="BS1377" s="116"/>
      <c r="BT1377" s="116"/>
      <c r="BU1377" s="116"/>
    </row>
    <row r="1378" spans="1:73" ht="19.5" x14ac:dyDescent="0.4"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22"/>
      <c r="AW1378" s="122"/>
      <c r="AX1378" s="122"/>
      <c r="AY1378" s="115"/>
      <c r="AZ1378" s="115"/>
      <c r="BA1378" s="115"/>
      <c r="BB1378" s="115"/>
      <c r="BC1378" s="115"/>
      <c r="BD1378" s="115"/>
      <c r="BE1378" s="115"/>
      <c r="BF1378" s="115"/>
      <c r="BG1378" s="115"/>
      <c r="BH1378" s="115"/>
      <c r="BI1378" s="115"/>
      <c r="BJ1378" s="115"/>
      <c r="BK1378" s="115"/>
      <c r="BL1378" s="115"/>
      <c r="BM1378" s="26"/>
      <c r="BN1378" s="15"/>
      <c r="BR1378" s="117"/>
      <c r="BS1378" s="116"/>
      <c r="BT1378" s="116"/>
      <c r="BU1378" s="116"/>
    </row>
    <row r="1379" spans="1:73" ht="19.5" x14ac:dyDescent="0.4"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22"/>
      <c r="AW1379" s="122"/>
      <c r="AX1379" s="122"/>
      <c r="AY1379" s="115"/>
      <c r="AZ1379" s="115"/>
      <c r="BA1379" s="115"/>
      <c r="BB1379" s="115"/>
      <c r="BC1379" s="115"/>
      <c r="BD1379" s="115"/>
      <c r="BE1379" s="115"/>
      <c r="BF1379" s="115"/>
      <c r="BG1379" s="115"/>
      <c r="BH1379" s="115"/>
      <c r="BI1379" s="115"/>
      <c r="BJ1379" s="115"/>
      <c r="BK1379" s="115"/>
      <c r="BL1379" s="115"/>
      <c r="BM1379" s="17"/>
      <c r="BN1379" s="15"/>
      <c r="BR1379" s="117"/>
      <c r="BS1379" s="116"/>
      <c r="BT1379" s="116"/>
      <c r="BU1379" s="116"/>
    </row>
    <row r="1380" spans="1:73" ht="19.5" x14ac:dyDescent="0.4"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22"/>
      <c r="AW1380" s="122"/>
      <c r="AX1380" s="122"/>
      <c r="AY1380" s="115"/>
      <c r="AZ1380" s="115"/>
      <c r="BA1380" s="115"/>
      <c r="BB1380" s="115"/>
      <c r="BC1380" s="115"/>
      <c r="BD1380" s="115"/>
      <c r="BE1380" s="115"/>
      <c r="BF1380" s="115"/>
      <c r="BG1380" s="115"/>
      <c r="BH1380" s="115"/>
      <c r="BI1380" s="115"/>
      <c r="BJ1380" s="115"/>
      <c r="BK1380" s="115"/>
      <c r="BL1380" s="115"/>
      <c r="BM1380" s="26"/>
      <c r="BN1380" s="15"/>
      <c r="BR1380" s="117"/>
      <c r="BS1380" s="116"/>
      <c r="BT1380" s="116"/>
      <c r="BU1380" s="116"/>
    </row>
    <row r="1381" spans="1:73" ht="19.5" x14ac:dyDescent="0.4">
      <c r="BM1381" s="26"/>
      <c r="BN1381" s="15"/>
      <c r="BR1381" s="117"/>
      <c r="BS1381" s="116"/>
      <c r="BT1381" s="116"/>
      <c r="BU1381" s="116"/>
    </row>
    <row r="1382" spans="1:73" ht="19.5" x14ac:dyDescent="0.4">
      <c r="AW1382" s="122"/>
      <c r="AX1382" s="122"/>
      <c r="AY1382" s="115"/>
      <c r="AZ1382" s="115"/>
      <c r="BA1382" s="115"/>
      <c r="BB1382" s="115"/>
      <c r="BC1382" s="115"/>
      <c r="BD1382" s="115"/>
      <c r="BE1382" s="115"/>
      <c r="BF1382" s="115"/>
      <c r="BG1382" s="115"/>
      <c r="BH1382" s="115"/>
      <c r="BI1382" s="115"/>
      <c r="BJ1382" s="115"/>
      <c r="BK1382" s="115"/>
      <c r="BL1382" s="115"/>
      <c r="BM1382" s="17"/>
      <c r="BN1382" s="15"/>
      <c r="BR1382" s="117"/>
      <c r="BS1382" s="116"/>
      <c r="BT1382" s="116"/>
      <c r="BU1382" s="116"/>
    </row>
    <row r="1383" spans="1:73" ht="19.5" x14ac:dyDescent="0.4">
      <c r="AT1383" s="115"/>
      <c r="AU1383" s="115"/>
      <c r="AV1383" s="122"/>
      <c r="AW1383" s="122"/>
      <c r="AX1383" s="122"/>
      <c r="AY1383" s="115"/>
      <c r="AZ1383" s="115"/>
      <c r="BA1383" s="115"/>
      <c r="BB1383" s="115"/>
      <c r="BC1383" s="115"/>
      <c r="BD1383" s="115"/>
      <c r="BE1383" s="115"/>
      <c r="BF1383" s="115"/>
      <c r="BG1383" s="115"/>
      <c r="BH1383" s="115"/>
      <c r="BI1383" s="115"/>
      <c r="BJ1383" s="115"/>
      <c r="BK1383" s="115"/>
      <c r="BL1383" s="115"/>
      <c r="BM1383" s="26"/>
      <c r="BN1383" s="15"/>
      <c r="BR1383" s="117"/>
      <c r="BS1383" s="116"/>
      <c r="BT1383" s="116"/>
      <c r="BU1383" s="116"/>
    </row>
    <row r="1384" spans="1:73" ht="19.5" x14ac:dyDescent="0.4">
      <c r="AT1384" s="115"/>
      <c r="AU1384" s="115"/>
      <c r="AV1384" s="122"/>
      <c r="AW1384" s="122"/>
      <c r="AX1384" s="122"/>
      <c r="AY1384" s="115"/>
      <c r="AZ1384" s="115"/>
      <c r="BA1384" s="115"/>
      <c r="BB1384" s="115"/>
      <c r="BC1384" s="115"/>
      <c r="BD1384" s="115"/>
      <c r="BE1384" s="115"/>
      <c r="BF1384" s="115"/>
      <c r="BG1384" s="115"/>
      <c r="BH1384" s="115"/>
      <c r="BI1384" s="115"/>
      <c r="BJ1384" s="115"/>
      <c r="BK1384" s="115"/>
      <c r="BL1384" s="115"/>
      <c r="BM1384" s="17"/>
      <c r="BN1384" s="15"/>
      <c r="BR1384" s="117"/>
      <c r="BS1384" s="116"/>
      <c r="BT1384" s="116"/>
      <c r="BU1384" s="116"/>
    </row>
    <row r="1385" spans="1:73" ht="19.5" x14ac:dyDescent="0.4">
      <c r="AS1385" s="115"/>
      <c r="AT1385" s="115"/>
      <c r="AU1385" s="115"/>
      <c r="AV1385" s="122"/>
      <c r="AW1385" s="122"/>
      <c r="AX1385" s="122"/>
      <c r="AY1385" s="115"/>
      <c r="AZ1385" s="115"/>
      <c r="BA1385" s="115"/>
      <c r="BB1385" s="115"/>
      <c r="BC1385" s="115"/>
      <c r="BD1385" s="115"/>
      <c r="BE1385" s="115"/>
      <c r="BF1385" s="115"/>
      <c r="BG1385" s="115"/>
      <c r="BH1385" s="115"/>
      <c r="BI1385" s="115"/>
      <c r="BJ1385" s="115"/>
      <c r="BK1385" s="115"/>
      <c r="BL1385" s="115"/>
      <c r="BM1385" s="26"/>
      <c r="BN1385" s="15"/>
      <c r="BR1385" s="117"/>
      <c r="BS1385" s="116"/>
      <c r="BT1385" s="116"/>
      <c r="BU1385" s="116"/>
    </row>
    <row r="1386" spans="1:73" ht="19.5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22"/>
      <c r="AW1386" s="122"/>
      <c r="AX1386" s="122"/>
      <c r="AY1386" s="115"/>
      <c r="AZ1386" s="115"/>
      <c r="BA1386" s="115"/>
      <c r="BB1386" s="115"/>
      <c r="BC1386" s="115"/>
      <c r="BD1386" s="115"/>
      <c r="BE1386" s="115"/>
      <c r="BF1386" s="115"/>
      <c r="BG1386" s="115"/>
      <c r="BH1386" s="115"/>
      <c r="BI1386" s="115"/>
      <c r="BJ1386" s="115"/>
      <c r="BK1386" s="115"/>
      <c r="BL1386" s="115"/>
      <c r="BM1386" s="26"/>
      <c r="BN1386" s="15"/>
      <c r="BR1386" s="117"/>
      <c r="BS1386" s="116"/>
      <c r="BT1386" s="116"/>
      <c r="BU1386" s="116"/>
    </row>
    <row r="1387" spans="1:73" ht="19.5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22"/>
      <c r="AW1387" s="122"/>
      <c r="AX1387" s="122"/>
      <c r="AY1387" s="115"/>
      <c r="AZ1387" s="115"/>
      <c r="BA1387" s="115"/>
      <c r="BB1387" s="115"/>
      <c r="BC1387" s="115"/>
      <c r="BD1387" s="115"/>
      <c r="BE1387" s="115"/>
      <c r="BF1387" s="115"/>
      <c r="BG1387" s="115"/>
      <c r="BH1387" s="115"/>
      <c r="BI1387" s="115"/>
      <c r="BJ1387" s="115"/>
      <c r="BK1387" s="115"/>
      <c r="BL1387" s="115"/>
      <c r="BM1387" s="26"/>
      <c r="BN1387" s="15"/>
      <c r="BR1387" s="117"/>
      <c r="BS1387" s="116"/>
      <c r="BT1387" s="116"/>
      <c r="BU1387" s="116"/>
    </row>
    <row r="1388" spans="1:73" ht="19.5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22"/>
      <c r="AW1388" s="122"/>
      <c r="AX1388" s="122"/>
      <c r="AY1388" s="115"/>
      <c r="AZ1388" s="115"/>
      <c r="BA1388" s="115"/>
      <c r="BB1388" s="115"/>
      <c r="BC1388" s="115"/>
      <c r="BD1388" s="115"/>
      <c r="BE1388" s="115"/>
      <c r="BF1388" s="115"/>
      <c r="BG1388" s="115"/>
      <c r="BH1388" s="115"/>
      <c r="BI1388" s="115"/>
      <c r="BJ1388" s="115"/>
      <c r="BK1388" s="115"/>
      <c r="BL1388" s="115"/>
      <c r="BM1388" s="26"/>
      <c r="BN1388" s="15"/>
      <c r="BR1388" s="117"/>
      <c r="BS1388" s="116"/>
      <c r="BT1388" s="116"/>
      <c r="BU1388" s="116"/>
    </row>
    <row r="1389" spans="1:73" ht="19.5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22"/>
      <c r="AW1389" s="122"/>
      <c r="AX1389" s="122"/>
      <c r="AY1389" s="115"/>
      <c r="AZ1389" s="115"/>
      <c r="BA1389" s="115"/>
      <c r="BB1389" s="115"/>
      <c r="BC1389" s="115"/>
      <c r="BD1389" s="115"/>
      <c r="BE1389" s="115"/>
      <c r="BF1389" s="115"/>
      <c r="BG1389" s="115"/>
      <c r="BH1389" s="115"/>
      <c r="BI1389" s="115"/>
      <c r="BJ1389" s="115"/>
      <c r="BK1389" s="115"/>
      <c r="BL1389" s="115"/>
      <c r="BM1389" s="26"/>
      <c r="BN1389" s="105"/>
      <c r="BR1389" s="117"/>
      <c r="BS1389" s="116"/>
      <c r="BT1389" s="116"/>
      <c r="BU1389" s="116"/>
    </row>
    <row r="1390" spans="1:73" ht="19.5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22"/>
      <c r="AW1390" s="122"/>
      <c r="AX1390" s="122"/>
      <c r="AY1390" s="115"/>
      <c r="AZ1390" s="115"/>
      <c r="BA1390" s="115"/>
      <c r="BB1390" s="115"/>
      <c r="BC1390" s="115"/>
      <c r="BD1390" s="115"/>
      <c r="BE1390" s="115"/>
      <c r="BF1390" s="115"/>
      <c r="BG1390" s="115"/>
      <c r="BH1390" s="115"/>
      <c r="BI1390" s="115"/>
      <c r="BJ1390" s="115"/>
      <c r="BK1390" s="115"/>
      <c r="BL1390" s="115"/>
      <c r="BM1390" s="26"/>
      <c r="BN1390" s="105"/>
      <c r="BR1390" s="117"/>
      <c r="BS1390" s="116"/>
      <c r="BT1390" s="116"/>
      <c r="BU1390" s="116"/>
    </row>
    <row r="1391" spans="1:73" ht="19.5" x14ac:dyDescent="0.4">
      <c r="BM1391" s="26"/>
      <c r="BN1391" s="13"/>
      <c r="BR1391" s="117"/>
      <c r="BS1391" s="116"/>
      <c r="BT1391" s="116"/>
      <c r="BU1391" s="116"/>
    </row>
    <row r="1392" spans="1:73" ht="19.5" x14ac:dyDescent="0.4">
      <c r="AT1392" s="115"/>
      <c r="AU1392" s="115"/>
      <c r="AV1392" s="122"/>
      <c r="AW1392" s="122"/>
      <c r="AX1392" s="122"/>
      <c r="AY1392" s="115"/>
      <c r="AZ1392" s="115"/>
      <c r="BA1392" s="115"/>
      <c r="BB1392" s="115"/>
      <c r="BC1392" s="115"/>
      <c r="BD1392" s="115"/>
      <c r="BE1392" s="115"/>
      <c r="BF1392" s="115"/>
      <c r="BG1392" s="115"/>
      <c r="BH1392" s="115"/>
      <c r="BI1392" s="115"/>
      <c r="BJ1392" s="115"/>
      <c r="BK1392" s="115"/>
      <c r="BL1392" s="115"/>
      <c r="BM1392" s="26"/>
      <c r="BN1392" s="13"/>
      <c r="BR1392" s="117"/>
      <c r="BS1392" s="116"/>
      <c r="BT1392" s="116"/>
      <c r="BU1392" s="116"/>
    </row>
    <row r="1393" spans="3:73" ht="19.5" x14ac:dyDescent="0.4">
      <c r="AO1393" s="115"/>
      <c r="AP1393" s="115"/>
      <c r="AQ1393" s="115"/>
      <c r="AR1393" s="115"/>
      <c r="AS1393" s="115"/>
      <c r="AT1393" s="115"/>
      <c r="AU1393" s="115"/>
      <c r="AV1393" s="122"/>
      <c r="AW1393" s="122"/>
      <c r="AX1393" s="122"/>
      <c r="AY1393" s="115"/>
      <c r="AZ1393" s="115"/>
      <c r="BA1393" s="115"/>
      <c r="BB1393" s="115"/>
      <c r="BC1393" s="115"/>
      <c r="BD1393" s="115"/>
      <c r="BE1393" s="115"/>
      <c r="BF1393" s="115"/>
      <c r="BG1393" s="115"/>
      <c r="BH1393" s="115"/>
      <c r="BI1393" s="115"/>
      <c r="BJ1393" s="115"/>
      <c r="BK1393" s="115"/>
      <c r="BL1393" s="115"/>
      <c r="BM1393" s="26"/>
      <c r="BN1393" s="13"/>
      <c r="BR1393" s="117"/>
      <c r="BS1393" s="116"/>
      <c r="BT1393" s="116"/>
      <c r="BU1393" s="116"/>
    </row>
    <row r="1394" spans="3:73" ht="19.5" x14ac:dyDescent="0.4">
      <c r="BM1394" s="26"/>
      <c r="BN1394" s="13"/>
      <c r="BR1394" s="117"/>
      <c r="BS1394" s="116"/>
      <c r="BT1394" s="116"/>
      <c r="BU1394" s="116"/>
    </row>
    <row r="1395" spans="3:73" ht="19.5" x14ac:dyDescent="0.4"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22"/>
      <c r="AW1395" s="122"/>
      <c r="AX1395" s="122"/>
      <c r="AY1395" s="115"/>
      <c r="AZ1395" s="115"/>
      <c r="BA1395" s="115"/>
      <c r="BB1395" s="115"/>
      <c r="BC1395" s="115"/>
      <c r="BD1395" s="115"/>
      <c r="BE1395" s="115"/>
      <c r="BF1395" s="115"/>
      <c r="BG1395" s="115"/>
      <c r="BH1395" s="115"/>
      <c r="BI1395" s="115"/>
      <c r="BJ1395" s="115"/>
      <c r="BK1395" s="115"/>
      <c r="BL1395" s="115"/>
      <c r="BM1395" s="26"/>
      <c r="BN1395" s="13"/>
      <c r="BR1395" s="117"/>
      <c r="BS1395" s="116"/>
      <c r="BT1395" s="116"/>
      <c r="BU1395" s="116"/>
    </row>
    <row r="1396" spans="3:73" ht="19.5" x14ac:dyDescent="0.4"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22"/>
      <c r="AW1396" s="122"/>
      <c r="AX1396" s="122"/>
      <c r="AY1396" s="115"/>
      <c r="AZ1396" s="115"/>
      <c r="BA1396" s="115"/>
      <c r="BB1396" s="115"/>
      <c r="BC1396" s="115"/>
      <c r="BD1396" s="115"/>
      <c r="BE1396" s="115"/>
      <c r="BF1396" s="115"/>
      <c r="BG1396" s="115"/>
      <c r="BH1396" s="115"/>
      <c r="BI1396" s="115"/>
      <c r="BJ1396" s="115"/>
      <c r="BK1396" s="115"/>
      <c r="BL1396" s="115"/>
      <c r="BM1396" s="26"/>
      <c r="BN1396" s="13"/>
      <c r="BR1396" s="117"/>
      <c r="BS1396" s="116"/>
      <c r="BT1396" s="116"/>
      <c r="BU1396" s="116"/>
    </row>
    <row r="1397" spans="3:73" ht="19.5" x14ac:dyDescent="0.4"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22"/>
      <c r="AW1397" s="122"/>
      <c r="AX1397" s="122"/>
      <c r="AY1397" s="115"/>
      <c r="AZ1397" s="115"/>
      <c r="BA1397" s="115"/>
      <c r="BB1397" s="115"/>
      <c r="BC1397" s="115"/>
      <c r="BD1397" s="115"/>
      <c r="BE1397" s="115"/>
      <c r="BF1397" s="115"/>
      <c r="BG1397" s="115"/>
      <c r="BH1397" s="115"/>
      <c r="BI1397" s="115"/>
      <c r="BJ1397" s="115"/>
      <c r="BK1397" s="115"/>
      <c r="BL1397" s="115"/>
      <c r="BM1397" s="26"/>
      <c r="BN1397" s="13"/>
      <c r="BR1397" s="117"/>
      <c r="BS1397" s="116"/>
      <c r="BT1397" s="116"/>
      <c r="BU1397" s="116"/>
    </row>
    <row r="1398" spans="3:73" ht="19.5" x14ac:dyDescent="0.4"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22"/>
      <c r="AW1398" s="122"/>
      <c r="AX1398" s="122"/>
      <c r="AY1398" s="115"/>
      <c r="AZ1398" s="115"/>
      <c r="BA1398" s="115"/>
      <c r="BB1398" s="115"/>
      <c r="BC1398" s="115"/>
      <c r="BD1398" s="115"/>
      <c r="BE1398" s="115"/>
      <c r="BF1398" s="115"/>
      <c r="BG1398" s="115"/>
      <c r="BH1398" s="115"/>
      <c r="BI1398" s="115"/>
      <c r="BJ1398" s="115"/>
      <c r="BK1398" s="115"/>
      <c r="BL1398" s="115"/>
      <c r="BM1398" s="26"/>
      <c r="BN1398" s="13"/>
      <c r="BR1398" s="117"/>
      <c r="BS1398" s="116"/>
      <c r="BT1398" s="116"/>
      <c r="BU1398" s="116"/>
    </row>
    <row r="1399" spans="3:73" ht="19.5" x14ac:dyDescent="0.4"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22"/>
      <c r="AW1399" s="122"/>
      <c r="AX1399" s="122"/>
      <c r="AY1399" s="115"/>
      <c r="AZ1399" s="115"/>
      <c r="BA1399" s="115"/>
      <c r="BB1399" s="115"/>
      <c r="BC1399" s="115"/>
      <c r="BD1399" s="115"/>
      <c r="BE1399" s="115"/>
      <c r="BF1399" s="115"/>
      <c r="BG1399" s="115"/>
      <c r="BH1399" s="115"/>
      <c r="BI1399" s="115"/>
      <c r="BJ1399" s="115"/>
      <c r="BK1399" s="115"/>
      <c r="BL1399" s="115"/>
      <c r="BM1399" s="26"/>
      <c r="BN1399" s="13"/>
      <c r="BR1399" s="117"/>
      <c r="BS1399" s="116"/>
      <c r="BT1399" s="116"/>
      <c r="BU1399" s="116"/>
    </row>
    <row r="1400" spans="3:73" ht="19.5" x14ac:dyDescent="0.4"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22"/>
      <c r="AW1400" s="122"/>
      <c r="AX1400" s="122"/>
      <c r="AY1400" s="115"/>
      <c r="AZ1400" s="115"/>
      <c r="BA1400" s="115"/>
      <c r="BB1400" s="115"/>
      <c r="BC1400" s="115"/>
      <c r="BD1400" s="115"/>
      <c r="BE1400" s="115"/>
      <c r="BF1400" s="115"/>
      <c r="BG1400" s="115"/>
      <c r="BH1400" s="115"/>
      <c r="BI1400" s="115"/>
      <c r="BJ1400" s="115"/>
      <c r="BK1400" s="115"/>
      <c r="BL1400" s="115"/>
      <c r="BM1400" s="26"/>
      <c r="BN1400" s="13"/>
      <c r="BR1400" s="117"/>
      <c r="BS1400" s="116"/>
      <c r="BT1400" s="116"/>
      <c r="BU1400" s="116"/>
    </row>
    <row r="1401" spans="3:73" ht="19.5" x14ac:dyDescent="0.4"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22"/>
      <c r="AW1401" s="122"/>
      <c r="AX1401" s="122"/>
      <c r="AY1401" s="115"/>
      <c r="AZ1401" s="115"/>
      <c r="BA1401" s="115"/>
      <c r="BB1401" s="115"/>
      <c r="BC1401" s="115"/>
      <c r="BD1401" s="115"/>
      <c r="BE1401" s="115"/>
      <c r="BF1401" s="115"/>
      <c r="BG1401" s="115"/>
      <c r="BH1401" s="115"/>
      <c r="BI1401" s="115"/>
      <c r="BJ1401" s="115"/>
      <c r="BK1401" s="115"/>
      <c r="BL1401" s="115"/>
      <c r="BM1401" s="26"/>
      <c r="BN1401" s="13"/>
      <c r="BR1401" s="117"/>
      <c r="BS1401" s="116"/>
      <c r="BT1401" s="116"/>
      <c r="BU1401" s="116"/>
    </row>
    <row r="1402" spans="3:73" ht="19.5" x14ac:dyDescent="0.4"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22"/>
      <c r="AW1402" s="122"/>
      <c r="AX1402" s="122"/>
      <c r="AY1402" s="115"/>
      <c r="AZ1402" s="115"/>
      <c r="BA1402" s="115"/>
      <c r="BB1402" s="115"/>
      <c r="BC1402" s="115"/>
      <c r="BD1402" s="115"/>
      <c r="BE1402" s="115"/>
      <c r="BF1402" s="115"/>
      <c r="BG1402" s="115"/>
      <c r="BH1402" s="115"/>
      <c r="BI1402" s="115"/>
      <c r="BJ1402" s="115"/>
      <c r="BK1402" s="115"/>
      <c r="BL1402" s="115"/>
      <c r="BM1402" s="26"/>
      <c r="BN1402" s="13"/>
      <c r="BR1402" s="117"/>
      <c r="BS1402" s="116"/>
      <c r="BT1402" s="116"/>
      <c r="BU1402" s="116"/>
    </row>
    <row r="1403" spans="3:73" ht="19.5" x14ac:dyDescent="0.4">
      <c r="BM1403" s="26"/>
      <c r="BN1403" s="15"/>
      <c r="BR1403" s="117"/>
      <c r="BS1403" s="116"/>
      <c r="BT1403" s="116"/>
      <c r="BU1403" s="116"/>
    </row>
    <row r="1404" spans="3:73" ht="19.5" x14ac:dyDescent="0.4"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22"/>
      <c r="AW1404" s="122"/>
      <c r="AX1404" s="122"/>
      <c r="AY1404" s="115"/>
      <c r="AZ1404" s="115"/>
      <c r="BA1404" s="115"/>
      <c r="BB1404" s="115"/>
      <c r="BC1404" s="115"/>
      <c r="BD1404" s="115"/>
      <c r="BE1404" s="115"/>
      <c r="BF1404" s="115"/>
      <c r="BG1404" s="115"/>
      <c r="BH1404" s="115"/>
      <c r="BI1404" s="115"/>
      <c r="BJ1404" s="115"/>
      <c r="BK1404" s="115"/>
      <c r="BL1404" s="115"/>
      <c r="BM1404" s="26"/>
      <c r="BN1404" s="15"/>
      <c r="BR1404" s="117"/>
      <c r="BS1404" s="116"/>
      <c r="BT1404" s="116"/>
      <c r="BU1404" s="116"/>
    </row>
    <row r="1405" spans="3:73" ht="19.5" x14ac:dyDescent="0.4"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22"/>
      <c r="AW1405" s="122"/>
      <c r="AX1405" s="122"/>
      <c r="AY1405" s="115"/>
      <c r="AZ1405" s="115"/>
      <c r="BA1405" s="115"/>
      <c r="BB1405" s="115"/>
      <c r="BC1405" s="115"/>
      <c r="BD1405" s="115"/>
      <c r="BE1405" s="115"/>
      <c r="BF1405" s="115"/>
      <c r="BG1405" s="115"/>
      <c r="BH1405" s="115"/>
      <c r="BI1405" s="115"/>
      <c r="BJ1405" s="115"/>
      <c r="BK1405" s="115"/>
      <c r="BL1405" s="115"/>
      <c r="BM1405" s="17"/>
      <c r="BN1405" s="15"/>
      <c r="BR1405" s="117"/>
      <c r="BS1405" s="116"/>
      <c r="BT1405" s="116"/>
      <c r="BU1405" s="116"/>
    </row>
    <row r="1406" spans="3:73" ht="19.5" x14ac:dyDescent="0.4">
      <c r="BM1406" s="26"/>
      <c r="BN1406" s="15"/>
      <c r="BR1406" s="117"/>
      <c r="BS1406" s="116"/>
      <c r="BT1406" s="116"/>
      <c r="BU1406" s="116"/>
    </row>
    <row r="1407" spans="3:73" ht="19.5" x14ac:dyDescent="0.4">
      <c r="BM1407" s="26"/>
      <c r="BN1407" s="13"/>
      <c r="BR1407" s="117"/>
      <c r="BS1407" s="116"/>
      <c r="BT1407" s="116"/>
      <c r="BU1407" s="116"/>
    </row>
    <row r="1408" spans="3:73" ht="19.5" x14ac:dyDescent="0.4">
      <c r="AS1408" s="115"/>
      <c r="AT1408" s="115"/>
      <c r="AU1408" s="115"/>
      <c r="AV1408" s="122"/>
      <c r="AW1408" s="122"/>
      <c r="AX1408" s="122"/>
      <c r="AY1408" s="115"/>
      <c r="AZ1408" s="115"/>
      <c r="BA1408" s="115"/>
      <c r="BB1408" s="115"/>
      <c r="BC1408" s="115"/>
      <c r="BD1408" s="115"/>
      <c r="BE1408" s="115"/>
      <c r="BF1408" s="115"/>
      <c r="BG1408" s="115"/>
      <c r="BH1408" s="115"/>
      <c r="BI1408" s="115"/>
      <c r="BJ1408" s="115"/>
      <c r="BK1408" s="115"/>
      <c r="BL1408" s="115"/>
      <c r="BM1408" s="26"/>
      <c r="BN1408" s="13"/>
      <c r="BR1408" s="117"/>
      <c r="BS1408" s="116"/>
      <c r="BT1408" s="116"/>
      <c r="BU1408" s="116"/>
    </row>
    <row r="1409" spans="1:73" ht="19.5" x14ac:dyDescent="0.4"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22"/>
      <c r="AW1409" s="122"/>
      <c r="AX1409" s="122"/>
      <c r="AY1409" s="115"/>
      <c r="AZ1409" s="115"/>
      <c r="BA1409" s="115"/>
      <c r="BB1409" s="115"/>
      <c r="BC1409" s="115"/>
      <c r="BD1409" s="115"/>
      <c r="BE1409" s="115"/>
      <c r="BF1409" s="115"/>
      <c r="BG1409" s="115"/>
      <c r="BH1409" s="115"/>
      <c r="BI1409" s="115"/>
      <c r="BJ1409" s="115"/>
      <c r="BK1409" s="115"/>
      <c r="BL1409" s="115"/>
      <c r="BM1409" s="26"/>
      <c r="BN1409" s="13"/>
      <c r="BR1409" s="117"/>
      <c r="BS1409" s="116"/>
      <c r="BT1409" s="116"/>
      <c r="BU1409" s="116"/>
    </row>
    <row r="1410" spans="1:73" ht="19.5" x14ac:dyDescent="0.4"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22"/>
      <c r="AW1410" s="122"/>
      <c r="AX1410" s="122"/>
      <c r="AY1410" s="115"/>
      <c r="AZ1410" s="115"/>
      <c r="BA1410" s="115"/>
      <c r="BB1410" s="115"/>
      <c r="BC1410" s="115"/>
      <c r="BD1410" s="115"/>
      <c r="BE1410" s="115"/>
      <c r="BF1410" s="115"/>
      <c r="BG1410" s="115"/>
      <c r="BH1410" s="115"/>
      <c r="BI1410" s="115"/>
      <c r="BJ1410" s="115"/>
      <c r="BK1410" s="115"/>
      <c r="BL1410" s="115"/>
      <c r="BM1410" s="17"/>
      <c r="BN1410" s="13"/>
      <c r="BR1410" s="117"/>
      <c r="BS1410" s="116"/>
      <c r="BT1410" s="116"/>
      <c r="BU1410" s="116"/>
    </row>
    <row r="1411" spans="1:73" ht="19.5" x14ac:dyDescent="0.4"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22"/>
      <c r="AW1411" s="122"/>
      <c r="AX1411" s="122"/>
      <c r="AY1411" s="115"/>
      <c r="AZ1411" s="115"/>
      <c r="BA1411" s="115"/>
      <c r="BB1411" s="115"/>
      <c r="BC1411" s="115"/>
      <c r="BD1411" s="115"/>
      <c r="BE1411" s="115"/>
      <c r="BF1411" s="115"/>
      <c r="BG1411" s="115"/>
      <c r="BH1411" s="115"/>
      <c r="BI1411" s="115"/>
      <c r="BJ1411" s="115"/>
      <c r="BK1411" s="115"/>
      <c r="BL1411" s="115"/>
      <c r="BM1411" s="26"/>
      <c r="BN1411" s="25"/>
      <c r="BR1411" s="117"/>
      <c r="BS1411" s="116"/>
      <c r="BT1411" s="116"/>
      <c r="BU1411" s="116"/>
    </row>
    <row r="1412" spans="1:73" ht="19.5" x14ac:dyDescent="0.4"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22"/>
      <c r="AW1412" s="122"/>
      <c r="AX1412" s="122"/>
      <c r="AY1412" s="115"/>
      <c r="AZ1412" s="115"/>
      <c r="BA1412" s="115"/>
      <c r="BB1412" s="115"/>
      <c r="BC1412" s="115"/>
      <c r="BD1412" s="115"/>
      <c r="BE1412" s="115"/>
      <c r="BF1412" s="115"/>
      <c r="BG1412" s="115"/>
      <c r="BH1412" s="115"/>
      <c r="BI1412" s="115"/>
      <c r="BJ1412" s="115"/>
      <c r="BK1412" s="115"/>
      <c r="BL1412" s="115"/>
      <c r="BM1412" s="17"/>
      <c r="BN1412" s="13"/>
      <c r="BR1412" s="117"/>
      <c r="BS1412" s="116"/>
      <c r="BT1412" s="116"/>
      <c r="BU1412" s="116"/>
    </row>
    <row r="1413" spans="1:73" ht="19.5" x14ac:dyDescent="0.4"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22"/>
      <c r="AW1413" s="122"/>
      <c r="AX1413" s="122"/>
      <c r="AY1413" s="115"/>
      <c r="AZ1413" s="115"/>
      <c r="BA1413" s="115"/>
      <c r="BB1413" s="115"/>
      <c r="BC1413" s="115"/>
      <c r="BD1413" s="115"/>
      <c r="BE1413" s="115"/>
      <c r="BF1413" s="115"/>
      <c r="BG1413" s="115"/>
      <c r="BH1413" s="115"/>
      <c r="BI1413" s="115"/>
      <c r="BJ1413" s="115"/>
      <c r="BK1413" s="115"/>
      <c r="BL1413" s="115"/>
      <c r="BM1413" s="26"/>
      <c r="BN1413" s="13"/>
      <c r="BR1413" s="117"/>
      <c r="BS1413" s="116"/>
      <c r="BT1413" s="116"/>
      <c r="BU1413" s="116"/>
    </row>
    <row r="1414" spans="1:73" ht="19.5" x14ac:dyDescent="0.4">
      <c r="A1414" s="115"/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22"/>
      <c r="AW1414" s="122"/>
      <c r="AX1414" s="122"/>
      <c r="AY1414" s="115"/>
      <c r="AZ1414" s="115"/>
      <c r="BA1414" s="115"/>
      <c r="BB1414" s="115"/>
      <c r="BC1414" s="115"/>
      <c r="BD1414" s="115"/>
      <c r="BE1414" s="115"/>
      <c r="BF1414" s="115"/>
      <c r="BG1414" s="115"/>
      <c r="BH1414" s="115"/>
      <c r="BI1414" s="115"/>
      <c r="BJ1414" s="115"/>
      <c r="BK1414" s="115"/>
      <c r="BL1414" s="115"/>
      <c r="BM1414" s="26"/>
      <c r="BN1414" s="13"/>
      <c r="BR1414" s="117"/>
      <c r="BS1414" s="116"/>
      <c r="BT1414" s="116"/>
      <c r="BU1414" s="116"/>
    </row>
    <row r="1415" spans="1:73" ht="19.5" x14ac:dyDescent="0.4">
      <c r="A1415" s="115"/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22"/>
      <c r="AW1415" s="122"/>
      <c r="AX1415" s="122"/>
      <c r="AY1415" s="115"/>
      <c r="AZ1415" s="115"/>
      <c r="BA1415" s="115"/>
      <c r="BB1415" s="115"/>
      <c r="BC1415" s="115"/>
      <c r="BD1415" s="115"/>
      <c r="BE1415" s="115"/>
      <c r="BF1415" s="115"/>
      <c r="BG1415" s="115"/>
      <c r="BH1415" s="115"/>
      <c r="BI1415" s="115"/>
      <c r="BJ1415" s="115"/>
      <c r="BK1415" s="115"/>
      <c r="BL1415" s="115"/>
      <c r="BM1415" s="26"/>
      <c r="BN1415" s="13"/>
      <c r="BR1415" s="117"/>
      <c r="BS1415" s="116"/>
      <c r="BT1415" s="116"/>
      <c r="BU1415" s="116"/>
    </row>
    <row r="1416" spans="1:73" ht="19.5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22"/>
      <c r="AW1416" s="122"/>
      <c r="AX1416" s="122"/>
      <c r="AY1416" s="115"/>
      <c r="AZ1416" s="115"/>
      <c r="BA1416" s="115"/>
      <c r="BB1416" s="115"/>
      <c r="BC1416" s="115"/>
      <c r="BD1416" s="115"/>
      <c r="BE1416" s="115"/>
      <c r="BF1416" s="115"/>
      <c r="BG1416" s="115"/>
      <c r="BH1416" s="115"/>
      <c r="BI1416" s="115"/>
      <c r="BJ1416" s="115"/>
      <c r="BK1416" s="115"/>
      <c r="BL1416" s="115"/>
      <c r="BM1416" s="26"/>
      <c r="BN1416" s="13"/>
      <c r="BR1416" s="117"/>
      <c r="BS1416" s="116"/>
      <c r="BT1416" s="116"/>
      <c r="BU1416" s="116"/>
    </row>
    <row r="1417" spans="1:73" ht="19.5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22"/>
      <c r="AW1417" s="122"/>
      <c r="AX1417" s="122"/>
      <c r="AY1417" s="115"/>
      <c r="AZ1417" s="115"/>
      <c r="BA1417" s="115"/>
      <c r="BB1417" s="115"/>
      <c r="BC1417" s="115"/>
      <c r="BD1417" s="115"/>
      <c r="BE1417" s="115"/>
      <c r="BF1417" s="115"/>
      <c r="BG1417" s="115"/>
      <c r="BH1417" s="115"/>
      <c r="BI1417" s="115"/>
      <c r="BJ1417" s="115"/>
      <c r="BK1417" s="115"/>
      <c r="BL1417" s="115"/>
      <c r="BM1417" s="26"/>
      <c r="BN1417" s="13"/>
      <c r="BR1417" s="117"/>
      <c r="BS1417" s="116"/>
      <c r="BT1417" s="116"/>
      <c r="BU1417" s="116"/>
    </row>
    <row r="1418" spans="1:73" ht="19.5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22"/>
      <c r="AW1418" s="122"/>
      <c r="AX1418" s="122"/>
      <c r="AY1418" s="115"/>
      <c r="AZ1418" s="115"/>
      <c r="BA1418" s="115"/>
      <c r="BB1418" s="115"/>
      <c r="BC1418" s="115"/>
      <c r="BD1418" s="115"/>
      <c r="BE1418" s="115"/>
      <c r="BF1418" s="115"/>
      <c r="BG1418" s="115"/>
      <c r="BH1418" s="115"/>
      <c r="BI1418" s="115"/>
      <c r="BJ1418" s="115"/>
      <c r="BK1418" s="115"/>
      <c r="BL1418" s="115"/>
      <c r="BM1418" s="26"/>
      <c r="BN1418" s="13"/>
      <c r="BR1418" s="117"/>
      <c r="BS1418" s="116"/>
      <c r="BT1418" s="116"/>
      <c r="BU1418" s="116"/>
    </row>
    <row r="1419" spans="1:73" ht="19.5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22"/>
      <c r="AW1419" s="122"/>
      <c r="AX1419" s="122"/>
      <c r="AY1419" s="115"/>
      <c r="AZ1419" s="115"/>
      <c r="BA1419" s="115"/>
      <c r="BB1419" s="115"/>
      <c r="BC1419" s="115"/>
      <c r="BD1419" s="115"/>
      <c r="BE1419" s="115"/>
      <c r="BF1419" s="115"/>
      <c r="BG1419" s="115"/>
      <c r="BH1419" s="115"/>
      <c r="BI1419" s="115"/>
      <c r="BJ1419" s="115"/>
      <c r="BK1419" s="115"/>
      <c r="BL1419" s="115"/>
      <c r="BM1419" s="26"/>
      <c r="BN1419" s="13"/>
      <c r="BR1419" s="117"/>
      <c r="BS1419" s="116"/>
      <c r="BT1419" s="116"/>
      <c r="BU1419" s="116"/>
    </row>
    <row r="1420" spans="1:73" ht="19.5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22"/>
      <c r="AW1420" s="122"/>
      <c r="AX1420" s="122"/>
      <c r="AY1420" s="115"/>
      <c r="AZ1420" s="115"/>
      <c r="BA1420" s="115"/>
      <c r="BB1420" s="115"/>
      <c r="BC1420" s="115"/>
      <c r="BD1420" s="115"/>
      <c r="BE1420" s="115"/>
      <c r="BF1420" s="115"/>
      <c r="BG1420" s="115"/>
      <c r="BH1420" s="115"/>
      <c r="BI1420" s="115"/>
      <c r="BJ1420" s="115"/>
      <c r="BK1420" s="115"/>
      <c r="BL1420" s="115"/>
      <c r="BM1420" s="26"/>
      <c r="BN1420" s="13"/>
      <c r="BR1420" s="117"/>
      <c r="BS1420" s="116"/>
      <c r="BT1420" s="116"/>
      <c r="BU1420" s="116"/>
    </row>
    <row r="1421" spans="1:73" ht="19.5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22"/>
      <c r="AW1421" s="122"/>
      <c r="AX1421" s="122"/>
      <c r="AY1421" s="115"/>
      <c r="AZ1421" s="115"/>
      <c r="BA1421" s="115"/>
      <c r="BB1421" s="115"/>
      <c r="BC1421" s="115"/>
      <c r="BD1421" s="115"/>
      <c r="BE1421" s="115"/>
      <c r="BF1421" s="115"/>
      <c r="BG1421" s="115"/>
      <c r="BH1421" s="115"/>
      <c r="BI1421" s="115"/>
      <c r="BJ1421" s="115"/>
      <c r="BK1421" s="115"/>
      <c r="BL1421" s="115"/>
      <c r="BM1421" s="26"/>
      <c r="BN1421" s="15"/>
      <c r="BR1421" s="117"/>
      <c r="BS1421" s="116"/>
      <c r="BT1421" s="116"/>
      <c r="BU1421" s="116"/>
    </row>
    <row r="1422" spans="1:73" ht="19.5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22"/>
      <c r="AW1422" s="122"/>
      <c r="AX1422" s="122"/>
      <c r="AY1422" s="115"/>
      <c r="AZ1422" s="115"/>
      <c r="BA1422" s="115"/>
      <c r="BB1422" s="115"/>
      <c r="BC1422" s="115"/>
      <c r="BD1422" s="115"/>
      <c r="BE1422" s="115"/>
      <c r="BF1422" s="115"/>
      <c r="BG1422" s="115"/>
      <c r="BH1422" s="115"/>
      <c r="BI1422" s="115"/>
      <c r="BJ1422" s="115"/>
      <c r="BK1422" s="115"/>
      <c r="BL1422" s="115"/>
      <c r="BM1422" s="26"/>
      <c r="BN1422" s="15"/>
      <c r="BR1422" s="117"/>
      <c r="BS1422" s="116"/>
      <c r="BT1422" s="116"/>
      <c r="BU1422" s="116"/>
    </row>
    <row r="1423" spans="1:73" ht="19.5" x14ac:dyDescent="0.4">
      <c r="A1423" s="115"/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22"/>
      <c r="AW1423" s="122"/>
      <c r="AX1423" s="122"/>
      <c r="AY1423" s="115"/>
      <c r="AZ1423" s="115"/>
      <c r="BA1423" s="115"/>
      <c r="BB1423" s="115"/>
      <c r="BC1423" s="115"/>
      <c r="BD1423" s="115"/>
      <c r="BE1423" s="115"/>
      <c r="BF1423" s="115"/>
      <c r="BG1423" s="115"/>
      <c r="BH1423" s="115"/>
      <c r="BI1423" s="115"/>
      <c r="BJ1423" s="115"/>
      <c r="BK1423" s="115"/>
      <c r="BL1423" s="115"/>
      <c r="BM1423" s="26"/>
      <c r="BN1423" s="15"/>
      <c r="BR1423" s="117"/>
      <c r="BS1423" s="116"/>
      <c r="BT1423" s="116"/>
      <c r="BU1423" s="116"/>
    </row>
    <row r="1424" spans="1:73" ht="19.5" x14ac:dyDescent="0.4">
      <c r="A1424" s="115"/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22"/>
      <c r="AW1424" s="122"/>
      <c r="AX1424" s="122"/>
      <c r="AY1424" s="115"/>
      <c r="AZ1424" s="115"/>
      <c r="BA1424" s="115"/>
      <c r="BB1424" s="115"/>
      <c r="BC1424" s="115"/>
      <c r="BD1424" s="115"/>
      <c r="BE1424" s="115"/>
      <c r="BF1424" s="115"/>
      <c r="BG1424" s="115"/>
      <c r="BH1424" s="115"/>
      <c r="BI1424" s="115"/>
      <c r="BJ1424" s="115"/>
      <c r="BK1424" s="115"/>
      <c r="BL1424" s="115"/>
      <c r="BM1424" s="26"/>
      <c r="BN1424" s="15"/>
      <c r="BR1424" s="117"/>
      <c r="BS1424" s="116"/>
      <c r="BT1424" s="116"/>
      <c r="BU1424" s="116"/>
    </row>
    <row r="1425" spans="1:73" ht="19.5" x14ac:dyDescent="0.4">
      <c r="A1425" s="115"/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22"/>
      <c r="AW1425" s="122"/>
      <c r="AX1425" s="122"/>
      <c r="AY1425" s="115"/>
      <c r="AZ1425" s="115"/>
      <c r="BA1425" s="115"/>
      <c r="BB1425" s="115"/>
      <c r="BC1425" s="115"/>
      <c r="BD1425" s="115"/>
      <c r="BE1425" s="115"/>
      <c r="BF1425" s="115"/>
      <c r="BG1425" s="115"/>
      <c r="BH1425" s="115"/>
      <c r="BI1425" s="115"/>
      <c r="BJ1425" s="115"/>
      <c r="BK1425" s="115"/>
      <c r="BL1425" s="115"/>
      <c r="BM1425" s="26"/>
      <c r="BN1425" s="25"/>
      <c r="BR1425" s="117"/>
      <c r="BS1425" s="116"/>
      <c r="BT1425" s="116"/>
      <c r="BU1425" s="116"/>
    </row>
    <row r="1426" spans="1:73" ht="19.5" x14ac:dyDescent="0.4">
      <c r="BM1426" s="26"/>
      <c r="BN1426" s="15"/>
      <c r="BR1426" s="117"/>
      <c r="BS1426" s="116"/>
      <c r="BT1426" s="116"/>
      <c r="BU1426" s="116"/>
    </row>
    <row r="1427" spans="1:73" ht="19.5" x14ac:dyDescent="0.4">
      <c r="AU1427" s="115"/>
      <c r="AV1427" s="122"/>
      <c r="AW1427" s="122"/>
      <c r="AX1427" s="122"/>
      <c r="AY1427" s="115"/>
      <c r="AZ1427" s="115"/>
      <c r="BA1427" s="115"/>
      <c r="BB1427" s="115"/>
      <c r="BC1427" s="115"/>
      <c r="BD1427" s="115"/>
      <c r="BE1427" s="115"/>
      <c r="BF1427" s="115"/>
      <c r="BG1427" s="115"/>
      <c r="BH1427" s="115"/>
      <c r="BI1427" s="115"/>
      <c r="BJ1427" s="115"/>
      <c r="BK1427" s="115"/>
      <c r="BL1427" s="115"/>
      <c r="BM1427" s="26"/>
      <c r="BN1427" s="15"/>
      <c r="BR1427" s="117"/>
      <c r="BS1427" s="116"/>
      <c r="BT1427" s="116"/>
      <c r="BU1427" s="116"/>
    </row>
    <row r="1428" spans="1:73" ht="19.5" x14ac:dyDescent="0.4">
      <c r="AS1428" s="115"/>
      <c r="AT1428" s="115"/>
      <c r="AU1428" s="115"/>
      <c r="AV1428" s="122"/>
      <c r="AW1428" s="122"/>
      <c r="AX1428" s="122"/>
      <c r="AY1428" s="115"/>
      <c r="AZ1428" s="115"/>
      <c r="BA1428" s="115"/>
      <c r="BB1428" s="115"/>
      <c r="BC1428" s="115"/>
      <c r="BD1428" s="115"/>
      <c r="BE1428" s="115"/>
      <c r="BF1428" s="115"/>
      <c r="BG1428" s="115"/>
      <c r="BH1428" s="115"/>
      <c r="BI1428" s="115"/>
      <c r="BJ1428" s="115"/>
      <c r="BK1428" s="115"/>
      <c r="BL1428" s="115"/>
      <c r="BM1428" s="26"/>
      <c r="BN1428" s="15"/>
      <c r="BR1428" s="117"/>
      <c r="BS1428" s="116"/>
      <c r="BT1428" s="116"/>
      <c r="BU1428" s="116"/>
    </row>
    <row r="1429" spans="1:73" ht="19.5" x14ac:dyDescent="0.4">
      <c r="AS1429" s="115"/>
      <c r="AT1429" s="115"/>
      <c r="AU1429" s="115"/>
      <c r="AV1429" s="122"/>
      <c r="AW1429" s="122"/>
      <c r="AX1429" s="122"/>
      <c r="AY1429" s="115"/>
      <c r="AZ1429" s="115"/>
      <c r="BA1429" s="115"/>
      <c r="BB1429" s="115"/>
      <c r="BC1429" s="115"/>
      <c r="BD1429" s="115"/>
      <c r="BE1429" s="115"/>
      <c r="BF1429" s="115"/>
      <c r="BG1429" s="115"/>
      <c r="BH1429" s="115"/>
      <c r="BI1429" s="115"/>
      <c r="BJ1429" s="115"/>
      <c r="BK1429" s="115"/>
      <c r="BL1429" s="115"/>
      <c r="BM1429" s="17"/>
      <c r="BN1429" s="15"/>
      <c r="BR1429" s="117"/>
      <c r="BS1429" s="116"/>
      <c r="BT1429" s="116"/>
      <c r="BU1429" s="116"/>
    </row>
    <row r="1430" spans="1:73" ht="19.5" x14ac:dyDescent="0.4">
      <c r="AP1430" s="115"/>
      <c r="AQ1430" s="115"/>
      <c r="AR1430" s="115"/>
      <c r="AS1430" s="115"/>
      <c r="AT1430" s="115"/>
      <c r="AU1430" s="115"/>
      <c r="AV1430" s="122"/>
      <c r="AW1430" s="122"/>
      <c r="AX1430" s="122"/>
      <c r="AY1430" s="115"/>
      <c r="AZ1430" s="115"/>
      <c r="BA1430" s="115"/>
      <c r="BB1430" s="115"/>
      <c r="BC1430" s="115"/>
      <c r="BD1430" s="115"/>
      <c r="BE1430" s="115"/>
      <c r="BF1430" s="115"/>
      <c r="BG1430" s="115"/>
      <c r="BH1430" s="115"/>
      <c r="BI1430" s="115"/>
      <c r="BJ1430" s="115"/>
      <c r="BK1430" s="115"/>
      <c r="BL1430" s="115"/>
      <c r="BM1430" s="26"/>
      <c r="BN1430" s="15"/>
      <c r="BR1430" s="117"/>
      <c r="BS1430" s="116"/>
      <c r="BT1430" s="116"/>
      <c r="BU1430" s="116"/>
    </row>
    <row r="1431" spans="1:73" ht="19.5" x14ac:dyDescent="0.4">
      <c r="AP1431" s="115"/>
      <c r="AQ1431" s="115"/>
      <c r="AR1431" s="115"/>
      <c r="AS1431" s="115"/>
      <c r="AT1431" s="115"/>
      <c r="AU1431" s="115"/>
      <c r="AV1431" s="122"/>
      <c r="AW1431" s="122"/>
      <c r="AX1431" s="122"/>
      <c r="AY1431" s="115"/>
      <c r="AZ1431" s="115"/>
      <c r="BA1431" s="115"/>
      <c r="BB1431" s="115"/>
      <c r="BC1431" s="115"/>
      <c r="BD1431" s="115"/>
      <c r="BE1431" s="115"/>
      <c r="BF1431" s="115"/>
      <c r="BG1431" s="115"/>
      <c r="BH1431" s="115"/>
      <c r="BI1431" s="115"/>
      <c r="BJ1431" s="115"/>
      <c r="BK1431" s="115"/>
      <c r="BL1431" s="115"/>
      <c r="BM1431" s="17"/>
      <c r="BN1431" s="15"/>
      <c r="BR1431" s="117"/>
      <c r="BS1431" s="116"/>
      <c r="BT1431" s="116"/>
      <c r="BU1431" s="116"/>
    </row>
    <row r="1432" spans="1:73" ht="19.5" x14ac:dyDescent="0.4">
      <c r="AP1432" s="115"/>
      <c r="AQ1432" s="115"/>
      <c r="AR1432" s="115"/>
      <c r="AS1432" s="115"/>
      <c r="AT1432" s="115"/>
      <c r="AU1432" s="115"/>
      <c r="AV1432" s="122"/>
      <c r="AW1432" s="122"/>
      <c r="AX1432" s="122"/>
      <c r="AY1432" s="115"/>
      <c r="AZ1432" s="115"/>
      <c r="BA1432" s="115"/>
      <c r="BB1432" s="115"/>
      <c r="BC1432" s="115"/>
      <c r="BD1432" s="115"/>
      <c r="BE1432" s="115"/>
      <c r="BF1432" s="115"/>
      <c r="BG1432" s="115"/>
      <c r="BH1432" s="115"/>
      <c r="BI1432" s="115"/>
      <c r="BJ1432" s="115"/>
      <c r="BK1432" s="115"/>
      <c r="BL1432" s="115"/>
      <c r="BM1432" s="26"/>
      <c r="BN1432" s="15"/>
      <c r="BR1432" s="117"/>
      <c r="BS1432" s="116"/>
      <c r="BT1432" s="116"/>
      <c r="BU1432" s="116"/>
    </row>
    <row r="1433" spans="1:73" ht="19.5" x14ac:dyDescent="0.4">
      <c r="AP1433" s="115"/>
      <c r="AQ1433" s="115"/>
      <c r="AR1433" s="115"/>
      <c r="AS1433" s="115"/>
      <c r="AT1433" s="115"/>
      <c r="AU1433" s="115"/>
      <c r="AV1433" s="122"/>
      <c r="AW1433" s="122"/>
      <c r="AX1433" s="122"/>
      <c r="AY1433" s="115"/>
      <c r="AZ1433" s="115"/>
      <c r="BA1433" s="115"/>
      <c r="BB1433" s="115"/>
      <c r="BC1433" s="115"/>
      <c r="BD1433" s="115"/>
      <c r="BE1433" s="115"/>
      <c r="BF1433" s="115"/>
      <c r="BG1433" s="115"/>
      <c r="BH1433" s="115"/>
      <c r="BI1433" s="115"/>
      <c r="BJ1433" s="115"/>
      <c r="BK1433" s="115"/>
      <c r="BL1433" s="115"/>
      <c r="BM1433" s="17"/>
      <c r="BN1433" s="13"/>
      <c r="BR1433" s="117"/>
      <c r="BS1433" s="116"/>
      <c r="BT1433" s="116"/>
      <c r="BU1433" s="116"/>
    </row>
    <row r="1434" spans="1:73" ht="19.5" x14ac:dyDescent="0.4">
      <c r="AP1434" s="115"/>
      <c r="AQ1434" s="115"/>
      <c r="AR1434" s="115"/>
      <c r="AS1434" s="115"/>
      <c r="AT1434" s="115"/>
      <c r="AU1434" s="115"/>
      <c r="AV1434" s="122"/>
      <c r="AW1434" s="122"/>
      <c r="AX1434" s="122"/>
      <c r="AY1434" s="115"/>
      <c r="AZ1434" s="115"/>
      <c r="BA1434" s="115"/>
      <c r="BB1434" s="115"/>
      <c r="BC1434" s="115"/>
      <c r="BD1434" s="115"/>
      <c r="BE1434" s="115"/>
      <c r="BF1434" s="115"/>
      <c r="BG1434" s="115"/>
      <c r="BH1434" s="115"/>
      <c r="BI1434" s="115"/>
      <c r="BJ1434" s="115"/>
      <c r="BK1434" s="115"/>
      <c r="BL1434" s="115"/>
      <c r="BM1434" s="17"/>
      <c r="BN1434" s="13"/>
      <c r="BR1434" s="117"/>
      <c r="BS1434" s="116"/>
      <c r="BT1434" s="116"/>
      <c r="BU1434" s="116"/>
    </row>
    <row r="1435" spans="1:73" ht="19.5" x14ac:dyDescent="0.4">
      <c r="BM1435" s="26"/>
      <c r="BN1435" s="13"/>
      <c r="BR1435" s="117"/>
      <c r="BS1435" s="116"/>
      <c r="BT1435" s="116"/>
      <c r="BU1435" s="116"/>
    </row>
    <row r="1436" spans="1:73" ht="19.5" x14ac:dyDescent="0.4">
      <c r="AU1436" s="115"/>
      <c r="AV1436" s="122"/>
      <c r="AW1436" s="122"/>
      <c r="AX1436" s="122"/>
      <c r="AY1436" s="115"/>
      <c r="AZ1436" s="115"/>
      <c r="BA1436" s="115"/>
      <c r="BB1436" s="115"/>
      <c r="BC1436" s="115"/>
      <c r="BD1436" s="115"/>
      <c r="BE1436" s="115"/>
      <c r="BF1436" s="115"/>
      <c r="BG1436" s="115"/>
      <c r="BH1436" s="115"/>
      <c r="BI1436" s="115"/>
      <c r="BJ1436" s="115"/>
      <c r="BK1436" s="115"/>
      <c r="BL1436" s="115"/>
      <c r="BM1436" s="17"/>
      <c r="BN1436" s="13"/>
      <c r="BR1436" s="117"/>
      <c r="BS1436" s="116"/>
      <c r="BT1436" s="116"/>
      <c r="BU1436" s="116"/>
    </row>
    <row r="1437" spans="1:73" ht="19.5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22"/>
      <c r="AW1437" s="122"/>
      <c r="AX1437" s="122"/>
      <c r="AY1437" s="115"/>
      <c r="AZ1437" s="115"/>
      <c r="BA1437" s="115"/>
      <c r="BB1437" s="115"/>
      <c r="BC1437" s="115"/>
      <c r="BD1437" s="115"/>
      <c r="BE1437" s="115"/>
      <c r="BF1437" s="115"/>
      <c r="BG1437" s="115"/>
      <c r="BH1437" s="115"/>
      <c r="BI1437" s="115"/>
      <c r="BJ1437" s="115"/>
      <c r="BK1437" s="115"/>
      <c r="BL1437" s="115"/>
      <c r="BM1437" s="26"/>
      <c r="BN1437" s="13"/>
      <c r="BR1437" s="117"/>
      <c r="BS1437" s="116"/>
      <c r="BT1437" s="116"/>
      <c r="BU1437" s="116"/>
    </row>
    <row r="1438" spans="1:73" ht="19.5" x14ac:dyDescent="0.4">
      <c r="A1438" s="115"/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22"/>
      <c r="AW1438" s="122"/>
      <c r="AX1438" s="122"/>
      <c r="AY1438" s="115"/>
      <c r="AZ1438" s="115"/>
      <c r="BA1438" s="115"/>
      <c r="BB1438" s="115"/>
      <c r="BC1438" s="115"/>
      <c r="BD1438" s="115"/>
      <c r="BE1438" s="115"/>
      <c r="BF1438" s="115"/>
      <c r="BG1438" s="115"/>
      <c r="BH1438" s="115"/>
      <c r="BI1438" s="115"/>
      <c r="BJ1438" s="115"/>
      <c r="BK1438" s="115"/>
      <c r="BL1438" s="115"/>
      <c r="BM1438" s="26"/>
      <c r="BN1438" s="13"/>
      <c r="BR1438" s="117"/>
      <c r="BS1438" s="116"/>
      <c r="BT1438" s="116"/>
      <c r="BU1438" s="116"/>
    </row>
    <row r="1439" spans="1:73" ht="19.5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22"/>
      <c r="AW1439" s="122"/>
      <c r="AX1439" s="122"/>
      <c r="AY1439" s="115"/>
      <c r="AZ1439" s="115"/>
      <c r="BA1439" s="115"/>
      <c r="BB1439" s="115"/>
      <c r="BC1439" s="115"/>
      <c r="BD1439" s="115"/>
      <c r="BE1439" s="115"/>
      <c r="BF1439" s="115"/>
      <c r="BG1439" s="115"/>
      <c r="BH1439" s="115"/>
      <c r="BI1439" s="115"/>
      <c r="BJ1439" s="115"/>
      <c r="BK1439" s="115"/>
      <c r="BL1439" s="115"/>
      <c r="BM1439" s="26"/>
      <c r="BN1439" s="13"/>
      <c r="BR1439" s="117"/>
      <c r="BS1439" s="116"/>
      <c r="BT1439" s="116"/>
      <c r="BU1439" s="116"/>
    </row>
    <row r="1440" spans="1:73" ht="19.5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22"/>
      <c r="AW1440" s="122"/>
      <c r="AX1440" s="122"/>
      <c r="AY1440" s="115"/>
      <c r="AZ1440" s="115"/>
      <c r="BA1440" s="115"/>
      <c r="BB1440" s="115"/>
      <c r="BC1440" s="115"/>
      <c r="BD1440" s="115"/>
      <c r="BE1440" s="115"/>
      <c r="BF1440" s="115"/>
      <c r="BG1440" s="115"/>
      <c r="BH1440" s="115"/>
      <c r="BI1440" s="115"/>
      <c r="BJ1440" s="115"/>
      <c r="BK1440" s="115"/>
      <c r="BL1440" s="115"/>
      <c r="BM1440" s="26"/>
      <c r="BN1440" s="13"/>
      <c r="BR1440" s="117"/>
      <c r="BS1440" s="116"/>
      <c r="BT1440" s="116"/>
      <c r="BU1440" s="116"/>
    </row>
    <row r="1441" spans="1:73" ht="19.5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22"/>
      <c r="AW1441" s="122"/>
      <c r="AX1441" s="122"/>
      <c r="AY1441" s="115"/>
      <c r="AZ1441" s="115"/>
      <c r="BA1441" s="115"/>
      <c r="BB1441" s="115"/>
      <c r="BC1441" s="115"/>
      <c r="BD1441" s="115"/>
      <c r="BE1441" s="115"/>
      <c r="BF1441" s="115"/>
      <c r="BG1441" s="115"/>
      <c r="BH1441" s="115"/>
      <c r="BI1441" s="115"/>
      <c r="BJ1441" s="115"/>
      <c r="BK1441" s="115"/>
      <c r="BL1441" s="115"/>
      <c r="BM1441" s="17"/>
      <c r="BN1441" s="13"/>
      <c r="BR1441" s="117"/>
      <c r="BS1441" s="116"/>
      <c r="BT1441" s="116"/>
      <c r="BU1441" s="116"/>
    </row>
    <row r="1442" spans="1:73" ht="19.5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22"/>
      <c r="AW1442" s="122"/>
      <c r="AX1442" s="122"/>
      <c r="AY1442" s="115"/>
      <c r="AZ1442" s="115"/>
      <c r="BA1442" s="115"/>
      <c r="BB1442" s="115"/>
      <c r="BC1442" s="115"/>
      <c r="BD1442" s="115"/>
      <c r="BE1442" s="115"/>
      <c r="BF1442" s="115"/>
      <c r="BG1442" s="115"/>
      <c r="BH1442" s="115"/>
      <c r="BI1442" s="115"/>
      <c r="BJ1442" s="115"/>
      <c r="BK1442" s="115"/>
      <c r="BL1442" s="115"/>
      <c r="BM1442" s="26"/>
      <c r="BN1442" s="13"/>
      <c r="BR1442" s="117"/>
      <c r="BS1442" s="116"/>
      <c r="BT1442" s="116"/>
      <c r="BU1442" s="116"/>
    </row>
    <row r="1443" spans="1:73" ht="19.5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22"/>
      <c r="AW1443" s="122"/>
      <c r="AX1443" s="122"/>
      <c r="AY1443" s="115"/>
      <c r="AZ1443" s="115"/>
      <c r="BA1443" s="115"/>
      <c r="BB1443" s="115"/>
      <c r="BC1443" s="115"/>
      <c r="BD1443" s="115"/>
      <c r="BE1443" s="115"/>
      <c r="BF1443" s="115"/>
      <c r="BG1443" s="115"/>
      <c r="BH1443" s="115"/>
      <c r="BI1443" s="115"/>
      <c r="BJ1443" s="115"/>
      <c r="BK1443" s="115"/>
      <c r="BL1443" s="115"/>
      <c r="BM1443" s="26"/>
      <c r="BN1443" s="15"/>
      <c r="BR1443" s="117"/>
      <c r="BS1443" s="116"/>
      <c r="BT1443" s="116"/>
      <c r="BU1443" s="116"/>
    </row>
    <row r="1444" spans="1:73" ht="19.5" x14ac:dyDescent="0.4">
      <c r="BM1444" s="26"/>
      <c r="BN1444" s="15"/>
      <c r="BR1444" s="117"/>
      <c r="BS1444" s="116"/>
      <c r="BT1444" s="116"/>
      <c r="BU1444" s="116"/>
    </row>
    <row r="1445" spans="1:73" ht="19.5" x14ac:dyDescent="0.4">
      <c r="AT1445" s="115"/>
      <c r="AU1445" s="115"/>
      <c r="AV1445" s="122"/>
      <c r="AW1445" s="122"/>
      <c r="AX1445" s="122"/>
      <c r="AY1445" s="115"/>
      <c r="AZ1445" s="115"/>
      <c r="BA1445" s="115"/>
      <c r="BB1445" s="115"/>
      <c r="BC1445" s="115"/>
      <c r="BD1445" s="115"/>
      <c r="BE1445" s="115"/>
      <c r="BF1445" s="115"/>
      <c r="BG1445" s="115"/>
      <c r="BH1445" s="115"/>
      <c r="BI1445" s="115"/>
      <c r="BJ1445" s="115"/>
      <c r="BK1445" s="115"/>
      <c r="BL1445" s="115"/>
      <c r="BM1445" s="26"/>
      <c r="BN1445" s="13"/>
      <c r="BR1445" s="117"/>
      <c r="BS1445" s="116"/>
      <c r="BT1445" s="116"/>
      <c r="BU1445" s="116"/>
    </row>
    <row r="1446" spans="1:73" ht="19.5" x14ac:dyDescent="0.4">
      <c r="AR1446" s="115"/>
      <c r="AS1446" s="115"/>
      <c r="AT1446" s="115"/>
      <c r="AU1446" s="115"/>
      <c r="AV1446" s="122"/>
      <c r="AW1446" s="122"/>
      <c r="AX1446" s="122"/>
      <c r="AY1446" s="115"/>
      <c r="AZ1446" s="115"/>
      <c r="BA1446" s="115"/>
      <c r="BB1446" s="115"/>
      <c r="BC1446" s="115"/>
      <c r="BD1446" s="115"/>
      <c r="BE1446" s="115"/>
      <c r="BF1446" s="115"/>
      <c r="BG1446" s="115"/>
      <c r="BH1446" s="115"/>
      <c r="BI1446" s="115"/>
      <c r="BJ1446" s="115"/>
      <c r="BK1446" s="115"/>
      <c r="BL1446" s="115"/>
      <c r="BM1446" s="26"/>
      <c r="BN1446" s="15"/>
      <c r="BR1446" s="117"/>
      <c r="BS1446" s="116"/>
      <c r="BT1446" s="116"/>
      <c r="BU1446" s="116"/>
    </row>
    <row r="1447" spans="1:73" ht="19.5" x14ac:dyDescent="0.4">
      <c r="AR1447" s="115"/>
      <c r="AS1447" s="115"/>
      <c r="AT1447" s="115"/>
      <c r="AU1447" s="115"/>
      <c r="AV1447" s="122"/>
      <c r="AW1447" s="122"/>
      <c r="AX1447" s="122"/>
      <c r="AY1447" s="115"/>
      <c r="AZ1447" s="115"/>
      <c r="BA1447" s="115"/>
      <c r="BB1447" s="115"/>
      <c r="BC1447" s="115"/>
      <c r="BD1447" s="115"/>
      <c r="BE1447" s="115"/>
      <c r="BF1447" s="115"/>
      <c r="BG1447" s="115"/>
      <c r="BH1447" s="115"/>
      <c r="BI1447" s="115"/>
      <c r="BJ1447" s="115"/>
      <c r="BK1447" s="115"/>
      <c r="BL1447" s="115"/>
      <c r="BM1447" s="26"/>
      <c r="BN1447" s="15"/>
      <c r="BR1447" s="117"/>
      <c r="BS1447" s="116"/>
      <c r="BT1447" s="116"/>
      <c r="BU1447" s="116"/>
    </row>
    <row r="1448" spans="1:73" ht="19.5" x14ac:dyDescent="0.4">
      <c r="AR1448" s="115"/>
      <c r="AS1448" s="115"/>
      <c r="AT1448" s="115"/>
      <c r="AU1448" s="115"/>
      <c r="AV1448" s="122"/>
      <c r="AW1448" s="122"/>
      <c r="AX1448" s="122"/>
      <c r="AY1448" s="115"/>
      <c r="AZ1448" s="115"/>
      <c r="BA1448" s="115"/>
      <c r="BB1448" s="115"/>
      <c r="BC1448" s="115"/>
      <c r="BD1448" s="115"/>
      <c r="BE1448" s="115"/>
      <c r="BF1448" s="115"/>
      <c r="BG1448" s="115"/>
      <c r="BH1448" s="115"/>
      <c r="BI1448" s="115"/>
      <c r="BJ1448" s="115"/>
      <c r="BK1448" s="115"/>
      <c r="BL1448" s="115"/>
      <c r="BM1448" s="17"/>
      <c r="BN1448" s="15"/>
      <c r="BR1448" s="117"/>
      <c r="BS1448" s="116"/>
      <c r="BT1448" s="116"/>
      <c r="BU1448" s="116"/>
    </row>
    <row r="1449" spans="1:73" ht="19.5" x14ac:dyDescent="0.4">
      <c r="AQ1449" s="115"/>
      <c r="AR1449" s="115"/>
      <c r="AS1449" s="115"/>
      <c r="AT1449" s="115"/>
      <c r="AU1449" s="115"/>
      <c r="AV1449" s="122"/>
      <c r="AW1449" s="122"/>
      <c r="AX1449" s="122"/>
      <c r="AY1449" s="115"/>
      <c r="AZ1449" s="115"/>
      <c r="BA1449" s="115"/>
      <c r="BB1449" s="115"/>
      <c r="BC1449" s="115"/>
      <c r="BD1449" s="115"/>
      <c r="BE1449" s="115"/>
      <c r="BF1449" s="115"/>
      <c r="BG1449" s="115"/>
      <c r="BH1449" s="115"/>
      <c r="BI1449" s="115"/>
      <c r="BJ1449" s="115"/>
      <c r="BK1449" s="115"/>
      <c r="BL1449" s="115"/>
      <c r="BM1449" s="26"/>
      <c r="BN1449" s="15"/>
      <c r="BR1449" s="117"/>
      <c r="BS1449" s="116"/>
      <c r="BT1449" s="116"/>
      <c r="BU1449" s="116"/>
    </row>
    <row r="1450" spans="1:73" ht="19.5" x14ac:dyDescent="0.4">
      <c r="AQ1450" s="115"/>
      <c r="AR1450" s="115"/>
      <c r="AS1450" s="115"/>
      <c r="AT1450" s="115"/>
      <c r="AU1450" s="115"/>
      <c r="AV1450" s="122"/>
      <c r="AW1450" s="122"/>
      <c r="AX1450" s="122"/>
      <c r="AY1450" s="115"/>
      <c r="AZ1450" s="115"/>
      <c r="BA1450" s="115"/>
      <c r="BB1450" s="115"/>
      <c r="BC1450" s="115"/>
      <c r="BD1450" s="115"/>
      <c r="BE1450" s="115"/>
      <c r="BF1450" s="115"/>
      <c r="BG1450" s="115"/>
      <c r="BH1450" s="115"/>
      <c r="BI1450" s="115"/>
      <c r="BJ1450" s="115"/>
      <c r="BK1450" s="115"/>
      <c r="BL1450" s="115"/>
      <c r="BM1450" s="26"/>
      <c r="BN1450" s="15"/>
      <c r="BR1450" s="117"/>
      <c r="BS1450" s="116"/>
      <c r="BT1450" s="116"/>
      <c r="BU1450" s="116"/>
    </row>
    <row r="1451" spans="1:73" ht="19.5" x14ac:dyDescent="0.4">
      <c r="AQ1451" s="115"/>
      <c r="AR1451" s="115"/>
      <c r="AS1451" s="115"/>
      <c r="AT1451" s="115"/>
      <c r="AU1451" s="115"/>
      <c r="AV1451" s="122"/>
      <c r="AW1451" s="122"/>
      <c r="AX1451" s="122"/>
      <c r="AY1451" s="115"/>
      <c r="AZ1451" s="115"/>
      <c r="BA1451" s="115"/>
      <c r="BB1451" s="115"/>
      <c r="BC1451" s="115"/>
      <c r="BD1451" s="115"/>
      <c r="BE1451" s="115"/>
      <c r="BF1451" s="115"/>
      <c r="BG1451" s="115"/>
      <c r="BH1451" s="115"/>
      <c r="BI1451" s="115"/>
      <c r="BJ1451" s="115"/>
      <c r="BK1451" s="115"/>
      <c r="BL1451" s="115"/>
      <c r="BM1451" s="26"/>
      <c r="BN1451" s="105"/>
      <c r="BR1451" s="117"/>
      <c r="BS1451" s="116"/>
      <c r="BT1451" s="116"/>
      <c r="BU1451" s="116"/>
    </row>
    <row r="1452" spans="1:73" ht="19.5" x14ac:dyDescent="0.4">
      <c r="AQ1452" s="115"/>
      <c r="AR1452" s="115"/>
      <c r="AS1452" s="115"/>
      <c r="AT1452" s="115"/>
      <c r="AU1452" s="115"/>
      <c r="AV1452" s="122"/>
      <c r="AW1452" s="122"/>
      <c r="AX1452" s="122"/>
      <c r="AY1452" s="115"/>
      <c r="AZ1452" s="115"/>
      <c r="BA1452" s="115"/>
      <c r="BB1452" s="115"/>
      <c r="BC1452" s="115"/>
      <c r="BD1452" s="115"/>
      <c r="BE1452" s="115"/>
      <c r="BF1452" s="115"/>
      <c r="BG1452" s="115"/>
      <c r="BH1452" s="115"/>
      <c r="BI1452" s="115"/>
      <c r="BJ1452" s="115"/>
      <c r="BK1452" s="115"/>
      <c r="BL1452" s="115"/>
      <c r="BM1452" s="17"/>
      <c r="BN1452" s="15"/>
      <c r="BR1452" s="117"/>
      <c r="BS1452" s="116"/>
      <c r="BT1452" s="116"/>
      <c r="BU1452" s="116"/>
    </row>
    <row r="1453" spans="1:73" ht="19.5" x14ac:dyDescent="0.4">
      <c r="AQ1453" s="115"/>
      <c r="AR1453" s="115"/>
      <c r="AS1453" s="115"/>
      <c r="AT1453" s="115"/>
      <c r="AU1453" s="115"/>
      <c r="AV1453" s="122"/>
      <c r="AW1453" s="122"/>
      <c r="AX1453" s="122"/>
      <c r="AY1453" s="115"/>
      <c r="AZ1453" s="115"/>
      <c r="BA1453" s="115"/>
      <c r="BB1453" s="115"/>
      <c r="BC1453" s="115"/>
      <c r="BD1453" s="115"/>
      <c r="BE1453" s="115"/>
      <c r="BF1453" s="115"/>
      <c r="BG1453" s="115"/>
      <c r="BH1453" s="115"/>
      <c r="BI1453" s="115"/>
      <c r="BJ1453" s="115"/>
      <c r="BK1453" s="115"/>
      <c r="BL1453" s="115"/>
      <c r="BM1453" s="26"/>
      <c r="BN1453" s="15"/>
      <c r="BR1453" s="117"/>
      <c r="BS1453" s="116"/>
      <c r="BT1453" s="116"/>
      <c r="BU1453" s="116"/>
    </row>
    <row r="1454" spans="1:73" ht="19.5" x14ac:dyDescent="0.4">
      <c r="AQ1454" s="115"/>
      <c r="AR1454" s="115"/>
      <c r="AS1454" s="115"/>
      <c r="AT1454" s="115"/>
      <c r="AU1454" s="115"/>
      <c r="AV1454" s="122"/>
      <c r="AW1454" s="122"/>
      <c r="AX1454" s="122"/>
      <c r="AY1454" s="115"/>
      <c r="AZ1454" s="115"/>
      <c r="BA1454" s="115"/>
      <c r="BB1454" s="115"/>
      <c r="BC1454" s="115"/>
      <c r="BD1454" s="115"/>
      <c r="BE1454" s="115"/>
      <c r="BF1454" s="115"/>
      <c r="BG1454" s="115"/>
      <c r="BH1454" s="115"/>
      <c r="BI1454" s="115"/>
      <c r="BJ1454" s="115"/>
      <c r="BK1454" s="115"/>
      <c r="BL1454" s="115"/>
      <c r="BM1454" s="17"/>
      <c r="BN1454" s="15"/>
      <c r="BR1454" s="117"/>
      <c r="BS1454" s="116"/>
      <c r="BT1454" s="116"/>
      <c r="BU1454" s="116"/>
    </row>
    <row r="1455" spans="1:73" ht="19.5" x14ac:dyDescent="0.4"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22"/>
      <c r="AW1455" s="122"/>
      <c r="AX1455" s="122"/>
      <c r="AY1455" s="115"/>
      <c r="AZ1455" s="115"/>
      <c r="BA1455" s="115"/>
      <c r="BB1455" s="115"/>
      <c r="BC1455" s="115"/>
      <c r="BD1455" s="115"/>
      <c r="BE1455" s="115"/>
      <c r="BF1455" s="115"/>
      <c r="BG1455" s="115"/>
      <c r="BH1455" s="115"/>
      <c r="BI1455" s="115"/>
      <c r="BJ1455" s="115"/>
      <c r="BK1455" s="115"/>
      <c r="BL1455" s="115"/>
      <c r="BM1455" s="26"/>
      <c r="BN1455" s="15"/>
      <c r="BR1455" s="117"/>
      <c r="BS1455" s="116"/>
      <c r="BT1455" s="116"/>
      <c r="BU1455" s="116"/>
    </row>
    <row r="1456" spans="1:73" ht="19.5" x14ac:dyDescent="0.4"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22"/>
      <c r="AW1456" s="122"/>
      <c r="AX1456" s="122"/>
      <c r="AY1456" s="115"/>
      <c r="AZ1456" s="115"/>
      <c r="BA1456" s="115"/>
      <c r="BB1456" s="115"/>
      <c r="BC1456" s="115"/>
      <c r="BD1456" s="115"/>
      <c r="BE1456" s="115"/>
      <c r="BF1456" s="115"/>
      <c r="BG1456" s="115"/>
      <c r="BH1456" s="115"/>
      <c r="BI1456" s="115"/>
      <c r="BJ1456" s="115"/>
      <c r="BK1456" s="115"/>
      <c r="BL1456" s="115"/>
      <c r="BM1456" s="17"/>
      <c r="BN1456" s="15"/>
      <c r="BR1456" s="117"/>
      <c r="BS1456" s="116"/>
      <c r="BT1456" s="116"/>
      <c r="BU1456" s="116"/>
    </row>
    <row r="1457" spans="1:73" ht="19.5" x14ac:dyDescent="0.4"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22"/>
      <c r="AW1457" s="122"/>
      <c r="AX1457" s="122"/>
      <c r="AY1457" s="115"/>
      <c r="AZ1457" s="115"/>
      <c r="BA1457" s="115"/>
      <c r="BB1457" s="115"/>
      <c r="BC1457" s="115"/>
      <c r="BD1457" s="115"/>
      <c r="BE1457" s="115"/>
      <c r="BF1457" s="115"/>
      <c r="BG1457" s="115"/>
      <c r="BH1457" s="115"/>
      <c r="BI1457" s="115"/>
      <c r="BJ1457" s="115"/>
      <c r="BK1457" s="115"/>
      <c r="BL1457" s="115"/>
      <c r="BM1457" s="26"/>
      <c r="BN1457" s="15"/>
      <c r="BR1457" s="117"/>
      <c r="BS1457" s="116"/>
      <c r="BT1457" s="116"/>
      <c r="BU1457" s="116"/>
    </row>
    <row r="1458" spans="1:73" ht="19.5" x14ac:dyDescent="0.4"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22"/>
      <c r="AW1458" s="122"/>
      <c r="AX1458" s="122"/>
      <c r="AY1458" s="115"/>
      <c r="AZ1458" s="115"/>
      <c r="BA1458" s="115"/>
      <c r="BB1458" s="115"/>
      <c r="BC1458" s="115"/>
      <c r="BD1458" s="115"/>
      <c r="BE1458" s="115"/>
      <c r="BF1458" s="115"/>
      <c r="BG1458" s="115"/>
      <c r="BH1458" s="115"/>
      <c r="BI1458" s="115"/>
      <c r="BJ1458" s="115"/>
      <c r="BK1458" s="115"/>
      <c r="BL1458" s="115"/>
      <c r="BM1458" s="17"/>
      <c r="BN1458" s="15"/>
      <c r="BR1458" s="117"/>
      <c r="BS1458" s="116"/>
      <c r="BT1458" s="116"/>
      <c r="BU1458" s="116"/>
    </row>
    <row r="1459" spans="1:73" ht="19.5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22"/>
      <c r="AW1459" s="122"/>
      <c r="AX1459" s="122"/>
      <c r="AY1459" s="115"/>
      <c r="AZ1459" s="115"/>
      <c r="BA1459" s="115"/>
      <c r="BB1459" s="115"/>
      <c r="BC1459" s="115"/>
      <c r="BD1459" s="115"/>
      <c r="BE1459" s="115"/>
      <c r="BF1459" s="115"/>
      <c r="BG1459" s="115"/>
      <c r="BH1459" s="115"/>
      <c r="BI1459" s="115"/>
      <c r="BJ1459" s="115"/>
      <c r="BK1459" s="115"/>
      <c r="BL1459" s="115"/>
      <c r="BM1459" s="26"/>
      <c r="BN1459" s="15"/>
      <c r="BR1459" s="117"/>
      <c r="BS1459" s="116"/>
      <c r="BT1459" s="116"/>
      <c r="BU1459" s="116"/>
    </row>
    <row r="1460" spans="1:73" ht="19.5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22"/>
      <c r="AW1460" s="122"/>
      <c r="AX1460" s="122"/>
      <c r="AY1460" s="115"/>
      <c r="AZ1460" s="115"/>
      <c r="BA1460" s="115"/>
      <c r="BB1460" s="115"/>
      <c r="BC1460" s="115"/>
      <c r="BD1460" s="115"/>
      <c r="BE1460" s="115"/>
      <c r="BF1460" s="115"/>
      <c r="BG1460" s="115"/>
      <c r="BH1460" s="115"/>
      <c r="BI1460" s="115"/>
      <c r="BJ1460" s="115"/>
      <c r="BK1460" s="115"/>
      <c r="BL1460" s="115"/>
      <c r="BM1460" s="26"/>
      <c r="BN1460" s="15"/>
      <c r="BR1460" s="117"/>
      <c r="BS1460" s="116"/>
      <c r="BT1460" s="116"/>
      <c r="BU1460" s="116"/>
    </row>
    <row r="1461" spans="1:73" ht="19.5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22"/>
      <c r="AW1461" s="122"/>
      <c r="AX1461" s="122"/>
      <c r="AY1461" s="115"/>
      <c r="AZ1461" s="115"/>
      <c r="BA1461" s="115"/>
      <c r="BB1461" s="115"/>
      <c r="BC1461" s="115"/>
      <c r="BD1461" s="115"/>
      <c r="BE1461" s="115"/>
      <c r="BF1461" s="115"/>
      <c r="BG1461" s="115"/>
      <c r="BH1461" s="115"/>
      <c r="BI1461" s="115"/>
      <c r="BJ1461" s="115"/>
      <c r="BK1461" s="115"/>
      <c r="BL1461" s="115"/>
      <c r="BM1461" s="26"/>
      <c r="BN1461" s="15"/>
      <c r="BR1461" s="117"/>
      <c r="BS1461" s="116"/>
      <c r="BT1461" s="116"/>
      <c r="BU1461" s="116"/>
    </row>
    <row r="1462" spans="1:73" ht="19.5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22"/>
      <c r="AW1462" s="122"/>
      <c r="AX1462" s="122"/>
      <c r="AY1462" s="115"/>
      <c r="AZ1462" s="115"/>
      <c r="BA1462" s="115"/>
      <c r="BB1462" s="115"/>
      <c r="BC1462" s="115"/>
      <c r="BD1462" s="115"/>
      <c r="BE1462" s="115"/>
      <c r="BF1462" s="115"/>
      <c r="BG1462" s="115"/>
      <c r="BH1462" s="115"/>
      <c r="BI1462" s="115"/>
      <c r="BJ1462" s="115"/>
      <c r="BK1462" s="115"/>
      <c r="BL1462" s="115"/>
      <c r="BM1462" s="26"/>
      <c r="BN1462" s="15"/>
      <c r="BR1462" s="117"/>
      <c r="BS1462" s="116"/>
      <c r="BT1462" s="116"/>
      <c r="BU1462" s="116"/>
    </row>
    <row r="1463" spans="1:73" ht="19.5" x14ac:dyDescent="0.4">
      <c r="A1463" s="115"/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22"/>
      <c r="AW1463" s="122"/>
      <c r="AX1463" s="122"/>
      <c r="AY1463" s="115"/>
      <c r="AZ1463" s="115"/>
      <c r="BA1463" s="115"/>
      <c r="BB1463" s="115"/>
      <c r="BC1463" s="115"/>
      <c r="BD1463" s="115"/>
      <c r="BE1463" s="115"/>
      <c r="BF1463" s="115"/>
      <c r="BG1463" s="115"/>
      <c r="BH1463" s="115"/>
      <c r="BI1463" s="115"/>
      <c r="BJ1463" s="115"/>
      <c r="BK1463" s="115"/>
      <c r="BL1463" s="115"/>
      <c r="BM1463" s="26"/>
      <c r="BN1463" s="15"/>
      <c r="BR1463" s="117"/>
      <c r="BS1463" s="116"/>
      <c r="BT1463" s="116"/>
      <c r="BU1463" s="116"/>
    </row>
    <row r="1464" spans="1:73" ht="19.5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22"/>
      <c r="AW1464" s="122"/>
      <c r="AX1464" s="122"/>
      <c r="AY1464" s="115"/>
      <c r="AZ1464" s="115"/>
      <c r="BA1464" s="115"/>
      <c r="BB1464" s="115"/>
      <c r="BC1464" s="115"/>
      <c r="BD1464" s="115"/>
      <c r="BE1464" s="115"/>
      <c r="BF1464" s="115"/>
      <c r="BG1464" s="115"/>
      <c r="BH1464" s="115"/>
      <c r="BI1464" s="115"/>
      <c r="BJ1464" s="115"/>
      <c r="BK1464" s="115"/>
      <c r="BL1464" s="115"/>
      <c r="BM1464" s="26"/>
      <c r="BN1464" s="15"/>
      <c r="BR1464" s="117"/>
      <c r="BS1464" s="116"/>
      <c r="BT1464" s="116"/>
      <c r="BU1464" s="116"/>
    </row>
    <row r="1465" spans="1:73" ht="19.5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22"/>
      <c r="AW1465" s="122"/>
      <c r="AX1465" s="122"/>
      <c r="AY1465" s="115"/>
      <c r="AZ1465" s="115"/>
      <c r="BA1465" s="115"/>
      <c r="BB1465" s="115"/>
      <c r="BC1465" s="115"/>
      <c r="BD1465" s="115"/>
      <c r="BE1465" s="115"/>
      <c r="BF1465" s="115"/>
      <c r="BG1465" s="115"/>
      <c r="BH1465" s="115"/>
      <c r="BI1465" s="115"/>
      <c r="BJ1465" s="115"/>
      <c r="BK1465" s="115"/>
      <c r="BL1465" s="115"/>
      <c r="BM1465" s="17"/>
      <c r="BN1465" s="15"/>
      <c r="BR1465" s="117"/>
      <c r="BS1465" s="116"/>
      <c r="BT1465" s="116"/>
      <c r="BU1465" s="116"/>
    </row>
    <row r="1466" spans="1:73" ht="19.5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22"/>
      <c r="AW1466" s="122"/>
      <c r="AX1466" s="122"/>
      <c r="AY1466" s="115"/>
      <c r="AZ1466" s="115"/>
      <c r="BA1466" s="115"/>
      <c r="BB1466" s="115"/>
      <c r="BC1466" s="115"/>
      <c r="BD1466" s="115"/>
      <c r="BE1466" s="115"/>
      <c r="BF1466" s="115"/>
      <c r="BG1466" s="115"/>
      <c r="BH1466" s="115"/>
      <c r="BI1466" s="115"/>
      <c r="BJ1466" s="115"/>
      <c r="BK1466" s="115"/>
      <c r="BL1466" s="115"/>
      <c r="BM1466" s="26"/>
      <c r="BN1466" s="15"/>
      <c r="BR1466" s="117"/>
      <c r="BS1466" s="116"/>
      <c r="BT1466" s="116"/>
      <c r="BU1466" s="116"/>
    </row>
    <row r="1467" spans="1:73" ht="19.5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22"/>
      <c r="AW1467" s="122"/>
      <c r="AX1467" s="122"/>
      <c r="AY1467" s="115"/>
      <c r="AZ1467" s="115"/>
      <c r="BA1467" s="115"/>
      <c r="BB1467" s="115"/>
      <c r="BC1467" s="115"/>
      <c r="BD1467" s="115"/>
      <c r="BE1467" s="115"/>
      <c r="BF1467" s="115"/>
      <c r="BG1467" s="115"/>
      <c r="BH1467" s="115"/>
      <c r="BI1467" s="115"/>
      <c r="BJ1467" s="115"/>
      <c r="BK1467" s="115"/>
      <c r="BL1467" s="115"/>
      <c r="BM1467" s="17"/>
      <c r="BN1467" s="15"/>
      <c r="BR1467" s="117"/>
      <c r="BS1467" s="116"/>
      <c r="BT1467" s="116"/>
      <c r="BU1467" s="116"/>
    </row>
    <row r="1468" spans="1:73" ht="19.5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22"/>
      <c r="AW1468" s="122"/>
      <c r="AX1468" s="122"/>
      <c r="AY1468" s="115"/>
      <c r="AZ1468" s="115"/>
      <c r="BA1468" s="115"/>
      <c r="BB1468" s="115"/>
      <c r="BC1468" s="115"/>
      <c r="BD1468" s="115"/>
      <c r="BE1468" s="115"/>
      <c r="BF1468" s="115"/>
      <c r="BG1468" s="115"/>
      <c r="BH1468" s="115"/>
      <c r="BI1468" s="115"/>
      <c r="BJ1468" s="115"/>
      <c r="BK1468" s="115"/>
      <c r="BL1468" s="115"/>
      <c r="BM1468" s="26"/>
      <c r="BN1468" s="15"/>
      <c r="BR1468" s="117"/>
      <c r="BS1468" s="116"/>
      <c r="BT1468" s="116"/>
      <c r="BU1468" s="116"/>
    </row>
    <row r="1469" spans="1:73" ht="19.5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22"/>
      <c r="AW1469" s="122"/>
      <c r="AX1469" s="122"/>
      <c r="AY1469" s="115"/>
      <c r="AZ1469" s="115"/>
      <c r="BA1469" s="115"/>
      <c r="BB1469" s="115"/>
      <c r="BC1469" s="115"/>
      <c r="BD1469" s="115"/>
      <c r="BE1469" s="115"/>
      <c r="BF1469" s="115"/>
      <c r="BG1469" s="115"/>
      <c r="BH1469" s="115"/>
      <c r="BI1469" s="115"/>
      <c r="BJ1469" s="115"/>
      <c r="BK1469" s="115"/>
      <c r="BL1469" s="115"/>
      <c r="BM1469" s="20"/>
      <c r="BN1469" s="15"/>
      <c r="BR1469" s="117"/>
      <c r="BS1469" s="116"/>
      <c r="BT1469" s="116"/>
      <c r="BU1469" s="116"/>
    </row>
    <row r="1470" spans="1:73" ht="19.5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22"/>
      <c r="AW1470" s="122"/>
      <c r="AX1470" s="122"/>
      <c r="AY1470" s="115"/>
      <c r="AZ1470" s="115"/>
      <c r="BA1470" s="115"/>
      <c r="BB1470" s="115"/>
      <c r="BC1470" s="115"/>
      <c r="BD1470" s="115"/>
      <c r="BE1470" s="115"/>
      <c r="BF1470" s="115"/>
      <c r="BG1470" s="115"/>
      <c r="BH1470" s="115"/>
      <c r="BI1470" s="115"/>
      <c r="BJ1470" s="115"/>
      <c r="BK1470" s="115"/>
      <c r="BL1470" s="115"/>
      <c r="BM1470" s="20"/>
      <c r="BN1470" s="15"/>
      <c r="BR1470" s="117"/>
      <c r="BS1470" s="116"/>
      <c r="BT1470" s="116"/>
      <c r="BU1470" s="116"/>
    </row>
    <row r="1471" spans="1:73" ht="19.5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22"/>
      <c r="AW1471" s="122"/>
      <c r="AX1471" s="122"/>
      <c r="AY1471" s="115"/>
      <c r="AZ1471" s="115"/>
      <c r="BA1471" s="115"/>
      <c r="BB1471" s="115"/>
      <c r="BC1471" s="115"/>
      <c r="BD1471" s="115"/>
      <c r="BE1471" s="115"/>
      <c r="BF1471" s="115"/>
      <c r="BG1471" s="115"/>
      <c r="BH1471" s="115"/>
      <c r="BI1471" s="115"/>
      <c r="BJ1471" s="115"/>
      <c r="BK1471" s="115"/>
      <c r="BL1471" s="115"/>
      <c r="BM1471" s="20"/>
      <c r="BN1471" s="15"/>
      <c r="BR1471" s="117"/>
      <c r="BS1471" s="116"/>
      <c r="BT1471" s="116"/>
      <c r="BU1471" s="116"/>
    </row>
    <row r="1472" spans="1:73" ht="19.5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22"/>
      <c r="AW1472" s="122"/>
      <c r="AX1472" s="122"/>
      <c r="AY1472" s="115"/>
      <c r="AZ1472" s="115"/>
      <c r="BA1472" s="115"/>
      <c r="BB1472" s="115"/>
      <c r="BC1472" s="115"/>
      <c r="BD1472" s="115"/>
      <c r="BE1472" s="115"/>
      <c r="BF1472" s="115"/>
      <c r="BG1472" s="115"/>
      <c r="BH1472" s="115"/>
      <c r="BI1472" s="115"/>
      <c r="BJ1472" s="115"/>
      <c r="BK1472" s="115"/>
      <c r="BL1472" s="115"/>
      <c r="BM1472" s="20"/>
      <c r="BN1472" s="15"/>
      <c r="BR1472" s="117"/>
      <c r="BS1472" s="116"/>
      <c r="BT1472" s="116"/>
      <c r="BU1472" s="116"/>
    </row>
    <row r="1473" spans="1:73" ht="19.5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22"/>
      <c r="AW1473" s="122"/>
      <c r="AX1473" s="122"/>
      <c r="AY1473" s="115"/>
      <c r="AZ1473" s="115"/>
      <c r="BA1473" s="115"/>
      <c r="BB1473" s="115"/>
      <c r="BC1473" s="115"/>
      <c r="BD1473" s="115"/>
      <c r="BE1473" s="115"/>
      <c r="BF1473" s="115"/>
      <c r="BG1473" s="115"/>
      <c r="BH1473" s="115"/>
      <c r="BI1473" s="115"/>
      <c r="BJ1473" s="115"/>
      <c r="BK1473" s="115"/>
      <c r="BL1473" s="115"/>
      <c r="BM1473" s="25"/>
      <c r="BN1473" s="15"/>
      <c r="BR1473" s="117"/>
      <c r="BS1473" s="116"/>
      <c r="BT1473" s="116"/>
      <c r="BU1473" s="116"/>
    </row>
    <row r="1474" spans="1:73" ht="19.5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22"/>
      <c r="AW1474" s="122"/>
      <c r="AX1474" s="122"/>
      <c r="AY1474" s="115"/>
      <c r="AZ1474" s="115"/>
      <c r="BA1474" s="115"/>
      <c r="BB1474" s="115"/>
      <c r="BC1474" s="115"/>
      <c r="BD1474" s="115"/>
      <c r="BE1474" s="115"/>
      <c r="BF1474" s="115"/>
      <c r="BG1474" s="115"/>
      <c r="BH1474" s="115"/>
      <c r="BI1474" s="115"/>
      <c r="BJ1474" s="115"/>
      <c r="BK1474" s="115"/>
      <c r="BL1474" s="115"/>
      <c r="BM1474" s="13"/>
      <c r="BN1474" s="15"/>
      <c r="BR1474" s="117"/>
      <c r="BS1474" s="116"/>
      <c r="BT1474" s="116"/>
      <c r="BU1474" s="116"/>
    </row>
    <row r="1475" spans="1:73" ht="19.5" x14ac:dyDescent="0.4">
      <c r="BM1475" s="25"/>
      <c r="BN1475" s="15"/>
      <c r="BR1475" s="117"/>
      <c r="BS1475" s="116"/>
      <c r="BT1475" s="116"/>
      <c r="BU1475" s="116"/>
    </row>
    <row r="1476" spans="1:73" ht="19.5" x14ac:dyDescent="0.4">
      <c r="AS1476" s="115"/>
      <c r="AT1476" s="115"/>
      <c r="AU1476" s="115"/>
      <c r="AV1476" s="122"/>
      <c r="AW1476" s="122"/>
      <c r="AX1476" s="122"/>
      <c r="AY1476" s="115"/>
      <c r="AZ1476" s="115"/>
      <c r="BA1476" s="115"/>
      <c r="BB1476" s="115"/>
      <c r="BC1476" s="115"/>
      <c r="BD1476" s="115"/>
      <c r="BE1476" s="115"/>
      <c r="BF1476" s="115"/>
      <c r="BG1476" s="115"/>
      <c r="BH1476" s="115"/>
      <c r="BI1476" s="115"/>
      <c r="BJ1476" s="115"/>
      <c r="BK1476" s="115"/>
      <c r="BL1476" s="115"/>
      <c r="BM1476" s="13"/>
      <c r="BN1476" s="15"/>
      <c r="BR1476" s="117"/>
      <c r="BS1476" s="116"/>
      <c r="BT1476" s="116"/>
      <c r="BU1476" s="116"/>
    </row>
    <row r="1477" spans="1:73" ht="19.5" x14ac:dyDescent="0.4"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22"/>
      <c r="AW1477" s="122"/>
      <c r="AX1477" s="122"/>
      <c r="AY1477" s="115"/>
      <c r="AZ1477" s="115"/>
      <c r="BA1477" s="115"/>
      <c r="BB1477" s="115"/>
      <c r="BC1477" s="115"/>
      <c r="BD1477" s="115"/>
      <c r="BE1477" s="115"/>
      <c r="BF1477" s="115"/>
      <c r="BG1477" s="115"/>
      <c r="BH1477" s="115"/>
      <c r="BI1477" s="115"/>
      <c r="BJ1477" s="115"/>
      <c r="BK1477" s="115"/>
      <c r="BL1477" s="115"/>
      <c r="BM1477" s="25"/>
      <c r="BN1477" s="15"/>
      <c r="BR1477" s="117"/>
      <c r="BS1477" s="116"/>
      <c r="BT1477" s="116"/>
      <c r="BU1477" s="116"/>
    </row>
    <row r="1478" spans="1:73" ht="19.5" x14ac:dyDescent="0.4">
      <c r="A1478" s="115"/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22"/>
      <c r="AW1478" s="122"/>
      <c r="AX1478" s="122"/>
      <c r="AY1478" s="115"/>
      <c r="AZ1478" s="115"/>
      <c r="BA1478" s="115"/>
      <c r="BB1478" s="115"/>
      <c r="BC1478" s="115"/>
      <c r="BD1478" s="115"/>
      <c r="BE1478" s="115"/>
      <c r="BF1478" s="115"/>
      <c r="BG1478" s="115"/>
      <c r="BH1478" s="115"/>
      <c r="BI1478" s="115"/>
      <c r="BJ1478" s="115"/>
      <c r="BK1478" s="115"/>
      <c r="BL1478" s="115"/>
      <c r="BM1478" s="25"/>
      <c r="BN1478" s="15"/>
      <c r="BR1478" s="117"/>
      <c r="BS1478" s="116"/>
      <c r="BT1478" s="116"/>
      <c r="BU1478" s="116"/>
    </row>
    <row r="1479" spans="1:73" ht="19.5" x14ac:dyDescent="0.4">
      <c r="A1479" s="115"/>
      <c r="B1479" s="115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22"/>
      <c r="AW1479" s="122"/>
      <c r="AX1479" s="122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15"/>
      <c r="BI1479" s="115"/>
      <c r="BJ1479" s="115"/>
      <c r="BK1479" s="115"/>
      <c r="BL1479" s="115"/>
      <c r="BM1479" s="13"/>
      <c r="BN1479" s="15"/>
      <c r="BR1479" s="117"/>
      <c r="BS1479" s="116"/>
      <c r="BT1479" s="116"/>
      <c r="BU1479" s="116"/>
    </row>
    <row r="1480" spans="1:73" ht="19.5" x14ac:dyDescent="0.4">
      <c r="A1480" s="115"/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22"/>
      <c r="AW1480" s="122"/>
      <c r="AX1480" s="122"/>
      <c r="AY1480" s="115"/>
      <c r="AZ1480" s="115"/>
      <c r="BA1480" s="115"/>
      <c r="BB1480" s="115"/>
      <c r="BC1480" s="115"/>
      <c r="BD1480" s="115"/>
      <c r="BE1480" s="115"/>
      <c r="BF1480" s="115"/>
      <c r="BG1480" s="115"/>
      <c r="BH1480" s="115"/>
      <c r="BI1480" s="115"/>
      <c r="BJ1480" s="115"/>
      <c r="BK1480" s="115"/>
      <c r="BL1480" s="115"/>
      <c r="BM1480" s="25"/>
      <c r="BN1480" s="15"/>
      <c r="BR1480" s="117"/>
      <c r="BS1480" s="116"/>
      <c r="BT1480" s="116"/>
      <c r="BU1480" s="116"/>
    </row>
    <row r="1481" spans="1:73" ht="19.5" x14ac:dyDescent="0.4">
      <c r="A1481" s="115"/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22"/>
      <c r="AW1481" s="122"/>
      <c r="AX1481" s="122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15"/>
      <c r="BI1481" s="115"/>
      <c r="BJ1481" s="115"/>
      <c r="BK1481" s="115"/>
      <c r="BL1481" s="115"/>
      <c r="BM1481" s="13"/>
      <c r="BN1481" s="15"/>
      <c r="BR1481" s="117"/>
      <c r="BS1481" s="116"/>
      <c r="BT1481" s="116"/>
      <c r="BU1481" s="116"/>
    </row>
    <row r="1482" spans="1:73" ht="19.5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22"/>
      <c r="AW1482" s="122"/>
      <c r="AX1482" s="122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115"/>
      <c r="BI1482" s="115"/>
      <c r="BJ1482" s="115"/>
      <c r="BK1482" s="115"/>
      <c r="BL1482" s="115"/>
      <c r="BM1482" s="25"/>
      <c r="BN1482" s="15"/>
      <c r="BR1482" s="117"/>
      <c r="BS1482" s="116"/>
      <c r="BT1482" s="116"/>
      <c r="BU1482" s="116"/>
    </row>
    <row r="1483" spans="1:73" ht="19.5" x14ac:dyDescent="0.4">
      <c r="A1483" s="115"/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22"/>
      <c r="AW1483" s="122"/>
      <c r="AX1483" s="122"/>
      <c r="AY1483" s="115"/>
      <c r="AZ1483" s="115"/>
      <c r="BA1483" s="115"/>
      <c r="BB1483" s="115"/>
      <c r="BC1483" s="115"/>
      <c r="BD1483" s="115"/>
      <c r="BE1483" s="115"/>
      <c r="BF1483" s="115"/>
      <c r="BG1483" s="115"/>
      <c r="BH1483" s="115"/>
      <c r="BI1483" s="115"/>
      <c r="BJ1483" s="115"/>
      <c r="BK1483" s="115"/>
      <c r="BL1483" s="115"/>
      <c r="BM1483" s="26"/>
      <c r="BN1483" s="15"/>
      <c r="BR1483" s="117"/>
      <c r="BS1483" s="116"/>
      <c r="BT1483" s="116"/>
      <c r="BU1483" s="116"/>
    </row>
    <row r="1484" spans="1:73" ht="19.5" x14ac:dyDescent="0.4">
      <c r="A1484" s="115"/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22"/>
      <c r="AW1484" s="122"/>
      <c r="AX1484" s="122"/>
      <c r="AY1484" s="115"/>
      <c r="AZ1484" s="115"/>
      <c r="BA1484" s="115"/>
      <c r="BB1484" s="115"/>
      <c r="BC1484" s="115"/>
      <c r="BD1484" s="115"/>
      <c r="BE1484" s="115"/>
      <c r="BF1484" s="115"/>
      <c r="BG1484" s="115"/>
      <c r="BH1484" s="115"/>
      <c r="BI1484" s="115"/>
      <c r="BJ1484" s="115"/>
      <c r="BK1484" s="115"/>
      <c r="BL1484" s="115"/>
      <c r="BM1484" s="17"/>
      <c r="BN1484" s="13"/>
      <c r="BR1484" s="117"/>
      <c r="BS1484" s="116"/>
      <c r="BT1484" s="116"/>
      <c r="BU1484" s="116"/>
    </row>
    <row r="1485" spans="1:73" ht="19.5" x14ac:dyDescent="0.4">
      <c r="A1485" s="115"/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22"/>
      <c r="AW1485" s="122"/>
      <c r="AX1485" s="122"/>
      <c r="AY1485" s="115"/>
      <c r="AZ1485" s="115"/>
      <c r="BA1485" s="115"/>
      <c r="BB1485" s="115"/>
      <c r="BC1485" s="115"/>
      <c r="BD1485" s="115"/>
      <c r="BE1485" s="115"/>
      <c r="BF1485" s="115"/>
      <c r="BG1485" s="115"/>
      <c r="BH1485" s="115"/>
      <c r="BI1485" s="115"/>
      <c r="BJ1485" s="115"/>
      <c r="BK1485" s="115"/>
      <c r="BL1485" s="115"/>
      <c r="BM1485" s="26"/>
      <c r="BN1485" s="13"/>
      <c r="BR1485" s="117"/>
      <c r="BS1485" s="116"/>
      <c r="BT1485" s="116"/>
      <c r="BU1485" s="116"/>
    </row>
    <row r="1486" spans="1:73" ht="19.5" x14ac:dyDescent="0.4">
      <c r="A1486" s="115"/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22"/>
      <c r="AW1486" s="122"/>
      <c r="AX1486" s="122"/>
      <c r="AY1486" s="115"/>
      <c r="AZ1486" s="115"/>
      <c r="BA1486" s="115"/>
      <c r="BB1486" s="115"/>
      <c r="BC1486" s="115"/>
      <c r="BD1486" s="115"/>
      <c r="BE1486" s="115"/>
      <c r="BF1486" s="115"/>
      <c r="BG1486" s="115"/>
      <c r="BH1486" s="115"/>
      <c r="BI1486" s="115"/>
      <c r="BJ1486" s="115"/>
      <c r="BK1486" s="115"/>
      <c r="BL1486" s="115"/>
      <c r="BM1486" s="17"/>
      <c r="BN1486" s="13"/>
      <c r="BR1486" s="117"/>
      <c r="BS1486" s="116"/>
      <c r="BT1486" s="116"/>
      <c r="BU1486" s="116"/>
    </row>
    <row r="1487" spans="1:73" ht="19.5" x14ac:dyDescent="0.4">
      <c r="A1487" s="115"/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22"/>
      <c r="AW1487" s="122"/>
      <c r="AX1487" s="122"/>
      <c r="AY1487" s="115"/>
      <c r="AZ1487" s="115"/>
      <c r="BA1487" s="115"/>
      <c r="BB1487" s="115"/>
      <c r="BC1487" s="115"/>
      <c r="BD1487" s="115"/>
      <c r="BE1487" s="115"/>
      <c r="BF1487" s="115"/>
      <c r="BG1487" s="115"/>
      <c r="BH1487" s="115"/>
      <c r="BI1487" s="115"/>
      <c r="BJ1487" s="115"/>
      <c r="BK1487" s="115"/>
      <c r="BL1487" s="115"/>
      <c r="BM1487" s="26"/>
      <c r="BN1487" s="15"/>
      <c r="BR1487" s="117"/>
      <c r="BS1487" s="116"/>
      <c r="BT1487" s="116"/>
      <c r="BU1487" s="116"/>
    </row>
    <row r="1488" spans="1:73" ht="19.5" x14ac:dyDescent="0.4">
      <c r="A1488" s="115"/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22"/>
      <c r="AW1488" s="122"/>
      <c r="AX1488" s="122"/>
      <c r="AY1488" s="115"/>
      <c r="AZ1488" s="115"/>
      <c r="BA1488" s="115"/>
      <c r="BB1488" s="115"/>
      <c r="BC1488" s="115"/>
      <c r="BD1488" s="115"/>
      <c r="BE1488" s="115"/>
      <c r="BF1488" s="115"/>
      <c r="BG1488" s="115"/>
      <c r="BH1488" s="115"/>
      <c r="BI1488" s="115"/>
      <c r="BJ1488" s="115"/>
      <c r="BK1488" s="115"/>
      <c r="BL1488" s="115"/>
      <c r="BM1488" s="17"/>
      <c r="BN1488" s="15"/>
      <c r="BR1488" s="117"/>
      <c r="BS1488" s="116"/>
      <c r="BT1488" s="116"/>
      <c r="BU1488" s="116"/>
    </row>
    <row r="1489" spans="1:73" ht="19.5" x14ac:dyDescent="0.4">
      <c r="BM1489" s="26"/>
      <c r="BN1489" s="105"/>
      <c r="BR1489" s="117"/>
      <c r="BS1489" s="116"/>
      <c r="BT1489" s="116"/>
      <c r="BU1489" s="116"/>
    </row>
    <row r="1490" spans="1:73" ht="19.5" x14ac:dyDescent="0.4">
      <c r="AS1490" s="115"/>
      <c r="AT1490" s="115"/>
      <c r="AU1490" s="115"/>
      <c r="AV1490" s="122"/>
      <c r="AW1490" s="122"/>
      <c r="AX1490" s="122"/>
      <c r="AY1490" s="115"/>
      <c r="AZ1490" s="115"/>
      <c r="BA1490" s="115"/>
      <c r="BB1490" s="115"/>
      <c r="BC1490" s="115"/>
      <c r="BD1490" s="115"/>
      <c r="BE1490" s="115"/>
      <c r="BF1490" s="115"/>
      <c r="BG1490" s="115"/>
      <c r="BH1490" s="115"/>
      <c r="BI1490" s="115"/>
      <c r="BJ1490" s="115"/>
      <c r="BK1490" s="115"/>
      <c r="BL1490" s="115"/>
      <c r="BM1490" s="17"/>
      <c r="BN1490" s="15"/>
      <c r="BR1490" s="117"/>
      <c r="BS1490" s="116"/>
      <c r="BT1490" s="116"/>
      <c r="BU1490" s="116"/>
    </row>
    <row r="1491" spans="1:73" ht="19.5" x14ac:dyDescent="0.4">
      <c r="AP1491" s="115"/>
      <c r="AQ1491" s="115"/>
      <c r="AR1491" s="115"/>
      <c r="AS1491" s="115"/>
      <c r="AT1491" s="115"/>
      <c r="AU1491" s="115"/>
      <c r="AV1491" s="122"/>
      <c r="AW1491" s="122"/>
      <c r="AX1491" s="122"/>
      <c r="AY1491" s="115"/>
      <c r="AZ1491" s="115"/>
      <c r="BA1491" s="115"/>
      <c r="BB1491" s="115"/>
      <c r="BC1491" s="115"/>
      <c r="BD1491" s="115"/>
      <c r="BE1491" s="115"/>
      <c r="BF1491" s="115"/>
      <c r="BG1491" s="115"/>
      <c r="BH1491" s="115"/>
      <c r="BI1491" s="115"/>
      <c r="BJ1491" s="115"/>
      <c r="BK1491" s="115"/>
      <c r="BL1491" s="115"/>
      <c r="BM1491" s="26"/>
      <c r="BN1491" s="15"/>
      <c r="BR1491" s="117"/>
      <c r="BS1491" s="116"/>
      <c r="BT1491" s="116"/>
      <c r="BU1491" s="116"/>
    </row>
    <row r="1492" spans="1:73" ht="19.5" x14ac:dyDescent="0.4">
      <c r="AP1492" s="115"/>
      <c r="AQ1492" s="115"/>
      <c r="AR1492" s="115"/>
      <c r="AS1492" s="115"/>
      <c r="AT1492" s="115"/>
      <c r="AU1492" s="115"/>
      <c r="AV1492" s="122"/>
      <c r="AW1492" s="122"/>
      <c r="AX1492" s="122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115"/>
      <c r="BI1492" s="115"/>
      <c r="BJ1492" s="115"/>
      <c r="BK1492" s="115"/>
      <c r="BL1492" s="115"/>
      <c r="BM1492" s="17"/>
      <c r="BN1492" s="15"/>
      <c r="BR1492" s="117"/>
      <c r="BS1492" s="116"/>
      <c r="BT1492" s="116"/>
      <c r="BU1492" s="116"/>
    </row>
    <row r="1493" spans="1:73" ht="19.5" x14ac:dyDescent="0.4"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22"/>
      <c r="AW1493" s="122"/>
      <c r="AX1493" s="122"/>
      <c r="AY1493" s="115"/>
      <c r="AZ1493" s="115"/>
      <c r="BA1493" s="115"/>
      <c r="BB1493" s="115"/>
      <c r="BC1493" s="115"/>
      <c r="BD1493" s="115"/>
      <c r="BE1493" s="115"/>
      <c r="BF1493" s="115"/>
      <c r="BG1493" s="115"/>
      <c r="BH1493" s="115"/>
      <c r="BI1493" s="115"/>
      <c r="BJ1493" s="115"/>
      <c r="BK1493" s="115"/>
      <c r="BL1493" s="115"/>
      <c r="BM1493" s="26"/>
      <c r="BN1493" s="15"/>
      <c r="BR1493" s="117"/>
      <c r="BS1493" s="116"/>
      <c r="BT1493" s="116"/>
      <c r="BU1493" s="116"/>
    </row>
    <row r="1494" spans="1:73" ht="19.5" x14ac:dyDescent="0.4"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22"/>
      <c r="AW1494" s="122"/>
      <c r="AX1494" s="122"/>
      <c r="AY1494" s="115"/>
      <c r="AZ1494" s="115"/>
      <c r="BA1494" s="115"/>
      <c r="BB1494" s="115"/>
      <c r="BC1494" s="115"/>
      <c r="BD1494" s="115"/>
      <c r="BE1494" s="115"/>
      <c r="BF1494" s="115"/>
      <c r="BG1494" s="115"/>
      <c r="BH1494" s="115"/>
      <c r="BI1494" s="115"/>
      <c r="BJ1494" s="115"/>
      <c r="BK1494" s="115"/>
      <c r="BL1494" s="115"/>
      <c r="BM1494" s="17"/>
      <c r="BN1494" s="15"/>
      <c r="BR1494" s="117"/>
      <c r="BS1494" s="116"/>
      <c r="BT1494" s="116"/>
      <c r="BU1494" s="116"/>
    </row>
    <row r="1495" spans="1:73" ht="19.5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22"/>
      <c r="AW1495" s="122"/>
      <c r="AX1495" s="122"/>
      <c r="AY1495" s="115"/>
      <c r="AZ1495" s="115"/>
      <c r="BA1495" s="115"/>
      <c r="BB1495" s="115"/>
      <c r="BC1495" s="115"/>
      <c r="BD1495" s="115"/>
      <c r="BE1495" s="115"/>
      <c r="BF1495" s="115"/>
      <c r="BG1495" s="115"/>
      <c r="BH1495" s="115"/>
      <c r="BI1495" s="115"/>
      <c r="BJ1495" s="115"/>
      <c r="BK1495" s="115"/>
      <c r="BL1495" s="115"/>
      <c r="BM1495" s="26"/>
      <c r="BN1495" s="15"/>
      <c r="BR1495" s="117"/>
      <c r="BS1495" s="116"/>
      <c r="BT1495" s="116"/>
      <c r="BU1495" s="116"/>
    </row>
    <row r="1496" spans="1:73" ht="19.5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22"/>
      <c r="AW1496" s="122"/>
      <c r="AX1496" s="122"/>
      <c r="AY1496" s="115"/>
      <c r="AZ1496" s="115"/>
      <c r="BA1496" s="115"/>
      <c r="BB1496" s="115"/>
      <c r="BC1496" s="115"/>
      <c r="BD1496" s="115"/>
      <c r="BE1496" s="115"/>
      <c r="BF1496" s="115"/>
      <c r="BG1496" s="115"/>
      <c r="BH1496" s="115"/>
      <c r="BI1496" s="115"/>
      <c r="BJ1496" s="115"/>
      <c r="BK1496" s="115"/>
      <c r="BL1496" s="115"/>
      <c r="BM1496" s="26"/>
      <c r="BN1496" s="15"/>
      <c r="BR1496" s="117"/>
      <c r="BS1496" s="116"/>
      <c r="BT1496" s="116"/>
      <c r="BU1496" s="116"/>
    </row>
    <row r="1497" spans="1:73" ht="19.5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22"/>
      <c r="AW1497" s="122"/>
      <c r="AX1497" s="122"/>
      <c r="AY1497" s="115"/>
      <c r="AZ1497" s="115"/>
      <c r="BA1497" s="115"/>
      <c r="BB1497" s="115"/>
      <c r="BC1497" s="115"/>
      <c r="BD1497" s="115"/>
      <c r="BE1497" s="115"/>
      <c r="BF1497" s="115"/>
      <c r="BG1497" s="115"/>
      <c r="BH1497" s="115"/>
      <c r="BI1497" s="115"/>
      <c r="BJ1497" s="115"/>
      <c r="BK1497" s="115"/>
      <c r="BL1497" s="115"/>
      <c r="BM1497" s="17"/>
      <c r="BN1497" s="15"/>
      <c r="BR1497" s="117"/>
      <c r="BS1497" s="116"/>
      <c r="BT1497" s="116"/>
      <c r="BU1497" s="116"/>
    </row>
    <row r="1498" spans="1:73" ht="19.5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22"/>
      <c r="AW1498" s="122"/>
      <c r="AX1498" s="122"/>
      <c r="AY1498" s="115"/>
      <c r="AZ1498" s="115"/>
      <c r="BA1498" s="115"/>
      <c r="BB1498" s="115"/>
      <c r="BC1498" s="115"/>
      <c r="BD1498" s="115"/>
      <c r="BE1498" s="115"/>
      <c r="BF1498" s="115"/>
      <c r="BG1498" s="115"/>
      <c r="BH1498" s="115"/>
      <c r="BI1498" s="115"/>
      <c r="BJ1498" s="115"/>
      <c r="BK1498" s="115"/>
      <c r="BL1498" s="115"/>
      <c r="BM1498" s="26"/>
      <c r="BN1498" s="15"/>
      <c r="BR1498" s="117"/>
      <c r="BS1498" s="116"/>
      <c r="BT1498" s="116"/>
      <c r="BU1498" s="116"/>
    </row>
    <row r="1499" spans="1:73" ht="19.5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22"/>
      <c r="AW1499" s="122"/>
      <c r="AX1499" s="122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15"/>
      <c r="BI1499" s="115"/>
      <c r="BJ1499" s="115"/>
      <c r="BK1499" s="115"/>
      <c r="BL1499" s="115"/>
      <c r="BM1499" s="17"/>
      <c r="BN1499" s="15"/>
      <c r="BR1499" s="117"/>
      <c r="BS1499" s="116"/>
      <c r="BT1499" s="116"/>
      <c r="BU1499" s="116"/>
    </row>
    <row r="1500" spans="1:73" ht="19.5" x14ac:dyDescent="0.4">
      <c r="BM1500" s="26"/>
      <c r="BN1500" s="15"/>
      <c r="BR1500" s="117"/>
      <c r="BS1500" s="116"/>
      <c r="BT1500" s="116"/>
      <c r="BU1500" s="116"/>
    </row>
    <row r="1501" spans="1:73" ht="19.5" x14ac:dyDescent="0.4">
      <c r="AS1501" s="115"/>
      <c r="AT1501" s="115"/>
      <c r="AU1501" s="115"/>
      <c r="AV1501" s="122"/>
      <c r="AW1501" s="122"/>
      <c r="AX1501" s="122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15"/>
      <c r="BI1501" s="115"/>
      <c r="BJ1501" s="115"/>
      <c r="BK1501" s="115"/>
      <c r="BL1501" s="115"/>
      <c r="BM1501" s="17"/>
      <c r="BN1501" s="15"/>
      <c r="BR1501" s="117"/>
      <c r="BS1501" s="116"/>
      <c r="BT1501" s="116"/>
      <c r="BU1501" s="116"/>
    </row>
    <row r="1502" spans="1:73" ht="19.5" x14ac:dyDescent="0.4">
      <c r="BM1502" s="26"/>
      <c r="BN1502" s="15"/>
      <c r="BR1502" s="117"/>
      <c r="BS1502" s="116"/>
      <c r="BT1502" s="116"/>
      <c r="BU1502" s="116"/>
    </row>
    <row r="1503" spans="1:73" ht="19.5" x14ac:dyDescent="0.4">
      <c r="AS1503" s="115"/>
      <c r="AT1503" s="115"/>
      <c r="AU1503" s="115"/>
      <c r="AV1503" s="122"/>
      <c r="AW1503" s="122"/>
      <c r="AX1503" s="122"/>
      <c r="AY1503" s="115"/>
      <c r="AZ1503" s="115"/>
      <c r="BA1503" s="115"/>
      <c r="BB1503" s="115"/>
      <c r="BC1503" s="115"/>
      <c r="BD1503" s="115"/>
      <c r="BE1503" s="115"/>
      <c r="BF1503" s="115"/>
      <c r="BG1503" s="115"/>
      <c r="BH1503" s="115"/>
      <c r="BI1503" s="115"/>
      <c r="BJ1503" s="115"/>
      <c r="BK1503" s="115"/>
      <c r="BL1503" s="115"/>
      <c r="BM1503" s="17"/>
      <c r="BN1503" s="15"/>
      <c r="BR1503" s="117"/>
      <c r="BS1503" s="116"/>
      <c r="BT1503" s="116"/>
      <c r="BU1503" s="116"/>
    </row>
    <row r="1504" spans="1:73" ht="19.5" x14ac:dyDescent="0.4">
      <c r="BM1504" s="26"/>
      <c r="BN1504" s="15"/>
      <c r="BR1504" s="117"/>
      <c r="BS1504" s="116"/>
      <c r="BT1504" s="116"/>
      <c r="BU1504" s="116"/>
    </row>
    <row r="1505" spans="2:73" ht="19.5" x14ac:dyDescent="0.4">
      <c r="AS1505" s="115"/>
      <c r="AT1505" s="115"/>
      <c r="AU1505" s="115"/>
      <c r="AV1505" s="122"/>
      <c r="AW1505" s="122"/>
      <c r="AX1505" s="122"/>
      <c r="AY1505" s="115"/>
      <c r="AZ1505" s="115"/>
      <c r="BA1505" s="115"/>
      <c r="BB1505" s="115"/>
      <c r="BC1505" s="115"/>
      <c r="BD1505" s="115"/>
      <c r="BE1505" s="115"/>
      <c r="BF1505" s="115"/>
      <c r="BG1505" s="115"/>
      <c r="BH1505" s="115"/>
      <c r="BI1505" s="115"/>
      <c r="BJ1505" s="115"/>
      <c r="BK1505" s="115"/>
      <c r="BL1505" s="115"/>
      <c r="BM1505" s="17"/>
      <c r="BN1505" s="15"/>
      <c r="BR1505" s="117"/>
      <c r="BS1505" s="116"/>
      <c r="BT1505" s="116"/>
      <c r="BU1505" s="116"/>
    </row>
    <row r="1506" spans="2:73" ht="19.5" x14ac:dyDescent="0.4"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22"/>
      <c r="AW1506" s="122"/>
      <c r="AX1506" s="122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115"/>
      <c r="BI1506" s="115"/>
      <c r="BJ1506" s="115"/>
      <c r="BK1506" s="115"/>
      <c r="BL1506" s="115"/>
      <c r="BM1506" s="26"/>
      <c r="BN1506" s="15"/>
      <c r="BR1506" s="117"/>
      <c r="BS1506" s="116"/>
      <c r="BT1506" s="116"/>
      <c r="BU1506" s="116"/>
    </row>
    <row r="1507" spans="2:73" ht="19.5" x14ac:dyDescent="0.4"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22"/>
      <c r="AW1507" s="122"/>
      <c r="AX1507" s="122"/>
      <c r="AY1507" s="115"/>
      <c r="AZ1507" s="115"/>
      <c r="BA1507" s="115"/>
      <c r="BB1507" s="115"/>
      <c r="BC1507" s="115"/>
      <c r="BD1507" s="115"/>
      <c r="BE1507" s="115"/>
      <c r="BF1507" s="115"/>
      <c r="BG1507" s="115"/>
      <c r="BH1507" s="115"/>
      <c r="BI1507" s="115"/>
      <c r="BJ1507" s="115"/>
      <c r="BK1507" s="115"/>
      <c r="BL1507" s="115"/>
      <c r="BM1507" s="17"/>
      <c r="BN1507" s="15"/>
      <c r="BR1507" s="117"/>
      <c r="BS1507" s="116"/>
      <c r="BT1507" s="116"/>
      <c r="BU1507" s="116"/>
    </row>
    <row r="1508" spans="2:73" ht="19.5" x14ac:dyDescent="0.4"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22"/>
      <c r="AW1508" s="122"/>
      <c r="AX1508" s="122"/>
      <c r="AY1508" s="115"/>
      <c r="AZ1508" s="115"/>
      <c r="BA1508" s="115"/>
      <c r="BB1508" s="115"/>
      <c r="BC1508" s="115"/>
      <c r="BD1508" s="115"/>
      <c r="BE1508" s="115"/>
      <c r="BF1508" s="115"/>
      <c r="BG1508" s="115"/>
      <c r="BH1508" s="115"/>
      <c r="BI1508" s="115"/>
      <c r="BJ1508" s="115"/>
      <c r="BK1508" s="115"/>
      <c r="BL1508" s="115"/>
      <c r="BM1508" s="26"/>
      <c r="BN1508" s="15"/>
      <c r="BR1508" s="117"/>
      <c r="BS1508" s="116"/>
      <c r="BT1508" s="116"/>
      <c r="BU1508" s="116"/>
    </row>
    <row r="1509" spans="2:73" ht="19.5" x14ac:dyDescent="0.4">
      <c r="BM1509" s="26"/>
      <c r="BN1509" s="15"/>
      <c r="BR1509" s="117"/>
      <c r="BS1509" s="116"/>
      <c r="BT1509" s="116"/>
      <c r="BU1509" s="116"/>
    </row>
    <row r="1510" spans="2:73" ht="19.5" x14ac:dyDescent="0.4">
      <c r="AS1510" s="115"/>
      <c r="AT1510" s="115"/>
      <c r="AU1510" s="115"/>
      <c r="AV1510" s="122"/>
      <c r="AW1510" s="122"/>
      <c r="AX1510" s="122"/>
      <c r="AY1510" s="115"/>
      <c r="AZ1510" s="115"/>
      <c r="BA1510" s="115"/>
      <c r="BB1510" s="115"/>
      <c r="BC1510" s="115"/>
      <c r="BD1510" s="115"/>
      <c r="BE1510" s="115"/>
      <c r="BF1510" s="115"/>
      <c r="BG1510" s="115"/>
      <c r="BH1510" s="115"/>
      <c r="BI1510" s="115"/>
      <c r="BJ1510" s="115"/>
      <c r="BK1510" s="115"/>
      <c r="BL1510" s="115"/>
      <c r="BM1510" s="17"/>
      <c r="BN1510" s="15"/>
      <c r="BR1510" s="117"/>
      <c r="BS1510" s="116"/>
      <c r="BT1510" s="116"/>
      <c r="BU1510" s="116"/>
    </row>
    <row r="1511" spans="2:73" ht="19.5" x14ac:dyDescent="0.4">
      <c r="AQ1511" s="115"/>
      <c r="AR1511" s="115"/>
      <c r="AS1511" s="115"/>
      <c r="AT1511" s="115"/>
      <c r="AU1511" s="115"/>
      <c r="AV1511" s="122"/>
      <c r="AW1511" s="122"/>
      <c r="AX1511" s="122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15"/>
      <c r="BI1511" s="115"/>
      <c r="BJ1511" s="115"/>
      <c r="BK1511" s="115"/>
      <c r="BL1511" s="115"/>
      <c r="BM1511" s="26"/>
      <c r="BN1511" s="15"/>
      <c r="BR1511" s="117"/>
      <c r="BS1511" s="116"/>
      <c r="BT1511" s="116"/>
      <c r="BU1511" s="116"/>
    </row>
    <row r="1512" spans="2:73" ht="19.5" x14ac:dyDescent="0.4">
      <c r="AQ1512" s="115"/>
      <c r="AR1512" s="115"/>
      <c r="AS1512" s="115"/>
      <c r="AT1512" s="115"/>
      <c r="AU1512" s="115"/>
      <c r="AV1512" s="122"/>
      <c r="AW1512" s="122"/>
      <c r="AX1512" s="122"/>
      <c r="AY1512" s="115"/>
      <c r="AZ1512" s="115"/>
      <c r="BA1512" s="115"/>
      <c r="BB1512" s="115"/>
      <c r="BC1512" s="115"/>
      <c r="BD1512" s="115"/>
      <c r="BE1512" s="115"/>
      <c r="BF1512" s="115"/>
      <c r="BG1512" s="115"/>
      <c r="BH1512" s="115"/>
      <c r="BI1512" s="115"/>
      <c r="BJ1512" s="115"/>
      <c r="BK1512" s="115"/>
      <c r="BL1512" s="115"/>
      <c r="BM1512" s="17"/>
      <c r="BN1512" s="13"/>
      <c r="BR1512" s="117"/>
      <c r="BS1512" s="116"/>
      <c r="BT1512" s="116"/>
      <c r="BU1512" s="116"/>
    </row>
    <row r="1513" spans="2:73" ht="19.5" x14ac:dyDescent="0.4">
      <c r="AP1513" s="115"/>
      <c r="AQ1513" s="115"/>
      <c r="AR1513" s="115"/>
      <c r="AS1513" s="115"/>
      <c r="AT1513" s="115"/>
      <c r="AU1513" s="115"/>
      <c r="AV1513" s="122"/>
      <c r="AW1513" s="122"/>
      <c r="AX1513" s="122"/>
      <c r="AY1513" s="115"/>
      <c r="AZ1513" s="115"/>
      <c r="BA1513" s="115"/>
      <c r="BB1513" s="115"/>
      <c r="BC1513" s="115"/>
      <c r="BD1513" s="115"/>
      <c r="BE1513" s="115"/>
      <c r="BF1513" s="115"/>
      <c r="BG1513" s="115"/>
      <c r="BH1513" s="115"/>
      <c r="BI1513" s="115"/>
      <c r="BJ1513" s="115"/>
      <c r="BK1513" s="115"/>
      <c r="BL1513" s="115"/>
      <c r="BM1513" s="26"/>
      <c r="BN1513" s="13"/>
      <c r="BR1513" s="117"/>
      <c r="BS1513" s="116"/>
      <c r="BT1513" s="116"/>
      <c r="BU1513" s="116"/>
    </row>
    <row r="1514" spans="2:73" ht="19.5" x14ac:dyDescent="0.4">
      <c r="AP1514" s="115"/>
      <c r="AQ1514" s="115"/>
      <c r="AR1514" s="115"/>
      <c r="AS1514" s="115"/>
      <c r="AT1514" s="115"/>
      <c r="AU1514" s="115"/>
      <c r="AV1514" s="122"/>
      <c r="AW1514" s="122"/>
      <c r="AX1514" s="122"/>
      <c r="AY1514" s="115"/>
      <c r="AZ1514" s="115"/>
      <c r="BA1514" s="115"/>
      <c r="BB1514" s="115"/>
      <c r="BC1514" s="115"/>
      <c r="BD1514" s="115"/>
      <c r="BE1514" s="115"/>
      <c r="BF1514" s="115"/>
      <c r="BG1514" s="115"/>
      <c r="BH1514" s="115"/>
      <c r="BI1514" s="115"/>
      <c r="BJ1514" s="115"/>
      <c r="BK1514" s="115"/>
      <c r="BL1514" s="115"/>
      <c r="BM1514" s="17"/>
      <c r="BN1514" s="13"/>
      <c r="BR1514" s="117"/>
      <c r="BS1514" s="116"/>
      <c r="BT1514" s="116"/>
      <c r="BU1514" s="116"/>
    </row>
    <row r="1515" spans="2:73" ht="19.5" x14ac:dyDescent="0.4"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22"/>
      <c r="AW1515" s="122"/>
      <c r="AX1515" s="122"/>
      <c r="AY1515" s="115"/>
      <c r="AZ1515" s="115"/>
      <c r="BA1515" s="115"/>
      <c r="BB1515" s="115"/>
      <c r="BC1515" s="115"/>
      <c r="BD1515" s="115"/>
      <c r="BE1515" s="115"/>
      <c r="BF1515" s="115"/>
      <c r="BG1515" s="115"/>
      <c r="BH1515" s="115"/>
      <c r="BI1515" s="115"/>
      <c r="BJ1515" s="115"/>
      <c r="BK1515" s="115"/>
      <c r="BL1515" s="115"/>
      <c r="BM1515" s="26"/>
      <c r="BN1515" s="15"/>
      <c r="BR1515" s="117"/>
      <c r="BS1515" s="116"/>
      <c r="BT1515" s="116"/>
      <c r="BU1515" s="116"/>
    </row>
    <row r="1516" spans="2:73" ht="19.5" x14ac:dyDescent="0.4"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22"/>
      <c r="AW1516" s="122"/>
      <c r="AX1516" s="122"/>
      <c r="AY1516" s="115"/>
      <c r="AZ1516" s="115"/>
      <c r="BA1516" s="115"/>
      <c r="BB1516" s="115"/>
      <c r="BC1516" s="115"/>
      <c r="BD1516" s="115"/>
      <c r="BE1516" s="115"/>
      <c r="BF1516" s="115"/>
      <c r="BG1516" s="115"/>
      <c r="BH1516" s="115"/>
      <c r="BI1516" s="115"/>
      <c r="BJ1516" s="115"/>
      <c r="BK1516" s="115"/>
      <c r="BL1516" s="115"/>
      <c r="BM1516" s="17"/>
      <c r="BN1516" s="15"/>
      <c r="BR1516" s="117"/>
      <c r="BS1516" s="116"/>
      <c r="BT1516" s="116"/>
      <c r="BU1516" s="116"/>
    </row>
    <row r="1517" spans="2:73" ht="19.5" x14ac:dyDescent="0.4"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22"/>
      <c r="AW1517" s="122"/>
      <c r="AX1517" s="122"/>
      <c r="AY1517" s="115"/>
      <c r="AZ1517" s="115"/>
      <c r="BA1517" s="115"/>
      <c r="BB1517" s="115"/>
      <c r="BC1517" s="115"/>
      <c r="BD1517" s="115"/>
      <c r="BE1517" s="115"/>
      <c r="BF1517" s="115"/>
      <c r="BG1517" s="115"/>
      <c r="BH1517" s="115"/>
      <c r="BI1517" s="115"/>
      <c r="BJ1517" s="115"/>
      <c r="BK1517" s="115"/>
      <c r="BL1517" s="115"/>
      <c r="BM1517" s="26"/>
      <c r="BN1517" s="105"/>
      <c r="BR1517" s="117"/>
      <c r="BS1517" s="116"/>
      <c r="BT1517" s="116"/>
      <c r="BU1517" s="116"/>
    </row>
    <row r="1518" spans="2:73" ht="19.5" x14ac:dyDescent="0.4"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22"/>
      <c r="AW1518" s="122"/>
      <c r="AX1518" s="122"/>
      <c r="AY1518" s="115"/>
      <c r="AZ1518" s="115"/>
      <c r="BA1518" s="115"/>
      <c r="BB1518" s="115"/>
      <c r="BC1518" s="115"/>
      <c r="BD1518" s="115"/>
      <c r="BE1518" s="115"/>
      <c r="BF1518" s="115"/>
      <c r="BG1518" s="115"/>
      <c r="BH1518" s="115"/>
      <c r="BI1518" s="115"/>
      <c r="BJ1518" s="115"/>
      <c r="BK1518" s="115"/>
      <c r="BL1518" s="115"/>
      <c r="BM1518" s="17"/>
      <c r="BN1518" s="15"/>
      <c r="BR1518" s="117"/>
      <c r="BS1518" s="116"/>
      <c r="BT1518" s="116"/>
      <c r="BU1518" s="116"/>
    </row>
    <row r="1519" spans="2:73" ht="19.5" x14ac:dyDescent="0.4"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22"/>
      <c r="AW1519" s="122"/>
      <c r="AX1519" s="122"/>
      <c r="AY1519" s="115"/>
      <c r="AZ1519" s="115"/>
      <c r="BA1519" s="115"/>
      <c r="BB1519" s="115"/>
      <c r="BC1519" s="115"/>
      <c r="BD1519" s="115"/>
      <c r="BE1519" s="115"/>
      <c r="BF1519" s="115"/>
      <c r="BG1519" s="115"/>
      <c r="BH1519" s="115"/>
      <c r="BI1519" s="115"/>
      <c r="BJ1519" s="115"/>
      <c r="BK1519" s="115"/>
      <c r="BL1519" s="115"/>
      <c r="BM1519" s="26"/>
      <c r="BN1519" s="15"/>
      <c r="BR1519" s="117"/>
      <c r="BS1519" s="116"/>
      <c r="BT1519" s="116"/>
      <c r="BU1519" s="116"/>
    </row>
    <row r="1520" spans="2:73" ht="19.5" x14ac:dyDescent="0.4"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22"/>
      <c r="AW1520" s="122"/>
      <c r="AX1520" s="122"/>
      <c r="AY1520" s="115"/>
      <c r="AZ1520" s="115"/>
      <c r="BA1520" s="115"/>
      <c r="BB1520" s="115"/>
      <c r="BC1520" s="115"/>
      <c r="BD1520" s="115"/>
      <c r="BE1520" s="115"/>
      <c r="BF1520" s="115"/>
      <c r="BG1520" s="115"/>
      <c r="BH1520" s="115"/>
      <c r="BI1520" s="115"/>
      <c r="BJ1520" s="115"/>
      <c r="BK1520" s="115"/>
      <c r="BL1520" s="115"/>
      <c r="BM1520" s="26"/>
      <c r="BN1520" s="15"/>
      <c r="BR1520" s="117"/>
      <c r="BS1520" s="116"/>
      <c r="BT1520" s="116"/>
      <c r="BU1520" s="116"/>
    </row>
    <row r="1521" spans="1:73" ht="19.5" x14ac:dyDescent="0.4">
      <c r="BM1521" s="26"/>
      <c r="BN1521" s="15"/>
      <c r="BR1521" s="117"/>
      <c r="BS1521" s="116"/>
      <c r="BT1521" s="116"/>
      <c r="BU1521" s="116"/>
    </row>
    <row r="1522" spans="1:73" ht="19.5" x14ac:dyDescent="0.4">
      <c r="AR1522" s="115"/>
      <c r="AS1522" s="115"/>
      <c r="AT1522" s="115"/>
      <c r="AU1522" s="115"/>
      <c r="AV1522" s="122"/>
      <c r="AW1522" s="122"/>
      <c r="AX1522" s="122"/>
      <c r="AY1522" s="115"/>
      <c r="AZ1522" s="115"/>
      <c r="BA1522" s="115"/>
      <c r="BB1522" s="115"/>
      <c r="BC1522" s="115"/>
      <c r="BD1522" s="115"/>
      <c r="BE1522" s="115"/>
      <c r="BF1522" s="115"/>
      <c r="BG1522" s="115"/>
      <c r="BH1522" s="115"/>
      <c r="BI1522" s="115"/>
      <c r="BJ1522" s="115"/>
      <c r="BK1522" s="115"/>
      <c r="BL1522" s="115"/>
      <c r="BM1522" s="26"/>
      <c r="BN1522" s="15"/>
      <c r="BR1522" s="117"/>
      <c r="BS1522" s="116"/>
      <c r="BT1522" s="116"/>
      <c r="BU1522" s="116"/>
    </row>
    <row r="1523" spans="1:73" ht="19.5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22"/>
      <c r="AW1523" s="122"/>
      <c r="AX1523" s="122"/>
      <c r="AY1523" s="115"/>
      <c r="AZ1523" s="115"/>
      <c r="BA1523" s="115"/>
      <c r="BB1523" s="115"/>
      <c r="BC1523" s="115"/>
      <c r="BD1523" s="115"/>
      <c r="BE1523" s="115"/>
      <c r="BF1523" s="115"/>
      <c r="BG1523" s="115"/>
      <c r="BH1523" s="115"/>
      <c r="BI1523" s="115"/>
      <c r="BJ1523" s="115"/>
      <c r="BK1523" s="115"/>
      <c r="BL1523" s="115"/>
      <c r="BM1523" s="26"/>
      <c r="BN1523" s="15"/>
      <c r="BR1523" s="117"/>
      <c r="BS1523" s="116"/>
      <c r="BT1523" s="116"/>
      <c r="BU1523" s="116"/>
    </row>
    <row r="1524" spans="1:73" ht="19.5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22"/>
      <c r="AW1524" s="122"/>
      <c r="AX1524" s="122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115"/>
      <c r="BI1524" s="115"/>
      <c r="BJ1524" s="115"/>
      <c r="BK1524" s="115"/>
      <c r="BL1524" s="115"/>
      <c r="BM1524" s="26"/>
      <c r="BN1524" s="15"/>
      <c r="BR1524" s="117"/>
      <c r="BS1524" s="116"/>
      <c r="BT1524" s="116"/>
      <c r="BU1524" s="116"/>
    </row>
    <row r="1525" spans="1:73" ht="19.5" x14ac:dyDescent="0.4">
      <c r="A1525" s="115"/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22"/>
      <c r="AW1525" s="122"/>
      <c r="AX1525" s="122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115"/>
      <c r="BJ1525" s="115"/>
      <c r="BK1525" s="115"/>
      <c r="BL1525" s="115"/>
      <c r="BM1525" s="17"/>
      <c r="BN1525" s="15"/>
      <c r="BR1525" s="117"/>
      <c r="BS1525" s="116"/>
      <c r="BT1525" s="116"/>
      <c r="BU1525" s="116"/>
    </row>
    <row r="1526" spans="1:73" ht="19.5" x14ac:dyDescent="0.4">
      <c r="BM1526" s="26"/>
      <c r="BN1526" s="15"/>
      <c r="BR1526" s="117"/>
      <c r="BS1526" s="116"/>
      <c r="BT1526" s="116"/>
      <c r="BU1526" s="116"/>
    </row>
    <row r="1527" spans="1:73" ht="19.5" x14ac:dyDescent="0.4">
      <c r="AS1527" s="115"/>
      <c r="AT1527" s="115"/>
      <c r="AU1527" s="115"/>
      <c r="AV1527" s="122"/>
      <c r="AW1527" s="122"/>
      <c r="AX1527" s="122"/>
      <c r="AY1527" s="115"/>
      <c r="AZ1527" s="115"/>
      <c r="BA1527" s="115"/>
      <c r="BB1527" s="115"/>
      <c r="BC1527" s="115"/>
      <c r="BD1527" s="115"/>
      <c r="BE1527" s="115"/>
      <c r="BF1527" s="115"/>
      <c r="BG1527" s="115"/>
      <c r="BH1527" s="115"/>
      <c r="BI1527" s="115"/>
      <c r="BJ1527" s="115"/>
      <c r="BK1527" s="115"/>
      <c r="BL1527" s="115"/>
      <c r="BM1527" s="17"/>
      <c r="BN1527" s="15"/>
      <c r="BR1527" s="117"/>
      <c r="BS1527" s="116"/>
      <c r="BT1527" s="116"/>
      <c r="BU1527" s="116"/>
    </row>
    <row r="1528" spans="1:73" ht="19.5" x14ac:dyDescent="0.4">
      <c r="AR1528" s="115"/>
      <c r="AS1528" s="115"/>
      <c r="AT1528" s="115"/>
      <c r="AU1528" s="115"/>
      <c r="AV1528" s="122"/>
      <c r="AW1528" s="122"/>
      <c r="AX1528" s="122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115"/>
      <c r="BI1528" s="115"/>
      <c r="BJ1528" s="115"/>
      <c r="BK1528" s="115"/>
      <c r="BL1528" s="115"/>
      <c r="BM1528" s="26"/>
      <c r="BN1528" s="15"/>
      <c r="BR1528" s="117"/>
      <c r="BS1528" s="116"/>
      <c r="BT1528" s="116"/>
      <c r="BU1528" s="116"/>
    </row>
    <row r="1529" spans="1:73" ht="19.5" x14ac:dyDescent="0.4"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22"/>
      <c r="AW1529" s="122"/>
      <c r="AX1529" s="122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115"/>
      <c r="BJ1529" s="115"/>
      <c r="BK1529" s="115"/>
      <c r="BL1529" s="115"/>
      <c r="BM1529" s="26"/>
      <c r="BN1529" s="15"/>
      <c r="BR1529" s="117"/>
      <c r="BS1529" s="116"/>
      <c r="BT1529" s="116"/>
      <c r="BU1529" s="116"/>
    </row>
    <row r="1530" spans="1:73" ht="19.5" x14ac:dyDescent="0.4"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22"/>
      <c r="AW1530" s="122"/>
      <c r="AX1530" s="122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115"/>
      <c r="BJ1530" s="115"/>
      <c r="BK1530" s="115"/>
      <c r="BL1530" s="115"/>
      <c r="BM1530" s="26"/>
      <c r="BN1530" s="15"/>
      <c r="BR1530" s="117"/>
      <c r="BS1530" s="116"/>
      <c r="BT1530" s="116"/>
      <c r="BU1530" s="116"/>
    </row>
    <row r="1531" spans="1:73" ht="19.5" x14ac:dyDescent="0.4">
      <c r="B1531" s="115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22"/>
      <c r="AW1531" s="122"/>
      <c r="AX1531" s="122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115"/>
      <c r="BI1531" s="115"/>
      <c r="BJ1531" s="115"/>
      <c r="BK1531" s="115"/>
      <c r="BL1531" s="115"/>
      <c r="BM1531" s="26"/>
      <c r="BN1531" s="15"/>
      <c r="BR1531" s="117"/>
      <c r="BS1531" s="116"/>
      <c r="BT1531" s="116"/>
      <c r="BU1531" s="116"/>
    </row>
    <row r="1532" spans="1:73" ht="19.5" x14ac:dyDescent="0.4">
      <c r="A1532" s="115"/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22"/>
      <c r="AW1532" s="122"/>
      <c r="AX1532" s="122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115"/>
      <c r="BJ1532" s="115"/>
      <c r="BK1532" s="115"/>
      <c r="BL1532" s="115"/>
      <c r="BM1532" s="26"/>
      <c r="BN1532" s="15"/>
      <c r="BR1532" s="117"/>
      <c r="BS1532" s="116"/>
      <c r="BT1532" s="116"/>
      <c r="BU1532" s="116"/>
    </row>
    <row r="1533" spans="1:73" ht="19.5" x14ac:dyDescent="0.4">
      <c r="A1533" s="115"/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22"/>
      <c r="AW1533" s="122"/>
      <c r="AX1533" s="122"/>
      <c r="AY1533" s="115"/>
      <c r="AZ1533" s="115"/>
      <c r="BA1533" s="115"/>
      <c r="BB1533" s="115"/>
      <c r="BC1533" s="115"/>
      <c r="BD1533" s="115"/>
      <c r="BE1533" s="115"/>
      <c r="BF1533" s="115"/>
      <c r="BG1533" s="115"/>
      <c r="BH1533" s="115"/>
      <c r="BI1533" s="115"/>
      <c r="BJ1533" s="115"/>
      <c r="BK1533" s="115"/>
      <c r="BL1533" s="115"/>
      <c r="BM1533" s="26"/>
      <c r="BN1533" s="15"/>
      <c r="BR1533" s="117"/>
      <c r="BS1533" s="116"/>
      <c r="BT1533" s="116"/>
      <c r="BU1533" s="116"/>
    </row>
    <row r="1534" spans="1:73" ht="19.5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22"/>
      <c r="AW1534" s="122"/>
      <c r="AX1534" s="122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115"/>
      <c r="BI1534" s="115"/>
      <c r="BJ1534" s="115"/>
      <c r="BK1534" s="115"/>
      <c r="BL1534" s="115"/>
      <c r="BM1534" s="17"/>
      <c r="BN1534" s="15"/>
      <c r="BR1534" s="117"/>
      <c r="BS1534" s="116"/>
      <c r="BT1534" s="116"/>
      <c r="BU1534" s="116"/>
    </row>
    <row r="1535" spans="1:73" ht="19.5" x14ac:dyDescent="0.4">
      <c r="BM1535" s="26"/>
      <c r="BN1535" s="15"/>
      <c r="BR1535" s="117"/>
      <c r="BS1535" s="116"/>
      <c r="BT1535" s="116"/>
      <c r="BU1535" s="116"/>
    </row>
    <row r="1536" spans="1:73" ht="19.5" x14ac:dyDescent="0.4">
      <c r="AS1536" s="115"/>
      <c r="AT1536" s="115"/>
      <c r="AU1536" s="115"/>
      <c r="AV1536" s="122"/>
      <c r="AW1536" s="122"/>
      <c r="AX1536" s="122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15"/>
      <c r="BJ1536" s="115"/>
      <c r="BK1536" s="115"/>
      <c r="BL1536" s="115"/>
      <c r="BM1536" s="17"/>
      <c r="BN1536" s="13"/>
      <c r="BR1536" s="117"/>
      <c r="BS1536" s="116"/>
      <c r="BT1536" s="116"/>
      <c r="BU1536" s="116"/>
    </row>
    <row r="1537" spans="1:73" ht="19.5" x14ac:dyDescent="0.4">
      <c r="AS1537" s="115"/>
      <c r="AT1537" s="115"/>
      <c r="AU1537" s="115"/>
      <c r="AV1537" s="122"/>
      <c r="AW1537" s="122"/>
      <c r="AX1537" s="122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115"/>
      <c r="BJ1537" s="115"/>
      <c r="BK1537" s="115"/>
      <c r="BL1537" s="115"/>
      <c r="BM1537" s="17"/>
      <c r="BN1537" s="13"/>
      <c r="BR1537" s="117"/>
      <c r="BS1537" s="116"/>
      <c r="BT1537" s="116"/>
      <c r="BU1537" s="116"/>
    </row>
    <row r="1538" spans="1:73" ht="19.5" x14ac:dyDescent="0.4">
      <c r="BM1538" s="26"/>
      <c r="BN1538" s="13"/>
      <c r="BR1538" s="117"/>
      <c r="BS1538" s="116"/>
      <c r="BT1538" s="116"/>
      <c r="BU1538" s="116"/>
    </row>
    <row r="1539" spans="1:73" ht="19.5" x14ac:dyDescent="0.4">
      <c r="BM1539" s="26"/>
      <c r="BN1539" s="13"/>
      <c r="BR1539" s="116"/>
      <c r="BS1539" s="116"/>
      <c r="BT1539" s="116"/>
      <c r="BU1539" s="116"/>
    </row>
    <row r="1540" spans="1:73" ht="19.5" x14ac:dyDescent="0.4"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22"/>
      <c r="AW1540" s="122"/>
      <c r="AX1540" s="122"/>
      <c r="AY1540" s="115"/>
      <c r="AZ1540" s="115"/>
      <c r="BA1540" s="115"/>
      <c r="BB1540" s="115"/>
      <c r="BC1540" s="115"/>
      <c r="BD1540" s="115"/>
      <c r="BE1540" s="115"/>
      <c r="BF1540" s="115"/>
      <c r="BG1540" s="115"/>
      <c r="BH1540" s="115"/>
      <c r="BI1540" s="115"/>
      <c r="BJ1540" s="115"/>
      <c r="BK1540" s="115"/>
      <c r="BL1540" s="115"/>
      <c r="BM1540" s="26"/>
      <c r="BN1540" s="13"/>
      <c r="BR1540" s="118"/>
      <c r="BS1540" s="118"/>
      <c r="BT1540" s="118"/>
      <c r="BU1540" s="118"/>
    </row>
    <row r="1541" spans="1:73" ht="19.5" x14ac:dyDescent="0.4"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22"/>
      <c r="AW1541" s="122"/>
      <c r="AX1541" s="122"/>
      <c r="AY1541" s="115"/>
      <c r="AZ1541" s="115"/>
      <c r="BA1541" s="115"/>
      <c r="BB1541" s="115"/>
      <c r="BC1541" s="115"/>
      <c r="BD1541" s="115"/>
      <c r="BE1541" s="115"/>
      <c r="BF1541" s="115"/>
      <c r="BG1541" s="115"/>
      <c r="BH1541" s="115"/>
      <c r="BI1541" s="115"/>
      <c r="BJ1541" s="115"/>
      <c r="BK1541" s="115"/>
      <c r="BL1541" s="115"/>
      <c r="BM1541" s="26"/>
      <c r="BN1541" s="13"/>
      <c r="BR1541" s="118"/>
      <c r="BS1541" s="118"/>
      <c r="BT1541" s="118"/>
      <c r="BU1541" s="118"/>
    </row>
    <row r="1542" spans="1:73" ht="19.5" x14ac:dyDescent="0.4"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22"/>
      <c r="AW1542" s="122"/>
      <c r="AX1542" s="122"/>
      <c r="AY1542" s="115"/>
      <c r="AZ1542" s="115"/>
      <c r="BA1542" s="115"/>
      <c r="BB1542" s="115"/>
      <c r="BC1542" s="115"/>
      <c r="BD1542" s="115"/>
      <c r="BE1542" s="115"/>
      <c r="BF1542" s="115"/>
      <c r="BG1542" s="115"/>
      <c r="BH1542" s="115"/>
      <c r="BI1542" s="115"/>
      <c r="BJ1542" s="115"/>
      <c r="BK1542" s="115"/>
      <c r="BL1542" s="115"/>
      <c r="BM1542" s="26"/>
      <c r="BN1542" s="13"/>
      <c r="BR1542" s="118"/>
      <c r="BS1542" s="118"/>
      <c r="BT1542" s="118"/>
      <c r="BU1542" s="118"/>
    </row>
    <row r="1543" spans="1:73" ht="19.5" x14ac:dyDescent="0.4"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22"/>
      <c r="AW1543" s="122"/>
      <c r="AX1543" s="122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15"/>
      <c r="BI1543" s="115"/>
      <c r="BJ1543" s="115"/>
      <c r="BK1543" s="115"/>
      <c r="BL1543" s="115"/>
      <c r="BM1543" s="26"/>
      <c r="BN1543" s="15"/>
      <c r="BR1543" s="118"/>
      <c r="BS1543" s="118"/>
      <c r="BT1543" s="118"/>
      <c r="BU1543" s="118"/>
    </row>
    <row r="1544" spans="1:73" ht="19.5" x14ac:dyDescent="0.4"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22"/>
      <c r="AW1544" s="122"/>
      <c r="AX1544" s="122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115"/>
      <c r="BJ1544" s="115"/>
      <c r="BK1544" s="115"/>
      <c r="BL1544" s="115"/>
      <c r="BM1544" s="26"/>
      <c r="BN1544" s="15"/>
      <c r="BR1544" s="118"/>
      <c r="BS1544" s="118"/>
      <c r="BT1544" s="118"/>
      <c r="BU1544" s="118"/>
    </row>
    <row r="1545" spans="1:73" ht="19.5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22"/>
      <c r="AW1545" s="122"/>
      <c r="AX1545" s="122"/>
      <c r="AY1545" s="115"/>
      <c r="AZ1545" s="115"/>
      <c r="BA1545" s="115"/>
      <c r="BB1545" s="115"/>
      <c r="BC1545" s="115"/>
      <c r="BD1545" s="115"/>
      <c r="BE1545" s="115"/>
      <c r="BF1545" s="115"/>
      <c r="BG1545" s="115"/>
      <c r="BH1545" s="115"/>
      <c r="BI1545" s="115"/>
      <c r="BJ1545" s="115"/>
      <c r="BK1545" s="115"/>
      <c r="BL1545" s="115"/>
      <c r="BM1545" s="26"/>
      <c r="BN1545" s="15"/>
      <c r="BR1545" s="118"/>
      <c r="BS1545" s="118"/>
      <c r="BT1545" s="118"/>
      <c r="BU1545" s="118"/>
    </row>
    <row r="1546" spans="1:73" ht="19.5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22"/>
      <c r="AW1546" s="122"/>
      <c r="AX1546" s="122"/>
      <c r="AY1546" s="115"/>
      <c r="AZ1546" s="115"/>
      <c r="BA1546" s="115"/>
      <c r="BB1546" s="115"/>
      <c r="BC1546" s="115"/>
      <c r="BD1546" s="115"/>
      <c r="BE1546" s="115"/>
      <c r="BF1546" s="115"/>
      <c r="BG1546" s="115"/>
      <c r="BH1546" s="115"/>
      <c r="BI1546" s="115"/>
      <c r="BJ1546" s="115"/>
      <c r="BK1546" s="115"/>
      <c r="BL1546" s="115"/>
      <c r="BM1546" s="26"/>
      <c r="BN1546" s="15"/>
      <c r="BR1546" s="118"/>
      <c r="BS1546" s="118"/>
      <c r="BT1546" s="118"/>
      <c r="BU1546" s="118"/>
    </row>
    <row r="1547" spans="1:73" ht="20.25" customHeight="1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22"/>
      <c r="AW1547" s="122"/>
      <c r="AX1547" s="122"/>
      <c r="AY1547" s="115"/>
      <c r="AZ1547" s="115"/>
      <c r="BA1547" s="115"/>
      <c r="BB1547" s="115"/>
      <c r="BC1547" s="115"/>
      <c r="BD1547" s="115"/>
      <c r="BE1547" s="115"/>
      <c r="BF1547" s="115"/>
      <c r="BG1547" s="115"/>
      <c r="BH1547" s="115"/>
      <c r="BI1547" s="115"/>
      <c r="BJ1547" s="115"/>
      <c r="BK1547" s="115"/>
      <c r="BL1547" s="115"/>
      <c r="BM1547" s="26"/>
      <c r="BN1547" s="15"/>
      <c r="BR1547" s="118"/>
      <c r="BS1547" s="118"/>
      <c r="BT1547" s="118"/>
      <c r="BU1547" s="118"/>
    </row>
    <row r="1548" spans="1:73" x14ac:dyDescent="0.4">
      <c r="BM1548" s="26"/>
      <c r="BN1548" s="15"/>
    </row>
    <row r="1549" spans="1:73" x14ac:dyDescent="0.4">
      <c r="BM1549" s="26"/>
      <c r="BN1549" s="13"/>
    </row>
    <row r="1550" spans="1:73" x14ac:dyDescent="0.4">
      <c r="AQ1550" s="115"/>
      <c r="AR1550" s="115"/>
      <c r="AS1550" s="115"/>
      <c r="AT1550" s="115"/>
      <c r="AU1550" s="115"/>
      <c r="AV1550" s="122"/>
      <c r="AW1550" s="122"/>
      <c r="AX1550" s="122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15"/>
      <c r="BM1550" s="26"/>
      <c r="BN1550" s="13"/>
    </row>
    <row r="1551" spans="1:73" x14ac:dyDescent="0.4">
      <c r="AQ1551" s="115"/>
      <c r="AR1551" s="115"/>
      <c r="AS1551" s="115"/>
      <c r="AT1551" s="115"/>
      <c r="AU1551" s="115"/>
      <c r="AV1551" s="122"/>
      <c r="AW1551" s="122"/>
      <c r="AX1551" s="122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15"/>
      <c r="BM1551" s="17"/>
      <c r="BN1551" s="13"/>
    </row>
    <row r="1552" spans="1:73" x14ac:dyDescent="0.4"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22"/>
      <c r="AW1552" s="122"/>
      <c r="AX1552" s="122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15"/>
      <c r="BM1552" s="26"/>
      <c r="BN1552" s="13"/>
    </row>
    <row r="1553" spans="1:66" x14ac:dyDescent="0.4"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22"/>
      <c r="AW1553" s="122"/>
      <c r="AX1553" s="122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15"/>
      <c r="BM1553" s="26"/>
      <c r="BN1553" s="13"/>
    </row>
    <row r="1554" spans="1:66" x14ac:dyDescent="0.4">
      <c r="BM1554" s="26"/>
      <c r="BN1554" s="13"/>
    </row>
    <row r="1555" spans="1:66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22"/>
      <c r="AW1555" s="122"/>
      <c r="AX1555" s="122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15"/>
      <c r="BM1555" s="26"/>
      <c r="BN1555" s="13"/>
    </row>
    <row r="1556" spans="1:66" x14ac:dyDescent="0.4"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22"/>
      <c r="AW1556" s="122"/>
      <c r="AX1556" s="122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15"/>
      <c r="BM1556" s="26"/>
      <c r="BN1556" s="13"/>
    </row>
    <row r="1557" spans="1:66" x14ac:dyDescent="0.4">
      <c r="BM1557" s="26"/>
      <c r="BN1557" s="13"/>
    </row>
    <row r="1558" spans="1:66" x14ac:dyDescent="0.4"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22"/>
      <c r="AW1558" s="122"/>
      <c r="AX1558" s="122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15"/>
      <c r="BM1558" s="26"/>
      <c r="BN1558" s="13"/>
    </row>
    <row r="1559" spans="1:66" x14ac:dyDescent="0.4">
      <c r="BM1559" s="26"/>
      <c r="BN1559" s="13"/>
    </row>
    <row r="1560" spans="1:66" x14ac:dyDescent="0.4">
      <c r="AP1560" s="115"/>
      <c r="AQ1560" s="115"/>
      <c r="AR1560" s="115"/>
      <c r="AS1560" s="115"/>
      <c r="AT1560" s="115"/>
      <c r="AU1560" s="115"/>
      <c r="AV1560" s="122"/>
      <c r="AW1560" s="122"/>
      <c r="AX1560" s="122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15"/>
      <c r="BM1560" s="26"/>
      <c r="BN1560" s="13"/>
    </row>
    <row r="1561" spans="1:66" x14ac:dyDescent="0.4">
      <c r="BM1561" s="26"/>
      <c r="BN1561" s="13"/>
    </row>
    <row r="1562" spans="1:66" x14ac:dyDescent="0.4"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22"/>
      <c r="AW1562" s="122"/>
      <c r="AX1562" s="122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15"/>
      <c r="BM1562" s="26"/>
      <c r="BN1562" s="15"/>
    </row>
    <row r="1563" spans="1:66" x14ac:dyDescent="0.4"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22"/>
      <c r="AW1563" s="122"/>
      <c r="AX1563" s="122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15"/>
      <c r="BM1563" s="26"/>
      <c r="BN1563" s="15"/>
    </row>
    <row r="1564" spans="1:66" x14ac:dyDescent="0.4"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22"/>
      <c r="AW1564" s="122"/>
      <c r="AX1564" s="122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15"/>
      <c r="BM1564" s="26"/>
      <c r="BN1564" s="15"/>
    </row>
    <row r="1565" spans="1:66" x14ac:dyDescent="0.4">
      <c r="BM1565" s="26"/>
      <c r="BN1565" s="13"/>
    </row>
    <row r="1566" spans="1:66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22"/>
      <c r="AW1566" s="122"/>
      <c r="AX1566" s="122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15"/>
      <c r="BM1566" s="26"/>
      <c r="BN1566" s="15"/>
    </row>
    <row r="1567" spans="1:66" x14ac:dyDescent="0.4">
      <c r="BM1567" s="26"/>
      <c r="BN1567" s="15"/>
    </row>
    <row r="1568" spans="1:66" x14ac:dyDescent="0.4">
      <c r="BM1568" s="26"/>
      <c r="BN1568" s="15"/>
    </row>
    <row r="1569" spans="3:66" x14ac:dyDescent="0.4"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22"/>
      <c r="AW1569" s="122"/>
      <c r="AX1569" s="122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15"/>
      <c r="BM1569" s="26"/>
      <c r="BN1569" s="15"/>
    </row>
    <row r="1570" spans="3:66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22"/>
      <c r="AW1570" s="122"/>
      <c r="AX1570" s="122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15"/>
      <c r="BM1570" s="26"/>
      <c r="BN1570" s="15"/>
    </row>
    <row r="1571" spans="3:66" x14ac:dyDescent="0.4">
      <c r="BM1571" s="26"/>
      <c r="BN1571" s="15"/>
    </row>
    <row r="1572" spans="3:66" x14ac:dyDescent="0.4">
      <c r="AO1572" s="115"/>
      <c r="AP1572" s="115"/>
      <c r="AQ1572" s="115"/>
      <c r="AR1572" s="115"/>
      <c r="AS1572" s="115"/>
      <c r="AT1572" s="115"/>
      <c r="AU1572" s="115"/>
      <c r="AV1572" s="122"/>
      <c r="AW1572" s="122"/>
      <c r="AX1572" s="122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15"/>
      <c r="BM1572" s="26"/>
      <c r="BN1572" s="15"/>
    </row>
    <row r="1573" spans="3:66" x14ac:dyDescent="0.4"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22"/>
      <c r="AW1573" s="122"/>
      <c r="AX1573" s="122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15"/>
      <c r="BM1573" s="26"/>
      <c r="BN1573" s="15"/>
    </row>
    <row r="1574" spans="3:66" x14ac:dyDescent="0.4"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22"/>
      <c r="AW1574" s="122"/>
      <c r="AX1574" s="122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15"/>
      <c r="BM1574" s="26"/>
      <c r="BN1574" s="15"/>
    </row>
    <row r="1575" spans="3:66" x14ac:dyDescent="0.4"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22"/>
      <c r="AW1575" s="122"/>
      <c r="AX1575" s="122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15"/>
      <c r="BM1575" s="26"/>
      <c r="BN1575" s="15"/>
    </row>
    <row r="1576" spans="3:66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22"/>
      <c r="AW1576" s="122"/>
      <c r="AX1576" s="122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15"/>
      <c r="BM1576" s="26"/>
      <c r="BN1576" s="15"/>
    </row>
    <row r="1577" spans="3:66" x14ac:dyDescent="0.4">
      <c r="BM1577" s="26"/>
      <c r="BN1577" s="15"/>
    </row>
    <row r="1578" spans="3:66" x14ac:dyDescent="0.4">
      <c r="AR1578" s="115"/>
      <c r="AS1578" s="115"/>
      <c r="AT1578" s="115"/>
      <c r="AU1578" s="115"/>
      <c r="AV1578" s="122"/>
      <c r="AW1578" s="122"/>
      <c r="AX1578" s="122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15"/>
      <c r="BM1578" s="17"/>
      <c r="BN1578" s="15"/>
    </row>
    <row r="1579" spans="3:66" x14ac:dyDescent="0.4">
      <c r="BM1579" s="26"/>
      <c r="BN1579" s="15"/>
    </row>
    <row r="1580" spans="3:66" x14ac:dyDescent="0.4">
      <c r="AP1580" s="115"/>
      <c r="AQ1580" s="115"/>
      <c r="AR1580" s="115"/>
      <c r="AS1580" s="115"/>
      <c r="AT1580" s="115"/>
      <c r="AU1580" s="115"/>
      <c r="AV1580" s="122"/>
      <c r="AW1580" s="122"/>
      <c r="AX1580" s="122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15"/>
      <c r="BM1580" s="26"/>
      <c r="BN1580" s="15"/>
    </row>
    <row r="1581" spans="3:66" x14ac:dyDescent="0.4">
      <c r="BM1581" s="26"/>
      <c r="BN1581" s="15"/>
    </row>
    <row r="1582" spans="3:66" x14ac:dyDescent="0.4">
      <c r="BM1582" s="26"/>
      <c r="BN1582" s="15"/>
    </row>
    <row r="1583" spans="3:66" x14ac:dyDescent="0.4"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22"/>
      <c r="AW1583" s="122"/>
      <c r="AX1583" s="122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15"/>
      <c r="BM1583" s="26"/>
      <c r="BN1583" s="15"/>
    </row>
    <row r="1584" spans="3:66" x14ac:dyDescent="0.4"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22"/>
      <c r="AW1584" s="122"/>
      <c r="AX1584" s="122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15"/>
      <c r="BM1584" s="26"/>
      <c r="BN1584" s="15"/>
    </row>
    <row r="1585" spans="1:66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22"/>
      <c r="AW1585" s="122"/>
      <c r="AX1585" s="122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15"/>
      <c r="BM1585" s="26"/>
      <c r="BN1585" s="15"/>
    </row>
    <row r="1586" spans="1:66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22"/>
      <c r="AW1586" s="122"/>
      <c r="AX1586" s="122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15"/>
      <c r="BM1586" s="26"/>
      <c r="BN1586" s="15"/>
    </row>
    <row r="1587" spans="1:66" x14ac:dyDescent="0.4">
      <c r="BM1587" s="26"/>
      <c r="BN1587" s="15"/>
    </row>
    <row r="1588" spans="1:66" x14ac:dyDescent="0.4">
      <c r="AR1588" s="115"/>
      <c r="AS1588" s="115"/>
      <c r="AT1588" s="115"/>
      <c r="AU1588" s="115"/>
      <c r="AV1588" s="122"/>
      <c r="AW1588" s="122"/>
      <c r="AX1588" s="122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15"/>
      <c r="BM1588" s="17"/>
      <c r="BN1588" s="15"/>
    </row>
    <row r="1589" spans="1:66" x14ac:dyDescent="0.4">
      <c r="BM1589" s="26"/>
      <c r="BN1589" s="15"/>
    </row>
    <row r="1590" spans="1:66" x14ac:dyDescent="0.4"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22"/>
      <c r="AW1590" s="122"/>
      <c r="AX1590" s="122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15"/>
      <c r="BM1590" s="26"/>
      <c r="BN1590" s="15"/>
    </row>
    <row r="1591" spans="1:66" x14ac:dyDescent="0.4"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22"/>
      <c r="AW1591" s="122"/>
      <c r="AX1591" s="122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15"/>
      <c r="BM1591" s="26"/>
      <c r="BN1591" s="15"/>
    </row>
    <row r="1592" spans="1:66" x14ac:dyDescent="0.4"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22"/>
      <c r="AW1592" s="122"/>
      <c r="AX1592" s="122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15"/>
      <c r="BM1592" s="17"/>
      <c r="BN1592" s="15"/>
    </row>
    <row r="1593" spans="1:66" x14ac:dyDescent="0.4">
      <c r="BM1593" s="26"/>
      <c r="BN1593" s="15"/>
    </row>
    <row r="1594" spans="1:66" x14ac:dyDescent="0.4"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22"/>
      <c r="AW1594" s="122"/>
      <c r="AX1594" s="122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15"/>
      <c r="BM1594" s="26"/>
      <c r="BN1594" s="15"/>
    </row>
    <row r="1595" spans="1:66" x14ac:dyDescent="0.4"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22"/>
      <c r="AW1595" s="122"/>
      <c r="AX1595" s="122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15"/>
      <c r="BM1595" s="17"/>
      <c r="BN1595" s="15"/>
    </row>
    <row r="1596" spans="1:66" x14ac:dyDescent="0.4">
      <c r="BM1596" s="26"/>
      <c r="BN1596" s="15"/>
    </row>
    <row r="1597" spans="1:66" x14ac:dyDescent="0.4">
      <c r="AR1597" s="115"/>
      <c r="AS1597" s="115"/>
      <c r="AT1597" s="115"/>
      <c r="AU1597" s="115"/>
      <c r="AV1597" s="122"/>
      <c r="AW1597" s="122"/>
      <c r="AX1597" s="122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15"/>
      <c r="BM1597" s="17"/>
      <c r="BN1597" s="15"/>
    </row>
    <row r="1598" spans="1:66" x14ac:dyDescent="0.4"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22"/>
      <c r="AW1598" s="122"/>
      <c r="AX1598" s="122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15"/>
      <c r="BM1598" s="26"/>
      <c r="BN1598" s="15"/>
    </row>
    <row r="1599" spans="1:66" x14ac:dyDescent="0.4"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22"/>
      <c r="AW1599" s="122"/>
      <c r="AX1599" s="122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15"/>
      <c r="BM1599" s="17"/>
      <c r="BN1599" s="15"/>
    </row>
    <row r="1600" spans="1:66" x14ac:dyDescent="0.4">
      <c r="BM1600" s="26"/>
      <c r="BN1600" s="15"/>
    </row>
    <row r="1601" spans="3:66" x14ac:dyDescent="0.4">
      <c r="BM1601" s="26"/>
      <c r="BN1601" s="15"/>
    </row>
    <row r="1602" spans="3:66" x14ac:dyDescent="0.4">
      <c r="AQ1602" s="115"/>
      <c r="AR1602" s="115"/>
      <c r="AS1602" s="115"/>
      <c r="AT1602" s="115"/>
      <c r="AU1602" s="115"/>
      <c r="AV1602" s="122"/>
      <c r="AW1602" s="122"/>
      <c r="AX1602" s="122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15"/>
      <c r="BM1602" s="26"/>
      <c r="BN1602" s="15"/>
    </row>
    <row r="1603" spans="3:66" x14ac:dyDescent="0.4">
      <c r="AO1603" s="115"/>
      <c r="AP1603" s="115"/>
      <c r="AQ1603" s="115"/>
      <c r="AR1603" s="115"/>
      <c r="AS1603" s="115"/>
      <c r="AT1603" s="115"/>
      <c r="AU1603" s="115"/>
      <c r="AV1603" s="122"/>
      <c r="AW1603" s="122"/>
      <c r="AX1603" s="122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15"/>
      <c r="BM1603" s="26"/>
      <c r="BN1603" s="15"/>
    </row>
    <row r="1604" spans="3:66" x14ac:dyDescent="0.4">
      <c r="AO1604" s="115"/>
      <c r="AP1604" s="115"/>
      <c r="AQ1604" s="115"/>
      <c r="AR1604" s="115"/>
      <c r="AS1604" s="115"/>
      <c r="AT1604" s="115"/>
      <c r="AU1604" s="115"/>
      <c r="AV1604" s="122"/>
      <c r="AW1604" s="122"/>
      <c r="AX1604" s="122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15"/>
      <c r="BM1604" s="26"/>
      <c r="BN1604" s="15"/>
    </row>
    <row r="1605" spans="3:66" x14ac:dyDescent="0.4"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22"/>
      <c r="AW1605" s="122"/>
      <c r="AX1605" s="122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15"/>
      <c r="BM1605" s="26"/>
      <c r="BN1605" s="15"/>
    </row>
    <row r="1606" spans="3:66" x14ac:dyDescent="0.4"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22"/>
      <c r="AW1606" s="122"/>
      <c r="AX1606" s="122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15"/>
      <c r="BM1606" s="26"/>
      <c r="BN1606" s="15"/>
    </row>
    <row r="1607" spans="3:66" x14ac:dyDescent="0.4">
      <c r="BM1607" s="26"/>
      <c r="BN1607" s="15"/>
    </row>
    <row r="1608" spans="3:66" x14ac:dyDescent="0.4">
      <c r="AQ1608" s="115"/>
      <c r="AR1608" s="115"/>
      <c r="AS1608" s="115"/>
      <c r="AT1608" s="115"/>
      <c r="AU1608" s="115"/>
      <c r="AV1608" s="122"/>
      <c r="AW1608" s="122"/>
      <c r="AX1608" s="122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15"/>
      <c r="BM1608" s="26"/>
      <c r="BN1608" s="15"/>
    </row>
    <row r="1609" spans="3:66" x14ac:dyDescent="0.4">
      <c r="BM1609" s="26"/>
      <c r="BN1609" s="15"/>
    </row>
    <row r="1610" spans="3:66" x14ac:dyDescent="0.4">
      <c r="AR1610" s="115"/>
      <c r="AS1610" s="115"/>
      <c r="AT1610" s="115"/>
      <c r="AU1610" s="115"/>
      <c r="AV1610" s="122"/>
      <c r="AW1610" s="122"/>
      <c r="AX1610" s="122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15"/>
      <c r="BM1610" s="17"/>
      <c r="BN1610" s="15"/>
    </row>
    <row r="1611" spans="3:66" x14ac:dyDescent="0.4">
      <c r="AQ1611" s="115"/>
      <c r="AR1611" s="115"/>
      <c r="AS1611" s="115"/>
      <c r="AT1611" s="115"/>
      <c r="AU1611" s="115"/>
      <c r="AV1611" s="122"/>
      <c r="AW1611" s="122"/>
      <c r="AX1611" s="122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15"/>
      <c r="BM1611" s="26"/>
      <c r="BN1611" s="15"/>
    </row>
    <row r="1612" spans="3:66" x14ac:dyDescent="0.4"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22"/>
      <c r="AW1612" s="122"/>
      <c r="AX1612" s="122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15"/>
      <c r="BM1612" s="26"/>
      <c r="BN1612" s="15"/>
    </row>
    <row r="1613" spans="3:66" x14ac:dyDescent="0.4"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22"/>
      <c r="AW1613" s="122"/>
      <c r="AX1613" s="122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15"/>
      <c r="BM1613" s="17"/>
      <c r="BN1613" s="15"/>
    </row>
    <row r="1614" spans="3:66" x14ac:dyDescent="0.4">
      <c r="BM1614" s="26"/>
      <c r="BN1614" s="15"/>
    </row>
    <row r="1615" spans="3:66" x14ac:dyDescent="0.4">
      <c r="AR1615" s="115"/>
      <c r="AS1615" s="115"/>
      <c r="AT1615" s="115"/>
      <c r="AU1615" s="115"/>
      <c r="AV1615" s="122"/>
      <c r="AW1615" s="122"/>
      <c r="AX1615" s="122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15"/>
      <c r="BM1615" s="17"/>
      <c r="BN1615" s="15"/>
    </row>
    <row r="1616" spans="3:66" x14ac:dyDescent="0.4">
      <c r="AQ1616" s="115"/>
      <c r="AR1616" s="115"/>
      <c r="AS1616" s="115"/>
      <c r="AT1616" s="115"/>
      <c r="AU1616" s="115"/>
      <c r="AV1616" s="122"/>
      <c r="AW1616" s="122"/>
      <c r="AX1616" s="122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15"/>
      <c r="BM1616" s="26"/>
      <c r="BN1616" s="15"/>
    </row>
    <row r="1617" spans="4:66" x14ac:dyDescent="0.4">
      <c r="AQ1617" s="115"/>
      <c r="AR1617" s="115"/>
      <c r="AS1617" s="115"/>
      <c r="AT1617" s="115"/>
      <c r="AU1617" s="115"/>
      <c r="AV1617" s="122"/>
      <c r="AW1617" s="122"/>
      <c r="AX1617" s="122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15"/>
      <c r="BM1617" s="17"/>
      <c r="BN1617" s="15"/>
    </row>
    <row r="1618" spans="4:66" x14ac:dyDescent="0.4">
      <c r="AQ1618" s="115"/>
      <c r="AR1618" s="115"/>
      <c r="AS1618" s="115"/>
      <c r="AT1618" s="115"/>
      <c r="AU1618" s="115"/>
      <c r="AV1618" s="122"/>
      <c r="AW1618" s="122"/>
      <c r="AX1618" s="122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15"/>
      <c r="BM1618" s="17"/>
      <c r="BN1618" s="15"/>
    </row>
    <row r="1619" spans="4:66" x14ac:dyDescent="0.4"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22"/>
      <c r="AW1619" s="122"/>
      <c r="AX1619" s="122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15"/>
      <c r="BM1619" s="26"/>
      <c r="BN1619" s="15"/>
    </row>
    <row r="1620" spans="4:66" x14ac:dyDescent="0.4"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22"/>
      <c r="AW1620" s="122"/>
      <c r="AX1620" s="122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15"/>
      <c r="BM1620" s="26"/>
      <c r="BN1620" s="15"/>
    </row>
    <row r="1621" spans="4:66" x14ac:dyDescent="0.4"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22"/>
      <c r="AW1621" s="122"/>
      <c r="AX1621" s="122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15"/>
      <c r="BM1621" s="26"/>
      <c r="BN1621" s="15"/>
    </row>
    <row r="1622" spans="4:66" x14ac:dyDescent="0.4"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22"/>
      <c r="AW1622" s="122"/>
      <c r="AX1622" s="122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15"/>
      <c r="BM1622" s="26"/>
      <c r="BN1622" s="15"/>
    </row>
    <row r="1623" spans="4:66" x14ac:dyDescent="0.4"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22"/>
      <c r="AW1623" s="122"/>
      <c r="AX1623" s="122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15"/>
      <c r="BM1623" s="26"/>
      <c r="BN1623" s="15"/>
    </row>
    <row r="1624" spans="4:66" x14ac:dyDescent="0.4"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22"/>
      <c r="AW1624" s="122"/>
      <c r="AX1624" s="122"/>
      <c r="AY1624" s="115"/>
      <c r="AZ1624" s="115"/>
      <c r="BA1624" s="115"/>
      <c r="BB1624" s="115"/>
      <c r="BC1624" s="115"/>
      <c r="BD1624" s="115"/>
      <c r="BE1624" s="115"/>
      <c r="BF1624" s="115"/>
      <c r="BG1624" s="115"/>
      <c r="BH1624" s="115"/>
      <c r="BI1624" s="115"/>
      <c r="BJ1624" s="115"/>
      <c r="BK1624" s="115"/>
      <c r="BL1624" s="115"/>
      <c r="BM1624" s="17"/>
      <c r="BN1624" s="15"/>
    </row>
    <row r="1625" spans="4:66" x14ac:dyDescent="0.4">
      <c r="BM1625" s="26"/>
      <c r="BN1625" s="15"/>
    </row>
    <row r="1626" spans="4:66" x14ac:dyDescent="0.4">
      <c r="AQ1626" s="115"/>
      <c r="AR1626" s="115"/>
      <c r="AS1626" s="115"/>
      <c r="AT1626" s="115"/>
      <c r="AU1626" s="115"/>
      <c r="AV1626" s="122"/>
      <c r="AW1626" s="122"/>
      <c r="AX1626" s="122"/>
      <c r="AY1626" s="115"/>
      <c r="AZ1626" s="115"/>
      <c r="BA1626" s="115"/>
      <c r="BB1626" s="115"/>
      <c r="BC1626" s="115"/>
      <c r="BD1626" s="115"/>
      <c r="BE1626" s="115"/>
      <c r="BF1626" s="115"/>
      <c r="BG1626" s="115"/>
      <c r="BH1626" s="115"/>
      <c r="BI1626" s="115"/>
      <c r="BJ1626" s="115"/>
      <c r="BK1626" s="115"/>
      <c r="BL1626" s="115"/>
      <c r="BM1626" s="17"/>
      <c r="BN1626" s="13"/>
    </row>
    <row r="1627" spans="4:66" x14ac:dyDescent="0.4">
      <c r="AQ1627" s="115"/>
      <c r="AR1627" s="115"/>
      <c r="AS1627" s="115"/>
      <c r="AT1627" s="115"/>
      <c r="AU1627" s="115"/>
      <c r="AV1627" s="122"/>
      <c r="AW1627" s="122"/>
      <c r="AX1627" s="122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15"/>
      <c r="BM1627" s="17"/>
      <c r="BN1627" s="13"/>
    </row>
    <row r="1628" spans="4:66" x14ac:dyDescent="0.4">
      <c r="AO1628" s="115"/>
      <c r="AP1628" s="115"/>
      <c r="AQ1628" s="115"/>
      <c r="AR1628" s="115"/>
      <c r="AS1628" s="115"/>
      <c r="AT1628" s="115"/>
      <c r="AU1628" s="115"/>
      <c r="AV1628" s="122"/>
      <c r="AW1628" s="122"/>
      <c r="AX1628" s="122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15"/>
      <c r="BM1628" s="26"/>
      <c r="BN1628" s="13"/>
    </row>
    <row r="1629" spans="4:66" x14ac:dyDescent="0.4">
      <c r="AO1629" s="115"/>
      <c r="AP1629" s="115"/>
      <c r="AQ1629" s="115"/>
      <c r="AR1629" s="115"/>
      <c r="AS1629" s="115"/>
      <c r="AT1629" s="115"/>
      <c r="AU1629" s="115"/>
      <c r="AV1629" s="122"/>
      <c r="AW1629" s="122"/>
      <c r="AX1629" s="122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15"/>
      <c r="BM1629" s="17"/>
      <c r="BN1629" s="13"/>
    </row>
    <row r="1630" spans="4:66" x14ac:dyDescent="0.4">
      <c r="BM1630" s="26"/>
      <c r="BN1630" s="13"/>
    </row>
    <row r="1631" spans="4:66" x14ac:dyDescent="0.4">
      <c r="AP1631" s="115"/>
      <c r="AQ1631" s="115"/>
      <c r="AR1631" s="115"/>
      <c r="AS1631" s="115"/>
      <c r="AT1631" s="115"/>
      <c r="AU1631" s="115"/>
      <c r="AV1631" s="122"/>
      <c r="AW1631" s="122"/>
      <c r="AX1631" s="122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15"/>
      <c r="BM1631" s="17"/>
      <c r="BN1631" s="13"/>
    </row>
    <row r="1632" spans="4:66" x14ac:dyDescent="0.4">
      <c r="BM1632" s="26"/>
      <c r="BN1632" s="13"/>
    </row>
    <row r="1633" spans="3:66" x14ac:dyDescent="0.4">
      <c r="BM1633" s="26"/>
      <c r="BN1633" s="13"/>
    </row>
    <row r="1634" spans="3:66" x14ac:dyDescent="0.4"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22"/>
      <c r="AW1634" s="122"/>
      <c r="AX1634" s="122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15"/>
      <c r="BM1634" s="26"/>
      <c r="BN1634" s="13"/>
    </row>
    <row r="1635" spans="3:66" x14ac:dyDescent="0.4"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22"/>
      <c r="AW1635" s="122"/>
      <c r="AX1635" s="122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15"/>
      <c r="BM1635" s="26"/>
      <c r="BN1635" s="13"/>
    </row>
    <row r="1636" spans="3:66" x14ac:dyDescent="0.4">
      <c r="BM1636" s="26"/>
      <c r="BN1636" s="13"/>
    </row>
    <row r="1637" spans="3:66" x14ac:dyDescent="0.4">
      <c r="BM1637" s="26"/>
      <c r="BN1637" s="13"/>
    </row>
    <row r="1638" spans="3:66" x14ac:dyDescent="0.4"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22"/>
      <c r="AW1638" s="122"/>
      <c r="AX1638" s="122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15"/>
      <c r="BM1638" s="26"/>
      <c r="BN1638" s="13"/>
    </row>
    <row r="1639" spans="3:66" x14ac:dyDescent="0.4">
      <c r="BM1639" s="26"/>
      <c r="BN1639" s="105"/>
    </row>
    <row r="1640" spans="3:66" x14ac:dyDescent="0.4"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22"/>
      <c r="AW1640" s="122"/>
      <c r="AX1640" s="122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15"/>
      <c r="BM1640" s="26"/>
      <c r="BN1640" s="15"/>
    </row>
    <row r="1641" spans="3:66" x14ac:dyDescent="0.4"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22"/>
      <c r="AW1641" s="122"/>
      <c r="AX1641" s="122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15"/>
      <c r="BM1641" s="17"/>
      <c r="BN1641" s="15"/>
    </row>
    <row r="1642" spans="3:66" x14ac:dyDescent="0.4">
      <c r="BM1642" s="26"/>
      <c r="BN1642" s="15"/>
    </row>
    <row r="1643" spans="3:66" x14ac:dyDescent="0.4"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22"/>
      <c r="AW1643" s="122"/>
      <c r="AX1643" s="122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15"/>
      <c r="BM1643" s="26"/>
      <c r="BN1643" s="15"/>
    </row>
    <row r="1644" spans="3:66" x14ac:dyDescent="0.4"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22"/>
      <c r="AW1644" s="122"/>
      <c r="AX1644" s="122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15"/>
      <c r="BM1644" s="26"/>
      <c r="BN1644" s="15"/>
    </row>
    <row r="1645" spans="3:66" x14ac:dyDescent="0.4"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22"/>
      <c r="AW1645" s="122"/>
      <c r="AX1645" s="122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15"/>
      <c r="BM1645" s="26"/>
      <c r="BN1645" s="13"/>
    </row>
    <row r="1646" spans="3:66" x14ac:dyDescent="0.4">
      <c r="BM1646" s="26"/>
      <c r="BN1646" s="15"/>
    </row>
    <row r="1647" spans="3:66" x14ac:dyDescent="0.4"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22"/>
      <c r="AW1647" s="122"/>
      <c r="AX1647" s="122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15"/>
      <c r="BM1647" s="26"/>
      <c r="BN1647" s="15"/>
    </row>
    <row r="1648" spans="3:66" x14ac:dyDescent="0.4"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22"/>
      <c r="AW1648" s="122"/>
      <c r="AX1648" s="122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15"/>
      <c r="BM1648" s="26"/>
      <c r="BN1648" s="15"/>
    </row>
    <row r="1649" spans="2:66" x14ac:dyDescent="0.4"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22"/>
      <c r="AW1649" s="122"/>
      <c r="AX1649" s="122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15"/>
      <c r="BM1649" s="26"/>
      <c r="BN1649" s="15"/>
    </row>
    <row r="1650" spans="2:66" x14ac:dyDescent="0.4"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22"/>
      <c r="AW1650" s="122"/>
      <c r="AX1650" s="122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15"/>
      <c r="BM1650" s="26"/>
      <c r="BN1650" s="15"/>
    </row>
    <row r="1651" spans="2:66" x14ac:dyDescent="0.4"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22"/>
      <c r="AW1651" s="122"/>
      <c r="AX1651" s="122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15"/>
      <c r="BM1651" s="26"/>
      <c r="BN1651" s="15"/>
    </row>
    <row r="1652" spans="2:66" x14ac:dyDescent="0.4"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22"/>
      <c r="AW1652" s="122"/>
      <c r="AX1652" s="122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15"/>
      <c r="BM1652" s="26"/>
      <c r="BN1652" s="15"/>
    </row>
    <row r="1653" spans="2:66" ht="19.5" customHeight="1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22"/>
      <c r="AW1653" s="122"/>
      <c r="AX1653" s="122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15"/>
      <c r="BM1653" s="26"/>
      <c r="BN1653" s="15"/>
    </row>
    <row r="1654" spans="2:66" ht="19.5" customHeight="1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22"/>
      <c r="AW1654" s="122"/>
      <c r="AX1654" s="122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15"/>
      <c r="BM1654" s="26"/>
      <c r="BN1654" s="15"/>
    </row>
    <row r="1655" spans="2:66" x14ac:dyDescent="0.4">
      <c r="BM1655" s="26"/>
      <c r="BN1655" s="15"/>
    </row>
    <row r="1656" spans="2:66" x14ac:dyDescent="0.4"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22"/>
      <c r="AW1656" s="122"/>
      <c r="AX1656" s="122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15"/>
      <c r="BM1656" s="26"/>
      <c r="BN1656" s="15"/>
    </row>
    <row r="1657" spans="2:66" x14ac:dyDescent="0.4"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22"/>
      <c r="AW1657" s="122"/>
      <c r="AX1657" s="122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15"/>
      <c r="BM1657" s="26"/>
      <c r="BN1657" s="15"/>
    </row>
    <row r="1658" spans="2:66" x14ac:dyDescent="0.4"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22"/>
      <c r="AW1658" s="122"/>
      <c r="AX1658" s="122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15"/>
      <c r="BM1658" s="17"/>
      <c r="BN1658" s="15"/>
    </row>
    <row r="1659" spans="2:66" x14ac:dyDescent="0.4">
      <c r="BM1659" s="26"/>
      <c r="BN1659" s="15"/>
    </row>
    <row r="1660" spans="2:66" x14ac:dyDescent="0.4">
      <c r="AP1660" s="115"/>
      <c r="AQ1660" s="115"/>
      <c r="AR1660" s="115"/>
      <c r="AS1660" s="115"/>
      <c r="AT1660" s="115"/>
      <c r="AU1660" s="115"/>
      <c r="AV1660" s="122"/>
      <c r="AW1660" s="122"/>
      <c r="AX1660" s="122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15"/>
      <c r="BM1660" s="17"/>
      <c r="BN1660" s="15"/>
    </row>
    <row r="1661" spans="2:66" x14ac:dyDescent="0.4"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22"/>
      <c r="AW1661" s="122"/>
      <c r="AX1661" s="122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15"/>
      <c r="BM1661" s="26"/>
      <c r="BN1661" s="15"/>
    </row>
    <row r="1662" spans="2:66" x14ac:dyDescent="0.4">
      <c r="BM1662" s="26"/>
      <c r="BN1662" s="15"/>
    </row>
    <row r="1663" spans="2:66" x14ac:dyDescent="0.4">
      <c r="BM1663" s="26"/>
      <c r="BN1663" s="15"/>
    </row>
    <row r="1664" spans="2:66" x14ac:dyDescent="0.4">
      <c r="AO1664" s="115"/>
      <c r="AP1664" s="115"/>
      <c r="AQ1664" s="115"/>
      <c r="AR1664" s="115"/>
      <c r="AS1664" s="115"/>
      <c r="AT1664" s="115"/>
      <c r="AU1664" s="115"/>
      <c r="AV1664" s="122"/>
      <c r="AW1664" s="122"/>
      <c r="AX1664" s="122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15"/>
      <c r="BM1664" s="26"/>
      <c r="BN1664" s="15"/>
    </row>
    <row r="1665" spans="1:66" x14ac:dyDescent="0.4">
      <c r="BM1665" s="26"/>
      <c r="BN1665" s="15"/>
    </row>
    <row r="1666" spans="1:66" x14ac:dyDescent="0.4">
      <c r="AP1666" s="115"/>
      <c r="AQ1666" s="115"/>
      <c r="AR1666" s="115"/>
      <c r="AS1666" s="115"/>
      <c r="AT1666" s="115"/>
      <c r="AU1666" s="115"/>
      <c r="AV1666" s="122"/>
      <c r="AW1666" s="122"/>
      <c r="AX1666" s="122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15"/>
      <c r="BM1666" s="17"/>
      <c r="BN1666" s="15"/>
    </row>
    <row r="1667" spans="1:66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22"/>
      <c r="AW1667" s="122"/>
      <c r="AX1667" s="122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15"/>
      <c r="BM1667" s="26"/>
      <c r="BN1667" s="15"/>
    </row>
    <row r="1668" spans="1:66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22"/>
      <c r="AW1668" s="122"/>
      <c r="AX1668" s="122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15"/>
      <c r="BM1668" s="17"/>
      <c r="BN1668" s="13"/>
    </row>
    <row r="1669" spans="1:66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22"/>
      <c r="AW1669" s="122"/>
      <c r="AX1669" s="122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15"/>
      <c r="BM1669" s="17"/>
      <c r="BN1669" s="13"/>
    </row>
    <row r="1670" spans="1:66" x14ac:dyDescent="0.4">
      <c r="BM1670" s="26"/>
      <c r="BN1670" s="13"/>
    </row>
    <row r="1671" spans="1:66" x14ac:dyDescent="0.4"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22"/>
      <c r="AW1671" s="122"/>
      <c r="AX1671" s="122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15"/>
      <c r="BM1671" s="26"/>
      <c r="BN1671" s="15"/>
    </row>
    <row r="1672" spans="1:66" x14ac:dyDescent="0.4"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22"/>
      <c r="AW1672" s="122"/>
      <c r="AX1672" s="122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15"/>
      <c r="BM1672" s="26"/>
      <c r="BN1672" s="15"/>
    </row>
    <row r="1673" spans="1:66" x14ac:dyDescent="0.4">
      <c r="BM1673" s="26"/>
      <c r="BN1673" s="15"/>
    </row>
    <row r="1674" spans="1:66" x14ac:dyDescent="0.4"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22"/>
      <c r="AW1674" s="122"/>
      <c r="AX1674" s="122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15"/>
      <c r="BM1674" s="26"/>
      <c r="BN1674" s="15"/>
    </row>
    <row r="1675" spans="1:66" x14ac:dyDescent="0.4"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22"/>
      <c r="AW1675" s="122"/>
      <c r="AX1675" s="122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15"/>
      <c r="BM1675" s="26"/>
      <c r="BN1675" s="15"/>
    </row>
    <row r="1676" spans="1:66" x14ac:dyDescent="0.4"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22"/>
      <c r="AW1676" s="122"/>
      <c r="AX1676" s="122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15"/>
      <c r="BM1676" s="26"/>
      <c r="BN1676" s="15"/>
    </row>
    <row r="1677" spans="1:66" x14ac:dyDescent="0.4"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22"/>
      <c r="AW1677" s="122"/>
      <c r="AX1677" s="122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15"/>
      <c r="BM1677" s="26"/>
      <c r="BN1677" s="15"/>
    </row>
    <row r="1678" spans="1:66" x14ac:dyDescent="0.4">
      <c r="BM1678" s="26"/>
      <c r="BN1678" s="15"/>
    </row>
    <row r="1679" spans="1:66" x14ac:dyDescent="0.4"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22"/>
      <c r="AW1679" s="122"/>
      <c r="AX1679" s="122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15"/>
      <c r="BM1679" s="26"/>
      <c r="BN1679" s="15"/>
    </row>
    <row r="1680" spans="1:66" x14ac:dyDescent="0.4">
      <c r="BM1680" s="26"/>
      <c r="BN1680" s="15"/>
    </row>
    <row r="1681" spans="1:66" x14ac:dyDescent="0.4"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22"/>
      <c r="AW1681" s="122"/>
      <c r="AX1681" s="122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15"/>
      <c r="BM1681" s="26"/>
      <c r="BN1681" s="15"/>
    </row>
    <row r="1682" spans="1:66" x14ac:dyDescent="0.4"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22"/>
      <c r="AW1682" s="122"/>
      <c r="AX1682" s="122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15"/>
      <c r="BM1682" s="26"/>
      <c r="BN1682" s="15"/>
    </row>
    <row r="1683" spans="1:66" x14ac:dyDescent="0.4"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22"/>
      <c r="AW1683" s="122"/>
      <c r="AX1683" s="122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15"/>
      <c r="BM1683" s="17"/>
      <c r="BN1683" s="15"/>
    </row>
    <row r="1684" spans="1:66" x14ac:dyDescent="0.4">
      <c r="BM1684" s="26"/>
      <c r="BN1684" s="15"/>
    </row>
    <row r="1685" spans="1:66" x14ac:dyDescent="0.4">
      <c r="BM1685" s="26"/>
      <c r="BN1685" s="15"/>
    </row>
    <row r="1686" spans="1:66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22"/>
      <c r="AW1686" s="122"/>
      <c r="AX1686" s="122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15"/>
      <c r="BM1686" s="26"/>
      <c r="BN1686" s="15"/>
    </row>
    <row r="1687" spans="1:66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22"/>
      <c r="AW1687" s="122"/>
      <c r="AX1687" s="122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15"/>
      <c r="BM1687" s="17"/>
      <c r="BN1687" s="15"/>
    </row>
    <row r="1688" spans="1:66" x14ac:dyDescent="0.4">
      <c r="BM1688" s="26"/>
      <c r="BN1688" s="15"/>
    </row>
    <row r="1689" spans="1:66" ht="17.25" customHeight="1" x14ac:dyDescent="0.4"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22"/>
      <c r="AW1689" s="122"/>
      <c r="AX1689" s="122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15"/>
      <c r="BM1689" s="26"/>
      <c r="BN1689" s="15"/>
    </row>
    <row r="1690" spans="1:66" x14ac:dyDescent="0.4">
      <c r="BM1690" s="26"/>
      <c r="BN1690" s="15"/>
    </row>
    <row r="1691" spans="1:66" x14ac:dyDescent="0.4">
      <c r="AO1691" s="115"/>
      <c r="AP1691" s="115"/>
      <c r="AQ1691" s="115"/>
      <c r="AR1691" s="115"/>
      <c r="AS1691" s="115"/>
      <c r="AT1691" s="115"/>
      <c r="AU1691" s="115"/>
      <c r="AV1691" s="122"/>
      <c r="AW1691" s="122"/>
      <c r="AX1691" s="122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15"/>
      <c r="BM1691" s="17"/>
      <c r="BN1691" s="15"/>
    </row>
    <row r="1692" spans="1:66" ht="16.5" customHeight="1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22"/>
      <c r="AW1692" s="122"/>
      <c r="AX1692" s="122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15"/>
      <c r="BM1692" s="26"/>
      <c r="BN1692" s="15"/>
    </row>
    <row r="1693" spans="1:66" ht="22.5" customHeight="1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22"/>
      <c r="AW1693" s="122"/>
      <c r="AX1693" s="122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15"/>
      <c r="BM1693" s="26"/>
      <c r="BN1693" s="15"/>
    </row>
    <row r="1694" spans="1:66" x14ac:dyDescent="0.4">
      <c r="BM1694" s="26"/>
      <c r="BN1694" s="15"/>
    </row>
    <row r="1695" spans="1:66" x14ac:dyDescent="0.4">
      <c r="BM1695" s="26"/>
      <c r="BN1695" s="105"/>
    </row>
    <row r="1696" spans="1:66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22"/>
      <c r="AW1696" s="122"/>
      <c r="AX1696" s="122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15"/>
      <c r="BM1696" s="26"/>
      <c r="BN1696" s="15"/>
    </row>
    <row r="1697" spans="1:66" x14ac:dyDescent="0.4">
      <c r="BM1697" s="26"/>
      <c r="BN1697" s="15"/>
    </row>
    <row r="1698" spans="1:66" x14ac:dyDescent="0.4">
      <c r="BM1698" s="26"/>
      <c r="BN1698" s="15"/>
    </row>
    <row r="1699" spans="1:66" x14ac:dyDescent="0.4">
      <c r="BM1699" s="26"/>
      <c r="BN1699" s="15"/>
    </row>
    <row r="1700" spans="1:66" x14ac:dyDescent="0.4">
      <c r="BM1700" s="26"/>
      <c r="BN1700" s="15"/>
    </row>
    <row r="1701" spans="1:66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22"/>
      <c r="AW1701" s="122"/>
      <c r="AX1701" s="122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15"/>
      <c r="BM1701" s="26"/>
      <c r="BN1701" s="15"/>
    </row>
    <row r="1702" spans="1:66" x14ac:dyDescent="0.4">
      <c r="BM1702" s="26"/>
      <c r="BN1702" s="15"/>
    </row>
    <row r="1703" spans="1:66" x14ac:dyDescent="0.4">
      <c r="BM1703" s="26"/>
      <c r="BN1703" s="15"/>
    </row>
    <row r="1704" spans="1:66" x14ac:dyDescent="0.4">
      <c r="BM1704" s="26"/>
      <c r="BN1704" s="15"/>
    </row>
    <row r="1705" spans="1:66" x14ac:dyDescent="0.4">
      <c r="BM1705" s="26"/>
      <c r="BN1705" s="15"/>
    </row>
    <row r="1706" spans="1:66" ht="18.75" customHeight="1" x14ac:dyDescent="0.4"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22"/>
      <c r="AW1706" s="122"/>
      <c r="AX1706" s="122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15"/>
      <c r="BM1706" s="26"/>
      <c r="BN1706" s="15"/>
    </row>
    <row r="1707" spans="1:66" x14ac:dyDescent="0.4">
      <c r="BM1707" s="26"/>
      <c r="BN1707" s="15"/>
    </row>
    <row r="1708" spans="1:66" x14ac:dyDescent="0.4">
      <c r="BM1708" s="26"/>
      <c r="BN1708" s="15"/>
    </row>
    <row r="1709" spans="1:66" x14ac:dyDescent="0.4"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22"/>
      <c r="AW1709" s="122"/>
      <c r="AX1709" s="122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15"/>
      <c r="BM1709" s="26"/>
      <c r="BN1709" s="15"/>
    </row>
    <row r="1710" spans="1:66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22"/>
      <c r="AW1710" s="122"/>
      <c r="AX1710" s="122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15"/>
      <c r="BM1710" s="26"/>
      <c r="BN1710" s="15"/>
    </row>
    <row r="1711" spans="1:66" x14ac:dyDescent="0.4">
      <c r="BM1711" s="26"/>
      <c r="BN1711" s="15"/>
    </row>
    <row r="1712" spans="1:66" x14ac:dyDescent="0.4">
      <c r="AO1712" s="115"/>
      <c r="AP1712" s="115"/>
      <c r="AQ1712" s="115"/>
      <c r="AR1712" s="115"/>
      <c r="AS1712" s="115"/>
      <c r="AT1712" s="115"/>
      <c r="AU1712" s="115"/>
      <c r="AV1712" s="122"/>
      <c r="AW1712" s="122"/>
      <c r="AX1712" s="122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15"/>
      <c r="BM1712" s="17"/>
      <c r="BN1712" s="15"/>
    </row>
    <row r="1713" spans="1:6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22"/>
      <c r="AW1713" s="122"/>
      <c r="AX1713" s="122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15"/>
      <c r="BM1713" s="26"/>
      <c r="BN1713" s="15"/>
    </row>
    <row r="1714" spans="1:66" x14ac:dyDescent="0.4">
      <c r="BM1714" s="26"/>
      <c r="BN1714" s="15"/>
    </row>
    <row r="1715" spans="1:66" x14ac:dyDescent="0.4">
      <c r="AO1715" s="115"/>
      <c r="AP1715" s="115"/>
      <c r="AQ1715" s="115"/>
      <c r="AR1715" s="115"/>
      <c r="AS1715" s="115"/>
      <c r="AT1715" s="115"/>
      <c r="AU1715" s="115"/>
      <c r="AV1715" s="122"/>
      <c r="AW1715" s="122"/>
      <c r="AX1715" s="122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15"/>
      <c r="BM1715" s="17"/>
      <c r="BN1715" s="15"/>
    </row>
    <row r="1716" spans="1:66" x14ac:dyDescent="0.4">
      <c r="BM1716" s="26"/>
      <c r="BN1716" s="15"/>
    </row>
    <row r="1717" spans="1:66" x14ac:dyDescent="0.4"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22"/>
      <c r="AW1717" s="122"/>
      <c r="AX1717" s="122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15"/>
      <c r="BM1717" s="26"/>
      <c r="BN1717" s="15"/>
    </row>
    <row r="1718" spans="1:6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22"/>
      <c r="AW1718" s="122"/>
      <c r="AX1718" s="122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15"/>
      <c r="BM1718" s="26"/>
      <c r="BN1718" s="15"/>
    </row>
    <row r="1719" spans="1:6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22"/>
      <c r="AW1719" s="122"/>
      <c r="AX1719" s="122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15"/>
      <c r="BM1719" s="26"/>
      <c r="BN1719" s="15"/>
    </row>
    <row r="1720" spans="1:66" x14ac:dyDescent="0.4">
      <c r="BM1720" s="26"/>
      <c r="BN1720" s="15"/>
    </row>
    <row r="1721" spans="1:66" x14ac:dyDescent="0.4"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22"/>
      <c r="AW1721" s="122"/>
      <c r="AX1721" s="122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15"/>
      <c r="BM1721" s="26"/>
      <c r="BN1721" s="15"/>
    </row>
    <row r="1722" spans="1:66" x14ac:dyDescent="0.4">
      <c r="BM1722" s="26"/>
      <c r="BN1722" s="15"/>
    </row>
    <row r="1723" spans="1:66" x14ac:dyDescent="0.4"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22"/>
      <c r="AW1723" s="122"/>
      <c r="AX1723" s="122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15"/>
      <c r="BM1723" s="26"/>
      <c r="BN1723" s="15"/>
    </row>
    <row r="1724" spans="1:66" x14ac:dyDescent="0.4">
      <c r="BM1724" s="26"/>
      <c r="BN1724" s="15"/>
    </row>
    <row r="1725" spans="1:66" x14ac:dyDescent="0.4">
      <c r="BM1725" s="26"/>
      <c r="BN1725" s="15"/>
    </row>
    <row r="1726" spans="1:66" x14ac:dyDescent="0.4">
      <c r="BM1726" s="26"/>
      <c r="BN1726" s="15"/>
    </row>
    <row r="1727" spans="1:66" x14ac:dyDescent="0.4">
      <c r="BM1727" s="26"/>
      <c r="BN1727" s="15"/>
    </row>
    <row r="1728" spans="1:66" x14ac:dyDescent="0.4">
      <c r="BM1728" s="26"/>
      <c r="BN1728" s="15"/>
    </row>
    <row r="1729" spans="1:66" x14ac:dyDescent="0.4">
      <c r="BM1729" s="26"/>
      <c r="BN1729" s="15"/>
    </row>
    <row r="1730" spans="1:66" x14ac:dyDescent="0.4">
      <c r="A1730" s="115"/>
      <c r="B1730" s="115"/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22"/>
      <c r="AW1730" s="122"/>
      <c r="AX1730" s="122"/>
      <c r="AY1730" s="115"/>
      <c r="AZ1730" s="115"/>
      <c r="BA1730" s="115"/>
      <c r="BB1730" s="115"/>
      <c r="BC1730" s="115"/>
      <c r="BD1730" s="115"/>
      <c r="BE1730" s="115"/>
      <c r="BF1730" s="115"/>
      <c r="BG1730" s="115"/>
      <c r="BH1730" s="115"/>
      <c r="BI1730" s="115"/>
      <c r="BJ1730" s="115"/>
      <c r="BK1730" s="115"/>
      <c r="BL1730" s="115"/>
      <c r="BM1730" s="26"/>
      <c r="BN1730" s="15"/>
    </row>
    <row r="1731" spans="1:66" x14ac:dyDescent="0.4">
      <c r="BM1731" s="26"/>
      <c r="BN1731" s="15"/>
    </row>
    <row r="1732" spans="1:66" x14ac:dyDescent="0.4">
      <c r="BM1732" s="26"/>
      <c r="BN1732" s="15"/>
    </row>
    <row r="1733" spans="1:66" x14ac:dyDescent="0.4">
      <c r="BM1733" s="26"/>
      <c r="BN1733" s="15"/>
    </row>
    <row r="1734" spans="1:66" x14ac:dyDescent="0.4">
      <c r="BM1734" s="26"/>
      <c r="BN1734" s="15"/>
    </row>
    <row r="1735" spans="1:66" x14ac:dyDescent="0.4">
      <c r="BM1735" s="26"/>
      <c r="BN1735" s="15"/>
    </row>
    <row r="1736" spans="1:66" x14ac:dyDescent="0.4">
      <c r="AO1736" s="115"/>
      <c r="AP1736" s="115"/>
      <c r="AQ1736" s="115"/>
      <c r="AR1736" s="115"/>
      <c r="AS1736" s="115"/>
      <c r="AT1736" s="115"/>
      <c r="AU1736" s="115"/>
      <c r="AV1736" s="122"/>
      <c r="AW1736" s="122"/>
      <c r="AX1736" s="122"/>
      <c r="AY1736" s="115"/>
      <c r="AZ1736" s="115"/>
      <c r="BA1736" s="115"/>
      <c r="BB1736" s="115"/>
      <c r="BC1736" s="115"/>
      <c r="BD1736" s="115"/>
      <c r="BE1736" s="115"/>
      <c r="BF1736" s="115"/>
      <c r="BG1736" s="115"/>
      <c r="BH1736" s="115"/>
      <c r="BI1736" s="115"/>
      <c r="BJ1736" s="115"/>
      <c r="BK1736" s="115"/>
      <c r="BL1736" s="115"/>
      <c r="BM1736" s="17"/>
      <c r="BN1736" s="15"/>
    </row>
    <row r="1737" spans="1:66" x14ac:dyDescent="0.4">
      <c r="AO1737" s="115"/>
      <c r="AP1737" s="115"/>
      <c r="AQ1737" s="115"/>
      <c r="AR1737" s="115"/>
      <c r="AS1737" s="115"/>
      <c r="AT1737" s="115"/>
      <c r="AU1737" s="115"/>
      <c r="AV1737" s="122"/>
      <c r="AW1737" s="122"/>
      <c r="AX1737" s="122"/>
      <c r="AY1737" s="115"/>
      <c r="AZ1737" s="115"/>
      <c r="BA1737" s="115"/>
      <c r="BB1737" s="115"/>
      <c r="BC1737" s="115"/>
      <c r="BD1737" s="115"/>
      <c r="BE1737" s="115"/>
      <c r="BF1737" s="115"/>
      <c r="BG1737" s="115"/>
      <c r="BH1737" s="115"/>
      <c r="BI1737" s="115"/>
      <c r="BJ1737" s="115"/>
      <c r="BK1737" s="115"/>
      <c r="BL1737" s="115"/>
      <c r="BM1737" s="17"/>
      <c r="BN1737" s="15"/>
    </row>
    <row r="1738" spans="1:66" x14ac:dyDescent="0.4">
      <c r="BM1738" s="26"/>
      <c r="BN1738" s="15"/>
    </row>
    <row r="1739" spans="1:66" x14ac:dyDescent="0.4">
      <c r="BM1739" s="26"/>
      <c r="BN1739" s="15"/>
    </row>
    <row r="1740" spans="1:66" x14ac:dyDescent="0.4">
      <c r="A1740" s="115"/>
      <c r="B1740" s="115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22"/>
      <c r="AW1740" s="122"/>
      <c r="AX1740" s="122"/>
      <c r="AY1740" s="115"/>
      <c r="AZ1740" s="115"/>
      <c r="BA1740" s="115"/>
      <c r="BB1740" s="115"/>
      <c r="BC1740" s="115"/>
      <c r="BD1740" s="115"/>
      <c r="BE1740" s="115"/>
      <c r="BF1740" s="115"/>
      <c r="BG1740" s="115"/>
      <c r="BH1740" s="115"/>
      <c r="BI1740" s="115"/>
      <c r="BJ1740" s="115"/>
      <c r="BK1740" s="115"/>
      <c r="BL1740" s="115"/>
      <c r="BM1740" s="26"/>
      <c r="BN1740" s="15"/>
    </row>
    <row r="1741" spans="1:66" x14ac:dyDescent="0.4">
      <c r="A1741" s="115"/>
      <c r="B1741" s="115"/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22"/>
      <c r="AW1741" s="122"/>
      <c r="AX1741" s="122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15"/>
      <c r="BM1741" s="26"/>
      <c r="BN1741" s="13"/>
    </row>
    <row r="1742" spans="1:66" x14ac:dyDescent="0.4">
      <c r="BM1742" s="26"/>
      <c r="BN1742" s="15"/>
    </row>
    <row r="1743" spans="1:66" x14ac:dyDescent="0.4">
      <c r="B1743" s="115"/>
      <c r="C1743" s="115"/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22"/>
      <c r="AW1743" s="122"/>
      <c r="AX1743" s="122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15"/>
      <c r="BM1743" s="26"/>
      <c r="BN1743" s="15"/>
    </row>
    <row r="1744" spans="1:66" x14ac:dyDescent="0.4">
      <c r="BM1744" s="26"/>
      <c r="BN1744" s="15"/>
    </row>
    <row r="1745" spans="1:66" x14ac:dyDescent="0.4">
      <c r="BM1745" s="26"/>
      <c r="BN1745" s="15"/>
    </row>
    <row r="1746" spans="1:66" x14ac:dyDescent="0.4">
      <c r="A1746" s="115"/>
      <c r="B1746" s="115"/>
      <c r="C1746" s="115"/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22"/>
      <c r="AW1746" s="122"/>
      <c r="AX1746" s="122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15"/>
      <c r="BM1746" s="26"/>
      <c r="BN1746" s="15"/>
    </row>
    <row r="1747" spans="1:66" x14ac:dyDescent="0.4">
      <c r="BM1747" s="26"/>
      <c r="BN1747" s="13"/>
    </row>
    <row r="1748" spans="1:66" x14ac:dyDescent="0.4">
      <c r="BM1748" s="26"/>
      <c r="BN1748" s="13"/>
    </row>
    <row r="1749" spans="1:66" x14ac:dyDescent="0.4">
      <c r="A1749" s="115"/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22"/>
      <c r="AW1749" s="122"/>
      <c r="AX1749" s="122"/>
      <c r="AY1749" s="115"/>
      <c r="AZ1749" s="115"/>
      <c r="BA1749" s="115"/>
      <c r="BB1749" s="115"/>
      <c r="BC1749" s="115"/>
      <c r="BD1749" s="115"/>
      <c r="BE1749" s="115"/>
      <c r="BF1749" s="115"/>
      <c r="BG1749" s="115"/>
      <c r="BH1749" s="115"/>
      <c r="BI1749" s="115"/>
      <c r="BJ1749" s="115"/>
      <c r="BK1749" s="115"/>
      <c r="BL1749" s="115"/>
      <c r="BM1749" s="26"/>
      <c r="BN1749" s="13"/>
    </row>
    <row r="1750" spans="1:66" x14ac:dyDescent="0.4">
      <c r="BM1750" s="26"/>
      <c r="BN1750" s="13"/>
    </row>
    <row r="1751" spans="1:66" x14ac:dyDescent="0.4">
      <c r="BM1751" s="26"/>
      <c r="BN1751" s="13"/>
    </row>
    <row r="1752" spans="1:66" x14ac:dyDescent="0.4">
      <c r="BM1752" s="26"/>
      <c r="BN1752" s="13"/>
    </row>
    <row r="1753" spans="1:66" x14ac:dyDescent="0.4">
      <c r="BM1753" s="26"/>
      <c r="BN1753" s="13"/>
    </row>
    <row r="1754" spans="1:66" x14ac:dyDescent="0.4">
      <c r="BM1754" s="26"/>
      <c r="BN1754" s="13"/>
    </row>
    <row r="1755" spans="1:66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22"/>
      <c r="AW1755" s="122"/>
      <c r="AX1755" s="122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15"/>
      <c r="BM1755" s="26"/>
      <c r="BN1755" s="25"/>
    </row>
    <row r="1756" spans="1:66" x14ac:dyDescent="0.4">
      <c r="BM1756" s="26"/>
      <c r="BN1756" s="13"/>
    </row>
    <row r="1757" spans="1:66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22"/>
      <c r="AW1757" s="122"/>
      <c r="AX1757" s="122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15"/>
      <c r="BM1757" s="26"/>
      <c r="BN1757" s="13"/>
    </row>
    <row r="1758" spans="1:66" x14ac:dyDescent="0.4">
      <c r="A1758" s="115"/>
      <c r="B1758" s="115"/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22"/>
      <c r="AW1758" s="122"/>
      <c r="AX1758" s="122"/>
      <c r="AY1758" s="115"/>
      <c r="AZ1758" s="115"/>
      <c r="BA1758" s="115"/>
      <c r="BB1758" s="115"/>
      <c r="BC1758" s="115"/>
      <c r="BD1758" s="115"/>
      <c r="BE1758" s="115"/>
      <c r="BF1758" s="115"/>
      <c r="BG1758" s="115"/>
      <c r="BH1758" s="115"/>
      <c r="BI1758" s="115"/>
      <c r="BJ1758" s="115"/>
      <c r="BK1758" s="115"/>
      <c r="BL1758" s="115"/>
      <c r="BM1758" s="26"/>
      <c r="BN1758" s="13"/>
    </row>
    <row r="1759" spans="1:66" x14ac:dyDescent="0.4">
      <c r="BM1759" s="26"/>
      <c r="BN1759" s="15"/>
    </row>
    <row r="1760" spans="1:66" x14ac:dyDescent="0.4">
      <c r="BM1760" s="26"/>
      <c r="BN1760" s="15"/>
    </row>
    <row r="1761" spans="2:66" x14ac:dyDescent="0.4">
      <c r="BM1761" s="26"/>
      <c r="BN1761" s="15"/>
    </row>
    <row r="1762" spans="2:66" x14ac:dyDescent="0.4">
      <c r="BM1762" s="26"/>
      <c r="BN1762" s="13"/>
    </row>
    <row r="1763" spans="2:66" x14ac:dyDescent="0.4">
      <c r="BM1763" s="26"/>
      <c r="BN1763" s="15"/>
    </row>
    <row r="1764" spans="2:66" x14ac:dyDescent="0.4">
      <c r="B1764" s="115"/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22"/>
      <c r="AW1764" s="122"/>
      <c r="AX1764" s="122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15"/>
      <c r="BM1764" s="17"/>
      <c r="BN1764" s="15"/>
    </row>
    <row r="1765" spans="2:66" x14ac:dyDescent="0.4">
      <c r="BM1765" s="26"/>
      <c r="BN1765" s="15"/>
    </row>
    <row r="1766" spans="2:66" x14ac:dyDescent="0.4">
      <c r="B1766" s="115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22"/>
      <c r="AW1766" s="122"/>
      <c r="AX1766" s="122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15"/>
      <c r="BM1766" s="17"/>
      <c r="BN1766" s="15"/>
    </row>
    <row r="1767" spans="2:66" x14ac:dyDescent="0.4">
      <c r="BM1767" s="26"/>
      <c r="BN1767" s="15"/>
    </row>
    <row r="1768" spans="2:66" x14ac:dyDescent="0.4">
      <c r="BM1768" s="26"/>
      <c r="BN1768" s="15"/>
    </row>
    <row r="1769" spans="2:66" x14ac:dyDescent="0.4">
      <c r="B1769" s="115"/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22"/>
      <c r="AW1769" s="122"/>
      <c r="AX1769" s="122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15"/>
      <c r="BM1769" s="17"/>
      <c r="BN1769" s="15"/>
    </row>
    <row r="1770" spans="2:66" x14ac:dyDescent="0.4">
      <c r="BM1770" s="26"/>
      <c r="BN1770" s="15"/>
    </row>
    <row r="1771" spans="2:66" x14ac:dyDescent="0.4">
      <c r="BM1771" s="26"/>
      <c r="BN1771" s="15"/>
    </row>
    <row r="1772" spans="2:66" x14ac:dyDescent="0.4">
      <c r="BM1772" s="26"/>
      <c r="BN1772" s="105"/>
    </row>
    <row r="1773" spans="2:66" x14ac:dyDescent="0.4">
      <c r="BM1773" s="26"/>
      <c r="BN1773" s="15"/>
    </row>
    <row r="1774" spans="2:66" x14ac:dyDescent="0.4">
      <c r="BM1774" s="26"/>
      <c r="BN1774" s="15"/>
    </row>
    <row r="1775" spans="2:66" x14ac:dyDescent="0.4">
      <c r="BM1775" s="26"/>
      <c r="BN1775" s="15"/>
    </row>
    <row r="1776" spans="2:66" x14ac:dyDescent="0.4">
      <c r="BM1776" s="26"/>
      <c r="BN1776" s="15"/>
    </row>
    <row r="1777" spans="2:66" x14ac:dyDescent="0.4">
      <c r="BM1777" s="26"/>
      <c r="BN1777" s="15"/>
    </row>
    <row r="1778" spans="2:66" x14ac:dyDescent="0.4">
      <c r="B1778" s="115"/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22"/>
      <c r="AW1778" s="122"/>
      <c r="AX1778" s="122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15"/>
      <c r="BM1778" s="119"/>
      <c r="BN1778" s="119"/>
    </row>
    <row r="1779" spans="2:66" x14ac:dyDescent="0.4">
      <c r="B1779" s="115"/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22"/>
      <c r="AW1779" s="122"/>
      <c r="AX1779" s="122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15"/>
      <c r="BM1779" s="119"/>
      <c r="BN1779" s="119"/>
    </row>
  </sheetData>
  <sortState xmlns:xlrd2="http://schemas.microsoft.com/office/spreadsheetml/2017/richdata2" ref="N2:O185">
    <sortCondition ref="N2:N185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2025-10-23T08:45:57Z</cp:lastPrinted>
  <dcterms:created xsi:type="dcterms:W3CDTF">2020-05-08T06:29:04Z</dcterms:created>
  <dcterms:modified xsi:type="dcterms:W3CDTF">2025-10-24T00:09:52Z</dcterms:modified>
</cp:coreProperties>
</file>