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E5E9CF24-ACB3-498D-A123-46020D58904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4" l="1"/>
  <c r="G34" i="4"/>
  <c r="F34" i="4"/>
  <c r="E34" i="4"/>
  <c r="M159" i="4"/>
  <c r="L159" i="4"/>
  <c r="M157" i="4"/>
  <c r="L157" i="4"/>
  <c r="M154" i="4"/>
  <c r="L154" i="4"/>
  <c r="M152" i="4"/>
  <c r="L152" i="4"/>
  <c r="M145" i="4"/>
  <c r="L145" i="4"/>
  <c r="M143" i="4"/>
  <c r="L143" i="4"/>
  <c r="M134" i="4"/>
  <c r="L134" i="4"/>
  <c r="M132" i="4"/>
  <c r="L132" i="4"/>
  <c r="M130" i="4"/>
  <c r="L130" i="4"/>
  <c r="M120" i="4"/>
  <c r="L120" i="4"/>
  <c r="M107" i="4"/>
  <c r="L107" i="4"/>
  <c r="M93" i="4"/>
  <c r="L93" i="4"/>
  <c r="M87" i="4"/>
  <c r="L87" i="4"/>
  <c r="M64" i="4"/>
  <c r="L64" i="4"/>
  <c r="M59" i="4"/>
  <c r="L59" i="4"/>
  <c r="M50" i="4"/>
  <c r="L50" i="4"/>
  <c r="M46" i="4"/>
  <c r="L46" i="4"/>
  <c r="M40" i="4"/>
  <c r="L40" i="4"/>
  <c r="M36" i="4"/>
  <c r="L36" i="4"/>
  <c r="M23" i="4"/>
  <c r="L23" i="4"/>
  <c r="M18" i="4"/>
  <c r="L18" i="4"/>
  <c r="M14" i="4"/>
  <c r="L14" i="4"/>
  <c r="M11" i="4"/>
  <c r="L11" i="4"/>
  <c r="M8" i="4"/>
  <c r="L8" i="4"/>
  <c r="M5" i="4"/>
  <c r="M160" i="4" s="1"/>
  <c r="L5" i="4"/>
  <c r="L160" i="4" s="1"/>
  <c r="M3" i="4"/>
  <c r="L3" i="4"/>
  <c r="A61" i="1"/>
  <c r="U118" i="1"/>
  <c r="A241" i="1" l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I88" i="1"/>
  <c r="H88" i="1"/>
  <c r="G88" i="1"/>
  <c r="C88" i="1"/>
  <c r="H59" i="1"/>
  <c r="S58" i="1"/>
  <c r="R58" i="1"/>
  <c r="Q58" i="1"/>
  <c r="P58" i="1"/>
  <c r="O58" i="1"/>
  <c r="N58" i="1"/>
  <c r="M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<sst xmlns="http://schemas.openxmlformats.org/spreadsheetml/2006/main" count="2703" uniqueCount="490">
  <si>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</si>
  <si>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</si>
  <si>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</si>
  <si>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</si>
  <si>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</si>
  <si>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</si>
  <si>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</si>
  <si>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</si>
  <si>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</si>
  <si>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</si>
  <si>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</si>
  <si>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</si>
  <si>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</si>
  <si>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</si>
  <si>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</si>
  <si>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</si>
  <si>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</si>
  <si>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</si>
  <si>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</si>
  <si>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</si>
  <si>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</si>
  <si>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</si>
  <si>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</si>
  <si>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</si>
  <si>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</si>
  <si>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</si>
  <si>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</si>
  <si>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</si>
  <si>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</si>
  <si>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</si>
  <si>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</si>
  <si>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</si>
  <si>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</si>
  <si>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</si>
  <si>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</si>
  <si>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</si>
  <si>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</si>
  <si>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</si>
  <si>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</si>
  <si>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</si>
  <si>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</si>
  <si>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</si>
  <si>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</si>
  <si>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</si>
  <si>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</si>
  <si>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</si>
  <si>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</si>
  <si>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</si>
  <si>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</si>
  <si>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</si>
  <si>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</si>
  <si>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</si>
  <si>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</si>
  <si>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</si>
  <si>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</si>
  <si>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</si>
  <si>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</si>
  <si>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</si>
  <si>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</si>
  <si>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</si>
  <si>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</si>
  <si>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</si>
  <si>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</si>
  <si>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</si>
  <si>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</si>
  <si>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</si>
  <si>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</si>
  <si>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</si>
  <si>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</si>
  <si>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</si>
  <si>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</si>
  <si>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</si>
  <si>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</si>
  <si>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</si>
  <si>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</si>
  <si>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</si>
  <si>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</si>
  <si>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</si>
  <si>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</si>
  <si>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</si>
  <si>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</si>
  <si>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</si>
  <si>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</si>
  <si>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</si>
  <si>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</si>
  <si>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</si>
  <si>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</si>
  <si>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</si>
  <si>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</si>
  <si>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</si>
  <si>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</si>
  <si>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</si>
  <si>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</si>
  <si>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</si>
  <si>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</si>
  <si>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</si>
  <si>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</si>
  <si>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</si>
  <si>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</si>
  <si>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</si>
  <si>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</si>
  <si>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</si>
  <si>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</si>
  <si>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</si>
  <si>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</si>
  <si>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</si>
  <si>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</si>
  <si>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</si>
  <si>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</si>
  <si>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</si>
  <si>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</si>
  <si>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</si>
  <si>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</si>
  <si>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</si>
  <si>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</si>
  <si>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</si>
  <si>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</si>
  <si>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</si>
  <si>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</si>
  <si>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</si>
  <si>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</si>
  <si>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</si>
  <si>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</si>
  <si>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</si>
  <si>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</si>
  <si>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</si>
  <si>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</si>
  <si>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</si>
  <si>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</si>
  <si>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</si>
  <si>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</si>
  <si>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</si>
  <si>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</si>
  <si>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</si>
  <si>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</si>
  <si>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</si>
  <si>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</si>
  <si>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</si>
  <si>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</si>
  <si>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</si>
  <si>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</si>
  <si>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</si>
  <si>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</si>
  <si>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</si>
  <si>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</si>
  <si>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</si>
  <si>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</si>
  <si>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</si>
  <si>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</si>
  <si>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</si>
  <si>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</si>
  <si>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</si>
  <si>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</si>
  <si>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</si>
  <si>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</si>
  <si>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</si>
  <si>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</si>
  <si>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</si>
  <si>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</si>
  <si>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</si>
  <si>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</si>
  <si>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</si>
  <si>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</si>
  <si>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</si>
  <si>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</si>
  <si>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</si>
  <si>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</si>
  <si>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</si>
  <si>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</si>
  <si>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</si>
  <si>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</si>
  <si>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</si>
  <si>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</si>
  <si>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</si>
  <si>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</si>
  <si>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</si>
  <si>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</si>
  <si>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</si>
  <si>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</si>
  <si>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</si>
  <si>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</si>
  <si>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A335</t>
    <phoneticPr fontId="1"/>
  </si>
  <si>
    <t>A328</t>
    <phoneticPr fontId="1"/>
  </si>
  <si>
    <t>M078</t>
    <phoneticPr fontId="1"/>
  </si>
  <si>
    <t>A700</t>
    <phoneticPr fontId="1"/>
  </si>
  <si>
    <t>A120</t>
    <phoneticPr fontId="1"/>
  </si>
  <si>
    <t>AYG140</t>
    <phoneticPr fontId="1"/>
  </si>
  <si>
    <t>A997</t>
    <phoneticPr fontId="1"/>
  </si>
  <si>
    <t>M079</t>
    <phoneticPr fontId="1"/>
  </si>
  <si>
    <t>A732</t>
    <phoneticPr fontId="1"/>
  </si>
  <si>
    <t>M025</t>
    <phoneticPr fontId="1"/>
  </si>
  <si>
    <t>P</t>
    <phoneticPr fontId="1"/>
  </si>
  <si>
    <t>M074</t>
    <phoneticPr fontId="1"/>
  </si>
  <si>
    <t>A505</t>
    <phoneticPr fontId="1"/>
  </si>
  <si>
    <t>品番</t>
    <rPh sb="0" eb="2">
      <t>ヒンバン</t>
    </rPh>
    <phoneticPr fontId="1"/>
  </si>
  <si>
    <t>05122602</t>
    <phoneticPr fontId="1"/>
  </si>
  <si>
    <t>05122603</t>
  </si>
  <si>
    <t>05122604</t>
  </si>
  <si>
    <t>05122605</t>
  </si>
  <si>
    <t>05122607</t>
    <phoneticPr fontId="1"/>
  </si>
  <si>
    <t>05122615</t>
    <phoneticPr fontId="1"/>
  </si>
  <si>
    <t>05122616</t>
  </si>
  <si>
    <t>05122617</t>
  </si>
  <si>
    <t>05122618</t>
  </si>
  <si>
    <t>05122619</t>
  </si>
  <si>
    <t>05122620</t>
  </si>
  <si>
    <t>05122621</t>
  </si>
  <si>
    <t>05122622</t>
  </si>
  <si>
    <t>05122623</t>
  </si>
  <si>
    <t>05122624</t>
  </si>
  <si>
    <t>05132604</t>
    <phoneticPr fontId="1"/>
  </si>
  <si>
    <t>05132605</t>
    <phoneticPr fontId="1"/>
  </si>
  <si>
    <t>08040333</t>
    <phoneticPr fontId="1"/>
  </si>
  <si>
    <t>08040334</t>
    <phoneticPr fontId="1"/>
  </si>
  <si>
    <t>08040501</t>
    <phoneticPr fontId="1"/>
  </si>
  <si>
    <t>05162608</t>
    <phoneticPr fontId="1"/>
  </si>
  <si>
    <t>05162613</t>
    <phoneticPr fontId="1"/>
  </si>
  <si>
    <t>05162617</t>
    <phoneticPr fontId="1"/>
  </si>
  <si>
    <t>05162618</t>
    <phoneticPr fontId="1"/>
  </si>
  <si>
    <t>05192626</t>
    <phoneticPr fontId="1"/>
  </si>
  <si>
    <t>05192627</t>
    <phoneticPr fontId="1"/>
  </si>
  <si>
    <t>05202602</t>
    <phoneticPr fontId="1"/>
  </si>
  <si>
    <t>A250</t>
    <phoneticPr fontId="1"/>
  </si>
  <si>
    <t>05202604</t>
    <phoneticPr fontId="1"/>
  </si>
  <si>
    <t>05202605</t>
    <phoneticPr fontId="1"/>
  </si>
  <si>
    <t>05202606</t>
    <phoneticPr fontId="1"/>
  </si>
  <si>
    <t>05202607</t>
    <phoneticPr fontId="1"/>
  </si>
  <si>
    <t>05202608</t>
    <phoneticPr fontId="1"/>
  </si>
  <si>
    <t>05202609</t>
    <phoneticPr fontId="1"/>
  </si>
  <si>
    <t>05202610</t>
    <phoneticPr fontId="1"/>
  </si>
  <si>
    <t>08040364</t>
    <phoneticPr fontId="1"/>
  </si>
  <si>
    <t>05072621</t>
    <phoneticPr fontId="1"/>
  </si>
  <si>
    <t>05072624</t>
    <phoneticPr fontId="1"/>
  </si>
  <si>
    <t>05122608</t>
    <phoneticPr fontId="1"/>
  </si>
  <si>
    <t>05122609</t>
  </si>
  <si>
    <t>05122610</t>
  </si>
  <si>
    <t>05122611</t>
  </si>
  <si>
    <t>05122613</t>
    <phoneticPr fontId="1"/>
  </si>
  <si>
    <t>05122614</t>
    <phoneticPr fontId="1"/>
  </si>
  <si>
    <t>05122633</t>
    <phoneticPr fontId="1"/>
  </si>
  <si>
    <t>A645</t>
    <phoneticPr fontId="1"/>
  </si>
  <si>
    <t>05122634</t>
  </si>
  <si>
    <t>05122635</t>
  </si>
  <si>
    <t>05132603</t>
    <phoneticPr fontId="1"/>
  </si>
  <si>
    <t>05132606</t>
    <phoneticPr fontId="1"/>
  </si>
  <si>
    <t>05142602</t>
    <phoneticPr fontId="1"/>
  </si>
  <si>
    <t>05142619</t>
    <phoneticPr fontId="1"/>
  </si>
  <si>
    <t>05142621</t>
    <phoneticPr fontId="1"/>
  </si>
  <si>
    <t>05192615</t>
    <phoneticPr fontId="1"/>
  </si>
  <si>
    <t>05192616</t>
  </si>
  <si>
    <t>05192617</t>
  </si>
  <si>
    <t>05192618</t>
  </si>
  <si>
    <t>05192619</t>
  </si>
  <si>
    <t>05192621</t>
    <phoneticPr fontId="1"/>
  </si>
  <si>
    <t>05192622</t>
  </si>
  <si>
    <t>05192623</t>
  </si>
  <si>
    <t>M070</t>
    <phoneticPr fontId="1"/>
  </si>
  <si>
    <t>05192624</t>
  </si>
  <si>
    <t>05132602</t>
    <phoneticPr fontId="1"/>
  </si>
  <si>
    <t>05182601</t>
    <phoneticPr fontId="1"/>
  </si>
  <si>
    <t>05182602</t>
  </si>
  <si>
    <t>05182603</t>
  </si>
  <si>
    <t>05182604</t>
  </si>
  <si>
    <t>05182605</t>
  </si>
  <si>
    <t>05182606</t>
  </si>
  <si>
    <t>05182607</t>
  </si>
  <si>
    <t>05182608</t>
  </si>
  <si>
    <t>05182609</t>
  </si>
  <si>
    <t>05182610</t>
  </si>
  <si>
    <t>05182611</t>
  </si>
  <si>
    <t>05182614</t>
    <phoneticPr fontId="1"/>
  </si>
  <si>
    <t>05182615</t>
  </si>
  <si>
    <t>05182616</t>
  </si>
  <si>
    <t>A611</t>
    <phoneticPr fontId="1"/>
  </si>
  <si>
    <t>05182617</t>
  </si>
  <si>
    <t>05192620</t>
    <phoneticPr fontId="1"/>
  </si>
  <si>
    <t>05152608</t>
    <phoneticPr fontId="1"/>
  </si>
  <si>
    <t>05152609</t>
  </si>
  <si>
    <t>05152610</t>
  </si>
  <si>
    <t>05152611</t>
  </si>
  <si>
    <t>05152612</t>
  </si>
  <si>
    <t>05162602</t>
    <phoneticPr fontId="1"/>
  </si>
  <si>
    <t>05162607</t>
    <phoneticPr fontId="1"/>
  </si>
  <si>
    <t>05162609</t>
    <phoneticPr fontId="1"/>
  </si>
  <si>
    <t>05162611</t>
    <phoneticPr fontId="1"/>
  </si>
  <si>
    <t>05162612</t>
    <phoneticPr fontId="1"/>
  </si>
  <si>
    <t>05162615</t>
    <phoneticPr fontId="1"/>
  </si>
  <si>
    <t>05162616</t>
  </si>
  <si>
    <t>05142603</t>
    <phoneticPr fontId="1"/>
  </si>
  <si>
    <t>05142604</t>
  </si>
  <si>
    <t>05142605</t>
  </si>
  <si>
    <t>05142606</t>
  </si>
  <si>
    <t>05142607</t>
  </si>
  <si>
    <t>05142608</t>
  </si>
  <si>
    <t>05142609</t>
  </si>
  <si>
    <t>05142610</t>
  </si>
  <si>
    <t>05142611</t>
  </si>
  <si>
    <t>05142612</t>
  </si>
  <si>
    <t>05142613</t>
  </si>
  <si>
    <t>05152601</t>
    <phoneticPr fontId="1"/>
  </si>
  <si>
    <t>05152602</t>
  </si>
  <si>
    <t>05152603</t>
  </si>
  <si>
    <t>05152604</t>
  </si>
  <si>
    <t>05152605</t>
  </si>
  <si>
    <t>05152606</t>
  </si>
  <si>
    <t>05152607</t>
  </si>
  <si>
    <t>08030666</t>
    <phoneticPr fontId="1"/>
  </si>
  <si>
    <t>08030667</t>
    <phoneticPr fontId="1"/>
  </si>
  <si>
    <t>05072613</t>
    <phoneticPr fontId="1"/>
  </si>
  <si>
    <t>05072614</t>
    <phoneticPr fontId="1"/>
  </si>
  <si>
    <t>05072622</t>
    <phoneticPr fontId="1"/>
  </si>
  <si>
    <t>05072623</t>
    <phoneticPr fontId="1"/>
  </si>
  <si>
    <t>05082604</t>
    <phoneticPr fontId="1"/>
  </si>
  <si>
    <t>05082605</t>
    <phoneticPr fontId="1"/>
  </si>
  <si>
    <t>05082608</t>
    <phoneticPr fontId="1"/>
  </si>
  <si>
    <t>05082609</t>
    <phoneticPr fontId="1"/>
  </si>
  <si>
    <t>05082639</t>
    <phoneticPr fontId="1"/>
  </si>
  <si>
    <t>05092616</t>
    <phoneticPr fontId="1"/>
  </si>
  <si>
    <t>05092617</t>
    <phoneticPr fontId="1"/>
  </si>
  <si>
    <t>05092657</t>
    <phoneticPr fontId="1"/>
  </si>
  <si>
    <t>05092658</t>
    <phoneticPr fontId="1"/>
  </si>
  <si>
    <t>05092659</t>
    <phoneticPr fontId="1"/>
  </si>
  <si>
    <t>05142617</t>
    <phoneticPr fontId="1"/>
  </si>
  <si>
    <t>C</t>
    <phoneticPr fontId="1"/>
  </si>
  <si>
    <t>品名</t>
    <rPh sb="0" eb="1">
      <t>ヒン</t>
    </rPh>
    <rPh sb="1" eb="2">
      <t>メイ</t>
    </rPh>
    <phoneticPr fontId="1"/>
  </si>
  <si>
    <t>2026/6/15 個数</t>
  </si>
  <si>
    <t>2026/6/16 個数</t>
  </si>
  <si>
    <t>2026/6/17 個数</t>
  </si>
  <si>
    <t>2026/6/20 個数</t>
  </si>
  <si>
    <t>2026/6/22 個数</t>
  </si>
  <si>
    <t>2026/6/26 個数</t>
  </si>
  <si>
    <t>2026/6/27 個数</t>
  </si>
  <si>
    <t>2026/6/28 個数</t>
  </si>
  <si>
    <t>2026/6/30 個数</t>
  </si>
  <si>
    <t>2026/7/1 個数</t>
  </si>
  <si>
    <t>2026/7/3 個数</t>
  </si>
  <si>
    <t>2026/7/8 個数</t>
  </si>
  <si>
    <t>2026/7/29 個数</t>
  </si>
  <si>
    <t>05212602</t>
    <phoneticPr fontId="1"/>
  </si>
  <si>
    <t>A550</t>
    <phoneticPr fontId="1"/>
  </si>
  <si>
    <t>05212603</t>
  </si>
  <si>
    <t>05212604</t>
  </si>
  <si>
    <t>05212605</t>
  </si>
  <si>
    <t>05212606</t>
  </si>
  <si>
    <t>05212607</t>
  </si>
  <si>
    <t>05212608</t>
  </si>
  <si>
    <t>05212609</t>
  </si>
  <si>
    <t>05212610</t>
  </si>
  <si>
    <t>05212611</t>
  </si>
  <si>
    <t>A318</t>
    <phoneticPr fontId="1"/>
  </si>
  <si>
    <t>05222645</t>
    <phoneticPr fontId="1"/>
  </si>
  <si>
    <t>05232604</t>
    <phoneticPr fontId="1"/>
  </si>
  <si>
    <t>05232605</t>
    <phoneticPr fontId="1"/>
  </si>
  <si>
    <t>05252601</t>
    <phoneticPr fontId="1"/>
  </si>
  <si>
    <t>M100</t>
    <phoneticPr fontId="1"/>
  </si>
  <si>
    <t>05252602</t>
    <phoneticPr fontId="1"/>
  </si>
  <si>
    <t>05252603</t>
    <phoneticPr fontId="1"/>
  </si>
  <si>
    <t>05252604</t>
    <phoneticPr fontId="1"/>
  </si>
  <si>
    <t>05252605</t>
    <phoneticPr fontId="1"/>
  </si>
  <si>
    <t>05252606</t>
    <phoneticPr fontId="1"/>
  </si>
  <si>
    <t>05252607</t>
    <phoneticPr fontId="1"/>
  </si>
  <si>
    <t>05252608</t>
    <phoneticPr fontId="1"/>
  </si>
  <si>
    <t>05252609</t>
    <phoneticPr fontId="1"/>
  </si>
  <si>
    <t>05262613</t>
    <phoneticPr fontId="1"/>
  </si>
  <si>
    <t>05262614</t>
    <phoneticPr fontId="1"/>
  </si>
  <si>
    <t>05262616</t>
    <phoneticPr fontId="1"/>
  </si>
  <si>
    <t>05262617</t>
    <phoneticPr fontId="1"/>
  </si>
  <si>
    <t>05262622</t>
    <phoneticPr fontId="1"/>
  </si>
  <si>
    <t>05262623</t>
    <phoneticPr fontId="1"/>
  </si>
  <si>
    <t>05262624</t>
    <phoneticPr fontId="1"/>
  </si>
  <si>
    <t>05262625</t>
    <phoneticPr fontId="1"/>
  </si>
  <si>
    <t>08040336</t>
    <phoneticPr fontId="1"/>
  </si>
  <si>
    <t>08040389</t>
    <phoneticPr fontId="1"/>
  </si>
  <si>
    <t>05082644</t>
    <phoneticPr fontId="1"/>
  </si>
  <si>
    <t>05082645</t>
    <phoneticPr fontId="1"/>
  </si>
  <si>
    <t>05092609</t>
    <phoneticPr fontId="1"/>
  </si>
  <si>
    <t>05092611</t>
    <phoneticPr fontId="1"/>
  </si>
  <si>
    <t>05202603</t>
    <phoneticPr fontId="1"/>
  </si>
  <si>
    <t>05262618</t>
    <phoneticPr fontId="1"/>
  </si>
  <si>
    <t>A680</t>
    <phoneticPr fontId="1"/>
  </si>
  <si>
    <t>05262619</t>
    <phoneticPr fontId="1"/>
  </si>
  <si>
    <t>05262620</t>
    <phoneticPr fontId="1"/>
  </si>
  <si>
    <t>05262621</t>
    <phoneticPr fontId="1"/>
  </si>
  <si>
    <t>05272601</t>
    <phoneticPr fontId="1"/>
  </si>
  <si>
    <t>05272602</t>
    <phoneticPr fontId="1"/>
  </si>
  <si>
    <t>05272603</t>
    <phoneticPr fontId="1"/>
  </si>
  <si>
    <t>05272604</t>
    <phoneticPr fontId="1"/>
  </si>
  <si>
    <t>05272605</t>
    <phoneticPr fontId="1"/>
  </si>
  <si>
    <t>05272606</t>
    <phoneticPr fontId="1"/>
  </si>
  <si>
    <t>05122612</t>
    <phoneticPr fontId="1"/>
  </si>
  <si>
    <t>05212624</t>
    <phoneticPr fontId="1"/>
  </si>
  <si>
    <t>05162603</t>
    <phoneticPr fontId="1"/>
  </si>
  <si>
    <t>05162605</t>
    <phoneticPr fontId="1"/>
  </si>
  <si>
    <t>05162614</t>
    <phoneticPr fontId="1"/>
  </si>
  <si>
    <t>05192608</t>
    <phoneticPr fontId="1"/>
  </si>
  <si>
    <t>05192611</t>
    <phoneticPr fontId="1"/>
  </si>
  <si>
    <t>05192612</t>
    <phoneticPr fontId="1"/>
  </si>
  <si>
    <t>05192613</t>
    <phoneticPr fontId="1"/>
  </si>
  <si>
    <t>05192614</t>
    <phoneticPr fontId="1"/>
  </si>
  <si>
    <t>05192625</t>
    <phoneticPr fontId="1"/>
  </si>
  <si>
    <t>05212626</t>
    <phoneticPr fontId="1"/>
  </si>
  <si>
    <t>05222601</t>
    <phoneticPr fontId="1"/>
  </si>
  <si>
    <t>05222636</t>
    <phoneticPr fontId="1"/>
  </si>
  <si>
    <t>05222639</t>
    <phoneticPr fontId="1"/>
  </si>
  <si>
    <t>05272612</t>
    <phoneticPr fontId="1"/>
  </si>
  <si>
    <t>05272613</t>
  </si>
  <si>
    <t>05272615</t>
    <phoneticPr fontId="1"/>
  </si>
  <si>
    <t>05272616</t>
  </si>
  <si>
    <t>05272617</t>
  </si>
  <si>
    <t>05272618</t>
  </si>
  <si>
    <t>05272619</t>
  </si>
  <si>
    <t>05282603</t>
    <phoneticPr fontId="1"/>
  </si>
  <si>
    <t>05282604</t>
  </si>
  <si>
    <t>05282607</t>
    <phoneticPr fontId="1"/>
  </si>
  <si>
    <t>05282608</t>
  </si>
  <si>
    <t>05282609</t>
  </si>
  <si>
    <t>05282610</t>
  </si>
  <si>
    <t>05302601</t>
    <phoneticPr fontId="1"/>
  </si>
  <si>
    <t>05192609</t>
    <phoneticPr fontId="1"/>
  </si>
  <si>
    <t>05192610</t>
  </si>
  <si>
    <t>05292617</t>
    <phoneticPr fontId="1"/>
  </si>
  <si>
    <t>05292618</t>
  </si>
  <si>
    <t>05222604</t>
    <phoneticPr fontId="1"/>
  </si>
  <si>
    <t>05222605</t>
    <phoneticPr fontId="1"/>
  </si>
  <si>
    <t>05222607</t>
    <phoneticPr fontId="1"/>
  </si>
  <si>
    <t>05222608</t>
    <phoneticPr fontId="1"/>
  </si>
  <si>
    <t>05222619</t>
    <phoneticPr fontId="1"/>
  </si>
  <si>
    <t>05222620</t>
    <phoneticPr fontId="1"/>
  </si>
  <si>
    <t>05222637</t>
    <phoneticPr fontId="1"/>
  </si>
  <si>
    <t>05222638</t>
    <phoneticPr fontId="1"/>
  </si>
  <si>
    <t>05222640</t>
    <phoneticPr fontId="1"/>
  </si>
  <si>
    <t>05252617</t>
    <phoneticPr fontId="1"/>
  </si>
  <si>
    <t>05262601</t>
    <phoneticPr fontId="1"/>
  </si>
  <si>
    <t>05262604</t>
    <phoneticPr fontId="1"/>
  </si>
  <si>
    <t>05262605</t>
    <phoneticPr fontId="1"/>
  </si>
  <si>
    <t>05262611</t>
    <phoneticPr fontId="1"/>
  </si>
  <si>
    <t>08040502</t>
    <phoneticPr fontId="1"/>
  </si>
  <si>
    <t>08050016</t>
    <phoneticPr fontId="1"/>
  </si>
  <si>
    <t>08050017</t>
    <phoneticPr fontId="1"/>
  </si>
  <si>
    <t>05302602</t>
    <phoneticPr fontId="1"/>
  </si>
  <si>
    <t>A633</t>
    <phoneticPr fontId="1"/>
  </si>
  <si>
    <t>05072626</t>
    <phoneticPr fontId="1"/>
  </si>
  <si>
    <t>05072627</t>
    <phoneticPr fontId="1"/>
  </si>
  <si>
    <t>05082611</t>
    <phoneticPr fontId="1"/>
  </si>
  <si>
    <t>06012624</t>
    <phoneticPr fontId="1"/>
  </si>
  <si>
    <t>06012625</t>
  </si>
  <si>
    <t>06012626</t>
  </si>
  <si>
    <t>06012627</t>
  </si>
  <si>
    <t>06012628</t>
  </si>
  <si>
    <t>06012601</t>
    <phoneticPr fontId="1"/>
  </si>
  <si>
    <t>06012602</t>
  </si>
  <si>
    <t>06012603</t>
  </si>
  <si>
    <t>06012604</t>
  </si>
  <si>
    <t>06012605</t>
  </si>
  <si>
    <t>06012606</t>
  </si>
  <si>
    <t>06012607</t>
  </si>
  <si>
    <t>06012608</t>
  </si>
  <si>
    <t>06012609</t>
  </si>
  <si>
    <t>06012610</t>
  </si>
  <si>
    <t>06012611</t>
  </si>
  <si>
    <t>06012612</t>
  </si>
  <si>
    <t>06012613</t>
  </si>
  <si>
    <t>06012614</t>
  </si>
  <si>
    <t>06012615</t>
  </si>
  <si>
    <t>06012616</t>
  </si>
  <si>
    <t>06012617</t>
  </si>
  <si>
    <t>06012618</t>
  </si>
  <si>
    <t>06012620</t>
  </si>
  <si>
    <t>06012621</t>
  </si>
  <si>
    <t>06012622</t>
  </si>
  <si>
    <t>06012623</t>
  </si>
  <si>
    <t>E</t>
    <phoneticPr fontId="1"/>
  </si>
  <si>
    <t>AYG142</t>
    <phoneticPr fontId="1"/>
  </si>
  <si>
    <t>05282611</t>
    <phoneticPr fontId="1"/>
  </si>
  <si>
    <t>05282612</t>
  </si>
  <si>
    <t>05282613</t>
  </si>
  <si>
    <t>05282614</t>
  </si>
  <si>
    <t>2026/7/2 個数</t>
  </si>
  <si>
    <t>2026/7/4 個数</t>
  </si>
  <si>
    <t>2026/7/5 個数</t>
  </si>
  <si>
    <t>2026/7/6 個数</t>
  </si>
  <si>
    <t>2026/7/7 個数</t>
  </si>
  <si>
    <t>2026/7/13 個数</t>
  </si>
  <si>
    <t>2026/7/15 個数</t>
  </si>
  <si>
    <t>2026/7/16 個数</t>
  </si>
  <si>
    <t>2026/7/19 個数</t>
  </si>
  <si>
    <t>2026/7/21 個数</t>
  </si>
  <si>
    <t>2026/7/25 個数</t>
  </si>
  <si>
    <t>2026/7/26 個数</t>
  </si>
  <si>
    <t>2026/7/28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</si>
</sst>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75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3" xfId="0" applyNumberFormat="1" applyFont="1" applyBorder="1">
      <alignment vertical="center"/>
    </xf>
    <xf numFmtId="49" fontId="7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13" xfId="0" applyBorder="1">
      <alignment vertical="center"/>
    </xf>
    <xf numFmtId="0" fontId="0" fillId="0" borderId="7" xfId="0" applyBorder="1">
      <alignment vertical="center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opLeftCell="E248" zoomScale="106" zoomScaleNormal="106" workbookViewId="0">
      <selection activeCell="T262" sqref="T262:U265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472</v>
      </c>
      <c r="B1" s="24">
        <v>46175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48</v>
      </c>
      <c r="L2" s="9" t="s">
        <v>49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7" t="s">
        <v>105</v>
      </c>
      <c r="Y2" s="15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4">
        <v>1</v>
      </c>
      <c r="B3" s="144">
        <v>21.6</v>
      </c>
      <c r="C3" s="85" t="s">
        <v>338</v>
      </c>
      <c r="D3" s="109" t="s">
        <v>339</v>
      </c>
      <c r="E3" s="15" t="s">
        <v>36</v>
      </c>
      <c r="F3" s="14"/>
      <c r="G3" s="12" t="s">
        <v>178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46206</v>
      </c>
      <c r="U3" s="13" t="s">
        <v>147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5"/>
      <c r="B4" s="145"/>
      <c r="C4" s="85" t="s">
        <v>340</v>
      </c>
      <c r="D4" s="109" t="s">
        <v>339</v>
      </c>
      <c r="E4" s="15" t="s">
        <v>40</v>
      </c>
      <c r="F4" s="16"/>
      <c r="G4" s="12" t="s">
        <v>178</v>
      </c>
      <c r="H4" s="15"/>
      <c r="I4" s="13"/>
      <c r="J4" s="13"/>
      <c r="K4" s="15"/>
      <c r="L4" s="17"/>
      <c r="M4" s="17"/>
      <c r="N4" s="13"/>
      <c r="O4" s="17"/>
      <c r="P4" s="17"/>
      <c r="Q4" s="17">
        <v>1</v>
      </c>
      <c r="R4" s="17"/>
      <c r="S4" s="15"/>
      <c r="T4" s="25">
        <v>46206</v>
      </c>
      <c r="U4" s="13" t="s">
        <v>148</v>
      </c>
      <c r="V4">
        <v>2</v>
      </c>
      <c r="X4" s="51" t="s">
        <v>107</v>
      </c>
      <c r="Y4" s="52">
        <f>COUNTIF(U3:U27,"R")</f>
        <v>5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5"/>
      <c r="B5" s="145"/>
      <c r="C5" s="85" t="s">
        <v>341</v>
      </c>
      <c r="D5" s="109" t="s">
        <v>339</v>
      </c>
      <c r="E5" s="15" t="s">
        <v>57</v>
      </c>
      <c r="F5" s="16"/>
      <c r="G5" s="12" t="s">
        <v>323</v>
      </c>
      <c r="H5" s="13"/>
      <c r="I5" s="13"/>
      <c r="J5" s="13"/>
      <c r="K5" s="15"/>
      <c r="L5" s="17"/>
      <c r="M5" s="17"/>
      <c r="N5" s="13"/>
      <c r="O5" s="17"/>
      <c r="P5" s="17"/>
      <c r="Q5" s="17"/>
      <c r="R5" s="17"/>
      <c r="S5" s="15"/>
      <c r="T5" s="25">
        <v>46206</v>
      </c>
      <c r="U5" s="13" t="s">
        <v>147</v>
      </c>
      <c r="V5">
        <v>3</v>
      </c>
      <c r="X5" s="53" t="s">
        <v>108</v>
      </c>
      <c r="Y5" s="54">
        <f>COUNTIF(U3:U27,"J")</f>
        <v>4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5"/>
      <c r="B6" s="145"/>
      <c r="C6" s="85" t="s">
        <v>342</v>
      </c>
      <c r="D6" s="109" t="s">
        <v>339</v>
      </c>
      <c r="E6" s="15" t="s">
        <v>36</v>
      </c>
      <c r="F6" s="16"/>
      <c r="G6" s="12" t="s">
        <v>178</v>
      </c>
      <c r="H6" s="15"/>
      <c r="I6" s="13"/>
      <c r="J6" s="13">
        <v>2</v>
      </c>
      <c r="K6" s="15"/>
      <c r="L6" s="17"/>
      <c r="M6" s="17"/>
      <c r="N6" s="13"/>
      <c r="O6" s="17"/>
      <c r="P6" s="17"/>
      <c r="Q6" s="17"/>
      <c r="R6" s="17"/>
      <c r="S6" s="15"/>
      <c r="T6" s="25">
        <v>46206</v>
      </c>
      <c r="U6" s="13" t="s">
        <v>142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5"/>
      <c r="B7" s="145"/>
      <c r="C7" s="85" t="s">
        <v>343</v>
      </c>
      <c r="D7" s="109" t="s">
        <v>184</v>
      </c>
      <c r="E7" s="15" t="s">
        <v>59</v>
      </c>
      <c r="F7" s="16"/>
      <c r="G7" s="12" t="s">
        <v>178</v>
      </c>
      <c r="H7" s="15"/>
      <c r="I7" s="13"/>
      <c r="J7" s="13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46204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5"/>
      <c r="B8" s="145"/>
      <c r="C8" s="85" t="s">
        <v>344</v>
      </c>
      <c r="D8" s="109" t="s">
        <v>182</v>
      </c>
      <c r="E8" s="15" t="s">
        <v>36</v>
      </c>
      <c r="F8" s="16"/>
      <c r="G8" s="12" t="s">
        <v>178</v>
      </c>
      <c r="H8" s="13"/>
      <c r="I8" s="13"/>
      <c r="J8" s="13"/>
      <c r="K8" s="15"/>
      <c r="L8" s="17"/>
      <c r="M8" s="17">
        <v>1</v>
      </c>
      <c r="N8" s="13"/>
      <c r="O8" s="17"/>
      <c r="P8" s="17"/>
      <c r="Q8" s="17">
        <v>1</v>
      </c>
      <c r="R8" s="17"/>
      <c r="S8" s="15"/>
      <c r="T8" s="25">
        <v>46201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5"/>
      <c r="B9" s="145"/>
      <c r="C9" s="85" t="s">
        <v>345</v>
      </c>
      <c r="D9" s="109" t="s">
        <v>182</v>
      </c>
      <c r="E9" s="15" t="s">
        <v>37</v>
      </c>
      <c r="F9" s="16"/>
      <c r="G9" s="12" t="s">
        <v>178</v>
      </c>
      <c r="H9" s="15"/>
      <c r="I9" s="13"/>
      <c r="J9" s="13"/>
      <c r="K9" s="15"/>
      <c r="L9" s="17"/>
      <c r="M9" s="17"/>
      <c r="N9" s="13"/>
      <c r="O9" s="17"/>
      <c r="P9" s="17"/>
      <c r="Q9" s="17"/>
      <c r="R9" s="17"/>
      <c r="S9" s="15"/>
      <c r="T9" s="25">
        <v>46201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5"/>
      <c r="B10" s="145"/>
      <c r="C10" s="85" t="s">
        <v>346</v>
      </c>
      <c r="D10" s="109" t="s">
        <v>182</v>
      </c>
      <c r="E10" s="15" t="s">
        <v>75</v>
      </c>
      <c r="F10" s="16"/>
      <c r="G10" s="12" t="s">
        <v>178</v>
      </c>
      <c r="H10" s="15"/>
      <c r="I10" s="13"/>
      <c r="J10" s="13"/>
      <c r="K10" s="15"/>
      <c r="L10" s="17"/>
      <c r="M10" s="17">
        <v>1</v>
      </c>
      <c r="N10" s="13">
        <v>1</v>
      </c>
      <c r="O10" s="17"/>
      <c r="P10" s="17"/>
      <c r="Q10" s="17">
        <v>1</v>
      </c>
      <c r="R10" s="17"/>
      <c r="S10" s="15"/>
      <c r="T10" s="25">
        <v>46201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5"/>
      <c r="B11" s="145"/>
      <c r="C11" s="85" t="s">
        <v>347</v>
      </c>
      <c r="D11" s="109" t="s">
        <v>187</v>
      </c>
      <c r="E11" s="15" t="s">
        <v>37</v>
      </c>
      <c r="F11" s="16"/>
      <c r="G11" s="12" t="s">
        <v>178</v>
      </c>
      <c r="H11" s="15"/>
      <c r="I11" s="13"/>
      <c r="J11" s="13"/>
      <c r="K11" s="15"/>
      <c r="L11" s="17"/>
      <c r="M11" s="17">
        <v>1</v>
      </c>
      <c r="N11" s="13">
        <v>1</v>
      </c>
      <c r="O11" s="17"/>
      <c r="P11" s="17"/>
      <c r="Q11" s="17">
        <v>1</v>
      </c>
      <c r="R11" s="17"/>
      <c r="S11" s="15"/>
      <c r="T11" s="25">
        <v>46201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5"/>
      <c r="B12" s="145"/>
      <c r="C12" s="85" t="s">
        <v>348</v>
      </c>
      <c r="D12" s="109" t="s">
        <v>349</v>
      </c>
      <c r="E12" s="15" t="s">
        <v>38</v>
      </c>
      <c r="F12" s="16"/>
      <c r="G12" s="12" t="s">
        <v>178</v>
      </c>
      <c r="H12" s="15"/>
      <c r="I12" s="15"/>
      <c r="J12" s="13"/>
      <c r="K12" s="15"/>
      <c r="L12" s="17"/>
      <c r="M12" s="17">
        <v>1</v>
      </c>
      <c r="N12" s="17">
        <v>1</v>
      </c>
      <c r="O12" s="17"/>
      <c r="P12" s="17"/>
      <c r="Q12" s="17">
        <v>1</v>
      </c>
      <c r="R12" s="17"/>
      <c r="S12" s="15"/>
      <c r="T12" s="25">
        <v>46210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5"/>
      <c r="B13" s="145"/>
      <c r="C13" s="85" t="s">
        <v>350</v>
      </c>
      <c r="D13" s="109" t="s">
        <v>188</v>
      </c>
      <c r="E13" s="15" t="s">
        <v>40</v>
      </c>
      <c r="F13" s="16"/>
      <c r="G13" s="12" t="s">
        <v>191</v>
      </c>
      <c r="H13" s="15"/>
      <c r="I13" s="15"/>
      <c r="J13" s="13"/>
      <c r="K13" s="15"/>
      <c r="L13" s="17"/>
      <c r="M13" s="17"/>
      <c r="N13" s="17"/>
      <c r="O13" s="17"/>
      <c r="P13" s="17"/>
      <c r="Q13" s="17"/>
      <c r="R13" s="17"/>
      <c r="S13" s="15"/>
      <c r="T13" s="25">
        <v>46218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5"/>
      <c r="B14" s="145"/>
      <c r="C14" s="85" t="s">
        <v>351</v>
      </c>
      <c r="D14" s="109" t="s">
        <v>339</v>
      </c>
      <c r="E14" s="15" t="s">
        <v>78</v>
      </c>
      <c r="F14" s="16"/>
      <c r="G14" s="12" t="s">
        <v>178</v>
      </c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>
        <v>46231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5"/>
      <c r="B15" s="145"/>
      <c r="C15" s="85" t="s">
        <v>352</v>
      </c>
      <c r="D15" s="109" t="s">
        <v>339</v>
      </c>
      <c r="E15" s="15" t="s">
        <v>79</v>
      </c>
      <c r="F15" s="16"/>
      <c r="G15" s="12" t="s">
        <v>178</v>
      </c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>
        <v>46231</v>
      </c>
      <c r="U15" s="13" t="s">
        <v>148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5"/>
      <c r="B16" s="145"/>
      <c r="C16" s="85"/>
      <c r="D16" s="109"/>
      <c r="E16" s="15"/>
      <c r="F16" s="16"/>
      <c r="G16" s="12"/>
      <c r="H16" s="15"/>
      <c r="I16" s="15"/>
      <c r="J16" s="13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5"/>
      <c r="B17" s="145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5"/>
      <c r="B18" s="145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5"/>
      <c r="B19" s="145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5"/>
      <c r="B20" s="145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5"/>
      <c r="B21" s="145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5"/>
      <c r="B22" s="145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5"/>
      <c r="B23" s="145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5"/>
      <c r="B24" s="145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5"/>
      <c r="B25" s="145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166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5"/>
      <c r="B26" s="145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6"/>
      <c r="B27" s="146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132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13</v>
      </c>
      <c r="D28" s="112"/>
      <c r="E28" s="29"/>
      <c r="F28" s="29" t="s">
        <v>34</v>
      </c>
      <c r="G28" s="29">
        <f>COUNTIF(G3:G27,"S")</f>
        <v>11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3</v>
      </c>
      <c r="K28" s="29"/>
      <c r="L28" s="29"/>
      <c r="M28" s="29">
        <f t="shared" si="0"/>
        <v>4</v>
      </c>
      <c r="N28" s="29">
        <f t="shared" si="0"/>
        <v>3</v>
      </c>
      <c r="O28" s="29">
        <f t="shared" si="0"/>
        <v>0</v>
      </c>
      <c r="P28" s="29">
        <f t="shared" si="0"/>
        <v>0</v>
      </c>
      <c r="Q28" s="29">
        <f t="shared" si="0"/>
        <v>5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49" t="s">
        <v>104</v>
      </c>
      <c r="AB28" s="150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15</v>
      </c>
      <c r="T29" s="29"/>
      <c r="U29" s="29"/>
      <c r="X29" t="s">
        <v>136</v>
      </c>
      <c r="AA29" s="151"/>
      <c r="AB29" s="152"/>
      <c r="AC29" s="165">
        <f>SUM(AC28:AE28)</f>
        <v>0</v>
      </c>
      <c r="AD29" s="166"/>
      <c r="AE29" s="167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AYG142</v>
      </c>
      <c r="B31" s="24">
        <f>B1</f>
        <v>46175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/>
      <c r="L31" s="2"/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48</v>
      </c>
      <c r="L32" s="9" t="s">
        <v>49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7" t="s">
        <v>119</v>
      </c>
      <c r="Y32" s="153"/>
      <c r="AA32" s="160" t="s">
        <v>47</v>
      </c>
      <c r="AB32" s="161"/>
    </row>
    <row r="33" spans="1:29" ht="19.5" thickTop="1" x14ac:dyDescent="0.4">
      <c r="A33" s="154">
        <v>2</v>
      </c>
      <c r="B33" s="144">
        <v>23.2</v>
      </c>
      <c r="C33" s="85" t="s">
        <v>353</v>
      </c>
      <c r="D33" s="109" t="s">
        <v>354</v>
      </c>
      <c r="E33" s="15" t="s">
        <v>44</v>
      </c>
      <c r="F33" s="14"/>
      <c r="G33" s="12" t="s">
        <v>178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46210</v>
      </c>
      <c r="U33" s="13" t="s">
        <v>142</v>
      </c>
      <c r="V33">
        <v>1</v>
      </c>
      <c r="X33" s="51" t="s">
        <v>106</v>
      </c>
      <c r="Y33" s="52">
        <f>COUNTIF(U33:U57,"K")</f>
        <v>10</v>
      </c>
      <c r="AA33" s="31" t="s">
        <v>46</v>
      </c>
      <c r="AB33" s="32">
        <f>J28+J178+J148+J118+J208+J238+J268+J298+J328+J358</f>
        <v>44</v>
      </c>
    </row>
    <row r="34" spans="1:29" x14ac:dyDescent="0.4">
      <c r="A34" s="155"/>
      <c r="B34" s="145"/>
      <c r="C34" s="85" t="s">
        <v>355</v>
      </c>
      <c r="D34" s="109" t="s">
        <v>354</v>
      </c>
      <c r="E34" s="15" t="s">
        <v>44</v>
      </c>
      <c r="F34" s="16"/>
      <c r="G34" s="12" t="s">
        <v>178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46210</v>
      </c>
      <c r="U34" s="13" t="s">
        <v>146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4</v>
      </c>
    </row>
    <row r="35" spans="1:29" ht="19.5" thickBot="1" x14ac:dyDescent="0.45">
      <c r="A35" s="155"/>
      <c r="B35" s="145"/>
      <c r="C35" s="85" t="s">
        <v>356</v>
      </c>
      <c r="D35" s="109" t="s">
        <v>354</v>
      </c>
      <c r="E35" s="15" t="s">
        <v>58</v>
      </c>
      <c r="F35" s="16"/>
      <c r="G35" s="12" t="s">
        <v>178</v>
      </c>
      <c r="H35" s="13"/>
      <c r="I35" s="13"/>
      <c r="J35" s="13"/>
      <c r="K35" s="15"/>
      <c r="L35" s="13"/>
      <c r="M35" s="17"/>
      <c r="N35" s="17"/>
      <c r="O35" s="17"/>
      <c r="P35" s="17"/>
      <c r="Q35" s="17"/>
      <c r="R35" s="17"/>
      <c r="S35" s="15">
        <v>1</v>
      </c>
      <c r="T35" s="25">
        <v>46210</v>
      </c>
      <c r="U35" s="13" t="s">
        <v>146</v>
      </c>
      <c r="X35" s="53" t="s">
        <v>108</v>
      </c>
      <c r="Y35" s="54">
        <f>COUNTIF(U33:U57,"J")</f>
        <v>4</v>
      </c>
      <c r="AA35" s="31" t="s">
        <v>49</v>
      </c>
      <c r="AB35" s="32">
        <f>L28+L178+L148+L118+L208+L238+L268+L298+L328+L358</f>
        <v>1</v>
      </c>
    </row>
    <row r="36" spans="1:29" x14ac:dyDescent="0.4">
      <c r="A36" s="155"/>
      <c r="B36" s="145"/>
      <c r="C36" s="85" t="s">
        <v>357</v>
      </c>
      <c r="D36" s="109" t="s">
        <v>354</v>
      </c>
      <c r="E36" s="15" t="s">
        <v>40</v>
      </c>
      <c r="F36" s="16"/>
      <c r="G36" s="12" t="s">
        <v>178</v>
      </c>
      <c r="H36" s="15"/>
      <c r="I36" s="13"/>
      <c r="J36" s="13"/>
      <c r="K36" s="15"/>
      <c r="L36" s="13"/>
      <c r="M36" s="17"/>
      <c r="N36" s="17"/>
      <c r="O36" s="17"/>
      <c r="P36" s="17"/>
      <c r="Q36" s="17"/>
      <c r="R36" s="17"/>
      <c r="S36" s="15"/>
      <c r="T36" s="25">
        <v>46210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22</v>
      </c>
    </row>
    <row r="37" spans="1:29" x14ac:dyDescent="0.4">
      <c r="A37" s="155"/>
      <c r="B37" s="145"/>
      <c r="C37" s="85" t="s">
        <v>358</v>
      </c>
      <c r="D37" s="109" t="s">
        <v>354</v>
      </c>
      <c r="E37" s="15" t="s">
        <v>58</v>
      </c>
      <c r="F37" s="16"/>
      <c r="G37" s="12" t="s">
        <v>178</v>
      </c>
      <c r="H37" s="15"/>
      <c r="I37" s="13"/>
      <c r="J37" s="13"/>
      <c r="K37" s="15"/>
      <c r="L37" s="13"/>
      <c r="M37" s="17"/>
      <c r="N37" s="17"/>
      <c r="O37" s="17"/>
      <c r="P37" s="17"/>
      <c r="Q37" s="17"/>
      <c r="R37" s="17"/>
      <c r="S37" s="15"/>
      <c r="T37" s="25">
        <v>46210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21</v>
      </c>
    </row>
    <row r="38" spans="1:29" x14ac:dyDescent="0.4">
      <c r="A38" s="155"/>
      <c r="B38" s="145"/>
      <c r="C38" s="85" t="s">
        <v>359</v>
      </c>
      <c r="D38" s="109" t="s">
        <v>354</v>
      </c>
      <c r="E38" s="15" t="s">
        <v>37</v>
      </c>
      <c r="F38" s="16"/>
      <c r="G38" s="12" t="s">
        <v>178</v>
      </c>
      <c r="H38" s="13"/>
      <c r="I38" s="13"/>
      <c r="J38" s="13">
        <v>1</v>
      </c>
      <c r="K38" s="15">
        <v>1</v>
      </c>
      <c r="L38" s="13"/>
      <c r="M38" s="17"/>
      <c r="N38" s="17"/>
      <c r="O38" s="17"/>
      <c r="P38" s="17"/>
      <c r="Q38" s="17"/>
      <c r="R38" s="17"/>
      <c r="S38" s="15"/>
      <c r="T38" s="25">
        <v>46210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11</v>
      </c>
    </row>
    <row r="39" spans="1:29" x14ac:dyDescent="0.4">
      <c r="A39" s="155"/>
      <c r="B39" s="145"/>
      <c r="C39" s="85" t="s">
        <v>360</v>
      </c>
      <c r="D39" s="109" t="s">
        <v>354</v>
      </c>
      <c r="E39" s="15" t="s">
        <v>37</v>
      </c>
      <c r="F39" s="16"/>
      <c r="G39" s="12" t="s">
        <v>178</v>
      </c>
      <c r="H39" s="15"/>
      <c r="I39" s="13"/>
      <c r="J39" s="15">
        <v>1</v>
      </c>
      <c r="K39" s="15">
        <v>1</v>
      </c>
      <c r="L39" s="17"/>
      <c r="M39" s="17"/>
      <c r="N39" s="17"/>
      <c r="O39" s="17"/>
      <c r="P39" s="17"/>
      <c r="Q39" s="17"/>
      <c r="R39" s="17"/>
      <c r="S39" s="15"/>
      <c r="T39" s="25">
        <v>46210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7</v>
      </c>
    </row>
    <row r="40" spans="1:29" x14ac:dyDescent="0.4">
      <c r="A40" s="155"/>
      <c r="B40" s="145"/>
      <c r="C40" s="85" t="s">
        <v>361</v>
      </c>
      <c r="D40" s="109" t="s">
        <v>354</v>
      </c>
      <c r="E40" s="15" t="s">
        <v>58</v>
      </c>
      <c r="F40" s="16"/>
      <c r="G40" s="12" t="s">
        <v>178</v>
      </c>
      <c r="H40" s="15"/>
      <c r="I40" s="13"/>
      <c r="J40" s="15"/>
      <c r="K40" s="15"/>
      <c r="L40" s="17"/>
      <c r="M40" s="17"/>
      <c r="N40" s="17"/>
      <c r="O40" s="17"/>
      <c r="P40" s="17"/>
      <c r="Q40" s="17"/>
      <c r="R40" s="17"/>
      <c r="S40" s="15">
        <v>1</v>
      </c>
      <c r="T40" s="25">
        <v>46210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22</v>
      </c>
    </row>
    <row r="41" spans="1:29" x14ac:dyDescent="0.4">
      <c r="A41" s="155"/>
      <c r="B41" s="145"/>
      <c r="C41" s="85" t="s">
        <v>362</v>
      </c>
      <c r="D41" s="109" t="s">
        <v>354</v>
      </c>
      <c r="E41" s="15" t="s">
        <v>36</v>
      </c>
      <c r="F41" s="16"/>
      <c r="G41" s="12" t="s">
        <v>178</v>
      </c>
      <c r="H41" s="15"/>
      <c r="I41" s="13"/>
      <c r="J41" s="15">
        <v>1</v>
      </c>
      <c r="K41" s="15">
        <v>1</v>
      </c>
      <c r="L41" s="17"/>
      <c r="M41" s="17"/>
      <c r="N41" s="17"/>
      <c r="O41" s="17"/>
      <c r="P41" s="17"/>
      <c r="Q41" s="17"/>
      <c r="R41" s="17"/>
      <c r="S41" s="15"/>
      <c r="T41" s="25">
        <v>46210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2</v>
      </c>
      <c r="AC41" t="s">
        <v>123</v>
      </c>
    </row>
    <row r="42" spans="1:29" ht="19.5" thickBot="1" x14ac:dyDescent="0.45">
      <c r="A42" s="155"/>
      <c r="B42" s="145"/>
      <c r="C42" s="85" t="s">
        <v>363</v>
      </c>
      <c r="D42" s="109" t="s">
        <v>349</v>
      </c>
      <c r="E42" s="15" t="s">
        <v>38</v>
      </c>
      <c r="F42" s="16"/>
      <c r="G42" s="12" t="s">
        <v>178</v>
      </c>
      <c r="H42" s="15"/>
      <c r="I42" s="15"/>
      <c r="J42" s="15">
        <v>1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46211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1</v>
      </c>
      <c r="AC42" s="73">
        <f>SUM(AB33:AB42)</f>
        <v>135</v>
      </c>
    </row>
    <row r="43" spans="1:29" ht="19.5" thickBot="1" x14ac:dyDescent="0.45">
      <c r="A43" s="155"/>
      <c r="B43" s="145"/>
      <c r="C43" s="85" t="s">
        <v>364</v>
      </c>
      <c r="D43" s="109" t="s">
        <v>349</v>
      </c>
      <c r="E43" s="15" t="s">
        <v>40</v>
      </c>
      <c r="F43" s="16"/>
      <c r="G43" s="12" t="s">
        <v>178</v>
      </c>
      <c r="H43" s="15"/>
      <c r="I43" s="15"/>
      <c r="J43" s="15"/>
      <c r="K43" s="15"/>
      <c r="L43" s="17"/>
      <c r="M43" s="17"/>
      <c r="N43" s="17"/>
      <c r="O43" s="17">
        <v>1</v>
      </c>
      <c r="P43" s="17">
        <v>1</v>
      </c>
      <c r="Q43" s="17">
        <v>1</v>
      </c>
      <c r="R43" s="17">
        <v>1</v>
      </c>
      <c r="S43" s="15"/>
      <c r="T43" s="25">
        <v>46211</v>
      </c>
      <c r="U43" s="13" t="s">
        <v>148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5"/>
      <c r="B44" s="145"/>
      <c r="C44" s="85" t="s">
        <v>365</v>
      </c>
      <c r="D44" s="109" t="s">
        <v>189</v>
      </c>
      <c r="E44" s="15" t="s">
        <v>44</v>
      </c>
      <c r="F44" s="16"/>
      <c r="G44" s="12" t="s">
        <v>178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46211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9</v>
      </c>
    </row>
    <row r="45" spans="1:29" x14ac:dyDescent="0.4">
      <c r="A45" s="155"/>
      <c r="B45" s="145"/>
      <c r="C45" s="85" t="s">
        <v>366</v>
      </c>
      <c r="D45" s="109" t="s">
        <v>189</v>
      </c>
      <c r="E45" s="15" t="s">
        <v>57</v>
      </c>
      <c r="F45" s="16"/>
      <c r="G45" s="12" t="s">
        <v>323</v>
      </c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>
        <v>46211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5"/>
      <c r="B46" s="145"/>
      <c r="C46" s="85" t="s">
        <v>367</v>
      </c>
      <c r="D46" s="109" t="s">
        <v>349</v>
      </c>
      <c r="E46" s="15" t="s">
        <v>38</v>
      </c>
      <c r="F46" s="16"/>
      <c r="G46" s="12" t="s">
        <v>178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46211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5"/>
      <c r="B47" s="145"/>
      <c r="C47" s="85" t="s">
        <v>368</v>
      </c>
      <c r="D47" s="109" t="s">
        <v>179</v>
      </c>
      <c r="E47" s="15" t="s">
        <v>36</v>
      </c>
      <c r="F47" s="16"/>
      <c r="G47" s="12" t="s">
        <v>178</v>
      </c>
      <c r="H47" s="15"/>
      <c r="I47" s="15"/>
      <c r="J47" s="15"/>
      <c r="K47" s="15"/>
      <c r="L47" s="17"/>
      <c r="M47" s="17">
        <v>1</v>
      </c>
      <c r="N47" s="17">
        <v>1</v>
      </c>
      <c r="O47" s="17"/>
      <c r="P47" s="17"/>
      <c r="Q47" s="17"/>
      <c r="R47" s="17"/>
      <c r="S47" s="15"/>
      <c r="T47" s="25">
        <v>46208</v>
      </c>
      <c r="U47" s="13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5"/>
      <c r="B48" s="145"/>
      <c r="C48" s="85" t="s">
        <v>369</v>
      </c>
      <c r="D48" s="110" t="s">
        <v>179</v>
      </c>
      <c r="E48" s="18" t="s">
        <v>40</v>
      </c>
      <c r="F48" s="16"/>
      <c r="G48" s="12" t="s">
        <v>323</v>
      </c>
      <c r="H48" s="15"/>
      <c r="I48" s="15"/>
      <c r="J48" s="18"/>
      <c r="K48" s="15"/>
      <c r="L48" s="19"/>
      <c r="M48" s="17"/>
      <c r="N48" s="17"/>
      <c r="O48" s="19">
        <v>1</v>
      </c>
      <c r="P48" s="19">
        <v>1</v>
      </c>
      <c r="Q48" s="17"/>
      <c r="R48" s="19"/>
      <c r="S48" s="15"/>
      <c r="T48" s="25">
        <v>46208</v>
      </c>
      <c r="U48" s="13" t="s">
        <v>148</v>
      </c>
      <c r="V48" s="73">
        <v>16</v>
      </c>
    </row>
    <row r="49" spans="1:28" x14ac:dyDescent="0.4">
      <c r="A49" s="155"/>
      <c r="B49" s="145"/>
      <c r="C49" s="85" t="s">
        <v>370</v>
      </c>
      <c r="D49" s="110" t="s">
        <v>179</v>
      </c>
      <c r="E49" s="18" t="s">
        <v>40</v>
      </c>
      <c r="F49" s="16"/>
      <c r="G49" s="12" t="s">
        <v>323</v>
      </c>
      <c r="H49" s="15"/>
      <c r="I49" s="15"/>
      <c r="J49" s="18"/>
      <c r="K49" s="15"/>
      <c r="L49" s="19"/>
      <c r="M49" s="17"/>
      <c r="N49" s="17"/>
      <c r="O49" s="19">
        <v>1</v>
      </c>
      <c r="P49" s="19">
        <v>1</v>
      </c>
      <c r="Q49" s="17"/>
      <c r="R49" s="19">
        <v>1</v>
      </c>
      <c r="S49" s="15"/>
      <c r="T49" s="30">
        <v>46207</v>
      </c>
      <c r="U49" s="13" t="s">
        <v>148</v>
      </c>
      <c r="V49">
        <v>17</v>
      </c>
      <c r="AA49" s="39" t="s">
        <v>70</v>
      </c>
      <c r="AB49" s="40">
        <f>G28+G58+G88+G118+G148+G178+G208+G238+G268+G298+G328+G358</f>
        <v>107</v>
      </c>
    </row>
    <row r="50" spans="1:28" ht="19.5" thickBot="1" x14ac:dyDescent="0.45">
      <c r="A50" s="155"/>
      <c r="B50" s="145"/>
      <c r="C50" s="85"/>
      <c r="D50" s="109"/>
      <c r="E50" s="18"/>
      <c r="F50" s="16"/>
      <c r="G50" s="12"/>
      <c r="H50" s="15"/>
      <c r="I50" s="15"/>
      <c r="J50" s="18"/>
      <c r="K50" s="15"/>
      <c r="L50" s="19"/>
      <c r="M50" s="17"/>
      <c r="N50" s="17"/>
      <c r="O50" s="19"/>
      <c r="P50" s="19"/>
      <c r="Q50" s="17"/>
      <c r="R50" s="19"/>
      <c r="S50" s="15"/>
      <c r="T50" s="25"/>
      <c r="U50" s="13"/>
      <c r="V50">
        <v>18</v>
      </c>
      <c r="AA50" s="41" t="s">
        <v>69</v>
      </c>
      <c r="AB50" s="42">
        <f>G29+G59+G89+G119+G149+G179+G209+G239+G269+G299+G329+G359</f>
        <v>8</v>
      </c>
    </row>
    <row r="51" spans="1:28" ht="19.5" thickBot="1" x14ac:dyDescent="0.45">
      <c r="A51" s="155"/>
      <c r="B51" s="145"/>
      <c r="C51" s="85"/>
      <c r="D51" s="109"/>
      <c r="E51" s="18"/>
      <c r="F51" s="16"/>
      <c r="G51" s="12"/>
      <c r="H51" s="15"/>
      <c r="I51" s="15"/>
      <c r="J51" s="18"/>
      <c r="K51" s="15"/>
      <c r="L51" s="19"/>
      <c r="M51" s="17"/>
      <c r="N51" s="17"/>
      <c r="O51" s="19"/>
      <c r="P51" s="19"/>
      <c r="Q51" s="17"/>
      <c r="R51" s="19"/>
      <c r="S51" s="15"/>
      <c r="T51" s="25"/>
      <c r="U51" s="13"/>
      <c r="V51">
        <v>19</v>
      </c>
    </row>
    <row r="52" spans="1:28" x14ac:dyDescent="0.4">
      <c r="A52" s="155"/>
      <c r="B52" s="145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2">
        <v>76</v>
      </c>
    </row>
    <row r="53" spans="1:28" ht="19.5" thickBot="1" x14ac:dyDescent="0.45">
      <c r="A53" s="155"/>
      <c r="B53" s="145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3"/>
    </row>
    <row r="54" spans="1:28" ht="19.5" thickBot="1" x14ac:dyDescent="0.45">
      <c r="A54" s="155"/>
      <c r="B54" s="145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5"/>
      <c r="B55" s="145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7" t="s">
        <v>73</v>
      </c>
      <c r="AB55" s="45"/>
    </row>
    <row r="56" spans="1:28" ht="19.5" thickBot="1" x14ac:dyDescent="0.45">
      <c r="A56" s="155"/>
      <c r="B56" s="145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8"/>
      <c r="AB56" s="46"/>
    </row>
    <row r="57" spans="1:28" ht="19.5" thickBot="1" x14ac:dyDescent="0.45">
      <c r="A57" s="156"/>
      <c r="B57" s="146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7"/>
      <c r="AB57" s="45">
        <v>7</v>
      </c>
    </row>
    <row r="58" spans="1:28" ht="19.5" thickBot="1" x14ac:dyDescent="0.45">
      <c r="A58" s="27"/>
      <c r="B58" s="28"/>
      <c r="C58" s="88">
        <f>COUNTA(C33:C57)</f>
        <v>17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8</v>
      </c>
      <c r="K58" s="29"/>
      <c r="L58" s="29"/>
      <c r="M58" s="29">
        <f t="shared" si="1"/>
        <v>1</v>
      </c>
      <c r="N58" s="29">
        <f t="shared" si="1"/>
        <v>1</v>
      </c>
      <c r="O58" s="29">
        <f t="shared" si="1"/>
        <v>3</v>
      </c>
      <c r="P58" s="29">
        <f t="shared" si="1"/>
        <v>3</v>
      </c>
      <c r="Q58" s="29">
        <f t="shared" si="1"/>
        <v>1</v>
      </c>
      <c r="R58" s="29">
        <f t="shared" si="1"/>
        <v>2</v>
      </c>
      <c r="S58" s="29">
        <f t="shared" si="1"/>
        <v>2</v>
      </c>
      <c r="T58" s="29" t="s">
        <v>64</v>
      </c>
      <c r="U58" s="29">
        <f>COUNTIF(H33:H57,"M")</f>
        <v>0</v>
      </c>
      <c r="AA58" s="148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21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AYG142</v>
      </c>
      <c r="B61" s="24">
        <f>B1</f>
        <v>46175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/>
      <c r="L61" s="2"/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48</v>
      </c>
      <c r="L62" s="9" t="s">
        <v>49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7" t="s">
        <v>118</v>
      </c>
      <c r="Y62" s="153"/>
    </row>
    <row r="63" spans="1:28" ht="20.25" thickTop="1" thickBot="1" x14ac:dyDescent="0.45">
      <c r="A63" s="154">
        <v>3</v>
      </c>
      <c r="B63" s="157">
        <v>26.4</v>
      </c>
      <c r="C63" s="85" t="s">
        <v>371</v>
      </c>
      <c r="D63" s="109" t="s">
        <v>179</v>
      </c>
      <c r="E63" s="15" t="s">
        <v>38</v>
      </c>
      <c r="F63" s="16"/>
      <c r="G63" s="12" t="s">
        <v>178</v>
      </c>
      <c r="H63" s="15"/>
      <c r="I63" s="13"/>
      <c r="J63" s="15">
        <v>1</v>
      </c>
      <c r="K63" s="15"/>
      <c r="L63" s="17"/>
      <c r="M63" s="17"/>
      <c r="N63" s="13"/>
      <c r="O63" s="17"/>
      <c r="P63" s="17"/>
      <c r="Q63" s="17"/>
      <c r="R63" s="17"/>
      <c r="S63" s="15"/>
      <c r="T63" s="25">
        <v>46188</v>
      </c>
      <c r="U63" s="13" t="s">
        <v>146</v>
      </c>
      <c r="V63">
        <v>1</v>
      </c>
      <c r="X63" s="51" t="s">
        <v>106</v>
      </c>
      <c r="Y63" s="52">
        <f>COUNTIF(U63:U87,"K")</f>
        <v>13</v>
      </c>
      <c r="AA63" s="59" t="s">
        <v>120</v>
      </c>
      <c r="AB63" s="60" t="s">
        <v>121</v>
      </c>
    </row>
    <row r="64" spans="1:28" x14ac:dyDescent="0.4">
      <c r="A64" s="155"/>
      <c r="B64" s="158"/>
      <c r="C64" s="85" t="s">
        <v>372</v>
      </c>
      <c r="D64" s="109" t="s">
        <v>188</v>
      </c>
      <c r="E64" s="15" t="s">
        <v>38</v>
      </c>
      <c r="F64" s="16"/>
      <c r="G64" s="12" t="s">
        <v>178</v>
      </c>
      <c r="H64" s="15"/>
      <c r="I64" s="13"/>
      <c r="J64" s="15">
        <v>1</v>
      </c>
      <c r="K64" s="15">
        <v>1</v>
      </c>
      <c r="L64" s="17"/>
      <c r="M64" s="17"/>
      <c r="N64" s="13"/>
      <c r="O64" s="17"/>
      <c r="P64" s="17"/>
      <c r="Q64" s="17"/>
      <c r="R64" s="17"/>
      <c r="S64" s="15"/>
      <c r="T64" s="25">
        <v>46199</v>
      </c>
      <c r="U64" s="13" t="s">
        <v>146</v>
      </c>
      <c r="V64">
        <v>2</v>
      </c>
      <c r="X64" s="51" t="s">
        <v>107</v>
      </c>
      <c r="Y64" s="52">
        <f>COUNTIF(U63:U87,"R")</f>
        <v>1</v>
      </c>
      <c r="AA64" s="47" t="s">
        <v>81</v>
      </c>
      <c r="AB64" s="48" t="s">
        <v>60</v>
      </c>
    </row>
    <row r="65" spans="1:28" ht="19.5" thickBot="1" x14ac:dyDescent="0.45">
      <c r="A65" s="155"/>
      <c r="B65" s="158"/>
      <c r="C65" s="85" t="s">
        <v>373</v>
      </c>
      <c r="D65" s="109" t="s">
        <v>183</v>
      </c>
      <c r="E65" s="15" t="s">
        <v>74</v>
      </c>
      <c r="F65" s="16"/>
      <c r="G65" s="12" t="s">
        <v>178</v>
      </c>
      <c r="H65" s="15"/>
      <c r="I65" s="13"/>
      <c r="J65" s="15">
        <v>1</v>
      </c>
      <c r="K65" s="15">
        <v>1</v>
      </c>
      <c r="L65" s="17"/>
      <c r="M65" s="17"/>
      <c r="N65" s="13"/>
      <c r="O65" s="17"/>
      <c r="P65" s="17"/>
      <c r="Q65" s="17"/>
      <c r="R65" s="17"/>
      <c r="S65" s="15"/>
      <c r="T65" s="25">
        <v>46203</v>
      </c>
      <c r="U65" s="13" t="s">
        <v>146</v>
      </c>
      <c r="V65">
        <v>3</v>
      </c>
      <c r="X65" s="53" t="s">
        <v>108</v>
      </c>
      <c r="Y65" s="54">
        <f>COUNTIF(U63:U87,"J")</f>
        <v>3</v>
      </c>
      <c r="AA65" s="49" t="s">
        <v>82</v>
      </c>
      <c r="AB65" s="50" t="s">
        <v>39</v>
      </c>
    </row>
    <row r="66" spans="1:28" x14ac:dyDescent="0.4">
      <c r="A66" s="155"/>
      <c r="B66" s="158"/>
      <c r="C66" s="85" t="s">
        <v>374</v>
      </c>
      <c r="D66" s="109" t="s">
        <v>183</v>
      </c>
      <c r="E66" s="15" t="s">
        <v>40</v>
      </c>
      <c r="F66" s="16"/>
      <c r="G66" s="12" t="s">
        <v>178</v>
      </c>
      <c r="H66" s="15"/>
      <c r="I66" s="15"/>
      <c r="J66" s="15"/>
      <c r="K66" s="15"/>
      <c r="L66" s="17"/>
      <c r="M66" s="17"/>
      <c r="N66" s="17"/>
      <c r="O66" s="17">
        <v>1</v>
      </c>
      <c r="P66" s="17">
        <v>1</v>
      </c>
      <c r="Q66" s="17"/>
      <c r="R66" s="17">
        <v>1</v>
      </c>
      <c r="S66" s="15"/>
      <c r="T66" s="25">
        <v>46203</v>
      </c>
      <c r="U66" s="133" t="s">
        <v>148</v>
      </c>
      <c r="V66">
        <v>4</v>
      </c>
      <c r="AA66" s="49" t="s">
        <v>83</v>
      </c>
      <c r="AB66" s="50" t="s">
        <v>38</v>
      </c>
    </row>
    <row r="67" spans="1:28" x14ac:dyDescent="0.4">
      <c r="A67" s="155"/>
      <c r="B67" s="158"/>
      <c r="C67" s="85" t="s">
        <v>375</v>
      </c>
      <c r="D67" s="109" t="s">
        <v>183</v>
      </c>
      <c r="E67" s="15" t="s">
        <v>38</v>
      </c>
      <c r="F67" s="16"/>
      <c r="G67" s="12" t="s">
        <v>178</v>
      </c>
      <c r="H67" s="15"/>
      <c r="I67" s="15"/>
      <c r="J67" s="15">
        <v>1</v>
      </c>
      <c r="K67" s="15">
        <v>1</v>
      </c>
      <c r="L67" s="17"/>
      <c r="M67" s="17"/>
      <c r="N67" s="17"/>
      <c r="O67" s="17"/>
      <c r="P67" s="17"/>
      <c r="Q67" s="17"/>
      <c r="R67" s="17"/>
      <c r="S67" s="15"/>
      <c r="T67" s="25">
        <v>46229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55"/>
      <c r="B68" s="158"/>
      <c r="C68" s="85" t="s">
        <v>376</v>
      </c>
      <c r="D68" s="109" t="s">
        <v>183</v>
      </c>
      <c r="E68" s="15" t="s">
        <v>38</v>
      </c>
      <c r="F68" s="16"/>
      <c r="G68" s="12" t="s">
        <v>178</v>
      </c>
      <c r="H68" s="15"/>
      <c r="I68" s="15"/>
      <c r="J68" s="15">
        <v>1</v>
      </c>
      <c r="K68" s="15">
        <v>1</v>
      </c>
      <c r="L68" s="17"/>
      <c r="M68" s="17"/>
      <c r="N68" s="17"/>
      <c r="O68" s="17"/>
      <c r="P68" s="17"/>
      <c r="Q68" s="17"/>
      <c r="R68" s="17"/>
      <c r="S68" s="15"/>
      <c r="T68" s="25">
        <v>46210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55"/>
      <c r="B69" s="158"/>
      <c r="C69" s="85" t="s">
        <v>377</v>
      </c>
      <c r="D69" s="109" t="s">
        <v>222</v>
      </c>
      <c r="E69" s="15" t="s">
        <v>78</v>
      </c>
      <c r="F69" s="16"/>
      <c r="G69" s="12" t="s">
        <v>178</v>
      </c>
      <c r="H69" s="15"/>
      <c r="I69" s="15"/>
      <c r="J69" s="15"/>
      <c r="K69" s="15">
        <v>1</v>
      </c>
      <c r="L69" s="17"/>
      <c r="M69" s="17"/>
      <c r="N69" s="17"/>
      <c r="O69" s="17"/>
      <c r="P69" s="17"/>
      <c r="Q69" s="17"/>
      <c r="R69" s="17"/>
      <c r="S69" s="15"/>
      <c r="T69" s="25">
        <v>46199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55"/>
      <c r="B70" s="158"/>
      <c r="C70" s="85" t="s">
        <v>378</v>
      </c>
      <c r="D70" s="109" t="s">
        <v>379</v>
      </c>
      <c r="E70" s="15" t="s">
        <v>39</v>
      </c>
      <c r="F70" s="16"/>
      <c r="G70" s="12" t="s">
        <v>178</v>
      </c>
      <c r="H70" s="15"/>
      <c r="I70" s="15"/>
      <c r="J70" s="15">
        <v>1</v>
      </c>
      <c r="K70" s="15">
        <v>1</v>
      </c>
      <c r="L70" s="17"/>
      <c r="M70" s="17"/>
      <c r="N70" s="17"/>
      <c r="O70" s="17"/>
      <c r="P70" s="17"/>
      <c r="Q70" s="17"/>
      <c r="R70" s="17"/>
      <c r="S70" s="15"/>
      <c r="T70" s="25">
        <v>46206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55"/>
      <c r="B71" s="158"/>
      <c r="C71" s="85" t="s">
        <v>380</v>
      </c>
      <c r="D71" s="109" t="s">
        <v>379</v>
      </c>
      <c r="E71" s="15" t="s">
        <v>39</v>
      </c>
      <c r="F71" s="16"/>
      <c r="G71" s="12" t="s">
        <v>178</v>
      </c>
      <c r="H71" s="15"/>
      <c r="I71" s="15"/>
      <c r="J71" s="15">
        <v>1</v>
      </c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46206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5"/>
      <c r="B72" s="158"/>
      <c r="C72" s="85" t="s">
        <v>381</v>
      </c>
      <c r="D72" s="109" t="s">
        <v>379</v>
      </c>
      <c r="E72" s="18" t="s">
        <v>39</v>
      </c>
      <c r="F72" s="16"/>
      <c r="G72" s="12" t="s">
        <v>178</v>
      </c>
      <c r="H72" s="15"/>
      <c r="I72" s="15"/>
      <c r="J72" s="18">
        <v>1</v>
      </c>
      <c r="K72" s="15">
        <v>1</v>
      </c>
      <c r="L72" s="19"/>
      <c r="M72" s="19"/>
      <c r="N72" s="19"/>
      <c r="O72" s="19"/>
      <c r="P72" s="19"/>
      <c r="Q72" s="19"/>
      <c r="R72" s="19"/>
      <c r="S72" s="15"/>
      <c r="T72" s="25">
        <v>46206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55"/>
      <c r="B73" s="158"/>
      <c r="C73" s="85" t="s">
        <v>382</v>
      </c>
      <c r="D73" s="109" t="s">
        <v>379</v>
      </c>
      <c r="E73" s="18" t="s">
        <v>39</v>
      </c>
      <c r="F73" s="16"/>
      <c r="G73" s="12" t="s">
        <v>178</v>
      </c>
      <c r="H73" s="15"/>
      <c r="I73" s="15"/>
      <c r="J73" s="18">
        <v>1</v>
      </c>
      <c r="K73" s="15">
        <v>1</v>
      </c>
      <c r="L73" s="19"/>
      <c r="M73" s="19"/>
      <c r="N73" s="19"/>
      <c r="O73" s="19"/>
      <c r="P73" s="19"/>
      <c r="Q73" s="19"/>
      <c r="R73" s="19"/>
      <c r="S73" s="15"/>
      <c r="T73" s="25">
        <v>46206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55"/>
      <c r="B74" s="158"/>
      <c r="C74" s="85" t="s">
        <v>383</v>
      </c>
      <c r="D74" s="109" t="s">
        <v>181</v>
      </c>
      <c r="E74" s="18" t="s">
        <v>58</v>
      </c>
      <c r="F74" s="16"/>
      <c r="G74" s="12" t="s">
        <v>178</v>
      </c>
      <c r="H74" s="15"/>
      <c r="I74" s="15"/>
      <c r="J74" s="18"/>
      <c r="K74" s="15"/>
      <c r="L74" s="19"/>
      <c r="M74" s="19"/>
      <c r="N74" s="19"/>
      <c r="O74" s="19"/>
      <c r="P74" s="19"/>
      <c r="Q74" s="19"/>
      <c r="R74" s="19"/>
      <c r="S74" s="15"/>
      <c r="T74" s="25">
        <v>46201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55"/>
      <c r="B75" s="158"/>
      <c r="C75" s="85" t="s">
        <v>384</v>
      </c>
      <c r="D75" s="109" t="s">
        <v>181</v>
      </c>
      <c r="E75" s="18" t="s">
        <v>75</v>
      </c>
      <c r="F75" s="16"/>
      <c r="G75" s="12" t="s">
        <v>178</v>
      </c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>
        <v>1</v>
      </c>
      <c r="T75" s="25">
        <v>46201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55"/>
      <c r="B76" s="158"/>
      <c r="C76" s="85" t="s">
        <v>385</v>
      </c>
      <c r="D76" s="109" t="s">
        <v>181</v>
      </c>
      <c r="E76" s="18" t="s">
        <v>39</v>
      </c>
      <c r="F76" s="16"/>
      <c r="G76" s="12" t="s">
        <v>178</v>
      </c>
      <c r="H76" s="15"/>
      <c r="I76" s="15"/>
      <c r="J76" s="18">
        <v>1</v>
      </c>
      <c r="K76" s="15"/>
      <c r="L76" s="19"/>
      <c r="M76" s="19"/>
      <c r="N76" s="19"/>
      <c r="O76" s="19"/>
      <c r="P76" s="19"/>
      <c r="Q76" s="19"/>
      <c r="R76" s="19"/>
      <c r="S76" s="15"/>
      <c r="T76" s="25">
        <v>46208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55"/>
      <c r="B77" s="158"/>
      <c r="C77" s="85" t="s">
        <v>386</v>
      </c>
      <c r="D77" s="109" t="s">
        <v>181</v>
      </c>
      <c r="E77" s="18" t="s">
        <v>133</v>
      </c>
      <c r="F77" s="16"/>
      <c r="G77" s="12" t="s">
        <v>178</v>
      </c>
      <c r="H77" s="15"/>
      <c r="I77" s="15"/>
      <c r="J77" s="18"/>
      <c r="K77" s="15"/>
      <c r="L77" s="19"/>
      <c r="M77" s="19"/>
      <c r="N77" s="19"/>
      <c r="O77" s="19">
        <v>1</v>
      </c>
      <c r="P77" s="19">
        <v>1</v>
      </c>
      <c r="Q77" s="19">
        <v>1</v>
      </c>
      <c r="R77" s="19"/>
      <c r="S77" s="15"/>
      <c r="T77" s="25">
        <v>46208</v>
      </c>
      <c r="U77" s="15" t="s">
        <v>148</v>
      </c>
      <c r="V77">
        <v>15</v>
      </c>
      <c r="AA77" s="49" t="s">
        <v>94</v>
      </c>
      <c r="AB77" s="50" t="s">
        <v>41</v>
      </c>
    </row>
    <row r="78" spans="1:28" x14ac:dyDescent="0.4">
      <c r="A78" s="155"/>
      <c r="B78" s="158"/>
      <c r="C78" s="85" t="s">
        <v>387</v>
      </c>
      <c r="D78" s="110" t="s">
        <v>181</v>
      </c>
      <c r="E78" s="15" t="s">
        <v>39</v>
      </c>
      <c r="F78" s="16"/>
      <c r="G78" s="15" t="s">
        <v>178</v>
      </c>
      <c r="H78" s="15"/>
      <c r="I78" s="15"/>
      <c r="J78" s="15">
        <v>1</v>
      </c>
      <c r="K78" s="15"/>
      <c r="L78" s="17"/>
      <c r="M78" s="17"/>
      <c r="N78" s="17"/>
      <c r="O78" s="17"/>
      <c r="P78" s="17"/>
      <c r="Q78" s="17"/>
      <c r="R78" s="17"/>
      <c r="S78" s="15"/>
      <c r="T78" s="25">
        <v>46208</v>
      </c>
      <c r="U78" s="15" t="s">
        <v>146</v>
      </c>
      <c r="V78">
        <v>16</v>
      </c>
      <c r="AA78" s="49" t="s">
        <v>95</v>
      </c>
      <c r="AB78" s="50" t="s">
        <v>42</v>
      </c>
    </row>
    <row r="79" spans="1:28" x14ac:dyDescent="0.4">
      <c r="A79" s="155"/>
      <c r="B79" s="158"/>
      <c r="C79" s="85" t="s">
        <v>388</v>
      </c>
      <c r="D79" s="110" t="s">
        <v>181</v>
      </c>
      <c r="E79" s="18" t="s">
        <v>133</v>
      </c>
      <c r="F79" s="16"/>
      <c r="G79" s="18" t="s">
        <v>178</v>
      </c>
      <c r="H79" s="15"/>
      <c r="I79" s="15"/>
      <c r="J79" s="18"/>
      <c r="K79" s="15"/>
      <c r="L79" s="19"/>
      <c r="M79" s="19"/>
      <c r="N79" s="19"/>
      <c r="O79" s="19">
        <v>1</v>
      </c>
      <c r="P79" s="19">
        <v>1</v>
      </c>
      <c r="Q79" s="19">
        <v>1</v>
      </c>
      <c r="R79" s="19"/>
      <c r="S79" s="15"/>
      <c r="T79" s="30">
        <v>46208</v>
      </c>
      <c r="U79" s="15" t="s">
        <v>148</v>
      </c>
      <c r="V79">
        <v>17</v>
      </c>
      <c r="AA79" s="49" t="s">
        <v>96</v>
      </c>
      <c r="AB79" s="50" t="s">
        <v>61</v>
      </c>
    </row>
    <row r="80" spans="1:28" x14ac:dyDescent="0.4">
      <c r="A80" s="155"/>
      <c r="B80" s="158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30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5"/>
      <c r="B81" s="158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5"/>
      <c r="B82" s="158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5"/>
      <c r="B83" s="158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5"/>
      <c r="B84" s="158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5"/>
      <c r="B85" s="158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5"/>
      <c r="B86" s="158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6"/>
      <c r="B87" s="159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17</v>
      </c>
      <c r="D88" s="112"/>
      <c r="E88" s="29"/>
      <c r="F88" s="29" t="s">
        <v>34</v>
      </c>
      <c r="G88" s="29">
        <f>COUNTIF(G63:G87,"S")</f>
        <v>17</v>
      </c>
      <c r="H88" s="29">
        <f>COUNTIF(H63:H87,"E")</f>
        <v>0</v>
      </c>
      <c r="I88" s="29">
        <f>SUM(I63:I87)</f>
        <v>0</v>
      </c>
      <c r="J88" s="29"/>
      <c r="K88" s="29"/>
      <c r="L88" s="29"/>
      <c r="M88" s="29">
        <f t="shared" ref="M88:S88" si="2">SUM(M63:M87)</f>
        <v>0</v>
      </c>
      <c r="N88" s="29">
        <f t="shared" si="2"/>
        <v>0</v>
      </c>
      <c r="O88" s="29">
        <f t="shared" si="2"/>
        <v>3</v>
      </c>
      <c r="P88" s="29">
        <f t="shared" si="2"/>
        <v>3</v>
      </c>
      <c r="Q88" s="29">
        <f t="shared" si="2"/>
        <v>2</v>
      </c>
      <c r="R88" s="29">
        <f t="shared" si="2"/>
        <v>1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AYG142</v>
      </c>
      <c r="B91" s="24">
        <f>B1</f>
        <v>46175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/>
      <c r="L91" s="2"/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48</v>
      </c>
      <c r="L92" s="9" t="s">
        <v>49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7" t="s">
        <v>117</v>
      </c>
      <c r="Y92" s="153"/>
    </row>
    <row r="93" spans="1:28" ht="20.25" thickTop="1" thickBot="1" x14ac:dyDescent="0.45">
      <c r="A93" s="154">
        <v>4</v>
      </c>
      <c r="B93" s="144">
        <v>22.8</v>
      </c>
      <c r="C93" s="85" t="s">
        <v>389</v>
      </c>
      <c r="D93" s="109" t="s">
        <v>179</v>
      </c>
      <c r="E93" s="15" t="s">
        <v>75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25">
        <v>46193</v>
      </c>
      <c r="U93" s="13" t="s">
        <v>147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55"/>
      <c r="B94" s="145"/>
      <c r="C94" s="85" t="s">
        <v>390</v>
      </c>
      <c r="D94" s="109" t="s">
        <v>183</v>
      </c>
      <c r="E94" s="15" t="s">
        <v>37</v>
      </c>
      <c r="F94" s="16"/>
      <c r="G94" s="12" t="s">
        <v>178</v>
      </c>
      <c r="H94" s="15"/>
      <c r="I94" s="15"/>
      <c r="J94" s="13"/>
      <c r="K94" s="15"/>
      <c r="L94" s="13"/>
      <c r="M94" s="17">
        <v>1</v>
      </c>
      <c r="N94" s="17">
        <v>1</v>
      </c>
      <c r="O94" s="17"/>
      <c r="P94" s="17"/>
      <c r="Q94" s="17">
        <v>1</v>
      </c>
      <c r="R94" s="17"/>
      <c r="S94" s="15"/>
      <c r="T94" s="25">
        <v>46200</v>
      </c>
      <c r="U94" s="13" t="s">
        <v>147</v>
      </c>
      <c r="V94">
        <v>2</v>
      </c>
      <c r="X94" s="51" t="s">
        <v>107</v>
      </c>
      <c r="Y94" s="52">
        <f>COUNTIF(U93:U117,"R")</f>
        <v>9</v>
      </c>
      <c r="AA94" s="47" t="s">
        <v>81</v>
      </c>
      <c r="AB94" s="48" t="s">
        <v>60</v>
      </c>
    </row>
    <row r="95" spans="1:28" ht="19.5" thickBot="1" x14ac:dyDescent="0.45">
      <c r="A95" s="155"/>
      <c r="B95" s="145"/>
      <c r="C95" s="85" t="s">
        <v>391</v>
      </c>
      <c r="D95" s="109" t="s">
        <v>192</v>
      </c>
      <c r="E95" s="15" t="s">
        <v>38</v>
      </c>
      <c r="F95" s="16"/>
      <c r="G95" s="12" t="s">
        <v>178</v>
      </c>
      <c r="H95" s="15"/>
      <c r="I95" s="15"/>
      <c r="J95" s="13"/>
      <c r="K95" s="15">
        <v>1</v>
      </c>
      <c r="L95" s="13"/>
      <c r="M95" s="17">
        <v>1</v>
      </c>
      <c r="N95" s="17">
        <v>1</v>
      </c>
      <c r="O95" s="17"/>
      <c r="P95" s="17"/>
      <c r="Q95" s="17"/>
      <c r="R95" s="17"/>
      <c r="S95" s="15"/>
      <c r="T95" s="25">
        <v>46224</v>
      </c>
      <c r="U95" s="13" t="s">
        <v>147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55"/>
      <c r="B96" s="145"/>
      <c r="C96" s="85" t="s">
        <v>392</v>
      </c>
      <c r="D96" s="109" t="s">
        <v>192</v>
      </c>
      <c r="E96" s="15" t="s">
        <v>36</v>
      </c>
      <c r="F96" s="16"/>
      <c r="G96" s="12" t="s">
        <v>178</v>
      </c>
      <c r="H96" s="15"/>
      <c r="I96" s="15"/>
      <c r="J96" s="13"/>
      <c r="K96" s="15"/>
      <c r="L96" s="13"/>
      <c r="M96" s="17">
        <v>1</v>
      </c>
      <c r="N96" s="17">
        <v>1</v>
      </c>
      <c r="O96" s="17"/>
      <c r="P96" s="17"/>
      <c r="Q96" s="17"/>
      <c r="R96" s="17"/>
      <c r="S96" s="15"/>
      <c r="T96" s="25">
        <v>46219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55"/>
      <c r="B97" s="145"/>
      <c r="C97" s="85" t="s">
        <v>393</v>
      </c>
      <c r="D97" s="109" t="s">
        <v>180</v>
      </c>
      <c r="E97" s="15" t="s">
        <v>74</v>
      </c>
      <c r="F97" s="16"/>
      <c r="G97" s="12" t="s">
        <v>178</v>
      </c>
      <c r="H97" s="15"/>
      <c r="I97" s="15"/>
      <c r="J97" s="13">
        <v>1</v>
      </c>
      <c r="K97" s="15"/>
      <c r="L97" s="13"/>
      <c r="M97" s="17"/>
      <c r="N97" s="17"/>
      <c r="O97" s="17"/>
      <c r="P97" s="17"/>
      <c r="Q97" s="17"/>
      <c r="R97" s="17"/>
      <c r="S97" s="15"/>
      <c r="T97" s="25">
        <v>46205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5"/>
      <c r="B98" s="145"/>
      <c r="C98" s="85" t="s">
        <v>394</v>
      </c>
      <c r="D98" s="109" t="s">
        <v>179</v>
      </c>
      <c r="E98" s="15" t="s">
        <v>58</v>
      </c>
      <c r="F98" s="16"/>
      <c r="G98" s="12" t="s">
        <v>178</v>
      </c>
      <c r="H98" s="13"/>
      <c r="I98" s="15"/>
      <c r="J98" s="13"/>
      <c r="K98" s="15"/>
      <c r="L98" s="13"/>
      <c r="M98" s="17"/>
      <c r="N98" s="17"/>
      <c r="O98" s="17"/>
      <c r="P98" s="17"/>
      <c r="Q98" s="17"/>
      <c r="R98" s="17"/>
      <c r="S98" s="15">
        <v>1</v>
      </c>
      <c r="T98" s="25">
        <v>46200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55"/>
      <c r="B99" s="145"/>
      <c r="C99" s="85" t="s">
        <v>395</v>
      </c>
      <c r="D99" s="109" t="s">
        <v>273</v>
      </c>
      <c r="E99" s="15" t="s">
        <v>43</v>
      </c>
      <c r="F99" s="16"/>
      <c r="G99" s="12" t="s">
        <v>178</v>
      </c>
      <c r="H99" s="15"/>
      <c r="I99" s="15"/>
      <c r="J99" s="13">
        <v>1</v>
      </c>
      <c r="K99" s="15"/>
      <c r="L99" s="13"/>
      <c r="M99" s="17"/>
      <c r="N99" s="17"/>
      <c r="O99" s="17"/>
      <c r="P99" s="17"/>
      <c r="Q99" s="17"/>
      <c r="R99" s="17"/>
      <c r="S99" s="15"/>
      <c r="T99" s="25">
        <v>46205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5"/>
      <c r="B100" s="145"/>
      <c r="C100" s="85" t="s">
        <v>396</v>
      </c>
      <c r="D100" s="109" t="s">
        <v>273</v>
      </c>
      <c r="E100" s="15" t="s">
        <v>40</v>
      </c>
      <c r="F100" s="16"/>
      <c r="G100" s="12" t="s">
        <v>178</v>
      </c>
      <c r="H100" s="15"/>
      <c r="I100" s="15"/>
      <c r="J100" s="13"/>
      <c r="K100" s="15"/>
      <c r="L100" s="13"/>
      <c r="M100" s="17"/>
      <c r="N100" s="17"/>
      <c r="O100" s="17">
        <v>1</v>
      </c>
      <c r="P100" s="17">
        <v>1</v>
      </c>
      <c r="Q100" s="17"/>
      <c r="R100" s="17"/>
      <c r="S100" s="15"/>
      <c r="T100" s="25">
        <v>46205</v>
      </c>
      <c r="U100" s="13" t="s">
        <v>148</v>
      </c>
      <c r="V100">
        <v>8</v>
      </c>
      <c r="AA100" s="49" t="s">
        <v>87</v>
      </c>
      <c r="AB100" s="50" t="s">
        <v>37</v>
      </c>
    </row>
    <row r="101" spans="1:28" x14ac:dyDescent="0.4">
      <c r="A101" s="155"/>
      <c r="B101" s="145"/>
      <c r="C101" s="85" t="s">
        <v>397</v>
      </c>
      <c r="D101" s="109" t="s">
        <v>193</v>
      </c>
      <c r="E101" s="15" t="s">
        <v>36</v>
      </c>
      <c r="F101" s="16"/>
      <c r="G101" s="12" t="s">
        <v>178</v>
      </c>
      <c r="H101" s="15"/>
      <c r="I101" s="15"/>
      <c r="J101" s="13"/>
      <c r="K101" s="15"/>
      <c r="L101" s="13"/>
      <c r="M101" s="17"/>
      <c r="N101" s="17">
        <v>1</v>
      </c>
      <c r="O101" s="17"/>
      <c r="P101" s="17"/>
      <c r="Q101" s="17"/>
      <c r="R101" s="17"/>
      <c r="S101" s="15"/>
      <c r="T101" s="25">
        <v>46190</v>
      </c>
      <c r="U101" s="13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55"/>
      <c r="B102" s="145"/>
      <c r="C102" s="85" t="s">
        <v>398</v>
      </c>
      <c r="D102" s="109" t="s">
        <v>193</v>
      </c>
      <c r="E102" s="15" t="s">
        <v>36</v>
      </c>
      <c r="F102" s="16"/>
      <c r="G102" s="12" t="s">
        <v>178</v>
      </c>
      <c r="H102" s="15"/>
      <c r="I102" s="15"/>
      <c r="J102" s="13"/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46190</v>
      </c>
      <c r="U102" s="13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55"/>
      <c r="B103" s="145"/>
      <c r="C103" s="85" t="s">
        <v>399</v>
      </c>
      <c r="D103" s="109" t="s">
        <v>180</v>
      </c>
      <c r="E103" s="15" t="s">
        <v>37</v>
      </c>
      <c r="F103" s="16"/>
      <c r="G103" s="12" t="s">
        <v>178</v>
      </c>
      <c r="H103" s="15"/>
      <c r="I103" s="15"/>
      <c r="J103" s="13">
        <v>1</v>
      </c>
      <c r="K103" s="15">
        <v>1</v>
      </c>
      <c r="L103" s="13"/>
      <c r="M103" s="17"/>
      <c r="N103" s="17"/>
      <c r="O103" s="17"/>
      <c r="P103" s="17"/>
      <c r="Q103" s="17"/>
      <c r="R103" s="17"/>
      <c r="S103" s="15"/>
      <c r="T103" s="25">
        <v>46201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55"/>
      <c r="B104" s="145"/>
      <c r="C104" s="85" t="s">
        <v>400</v>
      </c>
      <c r="D104" s="109" t="s">
        <v>183</v>
      </c>
      <c r="E104" s="15" t="s">
        <v>58</v>
      </c>
      <c r="F104" s="16"/>
      <c r="G104" s="12" t="s">
        <v>178</v>
      </c>
      <c r="H104" s="15"/>
      <c r="I104" s="15"/>
      <c r="J104" s="13"/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46189</v>
      </c>
      <c r="U104" s="13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55"/>
      <c r="B105" s="145"/>
      <c r="C105" s="85" t="s">
        <v>401</v>
      </c>
      <c r="D105" s="109" t="s">
        <v>183</v>
      </c>
      <c r="E105" s="15" t="s">
        <v>58</v>
      </c>
      <c r="F105" s="16"/>
      <c r="G105" s="12" t="s">
        <v>178</v>
      </c>
      <c r="H105" s="15"/>
      <c r="I105" s="15"/>
      <c r="J105" s="13"/>
      <c r="K105" s="15"/>
      <c r="L105" s="13"/>
      <c r="M105" s="17"/>
      <c r="N105" s="17"/>
      <c r="O105" s="17"/>
      <c r="P105" s="17"/>
      <c r="Q105" s="17"/>
      <c r="R105" s="17"/>
      <c r="S105" s="15"/>
      <c r="T105" s="25">
        <v>46199</v>
      </c>
      <c r="U105" s="13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55"/>
      <c r="B106" s="145"/>
      <c r="C106" s="85" t="s">
        <v>402</v>
      </c>
      <c r="D106" s="109" t="s">
        <v>179</v>
      </c>
      <c r="E106" s="15" t="s">
        <v>74</v>
      </c>
      <c r="F106" s="16"/>
      <c r="G106" s="12" t="s">
        <v>178</v>
      </c>
      <c r="H106" s="15"/>
      <c r="I106" s="15"/>
      <c r="J106" s="13"/>
      <c r="K106" s="15"/>
      <c r="L106" s="13"/>
      <c r="M106" s="17">
        <v>1</v>
      </c>
      <c r="N106" s="17">
        <v>1</v>
      </c>
      <c r="O106" s="17"/>
      <c r="P106" s="17"/>
      <c r="Q106" s="17"/>
      <c r="R106" s="17"/>
      <c r="S106" s="15"/>
      <c r="T106" s="25">
        <v>46204</v>
      </c>
      <c r="U106" s="13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55"/>
      <c r="B107" s="145"/>
      <c r="C107" s="85" t="s">
        <v>403</v>
      </c>
      <c r="D107" s="109" t="s">
        <v>193</v>
      </c>
      <c r="E107" s="15" t="s">
        <v>36</v>
      </c>
      <c r="F107" s="16"/>
      <c r="G107" s="12" t="s">
        <v>178</v>
      </c>
      <c r="H107" s="15"/>
      <c r="I107" s="15"/>
      <c r="J107" s="13">
        <v>1</v>
      </c>
      <c r="K107" s="15">
        <v>1</v>
      </c>
      <c r="L107" s="13"/>
      <c r="M107" s="17"/>
      <c r="N107" s="17"/>
      <c r="O107" s="17"/>
      <c r="P107" s="17"/>
      <c r="Q107" s="17"/>
      <c r="R107" s="17"/>
      <c r="S107" s="15"/>
      <c r="T107" s="25">
        <v>46201</v>
      </c>
      <c r="U107" s="13" t="s">
        <v>146</v>
      </c>
      <c r="V107">
        <v>15</v>
      </c>
      <c r="AA107" s="49" t="s">
        <v>94</v>
      </c>
      <c r="AB107" s="50" t="s">
        <v>41</v>
      </c>
    </row>
    <row r="108" spans="1:28" x14ac:dyDescent="0.4">
      <c r="A108" s="155"/>
      <c r="B108" s="145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55"/>
      <c r="B109" s="145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5"/>
      <c r="B110" s="145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5"/>
      <c r="B111" s="145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5"/>
      <c r="B112" s="145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5"/>
      <c r="B113" s="145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5"/>
      <c r="B114" s="145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5"/>
      <c r="B115" s="145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5"/>
      <c r="B116" s="145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6"/>
      <c r="B117" s="146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4</v>
      </c>
      <c r="K118" s="29"/>
      <c r="L118" s="29"/>
      <c r="M118" s="29">
        <f t="shared" ref="M118" si="4">SUM(M93:M117)</f>
        <v>4</v>
      </c>
      <c r="N118" s="29">
        <f t="shared" ref="N118" si="5">SUM(N93:N117)</f>
        <v>5</v>
      </c>
      <c r="O118" s="29">
        <f t="shared" ref="O118" si="6">SUM(O93:O117)</f>
        <v>1</v>
      </c>
      <c r="P118" s="29">
        <f t="shared" ref="P118" si="7">SUM(P93:P117)</f>
        <v>1</v>
      </c>
      <c r="Q118" s="29">
        <f t="shared" ref="Q118" si="8">SUM(Q93:Q117)</f>
        <v>1</v>
      </c>
      <c r="R118" s="29">
        <f t="shared" ref="R118" si="9">SUM(R93:R117)</f>
        <v>0</v>
      </c>
      <c r="S118" s="29">
        <f t="shared" ref="S118" si="10">SUM(S93:S117)</f>
        <v>1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17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AYG142</v>
      </c>
      <c r="B121" s="24">
        <f>B1</f>
        <v>46175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/>
      <c r="L121" s="2"/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7" t="s">
        <v>116</v>
      </c>
      <c r="Y122" s="153"/>
    </row>
    <row r="123" spans="1:28" ht="20.25" thickTop="1" thickBot="1" x14ac:dyDescent="0.45">
      <c r="A123" s="154">
        <v>5</v>
      </c>
      <c r="B123" s="144">
        <v>21.4</v>
      </c>
      <c r="C123" s="85" t="s">
        <v>404</v>
      </c>
      <c r="D123" s="109" t="s">
        <v>222</v>
      </c>
      <c r="E123" s="15" t="s">
        <v>41</v>
      </c>
      <c r="F123" s="14"/>
      <c r="G123" s="12" t="s">
        <v>178</v>
      </c>
      <c r="H123" s="13"/>
      <c r="I123" s="13"/>
      <c r="J123" s="13">
        <v>1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25">
        <v>46208</v>
      </c>
      <c r="U123" s="13" t="s">
        <v>146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55"/>
      <c r="B124" s="145"/>
      <c r="C124" s="85" t="s">
        <v>405</v>
      </c>
      <c r="D124" s="109" t="s">
        <v>222</v>
      </c>
      <c r="E124" s="15" t="s">
        <v>40</v>
      </c>
      <c r="F124" s="16"/>
      <c r="G124" s="12" t="s">
        <v>178</v>
      </c>
      <c r="H124" s="15"/>
      <c r="I124" s="15"/>
      <c r="J124" s="15"/>
      <c r="K124" s="15"/>
      <c r="L124" s="17"/>
      <c r="M124" s="17"/>
      <c r="N124" s="17"/>
      <c r="O124" s="17">
        <v>1</v>
      </c>
      <c r="P124" s="17">
        <v>1</v>
      </c>
      <c r="Q124" s="17"/>
      <c r="R124" s="17"/>
      <c r="S124" s="15"/>
      <c r="T124" s="25">
        <v>46208</v>
      </c>
      <c r="U124" s="13" t="s">
        <v>148</v>
      </c>
      <c r="V124">
        <v>2</v>
      </c>
      <c r="X124" s="51" t="s">
        <v>107</v>
      </c>
      <c r="Y124" s="52">
        <f>COUNTIF(U123:U147,"R")</f>
        <v>9</v>
      </c>
      <c r="AA124" s="47" t="s">
        <v>81</v>
      </c>
      <c r="AB124" s="48" t="s">
        <v>60</v>
      </c>
    </row>
    <row r="125" spans="1:28" ht="19.5" thickBot="1" x14ac:dyDescent="0.45">
      <c r="A125" s="155"/>
      <c r="B125" s="145"/>
      <c r="C125" s="85" t="s">
        <v>406</v>
      </c>
      <c r="D125" s="109" t="s">
        <v>349</v>
      </c>
      <c r="E125" s="15" t="s">
        <v>36</v>
      </c>
      <c r="F125" s="16"/>
      <c r="G125" s="12" t="s">
        <v>178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46216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55"/>
      <c r="B126" s="145"/>
      <c r="C126" s="85" t="s">
        <v>407</v>
      </c>
      <c r="D126" s="109" t="s">
        <v>349</v>
      </c>
      <c r="E126" s="15" t="s">
        <v>37</v>
      </c>
      <c r="F126" s="16"/>
      <c r="G126" s="12" t="s">
        <v>178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>
        <v>1</v>
      </c>
      <c r="R126" s="17"/>
      <c r="S126" s="15"/>
      <c r="T126" s="25">
        <v>46216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55"/>
      <c r="B127" s="145"/>
      <c r="C127" s="85" t="s">
        <v>408</v>
      </c>
      <c r="D127" s="109" t="s">
        <v>349</v>
      </c>
      <c r="E127" s="15" t="s">
        <v>37</v>
      </c>
      <c r="F127" s="16"/>
      <c r="G127" s="12" t="s">
        <v>178</v>
      </c>
      <c r="H127" s="15"/>
      <c r="I127" s="15"/>
      <c r="J127" s="13"/>
      <c r="K127" s="13"/>
      <c r="L127" s="13"/>
      <c r="M127" s="17">
        <v>1</v>
      </c>
      <c r="N127" s="17">
        <v>1</v>
      </c>
      <c r="O127" s="17"/>
      <c r="P127" s="17"/>
      <c r="Q127" s="17">
        <v>1</v>
      </c>
      <c r="R127" s="17"/>
      <c r="S127" s="15"/>
      <c r="T127" s="25">
        <v>46216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55"/>
      <c r="B128" s="145"/>
      <c r="C128" s="85" t="s">
        <v>409</v>
      </c>
      <c r="D128" s="109" t="s">
        <v>349</v>
      </c>
      <c r="E128" s="15" t="s">
        <v>37</v>
      </c>
      <c r="F128" s="16"/>
      <c r="G128" s="12" t="s">
        <v>178</v>
      </c>
      <c r="H128" s="13"/>
      <c r="I128" s="15"/>
      <c r="J128" s="15"/>
      <c r="K128" s="15"/>
      <c r="L128" s="17"/>
      <c r="M128" s="17">
        <v>1</v>
      </c>
      <c r="N128" s="17">
        <v>1</v>
      </c>
      <c r="O128" s="17"/>
      <c r="P128" s="17"/>
      <c r="Q128" s="17">
        <v>1</v>
      </c>
      <c r="R128" s="17"/>
      <c r="S128" s="15"/>
      <c r="T128" s="25">
        <v>46216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55"/>
      <c r="B129" s="145"/>
      <c r="C129" s="85" t="s">
        <v>410</v>
      </c>
      <c r="D129" s="109" t="s">
        <v>349</v>
      </c>
      <c r="E129" s="15" t="s">
        <v>37</v>
      </c>
      <c r="F129" s="16"/>
      <c r="G129" s="12" t="s">
        <v>178</v>
      </c>
      <c r="H129" s="15"/>
      <c r="I129" s="15"/>
      <c r="J129" s="13"/>
      <c r="K129" s="13"/>
      <c r="L129" s="13"/>
      <c r="M129" s="17">
        <v>1</v>
      </c>
      <c r="N129" s="17">
        <v>1</v>
      </c>
      <c r="O129" s="17"/>
      <c r="P129" s="17"/>
      <c r="Q129" s="17">
        <v>1</v>
      </c>
      <c r="R129" s="17"/>
      <c r="S129" s="15"/>
      <c r="T129" s="25">
        <v>46216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5"/>
      <c r="B130" s="145"/>
      <c r="C130" s="85" t="s">
        <v>411</v>
      </c>
      <c r="D130" s="109" t="s">
        <v>190</v>
      </c>
      <c r="E130" s="15" t="s">
        <v>37</v>
      </c>
      <c r="F130" s="16"/>
      <c r="G130" s="12" t="s">
        <v>191</v>
      </c>
      <c r="H130" s="15"/>
      <c r="I130" s="15"/>
      <c r="J130" s="15"/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46208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55"/>
      <c r="B131" s="145"/>
      <c r="C131" s="85" t="s">
        <v>412</v>
      </c>
      <c r="D131" s="109" t="s">
        <v>190</v>
      </c>
      <c r="E131" s="15" t="s">
        <v>74</v>
      </c>
      <c r="F131" s="16"/>
      <c r="G131" s="12" t="s">
        <v>178</v>
      </c>
      <c r="H131" s="15"/>
      <c r="I131" s="15"/>
      <c r="J131" s="13">
        <v>1</v>
      </c>
      <c r="K131" s="13">
        <v>1</v>
      </c>
      <c r="L131" s="13"/>
      <c r="M131" s="17"/>
      <c r="N131" s="17"/>
      <c r="O131" s="17"/>
      <c r="P131" s="17"/>
      <c r="Q131" s="17"/>
      <c r="R131" s="17"/>
      <c r="S131" s="15"/>
      <c r="T131" s="25">
        <v>46208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55"/>
      <c r="B132" s="145"/>
      <c r="C132" s="85" t="s">
        <v>413</v>
      </c>
      <c r="D132" s="109" t="s">
        <v>187</v>
      </c>
      <c r="E132" s="15" t="s">
        <v>37</v>
      </c>
      <c r="F132" s="16"/>
      <c r="G132" s="12" t="s">
        <v>178</v>
      </c>
      <c r="H132" s="15"/>
      <c r="I132" s="15"/>
      <c r="J132" s="15"/>
      <c r="K132" s="15"/>
      <c r="L132" s="17"/>
      <c r="M132" s="17">
        <v>1</v>
      </c>
      <c r="N132" s="17">
        <v>1</v>
      </c>
      <c r="O132" s="17"/>
      <c r="P132" s="17"/>
      <c r="Q132" s="17">
        <v>1</v>
      </c>
      <c r="R132" s="17"/>
      <c r="S132" s="15"/>
      <c r="T132" s="25">
        <v>46209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55"/>
      <c r="B133" s="145"/>
      <c r="C133" s="85" t="s">
        <v>414</v>
      </c>
      <c r="D133" s="109" t="s">
        <v>187</v>
      </c>
      <c r="E133" s="15" t="s">
        <v>38</v>
      </c>
      <c r="F133" s="16"/>
      <c r="G133" s="12" t="s">
        <v>178</v>
      </c>
      <c r="H133" s="15"/>
      <c r="I133" s="15"/>
      <c r="J133" s="13"/>
      <c r="K133" s="13"/>
      <c r="L133" s="13"/>
      <c r="M133" s="17">
        <v>1</v>
      </c>
      <c r="N133" s="17">
        <v>1</v>
      </c>
      <c r="O133" s="17"/>
      <c r="P133" s="17"/>
      <c r="Q133" s="17">
        <v>1</v>
      </c>
      <c r="R133" s="17"/>
      <c r="S133" s="15"/>
      <c r="T133" s="25">
        <v>46209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55"/>
      <c r="B134" s="145"/>
      <c r="C134" s="85" t="s">
        <v>415</v>
      </c>
      <c r="D134" s="109" t="s">
        <v>187</v>
      </c>
      <c r="E134" s="15" t="s">
        <v>37</v>
      </c>
      <c r="F134" s="16"/>
      <c r="G134" s="12" t="s">
        <v>178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46209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55"/>
      <c r="B135" s="145"/>
      <c r="C135" s="85" t="s">
        <v>416</v>
      </c>
      <c r="D135" s="109" t="s">
        <v>184</v>
      </c>
      <c r="E135" s="15" t="s">
        <v>39</v>
      </c>
      <c r="F135" s="16"/>
      <c r="G135" s="12" t="s">
        <v>178</v>
      </c>
      <c r="H135" s="15"/>
      <c r="I135" s="15"/>
      <c r="J135" s="15">
        <v>1</v>
      </c>
      <c r="K135" s="15"/>
      <c r="L135" s="17">
        <v>1</v>
      </c>
      <c r="M135" s="17"/>
      <c r="N135" s="17"/>
      <c r="O135" s="17"/>
      <c r="P135" s="17"/>
      <c r="Q135" s="17"/>
      <c r="R135" s="17"/>
      <c r="S135" s="15"/>
      <c r="T135" s="25">
        <v>46209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55"/>
      <c r="B136" s="145"/>
      <c r="C136" s="85" t="s">
        <v>417</v>
      </c>
      <c r="D136" s="109" t="s">
        <v>187</v>
      </c>
      <c r="E136" s="15" t="s">
        <v>36</v>
      </c>
      <c r="F136" s="16"/>
      <c r="G136" s="12" t="s">
        <v>178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46209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55"/>
      <c r="B137" s="145"/>
      <c r="C137" s="85"/>
      <c r="D137" s="109"/>
      <c r="E137" s="15"/>
      <c r="F137" s="16"/>
      <c r="G137" s="12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3"/>
      <c r="V137">
        <v>15</v>
      </c>
      <c r="AA137" s="49" t="s">
        <v>94</v>
      </c>
      <c r="AB137" s="50" t="s">
        <v>41</v>
      </c>
    </row>
    <row r="138" spans="1:28" x14ac:dyDescent="0.4">
      <c r="A138" s="155"/>
      <c r="B138" s="145"/>
      <c r="C138" s="85"/>
      <c r="D138" s="110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5"/>
      <c r="B139" s="145"/>
      <c r="C139" s="85"/>
      <c r="D139" s="110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30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5"/>
      <c r="B140" s="145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5"/>
      <c r="B141" s="145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5"/>
      <c r="B142" s="145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5"/>
      <c r="B143" s="145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5"/>
      <c r="B144" s="145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5"/>
      <c r="B145" s="145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5"/>
      <c r="B146" s="145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6"/>
      <c r="B147" s="146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14</v>
      </c>
      <c r="D148" s="112"/>
      <c r="E148" s="29"/>
      <c r="F148" s="29" t="s">
        <v>34</v>
      </c>
      <c r="G148" s="29">
        <f>COUNTIF(G123:G147,"S")</f>
        <v>13</v>
      </c>
      <c r="H148" s="29">
        <f>COUNTIF(H123:H147,"E")</f>
        <v>0</v>
      </c>
      <c r="I148" s="29">
        <f>SUM(I123:I147)</f>
        <v>0</v>
      </c>
      <c r="J148" s="29">
        <f t="shared" ref="J148" si="11">SUM(J123:J147)</f>
        <v>3</v>
      </c>
      <c r="K148" s="29">
        <f t="shared" ref="K148" si="12">SUM(K123:K147)</f>
        <v>1</v>
      </c>
      <c r="L148" s="29">
        <f t="shared" ref="L148" si="13">SUM(L123:L147)</f>
        <v>1</v>
      </c>
      <c r="M148" s="29">
        <f t="shared" ref="M148" si="14">SUM(M123:M147)</f>
        <v>9</v>
      </c>
      <c r="N148" s="29">
        <f t="shared" ref="N148" si="15">SUM(N123:N147)</f>
        <v>9</v>
      </c>
      <c r="O148" s="29">
        <f t="shared" ref="O148" si="16">SUM(O123:O147)</f>
        <v>1</v>
      </c>
      <c r="P148" s="29">
        <f t="shared" ref="P148" si="17">SUM(P123:P147)</f>
        <v>1</v>
      </c>
      <c r="Q148" s="29">
        <f t="shared" ref="Q148" si="18">SUM(Q123:Q147)</f>
        <v>9</v>
      </c>
      <c r="R148" s="29">
        <f t="shared" ref="R148" si="19">SUM(R123:R147)</f>
        <v>0</v>
      </c>
      <c r="S148" s="29">
        <f t="shared" ref="S148" si="20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34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AYG142</v>
      </c>
      <c r="B151" s="24">
        <f>B1</f>
        <v>46175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7" t="s">
        <v>115</v>
      </c>
      <c r="Y152" s="153"/>
    </row>
    <row r="153" spans="1:28" ht="20.25" thickTop="1" thickBot="1" x14ac:dyDescent="0.45">
      <c r="A153" s="154">
        <v>6</v>
      </c>
      <c r="B153" s="157">
        <v>22.6</v>
      </c>
      <c r="C153" s="85" t="s">
        <v>418</v>
      </c>
      <c r="D153" s="109" t="s">
        <v>273</v>
      </c>
      <c r="E153" s="13" t="s">
        <v>39</v>
      </c>
      <c r="F153" s="14"/>
      <c r="G153" s="12" t="s">
        <v>178</v>
      </c>
      <c r="H153" s="13"/>
      <c r="I153" s="13"/>
      <c r="J153" s="13">
        <v>1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46195</v>
      </c>
      <c r="U153" s="13" t="s">
        <v>146</v>
      </c>
      <c r="V153">
        <v>1</v>
      </c>
      <c r="X153" s="51" t="s">
        <v>106</v>
      </c>
      <c r="Y153" s="52">
        <f>COUNTIF(U153:U177,"K")</f>
        <v>5</v>
      </c>
      <c r="AA153" s="59" t="s">
        <v>120</v>
      </c>
      <c r="AB153" s="60" t="s">
        <v>121</v>
      </c>
    </row>
    <row r="154" spans="1:28" x14ac:dyDescent="0.4">
      <c r="A154" s="155"/>
      <c r="B154" s="158"/>
      <c r="C154" s="85" t="s">
        <v>419</v>
      </c>
      <c r="D154" s="109" t="s">
        <v>273</v>
      </c>
      <c r="E154" s="13" t="s">
        <v>133</v>
      </c>
      <c r="F154" s="16"/>
      <c r="G154" s="12" t="s">
        <v>178</v>
      </c>
      <c r="H154" s="15"/>
      <c r="I154" s="15"/>
      <c r="J154" s="15"/>
      <c r="K154" s="15"/>
      <c r="L154" s="17"/>
      <c r="M154" s="17"/>
      <c r="N154" s="17">
        <v>1</v>
      </c>
      <c r="O154" s="17">
        <v>1</v>
      </c>
      <c r="P154" s="17">
        <v>1</v>
      </c>
      <c r="Q154" s="17">
        <v>1</v>
      </c>
      <c r="R154" s="17">
        <v>1</v>
      </c>
      <c r="S154" s="15"/>
      <c r="T154" s="25">
        <v>46195</v>
      </c>
      <c r="U154" s="13" t="s">
        <v>148</v>
      </c>
      <c r="V154">
        <v>2</v>
      </c>
      <c r="X154" s="51" t="s">
        <v>107</v>
      </c>
      <c r="Y154" s="52">
        <f>COUNTIF(U153:U177,"R")</f>
        <v>1</v>
      </c>
      <c r="AA154" s="47" t="s">
        <v>81</v>
      </c>
      <c r="AB154" s="48" t="s">
        <v>60</v>
      </c>
    </row>
    <row r="155" spans="1:28" ht="19.5" thickBot="1" x14ac:dyDescent="0.45">
      <c r="A155" s="155"/>
      <c r="B155" s="158"/>
      <c r="C155" s="85" t="s">
        <v>473</v>
      </c>
      <c r="D155" s="109" t="s">
        <v>184</v>
      </c>
      <c r="E155" s="13" t="s">
        <v>59</v>
      </c>
      <c r="F155" s="16"/>
      <c r="G155" s="12" t="s">
        <v>178</v>
      </c>
      <c r="H155" s="13" t="s">
        <v>471</v>
      </c>
      <c r="I155" s="15"/>
      <c r="J155" s="13">
        <v>2</v>
      </c>
      <c r="K155" s="13"/>
      <c r="L155" s="13"/>
      <c r="M155" s="17"/>
      <c r="N155" s="17"/>
      <c r="O155" s="17"/>
      <c r="P155" s="17"/>
      <c r="Q155" s="17"/>
      <c r="R155" s="17"/>
      <c r="S155" s="15"/>
      <c r="T155" s="25">
        <v>46208</v>
      </c>
      <c r="U155" s="13" t="s">
        <v>146</v>
      </c>
      <c r="V155">
        <v>3</v>
      </c>
      <c r="X155" s="53" t="s">
        <v>108</v>
      </c>
      <c r="Y155" s="54">
        <f>COUNTIF(U153:U177,"J")</f>
        <v>2</v>
      </c>
      <c r="AA155" s="49" t="s">
        <v>82</v>
      </c>
      <c r="AB155" s="50" t="s">
        <v>39</v>
      </c>
    </row>
    <row r="156" spans="1:28" x14ac:dyDescent="0.4">
      <c r="A156" s="155"/>
      <c r="B156" s="158"/>
      <c r="C156" s="85" t="s">
        <v>474</v>
      </c>
      <c r="D156" s="109" t="s">
        <v>184</v>
      </c>
      <c r="E156" s="13" t="s">
        <v>59</v>
      </c>
      <c r="F156" s="16"/>
      <c r="G156" s="12" t="s">
        <v>178</v>
      </c>
      <c r="H156" s="15" t="s">
        <v>471</v>
      </c>
      <c r="I156" s="15"/>
      <c r="J156" s="15">
        <v>2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46208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55"/>
      <c r="B157" s="158"/>
      <c r="C157" s="85" t="s">
        <v>475</v>
      </c>
      <c r="D157" s="109" t="s">
        <v>185</v>
      </c>
      <c r="E157" s="13" t="s">
        <v>40</v>
      </c>
      <c r="F157" s="16"/>
      <c r="G157" s="12" t="s">
        <v>191</v>
      </c>
      <c r="H157" s="15"/>
      <c r="I157" s="15"/>
      <c r="J157" s="13"/>
      <c r="K157" s="15"/>
      <c r="L157" s="13"/>
      <c r="M157" s="17"/>
      <c r="N157" s="17"/>
      <c r="O157" s="17"/>
      <c r="P157" s="17"/>
      <c r="Q157" s="17"/>
      <c r="R157" s="17"/>
      <c r="S157" s="15"/>
      <c r="T157" s="25">
        <v>46207</v>
      </c>
      <c r="U157" s="13" t="s">
        <v>148</v>
      </c>
      <c r="V157">
        <v>5</v>
      </c>
      <c r="AA157" s="49" t="s">
        <v>84</v>
      </c>
      <c r="AB157" s="50" t="s">
        <v>44</v>
      </c>
    </row>
    <row r="158" spans="1:28" x14ac:dyDescent="0.4">
      <c r="A158" s="155"/>
      <c r="B158" s="158"/>
      <c r="C158" s="85" t="s">
        <v>476</v>
      </c>
      <c r="D158" s="109" t="s">
        <v>185</v>
      </c>
      <c r="E158" s="13" t="s">
        <v>36</v>
      </c>
      <c r="F158" s="16"/>
      <c r="G158" s="12" t="s">
        <v>178</v>
      </c>
      <c r="H158" s="13"/>
      <c r="I158" s="15"/>
      <c r="J158" s="13">
        <v>1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5">
        <v>46207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55"/>
      <c r="B159" s="158"/>
      <c r="C159" s="85" t="s">
        <v>420</v>
      </c>
      <c r="D159" s="109" t="s">
        <v>184</v>
      </c>
      <c r="E159" s="13" t="s">
        <v>59</v>
      </c>
      <c r="F159" s="16"/>
      <c r="G159" s="12" t="s">
        <v>178</v>
      </c>
      <c r="H159" s="15" t="s">
        <v>471</v>
      </c>
      <c r="I159" s="15"/>
      <c r="J159" s="13">
        <v>2</v>
      </c>
      <c r="K159" s="15"/>
      <c r="L159" s="13"/>
      <c r="M159" s="17"/>
      <c r="N159" s="17"/>
      <c r="O159" s="17"/>
      <c r="P159" s="17"/>
      <c r="Q159" s="17"/>
      <c r="R159" s="17"/>
      <c r="S159" s="15"/>
      <c r="T159" s="25">
        <v>46211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55"/>
      <c r="B160" s="158"/>
      <c r="C160" s="85" t="s">
        <v>421</v>
      </c>
      <c r="D160" s="109" t="s">
        <v>184</v>
      </c>
      <c r="E160" s="13" t="s">
        <v>59</v>
      </c>
      <c r="F160" s="16"/>
      <c r="G160" s="12" t="s">
        <v>178</v>
      </c>
      <c r="H160" s="15" t="s">
        <v>471</v>
      </c>
      <c r="I160" s="15"/>
      <c r="J160" s="13">
        <v>2</v>
      </c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46211</v>
      </c>
      <c r="U160" s="13" t="s">
        <v>146</v>
      </c>
      <c r="V160">
        <v>8</v>
      </c>
      <c r="AA160" s="49" t="s">
        <v>87</v>
      </c>
      <c r="AB160" s="50" t="s">
        <v>37</v>
      </c>
    </row>
    <row r="161" spans="1:28" x14ac:dyDescent="0.4">
      <c r="A161" s="155"/>
      <c r="B161" s="158"/>
      <c r="C161" s="85"/>
      <c r="D161" s="109"/>
      <c r="E161" s="13"/>
      <c r="F161" s="16"/>
      <c r="G161" s="12"/>
      <c r="H161" s="15"/>
      <c r="I161" s="15"/>
      <c r="J161" s="13"/>
      <c r="K161" s="15"/>
      <c r="L161" s="13"/>
      <c r="M161" s="17"/>
      <c r="N161" s="17"/>
      <c r="O161" s="17"/>
      <c r="P161" s="17"/>
      <c r="Q161" s="17"/>
      <c r="R161" s="17"/>
      <c r="S161" s="15"/>
      <c r="T161" s="25"/>
      <c r="U161" s="13"/>
      <c r="V161">
        <v>9</v>
      </c>
      <c r="AA161" s="49" t="s">
        <v>88</v>
      </c>
      <c r="AB161" s="50" t="s">
        <v>74</v>
      </c>
    </row>
    <row r="162" spans="1:28" x14ac:dyDescent="0.4">
      <c r="A162" s="155"/>
      <c r="B162" s="158"/>
      <c r="C162" s="85"/>
      <c r="D162" s="109"/>
      <c r="E162" s="13"/>
      <c r="F162" s="137"/>
      <c r="G162" s="12"/>
      <c r="H162" s="15"/>
      <c r="I162" s="15"/>
      <c r="J162" s="13"/>
      <c r="K162" s="15"/>
      <c r="L162" s="13"/>
      <c r="M162" s="17"/>
      <c r="N162" s="17"/>
      <c r="O162" s="17"/>
      <c r="P162" s="17"/>
      <c r="Q162" s="17"/>
      <c r="R162" s="17"/>
      <c r="S162" s="15"/>
      <c r="T162" s="26"/>
      <c r="U162" s="13"/>
      <c r="V162">
        <v>10</v>
      </c>
      <c r="AA162" s="49" t="s">
        <v>89</v>
      </c>
      <c r="AB162" s="50" t="s">
        <v>36</v>
      </c>
    </row>
    <row r="163" spans="1:28" x14ac:dyDescent="0.4">
      <c r="A163" s="155"/>
      <c r="B163" s="158"/>
      <c r="C163" s="85"/>
      <c r="D163" s="109"/>
      <c r="E163" s="13"/>
      <c r="F163" s="16"/>
      <c r="G163" s="12"/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6"/>
      <c r="U163" s="13"/>
      <c r="V163">
        <v>11</v>
      </c>
      <c r="AA163" s="49" t="s">
        <v>90</v>
      </c>
      <c r="AB163" s="50" t="s">
        <v>58</v>
      </c>
    </row>
    <row r="164" spans="1:28" x14ac:dyDescent="0.4">
      <c r="A164" s="155"/>
      <c r="B164" s="158"/>
      <c r="C164" s="85"/>
      <c r="D164" s="109"/>
      <c r="E164" s="13"/>
      <c r="F164" s="16"/>
      <c r="G164" s="12"/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6"/>
      <c r="U164" s="13"/>
      <c r="V164">
        <v>12</v>
      </c>
      <c r="AA164" s="49" t="s">
        <v>91</v>
      </c>
      <c r="AB164" s="50" t="s">
        <v>75</v>
      </c>
    </row>
    <row r="165" spans="1:28" x14ac:dyDescent="0.4">
      <c r="A165" s="155"/>
      <c r="B165" s="158"/>
      <c r="C165" s="85"/>
      <c r="D165" s="109"/>
      <c r="E165" s="13"/>
      <c r="F165" s="16"/>
      <c r="G165" s="12"/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6"/>
      <c r="U165" s="13"/>
      <c r="V165">
        <v>13</v>
      </c>
      <c r="AA165" s="49" t="s">
        <v>92</v>
      </c>
      <c r="AB165" s="50" t="s">
        <v>40</v>
      </c>
    </row>
    <row r="166" spans="1:28" x14ac:dyDescent="0.4">
      <c r="A166" s="155"/>
      <c r="B166" s="158"/>
      <c r="C166" s="85"/>
      <c r="D166" s="109"/>
      <c r="E166" s="13"/>
      <c r="F166" s="16"/>
      <c r="G166" s="12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/>
      <c r="U166" s="13"/>
      <c r="V166">
        <v>14</v>
      </c>
      <c r="AA166" s="49" t="s">
        <v>93</v>
      </c>
      <c r="AB166" s="50" t="s">
        <v>57</v>
      </c>
    </row>
    <row r="167" spans="1:28" x14ac:dyDescent="0.4">
      <c r="A167" s="155"/>
      <c r="B167" s="158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55"/>
      <c r="B168" s="158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55"/>
      <c r="B169" s="158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5"/>
      <c r="B170" s="158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5"/>
      <c r="B171" s="158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5"/>
      <c r="B172" s="158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5"/>
      <c r="B173" s="158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5"/>
      <c r="B174" s="158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5"/>
      <c r="B175" s="158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5"/>
      <c r="B176" s="158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6"/>
      <c r="B177" s="159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8</v>
      </c>
      <c r="D178" s="112"/>
      <c r="E178" s="29"/>
      <c r="F178" s="29" t="s">
        <v>34</v>
      </c>
      <c r="G178" s="29">
        <f>COUNTIF(G153:G177,"S")</f>
        <v>7</v>
      </c>
      <c r="H178" s="29">
        <f>COUNTIF(H153:H177,"E")</f>
        <v>4</v>
      </c>
      <c r="I178" s="29">
        <f>SUM(I153:I177)</f>
        <v>0</v>
      </c>
      <c r="J178" s="29">
        <f t="shared" ref="J178" si="21">SUM(J153:J177)</f>
        <v>10</v>
      </c>
      <c r="K178" s="29">
        <f t="shared" ref="K178" si="22">SUM(K153:K177)</f>
        <v>0</v>
      </c>
      <c r="L178" s="29">
        <f t="shared" ref="L178" si="23">SUM(L153:L177)</f>
        <v>0</v>
      </c>
      <c r="M178" s="29">
        <f t="shared" ref="M178" si="24">SUM(M153:M177)</f>
        <v>0</v>
      </c>
      <c r="N178" s="29">
        <f t="shared" ref="N178" si="25">SUM(N153:N177)</f>
        <v>1</v>
      </c>
      <c r="O178" s="29">
        <f t="shared" ref="O178" si="26">SUM(O153:O177)</f>
        <v>1</v>
      </c>
      <c r="P178" s="29">
        <f t="shared" ref="P178" si="27">SUM(P153:P177)</f>
        <v>1</v>
      </c>
      <c r="Q178" s="29">
        <f t="shared" ref="Q178" si="28">SUM(Q153:Q177)</f>
        <v>1</v>
      </c>
      <c r="R178" s="29">
        <f t="shared" ref="R178" si="29">SUM(R153:R177)</f>
        <v>1</v>
      </c>
      <c r="S178" s="29">
        <f t="shared" ref="S178" si="30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1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15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7" t="s">
        <v>114</v>
      </c>
      <c r="Y182" s="153"/>
    </row>
    <row r="183" spans="1:28" ht="20.25" thickTop="1" thickBot="1" x14ac:dyDescent="0.45">
      <c r="A183" s="154">
        <v>7</v>
      </c>
      <c r="B183" s="157">
        <v>23</v>
      </c>
      <c r="C183" s="85" t="s">
        <v>422</v>
      </c>
      <c r="D183" s="109" t="s">
        <v>240</v>
      </c>
      <c r="E183" s="18" t="s">
        <v>39</v>
      </c>
      <c r="F183" s="16"/>
      <c r="G183" s="18" t="s">
        <v>178</v>
      </c>
      <c r="H183" s="15"/>
      <c r="I183" s="15"/>
      <c r="J183" s="18">
        <v>1</v>
      </c>
      <c r="K183" s="15"/>
      <c r="L183" s="18"/>
      <c r="M183" s="19"/>
      <c r="N183" s="19"/>
      <c r="O183" s="19"/>
      <c r="P183" s="19"/>
      <c r="Q183" s="19"/>
      <c r="R183" s="19"/>
      <c r="S183" s="15"/>
      <c r="T183" s="25">
        <v>46228</v>
      </c>
      <c r="U183" s="15" t="s">
        <v>146</v>
      </c>
      <c r="V183">
        <v>1</v>
      </c>
      <c r="X183" s="51" t="s">
        <v>106</v>
      </c>
      <c r="Y183" s="52">
        <f>COUNTIF(U183:U207,"K")</f>
        <v>8</v>
      </c>
      <c r="AA183" s="59" t="s">
        <v>120</v>
      </c>
      <c r="AB183" s="60" t="s">
        <v>121</v>
      </c>
    </row>
    <row r="184" spans="1:28" x14ac:dyDescent="0.4">
      <c r="A184" s="155"/>
      <c r="B184" s="158"/>
      <c r="C184" s="85" t="s">
        <v>423</v>
      </c>
      <c r="D184" s="109" t="s">
        <v>240</v>
      </c>
      <c r="E184" s="18" t="s">
        <v>133</v>
      </c>
      <c r="F184" s="16"/>
      <c r="G184" s="18" t="s">
        <v>178</v>
      </c>
      <c r="H184" s="15"/>
      <c r="I184" s="15"/>
      <c r="J184" s="18">
        <v>1</v>
      </c>
      <c r="K184" s="15"/>
      <c r="L184" s="18"/>
      <c r="M184" s="19"/>
      <c r="N184" s="19"/>
      <c r="O184" s="19">
        <v>1</v>
      </c>
      <c r="P184" s="19">
        <v>1</v>
      </c>
      <c r="Q184" s="19"/>
      <c r="R184" s="19"/>
      <c r="S184" s="132"/>
      <c r="T184" s="25">
        <v>46228</v>
      </c>
      <c r="U184" s="15" t="s">
        <v>148</v>
      </c>
      <c r="V184">
        <v>2</v>
      </c>
      <c r="X184" s="51" t="s">
        <v>107</v>
      </c>
      <c r="Y184" s="52">
        <f>COUNTIF(U183:U207,"R")</f>
        <v>8</v>
      </c>
      <c r="AA184" s="47" t="s">
        <v>81</v>
      </c>
      <c r="AB184" s="48" t="s">
        <v>60</v>
      </c>
    </row>
    <row r="185" spans="1:28" ht="19.5" thickBot="1" x14ac:dyDescent="0.45">
      <c r="A185" s="155"/>
      <c r="B185" s="158"/>
      <c r="C185" s="85" t="s">
        <v>424</v>
      </c>
      <c r="D185" s="109" t="s">
        <v>240</v>
      </c>
      <c r="E185" s="18" t="s">
        <v>39</v>
      </c>
      <c r="F185" s="16"/>
      <c r="G185" s="18" t="s">
        <v>178</v>
      </c>
      <c r="H185" s="15"/>
      <c r="I185" s="15"/>
      <c r="J185" s="18">
        <v>1</v>
      </c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46228</v>
      </c>
      <c r="U185" s="15" t="s">
        <v>146</v>
      </c>
      <c r="V185">
        <v>3</v>
      </c>
      <c r="X185" s="53" t="s">
        <v>108</v>
      </c>
      <c r="Y185" s="54">
        <f>COUNTIF(U183:U207,"J")</f>
        <v>5</v>
      </c>
      <c r="AA185" s="49" t="s">
        <v>82</v>
      </c>
      <c r="AB185" s="50" t="s">
        <v>39</v>
      </c>
    </row>
    <row r="186" spans="1:28" x14ac:dyDescent="0.4">
      <c r="A186" s="155"/>
      <c r="B186" s="158"/>
      <c r="C186" s="85" t="s">
        <v>425</v>
      </c>
      <c r="D186" s="109" t="s">
        <v>240</v>
      </c>
      <c r="E186" s="18" t="s">
        <v>133</v>
      </c>
      <c r="F186" s="16"/>
      <c r="G186" s="18" t="s">
        <v>178</v>
      </c>
      <c r="H186" s="15"/>
      <c r="I186" s="15"/>
      <c r="J186" s="18">
        <v>1</v>
      </c>
      <c r="K186" s="15"/>
      <c r="L186" s="18"/>
      <c r="M186" s="17"/>
      <c r="N186" s="17"/>
      <c r="O186" s="17">
        <v>1</v>
      </c>
      <c r="P186" s="17">
        <v>1</v>
      </c>
      <c r="Q186" s="17"/>
      <c r="R186" s="17"/>
      <c r="S186" s="15"/>
      <c r="T186" s="25">
        <v>46228</v>
      </c>
      <c r="U186" s="15" t="s">
        <v>148</v>
      </c>
      <c r="V186">
        <v>4</v>
      </c>
      <c r="AA186" s="49" t="s">
        <v>83</v>
      </c>
      <c r="AB186" s="50" t="s">
        <v>38</v>
      </c>
    </row>
    <row r="187" spans="1:28" x14ac:dyDescent="0.4">
      <c r="A187" s="155"/>
      <c r="B187" s="158"/>
      <c r="C187" s="85" t="s">
        <v>426</v>
      </c>
      <c r="D187" s="109" t="s">
        <v>240</v>
      </c>
      <c r="E187" s="18" t="s">
        <v>39</v>
      </c>
      <c r="F187" s="16"/>
      <c r="G187" s="18" t="s">
        <v>178</v>
      </c>
      <c r="H187" s="15"/>
      <c r="I187" s="15"/>
      <c r="J187" s="18">
        <v>1</v>
      </c>
      <c r="K187" s="15"/>
      <c r="L187" s="18"/>
      <c r="M187" s="17"/>
      <c r="N187" s="17"/>
      <c r="O187" s="17"/>
      <c r="P187" s="17"/>
      <c r="Q187" s="17"/>
      <c r="R187" s="17"/>
      <c r="S187" s="15"/>
      <c r="T187" s="25">
        <v>46228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55"/>
      <c r="B188" s="158"/>
      <c r="C188" s="85" t="s">
        <v>427</v>
      </c>
      <c r="D188" s="109" t="s">
        <v>240</v>
      </c>
      <c r="E188" s="18" t="s">
        <v>39</v>
      </c>
      <c r="F188" s="16"/>
      <c r="G188" s="18" t="s">
        <v>178</v>
      </c>
      <c r="H188" s="13"/>
      <c r="I188" s="15"/>
      <c r="J188" s="18">
        <v>1</v>
      </c>
      <c r="K188" s="15"/>
      <c r="L188" s="18"/>
      <c r="M188" s="17"/>
      <c r="N188" s="17"/>
      <c r="O188" s="17"/>
      <c r="P188" s="17"/>
      <c r="Q188" s="17"/>
      <c r="R188" s="17"/>
      <c r="S188" s="15"/>
      <c r="T188" s="25">
        <v>46228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55"/>
      <c r="B189" s="158"/>
      <c r="C189" s="85" t="s">
        <v>428</v>
      </c>
      <c r="D189" s="109" t="s">
        <v>179</v>
      </c>
      <c r="E189" s="18" t="s">
        <v>36</v>
      </c>
      <c r="F189" s="16"/>
      <c r="G189" s="18" t="s">
        <v>178</v>
      </c>
      <c r="H189" s="15"/>
      <c r="I189" s="15"/>
      <c r="J189" s="18"/>
      <c r="K189" s="15"/>
      <c r="L189" s="18"/>
      <c r="M189" s="17">
        <v>1</v>
      </c>
      <c r="N189" s="17">
        <v>1</v>
      </c>
      <c r="O189" s="17"/>
      <c r="P189" s="17"/>
      <c r="Q189" s="17">
        <v>1</v>
      </c>
      <c r="R189" s="17"/>
      <c r="S189" s="15"/>
      <c r="T189" s="25">
        <v>46201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55"/>
      <c r="B190" s="158"/>
      <c r="C190" s="85" t="s">
        <v>429</v>
      </c>
      <c r="D190" s="109" t="s">
        <v>179</v>
      </c>
      <c r="E190" s="18" t="s">
        <v>36</v>
      </c>
      <c r="F190" s="16"/>
      <c r="G190" s="18" t="s">
        <v>178</v>
      </c>
      <c r="H190" s="15"/>
      <c r="I190" s="15"/>
      <c r="J190" s="18"/>
      <c r="K190" s="15"/>
      <c r="L190" s="18"/>
      <c r="M190" s="17">
        <v>1</v>
      </c>
      <c r="N190" s="17">
        <v>1</v>
      </c>
      <c r="O190" s="17"/>
      <c r="P190" s="17"/>
      <c r="Q190" s="17">
        <v>1</v>
      </c>
      <c r="R190" s="17"/>
      <c r="S190" s="15"/>
      <c r="T190" s="25">
        <v>46201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55"/>
      <c r="B191" s="158"/>
      <c r="C191" s="85" t="s">
        <v>430</v>
      </c>
      <c r="D191" s="109" t="s">
        <v>179</v>
      </c>
      <c r="E191" s="18" t="s">
        <v>40</v>
      </c>
      <c r="F191" s="16"/>
      <c r="G191" s="18" t="s">
        <v>191</v>
      </c>
      <c r="H191" s="15"/>
      <c r="I191" s="15"/>
      <c r="J191" s="18"/>
      <c r="K191" s="15"/>
      <c r="L191" s="18"/>
      <c r="M191" s="17"/>
      <c r="N191" s="17"/>
      <c r="O191" s="17">
        <v>1</v>
      </c>
      <c r="P191" s="17">
        <v>1</v>
      </c>
      <c r="Q191" s="17"/>
      <c r="R191" s="17"/>
      <c r="S191" s="15"/>
      <c r="T191" s="25">
        <v>46201</v>
      </c>
      <c r="U191" s="15" t="s">
        <v>148</v>
      </c>
      <c r="V191">
        <v>9</v>
      </c>
      <c r="AA191" s="49" t="s">
        <v>88</v>
      </c>
      <c r="AB191" s="50" t="s">
        <v>74</v>
      </c>
    </row>
    <row r="192" spans="1:28" x14ac:dyDescent="0.4">
      <c r="A192" s="155"/>
      <c r="B192" s="158"/>
      <c r="C192" s="85" t="s">
        <v>431</v>
      </c>
      <c r="D192" s="109" t="s">
        <v>240</v>
      </c>
      <c r="E192" s="18" t="s">
        <v>39</v>
      </c>
      <c r="F192" s="16"/>
      <c r="G192" s="18" t="s">
        <v>178</v>
      </c>
      <c r="H192" s="15"/>
      <c r="I192" s="15"/>
      <c r="J192" s="18">
        <v>1</v>
      </c>
      <c r="K192" s="15"/>
      <c r="L192" s="18"/>
      <c r="M192" s="17"/>
      <c r="N192" s="17"/>
      <c r="O192" s="17"/>
      <c r="P192" s="17"/>
      <c r="Q192" s="17"/>
      <c r="R192" s="17"/>
      <c r="S192" s="15"/>
      <c r="T192" s="25">
        <v>46232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55"/>
      <c r="B193" s="158"/>
      <c r="C193" s="85" t="s">
        <v>432</v>
      </c>
      <c r="D193" s="109" t="s">
        <v>256</v>
      </c>
      <c r="E193" s="18" t="s">
        <v>75</v>
      </c>
      <c r="F193" s="16"/>
      <c r="G193" s="18" t="s">
        <v>178</v>
      </c>
      <c r="H193" s="15"/>
      <c r="I193" s="15"/>
      <c r="J193" s="18"/>
      <c r="K193" s="15"/>
      <c r="L193" s="18"/>
      <c r="M193" s="17"/>
      <c r="N193" s="17"/>
      <c r="O193" s="17"/>
      <c r="P193" s="17"/>
      <c r="Q193" s="17"/>
      <c r="R193" s="17"/>
      <c r="S193" s="15"/>
      <c r="T193" s="25">
        <v>46200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55"/>
      <c r="B194" s="158"/>
      <c r="C194" s="85" t="s">
        <v>433</v>
      </c>
      <c r="D194" s="109" t="s">
        <v>180</v>
      </c>
      <c r="E194" s="18" t="s">
        <v>39</v>
      </c>
      <c r="F194" s="16"/>
      <c r="G194" s="18" t="s">
        <v>178</v>
      </c>
      <c r="H194" s="15"/>
      <c r="I194" s="15"/>
      <c r="J194" s="18">
        <v>1</v>
      </c>
      <c r="K194" s="15">
        <v>1</v>
      </c>
      <c r="L194" s="18"/>
      <c r="M194" s="17"/>
      <c r="N194" s="17"/>
      <c r="O194" s="17"/>
      <c r="P194" s="17"/>
      <c r="Q194" s="17"/>
      <c r="R194" s="17"/>
      <c r="S194" s="15"/>
      <c r="T194" s="25">
        <v>46204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55"/>
      <c r="B195" s="158"/>
      <c r="C195" s="85" t="s">
        <v>434</v>
      </c>
      <c r="D195" s="109" t="s">
        <v>180</v>
      </c>
      <c r="E195" s="18" t="s">
        <v>133</v>
      </c>
      <c r="F195" s="16"/>
      <c r="G195" s="18" t="s">
        <v>178</v>
      </c>
      <c r="H195" s="15"/>
      <c r="I195" s="15"/>
      <c r="J195" s="18"/>
      <c r="K195" s="15"/>
      <c r="L195" s="18"/>
      <c r="M195" s="17"/>
      <c r="N195" s="17"/>
      <c r="O195" s="17">
        <v>1</v>
      </c>
      <c r="P195" s="17">
        <v>1</v>
      </c>
      <c r="Q195" s="17">
        <v>1</v>
      </c>
      <c r="R195" s="17">
        <v>1</v>
      </c>
      <c r="S195" s="15"/>
      <c r="T195" s="25">
        <v>46204</v>
      </c>
      <c r="U195" s="15" t="s">
        <v>148</v>
      </c>
      <c r="V195">
        <v>13</v>
      </c>
      <c r="AA195" s="49" t="s">
        <v>92</v>
      </c>
      <c r="AB195" s="50" t="s">
        <v>40</v>
      </c>
    </row>
    <row r="196" spans="1:28" x14ac:dyDescent="0.4">
      <c r="A196" s="155"/>
      <c r="B196" s="158"/>
      <c r="C196" s="85" t="s">
        <v>435</v>
      </c>
      <c r="D196" s="109" t="s">
        <v>179</v>
      </c>
      <c r="E196" s="18" t="s">
        <v>75</v>
      </c>
      <c r="F196" s="16"/>
      <c r="G196" s="18" t="s">
        <v>178</v>
      </c>
      <c r="H196" s="15"/>
      <c r="I196" s="15"/>
      <c r="J196" s="18"/>
      <c r="K196" s="15"/>
      <c r="L196" s="18"/>
      <c r="M196" s="17"/>
      <c r="N196" s="17"/>
      <c r="O196" s="17"/>
      <c r="P196" s="17"/>
      <c r="Q196" s="17"/>
      <c r="R196" s="17"/>
      <c r="S196" s="15"/>
      <c r="T196" s="25">
        <v>46204</v>
      </c>
      <c r="U196" s="15" t="s">
        <v>147</v>
      </c>
      <c r="V196">
        <v>14</v>
      </c>
      <c r="AA196" s="49" t="s">
        <v>93</v>
      </c>
      <c r="AB196" s="50" t="s">
        <v>57</v>
      </c>
    </row>
    <row r="197" spans="1:28" x14ac:dyDescent="0.4">
      <c r="A197" s="155"/>
      <c r="B197" s="158"/>
      <c r="C197" s="85" t="s">
        <v>436</v>
      </c>
      <c r="D197" s="109" t="s">
        <v>192</v>
      </c>
      <c r="E197" s="18" t="s">
        <v>38</v>
      </c>
      <c r="F197" s="16"/>
      <c r="G197" s="18" t="s">
        <v>178</v>
      </c>
      <c r="H197" s="15"/>
      <c r="I197" s="15"/>
      <c r="J197" s="18">
        <v>1</v>
      </c>
      <c r="K197" s="15"/>
      <c r="L197" s="18"/>
      <c r="M197" s="17"/>
      <c r="N197" s="17"/>
      <c r="O197" s="17"/>
      <c r="P197" s="17"/>
      <c r="Q197" s="17"/>
      <c r="R197" s="17"/>
      <c r="S197" s="15"/>
      <c r="T197" s="25">
        <v>46203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55"/>
      <c r="B198" s="158"/>
      <c r="C198" s="85" t="s">
        <v>437</v>
      </c>
      <c r="D198" s="110" t="s">
        <v>179</v>
      </c>
      <c r="E198" s="18" t="s">
        <v>38</v>
      </c>
      <c r="F198" s="16"/>
      <c r="G198" s="18" t="s">
        <v>178</v>
      </c>
      <c r="H198" s="15"/>
      <c r="I198" s="15"/>
      <c r="J198" s="18">
        <v>1</v>
      </c>
      <c r="K198" s="15"/>
      <c r="L198" s="18"/>
      <c r="M198" s="19"/>
      <c r="N198" s="19"/>
      <c r="O198" s="19"/>
      <c r="P198" s="19"/>
      <c r="Q198" s="19"/>
      <c r="R198" s="19"/>
      <c r="S198" s="15"/>
      <c r="T198" s="25">
        <v>46201</v>
      </c>
      <c r="U198" s="132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55"/>
      <c r="B199" s="158"/>
      <c r="C199" s="85" t="s">
        <v>438</v>
      </c>
      <c r="D199" s="110" t="s">
        <v>179</v>
      </c>
      <c r="E199" s="18" t="s">
        <v>37</v>
      </c>
      <c r="F199" s="16"/>
      <c r="G199" s="18" t="s">
        <v>178</v>
      </c>
      <c r="H199" s="15"/>
      <c r="I199" s="15"/>
      <c r="J199" s="18">
        <v>1</v>
      </c>
      <c r="K199" s="15">
        <v>1</v>
      </c>
      <c r="L199" s="19"/>
      <c r="M199" s="19"/>
      <c r="N199" s="19"/>
      <c r="O199" s="19"/>
      <c r="P199" s="19"/>
      <c r="Q199" s="19"/>
      <c r="R199" s="19"/>
      <c r="S199" s="15"/>
      <c r="T199" s="30">
        <v>46200</v>
      </c>
      <c r="U199" s="15" t="s">
        <v>147</v>
      </c>
      <c r="V199">
        <v>17</v>
      </c>
      <c r="AA199" s="49" t="s">
        <v>96</v>
      </c>
      <c r="AB199" s="50" t="s">
        <v>61</v>
      </c>
    </row>
    <row r="200" spans="1:28" x14ac:dyDescent="0.4">
      <c r="A200" s="155"/>
      <c r="B200" s="158"/>
      <c r="C200" s="86" t="s">
        <v>439</v>
      </c>
      <c r="D200" s="110" t="s">
        <v>440</v>
      </c>
      <c r="E200" s="18" t="s">
        <v>133</v>
      </c>
      <c r="F200" s="16"/>
      <c r="G200" s="18" t="s">
        <v>178</v>
      </c>
      <c r="H200" s="15"/>
      <c r="I200" s="15"/>
      <c r="J200" s="18"/>
      <c r="K200" s="15"/>
      <c r="L200" s="19"/>
      <c r="M200" s="19"/>
      <c r="N200" s="19"/>
      <c r="O200" s="19"/>
      <c r="P200" s="19"/>
      <c r="Q200" s="19">
        <v>1</v>
      </c>
      <c r="R200" s="19"/>
      <c r="S200" s="15"/>
      <c r="T200" s="30">
        <v>46207</v>
      </c>
      <c r="U200" s="15" t="s">
        <v>148</v>
      </c>
      <c r="V200">
        <v>18</v>
      </c>
      <c r="AA200" s="49" t="s">
        <v>97</v>
      </c>
      <c r="AB200" s="50" t="s">
        <v>76</v>
      </c>
    </row>
    <row r="201" spans="1:28" x14ac:dyDescent="0.4">
      <c r="A201" s="155"/>
      <c r="B201" s="158"/>
      <c r="C201" s="86" t="s">
        <v>441</v>
      </c>
      <c r="D201" s="110" t="s">
        <v>190</v>
      </c>
      <c r="E201" s="18" t="s">
        <v>58</v>
      </c>
      <c r="F201" s="16"/>
      <c r="G201" s="18" t="s">
        <v>178</v>
      </c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30">
        <v>46210</v>
      </c>
      <c r="U201" s="15" t="s">
        <v>147</v>
      </c>
      <c r="V201" s="73">
        <v>19</v>
      </c>
      <c r="AA201" s="49" t="s">
        <v>98</v>
      </c>
      <c r="AB201" s="50" t="s">
        <v>77</v>
      </c>
    </row>
    <row r="202" spans="1:28" x14ac:dyDescent="0.4">
      <c r="A202" s="155"/>
      <c r="B202" s="158"/>
      <c r="C202" s="86" t="s">
        <v>442</v>
      </c>
      <c r="D202" s="110" t="s">
        <v>190</v>
      </c>
      <c r="E202" s="18" t="s">
        <v>44</v>
      </c>
      <c r="F202" s="16"/>
      <c r="G202" s="18" t="s">
        <v>178</v>
      </c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30">
        <v>46210</v>
      </c>
      <c r="U202" s="15" t="s">
        <v>147</v>
      </c>
      <c r="V202">
        <v>20</v>
      </c>
      <c r="AA202" s="49" t="s">
        <v>99</v>
      </c>
      <c r="AB202" s="50" t="s">
        <v>78</v>
      </c>
    </row>
    <row r="203" spans="1:28" x14ac:dyDescent="0.4">
      <c r="A203" s="155"/>
      <c r="B203" s="158"/>
      <c r="C203" s="86" t="s">
        <v>443</v>
      </c>
      <c r="D203" s="110" t="s">
        <v>179</v>
      </c>
      <c r="E203" s="18" t="s">
        <v>36</v>
      </c>
      <c r="F203" s="16"/>
      <c r="G203" s="18" t="s">
        <v>178</v>
      </c>
      <c r="H203" s="15"/>
      <c r="I203" s="15"/>
      <c r="J203" s="18"/>
      <c r="K203" s="15"/>
      <c r="L203" s="19"/>
      <c r="M203" s="19">
        <v>1</v>
      </c>
      <c r="N203" s="19">
        <v>1</v>
      </c>
      <c r="O203" s="19"/>
      <c r="P203" s="19"/>
      <c r="Q203" s="19">
        <v>1</v>
      </c>
      <c r="R203" s="19"/>
      <c r="S203" s="15"/>
      <c r="T203" s="30">
        <v>46193</v>
      </c>
      <c r="U203" s="15" t="s">
        <v>147</v>
      </c>
      <c r="V203">
        <v>21</v>
      </c>
      <c r="AA203" s="49" t="s">
        <v>100</v>
      </c>
      <c r="AB203" s="50" t="s">
        <v>79</v>
      </c>
    </row>
    <row r="204" spans="1:28" x14ac:dyDescent="0.4">
      <c r="A204" s="155"/>
      <c r="B204" s="158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5"/>
      <c r="B205" s="158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5"/>
      <c r="B206" s="158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6"/>
      <c r="B207" s="159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21</v>
      </c>
      <c r="D208" s="112"/>
      <c r="E208" s="29"/>
      <c r="F208" s="29" t="s">
        <v>34</v>
      </c>
      <c r="G208" s="29">
        <f>COUNTIF(G183:G207,"S")</f>
        <v>20</v>
      </c>
      <c r="H208" s="29">
        <f>COUNTIF(H183:H207,"E")</f>
        <v>0</v>
      </c>
      <c r="I208" s="29">
        <f>SUM(I183:I207)</f>
        <v>0</v>
      </c>
      <c r="J208" s="29">
        <f t="shared" ref="J208" si="31">SUM(J183:J207)</f>
        <v>11</v>
      </c>
      <c r="K208" s="29">
        <f t="shared" ref="K208" si="32">SUM(K183:K207)</f>
        <v>2</v>
      </c>
      <c r="L208" s="29">
        <f t="shared" ref="L208" si="33">SUM(L183:L207)</f>
        <v>0</v>
      </c>
      <c r="M208" s="29">
        <f t="shared" ref="M208" si="34">SUM(M183:M207)</f>
        <v>3</v>
      </c>
      <c r="N208" s="29">
        <f t="shared" ref="N208" si="35">SUM(N183:N207)</f>
        <v>3</v>
      </c>
      <c r="O208" s="29">
        <f t="shared" ref="O208" si="36">SUM(O183:O207)</f>
        <v>4</v>
      </c>
      <c r="P208" s="29">
        <f t="shared" ref="P208" si="37">SUM(P183:P207)</f>
        <v>4</v>
      </c>
      <c r="Q208" s="29">
        <f t="shared" ref="Q208" si="38">SUM(Q183:Q207)</f>
        <v>5</v>
      </c>
      <c r="R208" s="29">
        <f t="shared" ref="R208" si="39">SUM(R183:R207)</f>
        <v>1</v>
      </c>
      <c r="S208" s="29">
        <f t="shared" ref="S208" si="40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1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33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AYG142</v>
      </c>
      <c r="B211" s="24">
        <f>B1</f>
        <v>46175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7" t="s">
        <v>113</v>
      </c>
      <c r="Y212" s="153"/>
    </row>
    <row r="213" spans="1:28" ht="20.25" thickTop="1" thickBot="1" x14ac:dyDescent="0.45">
      <c r="A213" s="154">
        <v>8</v>
      </c>
      <c r="B213" s="157">
        <v>20.399999999999999</v>
      </c>
      <c r="C213" s="85" t="s">
        <v>444</v>
      </c>
      <c r="D213" s="109" t="s">
        <v>184</v>
      </c>
      <c r="E213" s="15" t="s">
        <v>59</v>
      </c>
      <c r="F213" s="16"/>
      <c r="G213" s="15" t="s">
        <v>178</v>
      </c>
      <c r="H213" s="15" t="s">
        <v>471</v>
      </c>
      <c r="I213" s="15"/>
      <c r="J213" s="15">
        <v>2</v>
      </c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46211</v>
      </c>
      <c r="U213" s="15" t="s">
        <v>146</v>
      </c>
      <c r="V213">
        <v>1</v>
      </c>
      <c r="X213" s="51" t="s">
        <v>106</v>
      </c>
      <c r="Y213" s="52">
        <f>COUNTIF(U213:U237,"K")</f>
        <v>5</v>
      </c>
      <c r="AA213" s="59" t="s">
        <v>120</v>
      </c>
      <c r="AB213" s="60" t="s">
        <v>121</v>
      </c>
    </row>
    <row r="214" spans="1:28" x14ac:dyDescent="0.4">
      <c r="A214" s="155"/>
      <c r="B214" s="158"/>
      <c r="C214" s="85" t="s">
        <v>445</v>
      </c>
      <c r="D214" s="109" t="s">
        <v>184</v>
      </c>
      <c r="E214" s="15" t="s">
        <v>59</v>
      </c>
      <c r="F214" s="16"/>
      <c r="G214" s="15" t="s">
        <v>178</v>
      </c>
      <c r="H214" s="15" t="s">
        <v>471</v>
      </c>
      <c r="I214" s="15"/>
      <c r="J214" s="15">
        <v>2</v>
      </c>
      <c r="K214" s="15"/>
      <c r="L214" s="15"/>
      <c r="M214" s="19"/>
      <c r="N214" s="19"/>
      <c r="O214" s="19"/>
      <c r="P214" s="19"/>
      <c r="Q214" s="19"/>
      <c r="R214" s="19"/>
      <c r="S214" s="15"/>
      <c r="T214" s="25">
        <v>46216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55"/>
      <c r="B215" s="158"/>
      <c r="C215" s="85" t="s">
        <v>446</v>
      </c>
      <c r="D215" s="109" t="s">
        <v>184</v>
      </c>
      <c r="E215" s="15" t="s">
        <v>59</v>
      </c>
      <c r="F215" s="16"/>
      <c r="G215" s="15" t="s">
        <v>178</v>
      </c>
      <c r="H215" s="15" t="s">
        <v>471</v>
      </c>
      <c r="I215" s="15"/>
      <c r="J215" s="15">
        <v>2</v>
      </c>
      <c r="K215" s="15"/>
      <c r="L215" s="15"/>
      <c r="M215" s="19"/>
      <c r="N215" s="19"/>
      <c r="O215" s="19"/>
      <c r="P215" s="19"/>
      <c r="Q215" s="19"/>
      <c r="R215" s="19"/>
      <c r="S215" s="15"/>
      <c r="T215" s="25">
        <v>46216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55"/>
      <c r="B216" s="158"/>
      <c r="C216" s="85" t="s">
        <v>447</v>
      </c>
      <c r="D216" s="109" t="s">
        <v>184</v>
      </c>
      <c r="E216" s="15" t="s">
        <v>59</v>
      </c>
      <c r="F216" s="16"/>
      <c r="G216" s="15" t="s">
        <v>178</v>
      </c>
      <c r="H216" s="15" t="s">
        <v>471</v>
      </c>
      <c r="I216" s="15"/>
      <c r="J216" s="15">
        <v>2</v>
      </c>
      <c r="K216" s="15"/>
      <c r="L216" s="15"/>
      <c r="M216" s="19"/>
      <c r="N216" s="19"/>
      <c r="O216" s="19"/>
      <c r="P216" s="19"/>
      <c r="Q216" s="19"/>
      <c r="R216" s="19"/>
      <c r="S216" s="15"/>
      <c r="T216" s="25">
        <v>46216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55"/>
      <c r="B217" s="158"/>
      <c r="C217" s="85" t="s">
        <v>448</v>
      </c>
      <c r="D217" s="109" t="s">
        <v>184</v>
      </c>
      <c r="E217" s="15" t="s">
        <v>59</v>
      </c>
      <c r="F217" s="16"/>
      <c r="G217" s="15" t="s">
        <v>178</v>
      </c>
      <c r="H217" s="15" t="s">
        <v>471</v>
      </c>
      <c r="I217" s="15"/>
      <c r="J217" s="15">
        <v>2</v>
      </c>
      <c r="K217" s="15"/>
      <c r="L217" s="15"/>
      <c r="M217" s="19"/>
      <c r="N217" s="19"/>
      <c r="O217" s="19"/>
      <c r="P217" s="19"/>
      <c r="Q217" s="19"/>
      <c r="R217" s="19"/>
      <c r="S217" s="15"/>
      <c r="T217" s="25">
        <v>46216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5"/>
      <c r="B218" s="158"/>
      <c r="C218" s="85"/>
      <c r="D218" s="109"/>
      <c r="E218" s="15"/>
      <c r="F218" s="16"/>
      <c r="G218" s="15"/>
      <c r="H218" s="15"/>
      <c r="I218" s="15"/>
      <c r="J218" s="15"/>
      <c r="K218" s="15"/>
      <c r="L218" s="15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55"/>
      <c r="B219" s="158"/>
      <c r="C219" s="85"/>
      <c r="D219" s="109"/>
      <c r="E219" s="15"/>
      <c r="F219" s="16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55"/>
      <c r="B220" s="158"/>
      <c r="C220" s="85"/>
      <c r="D220" s="109"/>
      <c r="E220" s="15"/>
      <c r="F220" s="16"/>
      <c r="G220" s="15"/>
      <c r="H220" s="15"/>
      <c r="I220" s="15"/>
      <c r="J220" s="15"/>
      <c r="K220" s="15"/>
      <c r="L220" s="15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55"/>
      <c r="B221" s="158"/>
      <c r="C221" s="85"/>
      <c r="D221" s="109"/>
      <c r="E221" s="15"/>
      <c r="F221" s="16"/>
      <c r="G221" s="15"/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55"/>
      <c r="B222" s="158"/>
      <c r="C222" s="85"/>
      <c r="D222" s="109"/>
      <c r="E222" s="15"/>
      <c r="F222" s="137"/>
      <c r="G222" s="15"/>
      <c r="H222" s="15"/>
      <c r="I222" s="15"/>
      <c r="J222" s="15"/>
      <c r="K222" s="15"/>
      <c r="L222" s="15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55"/>
      <c r="B223" s="158"/>
      <c r="C223" s="85"/>
      <c r="D223" s="109"/>
      <c r="E223" s="15"/>
      <c r="F223" s="16"/>
      <c r="G223" s="15"/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55"/>
      <c r="B224" s="158"/>
      <c r="C224" s="85"/>
      <c r="D224" s="109"/>
      <c r="E224" s="15"/>
      <c r="F224" s="16"/>
      <c r="G224" s="15"/>
      <c r="H224" s="15"/>
      <c r="I224" s="15"/>
      <c r="J224" s="15"/>
      <c r="K224" s="15"/>
      <c r="L224" s="15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55"/>
      <c r="B225" s="158"/>
      <c r="C225" s="85"/>
      <c r="D225" s="109"/>
      <c r="E225" s="15"/>
      <c r="F225" s="16"/>
      <c r="G225" s="15"/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55"/>
      <c r="B226" s="158"/>
      <c r="C226" s="85"/>
      <c r="D226" s="109"/>
      <c r="E226" s="15"/>
      <c r="F226" s="16"/>
      <c r="G226" s="15"/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55"/>
      <c r="B227" s="158"/>
      <c r="C227" s="85"/>
      <c r="D227" s="109"/>
      <c r="E227" s="15"/>
      <c r="F227" s="16"/>
      <c r="G227" s="15"/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55"/>
      <c r="B228" s="158"/>
      <c r="C228" s="85"/>
      <c r="D228" s="110"/>
      <c r="E228" s="106"/>
      <c r="F228" s="16"/>
      <c r="G228" s="15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55"/>
      <c r="B229" s="158"/>
      <c r="C229" s="85"/>
      <c r="D229" s="110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30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5"/>
      <c r="B230" s="158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5"/>
      <c r="B231" s="158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5"/>
      <c r="B232" s="158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5"/>
      <c r="B233" s="158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5"/>
      <c r="B234" s="158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5"/>
      <c r="B235" s="158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5"/>
      <c r="B236" s="158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6"/>
      <c r="B237" s="159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5</v>
      </c>
      <c r="D238" s="112"/>
      <c r="E238" s="29"/>
      <c r="F238" s="29" t="s">
        <v>34</v>
      </c>
      <c r="G238" s="29">
        <f>COUNTIF(G213:G237,"S")</f>
        <v>5</v>
      </c>
      <c r="H238" s="29">
        <f>COUNTIF(H213:H237,"E")</f>
        <v>5</v>
      </c>
      <c r="I238" s="29">
        <f>SUM(I213:I237)</f>
        <v>0</v>
      </c>
      <c r="J238" s="29">
        <f t="shared" ref="J238" si="41">SUM(J213:J237)</f>
        <v>10</v>
      </c>
      <c r="K238" s="29">
        <f t="shared" ref="K238" si="42">SUM(K213:K237)</f>
        <v>0</v>
      </c>
      <c r="L238" s="29">
        <f t="shared" ref="L238" si="43">SUM(L213:L237)</f>
        <v>0</v>
      </c>
      <c r="M238" s="29">
        <f t="shared" ref="M238" si="44">SUM(M213:M237)</f>
        <v>0</v>
      </c>
      <c r="N238" s="29">
        <f t="shared" ref="N238" si="45">SUM(N213:N237)</f>
        <v>0</v>
      </c>
      <c r="O238" s="29">
        <f t="shared" ref="O238" si="46">SUM(O213:O237)</f>
        <v>0</v>
      </c>
      <c r="P238" s="29">
        <f t="shared" ref="P238" si="47">SUM(P213:P237)</f>
        <v>0</v>
      </c>
      <c r="Q238" s="29">
        <f t="shared" ref="Q238" si="48">SUM(Q213:Q237)</f>
        <v>0</v>
      </c>
      <c r="R238" s="29">
        <f t="shared" ref="R238" si="49">SUM(R213:R237)</f>
        <v>0</v>
      </c>
      <c r="S238" s="29">
        <f t="shared" ref="S238" si="50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AYG142</v>
      </c>
      <c r="B241" s="24">
        <f>B1</f>
        <v>46175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4" t="s">
        <v>112</v>
      </c>
      <c r="Y242" s="164"/>
    </row>
    <row r="243" spans="1:28" ht="20.25" thickTop="1" thickBot="1" x14ac:dyDescent="0.45">
      <c r="A243" s="154">
        <v>9</v>
      </c>
      <c r="B243" s="157">
        <v>20.100000000000001</v>
      </c>
      <c r="C243" s="85" t="s">
        <v>449</v>
      </c>
      <c r="D243" s="109" t="s">
        <v>189</v>
      </c>
      <c r="E243" s="106" t="s">
        <v>57</v>
      </c>
      <c r="F243" s="14"/>
      <c r="G243" s="12" t="s">
        <v>323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>
        <v>46208</v>
      </c>
      <c r="U243" s="13" t="s">
        <v>147</v>
      </c>
      <c r="V243">
        <v>1</v>
      </c>
      <c r="X243" t="s">
        <v>106</v>
      </c>
      <c r="Y243">
        <f>COUNTIF(U243:U267,"K")</f>
        <v>3</v>
      </c>
      <c r="AA243" s="59" t="s">
        <v>120</v>
      </c>
      <c r="AB243" s="60" t="s">
        <v>121</v>
      </c>
    </row>
    <row r="244" spans="1:28" x14ac:dyDescent="0.4">
      <c r="A244" s="155"/>
      <c r="B244" s="158"/>
      <c r="C244" s="85" t="s">
        <v>450</v>
      </c>
      <c r="D244" s="109" t="s">
        <v>189</v>
      </c>
      <c r="E244" s="106" t="s">
        <v>57</v>
      </c>
      <c r="F244" s="16"/>
      <c r="G244" s="12" t="s">
        <v>323</v>
      </c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>
        <v>46208</v>
      </c>
      <c r="U244" s="13" t="s">
        <v>147</v>
      </c>
      <c r="V244">
        <v>2</v>
      </c>
      <c r="X244" t="s">
        <v>107</v>
      </c>
      <c r="Y244">
        <f>COUNTIF(U243:U267,"R")</f>
        <v>15</v>
      </c>
      <c r="AA244" s="47" t="s">
        <v>81</v>
      </c>
      <c r="AB244" s="48" t="s">
        <v>60</v>
      </c>
    </row>
    <row r="245" spans="1:28" x14ac:dyDescent="0.4">
      <c r="A245" s="155"/>
      <c r="B245" s="158"/>
      <c r="C245" s="85" t="s">
        <v>451</v>
      </c>
      <c r="D245" s="109" t="s">
        <v>189</v>
      </c>
      <c r="E245" s="106" t="s">
        <v>57</v>
      </c>
      <c r="F245" s="16"/>
      <c r="G245" s="12" t="s">
        <v>323</v>
      </c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>
        <v>46208</v>
      </c>
      <c r="U245" s="13" t="s">
        <v>147</v>
      </c>
      <c r="V245">
        <v>3</v>
      </c>
      <c r="X245" t="s">
        <v>108</v>
      </c>
      <c r="Y245">
        <f>COUNTIF(U243:U267,"J")</f>
        <v>4</v>
      </c>
      <c r="AA245" s="49" t="s">
        <v>82</v>
      </c>
      <c r="AB245" s="50" t="s">
        <v>39</v>
      </c>
    </row>
    <row r="246" spans="1:28" x14ac:dyDescent="0.4">
      <c r="A246" s="155"/>
      <c r="B246" s="158"/>
      <c r="C246" s="85" t="s">
        <v>452</v>
      </c>
      <c r="D246" s="109" t="s">
        <v>189</v>
      </c>
      <c r="E246" s="106" t="s">
        <v>57</v>
      </c>
      <c r="F246" s="16"/>
      <c r="G246" s="12" t="s">
        <v>323</v>
      </c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>
        <v>46208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55"/>
      <c r="B247" s="158"/>
      <c r="C247" s="85" t="s">
        <v>453</v>
      </c>
      <c r="D247" s="109" t="s">
        <v>189</v>
      </c>
      <c r="E247" s="106" t="s">
        <v>57</v>
      </c>
      <c r="F247" s="16"/>
      <c r="G247" s="12" t="s">
        <v>323</v>
      </c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>
        <v>46222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55"/>
      <c r="B248" s="158"/>
      <c r="C248" s="85" t="s">
        <v>454</v>
      </c>
      <c r="D248" s="109" t="s">
        <v>189</v>
      </c>
      <c r="E248" s="106" t="s">
        <v>57</v>
      </c>
      <c r="F248" s="16"/>
      <c r="G248" s="12" t="s">
        <v>323</v>
      </c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>
        <v>46222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55"/>
      <c r="B249" s="158"/>
      <c r="C249" s="85" t="s">
        <v>455</v>
      </c>
      <c r="D249" s="109" t="s">
        <v>189</v>
      </c>
      <c r="E249" s="106" t="s">
        <v>57</v>
      </c>
      <c r="F249" s="16"/>
      <c r="G249" s="12" t="s">
        <v>323</v>
      </c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>
        <v>46222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55"/>
      <c r="B250" s="158"/>
      <c r="C250" s="85" t="s">
        <v>456</v>
      </c>
      <c r="D250" s="109" t="s">
        <v>189</v>
      </c>
      <c r="E250" s="106" t="s">
        <v>57</v>
      </c>
      <c r="F250" s="16"/>
      <c r="G250" s="12" t="s">
        <v>323</v>
      </c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>
        <v>46222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55"/>
      <c r="B251" s="158"/>
      <c r="C251" s="85" t="s">
        <v>457</v>
      </c>
      <c r="D251" s="109" t="s">
        <v>189</v>
      </c>
      <c r="E251" s="106" t="s">
        <v>57</v>
      </c>
      <c r="F251" s="16"/>
      <c r="G251" s="12" t="s">
        <v>323</v>
      </c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>
        <v>46222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55"/>
      <c r="B252" s="158"/>
      <c r="C252" s="85" t="s">
        <v>458</v>
      </c>
      <c r="D252" s="109" t="s">
        <v>189</v>
      </c>
      <c r="E252" s="106" t="s">
        <v>57</v>
      </c>
      <c r="F252" s="137"/>
      <c r="G252" s="12" t="s">
        <v>323</v>
      </c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>
        <v>46222</v>
      </c>
      <c r="U252" s="13" t="s">
        <v>147</v>
      </c>
      <c r="V252">
        <v>10</v>
      </c>
      <c r="AA252" s="49" t="s">
        <v>89</v>
      </c>
      <c r="AB252" s="50" t="s">
        <v>36</v>
      </c>
    </row>
    <row r="253" spans="1:28" x14ac:dyDescent="0.4">
      <c r="A253" s="155"/>
      <c r="B253" s="158"/>
      <c r="C253" s="85" t="s">
        <v>459</v>
      </c>
      <c r="D253" s="109" t="s">
        <v>189</v>
      </c>
      <c r="E253" s="106" t="s">
        <v>57</v>
      </c>
      <c r="F253" s="16"/>
      <c r="G253" s="12" t="s">
        <v>323</v>
      </c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>
        <v>46208</v>
      </c>
      <c r="U253" s="13" t="s">
        <v>147</v>
      </c>
      <c r="V253">
        <v>11</v>
      </c>
      <c r="AA253" s="49" t="s">
        <v>90</v>
      </c>
      <c r="AB253" s="50" t="s">
        <v>58</v>
      </c>
    </row>
    <row r="254" spans="1:28" x14ac:dyDescent="0.4">
      <c r="A254" s="155"/>
      <c r="B254" s="158"/>
      <c r="C254" s="85" t="s">
        <v>460</v>
      </c>
      <c r="D254" s="109" t="s">
        <v>189</v>
      </c>
      <c r="E254" s="106" t="s">
        <v>57</v>
      </c>
      <c r="F254" s="16"/>
      <c r="G254" s="12" t="s">
        <v>323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>
        <v>46222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55"/>
      <c r="B255" s="158"/>
      <c r="C255" s="85" t="s">
        <v>461</v>
      </c>
      <c r="D255" s="109" t="s">
        <v>189</v>
      </c>
      <c r="E255" s="106" t="s">
        <v>57</v>
      </c>
      <c r="F255" s="16"/>
      <c r="G255" s="12" t="s">
        <v>323</v>
      </c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>
        <v>46222</v>
      </c>
      <c r="U255" s="13" t="s">
        <v>147</v>
      </c>
      <c r="V255">
        <v>13</v>
      </c>
      <c r="AA255" s="49" t="s">
        <v>92</v>
      </c>
      <c r="AB255" s="50" t="s">
        <v>40</v>
      </c>
    </row>
    <row r="256" spans="1:28" x14ac:dyDescent="0.4">
      <c r="A256" s="155"/>
      <c r="B256" s="158"/>
      <c r="C256" s="85" t="s">
        <v>462</v>
      </c>
      <c r="D256" s="109" t="s">
        <v>339</v>
      </c>
      <c r="E256" s="106" t="s">
        <v>36</v>
      </c>
      <c r="F256" s="16"/>
      <c r="G256" s="12" t="s">
        <v>178</v>
      </c>
      <c r="H256" s="15"/>
      <c r="I256" s="15"/>
      <c r="J256" s="15"/>
      <c r="K256" s="15"/>
      <c r="L256" s="17"/>
      <c r="M256" s="17">
        <v>1</v>
      </c>
      <c r="N256" s="17"/>
      <c r="O256" s="17"/>
      <c r="P256" s="17"/>
      <c r="Q256" s="17"/>
      <c r="R256" s="17"/>
      <c r="S256" s="15"/>
      <c r="T256" s="25">
        <v>46211</v>
      </c>
      <c r="U256" s="13" t="s">
        <v>147</v>
      </c>
      <c r="V256">
        <v>14</v>
      </c>
      <c r="AA256" s="49" t="s">
        <v>93</v>
      </c>
      <c r="AB256" s="50" t="s">
        <v>57</v>
      </c>
    </row>
    <row r="257" spans="1:28" x14ac:dyDescent="0.4">
      <c r="A257" s="155"/>
      <c r="B257" s="158"/>
      <c r="C257" s="85" t="s">
        <v>463</v>
      </c>
      <c r="D257" s="109" t="s">
        <v>339</v>
      </c>
      <c r="E257" s="106" t="s">
        <v>40</v>
      </c>
      <c r="F257" s="16"/>
      <c r="G257" s="12" t="s">
        <v>191</v>
      </c>
      <c r="H257" s="15"/>
      <c r="I257" s="15"/>
      <c r="J257" s="15"/>
      <c r="K257" s="15"/>
      <c r="L257" s="17"/>
      <c r="M257" s="17"/>
      <c r="N257" s="17"/>
      <c r="O257" s="17">
        <v>1</v>
      </c>
      <c r="P257" s="17"/>
      <c r="Q257" s="17"/>
      <c r="R257" s="17"/>
      <c r="S257" s="15"/>
      <c r="T257" s="25">
        <v>46208</v>
      </c>
      <c r="U257" s="13" t="s">
        <v>148</v>
      </c>
      <c r="V257">
        <v>15</v>
      </c>
      <c r="AA257" s="49" t="s">
        <v>94</v>
      </c>
      <c r="AB257" s="50" t="s">
        <v>41</v>
      </c>
    </row>
    <row r="258" spans="1:28" x14ac:dyDescent="0.4">
      <c r="A258" s="155"/>
      <c r="B258" s="158"/>
      <c r="C258" s="85" t="s">
        <v>464</v>
      </c>
      <c r="D258" s="109" t="s">
        <v>339</v>
      </c>
      <c r="E258" s="106" t="s">
        <v>40</v>
      </c>
      <c r="F258" s="16"/>
      <c r="G258" s="12" t="s">
        <v>191</v>
      </c>
      <c r="H258" s="15"/>
      <c r="I258" s="15"/>
      <c r="J258" s="18"/>
      <c r="K258" s="15"/>
      <c r="L258" s="19"/>
      <c r="M258" s="19"/>
      <c r="N258" s="19"/>
      <c r="O258" s="19">
        <v>1</v>
      </c>
      <c r="P258" s="19"/>
      <c r="Q258" s="19"/>
      <c r="R258" s="19"/>
      <c r="S258" s="15"/>
      <c r="T258" s="25">
        <v>46208</v>
      </c>
      <c r="U258" s="13" t="s">
        <v>148</v>
      </c>
      <c r="V258">
        <v>16</v>
      </c>
      <c r="AA258" s="49" t="s">
        <v>95</v>
      </c>
      <c r="AB258" s="50" t="s">
        <v>42</v>
      </c>
    </row>
    <row r="259" spans="1:28" x14ac:dyDescent="0.4">
      <c r="A259" s="155"/>
      <c r="B259" s="158"/>
      <c r="C259" s="85" t="s">
        <v>465</v>
      </c>
      <c r="D259" s="109" t="s">
        <v>339</v>
      </c>
      <c r="E259" s="106" t="s">
        <v>40</v>
      </c>
      <c r="F259" s="16"/>
      <c r="G259" s="12" t="s">
        <v>191</v>
      </c>
      <c r="H259" s="15"/>
      <c r="I259" s="15"/>
      <c r="J259" s="18"/>
      <c r="K259" s="15"/>
      <c r="L259" s="19"/>
      <c r="M259" s="19"/>
      <c r="N259" s="19"/>
      <c r="O259" s="19">
        <v>1</v>
      </c>
      <c r="P259" s="19"/>
      <c r="Q259" s="19"/>
      <c r="R259" s="19"/>
      <c r="S259" s="15"/>
      <c r="T259" s="30">
        <v>46208</v>
      </c>
      <c r="U259" s="13" t="s">
        <v>148</v>
      </c>
      <c r="V259">
        <v>17</v>
      </c>
      <c r="AA259" s="49" t="s">
        <v>96</v>
      </c>
      <c r="AB259" s="50" t="s">
        <v>61</v>
      </c>
    </row>
    <row r="260" spans="1:28" x14ac:dyDescent="0.4">
      <c r="A260" s="155"/>
      <c r="B260" s="158"/>
      <c r="C260" s="85" t="s">
        <v>466</v>
      </c>
      <c r="D260" s="109" t="s">
        <v>339</v>
      </c>
      <c r="E260" s="18" t="s">
        <v>40</v>
      </c>
      <c r="F260" s="16"/>
      <c r="G260" s="18" t="s">
        <v>191</v>
      </c>
      <c r="H260" s="15"/>
      <c r="I260" s="15"/>
      <c r="J260" s="18"/>
      <c r="K260" s="15"/>
      <c r="L260" s="19"/>
      <c r="M260" s="19"/>
      <c r="N260" s="19"/>
      <c r="O260" s="19">
        <v>1</v>
      </c>
      <c r="P260" s="19"/>
      <c r="Q260" s="19"/>
      <c r="R260" s="19"/>
      <c r="S260" s="15"/>
      <c r="T260" s="30">
        <v>46208</v>
      </c>
      <c r="U260" s="15" t="s">
        <v>148</v>
      </c>
      <c r="V260">
        <v>18</v>
      </c>
      <c r="AA260" s="49" t="s">
        <v>97</v>
      </c>
      <c r="AB260" s="50" t="s">
        <v>76</v>
      </c>
    </row>
    <row r="261" spans="1:28" x14ac:dyDescent="0.4">
      <c r="A261" s="155"/>
      <c r="B261" s="158"/>
      <c r="C261" s="85"/>
      <c r="D261" s="109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30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5"/>
      <c r="B262" s="158"/>
      <c r="C262" s="85" t="s">
        <v>467</v>
      </c>
      <c r="D262" s="109" t="s">
        <v>339</v>
      </c>
      <c r="E262" s="18" t="s">
        <v>38</v>
      </c>
      <c r="F262" s="16"/>
      <c r="G262" s="18" t="s">
        <v>178</v>
      </c>
      <c r="H262" s="15"/>
      <c r="I262" s="15"/>
      <c r="J262" s="18">
        <v>1</v>
      </c>
      <c r="K262" s="15">
        <v>1</v>
      </c>
      <c r="L262" s="19"/>
      <c r="M262" s="19"/>
      <c r="N262" s="19"/>
      <c r="O262" s="19"/>
      <c r="P262" s="19"/>
      <c r="Q262" s="19"/>
      <c r="R262" s="19"/>
      <c r="S262" s="15"/>
      <c r="T262" s="30">
        <v>46211</v>
      </c>
      <c r="U262" s="15" t="s">
        <v>142</v>
      </c>
      <c r="V262">
        <v>20</v>
      </c>
      <c r="AA262" s="49" t="s">
        <v>99</v>
      </c>
      <c r="AB262" s="50" t="s">
        <v>78</v>
      </c>
    </row>
    <row r="263" spans="1:28" x14ac:dyDescent="0.4">
      <c r="A263" s="155"/>
      <c r="B263" s="158"/>
      <c r="C263" s="85" t="s">
        <v>468</v>
      </c>
      <c r="D263" s="109" t="s">
        <v>339</v>
      </c>
      <c r="E263" s="18" t="s">
        <v>36</v>
      </c>
      <c r="F263" s="16"/>
      <c r="G263" s="18" t="s">
        <v>178</v>
      </c>
      <c r="H263" s="15"/>
      <c r="I263" s="15"/>
      <c r="J263" s="18"/>
      <c r="K263" s="15"/>
      <c r="L263" s="19"/>
      <c r="M263" s="19">
        <v>1</v>
      </c>
      <c r="N263" s="19"/>
      <c r="O263" s="19"/>
      <c r="P263" s="19"/>
      <c r="Q263" s="19">
        <v>1</v>
      </c>
      <c r="R263" s="19"/>
      <c r="S263" s="15"/>
      <c r="T263" s="30">
        <v>46208</v>
      </c>
      <c r="U263" s="15" t="s">
        <v>147</v>
      </c>
      <c r="V263">
        <v>21</v>
      </c>
      <c r="AA263" s="49" t="s">
        <v>100</v>
      </c>
      <c r="AB263" s="50" t="s">
        <v>79</v>
      </c>
    </row>
    <row r="264" spans="1:28" x14ac:dyDescent="0.4">
      <c r="A264" s="155"/>
      <c r="B264" s="158"/>
      <c r="C264" s="85" t="s">
        <v>469</v>
      </c>
      <c r="D264" s="106" t="s">
        <v>379</v>
      </c>
      <c r="E264" s="15" t="s">
        <v>39</v>
      </c>
      <c r="F264" s="16"/>
      <c r="G264" s="15" t="s">
        <v>178</v>
      </c>
      <c r="H264" s="15"/>
      <c r="I264" s="15"/>
      <c r="J264" s="15">
        <v>1</v>
      </c>
      <c r="K264" s="15"/>
      <c r="L264" s="17"/>
      <c r="M264" s="17"/>
      <c r="N264" s="17"/>
      <c r="O264" s="17"/>
      <c r="P264" s="17"/>
      <c r="Q264" s="17"/>
      <c r="R264" s="17"/>
      <c r="S264" s="15"/>
      <c r="T264" s="26">
        <v>46211</v>
      </c>
      <c r="U264" s="15" t="s">
        <v>146</v>
      </c>
      <c r="V264">
        <v>22</v>
      </c>
      <c r="AA264" s="49" t="s">
        <v>101</v>
      </c>
      <c r="AB264" s="50" t="s">
        <v>59</v>
      </c>
    </row>
    <row r="265" spans="1:28" x14ac:dyDescent="0.4">
      <c r="A265" s="155"/>
      <c r="B265" s="158"/>
      <c r="C265" s="85" t="s">
        <v>470</v>
      </c>
      <c r="D265" s="109" t="s">
        <v>379</v>
      </c>
      <c r="E265" s="13" t="s">
        <v>39</v>
      </c>
      <c r="F265" s="16"/>
      <c r="G265" s="13" t="s">
        <v>178</v>
      </c>
      <c r="H265" s="18"/>
      <c r="I265" s="15"/>
      <c r="J265" s="13">
        <v>1</v>
      </c>
      <c r="K265" s="13"/>
      <c r="L265" s="20"/>
      <c r="M265" s="20"/>
      <c r="N265" s="20"/>
      <c r="O265" s="20"/>
      <c r="P265" s="20"/>
      <c r="Q265" s="20"/>
      <c r="R265" s="20"/>
      <c r="S265" s="15"/>
      <c r="T265" s="131">
        <v>46211</v>
      </c>
      <c r="U265" s="15" t="s">
        <v>146</v>
      </c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5"/>
      <c r="B266" s="158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6"/>
      <c r="B267" s="159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22</v>
      </c>
      <c r="D268" s="112"/>
      <c r="E268" s="29"/>
      <c r="F268" s="29" t="s">
        <v>34</v>
      </c>
      <c r="G268" s="29">
        <f>COUNTIF(G243:G267,"S")</f>
        <v>5</v>
      </c>
      <c r="H268" s="29">
        <f>COUNTIF(H243:H267,"E")</f>
        <v>0</v>
      </c>
      <c r="I268" s="29">
        <f>SUM(I243:I267)</f>
        <v>0</v>
      </c>
      <c r="J268" s="29">
        <f t="shared" ref="J268" si="51">SUM(J243:J267)</f>
        <v>3</v>
      </c>
      <c r="K268" s="29">
        <f t="shared" ref="K268" si="52">SUM(K243:K267)</f>
        <v>1</v>
      </c>
      <c r="L268" s="29">
        <f t="shared" ref="L268" si="53">SUM(L243:L267)</f>
        <v>0</v>
      </c>
      <c r="M268" s="29">
        <f t="shared" ref="M268" si="54">SUM(M243:M267)</f>
        <v>2</v>
      </c>
      <c r="N268" s="29">
        <f t="shared" ref="N268" si="55">SUM(N243:N267)</f>
        <v>0</v>
      </c>
      <c r="O268" s="29">
        <f t="shared" ref="O268" si="56">SUM(O243:O267)</f>
        <v>4</v>
      </c>
      <c r="P268" s="29">
        <f t="shared" ref="P268" si="57">SUM(P243:P267)</f>
        <v>0</v>
      </c>
      <c r="Q268" s="29">
        <f t="shared" ref="Q268" si="58">SUM(Q243:Q267)</f>
        <v>1</v>
      </c>
      <c r="R268" s="29">
        <f t="shared" ref="R268" si="59">SUM(R243:R267)</f>
        <v>0</v>
      </c>
      <c r="S268" s="29">
        <f t="shared" ref="S268" si="60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4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11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AYG142</v>
      </c>
      <c r="B271" s="24">
        <f>B1</f>
        <v>46175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7" t="s">
        <v>111</v>
      </c>
      <c r="Y272" s="153"/>
    </row>
    <row r="273" spans="1:28" ht="20.25" thickTop="1" thickBot="1" x14ac:dyDescent="0.45">
      <c r="A273" s="154">
        <v>10</v>
      </c>
      <c r="B273" s="157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55"/>
      <c r="B274" s="158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55"/>
      <c r="B275" s="158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5"/>
      <c r="B276" s="158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55"/>
      <c r="B277" s="158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55"/>
      <c r="B278" s="158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55"/>
      <c r="B279" s="158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55"/>
      <c r="B280" s="158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55"/>
      <c r="B281" s="158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55"/>
      <c r="B282" s="158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55"/>
      <c r="B283" s="158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55"/>
      <c r="B284" s="158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55"/>
      <c r="B285" s="158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5"/>
      <c r="B286" s="158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5"/>
      <c r="B287" s="158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55"/>
      <c r="B288" s="158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5"/>
      <c r="B289" s="158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5"/>
      <c r="B290" s="158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5"/>
      <c r="B291" s="158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5"/>
      <c r="B292" s="158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5"/>
      <c r="B293" s="158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5"/>
      <c r="B294" s="158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5"/>
      <c r="B295" s="158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5"/>
      <c r="B296" s="158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6"/>
      <c r="B297" s="159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1">SUM(J273:J297)</f>
        <v>0</v>
      </c>
      <c r="K298" s="29">
        <f t="shared" ref="K298" si="62">SUM(K273:K297)</f>
        <v>0</v>
      </c>
      <c r="L298" s="29">
        <f t="shared" ref="L298" si="63">SUM(L273:L297)</f>
        <v>0</v>
      </c>
      <c r="M298" s="29">
        <f t="shared" ref="M298" si="64">SUM(M273:M297)</f>
        <v>0</v>
      </c>
      <c r="N298" s="29">
        <f t="shared" ref="N298" si="65">SUM(N273:N297)</f>
        <v>0</v>
      </c>
      <c r="O298" s="29">
        <f t="shared" ref="O298" si="66">SUM(O273:O297)</f>
        <v>0</v>
      </c>
      <c r="P298" s="29">
        <f t="shared" ref="P298" si="67">SUM(P273:P297)</f>
        <v>0</v>
      </c>
      <c r="Q298" s="29">
        <f t="shared" ref="Q298" si="68">SUM(Q273:Q297)</f>
        <v>0</v>
      </c>
      <c r="R298" s="29">
        <f t="shared" ref="R298" si="69">SUM(R273:R297)</f>
        <v>0</v>
      </c>
      <c r="S298" s="29">
        <f t="shared" ref="S298" si="70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AYG142</v>
      </c>
      <c r="B301" s="24">
        <f>B1</f>
        <v>46175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7" t="s">
        <v>110</v>
      </c>
      <c r="Y302" s="153"/>
    </row>
    <row r="303" spans="1:28" ht="20.25" thickTop="1" thickBot="1" x14ac:dyDescent="0.45">
      <c r="A303" s="154">
        <v>11</v>
      </c>
      <c r="B303" s="157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5"/>
      <c r="B304" s="158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5"/>
      <c r="B305" s="158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5"/>
      <c r="B306" s="158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5"/>
      <c r="B307" s="158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5"/>
      <c r="B308" s="158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5"/>
      <c r="B309" s="158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5"/>
      <c r="B310" s="158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5"/>
      <c r="B311" s="158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5"/>
      <c r="B312" s="158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5"/>
      <c r="B313" s="158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5"/>
      <c r="B314" s="158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5"/>
      <c r="B315" s="158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5"/>
      <c r="B316" s="158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5"/>
      <c r="B317" s="158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5"/>
      <c r="B318" s="158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5"/>
      <c r="B319" s="158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5"/>
      <c r="B320" s="158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5"/>
      <c r="B321" s="158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5"/>
      <c r="B322" s="158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5"/>
      <c r="B323" s="158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5"/>
      <c r="B324" s="158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5"/>
      <c r="B325" s="158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5"/>
      <c r="B326" s="158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6"/>
      <c r="B327" s="159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1">SUM(J303:J327)</f>
        <v>0</v>
      </c>
      <c r="K328" s="29">
        <f t="shared" ref="K328" si="72">SUM(K303:K327)</f>
        <v>0</v>
      </c>
      <c r="L328" s="29">
        <f t="shared" ref="L328" si="73">SUM(L303:L327)</f>
        <v>0</v>
      </c>
      <c r="M328" s="29">
        <f t="shared" ref="M328" si="74">SUM(M303:M327)</f>
        <v>0</v>
      </c>
      <c r="N328" s="29">
        <f t="shared" ref="N328" si="75">SUM(N303:N327)</f>
        <v>0</v>
      </c>
      <c r="O328" s="29">
        <f t="shared" ref="O328" si="76">SUM(O303:O327)</f>
        <v>0</v>
      </c>
      <c r="P328" s="29">
        <f t="shared" ref="P328" si="77">SUM(P303:P327)</f>
        <v>0</v>
      </c>
      <c r="Q328" s="29">
        <f t="shared" ref="Q328" si="78">SUM(Q303:Q327)</f>
        <v>0</v>
      </c>
      <c r="R328" s="29">
        <f t="shared" ref="R328" si="79">SUM(R303:R327)</f>
        <v>0</v>
      </c>
      <c r="S328" s="29">
        <f t="shared" ref="S328" si="80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AYG142</v>
      </c>
      <c r="B331" s="24">
        <f>B151</f>
        <v>46175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7" t="s">
        <v>109</v>
      </c>
      <c r="Y332" s="153"/>
    </row>
    <row r="333" spans="1:28" ht="20.25" thickTop="1" thickBot="1" x14ac:dyDescent="0.45">
      <c r="A333" s="154">
        <v>12</v>
      </c>
      <c r="B333" s="157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5"/>
      <c r="B334" s="158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5"/>
      <c r="B335" s="158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5"/>
      <c r="B336" s="158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5"/>
      <c r="B337" s="158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5"/>
      <c r="B338" s="158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5"/>
      <c r="B339" s="158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5"/>
      <c r="B340" s="158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5"/>
      <c r="B341" s="158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5"/>
      <c r="B342" s="158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5"/>
      <c r="B343" s="158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5"/>
      <c r="B344" s="158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5"/>
      <c r="B345" s="158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5"/>
      <c r="B346" s="158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5"/>
      <c r="B347" s="158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5"/>
      <c r="B348" s="158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5"/>
      <c r="B349" s="158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5"/>
      <c r="B350" s="158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5"/>
      <c r="B351" s="158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5"/>
      <c r="B352" s="158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5"/>
      <c r="B353" s="158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5"/>
      <c r="B354" s="158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5"/>
      <c r="B355" s="158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5"/>
      <c r="B356" s="158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6"/>
      <c r="B357" s="159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1">SUM(J333:J357)</f>
        <v>0</v>
      </c>
      <c r="K358" s="29">
        <f t="shared" si="81"/>
        <v>0</v>
      </c>
      <c r="L358" s="29">
        <f t="shared" si="81"/>
        <v>0</v>
      </c>
      <c r="M358" s="29">
        <f t="shared" si="81"/>
        <v>0</v>
      </c>
      <c r="N358" s="29">
        <f t="shared" si="81"/>
        <v>0</v>
      </c>
      <c r="O358" s="29">
        <f t="shared" si="81"/>
        <v>0</v>
      </c>
      <c r="P358" s="29">
        <f t="shared" si="81"/>
        <v>0</v>
      </c>
      <c r="Q358" s="29">
        <f t="shared" si="81"/>
        <v>0</v>
      </c>
      <c r="R358" s="29">
        <f t="shared" si="81"/>
        <v>0</v>
      </c>
      <c r="S358" s="29">
        <f t="shared" si="8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7" t="s">
        <v>138</v>
      </c>
      <c r="Y362" s="153"/>
    </row>
    <row r="363" spans="1:28" ht="19.5" thickTop="1" x14ac:dyDescent="0.4">
      <c r="A363" s="154">
        <v>13</v>
      </c>
      <c r="B363" s="157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5"/>
      <c r="B364" s="158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5"/>
      <c r="B365" s="158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5"/>
      <c r="B366" s="158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5"/>
      <c r="B367" s="158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5"/>
      <c r="B368" s="158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5"/>
      <c r="B369" s="158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5"/>
      <c r="B370" s="158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5"/>
      <c r="B371" s="158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5"/>
      <c r="B372" s="158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5"/>
      <c r="B373" s="158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5"/>
      <c r="B374" s="158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5"/>
      <c r="B375" s="158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5"/>
      <c r="B376" s="158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5"/>
      <c r="B377" s="158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5"/>
      <c r="B378" s="158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5"/>
      <c r="B379" s="158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5"/>
      <c r="B380" s="158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5"/>
      <c r="B381" s="158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5"/>
      <c r="B382" s="158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5"/>
      <c r="B383" s="158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5"/>
      <c r="B384" s="158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5"/>
      <c r="B385" s="158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5"/>
      <c r="B386" s="158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6"/>
      <c r="B387" s="159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2">SUM(J363:J387)</f>
        <v>0</v>
      </c>
      <c r="K388" s="29">
        <f t="shared" si="82"/>
        <v>0</v>
      </c>
      <c r="L388" s="29">
        <f t="shared" si="82"/>
        <v>0</v>
      </c>
      <c r="M388" s="29">
        <f t="shared" si="82"/>
        <v>0</v>
      </c>
      <c r="N388" s="29">
        <f t="shared" si="82"/>
        <v>0</v>
      </c>
      <c r="O388" s="29">
        <f t="shared" si="82"/>
        <v>0</v>
      </c>
      <c r="P388" s="29">
        <f t="shared" si="82"/>
        <v>0</v>
      </c>
      <c r="Q388" s="29">
        <f t="shared" si="82"/>
        <v>0</v>
      </c>
      <c r="R388" s="29">
        <f t="shared" si="82"/>
        <v>0</v>
      </c>
      <c r="S388" s="29">
        <f t="shared" si="8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7" t="s">
        <v>139</v>
      </c>
      <c r="Y392" s="153"/>
    </row>
    <row r="393" spans="1:25" ht="19.5" thickTop="1" x14ac:dyDescent="0.4">
      <c r="A393" s="154">
        <v>14</v>
      </c>
      <c r="B393" s="157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5"/>
      <c r="B394" s="158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5"/>
      <c r="B395" s="158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5"/>
      <c r="B396" s="158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5"/>
      <c r="B397" s="158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5"/>
      <c r="B398" s="158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5"/>
      <c r="B399" s="158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5"/>
      <c r="B400" s="158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5"/>
      <c r="B401" s="158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5"/>
      <c r="B402" s="158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5"/>
      <c r="B403" s="158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5"/>
      <c r="B404" s="158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5"/>
      <c r="B405" s="158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5"/>
      <c r="B406" s="158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5"/>
      <c r="B407" s="158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5"/>
      <c r="B408" s="158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5"/>
      <c r="B409" s="158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5"/>
      <c r="B410" s="158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5"/>
      <c r="B411" s="158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5"/>
      <c r="B412" s="158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5"/>
      <c r="B413" s="158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5"/>
      <c r="B414" s="158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5"/>
      <c r="B415" s="158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5"/>
      <c r="B416" s="158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6"/>
      <c r="B417" s="159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3">SUM(J393:J417)</f>
        <v>0</v>
      </c>
      <c r="K418" s="29">
        <f t="shared" si="83"/>
        <v>0</v>
      </c>
      <c r="L418" s="29">
        <f t="shared" si="83"/>
        <v>0</v>
      </c>
      <c r="M418" s="29">
        <f t="shared" si="83"/>
        <v>0</v>
      </c>
      <c r="N418" s="29">
        <f t="shared" si="83"/>
        <v>0</v>
      </c>
      <c r="O418" s="29">
        <f t="shared" si="83"/>
        <v>0</v>
      </c>
      <c r="P418" s="29">
        <f t="shared" si="83"/>
        <v>0</v>
      </c>
      <c r="Q418" s="29">
        <f t="shared" si="83"/>
        <v>0</v>
      </c>
      <c r="R418" s="29">
        <f t="shared" si="83"/>
        <v>0</v>
      </c>
      <c r="S418" s="29">
        <f t="shared" si="8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7" t="s">
        <v>140</v>
      </c>
      <c r="Y422" s="153"/>
    </row>
    <row r="423" spans="1:25" ht="19.5" thickTop="1" x14ac:dyDescent="0.4">
      <c r="A423" s="154">
        <v>15</v>
      </c>
      <c r="B423" s="157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5"/>
      <c r="B424" s="158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5"/>
      <c r="B425" s="158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5"/>
      <c r="B426" s="158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5"/>
      <c r="B427" s="158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5"/>
      <c r="B428" s="158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5"/>
      <c r="B429" s="158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5"/>
      <c r="B430" s="158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5"/>
      <c r="B431" s="158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5"/>
      <c r="B432" s="158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5"/>
      <c r="B433" s="158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5"/>
      <c r="B434" s="158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5"/>
      <c r="B435" s="158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5"/>
      <c r="B436" s="158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5"/>
      <c r="B437" s="158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5"/>
      <c r="B438" s="158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5"/>
      <c r="B439" s="158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5"/>
      <c r="B440" s="158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5"/>
      <c r="B441" s="158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5"/>
      <c r="B442" s="158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5"/>
      <c r="B443" s="158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5"/>
      <c r="B444" s="158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5"/>
      <c r="B445" s="158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5"/>
      <c r="B446" s="158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6"/>
      <c r="B447" s="159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4">SUM(J423:J447)</f>
        <v>0</v>
      </c>
      <c r="K448" s="29">
        <f t="shared" si="84"/>
        <v>0</v>
      </c>
      <c r="L448" s="29">
        <f t="shared" si="84"/>
        <v>0</v>
      </c>
      <c r="M448" s="29">
        <f t="shared" si="84"/>
        <v>0</v>
      </c>
      <c r="N448" s="29">
        <f t="shared" si="84"/>
        <v>0</v>
      </c>
      <c r="O448" s="29">
        <f t="shared" si="84"/>
        <v>0</v>
      </c>
      <c r="P448" s="29">
        <f t="shared" si="84"/>
        <v>0</v>
      </c>
      <c r="Q448" s="29">
        <f t="shared" si="84"/>
        <v>0</v>
      </c>
      <c r="R448" s="29">
        <f t="shared" si="84"/>
        <v>0</v>
      </c>
      <c r="S448" s="29">
        <f t="shared" si="8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7" t="s">
        <v>105</v>
      </c>
      <c r="Y451" s="153"/>
    </row>
    <row r="452" spans="1:25" ht="19.5" thickTop="1" x14ac:dyDescent="0.4">
      <c r="A452" s="154">
        <v>16</v>
      </c>
      <c r="B452" s="144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5"/>
      <c r="B453" s="145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5"/>
      <c r="B454" s="145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5"/>
      <c r="B455" s="145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5"/>
      <c r="B456" s="145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5"/>
      <c r="B457" s="145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5"/>
      <c r="B458" s="145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5"/>
      <c r="B459" s="145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5"/>
      <c r="B460" s="145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5"/>
      <c r="B461" s="145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5"/>
      <c r="B462" s="145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5"/>
      <c r="B463" s="145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5"/>
      <c r="B464" s="145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5"/>
      <c r="B465" s="145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5"/>
      <c r="B466" s="145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5"/>
      <c r="B467" s="145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5"/>
      <c r="B468" s="145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5"/>
      <c r="B469" s="145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5"/>
      <c r="B470" s="145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5"/>
      <c r="B471" s="145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5"/>
      <c r="B472" s="145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5"/>
      <c r="B473" s="145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5"/>
      <c r="B474" s="145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5"/>
      <c r="B475" s="145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6"/>
      <c r="B476" s="146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5">SUM(I452:I476)</f>
        <v>0</v>
      </c>
      <c r="J477" s="29">
        <f t="shared" si="85"/>
        <v>0</v>
      </c>
      <c r="K477" s="29">
        <f t="shared" si="85"/>
        <v>0</v>
      </c>
      <c r="L477" s="29">
        <f t="shared" si="85"/>
        <v>0</v>
      </c>
      <c r="M477" s="29">
        <f t="shared" si="85"/>
        <v>0</v>
      </c>
      <c r="N477" s="29">
        <f t="shared" si="85"/>
        <v>0</v>
      </c>
      <c r="O477" s="29">
        <f t="shared" si="85"/>
        <v>0</v>
      </c>
      <c r="P477" s="29">
        <f t="shared" si="85"/>
        <v>0</v>
      </c>
      <c r="Q477" s="29">
        <f t="shared" si="85"/>
        <v>0</v>
      </c>
      <c r="R477" s="29">
        <f t="shared" si="85"/>
        <v>0</v>
      </c>
      <c r="S477" s="29">
        <f t="shared" si="8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8" t="s">
        <v>47</v>
      </c>
      <c r="C26" s="168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9"/>
      <c r="C27" s="169"/>
      <c r="D27" s="170">
        <f>SUM(D26:F26)</f>
        <v>116</v>
      </c>
      <c r="E27" s="170"/>
      <c r="F27" s="170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zoomScaleNormal="100" workbookViewId="0">
      <selection activeCell="K2" sqref="K2:L18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186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>
        <v>46168</v>
      </c>
      <c r="L2" s="13" t="s">
        <v>147</v>
      </c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/>
      <c r="B3" s="123"/>
      <c r="C3" s="123"/>
      <c r="D3" s="123"/>
      <c r="H3" s="115"/>
      <c r="I3" s="115"/>
      <c r="J3" s="115"/>
      <c r="K3" s="25">
        <v>46181</v>
      </c>
      <c r="L3" s="13" t="s">
        <v>147</v>
      </c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/>
      <c r="B4" s="123"/>
      <c r="C4" s="123"/>
      <c r="D4" s="123"/>
      <c r="H4" s="115"/>
      <c r="I4" s="115"/>
      <c r="J4" s="115"/>
      <c r="K4" s="25">
        <v>46186</v>
      </c>
      <c r="L4" s="13" t="s">
        <v>147</v>
      </c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/>
      <c r="B5" s="123"/>
      <c r="C5" s="123"/>
      <c r="D5" s="123"/>
      <c r="H5" s="115"/>
      <c r="I5" s="115"/>
      <c r="J5" s="115"/>
      <c r="K5" s="25">
        <v>46190</v>
      </c>
      <c r="L5" s="13" t="s">
        <v>142</v>
      </c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/>
      <c r="B6" s="123"/>
      <c r="C6" s="123"/>
      <c r="D6" s="123"/>
      <c r="K6" s="25">
        <v>46187</v>
      </c>
      <c r="L6" s="13" t="s">
        <v>146</v>
      </c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/>
      <c r="B7" s="123"/>
      <c r="C7" s="123"/>
      <c r="D7" s="123"/>
      <c r="K7" s="25">
        <v>46160</v>
      </c>
      <c r="L7" s="13" t="s">
        <v>148</v>
      </c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/>
      <c r="B8" s="123"/>
      <c r="C8" s="123"/>
      <c r="D8" s="123"/>
      <c r="K8" s="25">
        <v>46186</v>
      </c>
      <c r="L8" s="13" t="s">
        <v>147</v>
      </c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/>
      <c r="B9" s="123"/>
      <c r="C9" s="123"/>
      <c r="D9" s="123"/>
      <c r="H9" s="115"/>
      <c r="I9" s="115"/>
      <c r="J9" s="115"/>
      <c r="K9" s="25">
        <v>46186</v>
      </c>
      <c r="L9" s="13" t="s">
        <v>147</v>
      </c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/>
      <c r="B10" s="123"/>
      <c r="C10" s="123"/>
      <c r="D10" s="123"/>
      <c r="H10" s="115"/>
      <c r="I10" s="115"/>
      <c r="J10" s="115"/>
      <c r="K10" s="25">
        <v>46188</v>
      </c>
      <c r="L10" s="13" t="s">
        <v>146</v>
      </c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/>
      <c r="B11" s="123"/>
      <c r="C11" s="123"/>
      <c r="D11" s="123"/>
      <c r="K11" s="25">
        <v>46188</v>
      </c>
      <c r="L11" s="13" t="s">
        <v>146</v>
      </c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/>
      <c r="B12" s="123"/>
      <c r="C12" s="123"/>
      <c r="D12" s="123"/>
      <c r="H12" s="115"/>
      <c r="I12" s="115"/>
      <c r="J12" s="115"/>
      <c r="K12" s="25">
        <v>46188</v>
      </c>
      <c r="L12" s="13" t="s">
        <v>146</v>
      </c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/>
      <c r="B13" s="123"/>
      <c r="C13" s="123"/>
      <c r="D13" s="123"/>
      <c r="H13" s="115"/>
      <c r="I13" s="115"/>
      <c r="J13" s="115"/>
      <c r="K13" s="25">
        <v>46181</v>
      </c>
      <c r="L13" s="13" t="s">
        <v>146</v>
      </c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/>
      <c r="B14" s="123"/>
      <c r="C14" s="123"/>
      <c r="D14" s="123"/>
      <c r="H14" s="115"/>
      <c r="I14" s="115"/>
      <c r="J14" s="115"/>
      <c r="K14" s="25">
        <v>46181</v>
      </c>
      <c r="L14" s="13" t="s">
        <v>146</v>
      </c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/>
      <c r="B15" s="123"/>
      <c r="C15" s="123"/>
      <c r="D15" s="123"/>
      <c r="K15" s="25">
        <v>46176</v>
      </c>
      <c r="L15" s="13" t="s">
        <v>147</v>
      </c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/>
      <c r="B16" s="123"/>
      <c r="C16" s="123"/>
      <c r="D16" s="123"/>
      <c r="I16" s="115"/>
      <c r="J16" s="115"/>
      <c r="K16" s="25">
        <v>46181</v>
      </c>
      <c r="L16" s="13" t="s">
        <v>146</v>
      </c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/>
      <c r="B17" s="123"/>
      <c r="C17" s="123"/>
      <c r="D17" s="123"/>
      <c r="H17" s="115"/>
      <c r="I17" s="115"/>
      <c r="J17" s="115"/>
      <c r="K17" s="25">
        <v>46176</v>
      </c>
      <c r="L17" s="13" t="s">
        <v>146</v>
      </c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/>
      <c r="B18" s="123"/>
      <c r="C18" s="123"/>
      <c r="D18" s="123"/>
      <c r="H18" s="115"/>
      <c r="I18" s="115"/>
      <c r="J18" s="115"/>
      <c r="K18" s="25">
        <v>46182</v>
      </c>
      <c r="L18" s="13" t="s">
        <v>147</v>
      </c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/>
      <c r="B19" s="123"/>
      <c r="C19" s="123"/>
      <c r="D19" s="123"/>
      <c r="H19" s="115"/>
      <c r="I19" s="115"/>
      <c r="J19" s="115"/>
      <c r="K19" s="25">
        <v>46176</v>
      </c>
      <c r="L19" s="13" t="s">
        <v>146</v>
      </c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/>
      <c r="B20" s="123"/>
      <c r="C20" s="123"/>
      <c r="D20" s="123"/>
      <c r="K20" s="25">
        <v>46176</v>
      </c>
      <c r="L20" s="13" t="s">
        <v>146</v>
      </c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/>
      <c r="B21" s="123"/>
      <c r="C21" s="123"/>
      <c r="D21" s="123"/>
      <c r="K21" s="25">
        <v>46176</v>
      </c>
      <c r="L21" s="13" t="s">
        <v>146</v>
      </c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/>
      <c r="B22" s="123"/>
      <c r="C22" s="123"/>
      <c r="D22" s="123"/>
      <c r="K22" s="25">
        <v>46179</v>
      </c>
      <c r="L22" s="13" t="s">
        <v>147</v>
      </c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/>
      <c r="B23" s="123"/>
      <c r="C23" s="123"/>
      <c r="D23" s="123"/>
      <c r="J23" s="115"/>
      <c r="K23" s="25">
        <v>46184</v>
      </c>
      <c r="L23" s="13" t="s">
        <v>147</v>
      </c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/>
      <c r="B24" s="123"/>
      <c r="C24" s="123"/>
      <c r="D24" s="123"/>
      <c r="K24" s="25">
        <v>46184</v>
      </c>
      <c r="L24" s="13" t="s">
        <v>147</v>
      </c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/>
      <c r="B25" s="123"/>
      <c r="C25" s="123"/>
      <c r="D25" s="123"/>
      <c r="I25" s="115"/>
      <c r="J25" s="115"/>
      <c r="K25" s="25">
        <v>46184</v>
      </c>
      <c r="L25" s="13" t="s">
        <v>148</v>
      </c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/>
      <c r="B26" s="123"/>
      <c r="C26" s="123"/>
      <c r="D26" s="123"/>
      <c r="I26" s="115"/>
      <c r="J26" s="115"/>
      <c r="K26" s="25">
        <v>46170</v>
      </c>
      <c r="L26" s="13" t="s">
        <v>147</v>
      </c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/>
      <c r="B27" s="123"/>
      <c r="C27" s="123"/>
      <c r="D27" s="123"/>
      <c r="H27" s="115"/>
      <c r="I27" s="115"/>
      <c r="J27" s="115"/>
      <c r="K27" s="25">
        <v>46186</v>
      </c>
      <c r="L27" s="13" t="s">
        <v>146</v>
      </c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>
        <v>46186</v>
      </c>
      <c r="L28" s="13" t="s">
        <v>146</v>
      </c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/>
      <c r="C29" s="123"/>
      <c r="D29" s="123"/>
      <c r="J29" s="115"/>
      <c r="K29" s="25">
        <v>46189</v>
      </c>
      <c r="L29" s="13" t="s">
        <v>146</v>
      </c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/>
      <c r="H30" s="115"/>
      <c r="I30" s="115"/>
      <c r="J30" s="115"/>
      <c r="K30" s="25">
        <v>46197</v>
      </c>
      <c r="L30" s="13" t="s">
        <v>147</v>
      </c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>
        <v>46180</v>
      </c>
      <c r="L31" s="13" t="s">
        <v>146</v>
      </c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>
        <v>46180</v>
      </c>
      <c r="L32" s="13" t="s">
        <v>146</v>
      </c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>
        <v>46180</v>
      </c>
      <c r="L33" s="13" t="s">
        <v>146</v>
      </c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>
        <v>46180</v>
      </c>
      <c r="L34" s="133" t="s">
        <v>146</v>
      </c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>
        <v>46180</v>
      </c>
      <c r="L35" s="13" t="s">
        <v>146</v>
      </c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>
        <v>46180</v>
      </c>
      <c r="L36" s="13" t="s">
        <v>146</v>
      </c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>
        <v>46180</v>
      </c>
      <c r="L37" s="13" t="s">
        <v>146</v>
      </c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>
        <v>46194</v>
      </c>
      <c r="L38" s="13" t="s">
        <v>147</v>
      </c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/>
      <c r="K39" s="25">
        <v>46194</v>
      </c>
      <c r="L39" s="15" t="s">
        <v>147</v>
      </c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>
        <v>46194</v>
      </c>
      <c r="L40" s="15" t="s">
        <v>147</v>
      </c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>
        <v>46194</v>
      </c>
      <c r="L41" s="15" t="s">
        <v>147</v>
      </c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>
        <v>46194</v>
      </c>
      <c r="L42" s="15" t="s">
        <v>148</v>
      </c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>
        <v>46194</v>
      </c>
      <c r="L43" s="15" t="s">
        <v>148</v>
      </c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>
        <v>46194</v>
      </c>
      <c r="L44" s="15" t="s">
        <v>147</v>
      </c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6">
        <v>46176</v>
      </c>
      <c r="L45" s="15" t="s">
        <v>147</v>
      </c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6">
        <v>46186</v>
      </c>
      <c r="L46" s="15" t="s">
        <v>146</v>
      </c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8"/>
      <c r="C47" s="123"/>
      <c r="D47" s="123"/>
      <c r="K47" s="25">
        <v>46186</v>
      </c>
      <c r="L47" s="15" t="s">
        <v>148</v>
      </c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>
        <v>46181</v>
      </c>
      <c r="L48" s="13" t="s">
        <v>147</v>
      </c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>
        <v>46186</v>
      </c>
      <c r="L49" s="13" t="s">
        <v>142</v>
      </c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>
        <v>46190</v>
      </c>
      <c r="L50" s="13" t="s">
        <v>146</v>
      </c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>
        <v>46190</v>
      </c>
      <c r="L51" s="13" t="s">
        <v>146</v>
      </c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>
        <v>46186</v>
      </c>
      <c r="L52" s="13" t="s">
        <v>146</v>
      </c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>
        <v>46181</v>
      </c>
      <c r="L53" s="13" t="s">
        <v>146</v>
      </c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>
        <v>46187</v>
      </c>
      <c r="L54" s="13" t="s">
        <v>146</v>
      </c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>
        <v>46187</v>
      </c>
      <c r="L55" s="13" t="s">
        <v>148</v>
      </c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>
        <v>46187</v>
      </c>
      <c r="L56" s="13" t="s">
        <v>146</v>
      </c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>
        <v>46187</v>
      </c>
      <c r="L57" s="13" t="s">
        <v>146</v>
      </c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>
        <v>46187</v>
      </c>
      <c r="L58" s="13" t="s">
        <v>148</v>
      </c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>
        <v>46187</v>
      </c>
      <c r="L59" s="13" t="s">
        <v>146</v>
      </c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>
        <v>46197</v>
      </c>
      <c r="L60" s="13" t="s">
        <v>146</v>
      </c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>
        <v>46196</v>
      </c>
      <c r="L61" s="13" t="s">
        <v>146</v>
      </c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>
        <v>46196</v>
      </c>
      <c r="L62" s="13" t="s">
        <v>146</v>
      </c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>
        <v>46196</v>
      </c>
      <c r="L63" s="13" t="s">
        <v>146</v>
      </c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>
        <v>46196</v>
      </c>
      <c r="L64" s="13" t="s">
        <v>146</v>
      </c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/>
      <c r="K65" s="25">
        <v>46196</v>
      </c>
      <c r="L65" s="13" t="s">
        <v>146</v>
      </c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>
        <v>46196</v>
      </c>
      <c r="L66" s="13" t="s">
        <v>146</v>
      </c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>
        <v>46189</v>
      </c>
      <c r="L67" s="13" t="s">
        <v>146</v>
      </c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>
        <v>46194</v>
      </c>
      <c r="L68" s="13" t="s">
        <v>147</v>
      </c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/>
      <c r="K69" s="25">
        <v>46194</v>
      </c>
      <c r="L69" s="13" t="s">
        <v>147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>
        <v>46188</v>
      </c>
      <c r="L70" s="13" t="s">
        <v>147</v>
      </c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>
        <v>46187</v>
      </c>
      <c r="L71" s="13" t="s">
        <v>146</v>
      </c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5">
        <v>46188</v>
      </c>
      <c r="L72" s="13" t="s">
        <v>147</v>
      </c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5">
        <v>46193</v>
      </c>
      <c r="L73" s="13" t="s">
        <v>146</v>
      </c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/>
      <c r="K74" s="26">
        <v>46170</v>
      </c>
      <c r="L74" s="13" t="s">
        <v>146</v>
      </c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>
        <v>46170</v>
      </c>
      <c r="L75" s="13" t="s">
        <v>147</v>
      </c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/>
      <c r="K76" s="26">
        <v>46170</v>
      </c>
      <c r="L76" s="13" t="s">
        <v>148</v>
      </c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>
        <v>46160</v>
      </c>
      <c r="L77" s="13" t="s">
        <v>146</v>
      </c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>
        <v>46179</v>
      </c>
      <c r="L78" s="13" t="s">
        <v>148</v>
      </c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>
        <v>46179</v>
      </c>
      <c r="L79" s="13" t="s">
        <v>147</v>
      </c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>
        <v>46189</v>
      </c>
      <c r="L80" s="13" t="s">
        <v>147</v>
      </c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>
        <v>46191</v>
      </c>
      <c r="L81" s="13" t="s">
        <v>146</v>
      </c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>
        <v>46191</v>
      </c>
      <c r="L82" s="13" t="s">
        <v>148</v>
      </c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/>
      <c r="K83" s="26">
        <v>46189</v>
      </c>
      <c r="L83" s="13" t="s">
        <v>146</v>
      </c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>
        <v>46189</v>
      </c>
      <c r="L84" s="13" t="s">
        <v>147</v>
      </c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/>
      <c r="K85" s="26">
        <v>46186</v>
      </c>
      <c r="L85" s="13" t="s">
        <v>147</v>
      </c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>
        <v>46191</v>
      </c>
      <c r="L86" s="13" t="s">
        <v>147</v>
      </c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/>
      <c r="K87" s="26">
        <v>46191</v>
      </c>
      <c r="L87" s="13" t="s">
        <v>148</v>
      </c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>
        <v>46190</v>
      </c>
      <c r="L88" s="13" t="s">
        <v>147</v>
      </c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5">
        <v>46193</v>
      </c>
      <c r="L89" s="15" t="s">
        <v>146</v>
      </c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/>
      <c r="K90" s="25">
        <v>46193</v>
      </c>
      <c r="L90" s="15" t="s">
        <v>146</v>
      </c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5">
        <v>46196</v>
      </c>
      <c r="L91" s="15" t="s">
        <v>146</v>
      </c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5">
        <v>46193</v>
      </c>
      <c r="L92" s="15" t="s">
        <v>146</v>
      </c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>
        <v>46183</v>
      </c>
      <c r="L93" s="15" t="s">
        <v>147</v>
      </c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>
        <v>46180</v>
      </c>
      <c r="L94" s="15" t="s">
        <v>146</v>
      </c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>
        <v>46180</v>
      </c>
      <c r="L95" s="15" t="s">
        <v>146</v>
      </c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>
        <v>46180</v>
      </c>
      <c r="L96" s="15" t="s">
        <v>146</v>
      </c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>
        <v>46180</v>
      </c>
      <c r="L97" s="15" t="s">
        <v>146</v>
      </c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>
        <v>46180</v>
      </c>
      <c r="L98" s="15" t="s">
        <v>148</v>
      </c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>
        <v>46180</v>
      </c>
      <c r="L99" s="15" t="s">
        <v>148</v>
      </c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>
        <v>46194</v>
      </c>
      <c r="L100" s="15" t="s">
        <v>148</v>
      </c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>
        <v>46194</v>
      </c>
      <c r="L101" s="15" t="s">
        <v>148</v>
      </c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>
        <v>46194</v>
      </c>
      <c r="L102" s="15" t="s">
        <v>148</v>
      </c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>
        <v>46180</v>
      </c>
      <c r="L103" s="15" t="s">
        <v>146</v>
      </c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>
        <v>46187</v>
      </c>
      <c r="L104" s="15" t="s">
        <v>146</v>
      </c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25">
        <v>46186</v>
      </c>
      <c r="L105" s="15" t="s">
        <v>146</v>
      </c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>
        <v>46186</v>
      </c>
      <c r="L106" s="15" t="s">
        <v>148</v>
      </c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>
        <v>46191</v>
      </c>
      <c r="L107" s="15" t="s">
        <v>147</v>
      </c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>
        <v>46186</v>
      </c>
      <c r="L108" s="15" t="s">
        <v>147</v>
      </c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>
        <v>46188</v>
      </c>
      <c r="L109" s="13" t="s">
        <v>142</v>
      </c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>
        <v>46201</v>
      </c>
      <c r="L110" s="13" t="s">
        <v>146</v>
      </c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>
        <v>46170</v>
      </c>
      <c r="L111" s="13" t="s">
        <v>146</v>
      </c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/>
      <c r="K112" s="25">
        <v>46176</v>
      </c>
      <c r="L112" s="13" t="s">
        <v>146</v>
      </c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>
        <v>46181</v>
      </c>
      <c r="L113" s="13" t="s">
        <v>147</v>
      </c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>
        <v>46186</v>
      </c>
      <c r="L114" s="133" t="s">
        <v>146</v>
      </c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>
        <v>46186</v>
      </c>
      <c r="L115" s="13" t="s">
        <v>148</v>
      </c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>
        <v>46190</v>
      </c>
      <c r="L116" s="13" t="s">
        <v>146</v>
      </c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>
        <v>46190</v>
      </c>
      <c r="L117" s="13" t="s">
        <v>148</v>
      </c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>
        <v>46190</v>
      </c>
      <c r="L118" s="13" t="s">
        <v>146</v>
      </c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>
        <v>46190</v>
      </c>
      <c r="L119" s="13" t="s">
        <v>148</v>
      </c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>
        <v>46186</v>
      </c>
      <c r="L120" s="13" t="s">
        <v>148</v>
      </c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/>
      <c r="K121" s="25">
        <v>46186</v>
      </c>
      <c r="L121" s="13" t="s">
        <v>148</v>
      </c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6">
        <v>46180</v>
      </c>
      <c r="L122" s="13" t="s">
        <v>146</v>
      </c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6">
        <v>46176</v>
      </c>
      <c r="L123" s="13" t="s">
        <v>147</v>
      </c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6">
        <v>46168</v>
      </c>
      <c r="L124" s="13" t="s">
        <v>147</v>
      </c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6">
        <v>46181</v>
      </c>
      <c r="L125" s="13" t="s">
        <v>147</v>
      </c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6">
        <v>46186</v>
      </c>
      <c r="L126" s="13" t="s">
        <v>146</v>
      </c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6">
        <v>46186</v>
      </c>
      <c r="L127" s="13" t="s">
        <v>148</v>
      </c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6">
        <v>46184</v>
      </c>
      <c r="L128" s="13" t="s">
        <v>147</v>
      </c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6">
        <v>46193</v>
      </c>
      <c r="L129" s="13" t="s">
        <v>147</v>
      </c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6">
        <v>46189</v>
      </c>
      <c r="L130" s="13" t="s">
        <v>147</v>
      </c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/>
      <c r="K131" s="26">
        <v>46189</v>
      </c>
      <c r="L131" s="13" t="s">
        <v>147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6">
        <v>46196</v>
      </c>
      <c r="L132" s="13" t="s">
        <v>146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6">
        <v>46186</v>
      </c>
      <c r="L133" s="13" t="s">
        <v>146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/>
      <c r="L134" s="1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/>
      <c r="K135" s="13"/>
      <c r="L135" s="1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/>
      <c r="L136" s="1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/>
      <c r="K137" s="13"/>
      <c r="L137" s="1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/>
      <c r="L138" s="1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/>
      <c r="K139" s="13"/>
      <c r="L139" s="1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/>
      <c r="L140" s="1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/>
      <c r="K141" s="13"/>
      <c r="L141" s="1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/>
      <c r="L142" s="1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/>
      <c r="L143" s="1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/>
      <c r="K144" s="13"/>
      <c r="L144" s="1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/>
      <c r="L145" s="1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/>
      <c r="L146" s="1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/>
      <c r="K147" s="13"/>
      <c r="L147" s="1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/>
      <c r="K148" s="13"/>
      <c r="L148" s="1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8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8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8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8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8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8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J797"/>
  <sheetViews>
    <sheetView tabSelected="1" zoomScaleNormal="100" workbookViewId="0">
      <selection activeCell="J8" sqref="J8"/>
    </sheetView>
  </sheetViews>
  <sheetFormatPr defaultRowHeight="18.75" x14ac:dyDescent="0.4"/>
  <cols>
    <col min="1" max="2" width="13.625" customWidth="1"/>
    <col min="4" max="4" width="10.875" customWidth="1"/>
    <col min="5" max="5" width="12" customWidth="1"/>
    <col min="6" max="6" width="11" customWidth="1"/>
    <col min="7" max="7" width="9.75" customWidth="1"/>
    <col min="8" max="8" width="10.375" customWidth="1"/>
    <col min="9" max="11" width="19" customWidth="1"/>
    <col min="12" max="12" width="17.75" customWidth="1"/>
    <col min="13" max="13" width="17.125" customWidth="1"/>
    <col min="14" max="14" width="8.5" customWidth="1"/>
    <col min="15" max="19" width="17.5" customWidth="1"/>
    <col min="22" max="34" width="14.875" customWidth="1"/>
    <col min="35" max="35" width="13.625" customWidth="1"/>
    <col min="36" max="36" width="15.5" customWidth="1"/>
  </cols>
  <sheetData>
    <row r="1" spans="1:36" x14ac:dyDescent="0.4">
      <c r="L1" t="s">
        <v>143</v>
      </c>
      <c r="M1" t="s">
        <v>324</v>
      </c>
    </row>
    <row r="2" spans="1:36" x14ac:dyDescent="0.4">
      <c r="A2" t="s">
        <v>194</v>
      </c>
      <c r="L2" s="25">
        <v>46188</v>
      </c>
      <c r="M2" s="13" t="s">
        <v>146</v>
      </c>
    </row>
    <row r="3" spans="1:36" x14ac:dyDescent="0.4">
      <c r="K3" s="115" t="s">
        <v>325</v>
      </c>
      <c r="L3" s="171">
        <f>SUBTOTAL(3,L2:L2)</f>
        <v>1</v>
      </c>
      <c r="M3" s="13">
        <f>SUBTOTAL(3,M2:M2)</f>
        <v>1</v>
      </c>
    </row>
    <row r="4" spans="1:36" x14ac:dyDescent="0.4">
      <c r="A4" s="85" t="s">
        <v>308</v>
      </c>
      <c r="B4" s="140"/>
      <c r="C4" s="121"/>
      <c r="D4" s="120" t="s">
        <v>472</v>
      </c>
      <c r="E4" s="121"/>
      <c r="F4" s="121"/>
      <c r="G4" s="121"/>
      <c r="H4" s="120"/>
      <c r="I4" s="120"/>
      <c r="J4" s="120"/>
      <c r="K4" s="120"/>
      <c r="L4" s="25">
        <v>46189</v>
      </c>
      <c r="M4" s="13" t="s">
        <v>147</v>
      </c>
      <c r="N4" s="121"/>
    </row>
    <row r="5" spans="1:36" x14ac:dyDescent="0.4">
      <c r="A5" s="85"/>
      <c r="B5" s="140"/>
      <c r="C5" s="121"/>
      <c r="D5" s="120"/>
      <c r="E5" s="121"/>
      <c r="F5" s="121"/>
      <c r="G5" s="121"/>
      <c r="H5" s="120"/>
      <c r="I5" s="120"/>
      <c r="J5" s="120"/>
      <c r="K5" s="120" t="s">
        <v>326</v>
      </c>
      <c r="L5" s="171">
        <f>SUBTOTAL(3,L4:L4)</f>
        <v>1</v>
      </c>
      <c r="M5" s="13">
        <f>SUBTOTAL(3,M4:M4)</f>
        <v>1</v>
      </c>
      <c r="N5" s="121"/>
    </row>
    <row r="6" spans="1:36" x14ac:dyDescent="0.4">
      <c r="A6" s="85"/>
      <c r="B6" s="140"/>
      <c r="C6" s="121"/>
      <c r="D6" s="120"/>
      <c r="E6" s="121"/>
      <c r="F6" s="121"/>
      <c r="G6" s="121"/>
      <c r="H6" s="120"/>
      <c r="I6" s="120"/>
      <c r="J6" s="120"/>
      <c r="K6" s="120"/>
      <c r="L6" s="25">
        <v>46190</v>
      </c>
      <c r="M6" s="13" t="s">
        <v>147</v>
      </c>
      <c r="N6" s="121"/>
    </row>
    <row r="7" spans="1:36" ht="19.5" x14ac:dyDescent="0.4">
      <c r="A7" s="85" t="s">
        <v>309</v>
      </c>
      <c r="B7" s="140"/>
      <c r="C7" s="126"/>
      <c r="D7" s="116"/>
      <c r="E7" s="123" t="s">
        <v>146</v>
      </c>
      <c r="F7" s="123" t="s">
        <v>147</v>
      </c>
      <c r="G7" s="123" t="s">
        <v>148</v>
      </c>
      <c r="H7" s="118"/>
      <c r="I7" s="118"/>
      <c r="J7" s="118"/>
      <c r="K7" s="118"/>
      <c r="L7" s="25">
        <v>46190</v>
      </c>
      <c r="M7" s="13" t="s">
        <v>147</v>
      </c>
      <c r="N7" s="126"/>
      <c r="R7" s="127"/>
      <c r="S7" s="29"/>
      <c r="AI7" s="127"/>
      <c r="AJ7" s="29"/>
    </row>
    <row r="8" spans="1:36" ht="19.5" x14ac:dyDescent="0.4">
      <c r="A8" s="85"/>
      <c r="B8" s="140"/>
      <c r="C8" s="126"/>
      <c r="D8" s="117">
        <v>46188</v>
      </c>
      <c r="E8" s="123">
        <v>1</v>
      </c>
      <c r="F8" s="123"/>
      <c r="G8" s="123"/>
      <c r="H8" s="118"/>
      <c r="I8" s="118"/>
      <c r="J8" s="118"/>
      <c r="K8" s="118" t="s">
        <v>327</v>
      </c>
      <c r="L8" s="171">
        <f>SUBTOTAL(3,L6:L7)</f>
        <v>2</v>
      </c>
      <c r="M8" s="13">
        <f>SUBTOTAL(3,M6:M7)</f>
        <v>2</v>
      </c>
      <c r="N8" s="126"/>
      <c r="R8" s="127"/>
      <c r="S8" s="29"/>
      <c r="AI8" s="127"/>
      <c r="AJ8" s="29"/>
    </row>
    <row r="9" spans="1:36" ht="19.5" x14ac:dyDescent="0.4">
      <c r="A9" s="85" t="s">
        <v>231</v>
      </c>
      <c r="B9" s="140"/>
      <c r="C9" s="126"/>
      <c r="D9" s="117">
        <v>46189</v>
      </c>
      <c r="E9" s="123"/>
      <c r="F9" s="123">
        <v>1</v>
      </c>
      <c r="G9" s="123"/>
      <c r="H9" s="125"/>
      <c r="I9" s="125"/>
      <c r="J9" s="125"/>
      <c r="K9" s="125"/>
      <c r="L9" s="25">
        <v>46193</v>
      </c>
      <c r="M9" s="13" t="s">
        <v>147</v>
      </c>
      <c r="N9" s="126"/>
      <c r="Q9" s="115"/>
      <c r="R9" s="127"/>
      <c r="S9" s="29"/>
      <c r="AI9" s="127"/>
      <c r="AJ9" s="29"/>
    </row>
    <row r="10" spans="1:36" ht="19.5" x14ac:dyDescent="0.4">
      <c r="A10" s="85" t="s">
        <v>310</v>
      </c>
      <c r="B10" s="140"/>
      <c r="C10" s="126"/>
      <c r="D10" s="117">
        <v>46190</v>
      </c>
      <c r="E10" s="123"/>
      <c r="F10" s="123">
        <v>2</v>
      </c>
      <c r="G10" s="123"/>
      <c r="H10" s="125"/>
      <c r="I10" s="125"/>
      <c r="J10" s="125"/>
      <c r="K10" s="125"/>
      <c r="L10" s="25">
        <v>46193</v>
      </c>
      <c r="M10" s="13" t="s">
        <v>147</v>
      </c>
      <c r="N10" s="126"/>
      <c r="Q10" s="115"/>
      <c r="R10" s="127"/>
      <c r="S10" s="29"/>
      <c r="AI10" s="127"/>
      <c r="AJ10" s="29"/>
    </row>
    <row r="11" spans="1:36" ht="19.5" x14ac:dyDescent="0.4">
      <c r="A11" s="85"/>
      <c r="B11" s="140"/>
      <c r="C11" s="126"/>
      <c r="D11" s="117">
        <v>46193</v>
      </c>
      <c r="E11" s="123"/>
      <c r="F11" s="123">
        <v>2</v>
      </c>
      <c r="G11" s="123"/>
      <c r="H11" s="125"/>
      <c r="I11" s="125"/>
      <c r="J11" s="125"/>
      <c r="K11" s="125" t="s">
        <v>328</v>
      </c>
      <c r="L11" s="171">
        <f>SUBTOTAL(3,L9:L10)</f>
        <v>2</v>
      </c>
      <c r="M11" s="13">
        <f>SUBTOTAL(3,M9:M10)</f>
        <v>2</v>
      </c>
      <c r="N11" s="126"/>
      <c r="Q11" s="115"/>
      <c r="R11" s="127"/>
      <c r="S11" s="29"/>
      <c r="AI11" s="127"/>
      <c r="AJ11" s="29"/>
    </row>
    <row r="12" spans="1:36" ht="19.5" x14ac:dyDescent="0.4">
      <c r="A12" s="85" t="s">
        <v>311</v>
      </c>
      <c r="B12" s="140"/>
      <c r="C12" s="126"/>
      <c r="D12" s="117">
        <v>46195</v>
      </c>
      <c r="E12" s="123">
        <v>1</v>
      </c>
      <c r="F12" s="123"/>
      <c r="G12" s="123">
        <v>1</v>
      </c>
      <c r="H12" s="125"/>
      <c r="I12" s="125"/>
      <c r="J12" s="125"/>
      <c r="K12" s="125"/>
      <c r="L12" s="25">
        <v>46195</v>
      </c>
      <c r="M12" s="13" t="s">
        <v>146</v>
      </c>
      <c r="N12" s="126"/>
      <c r="P12" s="115"/>
      <c r="Q12" s="115"/>
      <c r="R12" s="127"/>
      <c r="S12" s="29"/>
      <c r="AI12" s="127"/>
      <c r="AJ12" s="29"/>
    </row>
    <row r="13" spans="1:36" ht="19.5" x14ac:dyDescent="0.4">
      <c r="A13" s="85" t="s">
        <v>232</v>
      </c>
      <c r="B13" s="140"/>
      <c r="C13" s="126"/>
      <c r="D13" s="117">
        <v>46199</v>
      </c>
      <c r="E13" s="123">
        <v>2</v>
      </c>
      <c r="F13" s="123">
        <v>1</v>
      </c>
      <c r="G13" s="123"/>
      <c r="H13" s="125"/>
      <c r="I13" s="125"/>
      <c r="J13" s="125"/>
      <c r="K13" s="125"/>
      <c r="L13" s="25">
        <v>46195</v>
      </c>
      <c r="M13" s="13" t="s">
        <v>148</v>
      </c>
      <c r="N13" s="126"/>
      <c r="P13" s="115"/>
      <c r="Q13" s="115"/>
      <c r="R13" s="127"/>
      <c r="S13" s="29"/>
      <c r="AI13" s="127"/>
      <c r="AJ13" s="29"/>
    </row>
    <row r="14" spans="1:36" ht="19.5" x14ac:dyDescent="0.4">
      <c r="A14" s="85"/>
      <c r="B14" s="140"/>
      <c r="C14" s="126"/>
      <c r="D14" s="117">
        <v>46200</v>
      </c>
      <c r="E14" s="123">
        <v>1</v>
      </c>
      <c r="F14" s="123">
        <v>3</v>
      </c>
      <c r="G14" s="123"/>
      <c r="H14" s="125"/>
      <c r="I14" s="125"/>
      <c r="J14" s="125"/>
      <c r="K14" s="125" t="s">
        <v>329</v>
      </c>
      <c r="L14" s="171">
        <f>SUBTOTAL(3,L12:L13)</f>
        <v>2</v>
      </c>
      <c r="M14" s="13">
        <f>SUBTOTAL(3,M12:M13)</f>
        <v>2</v>
      </c>
      <c r="N14" s="126"/>
      <c r="P14" s="115"/>
      <c r="Q14" s="115"/>
      <c r="R14" s="127"/>
      <c r="S14" s="29"/>
      <c r="AI14" s="127"/>
      <c r="AJ14" s="29"/>
    </row>
    <row r="15" spans="1:36" ht="19.5" x14ac:dyDescent="0.4">
      <c r="A15" s="85"/>
      <c r="B15" s="140"/>
      <c r="C15" s="126"/>
      <c r="D15" s="117">
        <v>46201</v>
      </c>
      <c r="E15" s="123">
        <v>5</v>
      </c>
      <c r="F15" s="123">
        <v>6</v>
      </c>
      <c r="G15" s="123">
        <v>1</v>
      </c>
      <c r="H15" s="125"/>
      <c r="I15" s="125"/>
      <c r="J15" s="125"/>
      <c r="K15" s="125"/>
      <c r="L15" s="25">
        <v>46199</v>
      </c>
      <c r="M15" s="13" t="s">
        <v>146</v>
      </c>
      <c r="N15" s="126"/>
      <c r="P15" s="115"/>
      <c r="Q15" s="115"/>
      <c r="R15" s="127"/>
      <c r="S15" s="29"/>
      <c r="AI15" s="127"/>
      <c r="AJ15" s="29"/>
    </row>
    <row r="16" spans="1:36" ht="19.5" x14ac:dyDescent="0.4">
      <c r="A16" s="85" t="s">
        <v>312</v>
      </c>
      <c r="B16" s="140"/>
      <c r="C16" s="126"/>
      <c r="D16" s="117">
        <v>46203</v>
      </c>
      <c r="E16" s="123">
        <v>2</v>
      </c>
      <c r="F16" s="123"/>
      <c r="G16" s="123">
        <v>1</v>
      </c>
      <c r="H16" s="125"/>
      <c r="I16" s="125"/>
      <c r="J16" s="125"/>
      <c r="K16" s="125"/>
      <c r="L16" s="25">
        <v>46199</v>
      </c>
      <c r="M16" s="13" t="s">
        <v>146</v>
      </c>
      <c r="N16" s="126"/>
      <c r="P16" s="115"/>
      <c r="Q16" s="115"/>
      <c r="R16" s="127"/>
      <c r="S16" s="29"/>
      <c r="AI16" s="127"/>
      <c r="AJ16" s="29"/>
    </row>
    <row r="17" spans="1:36" ht="19.5" x14ac:dyDescent="0.4">
      <c r="A17" s="85" t="s">
        <v>313</v>
      </c>
      <c r="B17" s="140"/>
      <c r="C17" s="126"/>
      <c r="D17" s="117">
        <v>46204</v>
      </c>
      <c r="E17" s="123">
        <v>2</v>
      </c>
      <c r="F17" s="123">
        <v>2</v>
      </c>
      <c r="G17" s="123">
        <v>1</v>
      </c>
      <c r="H17" s="125"/>
      <c r="I17" s="125"/>
      <c r="J17" s="125"/>
      <c r="K17" s="125"/>
      <c r="L17" s="25">
        <v>46199</v>
      </c>
      <c r="M17" s="13" t="s">
        <v>147</v>
      </c>
      <c r="N17" s="126"/>
      <c r="O17" s="115"/>
      <c r="P17" s="115"/>
      <c r="Q17" s="115"/>
      <c r="R17" s="127"/>
      <c r="S17" s="29"/>
      <c r="AI17" s="127"/>
      <c r="AJ17" s="29"/>
    </row>
    <row r="18" spans="1:36" ht="19.5" x14ac:dyDescent="0.4">
      <c r="A18" s="85"/>
      <c r="B18" s="140"/>
      <c r="C18" s="126"/>
      <c r="D18" s="117">
        <v>46205</v>
      </c>
      <c r="E18" s="123">
        <v>2</v>
      </c>
      <c r="F18" s="123"/>
      <c r="G18" s="123">
        <v>1</v>
      </c>
      <c r="H18" s="125"/>
      <c r="I18" s="125"/>
      <c r="J18" s="125"/>
      <c r="K18" s="125" t="s">
        <v>330</v>
      </c>
      <c r="L18" s="171">
        <f>SUBTOTAL(3,L15:L17)</f>
        <v>3</v>
      </c>
      <c r="M18" s="13">
        <f>SUBTOTAL(3,M15:M17)</f>
        <v>3</v>
      </c>
      <c r="N18" s="126"/>
      <c r="O18" s="115"/>
      <c r="P18" s="115"/>
      <c r="Q18" s="115"/>
      <c r="R18" s="127"/>
      <c r="S18" s="29"/>
      <c r="AI18" s="127"/>
      <c r="AJ18" s="29"/>
    </row>
    <row r="19" spans="1:36" ht="19.5" x14ac:dyDescent="0.4">
      <c r="A19" s="85" t="s">
        <v>314</v>
      </c>
      <c r="B19" s="140"/>
      <c r="C19" s="126"/>
      <c r="D19" s="117">
        <v>46206</v>
      </c>
      <c r="E19" s="123">
        <v>5</v>
      </c>
      <c r="F19" s="123">
        <v>2</v>
      </c>
      <c r="G19" s="123">
        <v>1</v>
      </c>
      <c r="H19" s="125"/>
      <c r="I19" s="125"/>
      <c r="J19" s="125"/>
      <c r="K19" s="125"/>
      <c r="L19" s="25">
        <v>46200</v>
      </c>
      <c r="M19" s="13" t="s">
        <v>147</v>
      </c>
      <c r="N19" s="126"/>
      <c r="O19" s="115"/>
      <c r="P19" s="115"/>
      <c r="Q19" s="115"/>
      <c r="R19" s="127"/>
      <c r="S19" s="29"/>
      <c r="AI19" s="127"/>
      <c r="AJ19" s="29"/>
    </row>
    <row r="20" spans="1:36" ht="19.5" x14ac:dyDescent="0.4">
      <c r="A20" s="85" t="s">
        <v>315</v>
      </c>
      <c r="B20" s="140"/>
      <c r="C20" s="126"/>
      <c r="D20" s="117">
        <v>46207</v>
      </c>
      <c r="E20" s="123"/>
      <c r="F20" s="123">
        <v>1</v>
      </c>
      <c r="G20" s="123">
        <v>3</v>
      </c>
      <c r="H20" s="125"/>
      <c r="I20" s="125"/>
      <c r="J20" s="125"/>
      <c r="K20" s="125"/>
      <c r="L20" s="25">
        <v>46200</v>
      </c>
      <c r="M20" s="13" t="s">
        <v>146</v>
      </c>
      <c r="N20" s="126"/>
      <c r="O20" s="115"/>
      <c r="P20" s="115"/>
      <c r="Q20" s="115"/>
      <c r="R20" s="127"/>
      <c r="S20" s="29"/>
      <c r="AI20" s="127"/>
      <c r="AJ20" s="29"/>
    </row>
    <row r="21" spans="1:36" ht="19.5" x14ac:dyDescent="0.4">
      <c r="A21" s="85" t="s">
        <v>316</v>
      </c>
      <c r="B21" s="140"/>
      <c r="C21" s="126"/>
      <c r="D21" s="117">
        <v>46208</v>
      </c>
      <c r="E21" s="123">
        <v>6</v>
      </c>
      <c r="F21" s="123">
        <v>8</v>
      </c>
      <c r="G21" s="123">
        <v>8</v>
      </c>
      <c r="H21" s="125"/>
      <c r="I21" s="125"/>
      <c r="J21" s="125"/>
      <c r="K21" s="125"/>
      <c r="L21" s="25">
        <v>46200</v>
      </c>
      <c r="M21" s="13" t="s">
        <v>147</v>
      </c>
      <c r="N21" s="126"/>
      <c r="O21" s="115"/>
      <c r="P21" s="115"/>
      <c r="Q21" s="115"/>
      <c r="R21" s="127"/>
      <c r="S21" s="29"/>
      <c r="AI21" s="127"/>
      <c r="AJ21" s="29"/>
    </row>
    <row r="22" spans="1:36" ht="19.5" x14ac:dyDescent="0.4">
      <c r="A22" s="85"/>
      <c r="B22" s="140"/>
      <c r="C22" s="126"/>
      <c r="D22" s="117">
        <v>46209</v>
      </c>
      <c r="E22" s="123">
        <v>2</v>
      </c>
      <c r="F22" s="123">
        <v>3</v>
      </c>
      <c r="G22" s="123"/>
      <c r="H22" s="125"/>
      <c r="I22" s="125"/>
      <c r="J22" s="125"/>
      <c r="K22" s="125"/>
      <c r="L22" s="25">
        <v>46200</v>
      </c>
      <c r="M22" s="13" t="s">
        <v>147</v>
      </c>
      <c r="N22" s="126"/>
      <c r="O22" s="115"/>
      <c r="P22" s="115"/>
      <c r="Q22" s="115"/>
      <c r="R22" s="127"/>
      <c r="S22" s="29"/>
      <c r="AI22" s="127"/>
      <c r="AJ22" s="29"/>
    </row>
    <row r="23" spans="1:36" ht="19.5" x14ac:dyDescent="0.4">
      <c r="A23" s="85"/>
      <c r="B23" s="140"/>
      <c r="C23" s="126"/>
      <c r="D23" s="117">
        <v>46210</v>
      </c>
      <c r="E23" s="123">
        <v>8</v>
      </c>
      <c r="F23" s="123">
        <v>3</v>
      </c>
      <c r="G23" s="123">
        <v>2</v>
      </c>
      <c r="H23" s="125"/>
      <c r="I23" s="125"/>
      <c r="J23" s="125"/>
      <c r="K23" s="125" t="s">
        <v>331</v>
      </c>
      <c r="L23" s="171">
        <f>SUBTOTAL(3,L19:L22)</f>
        <v>4</v>
      </c>
      <c r="M23" s="13">
        <f>SUBTOTAL(3,M19:M22)</f>
        <v>4</v>
      </c>
      <c r="N23" s="126"/>
      <c r="O23" s="115"/>
      <c r="P23" s="115"/>
      <c r="Q23" s="115"/>
      <c r="R23" s="127"/>
      <c r="S23" s="29"/>
      <c r="AI23" s="127"/>
      <c r="AJ23" s="29"/>
    </row>
    <row r="24" spans="1:36" ht="19.5" x14ac:dyDescent="0.4">
      <c r="A24" s="85" t="s">
        <v>317</v>
      </c>
      <c r="B24" s="140"/>
      <c r="C24" s="126"/>
      <c r="D24" s="117">
        <v>46211</v>
      </c>
      <c r="E24" s="123">
        <v>9</v>
      </c>
      <c r="F24" s="123">
        <v>2</v>
      </c>
      <c r="G24" s="123">
        <v>1</v>
      </c>
      <c r="H24" s="125"/>
      <c r="I24" s="125"/>
      <c r="J24" s="125"/>
      <c r="K24" s="125"/>
      <c r="L24" s="25">
        <v>46201</v>
      </c>
      <c r="M24" s="13" t="s">
        <v>146</v>
      </c>
      <c r="N24" s="126"/>
      <c r="O24" s="115"/>
      <c r="P24" s="115"/>
      <c r="Q24" s="115"/>
      <c r="R24" s="127"/>
      <c r="S24" s="29"/>
      <c r="AI24" s="127"/>
      <c r="AJ24" s="29"/>
    </row>
    <row r="25" spans="1:36" ht="19.5" x14ac:dyDescent="0.4">
      <c r="A25" s="85"/>
      <c r="B25" s="140"/>
      <c r="C25" s="126"/>
      <c r="D25" s="117">
        <v>46216</v>
      </c>
      <c r="E25" s="123">
        <v>4</v>
      </c>
      <c r="F25" s="123">
        <v>5</v>
      </c>
      <c r="G25" s="123"/>
      <c r="H25" s="125"/>
      <c r="I25" s="125"/>
      <c r="J25" s="125"/>
      <c r="K25" s="125"/>
      <c r="L25" s="25">
        <v>46201</v>
      </c>
      <c r="M25" s="13" t="s">
        <v>147</v>
      </c>
      <c r="N25" s="126"/>
      <c r="O25" s="115"/>
      <c r="P25" s="115"/>
      <c r="Q25" s="115"/>
      <c r="R25" s="127"/>
      <c r="S25" s="29"/>
      <c r="AI25" s="127"/>
      <c r="AJ25" s="29"/>
    </row>
    <row r="26" spans="1:36" ht="19.5" x14ac:dyDescent="0.4">
      <c r="A26" s="85" t="s">
        <v>318</v>
      </c>
      <c r="B26" s="140"/>
      <c r="C26" s="126"/>
      <c r="D26" s="117">
        <v>46218</v>
      </c>
      <c r="E26" s="123"/>
      <c r="F26" s="123"/>
      <c r="G26" s="123">
        <v>1</v>
      </c>
      <c r="H26" s="125"/>
      <c r="I26" s="125"/>
      <c r="J26" s="125"/>
      <c r="K26" s="125"/>
      <c r="L26" s="25">
        <v>46201</v>
      </c>
      <c r="M26" s="13" t="s">
        <v>147</v>
      </c>
      <c r="N26" s="126"/>
      <c r="O26" s="115"/>
      <c r="P26" s="115"/>
      <c r="Q26" s="115"/>
      <c r="R26" s="127"/>
      <c r="S26" s="29"/>
      <c r="AI26" s="127"/>
      <c r="AJ26" s="29"/>
    </row>
    <row r="27" spans="1:36" ht="19.5" x14ac:dyDescent="0.4">
      <c r="A27" s="85" t="s">
        <v>319</v>
      </c>
      <c r="B27" s="140"/>
      <c r="C27" s="126"/>
      <c r="D27" s="117">
        <v>46219</v>
      </c>
      <c r="E27" s="123"/>
      <c r="F27" s="123">
        <v>1</v>
      </c>
      <c r="G27" s="123"/>
      <c r="H27" s="125"/>
      <c r="I27" s="125"/>
      <c r="J27" s="125"/>
      <c r="K27" s="125"/>
      <c r="L27" s="25">
        <v>46201</v>
      </c>
      <c r="M27" s="13" t="s">
        <v>147</v>
      </c>
      <c r="N27" s="126"/>
      <c r="O27" s="115"/>
      <c r="P27" s="115"/>
      <c r="Q27" s="115"/>
      <c r="R27" s="127"/>
      <c r="S27" s="29"/>
      <c r="AI27" s="127"/>
      <c r="AJ27" s="29"/>
    </row>
    <row r="28" spans="1:36" ht="19.5" x14ac:dyDescent="0.4">
      <c r="A28" s="85" t="s">
        <v>320</v>
      </c>
      <c r="B28" s="140"/>
      <c r="C28" s="126"/>
      <c r="D28" s="117">
        <v>46222</v>
      </c>
      <c r="E28" s="123"/>
      <c r="F28" s="123">
        <v>8</v>
      </c>
      <c r="G28" s="123"/>
      <c r="H28" s="125"/>
      <c r="I28" s="125"/>
      <c r="J28" s="125"/>
      <c r="K28" s="125"/>
      <c r="L28" s="25">
        <v>46201</v>
      </c>
      <c r="M28" s="13" t="s">
        <v>147</v>
      </c>
      <c r="N28" s="126"/>
      <c r="R28" s="127"/>
      <c r="S28" s="29"/>
      <c r="AI28" s="127"/>
      <c r="AJ28" s="29"/>
    </row>
    <row r="29" spans="1:36" ht="19.5" x14ac:dyDescent="0.4">
      <c r="A29" s="85" t="s">
        <v>321</v>
      </c>
      <c r="B29" s="140"/>
      <c r="C29" s="126"/>
      <c r="D29" s="117">
        <v>46224</v>
      </c>
      <c r="E29" s="123"/>
      <c r="F29" s="123">
        <v>1</v>
      </c>
      <c r="G29" s="123"/>
      <c r="H29" s="125"/>
      <c r="I29" s="125"/>
      <c r="J29" s="125"/>
      <c r="K29" s="125"/>
      <c r="L29" s="25">
        <v>46201</v>
      </c>
      <c r="M29" s="13" t="s">
        <v>146</v>
      </c>
      <c r="N29" s="126"/>
      <c r="P29" s="115"/>
      <c r="Q29" s="115"/>
      <c r="R29" s="127"/>
      <c r="S29" s="29"/>
      <c r="AI29" s="127"/>
      <c r="AJ29" s="29"/>
    </row>
    <row r="30" spans="1:36" ht="19.5" x14ac:dyDescent="0.4">
      <c r="A30" s="85" t="s">
        <v>195</v>
      </c>
      <c r="B30" s="140"/>
      <c r="C30" s="126"/>
      <c r="D30" s="117">
        <v>46228</v>
      </c>
      <c r="E30" s="123">
        <v>4</v>
      </c>
      <c r="F30" s="123"/>
      <c r="G30" s="123">
        <v>2</v>
      </c>
      <c r="H30" s="125"/>
      <c r="I30" s="125"/>
      <c r="J30" s="125"/>
      <c r="K30" s="125"/>
      <c r="L30" s="25">
        <v>46201</v>
      </c>
      <c r="M30" s="13" t="s">
        <v>146</v>
      </c>
      <c r="N30" s="126"/>
      <c r="O30" s="115"/>
      <c r="P30" s="115"/>
      <c r="Q30" s="115"/>
      <c r="R30" s="127"/>
      <c r="S30" s="29"/>
      <c r="AI30" s="127"/>
      <c r="AJ30" s="29"/>
    </row>
    <row r="31" spans="1:36" ht="19.5" x14ac:dyDescent="0.4">
      <c r="A31" s="85" t="s">
        <v>196</v>
      </c>
      <c r="B31" s="140"/>
      <c r="C31" s="126"/>
      <c r="D31" s="117">
        <v>46229</v>
      </c>
      <c r="E31" s="123">
        <v>1</v>
      </c>
      <c r="F31" s="123"/>
      <c r="G31" s="123">
        <v>1</v>
      </c>
      <c r="H31" s="125"/>
      <c r="I31" s="125"/>
      <c r="J31" s="125"/>
      <c r="K31" s="125"/>
      <c r="L31" s="25">
        <v>46201</v>
      </c>
      <c r="M31" s="13" t="s">
        <v>146</v>
      </c>
      <c r="N31" s="126"/>
      <c r="O31" s="115"/>
      <c r="P31" s="115"/>
      <c r="Q31" s="115"/>
      <c r="R31" s="127"/>
      <c r="S31" s="29"/>
      <c r="AH31" s="115"/>
      <c r="AI31" s="29"/>
      <c r="AJ31" s="29"/>
    </row>
    <row r="32" spans="1:36" ht="19.5" x14ac:dyDescent="0.4">
      <c r="A32" s="85" t="s">
        <v>197</v>
      </c>
      <c r="B32" s="140"/>
      <c r="C32" s="126"/>
      <c r="D32" s="117">
        <v>46231</v>
      </c>
      <c r="E32" s="123">
        <v>1</v>
      </c>
      <c r="F32" s="123"/>
      <c r="G32" s="123"/>
      <c r="H32" s="125"/>
      <c r="I32" s="125"/>
      <c r="J32" s="125"/>
      <c r="K32" s="125"/>
      <c r="L32" s="25">
        <v>46201</v>
      </c>
      <c r="M32" s="13" t="s">
        <v>147</v>
      </c>
      <c r="N32" s="126"/>
      <c r="O32" s="115"/>
      <c r="P32" s="115"/>
      <c r="Q32" s="115"/>
      <c r="R32" s="127"/>
      <c r="S32" s="29"/>
      <c r="AH32" s="115"/>
      <c r="AI32" s="29"/>
      <c r="AJ32" s="29"/>
    </row>
    <row r="33" spans="1:36" ht="19.5" x14ac:dyDescent="0.4">
      <c r="A33" s="85" t="s">
        <v>198</v>
      </c>
      <c r="B33" s="140"/>
      <c r="C33" s="126"/>
      <c r="D33" s="117">
        <v>46232</v>
      </c>
      <c r="E33" s="123">
        <v>1</v>
      </c>
      <c r="F33" s="123"/>
      <c r="G33" s="123"/>
      <c r="H33" s="125"/>
      <c r="I33" s="125"/>
      <c r="J33" s="125"/>
      <c r="K33" s="125"/>
      <c r="L33" s="25">
        <v>46201</v>
      </c>
      <c r="M33" s="13" t="s">
        <v>147</v>
      </c>
      <c r="N33" s="126"/>
      <c r="O33" s="115"/>
      <c r="P33" s="115"/>
      <c r="Q33" s="115"/>
      <c r="R33" s="127"/>
      <c r="S33" s="29"/>
      <c r="AH33" s="115"/>
      <c r="AI33" s="29"/>
      <c r="AJ33" s="29"/>
    </row>
    <row r="34" spans="1:36" ht="19.5" x14ac:dyDescent="0.4">
      <c r="A34" s="85" t="s">
        <v>199</v>
      </c>
      <c r="B34" s="140"/>
      <c r="C34" s="126"/>
      <c r="D34" s="117"/>
      <c r="E34" s="123">
        <f>SUM(E8:E33)</f>
        <v>57</v>
      </c>
      <c r="F34" s="123">
        <f>SUM(F8:F33)</f>
        <v>51</v>
      </c>
      <c r="G34" s="123">
        <f>SUM(G8:G33)</f>
        <v>24</v>
      </c>
      <c r="H34" s="125"/>
      <c r="I34" s="125"/>
      <c r="J34" s="125"/>
      <c r="K34" s="125"/>
      <c r="L34" s="25">
        <v>46201</v>
      </c>
      <c r="M34" s="13" t="s">
        <v>148</v>
      </c>
      <c r="N34" s="126"/>
      <c r="O34" s="115"/>
      <c r="P34" s="115"/>
      <c r="Q34" s="115"/>
      <c r="R34" s="127"/>
      <c r="S34" s="29"/>
      <c r="AH34" s="115"/>
      <c r="AI34" s="29"/>
      <c r="AJ34" s="29"/>
    </row>
    <row r="35" spans="1:36" ht="19.5" x14ac:dyDescent="0.4">
      <c r="A35" s="85" t="s">
        <v>233</v>
      </c>
      <c r="B35" s="140"/>
      <c r="C35" s="126"/>
      <c r="D35" s="117"/>
      <c r="E35" s="123"/>
      <c r="F35" s="123"/>
      <c r="G35" s="123">
        <f>SUM(E34:G34)</f>
        <v>132</v>
      </c>
      <c r="H35" s="125"/>
      <c r="I35" s="125"/>
      <c r="J35" s="125"/>
      <c r="K35" s="125"/>
      <c r="L35" s="25">
        <v>46201</v>
      </c>
      <c r="M35" s="133" t="s">
        <v>146</v>
      </c>
      <c r="N35" s="126"/>
      <c r="O35" s="115"/>
      <c r="P35" s="115"/>
      <c r="Q35" s="115"/>
      <c r="R35" s="127"/>
      <c r="S35" s="29"/>
      <c r="AH35" s="115"/>
      <c r="AI35" s="29"/>
      <c r="AJ35" s="29"/>
    </row>
    <row r="36" spans="1:36" ht="19.5" x14ac:dyDescent="0.4">
      <c r="A36" s="85"/>
      <c r="B36" s="140"/>
      <c r="C36" s="126"/>
      <c r="D36" s="117"/>
      <c r="E36" s="123"/>
      <c r="F36" s="123"/>
      <c r="G36" s="123"/>
      <c r="H36" s="125"/>
      <c r="I36" s="125"/>
      <c r="J36" s="125"/>
      <c r="K36" s="125" t="s">
        <v>332</v>
      </c>
      <c r="L36" s="171">
        <f>SUBTOTAL(3,L24:L35)</f>
        <v>12</v>
      </c>
      <c r="M36" s="171">
        <f>SUBTOTAL(3,M24:M35)</f>
        <v>12</v>
      </c>
      <c r="N36" s="126"/>
      <c r="O36" s="115"/>
      <c r="P36" s="115"/>
      <c r="Q36" s="115"/>
      <c r="R36" s="127"/>
      <c r="S36" s="29"/>
      <c r="AH36" s="115"/>
      <c r="AI36" s="29"/>
      <c r="AJ36" s="29"/>
    </row>
    <row r="37" spans="1:36" ht="19.5" x14ac:dyDescent="0.4">
      <c r="A37" s="85" t="s">
        <v>234</v>
      </c>
      <c r="B37" s="140"/>
      <c r="C37" s="126"/>
      <c r="D37" s="117"/>
      <c r="E37" s="123"/>
      <c r="F37" s="123"/>
      <c r="G37" s="123"/>
      <c r="H37" s="125"/>
      <c r="I37" s="125"/>
      <c r="J37" s="125"/>
      <c r="K37" s="125"/>
      <c r="L37" s="25">
        <v>46203</v>
      </c>
      <c r="M37" s="13" t="s">
        <v>146</v>
      </c>
      <c r="N37" s="126"/>
      <c r="O37" s="115"/>
      <c r="P37" s="115"/>
      <c r="Q37" s="115"/>
      <c r="R37" s="127"/>
      <c r="S37" s="29"/>
      <c r="AH37" s="115"/>
      <c r="AI37" s="29"/>
      <c r="AJ37" s="29"/>
    </row>
    <row r="38" spans="1:36" ht="19.5" x14ac:dyDescent="0.4">
      <c r="A38" s="85" t="s">
        <v>235</v>
      </c>
      <c r="B38" s="140"/>
      <c r="C38" s="126"/>
      <c r="D38" s="117"/>
      <c r="E38" s="123"/>
      <c r="F38" s="123"/>
      <c r="G38" s="123"/>
      <c r="H38" s="125"/>
      <c r="I38" s="125"/>
      <c r="J38" s="125"/>
      <c r="K38" s="125"/>
      <c r="L38" s="25">
        <v>46203</v>
      </c>
      <c r="M38" s="133" t="s">
        <v>148</v>
      </c>
      <c r="N38" s="126"/>
      <c r="O38" s="115"/>
      <c r="P38" s="115"/>
      <c r="Q38" s="115"/>
      <c r="R38" s="127"/>
      <c r="S38" s="29"/>
      <c r="AH38" s="115"/>
      <c r="AI38" s="29"/>
      <c r="AJ38" s="29"/>
    </row>
    <row r="39" spans="1:36" ht="19.5" x14ac:dyDescent="0.4">
      <c r="A39" s="85" t="s">
        <v>236</v>
      </c>
      <c r="B39" s="140"/>
      <c r="C39" s="126"/>
      <c r="D39" s="117"/>
      <c r="E39" s="123"/>
      <c r="F39" s="123"/>
      <c r="G39" s="123"/>
      <c r="H39" s="125"/>
      <c r="I39" s="125"/>
      <c r="J39" s="125"/>
      <c r="K39" s="125"/>
      <c r="L39" s="30">
        <v>46203</v>
      </c>
      <c r="M39" s="13" t="s">
        <v>146</v>
      </c>
      <c r="N39" s="126"/>
      <c r="O39" s="115"/>
      <c r="P39" s="115"/>
      <c r="Q39" s="115"/>
      <c r="R39" s="127"/>
      <c r="S39" s="29"/>
      <c r="AH39" s="115"/>
      <c r="AI39" s="29"/>
      <c r="AJ39" s="29"/>
    </row>
    <row r="40" spans="1:36" ht="19.5" x14ac:dyDescent="0.4">
      <c r="A40" s="85"/>
      <c r="B40" s="140"/>
      <c r="C40" s="126"/>
      <c r="D40" s="117"/>
      <c r="E40" s="123"/>
      <c r="F40" s="123"/>
      <c r="G40" s="123"/>
      <c r="H40" s="125"/>
      <c r="I40" s="125"/>
      <c r="J40" s="125"/>
      <c r="K40" s="125" t="s">
        <v>333</v>
      </c>
      <c r="L40" s="172">
        <f>SUBTOTAL(3,L37:L39)</f>
        <v>3</v>
      </c>
      <c r="M40" s="13">
        <f>SUBTOTAL(3,M37:M39)</f>
        <v>3</v>
      </c>
      <c r="N40" s="126"/>
      <c r="O40" s="115"/>
      <c r="P40" s="115"/>
      <c r="Q40" s="115"/>
      <c r="R40" s="127"/>
      <c r="S40" s="29"/>
      <c r="AH40" s="115"/>
      <c r="AI40" s="29"/>
      <c r="AJ40" s="29"/>
    </row>
    <row r="41" spans="1:36" ht="19.5" x14ac:dyDescent="0.4">
      <c r="A41" s="85"/>
      <c r="B41" s="140"/>
      <c r="C41" s="126"/>
      <c r="D41" s="117"/>
      <c r="E41" s="123"/>
      <c r="F41" s="123"/>
      <c r="G41" s="123"/>
      <c r="H41" s="125"/>
      <c r="I41" s="125"/>
      <c r="J41" s="125"/>
      <c r="K41" s="125"/>
      <c r="L41" s="25">
        <v>46204</v>
      </c>
      <c r="M41" s="13" t="s">
        <v>146</v>
      </c>
      <c r="N41" s="126"/>
      <c r="O41" s="115"/>
      <c r="P41" s="115"/>
      <c r="Q41" s="115"/>
      <c r="R41" s="127"/>
      <c r="S41" s="29"/>
      <c r="AH41" s="115"/>
      <c r="AI41" s="29"/>
      <c r="AJ41" s="29"/>
    </row>
    <row r="42" spans="1:36" ht="19.5" x14ac:dyDescent="0.4">
      <c r="A42" s="85" t="s">
        <v>237</v>
      </c>
      <c r="B42" s="140"/>
      <c r="C42" s="126"/>
      <c r="D42" s="117"/>
      <c r="E42" s="123"/>
      <c r="F42" s="123"/>
      <c r="G42" s="123"/>
      <c r="H42" s="125"/>
      <c r="I42" s="125"/>
      <c r="J42" s="125"/>
      <c r="K42" s="125"/>
      <c r="L42" s="25">
        <v>46204</v>
      </c>
      <c r="M42" s="13" t="s">
        <v>147</v>
      </c>
      <c r="N42" s="126"/>
      <c r="O42" s="115"/>
      <c r="P42" s="115"/>
      <c r="Q42" s="115"/>
      <c r="R42" s="127"/>
      <c r="S42" s="29"/>
      <c r="AH42" s="115"/>
      <c r="AI42" s="29"/>
      <c r="AJ42" s="29"/>
    </row>
    <row r="43" spans="1:36" ht="19.5" x14ac:dyDescent="0.4">
      <c r="A43" s="85" t="s">
        <v>238</v>
      </c>
      <c r="B43" s="140"/>
      <c r="C43" s="126"/>
      <c r="D43" s="117"/>
      <c r="E43" s="123"/>
      <c r="F43" s="123"/>
      <c r="G43" s="123"/>
      <c r="H43" s="125"/>
      <c r="I43" s="125"/>
      <c r="J43" s="125"/>
      <c r="K43" s="125"/>
      <c r="L43" s="25">
        <v>46204</v>
      </c>
      <c r="M43" s="13" t="s">
        <v>146</v>
      </c>
      <c r="N43" s="126"/>
      <c r="O43" s="115"/>
      <c r="P43" s="115"/>
      <c r="Q43" s="115"/>
      <c r="R43" s="127"/>
      <c r="S43" s="29"/>
      <c r="AH43" s="115"/>
      <c r="AI43" s="29"/>
      <c r="AJ43" s="29"/>
    </row>
    <row r="44" spans="1:36" ht="19.5" x14ac:dyDescent="0.4">
      <c r="A44" s="85"/>
      <c r="B44" s="140"/>
      <c r="C44" s="126"/>
      <c r="D44" s="117"/>
      <c r="E44" s="123"/>
      <c r="F44" s="123"/>
      <c r="G44" s="123"/>
      <c r="H44" s="125"/>
      <c r="I44" s="125"/>
      <c r="J44" s="125"/>
      <c r="K44" s="125"/>
      <c r="L44" s="25">
        <v>46204</v>
      </c>
      <c r="M44" s="13" t="s">
        <v>148</v>
      </c>
      <c r="N44" s="126"/>
      <c r="O44" s="115"/>
      <c r="P44" s="115"/>
      <c r="Q44" s="115"/>
      <c r="R44" s="127"/>
      <c r="S44" s="29"/>
      <c r="AH44" s="115"/>
      <c r="AI44" s="29"/>
      <c r="AJ44" s="29"/>
    </row>
    <row r="45" spans="1:36" ht="19.5" x14ac:dyDescent="0.4">
      <c r="A45" s="85" t="s">
        <v>200</v>
      </c>
      <c r="B45" s="140"/>
      <c r="C45" s="126"/>
      <c r="D45" s="117"/>
      <c r="E45" s="123"/>
      <c r="F45" s="123"/>
      <c r="G45" s="123"/>
      <c r="H45" s="125"/>
      <c r="I45" s="125"/>
      <c r="J45" s="125"/>
      <c r="K45" s="125"/>
      <c r="L45" s="25">
        <v>46204</v>
      </c>
      <c r="M45" s="13" t="s">
        <v>147</v>
      </c>
      <c r="N45" s="126"/>
      <c r="O45" s="115"/>
      <c r="P45" s="115"/>
      <c r="Q45" s="115"/>
      <c r="R45" s="127"/>
      <c r="S45" s="29"/>
      <c r="AH45" s="115"/>
      <c r="AI45" s="29"/>
      <c r="AJ45" s="29"/>
    </row>
    <row r="46" spans="1:36" ht="19.5" x14ac:dyDescent="0.4">
      <c r="A46" s="85"/>
      <c r="B46" s="140"/>
      <c r="C46" s="126"/>
      <c r="D46" s="117"/>
      <c r="E46" s="123"/>
      <c r="F46" s="123"/>
      <c r="G46" s="123"/>
      <c r="H46" s="125"/>
      <c r="I46" s="125"/>
      <c r="J46" s="125"/>
      <c r="K46" s="125" t="s">
        <v>334</v>
      </c>
      <c r="L46" s="171">
        <f>SUBTOTAL(3,L41:L45)</f>
        <v>5</v>
      </c>
      <c r="M46" s="13">
        <f>SUBTOTAL(3,M41:M45)</f>
        <v>5</v>
      </c>
      <c r="N46" s="126"/>
      <c r="O46" s="115"/>
      <c r="P46" s="115"/>
      <c r="Q46" s="115"/>
      <c r="R46" s="127"/>
      <c r="S46" s="29"/>
      <c r="AH46" s="115"/>
      <c r="AI46" s="29"/>
      <c r="AJ46" s="29"/>
    </row>
    <row r="47" spans="1:36" ht="19.5" x14ac:dyDescent="0.4">
      <c r="A47" s="85" t="s">
        <v>201</v>
      </c>
      <c r="B47" s="140"/>
      <c r="C47" s="126"/>
      <c r="D47" s="117"/>
      <c r="E47" s="123"/>
      <c r="F47" s="123"/>
      <c r="G47" s="123"/>
      <c r="H47" s="125"/>
      <c r="I47" s="125"/>
      <c r="J47" s="125"/>
      <c r="K47" s="125"/>
      <c r="L47" s="25">
        <v>46205</v>
      </c>
      <c r="M47" s="13" t="s">
        <v>146</v>
      </c>
      <c r="N47" s="126"/>
      <c r="O47" s="115"/>
      <c r="P47" s="115"/>
      <c r="Q47" s="115"/>
      <c r="R47" s="127"/>
      <c r="S47" s="29"/>
      <c r="AH47" s="115"/>
      <c r="AI47" s="29"/>
      <c r="AJ47" s="29"/>
    </row>
    <row r="48" spans="1:36" ht="19.5" x14ac:dyDescent="0.4">
      <c r="A48" s="85"/>
      <c r="B48" s="140"/>
      <c r="C48" s="126"/>
      <c r="D48" s="117"/>
      <c r="E48" s="123"/>
      <c r="F48" s="123"/>
      <c r="G48" s="123"/>
      <c r="H48" s="125"/>
      <c r="I48" s="125"/>
      <c r="J48" s="125"/>
      <c r="K48" s="125"/>
      <c r="L48" s="25">
        <v>46205</v>
      </c>
      <c r="M48" s="13" t="s">
        <v>146</v>
      </c>
      <c r="N48" s="126"/>
      <c r="O48" s="115"/>
      <c r="P48" s="115"/>
      <c r="Q48" s="115"/>
      <c r="R48" s="127"/>
      <c r="S48" s="29"/>
      <c r="AH48" s="115"/>
      <c r="AI48" s="29"/>
      <c r="AJ48" s="29"/>
    </row>
    <row r="49" spans="1:36" ht="19.5" x14ac:dyDescent="0.4">
      <c r="A49" s="85" t="s">
        <v>202</v>
      </c>
      <c r="B49" s="140"/>
      <c r="C49" s="126"/>
      <c r="D49" s="117"/>
      <c r="E49" s="123"/>
      <c r="F49" s="123"/>
      <c r="G49" s="123"/>
      <c r="H49" s="125"/>
      <c r="I49" s="125"/>
      <c r="J49" s="125"/>
      <c r="K49" s="125"/>
      <c r="L49" s="25">
        <v>46205</v>
      </c>
      <c r="M49" s="13" t="s">
        <v>148</v>
      </c>
      <c r="N49" s="126"/>
      <c r="O49" s="115"/>
      <c r="P49" s="115"/>
      <c r="Q49" s="115"/>
      <c r="R49" s="127"/>
      <c r="S49" s="29"/>
      <c r="AG49" s="115"/>
      <c r="AH49" s="115"/>
      <c r="AI49" s="127"/>
      <c r="AJ49" s="29"/>
    </row>
    <row r="50" spans="1:36" ht="19.5" x14ac:dyDescent="0.4">
      <c r="A50" s="85"/>
      <c r="B50" s="140"/>
      <c r="C50" s="126"/>
      <c r="D50" s="117"/>
      <c r="E50" s="123"/>
      <c r="F50" s="123"/>
      <c r="G50" s="123"/>
      <c r="H50" s="125"/>
      <c r="I50" s="125"/>
      <c r="J50" s="125"/>
      <c r="K50" s="125" t="s">
        <v>477</v>
      </c>
      <c r="L50" s="171">
        <f>SUBTOTAL(3,L47:L49)</f>
        <v>3</v>
      </c>
      <c r="M50" s="13">
        <f>SUBTOTAL(3,M47:M49)</f>
        <v>3</v>
      </c>
      <c r="N50" s="126"/>
      <c r="O50" s="115"/>
      <c r="P50" s="115"/>
      <c r="Q50" s="115"/>
      <c r="R50" s="127"/>
      <c r="S50" s="29"/>
      <c r="AG50" s="115"/>
      <c r="AH50" s="115"/>
      <c r="AI50" s="127"/>
      <c r="AJ50" s="29"/>
    </row>
    <row r="51" spans="1:36" ht="19.5" x14ac:dyDescent="0.4">
      <c r="A51" s="85" t="s">
        <v>203</v>
      </c>
      <c r="B51" s="140"/>
      <c r="C51" s="126"/>
      <c r="D51" s="117"/>
      <c r="E51" s="123"/>
      <c r="F51" s="123"/>
      <c r="G51" s="123"/>
      <c r="H51" s="125"/>
      <c r="I51" s="125"/>
      <c r="J51" s="125"/>
      <c r="K51" s="125"/>
      <c r="L51" s="25">
        <v>46206</v>
      </c>
      <c r="M51" s="15" t="s">
        <v>147</v>
      </c>
      <c r="N51" s="126"/>
      <c r="O51" s="115"/>
      <c r="P51" s="115"/>
      <c r="Q51" s="115"/>
      <c r="R51" s="127"/>
      <c r="S51" s="29"/>
      <c r="AG51" s="115"/>
      <c r="AH51" s="115"/>
      <c r="AI51" s="127"/>
      <c r="AJ51" s="29"/>
    </row>
    <row r="52" spans="1:36" ht="19.5" x14ac:dyDescent="0.4">
      <c r="A52" s="85" t="s">
        <v>204</v>
      </c>
      <c r="B52" s="140"/>
      <c r="C52" s="126"/>
      <c r="D52" s="117"/>
      <c r="E52" s="123"/>
      <c r="F52" s="123"/>
      <c r="G52" s="123"/>
      <c r="H52" s="125"/>
      <c r="I52" s="125"/>
      <c r="J52" s="125"/>
      <c r="K52" s="125"/>
      <c r="L52" s="25">
        <v>46206</v>
      </c>
      <c r="M52" s="15" t="s">
        <v>148</v>
      </c>
      <c r="N52" s="126"/>
      <c r="O52" s="115"/>
      <c r="P52" s="115"/>
      <c r="Q52" s="115"/>
      <c r="R52" s="127"/>
      <c r="S52" s="29"/>
      <c r="AG52" s="115"/>
      <c r="AH52" s="115"/>
      <c r="AI52" s="127"/>
      <c r="AJ52" s="29"/>
    </row>
    <row r="53" spans="1:36" ht="19.5" x14ac:dyDescent="0.4">
      <c r="A53" s="85" t="s">
        <v>205</v>
      </c>
      <c r="B53" s="140"/>
      <c r="C53" s="126"/>
      <c r="D53" s="117"/>
      <c r="E53" s="123"/>
      <c r="F53" s="123"/>
      <c r="G53" s="123"/>
      <c r="L53" s="25">
        <v>46206</v>
      </c>
      <c r="M53" s="15" t="s">
        <v>147</v>
      </c>
      <c r="N53" s="115"/>
      <c r="O53" s="115"/>
      <c r="P53" s="115"/>
      <c r="Q53" s="115"/>
      <c r="R53" s="127"/>
      <c r="S53" s="29"/>
      <c r="AG53" s="115"/>
      <c r="AH53" s="115"/>
      <c r="AI53" s="127"/>
      <c r="AJ53" s="29"/>
    </row>
    <row r="54" spans="1:36" ht="19.5" x14ac:dyDescent="0.4">
      <c r="A54" s="85" t="s">
        <v>206</v>
      </c>
      <c r="B54" s="140"/>
      <c r="C54" s="126"/>
      <c r="D54" s="117"/>
      <c r="E54" s="123"/>
      <c r="F54" s="123"/>
      <c r="G54" s="123"/>
      <c r="L54" s="25">
        <v>46206</v>
      </c>
      <c r="M54" s="15" t="s">
        <v>142</v>
      </c>
      <c r="N54" s="115"/>
      <c r="O54" s="115"/>
      <c r="P54" s="115"/>
      <c r="Q54" s="115"/>
      <c r="R54" s="127"/>
      <c r="S54" s="29"/>
      <c r="AG54" s="115"/>
      <c r="AH54" s="115"/>
      <c r="AI54" s="127"/>
      <c r="AJ54" s="29"/>
    </row>
    <row r="55" spans="1:36" ht="19.5" x14ac:dyDescent="0.4">
      <c r="A55" s="85" t="s">
        <v>207</v>
      </c>
      <c r="B55" s="140"/>
      <c r="C55" s="126"/>
      <c r="D55" s="117"/>
      <c r="E55" s="123"/>
      <c r="F55" s="123"/>
      <c r="G55" s="123"/>
      <c r="L55" s="25">
        <v>46206</v>
      </c>
      <c r="M55" s="15" t="s">
        <v>146</v>
      </c>
      <c r="N55" s="115"/>
      <c r="O55" s="115"/>
      <c r="P55" s="115"/>
      <c r="Q55" s="115"/>
      <c r="R55" s="127"/>
      <c r="S55" s="29"/>
      <c r="AG55" s="115"/>
      <c r="AH55" s="115"/>
      <c r="AI55" s="127"/>
      <c r="AJ55" s="29"/>
    </row>
    <row r="56" spans="1:36" ht="19.5" x14ac:dyDescent="0.4">
      <c r="A56" s="85" t="s">
        <v>208</v>
      </c>
      <c r="B56" s="140"/>
      <c r="C56" s="126"/>
      <c r="D56" s="117"/>
      <c r="E56" s="123"/>
      <c r="F56" s="123"/>
      <c r="G56" s="123"/>
      <c r="L56" s="25">
        <v>46206</v>
      </c>
      <c r="M56" s="15" t="s">
        <v>146</v>
      </c>
      <c r="N56" s="115"/>
      <c r="O56" s="115"/>
      <c r="P56" s="115"/>
      <c r="Q56" s="115"/>
      <c r="R56" s="127"/>
      <c r="S56" s="29"/>
      <c r="AG56" s="115"/>
      <c r="AH56" s="115"/>
      <c r="AI56" s="29"/>
      <c r="AJ56" s="29"/>
    </row>
    <row r="57" spans="1:36" ht="19.5" x14ac:dyDescent="0.4">
      <c r="A57" s="85"/>
      <c r="B57" s="140"/>
      <c r="C57" s="126"/>
      <c r="D57" s="117"/>
      <c r="E57" s="123"/>
      <c r="F57" s="123"/>
      <c r="G57" s="123"/>
      <c r="J57" s="115"/>
      <c r="K57" s="115"/>
      <c r="L57" s="25">
        <v>46206</v>
      </c>
      <c r="M57" s="15" t="s">
        <v>146</v>
      </c>
      <c r="N57" s="115"/>
      <c r="O57" s="115"/>
      <c r="P57" s="115"/>
      <c r="Q57" s="115"/>
      <c r="R57" s="127"/>
      <c r="S57" s="29"/>
      <c r="AG57" s="115"/>
      <c r="AH57" s="115"/>
      <c r="AI57" s="29"/>
      <c r="AJ57" s="29"/>
    </row>
    <row r="58" spans="1:36" ht="19.5" x14ac:dyDescent="0.4">
      <c r="A58" s="85" t="s">
        <v>209</v>
      </c>
      <c r="B58" s="140"/>
      <c r="C58" s="126"/>
      <c r="D58" s="117"/>
      <c r="E58" s="123"/>
      <c r="F58" s="123"/>
      <c r="G58" s="123"/>
      <c r="L58" s="25">
        <v>46206</v>
      </c>
      <c r="M58" s="15" t="s">
        <v>146</v>
      </c>
      <c r="N58" s="115"/>
      <c r="O58" s="115"/>
      <c r="P58" s="115"/>
      <c r="Q58" s="115"/>
      <c r="R58" s="127"/>
      <c r="S58" s="29"/>
      <c r="AG58" s="115"/>
      <c r="AH58" s="115"/>
      <c r="AI58" s="29"/>
      <c r="AJ58" s="29"/>
    </row>
    <row r="59" spans="1:36" ht="19.5" x14ac:dyDescent="0.4">
      <c r="A59" s="85"/>
      <c r="B59" s="140"/>
      <c r="C59" s="126"/>
      <c r="D59" s="117"/>
      <c r="E59" s="123"/>
      <c r="F59" s="123"/>
      <c r="G59" s="123"/>
      <c r="K59" s="115" t="s">
        <v>335</v>
      </c>
      <c r="L59" s="172">
        <f>SUBTOTAL(3,L51:L58)</f>
        <v>8</v>
      </c>
      <c r="M59" s="15">
        <f>SUBTOTAL(3,M51:M58)</f>
        <v>8</v>
      </c>
      <c r="N59" s="115"/>
      <c r="O59" s="115"/>
      <c r="P59" s="115"/>
      <c r="Q59" s="115"/>
      <c r="R59" s="127"/>
      <c r="S59" s="29"/>
      <c r="AG59" s="115"/>
      <c r="AH59" s="115"/>
      <c r="AI59" s="29"/>
      <c r="AJ59" s="29"/>
    </row>
    <row r="60" spans="1:36" ht="19.5" x14ac:dyDescent="0.4">
      <c r="A60" s="85" t="s">
        <v>239</v>
      </c>
      <c r="B60" s="140"/>
      <c r="C60" s="126"/>
      <c r="D60" s="117"/>
      <c r="E60" s="123"/>
      <c r="F60" s="123"/>
      <c r="G60" s="123"/>
      <c r="L60" s="30">
        <v>46207</v>
      </c>
      <c r="M60" s="15" t="s">
        <v>148</v>
      </c>
      <c r="N60" s="115"/>
      <c r="O60" s="115"/>
      <c r="P60" s="115"/>
      <c r="Q60" s="115"/>
      <c r="R60" s="127"/>
      <c r="S60" s="29"/>
      <c r="AG60" s="115"/>
      <c r="AH60" s="115"/>
      <c r="AI60" s="29"/>
      <c r="AJ60" s="29"/>
    </row>
    <row r="61" spans="1:36" ht="19.5" x14ac:dyDescent="0.4">
      <c r="A61" s="85" t="s">
        <v>241</v>
      </c>
      <c r="B61" s="140"/>
      <c r="C61" s="126"/>
      <c r="D61" s="126"/>
      <c r="E61" s="126"/>
      <c r="L61" s="25">
        <v>46207</v>
      </c>
      <c r="M61" s="13" t="s">
        <v>148</v>
      </c>
      <c r="N61" s="115"/>
      <c r="O61" s="115"/>
      <c r="P61" s="115"/>
      <c r="Q61" s="115"/>
      <c r="R61" s="127"/>
      <c r="S61" s="29"/>
      <c r="AG61" s="115"/>
      <c r="AH61" s="115"/>
      <c r="AI61" s="29"/>
      <c r="AJ61" s="29"/>
    </row>
    <row r="62" spans="1:36" ht="19.5" x14ac:dyDescent="0.4">
      <c r="A62" s="85" t="s">
        <v>242</v>
      </c>
      <c r="B62" s="140"/>
      <c r="C62" s="126"/>
      <c r="D62" s="126"/>
      <c r="E62" s="126"/>
      <c r="L62" s="25">
        <v>46207</v>
      </c>
      <c r="M62" s="13" t="s">
        <v>147</v>
      </c>
      <c r="N62" s="115"/>
      <c r="O62" s="115"/>
      <c r="P62" s="115"/>
      <c r="Q62" s="115"/>
      <c r="R62" s="127"/>
      <c r="S62" s="29"/>
      <c r="AG62" s="115"/>
      <c r="AH62" s="115"/>
      <c r="AI62" s="29"/>
      <c r="AJ62" s="29"/>
    </row>
    <row r="63" spans="1:36" ht="19.5" x14ac:dyDescent="0.4">
      <c r="A63" s="85" t="s">
        <v>258</v>
      </c>
      <c r="B63" s="140"/>
      <c r="C63" s="126"/>
      <c r="D63" s="126"/>
      <c r="E63" s="126"/>
      <c r="L63" s="25">
        <v>46207</v>
      </c>
      <c r="M63" s="13" t="s">
        <v>148</v>
      </c>
      <c r="N63" s="115"/>
      <c r="O63" s="115"/>
      <c r="P63" s="115"/>
      <c r="Q63" s="115"/>
      <c r="R63" s="127"/>
      <c r="S63" s="29"/>
      <c r="AG63" s="115"/>
      <c r="AH63" s="115"/>
      <c r="AI63" s="29"/>
      <c r="AJ63" s="29"/>
    </row>
    <row r="64" spans="1:36" ht="19.5" x14ac:dyDescent="0.4">
      <c r="A64" s="85"/>
      <c r="B64" s="140"/>
      <c r="C64" s="126"/>
      <c r="D64" s="126"/>
      <c r="E64" s="126"/>
      <c r="K64" s="115" t="s">
        <v>478</v>
      </c>
      <c r="L64" s="171">
        <f>SUBTOTAL(3,L60:L63)</f>
        <v>4</v>
      </c>
      <c r="M64" s="13">
        <f>SUBTOTAL(3,M60:M63)</f>
        <v>4</v>
      </c>
      <c r="N64" s="115"/>
      <c r="O64" s="115"/>
      <c r="P64" s="115"/>
      <c r="Q64" s="115"/>
      <c r="R64" s="127"/>
      <c r="S64" s="29"/>
      <c r="AG64" s="115"/>
      <c r="AH64" s="115"/>
      <c r="AI64" s="29"/>
      <c r="AJ64" s="29"/>
    </row>
    <row r="65" spans="1:36" ht="19.5" x14ac:dyDescent="0.4">
      <c r="A65" s="85"/>
      <c r="B65" s="140"/>
      <c r="C65" s="126"/>
      <c r="D65" s="126"/>
      <c r="E65" s="126"/>
      <c r="J65" s="115"/>
      <c r="K65" s="115"/>
      <c r="L65" s="25">
        <v>46208</v>
      </c>
      <c r="M65" s="13" t="s">
        <v>147</v>
      </c>
      <c r="N65" s="115"/>
      <c r="O65" s="115"/>
      <c r="P65" s="115"/>
      <c r="Q65" s="115"/>
      <c r="R65" s="127"/>
      <c r="S65" s="29"/>
      <c r="AG65" s="115"/>
      <c r="AH65" s="115"/>
      <c r="AI65" s="29"/>
      <c r="AJ65" s="29"/>
    </row>
    <row r="66" spans="1:36" ht="19.5" x14ac:dyDescent="0.4">
      <c r="A66" s="85" t="s">
        <v>243</v>
      </c>
      <c r="B66" s="140"/>
      <c r="C66" s="126"/>
      <c r="D66" s="126"/>
      <c r="E66" s="126"/>
      <c r="I66" s="115"/>
      <c r="J66" s="115"/>
      <c r="K66" s="115"/>
      <c r="L66" s="25">
        <v>46208</v>
      </c>
      <c r="M66" s="13" t="s">
        <v>148</v>
      </c>
      <c r="N66" s="115"/>
      <c r="O66" s="115"/>
      <c r="P66" s="115"/>
      <c r="Q66" s="115"/>
      <c r="R66" s="127"/>
      <c r="S66" s="29"/>
      <c r="AG66" s="115"/>
      <c r="AH66" s="115"/>
      <c r="AI66" s="29"/>
      <c r="AJ66" s="29"/>
    </row>
    <row r="67" spans="1:36" ht="19.5" x14ac:dyDescent="0.4">
      <c r="A67" s="85" t="s">
        <v>210</v>
      </c>
      <c r="B67" s="140"/>
      <c r="C67" s="126"/>
      <c r="D67" s="126"/>
      <c r="E67" s="126"/>
      <c r="L67" s="25">
        <v>46208</v>
      </c>
      <c r="M67" s="13" t="s">
        <v>146</v>
      </c>
      <c r="N67" s="115"/>
      <c r="O67" s="115"/>
      <c r="P67" s="115"/>
      <c r="Q67" s="115"/>
      <c r="R67" s="127"/>
      <c r="S67" s="29"/>
      <c r="AG67" s="115"/>
      <c r="AH67" s="115"/>
      <c r="AI67" s="29"/>
      <c r="AJ67" s="29"/>
    </row>
    <row r="68" spans="1:36" ht="19.5" x14ac:dyDescent="0.4">
      <c r="A68" s="85" t="s">
        <v>211</v>
      </c>
      <c r="B68" s="140"/>
      <c r="C68" s="126"/>
      <c r="D68" s="126"/>
      <c r="E68" s="126"/>
      <c r="L68" s="25">
        <v>46208</v>
      </c>
      <c r="M68" s="13" t="s">
        <v>148</v>
      </c>
      <c r="N68" s="115"/>
      <c r="O68" s="115"/>
      <c r="P68" s="115"/>
      <c r="Q68" s="115"/>
      <c r="R68" s="127"/>
      <c r="S68" s="29"/>
      <c r="AG68" s="115"/>
      <c r="AH68" s="115"/>
      <c r="AI68" s="29"/>
      <c r="AJ68" s="29"/>
    </row>
    <row r="69" spans="1:36" ht="19.5" x14ac:dyDescent="0.4">
      <c r="A69" s="85" t="s">
        <v>244</v>
      </c>
      <c r="B69" s="140"/>
      <c r="C69" s="126"/>
      <c r="D69" s="126"/>
      <c r="E69" s="126"/>
      <c r="L69" s="25">
        <v>46208</v>
      </c>
      <c r="M69" s="13" t="s">
        <v>146</v>
      </c>
      <c r="N69" s="115"/>
      <c r="O69" s="115"/>
      <c r="P69" s="115"/>
      <c r="Q69" s="115"/>
      <c r="R69" s="127"/>
      <c r="S69" s="29"/>
      <c r="AG69" s="115"/>
      <c r="AH69" s="115"/>
      <c r="AI69" s="29"/>
      <c r="AJ69" s="29"/>
    </row>
    <row r="70" spans="1:36" ht="19.5" x14ac:dyDescent="0.4">
      <c r="A70" s="85" t="s">
        <v>245</v>
      </c>
      <c r="B70" s="140"/>
      <c r="C70" s="126"/>
      <c r="D70" s="126"/>
      <c r="E70" s="126"/>
      <c r="L70" s="25">
        <v>46208</v>
      </c>
      <c r="M70" s="13" t="s">
        <v>148</v>
      </c>
      <c r="N70" s="115"/>
      <c r="O70" s="115"/>
      <c r="P70" s="115"/>
      <c r="Q70" s="115"/>
      <c r="R70" s="127"/>
      <c r="S70" s="29"/>
      <c r="AG70" s="115"/>
      <c r="AH70" s="115"/>
      <c r="AI70" s="29"/>
      <c r="AJ70" s="29"/>
    </row>
    <row r="71" spans="1:36" ht="19.5" x14ac:dyDescent="0.4">
      <c r="A71" s="85" t="s">
        <v>288</v>
      </c>
      <c r="B71" s="140"/>
      <c r="C71" s="126"/>
      <c r="D71" s="126"/>
      <c r="E71" s="126"/>
      <c r="L71" s="25">
        <v>46208</v>
      </c>
      <c r="M71" s="13" t="s">
        <v>146</v>
      </c>
      <c r="N71" s="115"/>
      <c r="O71" s="115"/>
      <c r="P71" s="115"/>
      <c r="Q71" s="115"/>
      <c r="R71" s="127"/>
      <c r="S71" s="29"/>
      <c r="AF71" s="115"/>
      <c r="AG71" s="115"/>
      <c r="AH71" s="115"/>
      <c r="AI71" s="127"/>
      <c r="AJ71" s="29"/>
    </row>
    <row r="72" spans="1:36" ht="19.5" x14ac:dyDescent="0.4">
      <c r="A72" s="85" t="s">
        <v>289</v>
      </c>
      <c r="B72" s="140"/>
      <c r="C72" s="126"/>
      <c r="D72" s="126"/>
      <c r="E72" s="126"/>
      <c r="L72" s="25">
        <v>46208</v>
      </c>
      <c r="M72" s="13" t="s">
        <v>148</v>
      </c>
      <c r="N72" s="115"/>
      <c r="O72" s="115"/>
      <c r="P72" s="115"/>
      <c r="Q72" s="115"/>
      <c r="R72" s="127"/>
      <c r="S72" s="29"/>
      <c r="AF72" s="115"/>
      <c r="AG72" s="115"/>
      <c r="AH72" s="115"/>
      <c r="AI72" s="127"/>
      <c r="AJ72" s="29"/>
    </row>
    <row r="73" spans="1:36" ht="19.5" x14ac:dyDescent="0.4">
      <c r="A73" s="85" t="s">
        <v>290</v>
      </c>
      <c r="B73" s="140"/>
      <c r="C73" s="126"/>
      <c r="D73" s="126"/>
      <c r="E73" s="126"/>
      <c r="L73" s="25">
        <v>46208</v>
      </c>
      <c r="M73" s="13" t="s">
        <v>147</v>
      </c>
      <c r="N73" s="115"/>
      <c r="O73" s="115"/>
      <c r="P73" s="115"/>
      <c r="Q73" s="115"/>
      <c r="R73" s="127"/>
      <c r="S73" s="29"/>
      <c r="AF73" s="115"/>
      <c r="AG73" s="115"/>
      <c r="AH73" s="115"/>
      <c r="AI73" s="127"/>
      <c r="AJ73" s="29"/>
    </row>
    <row r="74" spans="1:36" ht="19.5" x14ac:dyDescent="0.4">
      <c r="A74" s="85" t="s">
        <v>291</v>
      </c>
      <c r="B74" s="140"/>
      <c r="C74" s="126"/>
      <c r="D74" s="126"/>
      <c r="E74" s="126"/>
      <c r="L74" s="25">
        <v>46208</v>
      </c>
      <c r="M74" s="13" t="s">
        <v>146</v>
      </c>
      <c r="N74" s="115"/>
      <c r="O74" s="115"/>
      <c r="P74" s="115"/>
      <c r="Q74" s="115"/>
      <c r="R74" s="127"/>
      <c r="S74" s="29"/>
      <c r="AF74" s="115"/>
      <c r="AG74" s="115"/>
      <c r="AH74" s="115"/>
      <c r="AI74" s="127"/>
      <c r="AJ74" s="29"/>
    </row>
    <row r="75" spans="1:36" ht="19.5" x14ac:dyDescent="0.4">
      <c r="A75" s="85" t="s">
        <v>292</v>
      </c>
      <c r="B75" s="140"/>
      <c r="C75" s="126"/>
      <c r="D75" s="126"/>
      <c r="E75" s="126"/>
      <c r="I75" s="115"/>
      <c r="J75" s="115"/>
      <c r="K75" s="115"/>
      <c r="L75" s="25">
        <v>46208</v>
      </c>
      <c r="M75" s="13" t="s">
        <v>146</v>
      </c>
      <c r="N75" s="115"/>
      <c r="O75" s="115"/>
      <c r="P75" s="115"/>
      <c r="Q75" s="115"/>
      <c r="R75" s="127"/>
      <c r="S75" s="29"/>
      <c r="AF75" s="115"/>
      <c r="AG75" s="115"/>
      <c r="AH75" s="115"/>
      <c r="AI75" s="127"/>
      <c r="AJ75" s="29"/>
    </row>
    <row r="76" spans="1:36" ht="19.5" x14ac:dyDescent="0.4">
      <c r="A76" s="85" t="s">
        <v>293</v>
      </c>
      <c r="B76" s="140"/>
      <c r="C76" s="126"/>
      <c r="D76" s="126"/>
      <c r="E76" s="126"/>
      <c r="L76" s="25">
        <v>46208</v>
      </c>
      <c r="M76" s="13" t="s">
        <v>146</v>
      </c>
      <c r="N76" s="115"/>
      <c r="O76" s="115"/>
      <c r="P76" s="115"/>
      <c r="Q76" s="115"/>
      <c r="R76" s="127"/>
      <c r="S76" s="29"/>
      <c r="AF76" s="115"/>
      <c r="AG76" s="115"/>
      <c r="AH76" s="115"/>
      <c r="AI76" s="127"/>
      <c r="AJ76" s="29"/>
    </row>
    <row r="77" spans="1:36" ht="19.5" x14ac:dyDescent="0.4">
      <c r="A77" s="85" t="s">
        <v>294</v>
      </c>
      <c r="B77" s="140"/>
      <c r="C77" s="126"/>
      <c r="D77" s="126"/>
      <c r="E77" s="126"/>
      <c r="I77" s="115"/>
      <c r="J77" s="115"/>
      <c r="K77" s="115"/>
      <c r="L77" s="25">
        <v>46208</v>
      </c>
      <c r="M77" s="13" t="s">
        <v>147</v>
      </c>
      <c r="N77" s="115"/>
      <c r="O77" s="115"/>
      <c r="P77" s="115"/>
      <c r="Q77" s="115"/>
      <c r="R77" s="127"/>
      <c r="S77" s="29"/>
      <c r="AF77" s="115"/>
      <c r="AG77" s="115"/>
      <c r="AH77" s="115"/>
      <c r="AI77" s="127"/>
      <c r="AJ77" s="29"/>
    </row>
    <row r="78" spans="1:36" ht="19.5" x14ac:dyDescent="0.4">
      <c r="A78" s="85" t="s">
        <v>295</v>
      </c>
      <c r="B78" s="140"/>
      <c r="C78" s="126"/>
      <c r="D78" s="126"/>
      <c r="E78" s="126"/>
      <c r="L78" s="25">
        <v>46208</v>
      </c>
      <c r="M78" s="13" t="s">
        <v>147</v>
      </c>
      <c r="N78" s="115"/>
      <c r="O78" s="115"/>
      <c r="P78" s="115"/>
      <c r="Q78" s="115"/>
      <c r="R78" s="127"/>
      <c r="S78" s="29"/>
      <c r="AF78" s="115"/>
      <c r="AG78" s="115"/>
      <c r="AH78" s="115"/>
      <c r="AI78" s="127"/>
      <c r="AJ78" s="29"/>
    </row>
    <row r="79" spans="1:36" ht="19.5" x14ac:dyDescent="0.4">
      <c r="A79" s="85" t="s">
        <v>296</v>
      </c>
      <c r="B79" s="140"/>
      <c r="C79" s="126"/>
      <c r="D79" s="126"/>
      <c r="E79" s="126"/>
      <c r="I79" s="115"/>
      <c r="J79" s="115"/>
      <c r="K79" s="115"/>
      <c r="L79" s="25">
        <v>46208</v>
      </c>
      <c r="M79" s="13" t="s">
        <v>147</v>
      </c>
      <c r="N79" s="115"/>
      <c r="O79" s="115"/>
      <c r="P79" s="115"/>
      <c r="Q79" s="115"/>
      <c r="R79" s="127"/>
      <c r="S79" s="29"/>
      <c r="AF79" s="115"/>
      <c r="AG79" s="115"/>
      <c r="AH79" s="115"/>
      <c r="AI79" s="127"/>
      <c r="AJ79" s="29"/>
    </row>
    <row r="80" spans="1:36" ht="19.5" x14ac:dyDescent="0.4">
      <c r="A80" s="85" t="s">
        <v>297</v>
      </c>
      <c r="B80" s="140"/>
      <c r="C80" s="126"/>
      <c r="D80" s="126"/>
      <c r="E80" s="126"/>
      <c r="L80" s="25">
        <v>46208</v>
      </c>
      <c r="M80" s="13" t="s">
        <v>147</v>
      </c>
      <c r="N80" s="115"/>
      <c r="O80" s="115"/>
      <c r="P80" s="115"/>
      <c r="Q80" s="115"/>
      <c r="R80" s="127"/>
      <c r="S80" s="29"/>
      <c r="AE80" s="115"/>
      <c r="AF80" s="115"/>
      <c r="AG80" s="115"/>
      <c r="AH80" s="115"/>
      <c r="AI80" s="127"/>
      <c r="AJ80" s="29"/>
    </row>
    <row r="81" spans="1:36" ht="19.5" x14ac:dyDescent="0.4">
      <c r="A81" s="85" t="s">
        <v>298</v>
      </c>
      <c r="B81" s="140"/>
      <c r="C81" s="126"/>
      <c r="D81" s="126"/>
      <c r="E81" s="126"/>
      <c r="L81" s="25">
        <v>46208</v>
      </c>
      <c r="M81" s="13" t="s">
        <v>147</v>
      </c>
      <c r="N81" s="115"/>
      <c r="O81" s="115"/>
      <c r="P81" s="115"/>
      <c r="Q81" s="115"/>
      <c r="R81" s="127"/>
      <c r="S81" s="29"/>
      <c r="AE81" s="115"/>
      <c r="AF81" s="115"/>
      <c r="AG81" s="115"/>
      <c r="AH81" s="115"/>
      <c r="AI81" s="127"/>
      <c r="AJ81" s="29"/>
    </row>
    <row r="82" spans="1:36" ht="19.5" x14ac:dyDescent="0.4">
      <c r="A82" s="85" t="s">
        <v>322</v>
      </c>
      <c r="B82" s="140"/>
      <c r="C82" s="126"/>
      <c r="D82" s="126"/>
      <c r="E82" s="126"/>
      <c r="L82" s="25">
        <v>46208</v>
      </c>
      <c r="M82" s="13" t="s">
        <v>148</v>
      </c>
      <c r="N82" s="115"/>
      <c r="O82" s="115"/>
      <c r="P82" s="115"/>
      <c r="Q82" s="115"/>
      <c r="R82" s="127"/>
      <c r="S82" s="29"/>
      <c r="AC82" s="115"/>
      <c r="AD82" s="115"/>
      <c r="AE82" s="115"/>
      <c r="AF82" s="115"/>
      <c r="AG82" s="115"/>
      <c r="AH82" s="115"/>
      <c r="AI82" s="127"/>
      <c r="AJ82" s="29"/>
    </row>
    <row r="83" spans="1:36" ht="19.5" x14ac:dyDescent="0.4">
      <c r="A83" s="85" t="s">
        <v>246</v>
      </c>
      <c r="B83" s="140"/>
      <c r="C83" s="126"/>
      <c r="D83" s="126"/>
      <c r="E83" s="126"/>
      <c r="L83" s="25">
        <v>46208</v>
      </c>
      <c r="M83" s="13" t="s">
        <v>148</v>
      </c>
      <c r="N83" s="115"/>
      <c r="O83" s="115"/>
      <c r="P83" s="115"/>
      <c r="Q83" s="115"/>
      <c r="R83" s="127"/>
      <c r="S83" s="29"/>
      <c r="AC83" s="115"/>
      <c r="AD83" s="115"/>
      <c r="AE83" s="115"/>
      <c r="AF83" s="115"/>
      <c r="AG83" s="115"/>
      <c r="AH83" s="115"/>
      <c r="AI83" s="127"/>
      <c r="AJ83" s="29"/>
    </row>
    <row r="84" spans="1:36" ht="19.5" x14ac:dyDescent="0.4">
      <c r="A84" s="85" t="s">
        <v>247</v>
      </c>
      <c r="B84" s="140"/>
      <c r="C84" s="126"/>
      <c r="D84" s="126"/>
      <c r="E84" s="126"/>
      <c r="I84" s="115"/>
      <c r="J84" s="115"/>
      <c r="K84" s="115"/>
      <c r="L84" s="25">
        <v>46208</v>
      </c>
      <c r="M84" s="13" t="s">
        <v>148</v>
      </c>
      <c r="N84" s="115"/>
      <c r="O84" s="115"/>
      <c r="P84" s="115"/>
      <c r="Q84" s="115"/>
      <c r="R84" s="127"/>
      <c r="S84" s="29"/>
      <c r="AC84" s="115"/>
      <c r="AD84" s="115"/>
      <c r="AE84" s="115"/>
      <c r="AF84" s="115"/>
      <c r="AG84" s="115"/>
      <c r="AH84" s="115"/>
      <c r="AI84" s="127"/>
      <c r="AJ84" s="29"/>
    </row>
    <row r="85" spans="1:36" ht="19.5" x14ac:dyDescent="0.4">
      <c r="A85" s="85" t="s">
        <v>299</v>
      </c>
      <c r="B85" s="140"/>
      <c r="C85" s="126"/>
      <c r="D85" s="126"/>
      <c r="E85" s="126"/>
      <c r="L85" s="25">
        <v>46208</v>
      </c>
      <c r="M85" s="13" t="s">
        <v>148</v>
      </c>
      <c r="N85" s="115"/>
      <c r="O85" s="115"/>
      <c r="P85" s="115"/>
      <c r="Q85" s="115"/>
      <c r="R85" s="127"/>
      <c r="S85" s="29"/>
      <c r="AC85" s="115"/>
      <c r="AD85" s="115"/>
      <c r="AE85" s="115"/>
      <c r="AF85" s="115"/>
      <c r="AG85" s="115"/>
      <c r="AH85" s="115"/>
      <c r="AI85" s="127"/>
      <c r="AJ85" s="29"/>
    </row>
    <row r="86" spans="1:36" ht="19.5" x14ac:dyDescent="0.4">
      <c r="A86" s="85" t="s">
        <v>300</v>
      </c>
      <c r="B86" s="140"/>
      <c r="C86" s="126"/>
      <c r="D86" s="126"/>
      <c r="E86" s="126"/>
      <c r="L86" s="25">
        <v>46208</v>
      </c>
      <c r="M86" s="13" t="s">
        <v>147</v>
      </c>
      <c r="N86" s="115"/>
      <c r="O86" s="115"/>
      <c r="P86" s="115"/>
      <c r="Q86" s="115"/>
      <c r="R86" s="127"/>
      <c r="S86" s="29"/>
      <c r="AC86" s="115"/>
      <c r="AD86" s="115"/>
      <c r="AE86" s="115"/>
      <c r="AF86" s="115"/>
      <c r="AG86" s="115"/>
      <c r="AH86" s="115"/>
      <c r="AI86" s="127"/>
      <c r="AJ86" s="29"/>
    </row>
    <row r="87" spans="1:36" ht="19.5" x14ac:dyDescent="0.4">
      <c r="A87" s="85"/>
      <c r="B87" s="140"/>
      <c r="C87" s="126"/>
      <c r="D87" s="126"/>
      <c r="E87" s="126"/>
      <c r="K87" s="115" t="s">
        <v>479</v>
      </c>
      <c r="L87" s="171">
        <f>SUBTOTAL(3,L65:L86)</f>
        <v>22</v>
      </c>
      <c r="M87" s="13">
        <f>SUBTOTAL(3,M65:M86)</f>
        <v>22</v>
      </c>
      <c r="N87" s="115"/>
      <c r="O87" s="115"/>
      <c r="P87" s="115"/>
      <c r="Q87" s="115"/>
      <c r="R87" s="127"/>
      <c r="S87" s="29"/>
      <c r="AC87" s="115"/>
      <c r="AD87" s="115"/>
      <c r="AE87" s="115"/>
      <c r="AF87" s="115"/>
      <c r="AG87" s="115"/>
      <c r="AH87" s="115"/>
      <c r="AI87" s="127"/>
      <c r="AJ87" s="29"/>
    </row>
    <row r="88" spans="1:36" ht="19.5" x14ac:dyDescent="0.4">
      <c r="A88" s="85" t="s">
        <v>301</v>
      </c>
      <c r="B88" s="140"/>
      <c r="C88" s="126"/>
      <c r="D88" s="126"/>
      <c r="E88" s="126"/>
      <c r="L88" s="25">
        <v>46209</v>
      </c>
      <c r="M88" s="13" t="s">
        <v>147</v>
      </c>
      <c r="N88" s="115"/>
      <c r="O88" s="115"/>
      <c r="P88" s="115"/>
      <c r="Q88" s="115"/>
      <c r="R88" s="127"/>
      <c r="S88" s="29"/>
      <c r="AC88" s="115"/>
      <c r="AD88" s="115"/>
      <c r="AE88" s="115"/>
      <c r="AF88" s="115"/>
      <c r="AG88" s="115"/>
      <c r="AH88" s="115"/>
      <c r="AI88" s="127"/>
      <c r="AJ88" s="29"/>
    </row>
    <row r="89" spans="1:36" ht="19.5" x14ac:dyDescent="0.4">
      <c r="A89" s="85" t="s">
        <v>302</v>
      </c>
      <c r="B89" s="140"/>
      <c r="C89" s="126"/>
      <c r="D89" s="126"/>
      <c r="E89" s="126"/>
      <c r="L89" s="25">
        <v>46209</v>
      </c>
      <c r="M89" s="13" t="s">
        <v>146</v>
      </c>
      <c r="N89" s="115"/>
      <c r="O89" s="115"/>
      <c r="P89" s="115"/>
      <c r="Q89" s="115"/>
      <c r="R89" s="127"/>
      <c r="S89" s="29"/>
      <c r="AC89" s="115"/>
      <c r="AD89" s="115"/>
      <c r="AE89" s="115"/>
      <c r="AF89" s="115"/>
      <c r="AG89" s="115"/>
      <c r="AH89" s="115"/>
      <c r="AI89" s="127"/>
      <c r="AJ89" s="29"/>
    </row>
    <row r="90" spans="1:36" ht="19.5" x14ac:dyDescent="0.4">
      <c r="A90" s="85" t="s">
        <v>303</v>
      </c>
      <c r="B90" s="140"/>
      <c r="C90" s="126"/>
      <c r="D90" s="126"/>
      <c r="E90" s="126"/>
      <c r="L90" s="25">
        <v>46209</v>
      </c>
      <c r="M90" s="13" t="s">
        <v>147</v>
      </c>
      <c r="N90" s="115"/>
      <c r="O90" s="115"/>
      <c r="P90" s="115"/>
      <c r="Q90" s="115"/>
      <c r="R90" s="127"/>
      <c r="S90" s="29"/>
      <c r="AC90" s="115"/>
      <c r="AD90" s="115"/>
      <c r="AE90" s="115"/>
      <c r="AF90" s="115"/>
      <c r="AG90" s="115"/>
      <c r="AH90" s="115"/>
      <c r="AI90" s="127"/>
      <c r="AJ90" s="29"/>
    </row>
    <row r="91" spans="1:36" ht="19.5" x14ac:dyDescent="0.4">
      <c r="A91" s="85" t="s">
        <v>304</v>
      </c>
      <c r="B91" s="140"/>
      <c r="C91" s="126"/>
      <c r="D91" s="126"/>
      <c r="E91" s="126"/>
      <c r="L91" s="25">
        <v>46209</v>
      </c>
      <c r="M91" s="13" t="s">
        <v>146</v>
      </c>
      <c r="N91" s="115"/>
      <c r="O91" s="115"/>
      <c r="P91" s="115"/>
      <c r="Q91" s="115"/>
      <c r="R91" s="127"/>
      <c r="S91" s="29"/>
      <c r="AC91" s="115"/>
      <c r="AD91" s="115"/>
      <c r="AE91" s="115"/>
      <c r="AF91" s="115"/>
      <c r="AG91" s="115"/>
      <c r="AH91" s="115"/>
      <c r="AI91" s="127"/>
      <c r="AJ91" s="29"/>
    </row>
    <row r="92" spans="1:36" ht="19.5" x14ac:dyDescent="0.4">
      <c r="A92" s="85" t="s">
        <v>305</v>
      </c>
      <c r="B92" s="140"/>
      <c r="C92" s="126"/>
      <c r="D92" s="126"/>
      <c r="E92" s="126"/>
      <c r="L92" s="25">
        <v>46209</v>
      </c>
      <c r="M92" s="13" t="s">
        <v>147</v>
      </c>
      <c r="N92" s="115"/>
      <c r="O92" s="115"/>
      <c r="P92" s="115"/>
      <c r="Q92" s="115"/>
      <c r="R92" s="127"/>
      <c r="S92" s="29"/>
      <c r="AC92" s="115"/>
      <c r="AD92" s="115"/>
      <c r="AE92" s="115"/>
      <c r="AF92" s="115"/>
      <c r="AG92" s="115"/>
      <c r="AH92" s="115"/>
      <c r="AI92" s="127"/>
      <c r="AJ92" s="29"/>
    </row>
    <row r="93" spans="1:36" ht="19.5" x14ac:dyDescent="0.4">
      <c r="A93" s="85"/>
      <c r="B93" s="140"/>
      <c r="C93" s="126"/>
      <c r="D93" s="126"/>
      <c r="E93" s="126"/>
      <c r="K93" s="115" t="s">
        <v>480</v>
      </c>
      <c r="L93" s="171">
        <f>SUBTOTAL(3,L88:L92)</f>
        <v>5</v>
      </c>
      <c r="M93" s="13">
        <f>SUBTOTAL(3,M88:M92)</f>
        <v>5</v>
      </c>
      <c r="N93" s="115"/>
      <c r="O93" s="115"/>
      <c r="P93" s="115"/>
      <c r="Q93" s="115"/>
      <c r="R93" s="127"/>
      <c r="S93" s="29"/>
      <c r="AC93" s="115"/>
      <c r="AD93" s="115"/>
      <c r="AE93" s="115"/>
      <c r="AF93" s="115"/>
      <c r="AG93" s="115"/>
      <c r="AH93" s="115"/>
      <c r="AI93" s="127"/>
      <c r="AJ93" s="29"/>
    </row>
    <row r="94" spans="1:36" ht="19.5" x14ac:dyDescent="0.4">
      <c r="A94" s="85"/>
      <c r="B94" s="140"/>
      <c r="C94" s="126"/>
      <c r="D94" s="126"/>
      <c r="E94" s="126"/>
      <c r="J94" s="115"/>
      <c r="K94" s="115"/>
      <c r="L94" s="25">
        <v>46210</v>
      </c>
      <c r="M94" s="13" t="s">
        <v>148</v>
      </c>
      <c r="N94" s="115"/>
      <c r="O94" s="115"/>
      <c r="P94" s="115"/>
      <c r="Q94" s="115"/>
      <c r="R94" s="127"/>
      <c r="S94" s="29"/>
      <c r="AC94" s="115"/>
      <c r="AD94" s="115"/>
      <c r="AE94" s="115"/>
      <c r="AF94" s="115"/>
      <c r="AG94" s="115"/>
      <c r="AH94" s="115"/>
      <c r="AI94" s="127"/>
      <c r="AJ94" s="29"/>
    </row>
    <row r="95" spans="1:36" ht="19.5" x14ac:dyDescent="0.4">
      <c r="A95" s="85" t="s">
        <v>276</v>
      </c>
      <c r="B95" s="140"/>
      <c r="C95" s="126"/>
      <c r="D95" s="126"/>
      <c r="E95" s="126"/>
      <c r="L95" s="25">
        <v>46210</v>
      </c>
      <c r="M95" s="13" t="s">
        <v>142</v>
      </c>
      <c r="N95" s="115"/>
      <c r="O95" s="115"/>
      <c r="P95" s="115"/>
      <c r="Q95" s="115"/>
      <c r="R95" s="127"/>
      <c r="S95" s="29"/>
      <c r="AC95" s="115"/>
      <c r="AD95" s="115"/>
      <c r="AE95" s="115"/>
      <c r="AF95" s="115"/>
      <c r="AG95" s="115"/>
      <c r="AH95" s="115"/>
      <c r="AI95" s="127"/>
      <c r="AJ95" s="29"/>
    </row>
    <row r="96" spans="1:36" ht="19.5" x14ac:dyDescent="0.4">
      <c r="A96" s="85" t="s">
        <v>277</v>
      </c>
      <c r="B96" s="140"/>
      <c r="C96" s="126"/>
      <c r="D96" s="126"/>
      <c r="E96" s="126"/>
      <c r="L96" s="25">
        <v>46210</v>
      </c>
      <c r="M96" s="13" t="s">
        <v>146</v>
      </c>
      <c r="N96" s="115"/>
      <c r="O96" s="115"/>
      <c r="P96" s="115"/>
      <c r="Q96" s="115"/>
      <c r="R96" s="127"/>
      <c r="S96" s="29"/>
      <c r="AC96" s="115"/>
      <c r="AD96" s="115"/>
      <c r="AE96" s="115"/>
      <c r="AF96" s="115"/>
      <c r="AG96" s="115"/>
      <c r="AH96" s="115"/>
      <c r="AI96" s="29"/>
      <c r="AJ96" s="29"/>
    </row>
    <row r="97" spans="1:36" ht="19.5" x14ac:dyDescent="0.4">
      <c r="A97" s="85" t="s">
        <v>278</v>
      </c>
      <c r="B97" s="140"/>
      <c r="C97" s="126"/>
      <c r="D97" s="126"/>
      <c r="E97" s="126"/>
      <c r="L97" s="25">
        <v>46210</v>
      </c>
      <c r="M97" s="13" t="s">
        <v>146</v>
      </c>
      <c r="N97" s="115"/>
      <c r="O97" s="115"/>
      <c r="P97" s="115"/>
      <c r="Q97" s="115"/>
      <c r="R97" s="127"/>
      <c r="S97" s="29"/>
      <c r="AC97" s="115"/>
      <c r="AD97" s="115"/>
      <c r="AE97" s="115"/>
      <c r="AF97" s="115"/>
      <c r="AG97" s="115"/>
      <c r="AH97" s="115"/>
      <c r="AI97" s="127"/>
      <c r="AJ97" s="29"/>
    </row>
    <row r="98" spans="1:36" ht="19.5" x14ac:dyDescent="0.4">
      <c r="A98" s="85"/>
      <c r="B98" s="140"/>
      <c r="C98" s="126"/>
      <c r="D98" s="126"/>
      <c r="E98" s="126"/>
      <c r="J98" s="115"/>
      <c r="K98" s="115"/>
      <c r="L98" s="25">
        <v>46210</v>
      </c>
      <c r="M98" s="13" t="s">
        <v>148</v>
      </c>
      <c r="N98" s="115"/>
      <c r="O98" s="115"/>
      <c r="P98" s="115"/>
      <c r="Q98" s="115"/>
      <c r="R98" s="127"/>
      <c r="S98" s="29"/>
      <c r="AC98" s="115"/>
      <c r="AD98" s="115"/>
      <c r="AE98" s="115"/>
      <c r="AF98" s="115"/>
      <c r="AG98" s="115"/>
      <c r="AH98" s="115"/>
      <c r="AI98" s="127"/>
      <c r="AJ98" s="29"/>
    </row>
    <row r="99" spans="1:36" ht="19.5" x14ac:dyDescent="0.4">
      <c r="A99" s="85" t="s">
        <v>279</v>
      </c>
      <c r="B99" s="140"/>
      <c r="C99" s="126"/>
      <c r="D99" s="126"/>
      <c r="E99" s="126"/>
      <c r="L99" s="25">
        <v>46210</v>
      </c>
      <c r="M99" s="13" t="s">
        <v>147</v>
      </c>
      <c r="N99" s="115"/>
      <c r="O99" s="115"/>
      <c r="P99" s="115"/>
      <c r="Q99" s="115"/>
      <c r="R99" s="127"/>
      <c r="S99" s="29"/>
      <c r="AC99" s="115"/>
      <c r="AD99" s="115"/>
      <c r="AE99" s="115"/>
      <c r="AF99" s="115"/>
      <c r="AG99" s="115"/>
      <c r="AH99" s="115"/>
      <c r="AI99" s="127"/>
      <c r="AJ99" s="29"/>
    </row>
    <row r="100" spans="1:36" ht="19.5" x14ac:dyDescent="0.4">
      <c r="A100" s="85" t="s">
        <v>280</v>
      </c>
      <c r="B100" s="140"/>
      <c r="C100" s="126"/>
      <c r="D100" s="126"/>
      <c r="E100" s="126"/>
      <c r="L100" s="25">
        <v>46210</v>
      </c>
      <c r="M100" s="13" t="s">
        <v>146</v>
      </c>
      <c r="N100" s="115"/>
      <c r="O100" s="115"/>
      <c r="P100" s="115"/>
      <c r="Q100" s="115"/>
      <c r="R100" s="127"/>
      <c r="S100" s="29"/>
      <c r="AB100" s="115"/>
      <c r="AC100" s="115"/>
      <c r="AD100" s="115"/>
      <c r="AE100" s="115"/>
      <c r="AF100" s="115"/>
      <c r="AG100" s="115"/>
      <c r="AH100" s="115"/>
      <c r="AI100" s="127"/>
      <c r="AJ100" s="29"/>
    </row>
    <row r="101" spans="1:36" ht="19.5" x14ac:dyDescent="0.4">
      <c r="A101" s="85" t="s">
        <v>281</v>
      </c>
      <c r="B101" s="140"/>
      <c r="C101" s="126"/>
      <c r="D101" s="126"/>
      <c r="E101" s="126"/>
      <c r="L101" s="25">
        <v>46210</v>
      </c>
      <c r="M101" s="15" t="s">
        <v>146</v>
      </c>
      <c r="N101" s="115"/>
      <c r="O101" s="115"/>
      <c r="P101" s="115"/>
      <c r="Q101" s="115"/>
      <c r="R101" s="127"/>
      <c r="S101" s="29"/>
      <c r="AB101" s="115"/>
      <c r="AC101" s="115"/>
      <c r="AD101" s="115"/>
      <c r="AE101" s="115"/>
      <c r="AF101" s="115"/>
      <c r="AG101" s="115"/>
      <c r="AH101" s="115"/>
      <c r="AI101" s="127"/>
      <c r="AJ101" s="29"/>
    </row>
    <row r="102" spans="1:36" ht="19.5" x14ac:dyDescent="0.4">
      <c r="A102" s="85" t="s">
        <v>282</v>
      </c>
      <c r="B102" s="140"/>
      <c r="C102" s="126"/>
      <c r="D102" s="126"/>
      <c r="E102" s="126"/>
      <c r="L102" s="25">
        <v>46210</v>
      </c>
      <c r="M102" s="15" t="s">
        <v>146</v>
      </c>
      <c r="N102" s="115"/>
      <c r="O102" s="115"/>
      <c r="P102" s="115"/>
      <c r="Q102" s="115"/>
      <c r="R102" s="127"/>
      <c r="S102" s="29"/>
      <c r="AB102" s="115"/>
      <c r="AC102" s="115"/>
      <c r="AD102" s="115"/>
      <c r="AE102" s="115"/>
      <c r="AF102" s="115"/>
      <c r="AG102" s="115"/>
      <c r="AH102" s="115"/>
      <c r="AI102" s="29"/>
      <c r="AJ102" s="29"/>
    </row>
    <row r="103" spans="1:36" ht="19.5" x14ac:dyDescent="0.4">
      <c r="A103" s="85" t="s">
        <v>215</v>
      </c>
      <c r="B103" s="140"/>
      <c r="C103" s="126"/>
      <c r="D103" s="126"/>
      <c r="E103" s="126"/>
      <c r="L103" s="25">
        <v>46210</v>
      </c>
      <c r="M103" s="15" t="s">
        <v>146</v>
      </c>
      <c r="N103" s="115"/>
      <c r="O103" s="115"/>
      <c r="P103" s="115"/>
      <c r="Q103" s="115"/>
      <c r="R103" s="127"/>
      <c r="S103" s="29"/>
      <c r="AB103" s="115"/>
      <c r="AC103" s="115"/>
      <c r="AD103" s="115"/>
      <c r="AE103" s="115"/>
      <c r="AF103" s="115"/>
      <c r="AG103" s="115"/>
      <c r="AH103" s="115"/>
      <c r="AI103" s="127"/>
      <c r="AJ103" s="29"/>
    </row>
    <row r="104" spans="1:36" ht="19.5" x14ac:dyDescent="0.4">
      <c r="A104" s="85"/>
      <c r="B104" s="140"/>
      <c r="C104" s="126"/>
      <c r="D104" s="126"/>
      <c r="E104" s="126"/>
      <c r="J104" s="115"/>
      <c r="K104" s="115"/>
      <c r="L104" s="25">
        <v>46210</v>
      </c>
      <c r="M104" s="15" t="s">
        <v>146</v>
      </c>
      <c r="N104" s="115"/>
      <c r="O104" s="115"/>
      <c r="P104" s="115"/>
      <c r="Q104" s="115"/>
      <c r="R104" s="127"/>
      <c r="S104" s="29"/>
      <c r="AB104" s="115"/>
      <c r="AC104" s="115"/>
      <c r="AD104" s="115"/>
      <c r="AE104" s="115"/>
      <c r="AF104" s="115"/>
      <c r="AG104" s="115"/>
      <c r="AH104" s="115"/>
      <c r="AI104" s="127"/>
      <c r="AJ104" s="29"/>
    </row>
    <row r="105" spans="1:36" ht="19.5" x14ac:dyDescent="0.4">
      <c r="A105" s="85" t="s">
        <v>283</v>
      </c>
      <c r="B105" s="140"/>
      <c r="C105" s="126"/>
      <c r="D105" s="126"/>
      <c r="E105" s="126"/>
      <c r="L105" s="25">
        <v>46210</v>
      </c>
      <c r="M105" s="15" t="s">
        <v>147</v>
      </c>
      <c r="N105" s="115"/>
      <c r="O105" s="115"/>
      <c r="P105" s="115"/>
      <c r="Q105" s="115"/>
      <c r="R105" s="127"/>
      <c r="S105" s="29"/>
      <c r="AB105" s="115"/>
      <c r="AC105" s="115"/>
      <c r="AD105" s="115"/>
      <c r="AE105" s="115"/>
      <c r="AF105" s="115"/>
      <c r="AG105" s="115"/>
      <c r="AH105" s="115"/>
      <c r="AI105" s="29"/>
      <c r="AJ105" s="29"/>
    </row>
    <row r="106" spans="1:36" ht="19.5" x14ac:dyDescent="0.4">
      <c r="A106" s="85" t="s">
        <v>284</v>
      </c>
      <c r="B106" s="140"/>
      <c r="C106" s="126"/>
      <c r="D106" s="126"/>
      <c r="E106" s="126"/>
      <c r="L106" s="25">
        <v>46210</v>
      </c>
      <c r="M106" s="15" t="s">
        <v>147</v>
      </c>
      <c r="N106" s="115"/>
      <c r="O106" s="115"/>
      <c r="P106" s="115"/>
      <c r="Q106" s="115"/>
      <c r="R106" s="127"/>
      <c r="S106" s="29"/>
      <c r="AB106" s="115"/>
      <c r="AC106" s="115"/>
      <c r="AD106" s="115"/>
      <c r="AE106" s="115"/>
      <c r="AF106" s="115"/>
      <c r="AG106" s="115"/>
      <c r="AH106" s="115"/>
      <c r="AI106" s="127"/>
      <c r="AJ106" s="29"/>
    </row>
    <row r="107" spans="1:36" ht="19.5" x14ac:dyDescent="0.4">
      <c r="A107" s="85"/>
      <c r="B107" s="140"/>
      <c r="C107" s="126"/>
      <c r="D107" s="126"/>
      <c r="E107" s="126"/>
      <c r="K107" s="115" t="s">
        <v>481</v>
      </c>
      <c r="L107" s="171">
        <f>SUBTOTAL(3,L94:L106)</f>
        <v>13</v>
      </c>
      <c r="M107" s="15">
        <f>SUBTOTAL(3,M94:M106)</f>
        <v>13</v>
      </c>
      <c r="N107" s="115"/>
      <c r="O107" s="115"/>
      <c r="P107" s="115"/>
      <c r="Q107" s="115"/>
      <c r="R107" s="127"/>
      <c r="S107" s="29"/>
      <c r="AB107" s="115"/>
      <c r="AC107" s="115"/>
      <c r="AD107" s="115"/>
      <c r="AE107" s="115"/>
      <c r="AF107" s="115"/>
      <c r="AG107" s="115"/>
      <c r="AH107" s="115"/>
      <c r="AI107" s="127"/>
      <c r="AJ107" s="29"/>
    </row>
    <row r="108" spans="1:36" ht="19.5" x14ac:dyDescent="0.4">
      <c r="A108" s="85" t="s">
        <v>285</v>
      </c>
      <c r="B108" s="140"/>
      <c r="C108" s="126"/>
      <c r="D108" s="126"/>
      <c r="E108" s="126"/>
      <c r="L108" s="25">
        <v>46211</v>
      </c>
      <c r="M108" s="15" t="s">
        <v>146</v>
      </c>
      <c r="N108" s="115"/>
      <c r="O108" s="115"/>
      <c r="P108" s="115"/>
      <c r="Q108" s="115"/>
      <c r="R108" s="127"/>
      <c r="S108" s="29"/>
      <c r="AB108" s="115"/>
      <c r="AC108" s="115"/>
      <c r="AD108" s="115"/>
      <c r="AE108" s="115"/>
      <c r="AF108" s="115"/>
      <c r="AG108" s="115"/>
      <c r="AH108" s="115"/>
      <c r="AI108" s="127"/>
      <c r="AJ108" s="29"/>
    </row>
    <row r="109" spans="1:36" ht="19.5" x14ac:dyDescent="0.4">
      <c r="A109" s="85" t="s">
        <v>216</v>
      </c>
      <c r="B109" s="140"/>
      <c r="C109" s="126"/>
      <c r="D109" s="126"/>
      <c r="E109" s="126"/>
      <c r="L109" s="25">
        <v>46211</v>
      </c>
      <c r="M109" s="15" t="s">
        <v>148</v>
      </c>
      <c r="N109" s="115"/>
      <c r="O109" s="115"/>
      <c r="P109" s="115"/>
      <c r="Q109" s="115"/>
      <c r="R109" s="127"/>
      <c r="S109" s="29"/>
      <c r="AB109" s="115"/>
      <c r="AC109" s="115"/>
      <c r="AD109" s="115"/>
      <c r="AE109" s="115"/>
      <c r="AF109" s="115"/>
      <c r="AG109" s="115"/>
      <c r="AH109" s="115"/>
      <c r="AI109" s="127"/>
      <c r="AJ109" s="29"/>
    </row>
    <row r="110" spans="1:36" ht="19.5" x14ac:dyDescent="0.4">
      <c r="A110" s="85" t="s">
        <v>286</v>
      </c>
      <c r="B110" s="140"/>
      <c r="C110" s="126"/>
      <c r="D110" s="126"/>
      <c r="E110" s="126"/>
      <c r="L110" s="25">
        <v>46211</v>
      </c>
      <c r="M110" s="15" t="s">
        <v>146</v>
      </c>
      <c r="N110" s="115"/>
      <c r="O110" s="115"/>
      <c r="P110" s="115"/>
      <c r="Q110" s="115"/>
      <c r="R110" s="127"/>
      <c r="S110" s="29"/>
      <c r="AB110" s="115"/>
      <c r="AC110" s="115"/>
      <c r="AD110" s="115"/>
      <c r="AE110" s="115"/>
      <c r="AF110" s="115"/>
      <c r="AG110" s="115"/>
      <c r="AH110" s="115"/>
      <c r="AI110" s="127"/>
      <c r="AJ110" s="29"/>
    </row>
    <row r="111" spans="1:36" ht="19.5" x14ac:dyDescent="0.4">
      <c r="A111" s="85" t="s">
        <v>287</v>
      </c>
      <c r="B111" s="140"/>
      <c r="C111" s="126"/>
      <c r="D111" s="126"/>
      <c r="E111" s="126"/>
      <c r="I111" s="115"/>
      <c r="J111" s="115"/>
      <c r="K111" s="115"/>
      <c r="L111" s="25">
        <v>46211</v>
      </c>
      <c r="M111" s="15" t="s">
        <v>147</v>
      </c>
      <c r="N111" s="115"/>
      <c r="O111" s="115"/>
      <c r="P111" s="115"/>
      <c r="Q111" s="115"/>
      <c r="R111" s="127"/>
      <c r="S111" s="29"/>
      <c r="AB111" s="115"/>
      <c r="AC111" s="115"/>
      <c r="AD111" s="115"/>
      <c r="AE111" s="115"/>
      <c r="AF111" s="115"/>
      <c r="AG111" s="115"/>
      <c r="AH111" s="115"/>
      <c r="AI111" s="127"/>
      <c r="AJ111" s="29"/>
    </row>
    <row r="112" spans="1:36" ht="19.5" x14ac:dyDescent="0.4">
      <c r="A112" s="85" t="s">
        <v>217</v>
      </c>
      <c r="B112" s="140"/>
      <c r="C112" s="126"/>
      <c r="D112" s="126"/>
      <c r="E112" s="126"/>
      <c r="L112" s="25">
        <v>46211</v>
      </c>
      <c r="M112" s="15" t="s">
        <v>146</v>
      </c>
      <c r="N112" s="115"/>
      <c r="O112" s="115"/>
      <c r="P112" s="115"/>
      <c r="Q112" s="115"/>
      <c r="R112" s="127"/>
      <c r="S112" s="29"/>
      <c r="AB112" s="115"/>
      <c r="AC112" s="115"/>
      <c r="AD112" s="115"/>
      <c r="AE112" s="115"/>
      <c r="AF112" s="115"/>
      <c r="AG112" s="115"/>
      <c r="AH112" s="115"/>
      <c r="AI112" s="127"/>
      <c r="AJ112" s="29"/>
    </row>
    <row r="113" spans="1:36" ht="19.5" x14ac:dyDescent="0.4">
      <c r="A113" s="85" t="s">
        <v>218</v>
      </c>
      <c r="B113" s="140"/>
      <c r="C113" s="126"/>
      <c r="D113" s="126"/>
      <c r="E113" s="126"/>
      <c r="L113" s="25">
        <v>46211</v>
      </c>
      <c r="M113" s="15" t="s">
        <v>146</v>
      </c>
      <c r="N113" s="115"/>
      <c r="O113" s="115"/>
      <c r="P113" s="115"/>
      <c r="Q113" s="115"/>
      <c r="R113" s="127"/>
      <c r="S113" s="29"/>
      <c r="AB113" s="115"/>
      <c r="AC113" s="115"/>
      <c r="AD113" s="115"/>
      <c r="AE113" s="115"/>
      <c r="AF113" s="115"/>
      <c r="AG113" s="115"/>
      <c r="AH113" s="115"/>
      <c r="AI113" s="127"/>
      <c r="AJ113" s="29"/>
    </row>
    <row r="114" spans="1:36" ht="19.5" x14ac:dyDescent="0.4">
      <c r="A114" s="85" t="s">
        <v>259</v>
      </c>
      <c r="B114" s="140"/>
      <c r="C114" s="126"/>
      <c r="D114" s="126"/>
      <c r="E114" s="126"/>
      <c r="L114" s="25">
        <v>46211</v>
      </c>
      <c r="M114" s="15" t="s">
        <v>146</v>
      </c>
      <c r="N114" s="115"/>
      <c r="O114" s="115"/>
      <c r="P114" s="115"/>
      <c r="Q114" s="115"/>
      <c r="R114" s="127"/>
      <c r="S114" s="127"/>
      <c r="AB114" s="115"/>
      <c r="AC114" s="115"/>
      <c r="AD114" s="115"/>
      <c r="AE114" s="115"/>
      <c r="AF114" s="115"/>
      <c r="AG114" s="115"/>
      <c r="AH114" s="115"/>
      <c r="AI114" s="29"/>
      <c r="AJ114" s="29"/>
    </row>
    <row r="115" spans="1:36" ht="19.5" x14ac:dyDescent="0.4">
      <c r="A115" s="85" t="s">
        <v>260</v>
      </c>
      <c r="B115" s="140"/>
      <c r="C115" s="126"/>
      <c r="D115" s="126"/>
      <c r="E115" s="126"/>
      <c r="L115" s="25">
        <v>46211</v>
      </c>
      <c r="M115" s="15" t="s">
        <v>146</v>
      </c>
      <c r="N115" s="115"/>
      <c r="O115" s="115"/>
      <c r="P115" s="115"/>
      <c r="Q115" s="115"/>
      <c r="R115" s="127"/>
      <c r="S115" s="29"/>
      <c r="AB115" s="115"/>
      <c r="AC115" s="115"/>
      <c r="AD115" s="115"/>
      <c r="AE115" s="115"/>
      <c r="AF115" s="115"/>
      <c r="AG115" s="115"/>
      <c r="AH115" s="115"/>
      <c r="AI115" s="29"/>
      <c r="AJ115" s="29"/>
    </row>
    <row r="116" spans="1:36" ht="19.5" x14ac:dyDescent="0.4">
      <c r="A116" s="85"/>
      <c r="B116" s="140"/>
      <c r="C116" s="126"/>
      <c r="D116" s="126"/>
      <c r="E116" s="126"/>
      <c r="J116" s="115"/>
      <c r="K116" s="115"/>
      <c r="L116" s="25">
        <v>46211</v>
      </c>
      <c r="M116" s="15" t="s">
        <v>147</v>
      </c>
      <c r="N116" s="115"/>
      <c r="O116" s="115"/>
      <c r="P116" s="115"/>
      <c r="Q116" s="115"/>
      <c r="R116" s="127"/>
      <c r="S116" s="29"/>
      <c r="AB116" s="115"/>
      <c r="AC116" s="115"/>
      <c r="AD116" s="115"/>
      <c r="AE116" s="115"/>
      <c r="AF116" s="115"/>
      <c r="AG116" s="115"/>
      <c r="AH116" s="115"/>
      <c r="AI116" s="29"/>
      <c r="AJ116" s="29"/>
    </row>
    <row r="117" spans="1:36" ht="19.5" x14ac:dyDescent="0.4">
      <c r="A117" s="85" t="s">
        <v>261</v>
      </c>
      <c r="B117" s="140"/>
      <c r="C117" s="126"/>
      <c r="D117" s="126"/>
      <c r="E117" s="126"/>
      <c r="L117" s="25">
        <v>46211</v>
      </c>
      <c r="M117" s="15" t="s">
        <v>142</v>
      </c>
      <c r="N117" s="115"/>
      <c r="O117" s="115"/>
      <c r="P117" s="115"/>
      <c r="Q117" s="115"/>
      <c r="R117" s="127"/>
      <c r="S117" s="29"/>
      <c r="AA117" s="115"/>
      <c r="AB117" s="115"/>
      <c r="AC117" s="115"/>
      <c r="AD117" s="115"/>
      <c r="AE117" s="115"/>
      <c r="AF117" s="115"/>
      <c r="AG117" s="115"/>
      <c r="AH117" s="115"/>
      <c r="AI117" s="127"/>
      <c r="AJ117" s="29"/>
    </row>
    <row r="118" spans="1:36" ht="19.5" x14ac:dyDescent="0.4">
      <c r="A118" s="85" t="s">
        <v>262</v>
      </c>
      <c r="B118" s="140"/>
      <c r="C118" s="126"/>
      <c r="D118" s="126"/>
      <c r="E118" s="126"/>
      <c r="L118" s="30">
        <v>46211</v>
      </c>
      <c r="M118" s="15" t="s">
        <v>146</v>
      </c>
      <c r="N118" s="115"/>
      <c r="O118" s="115"/>
      <c r="P118" s="115"/>
      <c r="Q118" s="115"/>
      <c r="R118" s="127"/>
      <c r="S118" s="29"/>
      <c r="AA118" s="115"/>
      <c r="AB118" s="115"/>
      <c r="AC118" s="115"/>
      <c r="AD118" s="115"/>
      <c r="AE118" s="115"/>
      <c r="AF118" s="115"/>
      <c r="AG118" s="115"/>
      <c r="AH118" s="115"/>
      <c r="AI118" s="127"/>
      <c r="AJ118" s="29"/>
    </row>
    <row r="119" spans="1:36" ht="19.5" x14ac:dyDescent="0.4">
      <c r="A119" s="85" t="s">
        <v>263</v>
      </c>
      <c r="B119" s="140"/>
      <c r="C119" s="126"/>
      <c r="D119" s="126"/>
      <c r="E119" s="126"/>
      <c r="L119" s="30">
        <v>46211</v>
      </c>
      <c r="M119" s="15" t="s">
        <v>146</v>
      </c>
      <c r="N119" s="115"/>
      <c r="O119" s="115"/>
      <c r="P119" s="115"/>
      <c r="Q119" s="115"/>
      <c r="R119" s="127"/>
      <c r="S119" s="29"/>
      <c r="AA119" s="115"/>
      <c r="AB119" s="115"/>
      <c r="AC119" s="115"/>
      <c r="AD119" s="115"/>
      <c r="AE119" s="115"/>
      <c r="AF119" s="115"/>
      <c r="AG119" s="115"/>
      <c r="AH119" s="115"/>
      <c r="AI119" s="127"/>
      <c r="AJ119" s="29"/>
    </row>
    <row r="120" spans="1:36" ht="19.5" x14ac:dyDescent="0.4">
      <c r="A120" s="85"/>
      <c r="B120" s="140"/>
      <c r="C120" s="126"/>
      <c r="D120" s="126"/>
      <c r="E120" s="126"/>
      <c r="K120" s="115" t="s">
        <v>336</v>
      </c>
      <c r="L120" s="173">
        <f>SUBTOTAL(3,L108:L119)</f>
        <v>12</v>
      </c>
      <c r="M120" s="15">
        <f>SUBTOTAL(3,M108:M119)</f>
        <v>12</v>
      </c>
      <c r="N120" s="115"/>
      <c r="O120" s="115"/>
      <c r="P120" s="115"/>
      <c r="Q120" s="115"/>
      <c r="R120" s="127"/>
      <c r="S120" s="29"/>
      <c r="AA120" s="115"/>
      <c r="AB120" s="115"/>
      <c r="AC120" s="115"/>
      <c r="AD120" s="115"/>
      <c r="AE120" s="115"/>
      <c r="AF120" s="115"/>
      <c r="AG120" s="115"/>
      <c r="AH120" s="115"/>
      <c r="AI120" s="127"/>
      <c r="AJ120" s="29"/>
    </row>
    <row r="121" spans="1:36" ht="19.5" x14ac:dyDescent="0.4">
      <c r="A121" s="85" t="s">
        <v>264</v>
      </c>
      <c r="B121" s="140"/>
      <c r="C121" s="126"/>
      <c r="D121" s="126"/>
      <c r="E121" s="126"/>
      <c r="L121" s="30">
        <v>46216</v>
      </c>
      <c r="M121" s="15" t="s">
        <v>147</v>
      </c>
      <c r="N121" s="115"/>
      <c r="O121" s="115"/>
      <c r="P121" s="115"/>
      <c r="Q121" s="115"/>
      <c r="R121" s="127"/>
      <c r="S121" s="127"/>
      <c r="AA121" s="115"/>
      <c r="AB121" s="115"/>
      <c r="AC121" s="115"/>
      <c r="AD121" s="115"/>
      <c r="AE121" s="115"/>
      <c r="AF121" s="115"/>
      <c r="AG121" s="115"/>
      <c r="AH121" s="115"/>
      <c r="AI121" s="127"/>
      <c r="AJ121" s="29"/>
    </row>
    <row r="122" spans="1:36" ht="19.5" x14ac:dyDescent="0.4">
      <c r="A122" s="85" t="s">
        <v>265</v>
      </c>
      <c r="B122" s="140"/>
      <c r="C122" s="126"/>
      <c r="D122" s="126"/>
      <c r="E122" s="126"/>
      <c r="L122" s="30">
        <v>46216</v>
      </c>
      <c r="M122" s="15" t="s">
        <v>147</v>
      </c>
      <c r="N122" s="115"/>
      <c r="O122" s="115"/>
      <c r="P122" s="115"/>
      <c r="Q122" s="115"/>
      <c r="R122" s="127"/>
      <c r="S122" s="127"/>
      <c r="AA122" s="115"/>
      <c r="AB122" s="115"/>
      <c r="AC122" s="115"/>
      <c r="AD122" s="115"/>
      <c r="AE122" s="115"/>
      <c r="AF122" s="115"/>
      <c r="AG122" s="115"/>
      <c r="AH122" s="115"/>
      <c r="AI122" s="127"/>
      <c r="AJ122" s="29"/>
    </row>
    <row r="123" spans="1:36" ht="19.5" x14ac:dyDescent="0.4">
      <c r="A123" s="85" t="s">
        <v>266</v>
      </c>
      <c r="B123" s="140"/>
      <c r="C123" s="126"/>
      <c r="D123" s="126"/>
      <c r="E123" s="126"/>
      <c r="I123" s="115"/>
      <c r="J123" s="115"/>
      <c r="K123" s="115"/>
      <c r="L123" s="30">
        <v>46216</v>
      </c>
      <c r="M123" s="15" t="s">
        <v>147</v>
      </c>
      <c r="N123" s="115"/>
      <c r="O123" s="115"/>
      <c r="P123" s="115"/>
      <c r="Q123" s="115"/>
      <c r="R123" s="127"/>
      <c r="S123" s="127"/>
      <c r="AA123" s="115"/>
      <c r="AB123" s="115"/>
      <c r="AC123" s="115"/>
      <c r="AD123" s="115"/>
      <c r="AE123" s="115"/>
      <c r="AF123" s="115"/>
      <c r="AG123" s="115"/>
      <c r="AH123" s="115"/>
      <c r="AI123" s="127"/>
      <c r="AJ123" s="29"/>
    </row>
    <row r="124" spans="1:36" ht="19.5" x14ac:dyDescent="0.4">
      <c r="A124" s="85" t="s">
        <v>267</v>
      </c>
      <c r="B124" s="140"/>
      <c r="C124" s="126"/>
      <c r="D124" s="126"/>
      <c r="E124" s="126"/>
      <c r="L124" s="25">
        <v>46216</v>
      </c>
      <c r="M124" s="15" t="s">
        <v>147</v>
      </c>
      <c r="N124" s="115"/>
      <c r="O124" s="115"/>
      <c r="P124" s="115"/>
      <c r="Q124" s="115"/>
      <c r="R124" s="127"/>
      <c r="S124" s="127"/>
      <c r="AA124" s="115"/>
      <c r="AB124" s="115"/>
      <c r="AC124" s="115"/>
      <c r="AD124" s="115"/>
      <c r="AE124" s="115"/>
      <c r="AF124" s="115"/>
      <c r="AG124" s="115"/>
      <c r="AH124" s="115"/>
      <c r="AI124" s="127"/>
      <c r="AJ124" s="29"/>
    </row>
    <row r="125" spans="1:36" ht="19.5" x14ac:dyDescent="0.4">
      <c r="A125" s="85" t="s">
        <v>268</v>
      </c>
      <c r="B125" s="140"/>
      <c r="C125" s="126"/>
      <c r="D125" s="126"/>
      <c r="E125" s="126"/>
      <c r="L125" s="25">
        <v>46216</v>
      </c>
      <c r="M125" s="15" t="s">
        <v>147</v>
      </c>
      <c r="N125" s="115"/>
      <c r="O125" s="115"/>
      <c r="P125" s="115"/>
      <c r="Q125" s="115"/>
      <c r="R125" s="127"/>
      <c r="S125" s="127"/>
      <c r="AA125" s="115"/>
      <c r="AB125" s="115"/>
      <c r="AC125" s="115"/>
      <c r="AD125" s="115"/>
      <c r="AE125" s="115"/>
      <c r="AF125" s="115"/>
      <c r="AG125" s="115"/>
      <c r="AH125" s="115"/>
      <c r="AI125" s="127"/>
      <c r="AJ125" s="29"/>
    </row>
    <row r="126" spans="1:36" ht="19.5" x14ac:dyDescent="0.4">
      <c r="A126" s="85" t="s">
        <v>269</v>
      </c>
      <c r="B126" s="140"/>
      <c r="C126" s="126"/>
      <c r="D126" s="126"/>
      <c r="E126" s="126"/>
      <c r="L126" s="25">
        <v>46216</v>
      </c>
      <c r="M126" s="15" t="s">
        <v>146</v>
      </c>
      <c r="N126" s="115"/>
      <c r="O126" s="115"/>
      <c r="P126" s="115"/>
      <c r="Q126" s="115"/>
      <c r="R126" s="127"/>
      <c r="S126" s="127"/>
      <c r="AA126" s="115"/>
      <c r="AB126" s="115"/>
      <c r="AC126" s="115"/>
      <c r="AD126" s="115"/>
      <c r="AE126" s="115"/>
      <c r="AF126" s="115"/>
      <c r="AG126" s="115"/>
      <c r="AH126" s="115"/>
      <c r="AI126" s="127"/>
      <c r="AJ126" s="29"/>
    </row>
    <row r="127" spans="1:36" ht="19.5" x14ac:dyDescent="0.4">
      <c r="A127" s="85" t="s">
        <v>270</v>
      </c>
      <c r="B127" s="140"/>
      <c r="C127" s="126"/>
      <c r="D127" s="126"/>
      <c r="E127" s="126"/>
      <c r="L127" s="25">
        <v>46216</v>
      </c>
      <c r="M127" s="15" t="s">
        <v>146</v>
      </c>
      <c r="N127" s="115"/>
      <c r="O127" s="115"/>
      <c r="P127" s="115"/>
      <c r="Q127" s="115"/>
      <c r="R127" s="127"/>
      <c r="S127" s="127"/>
      <c r="AA127" s="115"/>
      <c r="AB127" s="115"/>
      <c r="AC127" s="115"/>
      <c r="AD127" s="115"/>
      <c r="AE127" s="115"/>
      <c r="AF127" s="115"/>
      <c r="AG127" s="115"/>
      <c r="AH127" s="115"/>
      <c r="AI127" s="127"/>
      <c r="AJ127" s="29"/>
    </row>
    <row r="128" spans="1:36" ht="19.5" x14ac:dyDescent="0.4">
      <c r="A128" s="85"/>
      <c r="B128" s="140"/>
      <c r="C128" s="126"/>
      <c r="D128" s="126"/>
      <c r="E128" s="126"/>
      <c r="J128" s="115"/>
      <c r="K128" s="115"/>
      <c r="L128" s="25">
        <v>46216</v>
      </c>
      <c r="M128" s="15" t="s">
        <v>146</v>
      </c>
      <c r="N128" s="115"/>
      <c r="O128" s="115"/>
      <c r="P128" s="115"/>
      <c r="Q128" s="115"/>
      <c r="R128" s="127"/>
      <c r="S128" s="127"/>
      <c r="AA128" s="115"/>
      <c r="AB128" s="115"/>
      <c r="AC128" s="115"/>
      <c r="AD128" s="115"/>
      <c r="AE128" s="115"/>
      <c r="AF128" s="115"/>
      <c r="AG128" s="115"/>
      <c r="AH128" s="115"/>
      <c r="AI128" s="127"/>
      <c r="AJ128" s="29"/>
    </row>
    <row r="129" spans="1:36" ht="19.5" x14ac:dyDescent="0.4">
      <c r="A129" s="85" t="s">
        <v>271</v>
      </c>
      <c r="B129" s="140"/>
      <c r="C129" s="126"/>
      <c r="D129" s="126"/>
      <c r="E129" s="126"/>
      <c r="L129" s="25">
        <v>46216</v>
      </c>
      <c r="M129" s="13" t="s">
        <v>146</v>
      </c>
      <c r="N129" s="115"/>
      <c r="O129" s="115"/>
      <c r="P129" s="115"/>
      <c r="Q129" s="115"/>
      <c r="R129" s="127"/>
      <c r="S129" s="29"/>
      <c r="AA129" s="115"/>
      <c r="AB129" s="115"/>
      <c r="AC129" s="115"/>
      <c r="AD129" s="115"/>
      <c r="AE129" s="115"/>
      <c r="AF129" s="115"/>
      <c r="AG129" s="115"/>
      <c r="AH129" s="115"/>
      <c r="AI129" s="127"/>
      <c r="AJ129" s="29"/>
    </row>
    <row r="130" spans="1:36" ht="19.5" x14ac:dyDescent="0.4">
      <c r="A130" s="85"/>
      <c r="B130" s="140"/>
      <c r="C130" s="126"/>
      <c r="D130" s="126"/>
      <c r="E130" s="126"/>
      <c r="K130" s="115" t="s">
        <v>482</v>
      </c>
      <c r="L130" s="171">
        <f>SUBTOTAL(3,L121:L129)</f>
        <v>9</v>
      </c>
      <c r="M130" s="13">
        <f>SUBTOTAL(3,M121:M129)</f>
        <v>9</v>
      </c>
      <c r="N130" s="115"/>
      <c r="O130" s="115"/>
      <c r="P130" s="115"/>
      <c r="Q130" s="115"/>
      <c r="R130" s="127"/>
      <c r="S130" s="29"/>
      <c r="AA130" s="115"/>
      <c r="AB130" s="115"/>
      <c r="AC130" s="115"/>
      <c r="AD130" s="115"/>
      <c r="AE130" s="115"/>
      <c r="AF130" s="115"/>
      <c r="AG130" s="115"/>
      <c r="AH130" s="115"/>
      <c r="AI130" s="127"/>
      <c r="AJ130" s="29"/>
    </row>
    <row r="131" spans="1:36" ht="19.5" x14ac:dyDescent="0.4">
      <c r="A131" s="85" t="s">
        <v>272</v>
      </c>
      <c r="B131" s="140"/>
      <c r="C131" s="126"/>
      <c r="D131" s="126"/>
      <c r="E131" s="126"/>
      <c r="L131" s="25">
        <v>46218</v>
      </c>
      <c r="M131" s="13" t="s">
        <v>148</v>
      </c>
      <c r="N131" s="115"/>
      <c r="O131" s="115"/>
      <c r="P131" s="115"/>
      <c r="Q131" s="115"/>
      <c r="R131" s="127"/>
      <c r="S131" s="29"/>
      <c r="AA131" s="115"/>
      <c r="AB131" s="115"/>
      <c r="AC131" s="115"/>
      <c r="AD131" s="115"/>
      <c r="AE131" s="115"/>
      <c r="AF131" s="115"/>
      <c r="AG131" s="115"/>
      <c r="AH131" s="115"/>
      <c r="AI131" s="127"/>
      <c r="AJ131" s="29"/>
    </row>
    <row r="132" spans="1:36" ht="19.5" x14ac:dyDescent="0.4">
      <c r="A132" s="85"/>
      <c r="B132" s="140"/>
      <c r="C132" s="126"/>
      <c r="D132" s="126"/>
      <c r="E132" s="126"/>
      <c r="K132" s="115" t="s">
        <v>483</v>
      </c>
      <c r="L132" s="171">
        <f>SUBTOTAL(3,L131:L131)</f>
        <v>1</v>
      </c>
      <c r="M132" s="13">
        <f>SUBTOTAL(3,M131:M131)</f>
        <v>1</v>
      </c>
      <c r="N132" s="115"/>
      <c r="O132" s="115"/>
      <c r="P132" s="115"/>
      <c r="Q132" s="115"/>
      <c r="R132" s="127"/>
      <c r="S132" s="29"/>
      <c r="AA132" s="115"/>
      <c r="AB132" s="115"/>
      <c r="AC132" s="115"/>
      <c r="AD132" s="115"/>
      <c r="AE132" s="115"/>
      <c r="AF132" s="115"/>
      <c r="AG132" s="115"/>
      <c r="AH132" s="115"/>
      <c r="AI132" s="127"/>
      <c r="AJ132" s="29"/>
    </row>
    <row r="133" spans="1:36" ht="19.5" x14ac:dyDescent="0.4">
      <c r="A133" s="85" t="s">
        <v>274</v>
      </c>
      <c r="B133" s="140"/>
      <c r="C133" s="126"/>
      <c r="D133" s="126"/>
      <c r="E133" s="126"/>
      <c r="I133" s="115"/>
      <c r="J133" s="115"/>
      <c r="K133" s="115"/>
      <c r="L133" s="25">
        <v>46219</v>
      </c>
      <c r="M133" s="13" t="s">
        <v>147</v>
      </c>
      <c r="N133" s="115"/>
      <c r="O133" s="115"/>
      <c r="P133" s="115"/>
      <c r="Q133" s="115"/>
      <c r="R133" s="127"/>
      <c r="S133" s="29"/>
      <c r="AA133" s="115"/>
      <c r="AB133" s="115"/>
      <c r="AC133" s="115"/>
      <c r="AD133" s="115"/>
      <c r="AE133" s="115"/>
      <c r="AF133" s="115"/>
      <c r="AG133" s="115"/>
      <c r="AH133" s="115"/>
      <c r="AI133" s="127"/>
      <c r="AJ133" s="29"/>
    </row>
    <row r="134" spans="1:36" ht="19.5" x14ac:dyDescent="0.4">
      <c r="A134" s="85"/>
      <c r="B134" s="140"/>
      <c r="C134" s="126"/>
      <c r="D134" s="126"/>
      <c r="E134" s="126"/>
      <c r="I134" s="115"/>
      <c r="J134" s="115"/>
      <c r="K134" s="115" t="s">
        <v>484</v>
      </c>
      <c r="L134" s="171">
        <f>SUBTOTAL(3,L133:L133)</f>
        <v>1</v>
      </c>
      <c r="M134" s="13">
        <f>SUBTOTAL(3,M133:M133)</f>
        <v>1</v>
      </c>
      <c r="N134" s="115"/>
      <c r="O134" s="115"/>
      <c r="P134" s="115"/>
      <c r="Q134" s="115"/>
      <c r="R134" s="127"/>
      <c r="S134" s="29"/>
      <c r="AA134" s="115"/>
      <c r="AB134" s="115"/>
      <c r="AC134" s="115"/>
      <c r="AD134" s="115"/>
      <c r="AE134" s="115"/>
      <c r="AF134" s="115"/>
      <c r="AG134" s="115"/>
      <c r="AH134" s="115"/>
      <c r="AI134" s="127"/>
      <c r="AJ134" s="29"/>
    </row>
    <row r="135" spans="1:36" ht="19.5" x14ac:dyDescent="0.4">
      <c r="A135" s="85" t="s">
        <v>248</v>
      </c>
      <c r="B135" s="140"/>
      <c r="C135" s="126"/>
      <c r="D135" s="126"/>
      <c r="E135" s="126"/>
      <c r="L135" s="25">
        <v>46222</v>
      </c>
      <c r="M135" s="13" t="s">
        <v>147</v>
      </c>
      <c r="N135" s="115"/>
      <c r="O135" s="115"/>
      <c r="P135" s="115"/>
      <c r="Q135" s="115"/>
      <c r="R135" s="127"/>
      <c r="S135" s="29"/>
      <c r="AA135" s="115"/>
      <c r="AB135" s="115"/>
      <c r="AC135" s="115"/>
      <c r="AD135" s="115"/>
      <c r="AE135" s="115"/>
      <c r="AF135" s="115"/>
      <c r="AG135" s="115"/>
      <c r="AH135" s="115"/>
      <c r="AI135" s="127"/>
      <c r="AJ135" s="29"/>
    </row>
    <row r="136" spans="1:36" ht="19.5" x14ac:dyDescent="0.4">
      <c r="A136" s="85" t="s">
        <v>249</v>
      </c>
      <c r="B136" s="140"/>
      <c r="C136" s="126"/>
      <c r="D136" s="126"/>
      <c r="E136" s="126"/>
      <c r="L136" s="25">
        <v>46222</v>
      </c>
      <c r="M136" s="13" t="s">
        <v>147</v>
      </c>
      <c r="N136" s="115"/>
      <c r="O136" s="115"/>
      <c r="P136" s="115"/>
      <c r="Q136" s="115"/>
      <c r="R136" s="127"/>
      <c r="S136" s="29"/>
      <c r="AA136" s="115"/>
      <c r="AB136" s="115"/>
      <c r="AC136" s="115"/>
      <c r="AD136" s="115"/>
      <c r="AE136" s="115"/>
      <c r="AF136" s="115"/>
      <c r="AG136" s="115"/>
      <c r="AH136" s="115"/>
      <c r="AI136" s="127"/>
      <c r="AJ136" s="29"/>
    </row>
    <row r="137" spans="1:36" ht="19.5" x14ac:dyDescent="0.4">
      <c r="A137" s="85"/>
      <c r="B137" s="140"/>
      <c r="C137" s="126"/>
      <c r="D137" s="126"/>
      <c r="E137" s="126"/>
      <c r="J137" s="115"/>
      <c r="K137" s="115"/>
      <c r="L137" s="25">
        <v>46222</v>
      </c>
      <c r="M137" s="13" t="s">
        <v>147</v>
      </c>
      <c r="N137" s="115"/>
      <c r="O137" s="115"/>
      <c r="P137" s="115"/>
      <c r="Q137" s="115"/>
      <c r="R137" s="127"/>
      <c r="S137" s="29"/>
      <c r="AA137" s="115"/>
      <c r="AB137" s="115"/>
      <c r="AC137" s="115"/>
      <c r="AD137" s="115"/>
      <c r="AE137" s="115"/>
      <c r="AF137" s="115"/>
      <c r="AG137" s="115"/>
      <c r="AH137" s="115"/>
      <c r="AI137" s="127"/>
      <c r="AJ137" s="29"/>
    </row>
    <row r="138" spans="1:36" ht="19.5" x14ac:dyDescent="0.4">
      <c r="A138" s="85" t="s">
        <v>250</v>
      </c>
      <c r="B138" s="140"/>
      <c r="C138" s="126"/>
      <c r="D138" s="126"/>
      <c r="E138" s="126"/>
      <c r="L138" s="25">
        <v>46222</v>
      </c>
      <c r="M138" s="13" t="s">
        <v>147</v>
      </c>
      <c r="N138" s="115"/>
      <c r="O138" s="115"/>
      <c r="P138" s="115"/>
      <c r="Q138" s="115"/>
      <c r="R138" s="127"/>
      <c r="S138" s="29"/>
      <c r="AA138" s="115"/>
      <c r="AB138" s="115"/>
      <c r="AC138" s="115"/>
      <c r="AD138" s="115"/>
      <c r="AE138" s="115"/>
      <c r="AF138" s="115"/>
      <c r="AG138" s="115"/>
      <c r="AH138" s="115"/>
      <c r="AI138" s="127"/>
      <c r="AJ138" s="29"/>
    </row>
    <row r="139" spans="1:36" ht="19.5" x14ac:dyDescent="0.4">
      <c r="A139" s="85" t="s">
        <v>251</v>
      </c>
      <c r="B139" s="140"/>
      <c r="C139" s="126"/>
      <c r="D139" s="126"/>
      <c r="E139" s="126"/>
      <c r="L139" s="25">
        <v>46222</v>
      </c>
      <c r="M139" s="13" t="s">
        <v>147</v>
      </c>
      <c r="N139" s="115"/>
      <c r="O139" s="115"/>
      <c r="P139" s="115"/>
      <c r="Q139" s="115"/>
      <c r="R139" s="127"/>
      <c r="S139" s="29"/>
      <c r="AA139" s="115"/>
      <c r="AB139" s="115"/>
      <c r="AC139" s="115"/>
      <c r="AD139" s="115"/>
      <c r="AE139" s="115"/>
      <c r="AF139" s="115"/>
      <c r="AG139" s="115"/>
      <c r="AH139" s="115"/>
      <c r="AI139" s="127"/>
      <c r="AJ139" s="29"/>
    </row>
    <row r="140" spans="1:36" ht="19.5" x14ac:dyDescent="0.4">
      <c r="A140" s="85" t="s">
        <v>252</v>
      </c>
      <c r="B140" s="140"/>
      <c r="C140" s="126"/>
      <c r="D140" s="126"/>
      <c r="E140" s="126"/>
      <c r="L140" s="25">
        <v>46222</v>
      </c>
      <c r="M140" s="13" t="s">
        <v>147</v>
      </c>
      <c r="N140" s="115"/>
      <c r="O140" s="115"/>
      <c r="P140" s="115"/>
      <c r="Q140" s="115"/>
      <c r="R140" s="127"/>
      <c r="S140" s="29"/>
      <c r="AA140" s="115"/>
      <c r="AB140" s="115"/>
      <c r="AC140" s="115"/>
      <c r="AD140" s="115"/>
      <c r="AE140" s="115"/>
      <c r="AF140" s="115"/>
      <c r="AG140" s="115"/>
      <c r="AH140" s="115"/>
      <c r="AI140" s="127"/>
      <c r="AJ140" s="29"/>
    </row>
    <row r="141" spans="1:36" ht="19.5" x14ac:dyDescent="0.4">
      <c r="A141" s="85" t="s">
        <v>275</v>
      </c>
      <c r="B141" s="140"/>
      <c r="C141" s="126"/>
      <c r="D141" s="126"/>
      <c r="E141" s="126"/>
      <c r="L141" s="25">
        <v>46222</v>
      </c>
      <c r="M141" s="13" t="s">
        <v>147</v>
      </c>
      <c r="N141" s="115"/>
      <c r="O141" s="115"/>
      <c r="P141" s="115"/>
      <c r="Q141" s="115"/>
      <c r="R141" s="127"/>
      <c r="S141" s="29"/>
      <c r="AA141" s="115"/>
      <c r="AB141" s="115"/>
      <c r="AC141" s="115"/>
      <c r="AD141" s="115"/>
      <c r="AE141" s="115"/>
      <c r="AF141" s="115"/>
      <c r="AG141" s="115"/>
      <c r="AH141" s="115"/>
      <c r="AI141" s="127"/>
      <c r="AJ141" s="29"/>
    </row>
    <row r="142" spans="1:36" ht="19.5" x14ac:dyDescent="0.4">
      <c r="A142" s="85" t="s">
        <v>253</v>
      </c>
      <c r="B142" s="140"/>
      <c r="C142" s="126"/>
      <c r="D142" s="126"/>
      <c r="E142" s="126"/>
      <c r="L142" s="25">
        <v>46222</v>
      </c>
      <c r="M142" s="13" t="s">
        <v>147</v>
      </c>
      <c r="N142" s="115"/>
      <c r="O142" s="115"/>
      <c r="P142" s="115"/>
      <c r="Q142" s="115"/>
      <c r="R142" s="127"/>
      <c r="S142" s="29"/>
      <c r="AA142" s="115"/>
      <c r="AB142" s="115"/>
      <c r="AC142" s="115"/>
      <c r="AD142" s="115"/>
      <c r="AE142" s="115"/>
      <c r="AF142" s="115"/>
      <c r="AG142" s="115"/>
      <c r="AH142" s="115"/>
      <c r="AI142" s="127"/>
      <c r="AJ142" s="29"/>
    </row>
    <row r="143" spans="1:36" ht="19.5" x14ac:dyDescent="0.4">
      <c r="A143" s="85"/>
      <c r="B143" s="140"/>
      <c r="C143" s="126"/>
      <c r="D143" s="126"/>
      <c r="E143" s="126"/>
      <c r="K143" s="115" t="s">
        <v>485</v>
      </c>
      <c r="L143" s="171">
        <f>SUBTOTAL(3,L135:L142)</f>
        <v>8</v>
      </c>
      <c r="M143" s="13">
        <f>SUBTOTAL(3,M135:M142)</f>
        <v>8</v>
      </c>
      <c r="N143" s="115"/>
      <c r="O143" s="115"/>
      <c r="P143" s="115"/>
      <c r="Q143" s="115"/>
      <c r="R143" s="127"/>
      <c r="S143" s="29"/>
      <c r="AA143" s="115"/>
      <c r="AB143" s="115"/>
      <c r="AC143" s="115"/>
      <c r="AD143" s="115"/>
      <c r="AE143" s="115"/>
      <c r="AF143" s="115"/>
      <c r="AG143" s="115"/>
      <c r="AH143" s="115"/>
      <c r="AI143" s="127"/>
      <c r="AJ143" s="29"/>
    </row>
    <row r="144" spans="1:36" ht="19.5" x14ac:dyDescent="0.4">
      <c r="A144" s="85" t="s">
        <v>254</v>
      </c>
      <c r="B144" s="140"/>
      <c r="C144" s="126"/>
      <c r="D144" s="126"/>
      <c r="E144" s="126"/>
      <c r="I144" s="115"/>
      <c r="J144" s="115"/>
      <c r="K144" s="115"/>
      <c r="L144" s="25">
        <v>46224</v>
      </c>
      <c r="M144" s="13" t="s">
        <v>147</v>
      </c>
      <c r="N144" s="115"/>
      <c r="O144" s="115"/>
      <c r="P144" s="115"/>
      <c r="Q144" s="115"/>
      <c r="R144" s="127"/>
      <c r="S144" s="29"/>
      <c r="AA144" s="115"/>
      <c r="AB144" s="115"/>
      <c r="AC144" s="115"/>
      <c r="AD144" s="115"/>
      <c r="AE144" s="115"/>
      <c r="AF144" s="115"/>
      <c r="AG144" s="115"/>
      <c r="AH144" s="115"/>
      <c r="AI144" s="127"/>
      <c r="AJ144" s="29"/>
    </row>
    <row r="145" spans="1:36" ht="19.5" x14ac:dyDescent="0.4">
      <c r="A145" s="85"/>
      <c r="B145" s="140"/>
      <c r="C145" s="126"/>
      <c r="D145" s="126"/>
      <c r="E145" s="126"/>
      <c r="I145" s="115"/>
      <c r="J145" s="115"/>
      <c r="K145" s="115" t="s">
        <v>486</v>
      </c>
      <c r="L145" s="171">
        <f>SUBTOTAL(3,L144:L144)</f>
        <v>1</v>
      </c>
      <c r="M145" s="13">
        <f>SUBTOTAL(3,M144:M144)</f>
        <v>1</v>
      </c>
      <c r="N145" s="115"/>
      <c r="O145" s="115"/>
      <c r="P145" s="115"/>
      <c r="Q145" s="115"/>
      <c r="R145" s="127"/>
      <c r="S145" s="29"/>
      <c r="AA145" s="115"/>
      <c r="AB145" s="115"/>
      <c r="AC145" s="115"/>
      <c r="AD145" s="115"/>
      <c r="AE145" s="115"/>
      <c r="AF145" s="115"/>
      <c r="AG145" s="115"/>
      <c r="AH145" s="115"/>
      <c r="AI145" s="127"/>
      <c r="AJ145" s="29"/>
    </row>
    <row r="146" spans="1:36" ht="19.5" x14ac:dyDescent="0.4">
      <c r="A146" s="85" t="s">
        <v>255</v>
      </c>
      <c r="B146" s="140"/>
      <c r="C146" s="126"/>
      <c r="D146" s="126"/>
      <c r="E146" s="126"/>
      <c r="L146" s="25">
        <v>46228</v>
      </c>
      <c r="M146" s="13" t="s">
        <v>146</v>
      </c>
      <c r="N146" s="115"/>
      <c r="O146" s="115"/>
      <c r="P146" s="115"/>
      <c r="Q146" s="115"/>
      <c r="R146" s="127"/>
      <c r="S146" s="29"/>
      <c r="AA146" s="115"/>
      <c r="AB146" s="115"/>
      <c r="AC146" s="115"/>
      <c r="AD146" s="115"/>
      <c r="AE146" s="115"/>
      <c r="AF146" s="115"/>
      <c r="AG146" s="115"/>
      <c r="AH146" s="115"/>
      <c r="AI146" s="127"/>
      <c r="AJ146" s="29"/>
    </row>
    <row r="147" spans="1:36" ht="19.5" x14ac:dyDescent="0.4">
      <c r="A147" s="85" t="s">
        <v>257</v>
      </c>
      <c r="B147" s="140"/>
      <c r="C147" s="126"/>
      <c r="D147" s="126"/>
      <c r="E147" s="126"/>
      <c r="L147" s="25">
        <v>46228</v>
      </c>
      <c r="M147" s="13" t="s">
        <v>148</v>
      </c>
      <c r="N147" s="115"/>
      <c r="O147" s="115"/>
      <c r="P147" s="115"/>
      <c r="Q147" s="115"/>
      <c r="R147" s="127"/>
      <c r="S147" s="29"/>
      <c r="AA147" s="115"/>
      <c r="AB147" s="115"/>
      <c r="AC147" s="115"/>
      <c r="AD147" s="115"/>
      <c r="AE147" s="115"/>
      <c r="AF147" s="115"/>
      <c r="AG147" s="115"/>
      <c r="AH147" s="115"/>
      <c r="AI147" s="127"/>
      <c r="AJ147" s="29"/>
    </row>
    <row r="148" spans="1:36" ht="19.5" x14ac:dyDescent="0.4">
      <c r="A148" s="85" t="s">
        <v>219</v>
      </c>
      <c r="B148" s="140"/>
      <c r="C148" s="126"/>
      <c r="D148" s="126"/>
      <c r="E148" s="126"/>
      <c r="L148" s="25">
        <v>46228</v>
      </c>
      <c r="M148" s="13" t="s">
        <v>146</v>
      </c>
      <c r="N148" s="115"/>
      <c r="O148" s="115"/>
      <c r="P148" s="115"/>
      <c r="Q148" s="115"/>
      <c r="R148" s="127"/>
      <c r="S148" s="29"/>
      <c r="AA148" s="115"/>
      <c r="AB148" s="115"/>
      <c r="AC148" s="115"/>
      <c r="AD148" s="115"/>
      <c r="AE148" s="115"/>
      <c r="AF148" s="115"/>
      <c r="AG148" s="115"/>
      <c r="AH148" s="115"/>
      <c r="AI148" s="127"/>
      <c r="AJ148" s="29"/>
    </row>
    <row r="149" spans="1:36" ht="19.5" x14ac:dyDescent="0.4">
      <c r="A149" s="85" t="s">
        <v>220</v>
      </c>
      <c r="B149" s="140"/>
      <c r="C149" s="126"/>
      <c r="D149" s="126"/>
      <c r="E149" s="126"/>
      <c r="L149" s="25">
        <v>46228</v>
      </c>
      <c r="M149" s="13" t="s">
        <v>148</v>
      </c>
      <c r="N149" s="115"/>
      <c r="O149" s="115"/>
      <c r="P149" s="115"/>
      <c r="Q149" s="115"/>
      <c r="R149" s="127"/>
      <c r="S149" s="29"/>
      <c r="AA149" s="115"/>
      <c r="AB149" s="115"/>
      <c r="AC149" s="115"/>
      <c r="AD149" s="115"/>
      <c r="AE149" s="115"/>
      <c r="AF149" s="115"/>
      <c r="AG149" s="115"/>
      <c r="AH149" s="115"/>
      <c r="AI149" s="127"/>
      <c r="AJ149" s="29"/>
    </row>
    <row r="150" spans="1:36" ht="19.5" x14ac:dyDescent="0.4">
      <c r="A150" s="85" t="s">
        <v>221</v>
      </c>
      <c r="B150" s="140"/>
      <c r="C150" s="126"/>
      <c r="D150" s="126"/>
      <c r="E150" s="126"/>
      <c r="L150" s="30">
        <v>46228</v>
      </c>
      <c r="M150" s="13" t="s">
        <v>146</v>
      </c>
      <c r="N150" s="115"/>
      <c r="O150" s="115"/>
      <c r="P150" s="115"/>
      <c r="Q150" s="115"/>
      <c r="R150" s="127"/>
      <c r="S150" s="29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27"/>
      <c r="AJ150" s="29"/>
    </row>
    <row r="151" spans="1:36" ht="19.5" x14ac:dyDescent="0.4">
      <c r="A151" s="85" t="s">
        <v>223</v>
      </c>
      <c r="B151" s="140"/>
      <c r="C151" s="126"/>
      <c r="D151" s="126"/>
      <c r="E151" s="126"/>
      <c r="L151" s="30">
        <v>46228</v>
      </c>
      <c r="M151" s="15" t="s">
        <v>146</v>
      </c>
      <c r="N151" s="115"/>
      <c r="O151" s="115"/>
      <c r="P151" s="115"/>
      <c r="Q151" s="115"/>
      <c r="R151" s="127"/>
      <c r="S151" s="29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27"/>
      <c r="AJ151" s="29"/>
    </row>
    <row r="152" spans="1:36" ht="19.5" x14ac:dyDescent="0.4">
      <c r="A152" s="85"/>
      <c r="B152" s="140"/>
      <c r="C152" s="126"/>
      <c r="D152" s="126"/>
      <c r="E152" s="126"/>
      <c r="K152" s="115" t="s">
        <v>487</v>
      </c>
      <c r="L152" s="173">
        <f>SUBTOTAL(3,L146:L151)</f>
        <v>6</v>
      </c>
      <c r="M152" s="15">
        <f>SUBTOTAL(3,M146:M151)</f>
        <v>6</v>
      </c>
      <c r="N152" s="115"/>
      <c r="O152" s="115"/>
      <c r="P152" s="115"/>
      <c r="Q152" s="115"/>
      <c r="R152" s="127"/>
      <c r="S152" s="29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27"/>
      <c r="AJ152" s="29"/>
    </row>
    <row r="153" spans="1:36" ht="19.5" x14ac:dyDescent="0.4">
      <c r="A153" s="85" t="s">
        <v>224</v>
      </c>
      <c r="B153" s="140"/>
      <c r="C153" s="126"/>
      <c r="D153" s="126"/>
      <c r="E153" s="126"/>
      <c r="L153" s="30">
        <v>46229</v>
      </c>
      <c r="M153" s="15" t="s">
        <v>146</v>
      </c>
      <c r="N153" s="115"/>
      <c r="O153" s="115"/>
      <c r="P153" s="115"/>
      <c r="Q153" s="115"/>
      <c r="R153" s="127"/>
      <c r="S153" s="29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27"/>
      <c r="AJ153" s="29"/>
    </row>
    <row r="154" spans="1:36" ht="19.5" x14ac:dyDescent="0.4">
      <c r="A154" s="85"/>
      <c r="B154" s="140"/>
      <c r="C154" s="126"/>
      <c r="D154" s="126"/>
      <c r="E154" s="126"/>
      <c r="K154" s="115" t="s">
        <v>488</v>
      </c>
      <c r="L154" s="173">
        <f>SUBTOTAL(3,L153:L153)</f>
        <v>1</v>
      </c>
      <c r="M154" s="15">
        <f>SUBTOTAL(3,M153:M153)</f>
        <v>1</v>
      </c>
      <c r="N154" s="115"/>
      <c r="O154" s="115"/>
      <c r="P154" s="115"/>
      <c r="Q154" s="115"/>
      <c r="R154" s="127"/>
      <c r="S154" s="29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27"/>
      <c r="AJ154" s="29"/>
    </row>
    <row r="155" spans="1:36" ht="19.5" x14ac:dyDescent="0.4">
      <c r="A155" s="85" t="s">
        <v>225</v>
      </c>
      <c r="B155" s="140"/>
      <c r="C155" s="126"/>
      <c r="D155" s="126"/>
      <c r="E155" s="126"/>
      <c r="L155" s="30">
        <v>46231</v>
      </c>
      <c r="M155" s="15" t="s">
        <v>146</v>
      </c>
      <c r="N155" s="115"/>
      <c r="O155" s="115"/>
      <c r="P155" s="115"/>
      <c r="Q155" s="115"/>
      <c r="R155" s="127"/>
      <c r="S155" s="29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27"/>
      <c r="AJ155" s="29"/>
    </row>
    <row r="156" spans="1:36" ht="19.5" x14ac:dyDescent="0.4">
      <c r="A156" s="85" t="s">
        <v>226</v>
      </c>
      <c r="B156" s="140"/>
      <c r="C156" s="126"/>
      <c r="D156" s="126"/>
      <c r="E156" s="126"/>
      <c r="I156" s="115"/>
      <c r="J156" s="115"/>
      <c r="K156" s="115"/>
      <c r="L156" s="26">
        <v>46231</v>
      </c>
      <c r="M156" s="15" t="s">
        <v>148</v>
      </c>
      <c r="N156" s="115"/>
      <c r="O156" s="115"/>
      <c r="P156" s="115"/>
      <c r="Q156" s="115"/>
      <c r="R156" s="127"/>
      <c r="S156" s="29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27"/>
      <c r="AJ156" s="29"/>
    </row>
    <row r="157" spans="1:36" ht="19.5" x14ac:dyDescent="0.4">
      <c r="A157" s="85"/>
      <c r="B157" s="140"/>
      <c r="C157" s="126"/>
      <c r="D157" s="126"/>
      <c r="E157" s="126"/>
      <c r="I157" s="115"/>
      <c r="J157" s="115"/>
      <c r="K157" s="115" t="s">
        <v>489</v>
      </c>
      <c r="L157" s="174">
        <f>SUBTOTAL(3,L155:L156)</f>
        <v>2</v>
      </c>
      <c r="M157" s="15">
        <f>SUBTOTAL(3,M155:M156)</f>
        <v>2</v>
      </c>
      <c r="N157" s="115"/>
      <c r="O157" s="115"/>
      <c r="P157" s="115"/>
      <c r="Q157" s="115"/>
      <c r="R157" s="127"/>
      <c r="S157" s="29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27"/>
      <c r="AJ157" s="29"/>
    </row>
    <row r="158" spans="1:36" ht="19.5" x14ac:dyDescent="0.4">
      <c r="A158" s="85"/>
      <c r="B158" s="140"/>
      <c r="C158" s="126"/>
      <c r="D158" s="126"/>
      <c r="E158" s="126"/>
      <c r="I158" s="115"/>
      <c r="J158" s="115"/>
      <c r="K158" s="115"/>
      <c r="L158" s="131">
        <v>46232</v>
      </c>
      <c r="M158" s="15" t="s">
        <v>146</v>
      </c>
      <c r="N158" s="115"/>
      <c r="O158" s="115"/>
      <c r="P158" s="115"/>
      <c r="Q158" s="115"/>
      <c r="R158" s="127"/>
      <c r="S158" s="29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27"/>
      <c r="AJ158" s="29"/>
    </row>
    <row r="159" spans="1:36" ht="19.5" x14ac:dyDescent="0.4">
      <c r="A159" s="85"/>
      <c r="B159" s="140"/>
      <c r="C159" s="126"/>
      <c r="D159" s="126"/>
      <c r="E159" s="126"/>
      <c r="I159" s="115"/>
      <c r="J159" s="115"/>
      <c r="K159" s="115" t="s">
        <v>337</v>
      </c>
      <c r="L159" s="174">
        <f>SUBTOTAL(3,L158:L158)</f>
        <v>1</v>
      </c>
      <c r="M159" s="15">
        <f>SUBTOTAL(3,M158:M158)</f>
        <v>1</v>
      </c>
      <c r="N159" s="115"/>
      <c r="O159" s="115"/>
      <c r="P159" s="115"/>
      <c r="Q159" s="115"/>
      <c r="R159" s="127"/>
      <c r="S159" s="29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27"/>
      <c r="AJ159" s="29"/>
    </row>
    <row r="160" spans="1:36" ht="19.5" x14ac:dyDescent="0.4">
      <c r="A160" s="85"/>
      <c r="B160" s="140"/>
      <c r="C160" s="126"/>
      <c r="D160" s="126"/>
      <c r="E160" s="126"/>
      <c r="I160" s="115"/>
      <c r="J160" s="115"/>
      <c r="K160" s="115" t="s">
        <v>145</v>
      </c>
      <c r="L160" s="174">
        <f>SUBTOTAL(3,L2:L158)</f>
        <v>132</v>
      </c>
      <c r="M160" s="15">
        <f>SUBTOTAL(3,M2:M158)</f>
        <v>132</v>
      </c>
      <c r="N160" s="115"/>
      <c r="O160" s="115"/>
      <c r="P160" s="115"/>
      <c r="Q160" s="115"/>
      <c r="R160" s="127"/>
      <c r="S160" s="29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27"/>
      <c r="AJ160" s="29"/>
    </row>
    <row r="161" spans="1:36" ht="19.5" x14ac:dyDescent="0.4">
      <c r="A161" s="85" t="s">
        <v>227</v>
      </c>
      <c r="B161" s="140"/>
      <c r="C161" s="126"/>
      <c r="D161" s="126"/>
      <c r="E161" s="126"/>
      <c r="L161" s="25"/>
      <c r="M161" s="15"/>
      <c r="N161" s="115"/>
      <c r="O161" s="115"/>
      <c r="P161" s="115"/>
      <c r="Q161" s="115"/>
      <c r="R161" s="127"/>
      <c r="S161" s="29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27"/>
      <c r="AJ161" s="29"/>
    </row>
    <row r="162" spans="1:36" ht="19.5" x14ac:dyDescent="0.4">
      <c r="A162" s="85"/>
      <c r="B162" s="140"/>
      <c r="C162" s="126"/>
      <c r="D162" s="126"/>
      <c r="E162" s="126"/>
      <c r="J162" s="115"/>
      <c r="K162" s="115"/>
      <c r="L162" s="13"/>
      <c r="M162" s="15"/>
      <c r="N162" s="115"/>
      <c r="O162" s="115"/>
      <c r="P162" s="115"/>
      <c r="Q162" s="115"/>
      <c r="R162" s="127"/>
      <c r="S162" s="29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27"/>
      <c r="AJ162" s="29"/>
    </row>
    <row r="163" spans="1:36" ht="19.5" x14ac:dyDescent="0.4">
      <c r="A163" s="85" t="s">
        <v>228</v>
      </c>
      <c r="B163" s="140"/>
      <c r="C163" s="126"/>
      <c r="D163" s="126"/>
      <c r="E163" s="126"/>
      <c r="L163" s="25"/>
      <c r="M163" s="15"/>
      <c r="N163" s="115"/>
      <c r="O163" s="115"/>
      <c r="P163" s="115"/>
      <c r="Q163" s="115"/>
      <c r="R163" s="127"/>
      <c r="S163" s="29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27"/>
      <c r="AJ163" s="29"/>
    </row>
    <row r="164" spans="1:36" ht="19.5" x14ac:dyDescent="0.4">
      <c r="A164" s="85"/>
      <c r="B164" s="140"/>
      <c r="C164" s="126"/>
      <c r="D164" s="126"/>
      <c r="E164" s="126"/>
      <c r="J164" s="115"/>
      <c r="K164" s="115"/>
      <c r="L164" s="13"/>
      <c r="M164" s="15"/>
      <c r="N164" s="115"/>
      <c r="O164" s="115"/>
      <c r="P164" s="115"/>
      <c r="Q164" s="115"/>
      <c r="R164" s="127"/>
      <c r="S164" s="29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27"/>
      <c r="AJ164" s="29"/>
    </row>
    <row r="165" spans="1:36" ht="19.5" x14ac:dyDescent="0.4">
      <c r="A165" s="85" t="s">
        <v>229</v>
      </c>
      <c r="B165" s="140"/>
      <c r="C165" s="126"/>
      <c r="D165" s="126"/>
      <c r="E165" s="126"/>
      <c r="L165" s="25"/>
      <c r="M165" s="15"/>
      <c r="N165" s="115"/>
      <c r="O165" s="115"/>
      <c r="P165" s="115"/>
      <c r="Q165" s="115"/>
      <c r="R165" s="127"/>
      <c r="S165" s="29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27"/>
      <c r="AJ165" s="29"/>
    </row>
    <row r="166" spans="1:36" ht="19.5" x14ac:dyDescent="0.4">
      <c r="A166" s="85" t="s">
        <v>306</v>
      </c>
      <c r="B166" s="140"/>
      <c r="C166" s="126"/>
      <c r="D166" s="126"/>
      <c r="E166" s="126"/>
      <c r="L166" s="25"/>
      <c r="M166" s="15"/>
      <c r="N166" s="115"/>
      <c r="O166" s="115"/>
      <c r="P166" s="115"/>
      <c r="Q166" s="115"/>
      <c r="R166" s="127"/>
      <c r="S166" s="29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27"/>
      <c r="AJ166" s="29"/>
    </row>
    <row r="167" spans="1:36" ht="19.5" x14ac:dyDescent="0.4">
      <c r="A167" s="85" t="s">
        <v>307</v>
      </c>
      <c r="B167" s="140"/>
      <c r="C167" s="126"/>
      <c r="D167" s="126"/>
      <c r="E167" s="126"/>
      <c r="L167" s="25"/>
      <c r="M167" s="15"/>
      <c r="N167" s="115"/>
      <c r="O167" s="115"/>
      <c r="P167" s="115"/>
      <c r="Q167" s="115"/>
      <c r="R167" s="127"/>
      <c r="S167" s="29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27"/>
      <c r="AJ167" s="29"/>
    </row>
    <row r="168" spans="1:36" ht="19.5" x14ac:dyDescent="0.4">
      <c r="A168" s="85"/>
      <c r="B168" s="140"/>
      <c r="C168" s="126"/>
      <c r="D168" s="126"/>
      <c r="E168" s="126"/>
      <c r="J168" s="115"/>
      <c r="K168" s="115"/>
      <c r="L168" s="13"/>
      <c r="M168" s="15"/>
      <c r="N168" s="115"/>
      <c r="O168" s="115"/>
      <c r="P168" s="115"/>
      <c r="Q168" s="115"/>
      <c r="R168" s="127"/>
      <c r="S168" s="29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27"/>
      <c r="AJ168" s="29"/>
    </row>
    <row r="169" spans="1:36" ht="19.5" x14ac:dyDescent="0.4">
      <c r="A169" s="85" t="s">
        <v>212</v>
      </c>
      <c r="B169" s="140"/>
      <c r="C169" s="126"/>
      <c r="D169" s="126"/>
      <c r="E169" s="126"/>
      <c r="I169" s="115"/>
      <c r="J169" s="115"/>
      <c r="K169" s="115"/>
      <c r="L169" s="25"/>
      <c r="M169" s="15"/>
      <c r="N169" s="115"/>
      <c r="O169" s="115"/>
      <c r="P169" s="115"/>
      <c r="Q169" s="115"/>
      <c r="R169" s="127"/>
      <c r="S169" s="29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27"/>
      <c r="AJ169" s="29"/>
    </row>
    <row r="170" spans="1:36" ht="19.5" x14ac:dyDescent="0.4">
      <c r="A170" s="85"/>
      <c r="B170" s="140"/>
      <c r="C170" s="126"/>
      <c r="D170" s="126"/>
      <c r="E170" s="126"/>
      <c r="I170" s="115"/>
      <c r="J170" s="115"/>
      <c r="K170" s="115"/>
      <c r="L170" s="13"/>
      <c r="M170" s="15"/>
      <c r="N170" s="115"/>
      <c r="O170" s="115"/>
      <c r="P170" s="115"/>
      <c r="Q170" s="115"/>
      <c r="R170" s="127"/>
      <c r="S170" s="29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27"/>
      <c r="AJ170" s="29"/>
    </row>
    <row r="171" spans="1:36" ht="19.5" x14ac:dyDescent="0.4">
      <c r="A171" s="85" t="s">
        <v>213</v>
      </c>
      <c r="B171" s="140"/>
      <c r="C171" s="126"/>
      <c r="D171" s="126"/>
      <c r="E171" s="126"/>
      <c r="L171" s="25"/>
      <c r="M171" s="15"/>
      <c r="N171" s="115"/>
      <c r="O171" s="115"/>
      <c r="P171" s="115"/>
      <c r="Q171" s="115"/>
      <c r="R171" s="127"/>
      <c r="S171" s="29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27"/>
      <c r="AJ171" s="29"/>
    </row>
    <row r="172" spans="1:36" ht="19.5" x14ac:dyDescent="0.4">
      <c r="A172" s="85"/>
      <c r="B172" s="140"/>
      <c r="C172" s="126"/>
      <c r="D172" s="126"/>
      <c r="E172" s="126"/>
      <c r="J172" s="115"/>
      <c r="K172" s="115"/>
      <c r="L172" s="13"/>
      <c r="M172" s="15"/>
      <c r="N172" s="115"/>
      <c r="O172" s="115"/>
      <c r="P172" s="115"/>
      <c r="Q172" s="115"/>
      <c r="R172" s="127"/>
      <c r="S172" s="29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27"/>
      <c r="AJ172" s="29"/>
    </row>
    <row r="173" spans="1:36" ht="19.5" x14ac:dyDescent="0.4">
      <c r="A173" s="85" t="s">
        <v>230</v>
      </c>
      <c r="B173" s="140"/>
      <c r="C173" s="126"/>
      <c r="D173" s="126"/>
      <c r="E173" s="126"/>
      <c r="L173" s="25"/>
      <c r="M173" s="15"/>
      <c r="N173" s="115"/>
      <c r="O173" s="115"/>
      <c r="P173" s="115"/>
      <c r="Q173" s="115"/>
      <c r="R173" s="127"/>
      <c r="S173" s="29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27"/>
      <c r="AJ173" s="29"/>
    </row>
    <row r="174" spans="1:36" ht="19.5" x14ac:dyDescent="0.4">
      <c r="A174" s="85"/>
      <c r="B174" s="140"/>
      <c r="C174" s="126"/>
      <c r="D174" s="126"/>
      <c r="E174" s="126"/>
      <c r="J174" s="115"/>
      <c r="K174" s="115"/>
      <c r="L174" s="13"/>
      <c r="M174" s="15"/>
      <c r="N174" s="115"/>
      <c r="O174" s="115"/>
      <c r="P174" s="115"/>
      <c r="Q174" s="115"/>
      <c r="R174" s="127"/>
      <c r="S174" s="29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27"/>
      <c r="AJ174" s="29"/>
    </row>
    <row r="175" spans="1:36" ht="19.5" x14ac:dyDescent="0.4">
      <c r="A175" s="85" t="s">
        <v>214</v>
      </c>
      <c r="B175" s="140"/>
      <c r="C175" s="126"/>
      <c r="D175" s="126"/>
      <c r="E175" s="126"/>
      <c r="L175" s="25"/>
      <c r="M175" s="15"/>
      <c r="N175" s="115"/>
      <c r="O175" s="115"/>
      <c r="P175" s="115"/>
      <c r="Q175" s="115"/>
      <c r="R175" s="127"/>
      <c r="S175" s="29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27"/>
      <c r="AJ175" s="29"/>
    </row>
    <row r="176" spans="1:36" ht="19.5" x14ac:dyDescent="0.4">
      <c r="A176" s="85"/>
      <c r="B176" s="140"/>
      <c r="C176" s="126"/>
      <c r="D176" s="126"/>
      <c r="E176" s="126"/>
      <c r="J176" s="115"/>
      <c r="K176" s="115"/>
      <c r="L176" s="143"/>
      <c r="M176" s="13"/>
      <c r="N176" s="115"/>
      <c r="O176" s="115"/>
      <c r="P176" s="115"/>
      <c r="Q176" s="115"/>
      <c r="R176" s="127"/>
      <c r="S176" s="29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27"/>
      <c r="AJ176" s="29"/>
    </row>
    <row r="177" spans="1:36" ht="19.5" x14ac:dyDescent="0.4">
      <c r="A177" s="85"/>
      <c r="B177" s="140"/>
      <c r="C177" s="126"/>
      <c r="D177" s="126"/>
      <c r="E177" s="126"/>
      <c r="L177" s="30"/>
      <c r="M177" s="13"/>
      <c r="N177" s="115"/>
      <c r="O177" s="115"/>
      <c r="P177" s="115"/>
      <c r="Q177" s="115"/>
      <c r="R177" s="127"/>
      <c r="S177" s="29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27"/>
      <c r="AJ177" s="29"/>
    </row>
    <row r="178" spans="1:36" ht="19.5" x14ac:dyDescent="0.4">
      <c r="A178" s="85"/>
      <c r="B178" s="140"/>
      <c r="C178" s="126"/>
      <c r="D178" s="126"/>
      <c r="E178" s="126"/>
      <c r="J178" s="115"/>
      <c r="K178" s="115"/>
      <c r="L178" s="19"/>
      <c r="M178" s="13"/>
      <c r="N178" s="115"/>
      <c r="O178" s="115"/>
      <c r="P178" s="115"/>
      <c r="Q178" s="115"/>
      <c r="R178" s="127"/>
      <c r="S178" s="29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27"/>
      <c r="AJ178" s="29"/>
    </row>
    <row r="179" spans="1:36" ht="19.5" x14ac:dyDescent="0.4">
      <c r="A179" s="85"/>
      <c r="B179" s="140"/>
      <c r="C179" s="126"/>
      <c r="D179" s="126"/>
      <c r="E179" s="126"/>
      <c r="L179" s="141"/>
      <c r="M179" s="142"/>
      <c r="N179" s="115"/>
      <c r="O179" s="115"/>
      <c r="P179" s="115"/>
      <c r="Q179" s="115"/>
      <c r="R179" s="127"/>
      <c r="S179" s="29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27"/>
      <c r="AJ179" s="29"/>
    </row>
    <row r="180" spans="1:36" ht="19.5" x14ac:dyDescent="0.4">
      <c r="A180" s="85"/>
      <c r="B180" s="140"/>
      <c r="C180" s="126"/>
      <c r="D180" s="126"/>
      <c r="E180" s="126"/>
      <c r="J180" s="115"/>
      <c r="K180" s="115"/>
      <c r="L180" s="141"/>
      <c r="M180" s="142"/>
      <c r="N180" s="115"/>
      <c r="O180" s="115"/>
      <c r="P180" s="115"/>
      <c r="Q180" s="115"/>
      <c r="R180" s="127"/>
      <c r="S180" s="29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27"/>
      <c r="AJ180" s="29"/>
    </row>
    <row r="181" spans="1:36" ht="19.5" x14ac:dyDescent="0.4">
      <c r="A181" s="85"/>
      <c r="B181" s="140"/>
      <c r="C181" s="126"/>
      <c r="D181" s="126"/>
      <c r="E181" s="126"/>
      <c r="J181" s="115"/>
      <c r="K181" s="115"/>
      <c r="L181" s="141"/>
      <c r="M181" s="142"/>
      <c r="N181" s="115"/>
      <c r="O181" s="115"/>
      <c r="P181" s="115"/>
      <c r="Q181" s="115"/>
      <c r="R181" s="127"/>
      <c r="S181" s="29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27"/>
      <c r="AJ181" s="29"/>
    </row>
    <row r="182" spans="1:36" ht="19.5" x14ac:dyDescent="0.4">
      <c r="A182" s="85"/>
      <c r="B182" s="140"/>
      <c r="C182" s="126"/>
      <c r="D182" s="126"/>
      <c r="E182" s="126"/>
      <c r="I182" s="115"/>
      <c r="J182" s="115"/>
      <c r="K182" s="115"/>
      <c r="L182" s="141"/>
      <c r="M182" s="142"/>
      <c r="N182" s="115"/>
      <c r="O182" s="115"/>
      <c r="P182" s="115"/>
      <c r="Q182" s="115"/>
      <c r="R182" s="127"/>
      <c r="S182" s="29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27"/>
      <c r="AJ182" s="29"/>
    </row>
    <row r="183" spans="1:36" ht="19.5" x14ac:dyDescent="0.4">
      <c r="A183" s="85"/>
      <c r="B183" s="140"/>
      <c r="C183" s="126"/>
      <c r="D183" s="126"/>
      <c r="E183" s="126"/>
      <c r="L183" s="25"/>
      <c r="M183" s="13"/>
      <c r="N183" s="115"/>
      <c r="O183" s="115"/>
      <c r="P183" s="115"/>
      <c r="Q183" s="115"/>
      <c r="R183" s="127"/>
      <c r="S183" s="29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27"/>
      <c r="AJ183" s="29"/>
    </row>
    <row r="184" spans="1:36" ht="19.5" x14ac:dyDescent="0.4">
      <c r="A184" s="85"/>
      <c r="B184" s="140"/>
      <c r="C184" s="126"/>
      <c r="D184" s="126"/>
      <c r="E184" s="126"/>
      <c r="L184" s="25"/>
      <c r="M184" s="13"/>
      <c r="N184" s="115"/>
      <c r="O184" s="115"/>
      <c r="P184" s="115"/>
      <c r="Q184" s="115"/>
      <c r="R184" s="127"/>
      <c r="S184" s="29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27"/>
      <c r="AJ184" s="29"/>
    </row>
    <row r="185" spans="1:36" ht="19.5" x14ac:dyDescent="0.4">
      <c r="A185" s="85"/>
      <c r="B185" s="140"/>
      <c r="C185" s="126"/>
      <c r="D185" s="126"/>
      <c r="E185" s="126"/>
      <c r="L185" s="25"/>
      <c r="M185" s="13"/>
      <c r="N185" s="115"/>
      <c r="O185" s="115"/>
      <c r="P185" s="115"/>
      <c r="Q185" s="115"/>
      <c r="R185" s="127"/>
      <c r="S185" s="29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27"/>
      <c r="AJ185" s="29"/>
    </row>
    <row r="186" spans="1:36" ht="19.5" x14ac:dyDescent="0.4">
      <c r="A186" s="85"/>
      <c r="B186" s="140"/>
      <c r="C186" s="126"/>
      <c r="D186" s="126"/>
      <c r="E186" s="126"/>
      <c r="L186" s="25"/>
      <c r="M186" s="13"/>
      <c r="N186" s="115"/>
      <c r="O186" s="115"/>
      <c r="P186" s="115"/>
      <c r="Q186" s="115"/>
      <c r="R186" s="127"/>
      <c r="S186" s="29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29"/>
      <c r="AJ186" s="29"/>
    </row>
    <row r="187" spans="1:36" ht="19.5" x14ac:dyDescent="0.4">
      <c r="A187" s="85"/>
      <c r="B187" s="140"/>
      <c r="C187" s="126"/>
      <c r="D187" s="126"/>
      <c r="E187" s="126"/>
      <c r="L187" s="25"/>
      <c r="M187" s="13"/>
      <c r="N187" s="115"/>
      <c r="O187" s="115"/>
      <c r="P187" s="115"/>
      <c r="Q187" s="115"/>
      <c r="R187" s="127"/>
      <c r="S187" s="29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27"/>
      <c r="AJ187" s="29"/>
    </row>
    <row r="188" spans="1:36" ht="19.5" x14ac:dyDescent="0.4">
      <c r="A188" s="85"/>
      <c r="B188" s="140"/>
      <c r="C188" s="126"/>
      <c r="D188" s="126"/>
      <c r="E188" s="126"/>
      <c r="L188" s="25"/>
      <c r="M188" s="13"/>
      <c r="N188" s="115"/>
      <c r="O188" s="115"/>
      <c r="P188" s="115"/>
      <c r="Q188" s="115"/>
      <c r="R188" s="127"/>
      <c r="S188" s="29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27"/>
      <c r="AJ188" s="29"/>
    </row>
    <row r="189" spans="1:36" ht="19.5" x14ac:dyDescent="0.4">
      <c r="A189" s="85"/>
      <c r="B189" s="140"/>
      <c r="C189" s="126"/>
      <c r="D189" s="126"/>
      <c r="E189" s="126"/>
      <c r="L189" s="25"/>
      <c r="M189" s="13"/>
      <c r="N189" s="115"/>
      <c r="O189" s="115"/>
      <c r="P189" s="115"/>
      <c r="Q189" s="115"/>
      <c r="R189" s="127"/>
      <c r="S189" s="29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27"/>
      <c r="AJ189" s="29"/>
    </row>
    <row r="190" spans="1:36" ht="19.5" x14ac:dyDescent="0.4">
      <c r="A190" s="85"/>
      <c r="B190" s="140"/>
      <c r="C190" s="126"/>
      <c r="D190" s="126"/>
      <c r="E190" s="126"/>
      <c r="L190" s="25"/>
      <c r="M190" s="13"/>
      <c r="N190" s="115"/>
      <c r="O190" s="115"/>
      <c r="P190" s="115"/>
      <c r="Q190" s="115"/>
      <c r="R190" s="127"/>
      <c r="S190" s="29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29"/>
      <c r="AJ190" s="29"/>
    </row>
    <row r="191" spans="1:36" ht="19.5" x14ac:dyDescent="0.4">
      <c r="A191" s="85"/>
      <c r="B191" s="140"/>
      <c r="C191" s="126"/>
      <c r="D191" s="126"/>
      <c r="E191" s="126"/>
      <c r="L191" s="25"/>
      <c r="M191" s="13"/>
      <c r="N191" s="115"/>
      <c r="O191" s="115"/>
      <c r="P191" s="115"/>
      <c r="Q191" s="115"/>
      <c r="R191" s="127"/>
      <c r="S191" s="29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29"/>
      <c r="AJ191" s="29"/>
    </row>
    <row r="192" spans="1:36" ht="19.5" x14ac:dyDescent="0.4">
      <c r="A192" s="85"/>
      <c r="B192" s="140"/>
      <c r="C192" s="126"/>
      <c r="D192" s="126"/>
      <c r="E192" s="126"/>
      <c r="L192" s="25"/>
      <c r="M192" s="13"/>
      <c r="N192" s="115"/>
      <c r="O192" s="115"/>
      <c r="P192" s="115"/>
      <c r="Q192" s="115"/>
      <c r="R192" s="127"/>
      <c r="S192" s="29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29"/>
      <c r="AJ192" s="29"/>
    </row>
    <row r="193" spans="1:36" ht="19.5" x14ac:dyDescent="0.4">
      <c r="A193" s="85"/>
      <c r="B193" s="140"/>
      <c r="C193" s="126"/>
      <c r="D193" s="126"/>
      <c r="E193" s="126"/>
      <c r="L193" s="25"/>
      <c r="M193" s="13"/>
      <c r="N193" s="115"/>
      <c r="O193" s="115"/>
      <c r="P193" s="115"/>
      <c r="Q193" s="115"/>
      <c r="R193" s="127"/>
      <c r="S193" s="29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29"/>
      <c r="AJ193" s="29"/>
    </row>
    <row r="194" spans="1:36" ht="19.5" x14ac:dyDescent="0.4">
      <c r="A194" s="85"/>
      <c r="B194" s="140"/>
      <c r="C194" s="126"/>
      <c r="D194" s="126"/>
      <c r="E194" s="126"/>
      <c r="L194" s="26"/>
      <c r="M194" s="13"/>
      <c r="N194" s="115"/>
      <c r="O194" s="115"/>
      <c r="P194" s="115"/>
      <c r="Q194" s="115"/>
      <c r="R194" s="127"/>
      <c r="S194" s="29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27"/>
      <c r="AJ194" s="29"/>
    </row>
    <row r="195" spans="1:36" ht="19.5" x14ac:dyDescent="0.4">
      <c r="A195" s="85"/>
      <c r="B195" s="140"/>
      <c r="C195" s="126"/>
      <c r="D195" s="126"/>
      <c r="E195" s="126"/>
      <c r="I195" s="115"/>
      <c r="J195" s="115"/>
      <c r="K195" s="115"/>
      <c r="L195" s="17"/>
      <c r="M195" s="13"/>
      <c r="N195" s="115"/>
      <c r="O195" s="115"/>
      <c r="P195" s="115"/>
      <c r="Q195" s="115"/>
      <c r="R195" s="127"/>
      <c r="S195" s="29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27"/>
      <c r="AJ195" s="29"/>
    </row>
    <row r="196" spans="1:36" ht="19.5" x14ac:dyDescent="0.4">
      <c r="A196" s="85"/>
      <c r="B196" s="140"/>
      <c r="C196" s="126"/>
      <c r="D196" s="126"/>
      <c r="E196" s="126"/>
      <c r="L196" s="26"/>
      <c r="M196" s="13"/>
      <c r="N196" s="115"/>
      <c r="O196" s="115"/>
      <c r="P196" s="115"/>
      <c r="Q196" s="115"/>
      <c r="R196" s="29"/>
      <c r="S196" s="29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27"/>
      <c r="AJ196" s="29"/>
    </row>
    <row r="197" spans="1:36" ht="19.5" x14ac:dyDescent="0.4">
      <c r="A197" s="85"/>
      <c r="B197" s="140"/>
      <c r="C197" s="126"/>
      <c r="D197" s="126"/>
      <c r="E197" s="126"/>
      <c r="L197" s="26"/>
      <c r="M197" s="13"/>
      <c r="N197" s="115"/>
      <c r="O197" s="115"/>
      <c r="P197" s="115"/>
      <c r="Q197" s="115"/>
      <c r="R197" s="127"/>
      <c r="S197" s="29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27"/>
      <c r="AJ197" s="29"/>
    </row>
    <row r="198" spans="1:36" ht="19.5" x14ac:dyDescent="0.4">
      <c r="A198" s="85"/>
      <c r="B198" s="140"/>
      <c r="C198" s="126"/>
      <c r="D198" s="126"/>
      <c r="E198" s="126"/>
      <c r="L198" s="26"/>
      <c r="M198" s="13"/>
      <c r="N198" s="115"/>
      <c r="O198" s="115"/>
      <c r="P198" s="115"/>
      <c r="Q198" s="115"/>
      <c r="R198" s="127"/>
      <c r="S198" s="29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27"/>
      <c r="AJ198" s="29"/>
    </row>
    <row r="199" spans="1:36" ht="19.5" x14ac:dyDescent="0.4">
      <c r="A199" s="85"/>
      <c r="B199" s="140"/>
      <c r="C199" s="126"/>
      <c r="D199" s="126"/>
      <c r="E199" s="126"/>
      <c r="L199" s="26"/>
      <c r="M199" s="13"/>
      <c r="N199" s="115"/>
      <c r="O199" s="115"/>
      <c r="P199" s="115"/>
      <c r="Q199" s="115"/>
      <c r="R199" s="127"/>
      <c r="S199" s="29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27"/>
      <c r="AJ199" s="29"/>
    </row>
    <row r="200" spans="1:36" ht="19.5" x14ac:dyDescent="0.4">
      <c r="A200" s="85"/>
      <c r="B200" s="140"/>
      <c r="C200" s="126"/>
      <c r="D200" s="126"/>
      <c r="E200" s="126"/>
      <c r="L200" s="26"/>
      <c r="M200" s="13"/>
      <c r="N200" s="115"/>
      <c r="O200" s="115"/>
      <c r="P200" s="115"/>
      <c r="Q200" s="115"/>
      <c r="R200" s="127"/>
      <c r="S200" s="29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27"/>
      <c r="AJ200" s="29"/>
    </row>
    <row r="201" spans="1:36" ht="19.5" x14ac:dyDescent="0.4">
      <c r="A201" s="85"/>
      <c r="B201" s="140"/>
      <c r="C201" s="126"/>
      <c r="D201" s="126"/>
      <c r="E201" s="126"/>
      <c r="L201" s="26"/>
      <c r="M201" s="13"/>
      <c r="N201" s="115"/>
      <c r="O201" s="115"/>
      <c r="P201" s="115"/>
      <c r="Q201" s="115"/>
      <c r="R201" s="127"/>
      <c r="S201" s="29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27"/>
      <c r="AJ201" s="29"/>
    </row>
    <row r="202" spans="1:36" ht="19.5" x14ac:dyDescent="0.4">
      <c r="A202" s="85"/>
      <c r="B202" s="140"/>
      <c r="C202" s="126"/>
      <c r="D202" s="126"/>
      <c r="E202" s="126"/>
      <c r="L202" s="26"/>
      <c r="M202" s="13"/>
      <c r="N202" s="115"/>
      <c r="O202" s="115"/>
      <c r="P202" s="115"/>
      <c r="Q202" s="115"/>
      <c r="R202" s="127"/>
      <c r="S202" s="29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27"/>
      <c r="AJ202" s="29"/>
    </row>
    <row r="203" spans="1:36" ht="19.5" x14ac:dyDescent="0.4">
      <c r="A203" s="85"/>
      <c r="B203" s="140"/>
      <c r="C203" s="126"/>
      <c r="D203" s="126"/>
      <c r="E203" s="126"/>
      <c r="L203" s="26"/>
      <c r="M203" s="13"/>
      <c r="N203" s="115"/>
      <c r="O203" s="115"/>
      <c r="P203" s="115"/>
      <c r="Q203" s="115"/>
      <c r="R203" s="29"/>
      <c r="S203" s="29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27"/>
      <c r="AJ203" s="29"/>
    </row>
    <row r="204" spans="1:36" ht="19.5" x14ac:dyDescent="0.4">
      <c r="A204" s="85"/>
      <c r="B204" s="140"/>
      <c r="C204" s="126"/>
      <c r="D204" s="126"/>
      <c r="E204" s="126"/>
      <c r="I204" s="115"/>
      <c r="J204" s="115"/>
      <c r="K204" s="115"/>
      <c r="L204" s="17"/>
      <c r="M204" s="13"/>
      <c r="N204" s="115"/>
      <c r="O204" s="115"/>
      <c r="P204" s="115"/>
      <c r="Q204" s="115"/>
      <c r="R204" s="29"/>
      <c r="S204" s="29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27"/>
      <c r="AJ204" s="29"/>
    </row>
    <row r="205" spans="1:36" ht="19.5" x14ac:dyDescent="0.4">
      <c r="A205" s="85"/>
      <c r="B205" s="140"/>
      <c r="C205" s="126"/>
      <c r="D205" s="126"/>
      <c r="E205" s="126"/>
      <c r="L205" s="26"/>
      <c r="M205" s="13"/>
      <c r="N205" s="115"/>
      <c r="O205" s="115"/>
      <c r="P205" s="115"/>
      <c r="Q205" s="115"/>
      <c r="R205" s="127"/>
      <c r="S205" s="29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27"/>
      <c r="AJ205" s="29"/>
    </row>
    <row r="206" spans="1:36" ht="19.5" x14ac:dyDescent="0.4">
      <c r="A206" s="85"/>
      <c r="B206" s="140"/>
      <c r="C206" s="126"/>
      <c r="D206" s="126"/>
      <c r="E206" s="126"/>
      <c r="L206" s="26"/>
      <c r="M206" s="13"/>
      <c r="N206" s="115"/>
      <c r="O206" s="115"/>
      <c r="P206" s="115"/>
      <c r="Q206" s="115"/>
      <c r="R206" s="127"/>
      <c r="S206" s="29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27"/>
      <c r="AJ206" s="29"/>
    </row>
    <row r="207" spans="1:36" ht="19.5" x14ac:dyDescent="0.4">
      <c r="A207" s="85"/>
      <c r="B207" s="140"/>
      <c r="C207" s="126"/>
      <c r="D207" s="126"/>
      <c r="E207" s="126"/>
      <c r="I207" s="115"/>
      <c r="J207" s="115"/>
      <c r="K207" s="115"/>
      <c r="L207" s="17"/>
      <c r="M207" s="13"/>
      <c r="N207" s="115"/>
      <c r="O207" s="115"/>
      <c r="P207" s="115"/>
      <c r="Q207" s="115"/>
      <c r="R207" s="127"/>
      <c r="S207" s="29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27"/>
      <c r="AJ207" s="29"/>
    </row>
    <row r="208" spans="1:36" ht="19.5" x14ac:dyDescent="0.4">
      <c r="A208" s="85"/>
      <c r="B208" s="140"/>
      <c r="C208" s="126"/>
      <c r="D208" s="126"/>
      <c r="E208" s="126"/>
      <c r="L208" s="26"/>
      <c r="M208" s="13"/>
      <c r="N208" s="115"/>
      <c r="O208" s="115"/>
      <c r="P208" s="115"/>
      <c r="Q208" s="115"/>
      <c r="R208" s="127"/>
      <c r="S208" s="29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27"/>
      <c r="AJ208" s="29"/>
    </row>
    <row r="209" spans="1:36" ht="19.5" x14ac:dyDescent="0.4">
      <c r="A209" s="85"/>
      <c r="B209" s="140"/>
      <c r="C209" s="126"/>
      <c r="D209" s="126"/>
      <c r="E209" s="126"/>
      <c r="I209" s="115"/>
      <c r="J209" s="115"/>
      <c r="K209" s="115"/>
      <c r="L209" s="119"/>
      <c r="M209" s="119"/>
      <c r="N209" s="115"/>
      <c r="O209" s="115"/>
      <c r="P209" s="115"/>
      <c r="Q209" s="115"/>
      <c r="R209" s="127"/>
      <c r="S209" s="29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27"/>
      <c r="AJ209" s="29"/>
    </row>
    <row r="210" spans="1:36" ht="19.5" x14ac:dyDescent="0.4">
      <c r="A210" s="85"/>
      <c r="B210" s="140"/>
      <c r="C210" s="126"/>
      <c r="D210" s="126"/>
      <c r="E210" s="126"/>
      <c r="I210" s="115"/>
      <c r="J210" s="115"/>
      <c r="K210" s="115"/>
      <c r="L210" s="119"/>
      <c r="M210" s="119"/>
      <c r="N210" s="115"/>
      <c r="O210" s="115"/>
      <c r="P210" s="115"/>
      <c r="Q210" s="115"/>
      <c r="R210" s="127"/>
      <c r="S210" s="29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27"/>
      <c r="AJ210" s="29"/>
    </row>
    <row r="211" spans="1:36" ht="19.5" x14ac:dyDescent="0.4">
      <c r="A211" s="85"/>
      <c r="B211" s="140"/>
      <c r="C211" s="126"/>
      <c r="D211" s="126"/>
      <c r="E211" s="126"/>
      <c r="L211" s="115"/>
      <c r="M211" s="115"/>
      <c r="N211" s="115"/>
      <c r="O211" s="115"/>
      <c r="P211" s="115"/>
      <c r="Q211" s="115"/>
      <c r="R211" s="127"/>
      <c r="S211" s="29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27"/>
      <c r="AJ211" s="29"/>
    </row>
    <row r="212" spans="1:36" ht="19.5" x14ac:dyDescent="0.4">
      <c r="A212" s="85"/>
      <c r="B212" s="140"/>
      <c r="C212" s="126"/>
      <c r="D212" s="126"/>
      <c r="E212" s="126"/>
      <c r="L212" s="115"/>
      <c r="M212" s="115"/>
      <c r="N212" s="115"/>
      <c r="O212" s="115"/>
      <c r="P212" s="115"/>
      <c r="Q212" s="115"/>
      <c r="R212" s="127"/>
      <c r="S212" s="29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27"/>
      <c r="AJ212" s="29"/>
    </row>
    <row r="213" spans="1:36" ht="19.5" x14ac:dyDescent="0.4">
      <c r="A213" s="85"/>
      <c r="B213" s="140"/>
      <c r="C213" s="126"/>
      <c r="D213" s="126"/>
      <c r="E213" s="126"/>
      <c r="L213" s="115"/>
      <c r="M213" s="115"/>
      <c r="N213" s="115"/>
      <c r="O213" s="115"/>
      <c r="P213" s="115"/>
      <c r="Q213" s="115"/>
      <c r="R213" s="127"/>
      <c r="S213" s="29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27"/>
      <c r="AJ213" s="29"/>
    </row>
    <row r="214" spans="1:36" ht="19.5" x14ac:dyDescent="0.4">
      <c r="A214" s="85"/>
      <c r="B214" s="140"/>
      <c r="C214" s="126"/>
      <c r="D214" s="126"/>
      <c r="E214" s="126"/>
      <c r="L214" s="115"/>
      <c r="M214" s="115"/>
      <c r="N214" s="115"/>
      <c r="O214" s="115"/>
      <c r="P214" s="115"/>
      <c r="Q214" s="115"/>
      <c r="R214" s="127"/>
      <c r="S214" s="29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27"/>
      <c r="AJ214" s="29"/>
    </row>
    <row r="215" spans="1:36" ht="19.5" x14ac:dyDescent="0.4">
      <c r="A215" s="85"/>
      <c r="B215" s="140"/>
      <c r="C215" s="126"/>
      <c r="D215" s="126"/>
      <c r="E215" s="126"/>
      <c r="L215" s="115"/>
      <c r="M215" s="115"/>
      <c r="N215" s="115"/>
      <c r="O215" s="115"/>
      <c r="P215" s="115"/>
      <c r="Q215" s="115"/>
      <c r="R215" s="127"/>
      <c r="S215" s="29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27"/>
      <c r="AJ215" s="29"/>
    </row>
    <row r="216" spans="1:36" ht="19.5" x14ac:dyDescent="0.4">
      <c r="A216" s="85"/>
      <c r="B216" s="140"/>
      <c r="C216" s="126"/>
      <c r="D216" s="126"/>
      <c r="E216" s="126"/>
      <c r="L216" s="115"/>
      <c r="M216" s="115"/>
      <c r="N216" s="115"/>
      <c r="O216" s="115"/>
      <c r="P216" s="115"/>
      <c r="Q216" s="115"/>
      <c r="R216" s="127"/>
      <c r="S216" s="29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27"/>
      <c r="AJ216" s="29"/>
    </row>
    <row r="217" spans="1:36" ht="19.5" x14ac:dyDescent="0.4">
      <c r="A217" s="85"/>
      <c r="B217" s="140"/>
      <c r="C217" s="126"/>
      <c r="D217" s="126"/>
      <c r="E217" s="126"/>
      <c r="L217" s="115"/>
      <c r="M217" s="115"/>
      <c r="N217" s="115"/>
      <c r="O217" s="115"/>
      <c r="P217" s="115"/>
      <c r="Q217" s="115"/>
      <c r="R217" s="127"/>
      <c r="S217" s="29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29"/>
      <c r="AJ217" s="29"/>
    </row>
    <row r="218" spans="1:36" ht="19.5" x14ac:dyDescent="0.4">
      <c r="A218" s="85"/>
      <c r="B218" s="140"/>
      <c r="C218" s="126"/>
      <c r="D218" s="126"/>
      <c r="E218" s="126"/>
      <c r="L218" s="115"/>
      <c r="M218" s="115"/>
      <c r="N218" s="115"/>
      <c r="O218" s="115"/>
      <c r="P218" s="115"/>
      <c r="Q218" s="115"/>
      <c r="R218" s="29"/>
      <c r="S218" s="29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29"/>
      <c r="AJ218" s="29"/>
    </row>
    <row r="219" spans="1:36" ht="19.5" x14ac:dyDescent="0.4">
      <c r="A219" s="85"/>
      <c r="B219" s="140"/>
      <c r="C219" s="126"/>
      <c r="D219" s="126"/>
      <c r="E219" s="126"/>
      <c r="L219" s="115"/>
      <c r="M219" s="115"/>
      <c r="N219" s="115"/>
      <c r="O219" s="115"/>
      <c r="P219" s="115"/>
      <c r="Q219" s="115"/>
      <c r="R219" s="127"/>
      <c r="S219" s="29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29"/>
      <c r="AJ219" s="29"/>
    </row>
    <row r="220" spans="1:36" ht="19.5" x14ac:dyDescent="0.4">
      <c r="A220" s="85"/>
      <c r="B220" s="140"/>
      <c r="C220" s="126"/>
      <c r="D220" s="126"/>
      <c r="E220" s="126"/>
      <c r="L220" s="115"/>
      <c r="M220" s="115"/>
      <c r="N220" s="115"/>
      <c r="O220" s="115"/>
      <c r="P220" s="115"/>
      <c r="Q220" s="115"/>
      <c r="R220" s="127"/>
      <c r="S220" s="29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27"/>
      <c r="AJ220" s="29"/>
    </row>
    <row r="221" spans="1:36" ht="19.5" x14ac:dyDescent="0.4">
      <c r="A221" s="85"/>
      <c r="B221" s="140"/>
      <c r="C221" s="126"/>
      <c r="D221" s="126"/>
      <c r="E221" s="126"/>
      <c r="L221" s="115"/>
      <c r="M221" s="115"/>
      <c r="N221" s="115"/>
      <c r="O221" s="115"/>
      <c r="P221" s="115"/>
      <c r="Q221" s="115"/>
      <c r="R221" s="127"/>
      <c r="S221" s="29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27"/>
      <c r="AJ221" s="29"/>
    </row>
    <row r="222" spans="1:36" ht="19.5" x14ac:dyDescent="0.4">
      <c r="A222" s="85"/>
      <c r="B222" s="140"/>
      <c r="C222" s="126"/>
      <c r="D222" s="126"/>
      <c r="E222" s="126"/>
      <c r="L222" s="115"/>
      <c r="M222" s="115"/>
      <c r="N222" s="115"/>
      <c r="O222" s="115"/>
      <c r="P222" s="115"/>
      <c r="Q222" s="115"/>
      <c r="R222" s="127"/>
      <c r="S222" s="29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27"/>
      <c r="AJ222" s="29"/>
    </row>
    <row r="223" spans="1:36" ht="19.5" x14ac:dyDescent="0.4">
      <c r="A223" s="85"/>
      <c r="B223" s="140"/>
      <c r="C223" s="126"/>
      <c r="D223" s="126"/>
      <c r="E223" s="126"/>
      <c r="L223" s="115"/>
      <c r="M223" s="115"/>
      <c r="N223" s="115"/>
      <c r="O223" s="115"/>
      <c r="P223" s="115"/>
      <c r="Q223" s="115"/>
      <c r="R223" s="29"/>
      <c r="S223" s="29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27"/>
      <c r="AJ223" s="29"/>
    </row>
    <row r="224" spans="1:36" ht="19.5" x14ac:dyDescent="0.4">
      <c r="A224" s="85"/>
      <c r="B224" s="140"/>
      <c r="C224" s="126"/>
      <c r="D224" s="126"/>
      <c r="E224" s="126"/>
      <c r="L224" s="115"/>
      <c r="M224" s="115"/>
      <c r="N224" s="115"/>
      <c r="O224" s="115"/>
      <c r="P224" s="115"/>
      <c r="Q224" s="115"/>
      <c r="R224" s="127"/>
      <c r="S224" s="29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27"/>
      <c r="AJ224" s="29"/>
    </row>
    <row r="225" spans="1:36" ht="19.5" x14ac:dyDescent="0.4">
      <c r="A225" s="85"/>
      <c r="B225" s="140"/>
      <c r="C225" s="126"/>
      <c r="D225" s="126"/>
      <c r="E225" s="126"/>
      <c r="L225" s="115"/>
      <c r="M225" s="115"/>
      <c r="N225" s="115"/>
      <c r="O225" s="115"/>
      <c r="P225" s="115"/>
      <c r="Q225" s="115"/>
      <c r="R225" s="29"/>
      <c r="S225" s="29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27"/>
      <c r="AJ225" s="29"/>
    </row>
    <row r="226" spans="1:36" ht="19.5" x14ac:dyDescent="0.4">
      <c r="A226" s="85"/>
      <c r="B226" s="140"/>
      <c r="C226" s="126"/>
      <c r="D226" s="126"/>
      <c r="E226" s="126"/>
      <c r="L226" s="115"/>
      <c r="M226" s="115"/>
      <c r="N226" s="115"/>
      <c r="O226" s="115"/>
      <c r="P226" s="115"/>
      <c r="Q226" s="115"/>
      <c r="R226" s="127"/>
      <c r="S226" s="29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29"/>
      <c r="AJ226" s="29"/>
    </row>
    <row r="227" spans="1:36" ht="19.5" x14ac:dyDescent="0.4">
      <c r="A227" s="85"/>
      <c r="B227" s="140"/>
      <c r="C227" s="126"/>
      <c r="D227" s="126"/>
      <c r="E227" s="126"/>
      <c r="L227" s="115"/>
      <c r="M227" s="115"/>
      <c r="N227" s="115"/>
      <c r="O227" s="115"/>
      <c r="P227" s="115"/>
      <c r="Q227" s="115"/>
      <c r="R227" s="127"/>
      <c r="S227" s="29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27"/>
      <c r="AJ227" s="29"/>
    </row>
    <row r="228" spans="1:36" ht="19.5" x14ac:dyDescent="0.4">
      <c r="A228" s="85"/>
      <c r="B228" s="140"/>
      <c r="C228" s="126"/>
      <c r="D228" s="126"/>
      <c r="E228" s="126"/>
      <c r="L228" s="115"/>
      <c r="M228" s="115"/>
      <c r="N228" s="115"/>
      <c r="O228" s="115"/>
      <c r="P228" s="115"/>
      <c r="Q228" s="115"/>
      <c r="R228" s="29"/>
      <c r="S228" s="29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27"/>
      <c r="AJ228" s="29"/>
    </row>
    <row r="229" spans="1:36" ht="19.5" x14ac:dyDescent="0.4">
      <c r="A229" s="85"/>
      <c r="B229" s="140"/>
      <c r="C229" s="126"/>
      <c r="D229" s="126"/>
      <c r="E229" s="126"/>
      <c r="L229" s="115"/>
      <c r="M229" s="115"/>
      <c r="N229" s="115"/>
      <c r="O229" s="115"/>
      <c r="P229" s="115"/>
      <c r="Q229" s="115"/>
      <c r="R229" s="127"/>
      <c r="S229" s="29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27"/>
      <c r="AJ229" s="29"/>
    </row>
    <row r="230" spans="1:36" ht="19.5" x14ac:dyDescent="0.4">
      <c r="A230" s="85"/>
      <c r="B230" s="140"/>
      <c r="C230" s="126"/>
      <c r="D230" s="126"/>
      <c r="E230" s="126"/>
      <c r="L230" s="115"/>
      <c r="M230" s="115"/>
      <c r="N230" s="115"/>
      <c r="O230" s="115"/>
      <c r="P230" s="115"/>
      <c r="Q230" s="115"/>
      <c r="R230" s="127"/>
      <c r="S230" s="29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27"/>
      <c r="AJ230" s="29"/>
    </row>
    <row r="231" spans="1:36" ht="19.5" x14ac:dyDescent="0.4">
      <c r="A231" s="85"/>
      <c r="B231" s="140"/>
      <c r="C231" s="126"/>
      <c r="D231" s="126"/>
      <c r="E231" s="126"/>
      <c r="L231" s="115"/>
      <c r="M231" s="115"/>
      <c r="N231" s="115"/>
      <c r="O231" s="115"/>
      <c r="P231" s="115"/>
      <c r="Q231" s="115"/>
      <c r="R231" s="127"/>
      <c r="S231" s="29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27"/>
      <c r="AJ231" s="29"/>
    </row>
    <row r="232" spans="1:36" ht="19.5" x14ac:dyDescent="0.4">
      <c r="A232" s="85"/>
      <c r="B232" s="140"/>
      <c r="C232" s="126"/>
      <c r="D232" s="126"/>
      <c r="E232" s="126"/>
      <c r="L232" s="115"/>
      <c r="M232" s="115"/>
      <c r="N232" s="115"/>
      <c r="O232" s="115"/>
      <c r="P232" s="115"/>
      <c r="Q232" s="115"/>
      <c r="R232" s="127"/>
      <c r="S232" s="29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27"/>
      <c r="AJ232" s="29"/>
    </row>
    <row r="233" spans="1:36" ht="19.5" x14ac:dyDescent="0.4">
      <c r="A233" s="85"/>
      <c r="B233" s="140"/>
      <c r="C233" s="126"/>
      <c r="D233" s="126"/>
      <c r="E233" s="126"/>
      <c r="L233" s="115"/>
      <c r="M233" s="115"/>
      <c r="N233" s="115"/>
      <c r="O233" s="115"/>
      <c r="P233" s="115"/>
      <c r="Q233" s="115"/>
      <c r="R233" s="127"/>
      <c r="S233" s="29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27"/>
      <c r="AJ233" s="29"/>
    </row>
    <row r="234" spans="1:36" ht="19.5" x14ac:dyDescent="0.4">
      <c r="A234" s="85"/>
      <c r="B234" s="140"/>
      <c r="C234" s="126"/>
      <c r="D234" s="126"/>
      <c r="E234" s="126"/>
      <c r="L234" s="115"/>
      <c r="M234" s="115"/>
      <c r="N234" s="115"/>
      <c r="O234" s="115"/>
      <c r="P234" s="115"/>
      <c r="Q234" s="115"/>
      <c r="R234" s="127"/>
      <c r="S234" s="29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27"/>
      <c r="AJ234" s="29"/>
    </row>
    <row r="235" spans="1:36" ht="19.5" x14ac:dyDescent="0.4">
      <c r="A235" s="85"/>
      <c r="B235" s="140"/>
      <c r="C235" s="126"/>
      <c r="D235" s="126"/>
      <c r="E235" s="126"/>
      <c r="L235" s="115"/>
      <c r="M235" s="115"/>
      <c r="N235" s="115"/>
      <c r="O235" s="115"/>
      <c r="P235" s="115"/>
      <c r="Q235" s="115"/>
      <c r="R235" s="127"/>
      <c r="S235" s="29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27"/>
      <c r="AJ235" s="29"/>
    </row>
    <row r="236" spans="1:36" ht="19.5" x14ac:dyDescent="0.4">
      <c r="A236" s="85"/>
      <c r="B236" s="140"/>
      <c r="C236" s="126"/>
      <c r="D236" s="126"/>
      <c r="E236" s="126"/>
      <c r="L236" s="115"/>
      <c r="M236" s="115"/>
      <c r="N236" s="115"/>
      <c r="O236" s="115"/>
      <c r="P236" s="115"/>
      <c r="Q236" s="115"/>
      <c r="R236" s="127"/>
      <c r="S236" s="29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27"/>
      <c r="AJ236" s="29"/>
    </row>
    <row r="237" spans="1:36" ht="19.5" x14ac:dyDescent="0.4">
      <c r="A237" s="85"/>
      <c r="B237" s="140"/>
      <c r="C237" s="126"/>
      <c r="D237" s="126"/>
      <c r="E237" s="126"/>
      <c r="L237" s="115"/>
      <c r="M237" s="115"/>
      <c r="N237" s="115"/>
      <c r="O237" s="115"/>
      <c r="P237" s="115"/>
      <c r="Q237" s="115"/>
      <c r="R237" s="29"/>
      <c r="S237" s="29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27"/>
      <c r="AJ237" s="29"/>
    </row>
    <row r="238" spans="1:36" ht="19.5" x14ac:dyDescent="0.4">
      <c r="A238" s="85"/>
      <c r="B238" s="140"/>
      <c r="C238" s="126"/>
      <c r="D238" s="126"/>
      <c r="E238" s="126"/>
      <c r="L238" s="115"/>
      <c r="M238" s="115"/>
      <c r="N238" s="115"/>
      <c r="O238" s="115"/>
      <c r="P238" s="115"/>
      <c r="Q238" s="115"/>
      <c r="R238" s="127"/>
      <c r="S238" s="29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27"/>
      <c r="AJ238" s="29"/>
    </row>
    <row r="239" spans="1:36" ht="19.5" x14ac:dyDescent="0.4">
      <c r="A239" s="86"/>
      <c r="B239" s="140"/>
      <c r="C239" s="126"/>
      <c r="D239" s="126"/>
      <c r="E239" s="126"/>
      <c r="L239" s="115"/>
      <c r="M239" s="115"/>
      <c r="N239" s="115"/>
      <c r="O239" s="115"/>
      <c r="P239" s="115"/>
      <c r="Q239" s="115"/>
      <c r="R239" s="127"/>
      <c r="S239" s="29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29"/>
      <c r="AJ239" s="29"/>
    </row>
    <row r="240" spans="1:36" ht="19.5" x14ac:dyDescent="0.4">
      <c r="A240" s="86"/>
      <c r="B240" s="140"/>
      <c r="C240" s="126"/>
      <c r="D240" s="126"/>
      <c r="E240" s="126"/>
      <c r="L240" s="115"/>
      <c r="M240" s="115"/>
      <c r="N240" s="115"/>
      <c r="O240" s="115"/>
      <c r="P240" s="115"/>
      <c r="Q240" s="115"/>
      <c r="R240" s="127"/>
      <c r="S240" s="29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29"/>
      <c r="AJ240" s="29"/>
    </row>
    <row r="241" spans="1:36" ht="19.5" x14ac:dyDescent="0.4">
      <c r="A241" s="86"/>
      <c r="B241" s="140"/>
      <c r="C241" s="126"/>
      <c r="D241" s="126"/>
      <c r="E241" s="126"/>
      <c r="L241" s="115"/>
      <c r="M241" s="115"/>
      <c r="N241" s="115"/>
      <c r="O241" s="115"/>
      <c r="P241" s="115"/>
      <c r="Q241" s="115"/>
      <c r="R241" s="29"/>
      <c r="S241" s="29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29"/>
      <c r="AJ241" s="29"/>
    </row>
    <row r="242" spans="1:36" ht="19.5" x14ac:dyDescent="0.4">
      <c r="A242" s="86"/>
      <c r="B242" s="140"/>
      <c r="C242" s="126"/>
      <c r="D242" s="126"/>
      <c r="E242" s="126"/>
      <c r="L242" s="115"/>
      <c r="M242" s="115"/>
      <c r="N242" s="115"/>
      <c r="O242" s="115"/>
      <c r="P242" s="115"/>
      <c r="Q242" s="115"/>
      <c r="R242" s="127"/>
      <c r="S242" s="29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29"/>
      <c r="AJ242" s="29"/>
    </row>
    <row r="243" spans="1:36" ht="19.5" x14ac:dyDescent="0.4">
      <c r="A243" s="86"/>
      <c r="B243" s="140"/>
      <c r="C243" s="126"/>
      <c r="D243" s="126"/>
      <c r="E243" s="126"/>
      <c r="L243" s="115"/>
      <c r="M243" s="115"/>
      <c r="N243" s="115"/>
      <c r="O243" s="115"/>
      <c r="P243" s="115"/>
      <c r="Q243" s="115"/>
      <c r="R243" s="29"/>
      <c r="S243" s="29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29"/>
      <c r="AJ243" s="29"/>
    </row>
    <row r="244" spans="1:36" ht="19.5" x14ac:dyDescent="0.4">
      <c r="A244" s="86"/>
      <c r="B244" s="140"/>
      <c r="C244" s="126"/>
      <c r="D244" s="126"/>
      <c r="E244" s="126"/>
      <c r="L244" s="115"/>
      <c r="M244" s="115"/>
      <c r="N244" s="115"/>
      <c r="O244" s="115"/>
      <c r="P244" s="115"/>
      <c r="Q244" s="115"/>
      <c r="R244" s="127"/>
      <c r="S244" s="29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29"/>
      <c r="AJ244" s="29"/>
    </row>
    <row r="245" spans="1:36" ht="19.5" x14ac:dyDescent="0.4">
      <c r="A245" s="86"/>
      <c r="B245" s="140"/>
      <c r="C245" s="126"/>
      <c r="D245" s="126"/>
      <c r="E245" s="126"/>
      <c r="L245" s="115"/>
      <c r="M245" s="115"/>
      <c r="N245" s="115"/>
      <c r="O245" s="115"/>
      <c r="P245" s="115"/>
      <c r="Q245" s="115"/>
      <c r="R245" s="127"/>
      <c r="S245" s="127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29"/>
      <c r="AJ245" s="29"/>
    </row>
    <row r="246" spans="1:36" ht="19.5" x14ac:dyDescent="0.4">
      <c r="A246" s="86"/>
      <c r="B246" s="140"/>
      <c r="C246" s="126"/>
      <c r="D246" s="126"/>
      <c r="E246" s="126"/>
      <c r="L246" s="115"/>
      <c r="M246" s="115"/>
      <c r="N246" s="115"/>
      <c r="O246" s="115"/>
      <c r="P246" s="115"/>
      <c r="Q246" s="115"/>
      <c r="R246" s="127"/>
      <c r="S246" s="127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27"/>
      <c r="AJ246" s="29"/>
    </row>
    <row r="247" spans="1:36" ht="19.5" x14ac:dyDescent="0.4">
      <c r="A247" s="86"/>
      <c r="B247" s="140"/>
      <c r="C247" s="126"/>
      <c r="D247" s="126"/>
      <c r="E247" s="126"/>
      <c r="L247" s="115"/>
      <c r="M247" s="115"/>
      <c r="N247" s="115"/>
      <c r="O247" s="115"/>
      <c r="P247" s="115"/>
      <c r="Q247" s="115"/>
      <c r="R247" s="127"/>
      <c r="S247" s="29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27"/>
      <c r="AJ247" s="29"/>
    </row>
    <row r="248" spans="1:36" ht="19.5" x14ac:dyDescent="0.4">
      <c r="A248" s="86"/>
      <c r="B248" s="140"/>
      <c r="C248" s="126"/>
      <c r="D248" s="126"/>
      <c r="E248" s="126"/>
      <c r="L248" s="115"/>
      <c r="M248" s="115"/>
      <c r="N248" s="115"/>
      <c r="O248" s="115"/>
      <c r="P248" s="115"/>
      <c r="Q248" s="115"/>
      <c r="R248" s="127"/>
      <c r="S248" s="29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27"/>
      <c r="AJ248" s="29"/>
    </row>
    <row r="249" spans="1:36" ht="19.5" x14ac:dyDescent="0.4">
      <c r="A249" s="86"/>
      <c r="B249" s="140"/>
      <c r="C249" s="126"/>
      <c r="D249" s="126"/>
      <c r="E249" s="126"/>
      <c r="L249" s="115"/>
      <c r="M249" s="115"/>
      <c r="N249" s="115"/>
      <c r="O249" s="115"/>
      <c r="P249" s="115"/>
      <c r="Q249" s="115"/>
      <c r="R249" s="127"/>
      <c r="S249" s="29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27"/>
      <c r="AJ249" s="29"/>
    </row>
    <row r="250" spans="1:36" ht="19.5" x14ac:dyDescent="0.4">
      <c r="A250" s="86"/>
      <c r="B250" s="140"/>
      <c r="C250" s="126"/>
      <c r="D250" s="126"/>
      <c r="E250" s="126"/>
      <c r="L250" s="115"/>
      <c r="M250" s="115"/>
      <c r="N250" s="115"/>
      <c r="O250" s="115"/>
      <c r="P250" s="115"/>
      <c r="Q250" s="115"/>
      <c r="R250" s="127"/>
      <c r="S250" s="29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27"/>
      <c r="AJ250" s="29"/>
    </row>
    <row r="251" spans="1:36" ht="19.5" x14ac:dyDescent="0.4">
      <c r="A251" s="86"/>
      <c r="B251" s="140"/>
      <c r="C251" s="126"/>
      <c r="D251" s="126"/>
      <c r="E251" s="126"/>
      <c r="L251" s="115"/>
      <c r="M251" s="115"/>
      <c r="N251" s="115"/>
      <c r="O251" s="115"/>
      <c r="P251" s="115"/>
      <c r="Q251" s="115"/>
      <c r="R251" s="127"/>
      <c r="S251" s="29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27"/>
      <c r="AJ251" s="29"/>
    </row>
    <row r="252" spans="1:36" ht="19.5" x14ac:dyDescent="0.4">
      <c r="A252" s="86"/>
      <c r="B252" s="140"/>
      <c r="C252" s="126"/>
      <c r="D252" s="126"/>
      <c r="E252" s="126"/>
      <c r="L252" s="115"/>
      <c r="M252" s="115"/>
      <c r="N252" s="115"/>
      <c r="O252" s="115"/>
      <c r="P252" s="115"/>
      <c r="Q252" s="115"/>
      <c r="R252" s="127"/>
      <c r="S252" s="29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27"/>
      <c r="AJ252" s="29"/>
    </row>
    <row r="253" spans="1:36" ht="19.5" x14ac:dyDescent="0.4">
      <c r="A253" s="86"/>
      <c r="B253" s="140"/>
      <c r="C253" s="126"/>
      <c r="D253" s="126"/>
      <c r="E253" s="126"/>
      <c r="L253" s="115"/>
      <c r="M253" s="115"/>
      <c r="N253" s="115"/>
      <c r="O253" s="115"/>
      <c r="P253" s="115"/>
      <c r="Q253" s="115"/>
      <c r="R253" s="127"/>
      <c r="S253" s="29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27"/>
      <c r="AJ253" s="29"/>
    </row>
    <row r="254" spans="1:36" ht="19.5" x14ac:dyDescent="0.4">
      <c r="A254" s="86"/>
      <c r="B254" s="140"/>
      <c r="C254" s="126"/>
      <c r="D254" s="126"/>
      <c r="E254" s="126"/>
      <c r="L254" s="115"/>
      <c r="M254" s="115"/>
      <c r="N254" s="115"/>
      <c r="O254" s="115"/>
      <c r="P254" s="115"/>
      <c r="Q254" s="115"/>
      <c r="R254" s="127"/>
      <c r="S254" s="29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27"/>
      <c r="AJ254" s="29"/>
    </row>
    <row r="255" spans="1:36" ht="19.5" x14ac:dyDescent="0.4">
      <c r="A255" s="86"/>
      <c r="B255" s="140"/>
      <c r="C255" s="126"/>
      <c r="D255" s="126"/>
      <c r="E255" s="126"/>
      <c r="L255" s="115"/>
      <c r="M255" s="115"/>
      <c r="N255" s="115"/>
      <c r="O255" s="115"/>
      <c r="P255" s="115"/>
      <c r="Q255" s="115"/>
      <c r="R255" s="127"/>
      <c r="S255" s="29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27"/>
      <c r="AJ255" s="29"/>
    </row>
    <row r="256" spans="1:36" ht="19.5" x14ac:dyDescent="0.4">
      <c r="A256" s="86"/>
      <c r="B256" s="140"/>
      <c r="C256" s="126"/>
      <c r="D256" s="126"/>
      <c r="E256" s="126"/>
      <c r="L256" s="115"/>
      <c r="M256" s="115"/>
      <c r="N256" s="115"/>
      <c r="O256" s="115"/>
      <c r="P256" s="115"/>
      <c r="Q256" s="115"/>
      <c r="R256" s="29"/>
      <c r="S256" s="29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27"/>
      <c r="AJ256" s="29"/>
    </row>
    <row r="257" spans="1:36" ht="19.5" x14ac:dyDescent="0.4">
      <c r="A257" s="86"/>
      <c r="B257" s="140"/>
      <c r="C257" s="126"/>
      <c r="D257" s="126"/>
      <c r="E257" s="126"/>
      <c r="L257" s="115"/>
      <c r="M257" s="115"/>
      <c r="N257" s="115"/>
      <c r="O257" s="115"/>
      <c r="P257" s="115"/>
      <c r="Q257" s="115"/>
      <c r="R257" s="127"/>
      <c r="S257" s="29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27"/>
      <c r="AJ257" s="29"/>
    </row>
    <row r="258" spans="1:36" ht="19.5" x14ac:dyDescent="0.4">
      <c r="A258" s="86"/>
      <c r="B258" s="140"/>
      <c r="C258" s="126"/>
      <c r="D258" s="126"/>
      <c r="E258" s="126"/>
      <c r="L258" s="115"/>
      <c r="M258" s="115"/>
      <c r="N258" s="115"/>
      <c r="O258" s="115"/>
      <c r="P258" s="115"/>
      <c r="Q258" s="115"/>
      <c r="R258" s="29"/>
      <c r="S258" s="29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27"/>
      <c r="AJ258" s="29"/>
    </row>
    <row r="259" spans="1:36" ht="19.5" x14ac:dyDescent="0.4">
      <c r="A259" s="86"/>
      <c r="B259" s="140"/>
      <c r="C259" s="126"/>
      <c r="D259" s="126"/>
      <c r="E259" s="126"/>
      <c r="L259" s="115"/>
      <c r="M259" s="115"/>
      <c r="N259" s="115"/>
      <c r="O259" s="115"/>
      <c r="P259" s="115"/>
      <c r="Q259" s="115"/>
      <c r="R259" s="127"/>
      <c r="S259" s="29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27"/>
      <c r="AJ259" s="29"/>
    </row>
    <row r="260" spans="1:36" ht="19.5" x14ac:dyDescent="0.4">
      <c r="A260" s="86"/>
      <c r="B260" s="140"/>
      <c r="C260" s="126"/>
      <c r="D260" s="126"/>
      <c r="E260" s="126"/>
      <c r="L260" s="115"/>
      <c r="M260" s="115"/>
      <c r="N260" s="115"/>
      <c r="O260" s="115"/>
      <c r="P260" s="115"/>
      <c r="Q260" s="115"/>
      <c r="R260" s="127"/>
      <c r="S260" s="29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27"/>
      <c r="AJ260" s="29"/>
    </row>
    <row r="261" spans="1:36" ht="19.5" x14ac:dyDescent="0.4">
      <c r="A261" s="125"/>
      <c r="B261" s="125"/>
      <c r="C261" s="126"/>
      <c r="D261" s="126"/>
      <c r="E261" s="126"/>
      <c r="L261" s="115"/>
      <c r="M261" s="115"/>
      <c r="N261" s="115"/>
      <c r="O261" s="115"/>
      <c r="P261" s="115"/>
      <c r="Q261" s="115"/>
      <c r="R261" s="127"/>
      <c r="S261" s="29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27"/>
      <c r="AJ261" s="29"/>
    </row>
    <row r="262" spans="1:36" ht="19.5" x14ac:dyDescent="0.4">
      <c r="A262" s="125"/>
      <c r="B262" s="125"/>
      <c r="C262" s="126"/>
      <c r="D262" s="126"/>
      <c r="E262" s="126"/>
      <c r="L262" s="115"/>
      <c r="M262" s="115"/>
      <c r="N262" s="115"/>
      <c r="O262" s="115"/>
      <c r="P262" s="115"/>
      <c r="Q262" s="115"/>
      <c r="R262" s="127"/>
      <c r="S262" s="29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27"/>
      <c r="AJ262" s="29"/>
    </row>
    <row r="263" spans="1:36" ht="19.5" x14ac:dyDescent="0.4">
      <c r="A263" s="125"/>
      <c r="B263" s="125"/>
      <c r="C263" s="126"/>
      <c r="D263" s="126"/>
      <c r="E263" s="126"/>
      <c r="L263" s="115"/>
      <c r="M263" s="115"/>
      <c r="N263" s="115"/>
      <c r="O263" s="115"/>
      <c r="P263" s="115"/>
      <c r="Q263" s="115"/>
      <c r="R263" s="29"/>
      <c r="S263" s="29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27"/>
      <c r="AJ263" s="29"/>
    </row>
    <row r="264" spans="1:36" ht="19.5" x14ac:dyDescent="0.4">
      <c r="A264" s="125"/>
      <c r="B264" s="125"/>
      <c r="C264" s="126"/>
      <c r="D264" s="126"/>
      <c r="E264" s="126"/>
      <c r="L264" s="115"/>
      <c r="M264" s="115"/>
      <c r="N264" s="115"/>
      <c r="O264" s="115"/>
      <c r="P264" s="115"/>
      <c r="Q264" s="115"/>
      <c r="R264" s="127"/>
      <c r="S264" s="29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27"/>
      <c r="AJ264" s="29"/>
    </row>
    <row r="265" spans="1:36" ht="19.5" x14ac:dyDescent="0.4">
      <c r="A265" s="125"/>
      <c r="B265" s="125"/>
      <c r="C265" s="126"/>
      <c r="D265" s="126"/>
      <c r="E265" s="126"/>
      <c r="L265" s="115"/>
      <c r="M265" s="115"/>
      <c r="N265" s="115"/>
      <c r="O265" s="115"/>
      <c r="P265" s="115"/>
      <c r="Q265" s="115"/>
      <c r="R265" s="29"/>
      <c r="S265" s="29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27"/>
      <c r="AJ265" s="29"/>
    </row>
    <row r="266" spans="1:36" ht="19.5" x14ac:dyDescent="0.4">
      <c r="A266" s="125"/>
      <c r="B266" s="125"/>
      <c r="C266" s="126"/>
      <c r="D266" s="126"/>
      <c r="E266" s="126"/>
      <c r="L266" s="115"/>
      <c r="M266" s="115"/>
      <c r="N266" s="115"/>
      <c r="O266" s="115"/>
      <c r="P266" s="115"/>
      <c r="Q266" s="115"/>
      <c r="R266" s="127"/>
      <c r="S266" s="29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27"/>
      <c r="AJ266" s="29"/>
    </row>
    <row r="267" spans="1:36" ht="19.5" x14ac:dyDescent="0.4">
      <c r="A267" s="125"/>
      <c r="B267" s="125"/>
      <c r="C267" s="126"/>
      <c r="D267" s="126"/>
      <c r="E267" s="126"/>
      <c r="L267" s="115"/>
      <c r="M267" s="115"/>
      <c r="N267" s="115"/>
      <c r="O267" s="115"/>
      <c r="P267" s="115"/>
      <c r="Q267" s="115"/>
      <c r="R267" s="29"/>
      <c r="S267" s="29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27"/>
      <c r="AJ267" s="29"/>
    </row>
    <row r="268" spans="1:36" ht="19.5" x14ac:dyDescent="0.4">
      <c r="A268" s="125"/>
      <c r="B268" s="125"/>
      <c r="C268" s="126"/>
      <c r="D268" s="126"/>
      <c r="E268" s="126"/>
      <c r="L268" s="115"/>
      <c r="M268" s="115"/>
      <c r="N268" s="115"/>
      <c r="O268" s="115"/>
      <c r="P268" s="115"/>
      <c r="Q268" s="115"/>
      <c r="R268" s="127"/>
      <c r="S268" s="29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27"/>
      <c r="AJ268" s="29"/>
    </row>
    <row r="269" spans="1:36" ht="19.5" x14ac:dyDescent="0.4">
      <c r="A269" s="125"/>
      <c r="B269" s="125"/>
      <c r="C269" s="126"/>
      <c r="D269" s="126"/>
      <c r="E269" s="126"/>
      <c r="L269" s="115"/>
      <c r="M269" s="115"/>
      <c r="N269" s="115"/>
      <c r="O269" s="115"/>
      <c r="P269" s="115"/>
      <c r="Q269" s="115"/>
      <c r="R269" s="127"/>
      <c r="S269" s="127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27"/>
      <c r="AJ269" s="29"/>
    </row>
    <row r="270" spans="1:36" ht="19.5" x14ac:dyDescent="0.4">
      <c r="A270" s="125"/>
      <c r="B270" s="125"/>
      <c r="C270" s="126"/>
      <c r="D270" s="126"/>
      <c r="E270" s="126"/>
      <c r="L270" s="115"/>
      <c r="M270" s="115"/>
      <c r="N270" s="115"/>
      <c r="O270" s="115"/>
      <c r="P270" s="115"/>
      <c r="Q270" s="115"/>
      <c r="R270" s="127"/>
      <c r="S270" s="127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27"/>
      <c r="AJ270" s="29"/>
    </row>
    <row r="271" spans="1:36" ht="19.5" x14ac:dyDescent="0.4">
      <c r="A271" s="125"/>
      <c r="B271" s="125"/>
      <c r="C271" s="126"/>
      <c r="D271" s="126"/>
      <c r="E271" s="126"/>
      <c r="L271" s="115"/>
      <c r="M271" s="115"/>
      <c r="N271" s="115"/>
      <c r="O271" s="115"/>
      <c r="P271" s="115"/>
      <c r="Q271" s="115"/>
      <c r="R271" s="127"/>
      <c r="S271" s="29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29"/>
      <c r="AJ271" s="29"/>
    </row>
    <row r="272" spans="1:36" ht="19.5" x14ac:dyDescent="0.4">
      <c r="A272" s="125"/>
      <c r="B272" s="125"/>
      <c r="C272" s="126"/>
      <c r="D272" s="126"/>
      <c r="E272" s="126"/>
      <c r="L272" s="115"/>
      <c r="M272" s="115"/>
      <c r="N272" s="115"/>
      <c r="O272" s="115"/>
      <c r="P272" s="115"/>
      <c r="Q272" s="115"/>
      <c r="R272" s="29"/>
      <c r="S272" s="29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29"/>
      <c r="AJ272" s="29"/>
    </row>
    <row r="273" spans="1:36" ht="19.5" x14ac:dyDescent="0.4">
      <c r="A273" s="125"/>
      <c r="B273" s="125"/>
      <c r="C273" s="126"/>
      <c r="D273" s="126"/>
      <c r="E273" s="126"/>
      <c r="L273" s="115"/>
      <c r="M273" s="115"/>
      <c r="N273" s="115"/>
      <c r="O273" s="115"/>
      <c r="P273" s="115"/>
      <c r="Q273" s="115"/>
      <c r="R273" s="29"/>
      <c r="S273" s="29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29"/>
      <c r="AJ273" s="29"/>
    </row>
    <row r="274" spans="1:36" ht="19.5" x14ac:dyDescent="0.4">
      <c r="A274" s="125"/>
      <c r="B274" s="125"/>
      <c r="C274" s="126"/>
      <c r="D274" s="126"/>
      <c r="E274" s="126"/>
      <c r="L274" s="115"/>
      <c r="M274" s="115"/>
      <c r="N274" s="115"/>
      <c r="O274" s="115"/>
      <c r="P274" s="115"/>
      <c r="Q274" s="115"/>
      <c r="R274" s="127"/>
      <c r="S274" s="29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27"/>
      <c r="AJ274" s="29"/>
    </row>
    <row r="275" spans="1:36" ht="19.5" x14ac:dyDescent="0.4">
      <c r="A275" s="125"/>
      <c r="B275" s="125"/>
      <c r="C275" s="126"/>
      <c r="D275" s="126"/>
      <c r="E275" s="126"/>
      <c r="L275" s="115"/>
      <c r="M275" s="115"/>
      <c r="N275" s="115"/>
      <c r="O275" s="115"/>
      <c r="P275" s="115"/>
      <c r="Q275" s="115"/>
      <c r="R275" s="29"/>
      <c r="S275" s="29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27"/>
      <c r="AJ275" s="29"/>
    </row>
    <row r="276" spans="1:36" ht="19.5" x14ac:dyDescent="0.4">
      <c r="A276" s="125"/>
      <c r="B276" s="125"/>
      <c r="C276" s="126"/>
      <c r="D276" s="126"/>
      <c r="E276" s="126"/>
      <c r="L276" s="115"/>
      <c r="M276" s="115"/>
      <c r="N276" s="115"/>
      <c r="O276" s="115"/>
      <c r="P276" s="115"/>
      <c r="Q276" s="115"/>
      <c r="R276" s="127"/>
      <c r="S276" s="29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27"/>
      <c r="AJ276" s="29"/>
    </row>
    <row r="277" spans="1:36" ht="19.5" x14ac:dyDescent="0.4">
      <c r="A277" s="125"/>
      <c r="B277" s="125"/>
      <c r="C277" s="126"/>
      <c r="D277" s="126"/>
      <c r="E277" s="126"/>
      <c r="L277" s="115"/>
      <c r="M277" s="115"/>
      <c r="N277" s="115"/>
      <c r="O277" s="115"/>
      <c r="P277" s="115"/>
      <c r="Q277" s="115"/>
      <c r="R277" s="127"/>
      <c r="S277" s="29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27"/>
      <c r="AJ277" s="29"/>
    </row>
    <row r="278" spans="1:36" ht="19.5" x14ac:dyDescent="0.4">
      <c r="A278" s="125"/>
      <c r="B278" s="125"/>
      <c r="C278" s="126"/>
      <c r="D278" s="126"/>
      <c r="E278" s="126"/>
      <c r="L278" s="115"/>
      <c r="M278" s="115"/>
      <c r="N278" s="115"/>
      <c r="O278" s="115"/>
      <c r="P278" s="115"/>
      <c r="Q278" s="115"/>
      <c r="R278" s="127"/>
      <c r="S278" s="29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27"/>
      <c r="AJ278" s="29"/>
    </row>
    <row r="279" spans="1:36" ht="19.5" x14ac:dyDescent="0.4">
      <c r="A279" s="125"/>
      <c r="B279" s="125"/>
      <c r="C279" s="126"/>
      <c r="D279" s="126"/>
      <c r="E279" s="126"/>
      <c r="L279" s="115"/>
      <c r="M279" s="115"/>
      <c r="N279" s="115"/>
      <c r="O279" s="115"/>
      <c r="P279" s="115"/>
      <c r="Q279" s="115"/>
      <c r="R279" s="127"/>
      <c r="S279" s="29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27"/>
      <c r="AJ279" s="29"/>
    </row>
    <row r="280" spans="1:36" ht="19.5" x14ac:dyDescent="0.4">
      <c r="A280" s="125"/>
      <c r="B280" s="125"/>
      <c r="C280" s="126"/>
      <c r="D280" s="126"/>
      <c r="E280" s="126"/>
      <c r="L280" s="115"/>
      <c r="M280" s="115"/>
      <c r="N280" s="115"/>
      <c r="O280" s="115"/>
      <c r="P280" s="115"/>
      <c r="Q280" s="115"/>
      <c r="R280" s="29"/>
      <c r="S280" s="29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27"/>
      <c r="AJ280" s="29"/>
    </row>
    <row r="281" spans="1:36" ht="19.5" x14ac:dyDescent="0.4">
      <c r="A281" s="125"/>
      <c r="B281" s="125"/>
      <c r="C281" s="126"/>
      <c r="D281" s="126"/>
      <c r="E281" s="126"/>
      <c r="L281" s="115"/>
      <c r="M281" s="115"/>
      <c r="N281" s="115"/>
      <c r="O281" s="115"/>
      <c r="P281" s="115"/>
      <c r="Q281" s="115"/>
      <c r="R281" s="127"/>
      <c r="S281" s="29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29"/>
      <c r="AJ281" s="29"/>
    </row>
    <row r="282" spans="1:36" ht="19.5" x14ac:dyDescent="0.4">
      <c r="A282" s="125"/>
      <c r="B282" s="125"/>
      <c r="C282" s="126"/>
      <c r="D282" s="126"/>
      <c r="E282" s="126"/>
      <c r="L282" s="115"/>
      <c r="M282" s="115"/>
      <c r="N282" s="115"/>
      <c r="O282" s="115"/>
      <c r="P282" s="115"/>
      <c r="Q282" s="115"/>
      <c r="R282" s="127"/>
      <c r="S282" s="29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27"/>
      <c r="AJ282" s="29"/>
    </row>
    <row r="283" spans="1:36" ht="19.5" x14ac:dyDescent="0.4">
      <c r="A283" s="125"/>
      <c r="B283" s="125"/>
      <c r="C283" s="126"/>
      <c r="D283" s="126"/>
      <c r="E283" s="126"/>
      <c r="L283" s="115"/>
      <c r="M283" s="115"/>
      <c r="N283" s="115"/>
      <c r="O283" s="115"/>
      <c r="P283" s="115"/>
      <c r="Q283" s="115"/>
      <c r="R283" s="127"/>
      <c r="S283" s="29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27"/>
      <c r="AJ283" s="29"/>
    </row>
    <row r="284" spans="1:36" ht="19.5" x14ac:dyDescent="0.4">
      <c r="A284" s="125"/>
      <c r="B284" s="125"/>
      <c r="C284" s="126"/>
      <c r="D284" s="126"/>
      <c r="E284" s="126"/>
      <c r="L284" s="115"/>
      <c r="M284" s="115"/>
      <c r="N284" s="115"/>
      <c r="O284" s="115"/>
      <c r="P284" s="115"/>
      <c r="Q284" s="115"/>
      <c r="R284" s="127"/>
      <c r="S284" s="29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27"/>
      <c r="AJ284" s="29"/>
    </row>
    <row r="285" spans="1:36" ht="19.5" x14ac:dyDescent="0.4">
      <c r="A285" s="125"/>
      <c r="B285" s="125"/>
      <c r="C285" s="126"/>
      <c r="D285" s="126"/>
      <c r="E285" s="126"/>
      <c r="L285" s="115"/>
      <c r="M285" s="115"/>
      <c r="N285" s="115"/>
      <c r="O285" s="115"/>
      <c r="P285" s="115"/>
      <c r="Q285" s="115"/>
      <c r="R285" s="127"/>
      <c r="S285" s="29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27"/>
      <c r="AJ285" s="29"/>
    </row>
    <row r="286" spans="1:36" ht="19.5" x14ac:dyDescent="0.4">
      <c r="A286" s="125"/>
      <c r="B286" s="125"/>
      <c r="C286" s="126"/>
      <c r="D286" s="126"/>
      <c r="E286" s="126"/>
      <c r="L286" s="115"/>
      <c r="M286" s="115"/>
      <c r="N286" s="115"/>
      <c r="O286" s="115"/>
      <c r="P286" s="115"/>
      <c r="Q286" s="115"/>
      <c r="R286" s="29"/>
      <c r="S286" s="29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27"/>
      <c r="AJ286" s="29"/>
    </row>
    <row r="287" spans="1:36" ht="19.5" x14ac:dyDescent="0.4">
      <c r="A287" s="125"/>
      <c r="B287" s="125"/>
      <c r="C287" s="126"/>
      <c r="D287" s="126"/>
      <c r="E287" s="126"/>
      <c r="L287" s="115"/>
      <c r="M287" s="115"/>
      <c r="N287" s="115"/>
      <c r="O287" s="115"/>
      <c r="P287" s="115"/>
      <c r="Q287" s="115"/>
      <c r="R287" s="127"/>
      <c r="S287" s="29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27"/>
      <c r="AJ287" s="29"/>
    </row>
    <row r="288" spans="1:36" ht="19.5" x14ac:dyDescent="0.4">
      <c r="A288" s="125"/>
      <c r="B288" s="125"/>
      <c r="C288" s="126"/>
      <c r="D288" s="126"/>
      <c r="E288" s="126"/>
      <c r="L288" s="115"/>
      <c r="M288" s="115"/>
      <c r="N288" s="115"/>
      <c r="O288" s="115"/>
      <c r="P288" s="115"/>
      <c r="Q288" s="115"/>
      <c r="R288" s="29"/>
      <c r="S288" s="29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27"/>
      <c r="AJ288" s="29"/>
    </row>
    <row r="289" spans="1:36" ht="19.5" x14ac:dyDescent="0.4">
      <c r="A289" s="125"/>
      <c r="B289" s="125"/>
      <c r="C289" s="126"/>
      <c r="D289" s="126"/>
      <c r="E289" s="126"/>
      <c r="L289" s="115"/>
      <c r="M289" s="115"/>
      <c r="N289" s="115"/>
      <c r="O289" s="115"/>
      <c r="P289" s="115"/>
      <c r="Q289" s="115"/>
      <c r="R289" s="29"/>
      <c r="S289" s="29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27"/>
      <c r="AJ289" s="29"/>
    </row>
    <row r="290" spans="1:36" ht="19.5" x14ac:dyDescent="0.4">
      <c r="A290" s="125"/>
      <c r="B290" s="125"/>
      <c r="C290" s="126"/>
      <c r="D290" s="126"/>
      <c r="E290" s="126"/>
      <c r="L290" s="115"/>
      <c r="M290" s="115"/>
      <c r="N290" s="115"/>
      <c r="O290" s="115"/>
      <c r="P290" s="115"/>
      <c r="Q290" s="115"/>
      <c r="R290" s="127"/>
      <c r="S290" s="29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27"/>
      <c r="AJ290" s="29"/>
    </row>
    <row r="291" spans="1:36" ht="19.5" x14ac:dyDescent="0.4">
      <c r="A291" s="125"/>
      <c r="B291" s="125"/>
      <c r="C291" s="126"/>
      <c r="D291" s="126"/>
      <c r="E291" s="126"/>
      <c r="L291" s="115"/>
      <c r="M291" s="115"/>
      <c r="N291" s="115"/>
      <c r="O291" s="115"/>
      <c r="P291" s="115"/>
      <c r="Q291" s="115"/>
      <c r="R291" s="127"/>
      <c r="S291" s="29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27"/>
      <c r="AJ291" s="29"/>
    </row>
    <row r="292" spans="1:36" ht="19.5" x14ac:dyDescent="0.4">
      <c r="A292" s="125"/>
      <c r="B292" s="125"/>
      <c r="C292" s="126"/>
      <c r="D292" s="126"/>
      <c r="E292" s="126"/>
      <c r="L292" s="115"/>
      <c r="M292" s="115"/>
      <c r="N292" s="115"/>
      <c r="O292" s="115"/>
      <c r="P292" s="115"/>
      <c r="Q292" s="115"/>
      <c r="R292" s="127"/>
      <c r="S292" s="29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27"/>
      <c r="AJ292" s="29"/>
    </row>
    <row r="293" spans="1:36" ht="19.5" x14ac:dyDescent="0.4">
      <c r="A293" s="125"/>
      <c r="B293" s="125"/>
      <c r="C293" s="126"/>
      <c r="D293" s="126"/>
      <c r="E293" s="126"/>
      <c r="L293" s="115"/>
      <c r="M293" s="115"/>
      <c r="N293" s="115"/>
      <c r="O293" s="115"/>
      <c r="P293" s="115"/>
      <c r="Q293" s="115"/>
      <c r="R293" s="127"/>
      <c r="S293" s="29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27"/>
      <c r="AJ293" s="29"/>
    </row>
    <row r="294" spans="1:36" ht="19.5" x14ac:dyDescent="0.4">
      <c r="A294" s="125"/>
      <c r="B294" s="125"/>
      <c r="C294" s="126"/>
      <c r="D294" s="126"/>
      <c r="E294" s="126"/>
      <c r="L294" s="115"/>
      <c r="M294" s="115"/>
      <c r="N294" s="115"/>
      <c r="O294" s="115"/>
      <c r="P294" s="115"/>
      <c r="Q294" s="115"/>
      <c r="R294" s="127"/>
      <c r="S294" s="29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27"/>
      <c r="AJ294" s="29"/>
    </row>
    <row r="295" spans="1:36" ht="19.5" x14ac:dyDescent="0.4">
      <c r="A295" s="125"/>
      <c r="B295" s="125"/>
      <c r="C295" s="126"/>
      <c r="D295" s="126"/>
      <c r="E295" s="126"/>
      <c r="L295" s="115"/>
      <c r="M295" s="115"/>
      <c r="N295" s="115"/>
      <c r="O295" s="115"/>
      <c r="P295" s="115"/>
      <c r="Q295" s="115"/>
      <c r="R295" s="127"/>
      <c r="S295" s="29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27"/>
      <c r="AJ295" s="29"/>
    </row>
    <row r="296" spans="1:36" ht="19.5" x14ac:dyDescent="0.4">
      <c r="A296" s="125"/>
      <c r="B296" s="125"/>
      <c r="C296" s="126"/>
      <c r="D296" s="126"/>
      <c r="E296" s="126"/>
      <c r="L296" s="115"/>
      <c r="M296" s="115"/>
      <c r="N296" s="115"/>
      <c r="O296" s="115"/>
      <c r="P296" s="115"/>
      <c r="Q296" s="115"/>
      <c r="R296" s="127"/>
      <c r="S296" s="29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27"/>
      <c r="AJ296" s="29"/>
    </row>
    <row r="297" spans="1:36" ht="19.5" x14ac:dyDescent="0.4">
      <c r="A297" s="125"/>
      <c r="B297" s="125"/>
      <c r="C297" s="126"/>
      <c r="D297" s="126"/>
      <c r="E297" s="126"/>
      <c r="L297" s="115"/>
      <c r="M297" s="115"/>
      <c r="N297" s="115"/>
      <c r="O297" s="115"/>
      <c r="P297" s="115"/>
      <c r="Q297" s="115"/>
      <c r="R297" s="127"/>
      <c r="S297" s="29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27"/>
      <c r="AJ297" s="29"/>
    </row>
    <row r="298" spans="1:36" ht="19.5" x14ac:dyDescent="0.4">
      <c r="A298" s="125"/>
      <c r="B298" s="125"/>
      <c r="C298" s="126"/>
      <c r="D298" s="126"/>
      <c r="E298" s="126"/>
      <c r="L298" s="115"/>
      <c r="M298" s="115"/>
      <c r="N298" s="115"/>
      <c r="O298" s="115"/>
      <c r="P298" s="115"/>
      <c r="Q298" s="115"/>
      <c r="R298" s="127"/>
      <c r="S298" s="29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27"/>
      <c r="AJ298" s="29"/>
    </row>
    <row r="299" spans="1:36" ht="19.5" x14ac:dyDescent="0.4">
      <c r="A299" s="125"/>
      <c r="B299" s="125"/>
      <c r="C299" s="126"/>
      <c r="D299" s="126"/>
      <c r="E299" s="126"/>
      <c r="L299" s="115"/>
      <c r="M299" s="115"/>
      <c r="N299" s="115"/>
      <c r="O299" s="115"/>
      <c r="P299" s="115"/>
      <c r="Q299" s="115"/>
      <c r="R299" s="29"/>
      <c r="S299" s="29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27"/>
      <c r="AJ299" s="29"/>
    </row>
    <row r="300" spans="1:36" ht="19.5" x14ac:dyDescent="0.4">
      <c r="A300" s="125"/>
      <c r="B300" s="125"/>
      <c r="C300" s="126"/>
      <c r="D300" s="126"/>
      <c r="E300" s="126"/>
      <c r="L300" s="115"/>
      <c r="M300" s="115"/>
      <c r="N300" s="115"/>
      <c r="O300" s="115"/>
      <c r="P300" s="115"/>
      <c r="Q300" s="115"/>
      <c r="R300" s="127"/>
      <c r="S300" s="29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27"/>
      <c r="AJ300" s="29"/>
    </row>
    <row r="301" spans="1:36" ht="19.5" x14ac:dyDescent="0.4">
      <c r="A301" s="125"/>
      <c r="B301" s="125"/>
      <c r="C301" s="126"/>
      <c r="D301" s="126"/>
      <c r="E301" s="126"/>
      <c r="L301" s="115"/>
      <c r="M301" s="115"/>
      <c r="N301" s="115"/>
      <c r="O301" s="115"/>
      <c r="P301" s="115"/>
      <c r="Q301" s="115"/>
      <c r="R301" s="29"/>
      <c r="S301" s="29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27"/>
      <c r="AJ301" s="29"/>
    </row>
    <row r="302" spans="1:36" ht="19.5" x14ac:dyDescent="0.4">
      <c r="A302" s="125"/>
      <c r="B302" s="125"/>
      <c r="C302" s="126"/>
      <c r="D302" s="126"/>
      <c r="E302" s="126"/>
      <c r="L302" s="115"/>
      <c r="M302" s="115"/>
      <c r="N302" s="115"/>
      <c r="O302" s="115"/>
      <c r="P302" s="115"/>
      <c r="Q302" s="115"/>
      <c r="R302" s="127"/>
      <c r="S302" s="29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27"/>
      <c r="AJ302" s="29"/>
    </row>
    <row r="303" spans="1:36" ht="19.5" x14ac:dyDescent="0.4">
      <c r="A303" s="125"/>
      <c r="B303" s="125"/>
      <c r="C303" s="126"/>
      <c r="D303" s="126"/>
      <c r="E303" s="126"/>
      <c r="L303" s="115"/>
      <c r="M303" s="115"/>
      <c r="N303" s="115"/>
      <c r="O303" s="115"/>
      <c r="P303" s="115"/>
      <c r="Q303" s="115"/>
      <c r="R303" s="127"/>
      <c r="S303" s="29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27"/>
      <c r="AJ303" s="29"/>
    </row>
    <row r="304" spans="1:36" ht="19.5" x14ac:dyDescent="0.4">
      <c r="A304" s="125"/>
      <c r="B304" s="125"/>
      <c r="C304" s="126"/>
      <c r="D304" s="126"/>
      <c r="E304" s="126"/>
      <c r="L304" s="115"/>
      <c r="M304" s="115"/>
      <c r="N304" s="115"/>
      <c r="O304" s="115"/>
      <c r="P304" s="115"/>
      <c r="Q304" s="115"/>
      <c r="R304" s="127"/>
      <c r="S304" s="29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27"/>
      <c r="AJ304" s="29"/>
    </row>
    <row r="305" spans="1:36" ht="19.5" x14ac:dyDescent="0.4">
      <c r="A305" s="125"/>
      <c r="B305" s="125"/>
      <c r="C305" s="126"/>
      <c r="D305" s="126"/>
      <c r="E305" s="126"/>
      <c r="L305" s="115"/>
      <c r="M305" s="115"/>
      <c r="N305" s="115"/>
      <c r="O305" s="115"/>
      <c r="P305" s="115"/>
      <c r="Q305" s="115"/>
      <c r="R305" s="127"/>
      <c r="S305" s="29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27"/>
      <c r="AJ305" s="29"/>
    </row>
    <row r="306" spans="1:36" ht="19.5" x14ac:dyDescent="0.4">
      <c r="A306" s="125"/>
      <c r="B306" s="125"/>
      <c r="C306" s="126"/>
      <c r="D306" s="126"/>
      <c r="E306" s="126"/>
      <c r="L306" s="115"/>
      <c r="M306" s="115"/>
      <c r="N306" s="115"/>
      <c r="O306" s="115"/>
      <c r="P306" s="115"/>
      <c r="Q306" s="115"/>
      <c r="R306" s="127"/>
      <c r="S306" s="29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29"/>
      <c r="AJ306" s="29"/>
    </row>
    <row r="307" spans="1:36" ht="19.5" x14ac:dyDescent="0.4">
      <c r="A307" s="125"/>
      <c r="B307" s="125"/>
      <c r="C307" s="126"/>
      <c r="D307" s="126"/>
      <c r="E307" s="126"/>
      <c r="L307" s="115"/>
      <c r="M307" s="115"/>
      <c r="N307" s="115"/>
      <c r="O307" s="115"/>
      <c r="P307" s="115"/>
      <c r="Q307" s="115"/>
      <c r="R307" s="127"/>
      <c r="S307" s="29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27"/>
      <c r="AJ307" s="29"/>
    </row>
    <row r="308" spans="1:36" ht="19.5" x14ac:dyDescent="0.4">
      <c r="A308" s="125"/>
      <c r="B308" s="125"/>
      <c r="C308" s="126"/>
      <c r="D308" s="126"/>
      <c r="E308" s="126"/>
      <c r="L308" s="115"/>
      <c r="M308" s="115"/>
      <c r="N308" s="115"/>
      <c r="O308" s="115"/>
      <c r="P308" s="115"/>
      <c r="Q308" s="115"/>
      <c r="R308" s="29"/>
      <c r="S308" s="29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27"/>
      <c r="AJ308" s="29"/>
    </row>
    <row r="309" spans="1:36" ht="19.5" x14ac:dyDescent="0.4">
      <c r="A309" s="125"/>
      <c r="B309" s="125"/>
      <c r="C309" s="126"/>
      <c r="D309" s="126"/>
      <c r="E309" s="126"/>
      <c r="L309" s="115"/>
      <c r="M309" s="115"/>
      <c r="N309" s="115"/>
      <c r="O309" s="115"/>
      <c r="P309" s="115"/>
      <c r="Q309" s="115"/>
      <c r="R309" s="127"/>
      <c r="S309" s="29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27"/>
      <c r="AJ309" s="29"/>
    </row>
    <row r="310" spans="1:36" ht="19.5" x14ac:dyDescent="0.4">
      <c r="A310" s="125"/>
      <c r="B310" s="125"/>
      <c r="C310" s="126"/>
      <c r="D310" s="126"/>
      <c r="E310" s="126"/>
      <c r="L310" s="115"/>
      <c r="M310" s="115"/>
      <c r="N310" s="115"/>
      <c r="O310" s="115"/>
      <c r="P310" s="115"/>
      <c r="Q310" s="115"/>
      <c r="R310" s="29"/>
      <c r="S310" s="29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27"/>
      <c r="AJ310" s="29"/>
    </row>
    <row r="311" spans="1:36" ht="19.5" x14ac:dyDescent="0.4">
      <c r="A311" s="125"/>
      <c r="B311" s="125"/>
      <c r="C311" s="126"/>
      <c r="D311" s="126"/>
      <c r="E311" s="126"/>
      <c r="L311" s="115"/>
      <c r="M311" s="115"/>
      <c r="N311" s="115"/>
      <c r="O311" s="115"/>
      <c r="P311" s="115"/>
      <c r="Q311" s="115"/>
      <c r="R311" s="127"/>
      <c r="S311" s="29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29"/>
      <c r="AJ311" s="29"/>
    </row>
    <row r="312" spans="1:36" ht="19.5" x14ac:dyDescent="0.4">
      <c r="A312" s="125"/>
      <c r="B312" s="125"/>
      <c r="C312" s="126"/>
      <c r="D312" s="126"/>
      <c r="E312" s="126"/>
      <c r="L312" s="115"/>
      <c r="M312" s="115"/>
      <c r="N312" s="115"/>
      <c r="O312" s="115"/>
      <c r="P312" s="115"/>
      <c r="Q312" s="115"/>
      <c r="R312" s="29"/>
      <c r="S312" s="29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29"/>
      <c r="AJ312" s="29"/>
    </row>
    <row r="313" spans="1:36" ht="19.5" x14ac:dyDescent="0.4">
      <c r="A313" s="125"/>
      <c r="B313" s="125"/>
      <c r="C313" s="126"/>
      <c r="D313" s="126"/>
      <c r="E313" s="126"/>
      <c r="L313" s="115"/>
      <c r="M313" s="115"/>
      <c r="N313" s="115"/>
      <c r="O313" s="115"/>
      <c r="P313" s="115"/>
      <c r="Q313" s="115"/>
      <c r="R313" s="127"/>
      <c r="S313" s="29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27"/>
      <c r="AJ313" s="29"/>
    </row>
    <row r="314" spans="1:36" ht="19.5" x14ac:dyDescent="0.4">
      <c r="A314" s="125"/>
      <c r="B314" s="125"/>
      <c r="C314" s="126"/>
      <c r="D314" s="126"/>
      <c r="E314" s="126"/>
      <c r="L314" s="115"/>
      <c r="M314" s="115"/>
      <c r="N314" s="115"/>
      <c r="O314" s="115"/>
      <c r="P314" s="115"/>
      <c r="Q314" s="115"/>
      <c r="R314" s="29"/>
      <c r="S314" s="29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27"/>
      <c r="AJ314" s="29"/>
    </row>
    <row r="315" spans="1:36" ht="19.5" x14ac:dyDescent="0.4">
      <c r="A315" s="125"/>
      <c r="B315" s="125"/>
      <c r="C315" s="126"/>
      <c r="D315" s="126"/>
      <c r="E315" s="126"/>
      <c r="L315" s="115"/>
      <c r="M315" s="115"/>
      <c r="N315" s="115"/>
      <c r="O315" s="115"/>
      <c r="P315" s="115"/>
      <c r="Q315" s="115"/>
      <c r="R315" s="29"/>
      <c r="S315" s="29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27"/>
      <c r="AJ315" s="29"/>
    </row>
    <row r="316" spans="1:36" ht="19.5" x14ac:dyDescent="0.4">
      <c r="A316" s="125"/>
      <c r="B316" s="125"/>
      <c r="C316" s="126"/>
      <c r="D316" s="126"/>
      <c r="E316" s="126"/>
      <c r="L316" s="115"/>
      <c r="M316" s="115"/>
      <c r="N316" s="115"/>
      <c r="O316" s="115"/>
      <c r="P316" s="115"/>
      <c r="Q316" s="115"/>
      <c r="R316" s="127"/>
      <c r="S316" s="29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27"/>
      <c r="AJ316" s="29"/>
    </row>
    <row r="317" spans="1:36" ht="19.5" x14ac:dyDescent="0.4">
      <c r="A317" s="125"/>
      <c r="B317" s="125"/>
      <c r="C317" s="126"/>
      <c r="D317" s="126"/>
      <c r="E317" s="126"/>
      <c r="L317" s="115"/>
      <c r="M317" s="115"/>
      <c r="N317" s="115"/>
      <c r="O317" s="115"/>
      <c r="P317" s="115"/>
      <c r="Q317" s="115"/>
      <c r="R317" s="127"/>
      <c r="S317" s="29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27"/>
      <c r="AJ317" s="29"/>
    </row>
    <row r="318" spans="1:36" ht="19.5" x14ac:dyDescent="0.4">
      <c r="A318" s="125"/>
      <c r="B318" s="125"/>
      <c r="C318" s="126"/>
      <c r="D318" s="126"/>
      <c r="E318" s="126"/>
      <c r="L318" s="115"/>
      <c r="M318" s="115"/>
      <c r="N318" s="115"/>
      <c r="O318" s="115"/>
      <c r="P318" s="115"/>
      <c r="Q318" s="115"/>
      <c r="R318" s="127"/>
      <c r="S318" s="29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27"/>
      <c r="AJ318" s="29"/>
    </row>
    <row r="319" spans="1:36" ht="19.5" x14ac:dyDescent="0.4">
      <c r="A319" s="125"/>
      <c r="B319" s="125"/>
      <c r="C319" s="126"/>
      <c r="D319" s="126"/>
      <c r="E319" s="126"/>
      <c r="L319" s="115"/>
      <c r="M319" s="115"/>
      <c r="N319" s="115"/>
      <c r="O319" s="115"/>
      <c r="P319" s="115"/>
      <c r="Q319" s="115"/>
      <c r="R319" s="127"/>
      <c r="S319" s="29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27"/>
      <c r="AJ319" s="29"/>
    </row>
    <row r="320" spans="1:36" ht="19.5" x14ac:dyDescent="0.4">
      <c r="A320" s="125"/>
      <c r="B320" s="125"/>
      <c r="C320" s="126"/>
      <c r="D320" s="126"/>
      <c r="E320" s="126"/>
      <c r="L320" s="115"/>
      <c r="M320" s="115"/>
      <c r="N320" s="115"/>
      <c r="O320" s="115"/>
      <c r="P320" s="115"/>
      <c r="Q320" s="115"/>
      <c r="R320" s="128"/>
      <c r="S320" s="29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27"/>
      <c r="AJ320" s="29"/>
    </row>
    <row r="321" spans="1:36" ht="19.5" x14ac:dyDescent="0.4">
      <c r="A321" s="125"/>
      <c r="B321" s="125"/>
      <c r="C321" s="126"/>
      <c r="D321" s="126"/>
      <c r="E321" s="126"/>
      <c r="L321" s="115"/>
      <c r="M321" s="115"/>
      <c r="N321" s="115"/>
      <c r="O321" s="115"/>
      <c r="P321" s="115"/>
      <c r="Q321" s="115"/>
      <c r="R321" s="127"/>
      <c r="S321" s="29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27"/>
      <c r="AJ321" s="29"/>
    </row>
    <row r="322" spans="1:36" ht="19.5" x14ac:dyDescent="0.4">
      <c r="A322" s="125"/>
      <c r="B322" s="125"/>
      <c r="C322" s="126"/>
      <c r="D322" s="126"/>
      <c r="E322" s="126"/>
      <c r="L322" s="115"/>
      <c r="M322" s="115"/>
      <c r="N322" s="115"/>
      <c r="O322" s="115"/>
      <c r="P322" s="115"/>
      <c r="Q322" s="115"/>
      <c r="R322" s="127"/>
      <c r="S322" s="29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27"/>
      <c r="AJ322" s="29"/>
    </row>
    <row r="323" spans="1:36" ht="19.5" x14ac:dyDescent="0.4">
      <c r="A323" s="125"/>
      <c r="B323" s="125"/>
      <c r="C323" s="126"/>
      <c r="D323" s="126"/>
      <c r="E323" s="126"/>
      <c r="L323" s="115"/>
      <c r="M323" s="115"/>
      <c r="N323" s="115"/>
      <c r="O323" s="115"/>
      <c r="P323" s="115"/>
      <c r="Q323" s="115"/>
      <c r="R323" s="128"/>
      <c r="S323" s="29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27"/>
      <c r="AJ323" s="29"/>
    </row>
    <row r="324" spans="1:36" ht="19.5" x14ac:dyDescent="0.4">
      <c r="A324" s="125"/>
      <c r="B324" s="125"/>
      <c r="C324" s="126"/>
      <c r="D324" s="126"/>
      <c r="E324" s="126"/>
      <c r="L324" s="115"/>
      <c r="M324" s="115"/>
      <c r="N324" s="115"/>
      <c r="O324" s="115"/>
      <c r="P324" s="115"/>
      <c r="Q324" s="115"/>
      <c r="R324" s="127"/>
      <c r="S324" s="29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27"/>
      <c r="AJ324" s="29"/>
    </row>
    <row r="325" spans="1:36" ht="19.5" x14ac:dyDescent="0.4">
      <c r="A325" s="125"/>
      <c r="B325" s="125"/>
      <c r="C325" s="126"/>
      <c r="D325" s="126"/>
      <c r="E325" s="126"/>
      <c r="L325" s="115"/>
      <c r="M325" s="115"/>
      <c r="N325" s="115"/>
      <c r="O325" s="115"/>
      <c r="P325" s="115"/>
      <c r="Q325" s="115"/>
      <c r="R325" s="127"/>
      <c r="S325" s="29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27"/>
      <c r="AJ325" s="29"/>
    </row>
    <row r="326" spans="1:36" ht="19.5" x14ac:dyDescent="0.4">
      <c r="A326" s="125"/>
      <c r="B326" s="125"/>
      <c r="C326" s="126"/>
      <c r="D326" s="126"/>
      <c r="E326" s="126"/>
      <c r="L326" s="115"/>
      <c r="M326" s="115"/>
      <c r="N326" s="115"/>
      <c r="O326" s="115"/>
      <c r="P326" s="115"/>
      <c r="Q326" s="115"/>
      <c r="R326" s="127"/>
      <c r="S326" s="29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27"/>
      <c r="AJ326" s="29"/>
    </row>
    <row r="327" spans="1:36" ht="19.5" x14ac:dyDescent="0.4">
      <c r="A327" s="125"/>
      <c r="B327" s="125"/>
      <c r="C327" s="126"/>
      <c r="D327" s="126"/>
      <c r="E327" s="126"/>
      <c r="L327" s="115"/>
      <c r="M327" s="115"/>
      <c r="N327" s="115"/>
      <c r="O327" s="115"/>
      <c r="P327" s="115"/>
      <c r="Q327" s="115"/>
      <c r="R327" s="128"/>
      <c r="S327" s="29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27"/>
      <c r="AJ327" s="29"/>
    </row>
    <row r="328" spans="1:36" ht="19.5" x14ac:dyDescent="0.4">
      <c r="A328" s="125"/>
      <c r="B328" s="125"/>
      <c r="C328" s="126"/>
      <c r="D328" s="126"/>
      <c r="E328" s="126"/>
      <c r="L328" s="115"/>
      <c r="M328" s="115"/>
      <c r="N328" s="115"/>
      <c r="O328" s="115"/>
      <c r="P328" s="115"/>
      <c r="Q328" s="115"/>
      <c r="R328" s="127"/>
      <c r="S328" s="29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27"/>
      <c r="AJ328" s="29"/>
    </row>
    <row r="329" spans="1:36" ht="19.5" x14ac:dyDescent="0.4">
      <c r="A329" s="125"/>
      <c r="B329" s="125"/>
      <c r="C329" s="126"/>
      <c r="D329" s="126"/>
      <c r="E329" s="126"/>
      <c r="L329" s="115"/>
      <c r="M329" s="115"/>
      <c r="N329" s="115"/>
      <c r="O329" s="115"/>
      <c r="P329" s="115"/>
      <c r="Q329" s="115"/>
      <c r="R329" s="127"/>
      <c r="S329" s="29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29"/>
      <c r="AJ329" s="29"/>
    </row>
    <row r="330" spans="1:36" ht="19.5" x14ac:dyDescent="0.4">
      <c r="A330" s="125"/>
      <c r="B330" s="125"/>
      <c r="C330" s="126"/>
      <c r="D330" s="126"/>
      <c r="E330" s="126"/>
      <c r="L330" s="115"/>
      <c r="M330" s="115"/>
      <c r="N330" s="115"/>
      <c r="O330" s="115"/>
      <c r="P330" s="115"/>
      <c r="Q330" s="115"/>
      <c r="R330" s="128"/>
      <c r="S330" s="29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29"/>
      <c r="AJ330" s="29"/>
    </row>
    <row r="331" spans="1:36" ht="19.5" x14ac:dyDescent="0.4">
      <c r="A331" s="125"/>
      <c r="B331" s="125"/>
      <c r="C331" s="126"/>
      <c r="D331" s="126"/>
      <c r="E331" s="126"/>
      <c r="L331" s="115"/>
      <c r="M331" s="115"/>
      <c r="N331" s="115"/>
      <c r="O331" s="115"/>
      <c r="P331" s="115"/>
      <c r="Q331" s="115"/>
      <c r="R331" s="127"/>
      <c r="S331" s="29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27"/>
      <c r="AJ331" s="29"/>
    </row>
    <row r="332" spans="1:36" ht="19.5" x14ac:dyDescent="0.4">
      <c r="A332" s="125"/>
      <c r="B332" s="125"/>
      <c r="C332" s="126"/>
      <c r="D332" s="126"/>
      <c r="E332" s="126"/>
      <c r="R332" s="127"/>
      <c r="S332" s="29"/>
      <c r="AI332" s="127"/>
      <c r="AJ332" s="29"/>
    </row>
    <row r="333" spans="1:36" ht="19.5" x14ac:dyDescent="0.4">
      <c r="A333" s="125"/>
      <c r="B333" s="125"/>
      <c r="C333" s="126"/>
      <c r="D333" s="126"/>
      <c r="E333" s="126"/>
      <c r="L333" s="115"/>
      <c r="M333" s="115"/>
      <c r="N333" s="115"/>
      <c r="O333" s="115"/>
      <c r="P333" s="115"/>
      <c r="Q333" s="115"/>
      <c r="R333" s="127"/>
      <c r="S333" s="29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27"/>
      <c r="AJ333" s="29"/>
    </row>
    <row r="334" spans="1:36" ht="19.5" x14ac:dyDescent="0.4">
      <c r="A334" s="125"/>
      <c r="B334" s="125"/>
      <c r="C334" s="126"/>
      <c r="D334" s="126"/>
      <c r="E334" s="126"/>
      <c r="L334" s="115"/>
      <c r="M334" s="115"/>
      <c r="N334" s="115"/>
      <c r="O334" s="115"/>
      <c r="P334" s="115"/>
      <c r="Q334" s="115"/>
      <c r="R334" s="127"/>
      <c r="S334" s="29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27"/>
      <c r="AJ334" s="29"/>
    </row>
    <row r="335" spans="1:36" ht="19.5" x14ac:dyDescent="0.4">
      <c r="A335" s="125"/>
      <c r="B335" s="125"/>
      <c r="C335" s="126"/>
      <c r="D335" s="126"/>
      <c r="E335" s="126"/>
      <c r="L335" s="115"/>
      <c r="M335" s="115"/>
      <c r="N335" s="115"/>
      <c r="O335" s="115"/>
      <c r="P335" s="115"/>
      <c r="Q335" s="115"/>
      <c r="R335" s="127"/>
      <c r="S335" s="29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27"/>
      <c r="AJ335" s="29"/>
    </row>
    <row r="336" spans="1:36" ht="19.5" x14ac:dyDescent="0.4">
      <c r="A336" s="125"/>
      <c r="B336" s="125"/>
      <c r="C336" s="126"/>
      <c r="D336" s="126"/>
      <c r="E336" s="126"/>
      <c r="L336" s="115"/>
      <c r="M336" s="115"/>
      <c r="N336" s="115"/>
      <c r="O336" s="115"/>
      <c r="P336" s="115"/>
      <c r="Q336" s="115"/>
      <c r="R336" s="127"/>
      <c r="S336" s="127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27"/>
      <c r="AJ336" s="29"/>
    </row>
    <row r="337" spans="1:36" ht="19.5" x14ac:dyDescent="0.4">
      <c r="A337" s="125"/>
      <c r="B337" s="125"/>
      <c r="C337" s="126"/>
      <c r="D337" s="126"/>
      <c r="E337" s="126"/>
      <c r="L337" s="115"/>
      <c r="M337" s="115"/>
      <c r="N337" s="115"/>
      <c r="O337" s="115"/>
      <c r="P337" s="115"/>
      <c r="Q337" s="115"/>
      <c r="R337" s="127"/>
      <c r="S337" s="29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27"/>
      <c r="AJ337" s="29"/>
    </row>
    <row r="338" spans="1:36" ht="19.5" x14ac:dyDescent="0.4">
      <c r="A338" s="125"/>
      <c r="B338" s="125"/>
      <c r="C338" s="126"/>
      <c r="D338" s="126"/>
      <c r="E338" s="126"/>
      <c r="L338" s="115"/>
      <c r="M338" s="115"/>
      <c r="N338" s="115"/>
      <c r="O338" s="115"/>
      <c r="P338" s="115"/>
      <c r="Q338" s="115"/>
      <c r="R338" s="127"/>
      <c r="S338" s="29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27"/>
      <c r="AJ338" s="29"/>
    </row>
    <row r="339" spans="1:36" ht="19.5" x14ac:dyDescent="0.4">
      <c r="A339" s="125"/>
      <c r="B339" s="125"/>
      <c r="C339" s="126"/>
      <c r="D339" s="126"/>
      <c r="E339" s="126"/>
      <c r="L339" s="115"/>
      <c r="M339" s="115"/>
      <c r="N339" s="115"/>
      <c r="O339" s="115"/>
      <c r="P339" s="115"/>
      <c r="Q339" s="115"/>
      <c r="R339" s="127"/>
      <c r="S339" s="29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27"/>
      <c r="AJ339" s="29"/>
    </row>
    <row r="340" spans="1:36" ht="19.5" x14ac:dyDescent="0.4">
      <c r="A340" s="125"/>
      <c r="B340" s="125"/>
      <c r="C340" s="126"/>
      <c r="D340" s="126"/>
      <c r="E340" s="126"/>
      <c r="L340" s="115"/>
      <c r="M340" s="115"/>
      <c r="N340" s="115"/>
      <c r="O340" s="115"/>
      <c r="P340" s="115"/>
      <c r="Q340" s="115"/>
      <c r="R340" s="127"/>
      <c r="S340" s="29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27"/>
      <c r="AJ340" s="29"/>
    </row>
    <row r="341" spans="1:36" ht="19.5" x14ac:dyDescent="0.4">
      <c r="A341" s="125"/>
      <c r="B341" s="125"/>
      <c r="C341" s="126"/>
      <c r="D341" s="126"/>
      <c r="E341" s="126"/>
      <c r="L341" s="115"/>
      <c r="M341" s="115"/>
      <c r="N341" s="115"/>
      <c r="O341" s="115"/>
      <c r="P341" s="115"/>
      <c r="Q341" s="115"/>
      <c r="R341" s="128"/>
      <c r="S341" s="29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27"/>
      <c r="AJ341" s="29"/>
    </row>
    <row r="342" spans="1:36" ht="19.5" x14ac:dyDescent="0.4">
      <c r="A342" s="125"/>
      <c r="B342" s="125"/>
      <c r="C342" s="126"/>
      <c r="D342" s="126"/>
      <c r="E342" s="126"/>
      <c r="L342" s="115"/>
      <c r="M342" s="115"/>
      <c r="N342" s="115"/>
      <c r="O342" s="115"/>
      <c r="P342" s="115"/>
      <c r="Q342" s="115"/>
      <c r="R342" s="127"/>
      <c r="S342" s="29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29"/>
      <c r="AJ342" s="29"/>
    </row>
    <row r="343" spans="1:36" ht="19.5" x14ac:dyDescent="0.4">
      <c r="A343" s="125"/>
      <c r="B343" s="125"/>
      <c r="C343" s="126"/>
      <c r="D343" s="126"/>
      <c r="E343" s="126"/>
      <c r="R343" s="127"/>
      <c r="S343" s="29"/>
      <c r="AI343" s="127"/>
      <c r="AJ343" s="29"/>
    </row>
    <row r="344" spans="1:36" ht="19.5" x14ac:dyDescent="0.4">
      <c r="A344" s="125"/>
      <c r="B344" s="125"/>
      <c r="C344" s="126"/>
      <c r="D344" s="126"/>
      <c r="E344" s="126"/>
      <c r="L344" s="115"/>
      <c r="M344" s="115"/>
      <c r="N344" s="115"/>
      <c r="O344" s="115"/>
      <c r="P344" s="115"/>
      <c r="Q344" s="115"/>
      <c r="R344" s="127"/>
      <c r="S344" s="29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27"/>
      <c r="AJ344" s="29"/>
    </row>
    <row r="345" spans="1:36" ht="19.5" x14ac:dyDescent="0.4">
      <c r="A345" s="125"/>
      <c r="B345" s="125"/>
      <c r="C345" s="126"/>
      <c r="D345" s="126"/>
      <c r="E345" s="126"/>
      <c r="L345" s="115"/>
      <c r="M345" s="115"/>
      <c r="N345" s="115"/>
      <c r="O345" s="115"/>
      <c r="P345" s="115"/>
      <c r="Q345" s="115"/>
      <c r="R345" s="127"/>
      <c r="S345" s="29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27"/>
      <c r="AJ345" s="29"/>
    </row>
    <row r="346" spans="1:36" ht="19.5" x14ac:dyDescent="0.4">
      <c r="A346" s="125"/>
      <c r="B346" s="125"/>
      <c r="C346" s="126"/>
      <c r="D346" s="126"/>
      <c r="E346" s="126"/>
      <c r="L346" s="115"/>
      <c r="M346" s="115"/>
      <c r="N346" s="115"/>
      <c r="O346" s="115"/>
      <c r="P346" s="115"/>
      <c r="Q346" s="115"/>
      <c r="R346" s="127"/>
      <c r="S346" s="29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27"/>
      <c r="AJ346" s="29"/>
    </row>
    <row r="347" spans="1:36" ht="19.5" x14ac:dyDescent="0.4">
      <c r="A347" s="125"/>
      <c r="B347" s="125"/>
      <c r="C347" s="126"/>
      <c r="D347" s="126"/>
      <c r="E347" s="126"/>
      <c r="L347" s="115"/>
      <c r="M347" s="115"/>
      <c r="N347" s="115"/>
      <c r="O347" s="115"/>
      <c r="P347" s="115"/>
      <c r="Q347" s="115"/>
      <c r="R347" s="127"/>
      <c r="S347" s="29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27"/>
      <c r="AJ347" s="29"/>
    </row>
    <row r="348" spans="1:36" ht="19.5" x14ac:dyDescent="0.4">
      <c r="A348" s="125"/>
      <c r="B348" s="125"/>
      <c r="C348" s="126"/>
      <c r="D348" s="126"/>
      <c r="E348" s="126"/>
      <c r="L348" s="115"/>
      <c r="M348" s="115"/>
      <c r="N348" s="115"/>
      <c r="O348" s="115"/>
      <c r="P348" s="115"/>
      <c r="Q348" s="115"/>
      <c r="R348" s="127"/>
      <c r="S348" s="29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27"/>
      <c r="AJ348" s="29"/>
    </row>
    <row r="349" spans="1:36" ht="19.5" x14ac:dyDescent="0.4">
      <c r="A349" s="125"/>
      <c r="B349" s="125"/>
      <c r="C349" s="126"/>
      <c r="D349" s="126"/>
      <c r="E349" s="126"/>
      <c r="L349" s="115"/>
      <c r="M349" s="115"/>
      <c r="N349" s="115"/>
      <c r="O349" s="115"/>
      <c r="P349" s="115"/>
      <c r="Q349" s="115"/>
      <c r="R349" s="128"/>
      <c r="S349" s="29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27"/>
      <c r="AJ349" s="29"/>
    </row>
    <row r="350" spans="1:36" ht="19.5" x14ac:dyDescent="0.4">
      <c r="A350" s="125"/>
      <c r="B350" s="125"/>
      <c r="C350" s="126"/>
      <c r="D350" s="126"/>
      <c r="E350" s="126"/>
      <c r="L350" s="115"/>
      <c r="M350" s="115"/>
      <c r="N350" s="115"/>
      <c r="O350" s="115"/>
      <c r="P350" s="115"/>
      <c r="Q350" s="115"/>
      <c r="R350" s="127"/>
      <c r="S350" s="29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27"/>
      <c r="AJ350" s="29"/>
    </row>
    <row r="351" spans="1:36" ht="19.5" x14ac:dyDescent="0.4">
      <c r="A351" s="125"/>
      <c r="B351" s="125"/>
      <c r="C351" s="126"/>
      <c r="D351" s="126"/>
      <c r="E351" s="126"/>
      <c r="L351" s="115"/>
      <c r="M351" s="115"/>
      <c r="N351" s="115"/>
      <c r="O351" s="115"/>
      <c r="P351" s="115"/>
      <c r="Q351" s="115"/>
      <c r="R351" s="127"/>
      <c r="S351" s="29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27"/>
      <c r="AJ351" s="29"/>
    </row>
    <row r="352" spans="1:36" ht="19.5" x14ac:dyDescent="0.4">
      <c r="A352" s="125"/>
      <c r="B352" s="125"/>
      <c r="C352" s="126"/>
      <c r="D352" s="126"/>
      <c r="E352" s="126"/>
      <c r="L352" s="115"/>
      <c r="M352" s="115"/>
      <c r="N352" s="115"/>
      <c r="O352" s="115"/>
      <c r="P352" s="115"/>
      <c r="Q352" s="115"/>
      <c r="R352" s="128"/>
      <c r="S352" s="29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27"/>
      <c r="AJ352" s="29"/>
    </row>
    <row r="353" spans="1:36" ht="19.5" x14ac:dyDescent="0.4">
      <c r="A353" s="125"/>
      <c r="B353" s="125"/>
      <c r="C353" s="126"/>
      <c r="D353" s="126"/>
      <c r="E353" s="126"/>
      <c r="L353" s="115"/>
      <c r="M353" s="115"/>
      <c r="N353" s="115"/>
      <c r="O353" s="115"/>
      <c r="P353" s="115"/>
      <c r="Q353" s="115"/>
      <c r="R353" s="127"/>
      <c r="S353" s="29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27"/>
      <c r="AJ353" s="29"/>
    </row>
    <row r="354" spans="1:36" ht="19.5" x14ac:dyDescent="0.4">
      <c r="A354" s="125"/>
      <c r="B354" s="125"/>
      <c r="C354" s="126"/>
      <c r="D354" s="126"/>
      <c r="E354" s="126"/>
      <c r="L354" s="115"/>
      <c r="M354" s="115"/>
      <c r="N354" s="115"/>
      <c r="O354" s="115"/>
      <c r="P354" s="115"/>
      <c r="Q354" s="115"/>
      <c r="R354" s="127"/>
      <c r="S354" s="29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27"/>
      <c r="AJ354" s="29"/>
    </row>
    <row r="355" spans="1:36" ht="19.5" x14ac:dyDescent="0.4">
      <c r="A355" s="125"/>
      <c r="B355" s="125"/>
      <c r="C355" s="126"/>
      <c r="D355" s="126"/>
      <c r="E355" s="126"/>
      <c r="L355" s="115"/>
      <c r="M355" s="115"/>
      <c r="N355" s="115"/>
      <c r="O355" s="115"/>
      <c r="P355" s="115"/>
      <c r="Q355" s="115"/>
      <c r="R355" s="127"/>
      <c r="S355" s="29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29"/>
      <c r="AJ355" s="29"/>
    </row>
    <row r="356" spans="1:36" ht="19.5" x14ac:dyDescent="0.4">
      <c r="A356" s="125"/>
      <c r="B356" s="125"/>
      <c r="C356" s="126"/>
      <c r="D356" s="126"/>
      <c r="E356" s="126"/>
      <c r="L356" s="115"/>
      <c r="M356" s="115"/>
      <c r="N356" s="115"/>
      <c r="O356" s="115"/>
      <c r="P356" s="115"/>
      <c r="Q356" s="115"/>
      <c r="R356" s="127"/>
      <c r="S356" s="29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27"/>
      <c r="AJ356" s="29"/>
    </row>
    <row r="357" spans="1:36" ht="19.5" x14ac:dyDescent="0.4">
      <c r="A357" s="125"/>
      <c r="B357" s="125"/>
      <c r="C357" s="126"/>
      <c r="D357" s="126"/>
      <c r="E357" s="126"/>
      <c r="L357" s="115"/>
      <c r="M357" s="115"/>
      <c r="N357" s="115"/>
      <c r="O357" s="115"/>
      <c r="P357" s="115"/>
      <c r="Q357" s="115"/>
      <c r="R357" s="128"/>
      <c r="S357" s="29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27"/>
      <c r="AJ357" s="29"/>
    </row>
    <row r="358" spans="1:36" ht="19.5" x14ac:dyDescent="0.4">
      <c r="A358" s="125"/>
      <c r="B358" s="125"/>
      <c r="C358" s="126"/>
      <c r="D358" s="126"/>
      <c r="E358" s="126"/>
      <c r="L358" s="115"/>
      <c r="M358" s="115"/>
      <c r="N358" s="115"/>
      <c r="O358" s="115"/>
      <c r="P358" s="115"/>
      <c r="Q358" s="115"/>
      <c r="R358" s="127"/>
      <c r="S358" s="29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29"/>
      <c r="AJ358" s="29"/>
    </row>
    <row r="359" spans="1:36" ht="19.5" x14ac:dyDescent="0.4">
      <c r="A359" s="125"/>
      <c r="B359" s="125"/>
      <c r="C359" s="126"/>
      <c r="D359" s="126"/>
      <c r="E359" s="126"/>
      <c r="L359" s="115"/>
      <c r="M359" s="115"/>
      <c r="N359" s="115"/>
      <c r="O359" s="115"/>
      <c r="P359" s="115"/>
      <c r="Q359" s="115"/>
      <c r="R359" s="128"/>
      <c r="S359" s="29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29"/>
      <c r="AJ359" s="29"/>
    </row>
    <row r="360" spans="1:36" ht="19.5" x14ac:dyDescent="0.4">
      <c r="A360" s="125"/>
      <c r="B360" s="125"/>
      <c r="C360" s="126"/>
      <c r="D360" s="126"/>
      <c r="E360" s="126"/>
      <c r="L360" s="115"/>
      <c r="M360" s="115"/>
      <c r="N360" s="115"/>
      <c r="O360" s="115"/>
      <c r="P360" s="115"/>
      <c r="Q360" s="115"/>
      <c r="R360" s="127"/>
      <c r="S360" s="29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27"/>
      <c r="AJ360" s="29"/>
    </row>
    <row r="361" spans="1:36" ht="19.5" x14ac:dyDescent="0.4">
      <c r="A361" s="125"/>
      <c r="B361" s="125"/>
      <c r="C361" s="126"/>
      <c r="D361" s="126"/>
      <c r="E361" s="126"/>
      <c r="L361" s="115"/>
      <c r="M361" s="115"/>
      <c r="N361" s="115"/>
      <c r="O361" s="115"/>
      <c r="P361" s="115"/>
      <c r="Q361" s="115"/>
      <c r="R361" s="128"/>
      <c r="S361" s="29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27"/>
      <c r="AJ361" s="29"/>
    </row>
    <row r="362" spans="1:36" ht="19.5" x14ac:dyDescent="0.4">
      <c r="A362" s="125"/>
      <c r="B362" s="125"/>
      <c r="C362" s="126"/>
      <c r="D362" s="126"/>
      <c r="E362" s="126"/>
      <c r="L362" s="115"/>
      <c r="M362" s="115"/>
      <c r="N362" s="115"/>
      <c r="O362" s="115"/>
      <c r="P362" s="115"/>
      <c r="Q362" s="115"/>
      <c r="R362" s="127"/>
      <c r="S362" s="29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27"/>
      <c r="AJ362" s="29"/>
    </row>
    <row r="363" spans="1:36" ht="19.5" x14ac:dyDescent="0.4">
      <c r="A363" s="125"/>
      <c r="B363" s="125"/>
      <c r="C363" s="126"/>
      <c r="D363" s="126"/>
      <c r="E363" s="126"/>
      <c r="L363" s="115"/>
      <c r="M363" s="115"/>
      <c r="N363" s="115"/>
      <c r="O363" s="115"/>
      <c r="P363" s="115"/>
      <c r="Q363" s="115"/>
      <c r="R363" s="128"/>
      <c r="S363" s="29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27"/>
      <c r="AJ363" s="29"/>
    </row>
    <row r="364" spans="1:36" ht="19.5" x14ac:dyDescent="0.4">
      <c r="A364" s="125"/>
      <c r="B364" s="125"/>
      <c r="C364" s="126"/>
      <c r="D364" s="126"/>
      <c r="E364" s="126"/>
      <c r="L364" s="115"/>
      <c r="M364" s="115"/>
      <c r="N364" s="115"/>
      <c r="O364" s="115"/>
      <c r="P364" s="115"/>
      <c r="Q364" s="115"/>
      <c r="R364" s="128"/>
      <c r="S364" s="29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27"/>
      <c r="AJ364" s="29"/>
    </row>
    <row r="365" spans="1:36" ht="19.5" x14ac:dyDescent="0.4">
      <c r="A365" s="125"/>
      <c r="B365" s="125"/>
      <c r="C365" s="126"/>
      <c r="D365" s="126"/>
      <c r="E365" s="126"/>
      <c r="L365" s="115"/>
      <c r="M365" s="115"/>
      <c r="N365" s="115"/>
      <c r="O365" s="115"/>
      <c r="P365" s="115"/>
      <c r="Q365" s="115"/>
      <c r="R365" s="127"/>
      <c r="S365" s="29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27"/>
      <c r="AJ365" s="29"/>
    </row>
    <row r="366" spans="1:36" ht="19.5" x14ac:dyDescent="0.4">
      <c r="A366" s="125"/>
      <c r="B366" s="125"/>
      <c r="C366" s="126"/>
      <c r="D366" s="126"/>
      <c r="E366" s="126"/>
      <c r="L366" s="115"/>
      <c r="M366" s="115"/>
      <c r="N366" s="115"/>
      <c r="O366" s="115"/>
      <c r="P366" s="115"/>
      <c r="Q366" s="115"/>
      <c r="R366" s="127"/>
      <c r="S366" s="29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29"/>
      <c r="AJ366" s="29"/>
    </row>
    <row r="367" spans="1:36" ht="19.5" x14ac:dyDescent="0.4">
      <c r="A367" s="125"/>
      <c r="B367" s="125"/>
      <c r="C367" s="126"/>
      <c r="D367" s="126"/>
      <c r="E367" s="126"/>
      <c r="L367" s="115"/>
      <c r="M367" s="115"/>
      <c r="N367" s="115"/>
      <c r="O367" s="115"/>
      <c r="P367" s="115"/>
      <c r="Q367" s="115"/>
      <c r="R367" s="127"/>
      <c r="S367" s="29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27"/>
      <c r="AJ367" s="29"/>
    </row>
    <row r="368" spans="1:36" ht="19.5" x14ac:dyDescent="0.4">
      <c r="A368" s="125"/>
      <c r="B368" s="125"/>
      <c r="C368" s="126"/>
      <c r="D368" s="126"/>
      <c r="E368" s="126"/>
      <c r="L368" s="115"/>
      <c r="M368" s="115"/>
      <c r="N368" s="115"/>
      <c r="O368" s="115"/>
      <c r="P368" s="115"/>
      <c r="Q368" s="115"/>
      <c r="R368" s="127"/>
      <c r="S368" s="29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29"/>
      <c r="AJ368" s="29"/>
    </row>
    <row r="369" spans="1:36" ht="19.5" x14ac:dyDescent="0.4">
      <c r="A369" s="125"/>
      <c r="B369" s="125"/>
      <c r="C369" s="126"/>
      <c r="D369" s="126"/>
      <c r="E369" s="126"/>
      <c r="L369" s="115"/>
      <c r="M369" s="115"/>
      <c r="N369" s="115"/>
      <c r="O369" s="115"/>
      <c r="P369" s="115"/>
      <c r="Q369" s="115"/>
      <c r="R369" s="127"/>
      <c r="S369" s="29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27"/>
      <c r="AJ369" s="29"/>
    </row>
    <row r="370" spans="1:36" ht="19.5" x14ac:dyDescent="0.4">
      <c r="A370" s="125"/>
      <c r="B370" s="125"/>
      <c r="C370" s="126"/>
      <c r="D370" s="126"/>
      <c r="E370" s="126"/>
      <c r="L370" s="115"/>
      <c r="M370" s="115"/>
      <c r="N370" s="115"/>
      <c r="O370" s="115"/>
      <c r="P370" s="115"/>
      <c r="Q370" s="115"/>
      <c r="R370" s="127"/>
      <c r="S370" s="29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29"/>
      <c r="AJ370" s="29"/>
    </row>
    <row r="371" spans="1:36" ht="19.5" x14ac:dyDescent="0.4">
      <c r="A371" s="125"/>
      <c r="B371" s="125"/>
      <c r="C371" s="126"/>
      <c r="D371" s="126"/>
      <c r="E371" s="126"/>
      <c r="L371" s="115"/>
      <c r="M371" s="115"/>
      <c r="N371" s="115"/>
      <c r="O371" s="115"/>
      <c r="P371" s="115"/>
      <c r="Q371" s="115"/>
      <c r="R371" s="127"/>
      <c r="S371" s="29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27"/>
      <c r="AJ371" s="29"/>
    </row>
    <row r="372" spans="1:36" ht="19.5" x14ac:dyDescent="0.4">
      <c r="A372" s="125"/>
      <c r="B372" s="125"/>
      <c r="C372" s="126"/>
      <c r="D372" s="126"/>
      <c r="E372" s="126"/>
      <c r="L372" s="115"/>
      <c r="M372" s="115"/>
      <c r="N372" s="115"/>
      <c r="O372" s="115"/>
      <c r="P372" s="115"/>
      <c r="Q372" s="115"/>
      <c r="R372" s="127"/>
      <c r="S372" s="29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29"/>
      <c r="AJ372" s="29"/>
    </row>
    <row r="373" spans="1:36" ht="19.5" x14ac:dyDescent="0.4">
      <c r="A373" s="125"/>
      <c r="B373" s="125"/>
      <c r="C373" s="126"/>
      <c r="D373" s="126"/>
      <c r="E373" s="126"/>
      <c r="L373" s="115"/>
      <c r="M373" s="115"/>
      <c r="N373" s="115"/>
      <c r="O373" s="115"/>
      <c r="P373" s="115"/>
      <c r="Q373" s="115"/>
      <c r="R373" s="127"/>
      <c r="S373" s="29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27"/>
      <c r="AJ373" s="29"/>
    </row>
    <row r="374" spans="1:36" ht="19.5" x14ac:dyDescent="0.4">
      <c r="A374" s="125"/>
      <c r="B374" s="125"/>
      <c r="C374" s="126"/>
      <c r="D374" s="126"/>
      <c r="E374" s="126"/>
      <c r="L374" s="115"/>
      <c r="M374" s="115"/>
      <c r="N374" s="115"/>
      <c r="O374" s="115"/>
      <c r="P374" s="115"/>
      <c r="Q374" s="115"/>
      <c r="R374" s="127"/>
      <c r="S374" s="29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29"/>
      <c r="AJ374" s="29"/>
    </row>
    <row r="375" spans="1:36" ht="19.5" x14ac:dyDescent="0.4">
      <c r="A375" s="125"/>
      <c r="B375" s="125"/>
      <c r="C375" s="126"/>
      <c r="D375" s="126"/>
      <c r="E375" s="126"/>
      <c r="R375" s="127"/>
      <c r="S375" s="29"/>
      <c r="AI375" s="127"/>
      <c r="AJ375" s="29"/>
    </row>
    <row r="376" spans="1:36" ht="19.5" x14ac:dyDescent="0.4">
      <c r="A376" s="125"/>
      <c r="B376" s="125"/>
      <c r="C376" s="126"/>
      <c r="D376" s="126"/>
      <c r="E376" s="126"/>
      <c r="L376" s="115"/>
      <c r="M376" s="115"/>
      <c r="N376" s="115"/>
      <c r="O376" s="115"/>
      <c r="P376" s="115"/>
      <c r="Q376" s="115"/>
      <c r="R376" s="127"/>
      <c r="S376" s="29"/>
      <c r="AH376" s="115"/>
      <c r="AI376" s="29"/>
      <c r="AJ376" s="29"/>
    </row>
    <row r="377" spans="1:36" ht="19.5" x14ac:dyDescent="0.4">
      <c r="A377" s="125"/>
      <c r="B377" s="125"/>
      <c r="C377" s="126"/>
      <c r="D377" s="126"/>
      <c r="E377" s="126"/>
      <c r="L377" s="115"/>
      <c r="M377" s="115"/>
      <c r="N377" s="115"/>
      <c r="O377" s="115"/>
      <c r="P377" s="115"/>
      <c r="Q377" s="115"/>
      <c r="R377" s="127"/>
      <c r="S377" s="29"/>
      <c r="AH377" s="115"/>
      <c r="AI377" s="29"/>
      <c r="AJ377" s="29"/>
    </row>
    <row r="378" spans="1:36" ht="19.5" x14ac:dyDescent="0.4">
      <c r="A378" s="125"/>
      <c r="B378" s="125"/>
      <c r="C378" s="126"/>
      <c r="D378" s="126"/>
      <c r="E378" s="126"/>
      <c r="L378" s="115"/>
      <c r="M378" s="115"/>
      <c r="N378" s="115"/>
      <c r="O378" s="115"/>
      <c r="P378" s="115"/>
      <c r="Q378" s="115"/>
      <c r="R378" s="127"/>
      <c r="S378" s="29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27"/>
      <c r="AJ378" s="29"/>
    </row>
    <row r="379" spans="1:36" ht="19.5" x14ac:dyDescent="0.4">
      <c r="A379" s="125"/>
      <c r="B379" s="125"/>
      <c r="C379" s="126"/>
      <c r="D379" s="126"/>
      <c r="E379" s="126"/>
      <c r="R379" s="127"/>
      <c r="S379" s="29"/>
      <c r="AI379" s="127"/>
      <c r="AJ379" s="29"/>
    </row>
    <row r="380" spans="1:36" ht="19.5" x14ac:dyDescent="0.4">
      <c r="A380" s="125"/>
      <c r="B380" s="125"/>
      <c r="C380" s="126"/>
      <c r="D380" s="126"/>
      <c r="E380" s="126"/>
      <c r="M380" s="115"/>
      <c r="N380" s="115"/>
      <c r="O380" s="115"/>
      <c r="P380" s="115"/>
      <c r="Q380" s="115"/>
      <c r="R380" s="29"/>
      <c r="S380" s="29"/>
      <c r="AI380" s="127"/>
      <c r="AJ380" s="29"/>
    </row>
    <row r="381" spans="1:36" ht="19.5" x14ac:dyDescent="0.4">
      <c r="A381" s="125"/>
      <c r="B381" s="125"/>
      <c r="C381" s="126"/>
      <c r="D381" s="126"/>
      <c r="E381" s="126"/>
      <c r="L381" s="115"/>
      <c r="M381" s="115"/>
      <c r="N381" s="115"/>
      <c r="O381" s="115"/>
      <c r="P381" s="115"/>
      <c r="Q381" s="115"/>
      <c r="R381" s="127"/>
      <c r="S381" s="29"/>
      <c r="AD381" s="115"/>
      <c r="AE381" s="115"/>
      <c r="AF381" s="115"/>
      <c r="AG381" s="115"/>
      <c r="AH381" s="115"/>
      <c r="AI381" s="127"/>
      <c r="AJ381" s="29"/>
    </row>
    <row r="382" spans="1:36" ht="19.5" x14ac:dyDescent="0.4">
      <c r="A382" s="125"/>
      <c r="B382" s="125"/>
      <c r="C382" s="126"/>
      <c r="D382" s="126"/>
      <c r="E382" s="126"/>
      <c r="L382" s="115"/>
      <c r="M382" s="115"/>
      <c r="N382" s="115"/>
      <c r="O382" s="115"/>
      <c r="P382" s="115"/>
      <c r="Q382" s="115"/>
      <c r="R382" s="29"/>
      <c r="S382" s="29"/>
      <c r="AD382" s="115"/>
      <c r="AE382" s="115"/>
      <c r="AF382" s="115"/>
      <c r="AG382" s="115"/>
      <c r="AH382" s="115"/>
      <c r="AI382" s="127"/>
      <c r="AJ382" s="29"/>
    </row>
    <row r="383" spans="1:36" ht="19.5" x14ac:dyDescent="0.4">
      <c r="A383" s="125"/>
      <c r="B383" s="125"/>
      <c r="C383" s="126"/>
      <c r="D383" s="126"/>
      <c r="E383" s="126"/>
      <c r="L383" s="115"/>
      <c r="M383" s="115"/>
      <c r="N383" s="115"/>
      <c r="O383" s="115"/>
      <c r="P383" s="115"/>
      <c r="Q383" s="115"/>
      <c r="R383" s="127"/>
      <c r="S383" s="29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27"/>
      <c r="AJ383" s="29"/>
    </row>
    <row r="384" spans="1:36" ht="19.5" x14ac:dyDescent="0.4">
      <c r="A384" s="125"/>
      <c r="B384" s="125"/>
      <c r="C384" s="126"/>
      <c r="D384" s="126"/>
      <c r="E384" s="126"/>
      <c r="L384" s="115"/>
      <c r="M384" s="115"/>
      <c r="N384" s="115"/>
      <c r="O384" s="115"/>
      <c r="P384" s="115"/>
      <c r="Q384" s="115"/>
      <c r="R384" s="127"/>
      <c r="S384" s="29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27"/>
      <c r="AJ384" s="29"/>
    </row>
    <row r="385" spans="1:36" ht="19.5" x14ac:dyDescent="0.4">
      <c r="A385" s="125"/>
      <c r="B385" s="125"/>
      <c r="C385" s="126"/>
      <c r="D385" s="126"/>
      <c r="E385" s="126"/>
      <c r="L385" s="115"/>
      <c r="M385" s="115"/>
      <c r="N385" s="115"/>
      <c r="O385" s="115"/>
      <c r="P385" s="115"/>
      <c r="Q385" s="115"/>
      <c r="R385" s="29"/>
      <c r="S385" s="29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27"/>
      <c r="AJ385" s="29"/>
    </row>
    <row r="386" spans="1:36" ht="19.5" x14ac:dyDescent="0.4">
      <c r="A386" s="125"/>
      <c r="B386" s="125"/>
      <c r="C386" s="126"/>
      <c r="D386" s="126"/>
      <c r="E386" s="126"/>
      <c r="L386" s="115"/>
      <c r="M386" s="115"/>
      <c r="N386" s="115"/>
      <c r="O386" s="115"/>
      <c r="P386" s="115"/>
      <c r="Q386" s="115"/>
      <c r="R386" s="127"/>
      <c r="S386" s="29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29"/>
      <c r="AJ386" s="29"/>
    </row>
    <row r="387" spans="1:36" ht="19.5" x14ac:dyDescent="0.4">
      <c r="A387" s="125"/>
      <c r="B387" s="125"/>
      <c r="C387" s="126"/>
      <c r="D387" s="126"/>
      <c r="E387" s="126"/>
      <c r="L387" s="115"/>
      <c r="M387" s="115"/>
      <c r="N387" s="115"/>
      <c r="O387" s="115"/>
      <c r="P387" s="115"/>
      <c r="Q387" s="115"/>
      <c r="R387" s="127"/>
      <c r="S387" s="29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27"/>
      <c r="AJ387" s="29"/>
    </row>
    <row r="388" spans="1:36" ht="19.5" x14ac:dyDescent="0.4">
      <c r="A388" s="125"/>
      <c r="B388" s="125"/>
      <c r="C388" s="126"/>
      <c r="D388" s="126"/>
      <c r="E388" s="126"/>
      <c r="L388" s="115"/>
      <c r="M388" s="115"/>
      <c r="N388" s="115"/>
      <c r="O388" s="115"/>
      <c r="P388" s="115"/>
      <c r="Q388" s="115"/>
      <c r="R388" s="29"/>
      <c r="S388" s="29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27"/>
      <c r="AJ388" s="29"/>
    </row>
    <row r="389" spans="1:36" ht="19.5" x14ac:dyDescent="0.4">
      <c r="A389" s="125"/>
      <c r="B389" s="125"/>
      <c r="C389" s="126"/>
      <c r="D389" s="126"/>
      <c r="E389" s="126"/>
      <c r="L389" s="115"/>
      <c r="M389" s="115"/>
      <c r="N389" s="115"/>
      <c r="O389" s="115"/>
      <c r="P389" s="115"/>
      <c r="Q389" s="115"/>
      <c r="R389" s="29"/>
      <c r="S389" s="29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27"/>
      <c r="AJ389" s="29"/>
    </row>
    <row r="390" spans="1:36" ht="19.5" x14ac:dyDescent="0.4">
      <c r="A390" s="125"/>
      <c r="B390" s="125"/>
      <c r="C390" s="126"/>
      <c r="D390" s="126"/>
      <c r="E390" s="126"/>
      <c r="L390" s="115"/>
      <c r="M390" s="115"/>
      <c r="N390" s="115"/>
      <c r="O390" s="115"/>
      <c r="P390" s="115"/>
      <c r="Q390" s="115"/>
      <c r="R390" s="29"/>
      <c r="S390" s="29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29"/>
      <c r="AJ390" s="29"/>
    </row>
    <row r="391" spans="1:36" ht="19.5" x14ac:dyDescent="0.4">
      <c r="A391" s="125"/>
      <c r="B391" s="125"/>
      <c r="C391" s="126"/>
      <c r="D391" s="126"/>
      <c r="E391" s="126"/>
      <c r="L391" s="115"/>
      <c r="M391" s="115"/>
      <c r="N391" s="115"/>
      <c r="O391" s="115"/>
      <c r="P391" s="115"/>
      <c r="Q391" s="115"/>
      <c r="R391" s="127"/>
      <c r="S391" s="29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27"/>
      <c r="AJ391" s="29"/>
    </row>
    <row r="392" spans="1:36" ht="19.5" x14ac:dyDescent="0.4">
      <c r="A392" s="125"/>
      <c r="B392" s="125"/>
      <c r="C392" s="126"/>
      <c r="D392" s="126"/>
      <c r="E392" s="126"/>
      <c r="L392" s="115"/>
      <c r="M392" s="115"/>
      <c r="N392" s="115"/>
      <c r="O392" s="115"/>
      <c r="P392" s="115"/>
      <c r="Q392" s="115"/>
      <c r="R392" s="127"/>
      <c r="S392" s="29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27"/>
      <c r="AJ392" s="29"/>
    </row>
    <row r="393" spans="1:36" ht="19.5" x14ac:dyDescent="0.4">
      <c r="A393" s="125"/>
      <c r="B393" s="125"/>
      <c r="C393" s="126"/>
      <c r="D393" s="126"/>
      <c r="E393" s="126"/>
      <c r="L393" s="115"/>
      <c r="M393" s="115"/>
      <c r="N393" s="115"/>
      <c r="O393" s="115"/>
      <c r="P393" s="115"/>
      <c r="Q393" s="115"/>
      <c r="R393" s="127"/>
      <c r="S393" s="127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27"/>
      <c r="AJ393" s="127"/>
    </row>
    <row r="394" spans="1:36" ht="19.5" x14ac:dyDescent="0.4">
      <c r="A394" s="125"/>
      <c r="B394" s="125"/>
      <c r="C394" s="126"/>
      <c r="D394" s="126"/>
      <c r="E394" s="126"/>
      <c r="L394" s="115"/>
      <c r="M394" s="115"/>
      <c r="N394" s="115"/>
      <c r="O394" s="115"/>
      <c r="P394" s="115"/>
      <c r="Q394" s="115"/>
      <c r="R394" s="127"/>
      <c r="S394" s="29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27"/>
      <c r="AJ394" s="29"/>
    </row>
    <row r="395" spans="1:36" ht="19.5" x14ac:dyDescent="0.4">
      <c r="A395" s="125"/>
      <c r="B395" s="125"/>
      <c r="C395" s="126"/>
      <c r="D395" s="126"/>
      <c r="E395" s="126"/>
      <c r="R395" s="127"/>
      <c r="S395" s="29"/>
      <c r="AI395" s="127"/>
      <c r="AJ395" s="29"/>
    </row>
    <row r="396" spans="1:36" ht="19.5" x14ac:dyDescent="0.4">
      <c r="A396" s="125"/>
      <c r="B396" s="125"/>
      <c r="C396" s="126"/>
      <c r="D396" s="126"/>
      <c r="E396" s="126"/>
      <c r="L396" s="115"/>
      <c r="M396" s="115"/>
      <c r="N396" s="115"/>
      <c r="O396" s="115"/>
      <c r="P396" s="115"/>
      <c r="Q396" s="115"/>
      <c r="R396" s="127"/>
      <c r="S396" s="29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27"/>
      <c r="AJ396" s="29"/>
    </row>
    <row r="397" spans="1:36" ht="19.5" x14ac:dyDescent="0.4">
      <c r="A397" s="125"/>
      <c r="B397" s="125"/>
      <c r="C397" s="126"/>
      <c r="D397" s="126"/>
      <c r="E397" s="126"/>
      <c r="L397" s="115"/>
      <c r="M397" s="115"/>
      <c r="N397" s="115"/>
      <c r="O397" s="115"/>
      <c r="P397" s="115"/>
      <c r="Q397" s="115"/>
      <c r="R397" s="127"/>
      <c r="S397" s="29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27"/>
      <c r="AJ397" s="29"/>
    </row>
    <row r="398" spans="1:36" ht="19.5" x14ac:dyDescent="0.4">
      <c r="A398" s="125"/>
      <c r="B398" s="125"/>
      <c r="C398" s="126"/>
      <c r="D398" s="126"/>
      <c r="E398" s="126"/>
      <c r="L398" s="115"/>
      <c r="M398" s="115"/>
      <c r="N398" s="115"/>
      <c r="O398" s="115"/>
      <c r="P398" s="115"/>
      <c r="Q398" s="115"/>
      <c r="R398" s="127"/>
      <c r="S398" s="29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27"/>
      <c r="AJ398" s="29"/>
    </row>
    <row r="399" spans="1:36" ht="19.5" x14ac:dyDescent="0.4">
      <c r="A399" s="125"/>
      <c r="B399" s="125"/>
      <c r="C399" s="126"/>
      <c r="D399" s="126"/>
      <c r="E399" s="126"/>
      <c r="L399" s="115"/>
      <c r="M399" s="115"/>
      <c r="N399" s="115"/>
      <c r="O399" s="115"/>
      <c r="P399" s="115"/>
      <c r="Q399" s="115"/>
      <c r="R399" s="127"/>
      <c r="S399" s="29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27"/>
      <c r="AJ399" s="29"/>
    </row>
    <row r="400" spans="1:36" ht="19.5" x14ac:dyDescent="0.4">
      <c r="A400" s="125"/>
      <c r="B400" s="125"/>
      <c r="C400" s="126"/>
      <c r="D400" s="126"/>
      <c r="E400" s="126"/>
      <c r="L400" s="115"/>
      <c r="M400" s="115"/>
      <c r="N400" s="115"/>
      <c r="O400" s="115"/>
      <c r="P400" s="115"/>
      <c r="Q400" s="115"/>
      <c r="R400" s="127"/>
      <c r="S400" s="29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27"/>
      <c r="AJ400" s="29"/>
    </row>
    <row r="401" spans="1:36" ht="19.5" x14ac:dyDescent="0.4">
      <c r="A401" s="125"/>
      <c r="B401" s="125"/>
      <c r="C401" s="126"/>
      <c r="D401" s="126"/>
      <c r="E401" s="126"/>
      <c r="L401" s="115"/>
      <c r="M401" s="115"/>
      <c r="N401" s="115"/>
      <c r="O401" s="115"/>
      <c r="P401" s="115"/>
      <c r="Q401" s="115"/>
      <c r="R401" s="127"/>
      <c r="S401" s="29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27"/>
      <c r="AJ401" s="29"/>
    </row>
    <row r="402" spans="1:36" ht="19.5" x14ac:dyDescent="0.4">
      <c r="A402" s="125"/>
      <c r="B402" s="125"/>
      <c r="C402" s="126"/>
      <c r="D402" s="126"/>
      <c r="E402" s="126"/>
      <c r="L402" s="115"/>
      <c r="M402" s="115"/>
      <c r="N402" s="115"/>
      <c r="O402" s="115"/>
      <c r="P402" s="115"/>
      <c r="Q402" s="115"/>
      <c r="R402" s="127"/>
      <c r="S402" s="29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27"/>
      <c r="AJ402" s="29"/>
    </row>
    <row r="403" spans="1:36" ht="19.5" x14ac:dyDescent="0.4">
      <c r="A403" s="125"/>
      <c r="B403" s="125"/>
      <c r="C403" s="126"/>
      <c r="D403" s="126"/>
      <c r="E403" s="126"/>
      <c r="L403" s="115"/>
      <c r="M403" s="115"/>
      <c r="N403" s="115"/>
      <c r="O403" s="115"/>
      <c r="P403" s="115"/>
      <c r="Q403" s="115"/>
      <c r="R403" s="127"/>
      <c r="S403" s="29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27"/>
      <c r="AJ403" s="29"/>
    </row>
    <row r="404" spans="1:36" ht="19.5" x14ac:dyDescent="0.4">
      <c r="A404" s="125"/>
      <c r="B404" s="125"/>
      <c r="C404" s="126"/>
      <c r="D404" s="126"/>
      <c r="E404" s="126"/>
      <c r="L404" s="115"/>
      <c r="M404" s="115"/>
      <c r="N404" s="115"/>
      <c r="O404" s="115"/>
      <c r="P404" s="115"/>
      <c r="Q404" s="115"/>
      <c r="R404" s="127"/>
      <c r="S404" s="29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27"/>
      <c r="AJ404" s="29"/>
    </row>
    <row r="405" spans="1:36" ht="19.5" x14ac:dyDescent="0.4">
      <c r="A405" s="125"/>
      <c r="B405" s="125"/>
      <c r="C405" s="126"/>
      <c r="D405" s="126"/>
      <c r="E405" s="126"/>
      <c r="L405" s="115"/>
      <c r="M405" s="115"/>
      <c r="N405" s="115"/>
      <c r="O405" s="115"/>
      <c r="P405" s="115"/>
      <c r="Q405" s="115"/>
      <c r="R405" s="127"/>
      <c r="S405" s="29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27"/>
      <c r="AJ405" s="29"/>
    </row>
    <row r="406" spans="1:36" ht="19.5" x14ac:dyDescent="0.4">
      <c r="A406" s="125"/>
      <c r="B406" s="125"/>
      <c r="C406" s="126"/>
      <c r="D406" s="126"/>
      <c r="E406" s="126"/>
      <c r="R406" s="127"/>
      <c r="S406" s="29"/>
      <c r="AI406" s="127"/>
      <c r="AJ406" s="29"/>
    </row>
    <row r="407" spans="1:36" ht="19.5" x14ac:dyDescent="0.4">
      <c r="A407" s="125"/>
      <c r="B407" s="125"/>
      <c r="C407" s="126"/>
      <c r="D407" s="126"/>
      <c r="E407" s="126"/>
      <c r="L407" s="115"/>
      <c r="M407" s="115"/>
      <c r="N407" s="115"/>
      <c r="O407" s="115"/>
      <c r="P407" s="115"/>
      <c r="Q407" s="115"/>
      <c r="R407" s="29"/>
      <c r="S407" s="29"/>
      <c r="AG407" s="115"/>
      <c r="AH407" s="115"/>
      <c r="AI407" s="29"/>
      <c r="AJ407" s="29"/>
    </row>
    <row r="408" spans="1:36" ht="19.5" x14ac:dyDescent="0.4">
      <c r="A408" s="125"/>
      <c r="B408" s="125"/>
      <c r="C408" s="126"/>
      <c r="D408" s="126"/>
      <c r="E408" s="126"/>
      <c r="L408" s="115"/>
      <c r="M408" s="115"/>
      <c r="N408" s="115"/>
      <c r="O408" s="115"/>
      <c r="P408" s="115"/>
      <c r="Q408" s="115"/>
      <c r="R408" s="127"/>
      <c r="S408" s="29"/>
      <c r="AE408" s="115"/>
      <c r="AF408" s="115"/>
      <c r="AG408" s="115"/>
      <c r="AH408" s="115"/>
      <c r="AI408" s="127"/>
      <c r="AJ408" s="29"/>
    </row>
    <row r="409" spans="1:36" ht="19.5" x14ac:dyDescent="0.4">
      <c r="A409" s="125"/>
      <c r="B409" s="125"/>
      <c r="C409" s="126"/>
      <c r="D409" s="126"/>
      <c r="E409" s="126"/>
      <c r="L409" s="115"/>
      <c r="M409" s="115"/>
      <c r="N409" s="115"/>
      <c r="O409" s="115"/>
      <c r="P409" s="115"/>
      <c r="Q409" s="115"/>
      <c r="R409" s="127"/>
      <c r="S409" s="29"/>
      <c r="AE409" s="115"/>
      <c r="AF409" s="115"/>
      <c r="AG409" s="115"/>
      <c r="AH409" s="115"/>
      <c r="AI409" s="127"/>
      <c r="AJ409" s="29"/>
    </row>
    <row r="410" spans="1:36" ht="19.5" x14ac:dyDescent="0.4">
      <c r="A410" s="125"/>
      <c r="B410" s="125"/>
      <c r="C410" s="126"/>
      <c r="D410" s="126"/>
      <c r="E410" s="126"/>
      <c r="L410" s="115"/>
      <c r="M410" s="115"/>
      <c r="N410" s="115"/>
      <c r="O410" s="115"/>
      <c r="P410" s="115"/>
      <c r="Q410" s="115"/>
      <c r="R410" s="127"/>
      <c r="S410" s="29"/>
      <c r="AD410" s="115"/>
      <c r="AE410" s="115"/>
      <c r="AF410" s="115"/>
      <c r="AG410" s="115"/>
      <c r="AH410" s="115"/>
      <c r="AI410" s="127"/>
      <c r="AJ410" s="29"/>
    </row>
    <row r="411" spans="1:36" ht="19.5" x14ac:dyDescent="0.4">
      <c r="A411" s="125"/>
      <c r="B411" s="125"/>
      <c r="C411" s="126"/>
      <c r="D411" s="126"/>
      <c r="E411" s="126"/>
      <c r="R411" s="127"/>
      <c r="S411" s="29"/>
      <c r="AI411" s="127"/>
      <c r="AJ411" s="29"/>
    </row>
    <row r="412" spans="1:36" ht="19.5" x14ac:dyDescent="0.4">
      <c r="A412" s="125"/>
      <c r="B412" s="125"/>
      <c r="C412" s="126"/>
      <c r="D412" s="126"/>
      <c r="E412" s="126"/>
      <c r="L412" s="115"/>
      <c r="M412" s="115"/>
      <c r="N412" s="115"/>
      <c r="O412" s="115"/>
      <c r="P412" s="115"/>
      <c r="Q412" s="115"/>
      <c r="R412" s="127"/>
      <c r="S412" s="29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27"/>
      <c r="AJ412" s="29"/>
    </row>
    <row r="413" spans="1:36" ht="19.5" x14ac:dyDescent="0.4">
      <c r="A413" s="125"/>
      <c r="B413" s="125"/>
      <c r="C413" s="126"/>
      <c r="D413" s="126"/>
      <c r="E413" s="126"/>
      <c r="L413" s="115"/>
      <c r="M413" s="115"/>
      <c r="N413" s="115"/>
      <c r="O413" s="115"/>
      <c r="P413" s="115"/>
      <c r="Q413" s="115"/>
      <c r="R413" s="29"/>
      <c r="S413" s="29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29"/>
      <c r="AJ413" s="29"/>
    </row>
    <row r="414" spans="1:36" ht="19.5" x14ac:dyDescent="0.4">
      <c r="A414" s="125"/>
      <c r="B414" s="125"/>
      <c r="C414" s="126"/>
      <c r="D414" s="126"/>
      <c r="E414" s="126"/>
      <c r="L414" s="115"/>
      <c r="M414" s="115"/>
      <c r="N414" s="115"/>
      <c r="O414" s="115"/>
      <c r="P414" s="115"/>
      <c r="Q414" s="115"/>
      <c r="R414" s="127"/>
      <c r="S414" s="29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27"/>
      <c r="AJ414" s="29"/>
    </row>
    <row r="415" spans="1:36" ht="19.5" x14ac:dyDescent="0.4">
      <c r="A415" s="125"/>
      <c r="B415" s="125"/>
      <c r="C415" s="126"/>
      <c r="D415" s="126"/>
      <c r="E415" s="126"/>
      <c r="L415" s="115"/>
      <c r="M415" s="115"/>
      <c r="N415" s="115"/>
      <c r="O415" s="115"/>
      <c r="P415" s="115"/>
      <c r="Q415" s="115"/>
      <c r="R415" s="127"/>
      <c r="S415" s="29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27"/>
      <c r="AJ415" s="29"/>
    </row>
    <row r="416" spans="1:36" ht="19.5" x14ac:dyDescent="0.4">
      <c r="A416" s="125"/>
      <c r="B416" s="125"/>
      <c r="C416" s="126"/>
      <c r="D416" s="126"/>
      <c r="E416" s="126"/>
      <c r="L416" s="115"/>
      <c r="M416" s="115"/>
      <c r="N416" s="115"/>
      <c r="O416" s="115"/>
      <c r="P416" s="115"/>
      <c r="Q416" s="115"/>
      <c r="R416" s="127"/>
      <c r="S416" s="29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27"/>
      <c r="AJ416" s="29"/>
    </row>
    <row r="417" spans="1:36" ht="19.5" x14ac:dyDescent="0.4">
      <c r="A417" s="125"/>
      <c r="B417" s="125"/>
      <c r="C417" s="126"/>
      <c r="D417" s="126"/>
      <c r="E417" s="126"/>
      <c r="L417" s="115"/>
      <c r="M417" s="115"/>
      <c r="N417" s="115"/>
      <c r="O417" s="115"/>
      <c r="P417" s="115"/>
      <c r="Q417" s="115"/>
      <c r="R417" s="127"/>
      <c r="S417" s="29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27"/>
      <c r="AJ417" s="29"/>
    </row>
    <row r="418" spans="1:36" ht="19.5" x14ac:dyDescent="0.4">
      <c r="A418" s="125"/>
      <c r="B418" s="125"/>
      <c r="C418" s="126"/>
      <c r="D418" s="126"/>
      <c r="E418" s="126"/>
      <c r="L418" s="115"/>
      <c r="M418" s="115"/>
      <c r="N418" s="115"/>
      <c r="O418" s="115"/>
      <c r="P418" s="115"/>
      <c r="Q418" s="115"/>
      <c r="R418" s="29"/>
      <c r="S418" s="29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29"/>
      <c r="AJ418" s="29"/>
    </row>
    <row r="419" spans="1:36" ht="19.5" x14ac:dyDescent="0.4">
      <c r="A419" s="125"/>
      <c r="B419" s="125"/>
      <c r="C419" s="126"/>
      <c r="D419" s="126"/>
      <c r="E419" s="126"/>
      <c r="L419" s="115"/>
      <c r="M419" s="115"/>
      <c r="N419" s="115"/>
      <c r="O419" s="115"/>
      <c r="P419" s="115"/>
      <c r="Q419" s="115"/>
      <c r="R419" s="127"/>
      <c r="S419" s="29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27"/>
      <c r="AJ419" s="29"/>
    </row>
    <row r="420" spans="1:36" ht="19.5" x14ac:dyDescent="0.4">
      <c r="A420" s="125"/>
      <c r="B420" s="125"/>
      <c r="C420" s="126"/>
      <c r="D420" s="126"/>
      <c r="E420" s="126"/>
      <c r="L420" s="115"/>
      <c r="M420" s="115"/>
      <c r="N420" s="115"/>
      <c r="O420" s="115"/>
      <c r="P420" s="115"/>
      <c r="Q420" s="115"/>
      <c r="R420" s="127"/>
      <c r="S420" s="29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27"/>
      <c r="AJ420" s="29"/>
    </row>
    <row r="421" spans="1:36" ht="19.5" x14ac:dyDescent="0.4">
      <c r="A421" s="125"/>
      <c r="B421" s="125"/>
      <c r="C421" s="126"/>
      <c r="D421" s="126"/>
      <c r="E421" s="126"/>
      <c r="L421" s="115"/>
      <c r="M421" s="115"/>
      <c r="N421" s="115"/>
      <c r="O421" s="115"/>
      <c r="P421" s="115"/>
      <c r="Q421" s="115"/>
      <c r="R421" s="29"/>
      <c r="S421" s="29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29"/>
      <c r="AJ421" s="29"/>
    </row>
    <row r="422" spans="1:36" ht="19.5" x14ac:dyDescent="0.4">
      <c r="A422" s="125"/>
      <c r="B422" s="125"/>
      <c r="C422" s="126"/>
      <c r="D422" s="126"/>
      <c r="E422" s="126"/>
      <c r="L422" s="115"/>
      <c r="M422" s="115"/>
      <c r="N422" s="115"/>
      <c r="O422" s="115"/>
      <c r="P422" s="115"/>
      <c r="Q422" s="115"/>
      <c r="R422" s="127"/>
      <c r="S422" s="2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27"/>
      <c r="AJ422" s="29"/>
    </row>
    <row r="423" spans="1:36" ht="19.5" x14ac:dyDescent="0.4">
      <c r="A423" s="125"/>
      <c r="B423" s="125"/>
      <c r="C423" s="126"/>
      <c r="D423" s="126"/>
      <c r="E423" s="126"/>
      <c r="L423" s="115"/>
      <c r="M423" s="115"/>
      <c r="N423" s="115"/>
      <c r="O423" s="115"/>
      <c r="P423" s="115"/>
      <c r="Q423" s="115"/>
      <c r="R423" s="29"/>
      <c r="S423" s="2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29"/>
      <c r="AJ423" s="29"/>
    </row>
    <row r="424" spans="1:36" ht="19.5" x14ac:dyDescent="0.4">
      <c r="A424" s="125"/>
      <c r="B424" s="125"/>
      <c r="C424" s="126"/>
      <c r="D424" s="126"/>
      <c r="E424" s="126"/>
      <c r="R424" s="127"/>
      <c r="S424" s="29"/>
      <c r="AI424" s="127"/>
      <c r="AJ424" s="29"/>
    </row>
    <row r="425" spans="1:36" ht="19.5" x14ac:dyDescent="0.4">
      <c r="A425" s="125"/>
      <c r="B425" s="125"/>
      <c r="C425" s="126"/>
      <c r="D425" s="126"/>
      <c r="E425" s="126"/>
      <c r="L425" s="115"/>
      <c r="M425" s="115"/>
      <c r="N425" s="115"/>
      <c r="O425" s="115"/>
      <c r="P425" s="115"/>
      <c r="Q425" s="115"/>
      <c r="R425" s="29"/>
      <c r="S425" s="29"/>
      <c r="AG425" s="115"/>
      <c r="AH425" s="115"/>
      <c r="AI425" s="29"/>
      <c r="AJ425" s="29"/>
    </row>
    <row r="426" spans="1:36" ht="19.5" x14ac:dyDescent="0.4">
      <c r="A426" s="125"/>
      <c r="B426" s="125"/>
      <c r="C426" s="126"/>
      <c r="D426" s="126"/>
      <c r="E426" s="126"/>
      <c r="L426" s="115"/>
      <c r="M426" s="115"/>
      <c r="N426" s="115"/>
      <c r="O426" s="115"/>
      <c r="P426" s="115"/>
      <c r="Q426" s="115"/>
      <c r="R426" s="29"/>
      <c r="S426" s="29"/>
      <c r="AG426" s="115"/>
      <c r="AH426" s="115"/>
      <c r="AI426" s="29"/>
      <c r="AJ426" s="29"/>
    </row>
    <row r="427" spans="1:36" ht="19.5" x14ac:dyDescent="0.4">
      <c r="A427" s="125"/>
      <c r="B427" s="125"/>
      <c r="C427" s="126"/>
      <c r="D427" s="126"/>
      <c r="E427" s="126"/>
      <c r="L427" s="115"/>
      <c r="M427" s="115"/>
      <c r="N427" s="115"/>
      <c r="O427" s="115"/>
      <c r="P427" s="115"/>
      <c r="Q427" s="115"/>
      <c r="R427" s="29"/>
      <c r="S427" s="29"/>
      <c r="AF427" s="115"/>
      <c r="AG427" s="115"/>
      <c r="AH427" s="115"/>
      <c r="AI427" s="29"/>
      <c r="AJ427" s="29"/>
    </row>
    <row r="428" spans="1:36" ht="19.5" x14ac:dyDescent="0.4">
      <c r="A428" s="125"/>
      <c r="B428" s="125"/>
      <c r="C428" s="126"/>
      <c r="D428" s="126"/>
      <c r="E428" s="126"/>
      <c r="L428" s="115"/>
      <c r="M428" s="115"/>
      <c r="N428" s="115"/>
      <c r="O428" s="115"/>
      <c r="P428" s="115"/>
      <c r="Q428" s="115"/>
      <c r="R428" s="127"/>
      <c r="S428" s="29"/>
      <c r="AC428" s="115"/>
      <c r="AD428" s="115"/>
      <c r="AE428" s="115"/>
      <c r="AF428" s="115"/>
      <c r="AG428" s="115"/>
      <c r="AH428" s="115"/>
      <c r="AI428" s="127"/>
      <c r="AJ428" s="29"/>
    </row>
    <row r="429" spans="1:36" ht="19.5" x14ac:dyDescent="0.4">
      <c r="A429" s="125"/>
      <c r="B429" s="125"/>
      <c r="C429" s="126"/>
      <c r="D429" s="126"/>
      <c r="E429" s="126"/>
      <c r="L429" s="115"/>
      <c r="M429" s="115"/>
      <c r="N429" s="115"/>
      <c r="O429" s="115"/>
      <c r="P429" s="115"/>
      <c r="Q429" s="115"/>
      <c r="R429" s="127"/>
      <c r="S429" s="29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27"/>
      <c r="AJ429" s="29"/>
    </row>
    <row r="430" spans="1:36" ht="19.5" x14ac:dyDescent="0.4">
      <c r="A430" s="125"/>
      <c r="B430" s="125"/>
      <c r="C430" s="126"/>
      <c r="D430" s="126"/>
      <c r="E430" s="126"/>
      <c r="R430" s="127"/>
      <c r="S430" s="29"/>
      <c r="AI430" s="127"/>
      <c r="AJ430" s="29"/>
    </row>
    <row r="431" spans="1:36" ht="19.5" x14ac:dyDescent="0.4">
      <c r="A431" s="125"/>
      <c r="B431" s="125"/>
      <c r="C431" s="126"/>
      <c r="D431" s="126"/>
      <c r="E431" s="126"/>
      <c r="L431" s="115"/>
      <c r="M431" s="115"/>
      <c r="N431" s="115"/>
      <c r="O431" s="115"/>
      <c r="P431" s="115"/>
      <c r="Q431" s="115"/>
      <c r="R431" s="127"/>
      <c r="S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27"/>
      <c r="AJ431" s="29"/>
    </row>
    <row r="432" spans="1:36" ht="19.5" x14ac:dyDescent="0.4">
      <c r="A432" s="125"/>
      <c r="B432" s="125"/>
      <c r="C432" s="126"/>
      <c r="D432" s="126"/>
      <c r="E432" s="126"/>
      <c r="L432" s="115"/>
      <c r="M432" s="115"/>
      <c r="N432" s="115"/>
      <c r="O432" s="115"/>
      <c r="P432" s="115"/>
      <c r="Q432" s="115"/>
      <c r="R432" s="127"/>
      <c r="S432" s="29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27"/>
      <c r="AJ432" s="29"/>
    </row>
    <row r="433" spans="1:36" ht="19.5" x14ac:dyDescent="0.4">
      <c r="A433" s="125"/>
      <c r="B433" s="125"/>
      <c r="C433" s="126"/>
      <c r="D433" s="126"/>
      <c r="E433" s="126"/>
      <c r="L433" s="115"/>
      <c r="M433" s="115"/>
      <c r="N433" s="115"/>
      <c r="O433" s="115"/>
      <c r="P433" s="115"/>
      <c r="Q433" s="115"/>
      <c r="R433" s="127"/>
      <c r="S433" s="29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27"/>
      <c r="AJ433" s="29"/>
    </row>
    <row r="434" spans="1:36" ht="19.5" x14ac:dyDescent="0.4">
      <c r="A434" s="125"/>
      <c r="B434" s="125"/>
      <c r="C434" s="126"/>
      <c r="D434" s="126"/>
      <c r="E434" s="126"/>
      <c r="R434" s="127"/>
      <c r="S434" s="29"/>
      <c r="AI434" s="127"/>
      <c r="AJ434" s="29"/>
    </row>
    <row r="435" spans="1:36" ht="19.5" x14ac:dyDescent="0.4">
      <c r="A435" s="125"/>
      <c r="B435" s="125"/>
      <c r="C435" s="126"/>
      <c r="D435" s="126"/>
      <c r="E435" s="126"/>
      <c r="L435" s="115"/>
      <c r="M435" s="115"/>
      <c r="N435" s="115"/>
      <c r="O435" s="115"/>
      <c r="P435" s="115"/>
      <c r="Q435" s="115"/>
      <c r="R435" s="127"/>
      <c r="S435" s="29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27"/>
      <c r="AJ435" s="29"/>
    </row>
    <row r="436" spans="1:36" ht="19.5" x14ac:dyDescent="0.4">
      <c r="A436" s="125"/>
      <c r="B436" s="125"/>
      <c r="C436" s="126"/>
      <c r="D436" s="126"/>
      <c r="E436" s="126"/>
      <c r="L436" s="115"/>
      <c r="M436" s="115"/>
      <c r="N436" s="115"/>
      <c r="O436" s="115"/>
      <c r="P436" s="115"/>
      <c r="Q436" s="115"/>
      <c r="R436" s="29"/>
      <c r="S436" s="29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29"/>
      <c r="AJ436" s="29"/>
    </row>
    <row r="437" spans="1:36" ht="19.5" x14ac:dyDescent="0.4">
      <c r="A437" s="125"/>
      <c r="B437" s="125"/>
      <c r="C437" s="126"/>
      <c r="D437" s="126"/>
      <c r="E437" s="126"/>
      <c r="L437" s="115"/>
      <c r="M437" s="115"/>
      <c r="N437" s="115"/>
      <c r="O437" s="115"/>
      <c r="P437" s="115"/>
      <c r="Q437" s="115"/>
      <c r="R437" s="127"/>
      <c r="S437" s="29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27"/>
      <c r="AJ437" s="29"/>
    </row>
    <row r="438" spans="1:36" ht="19.5" x14ac:dyDescent="0.4">
      <c r="A438" s="125"/>
      <c r="B438" s="125"/>
      <c r="C438" s="126"/>
      <c r="D438" s="126"/>
      <c r="E438" s="126"/>
      <c r="L438" s="115"/>
      <c r="M438" s="115"/>
      <c r="N438" s="115"/>
      <c r="O438" s="115"/>
      <c r="P438" s="115"/>
      <c r="Q438" s="115"/>
      <c r="R438" s="127"/>
      <c r="S438" s="29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27"/>
      <c r="AJ438" s="29"/>
    </row>
    <row r="439" spans="1:36" ht="19.5" x14ac:dyDescent="0.4">
      <c r="A439" s="125"/>
      <c r="B439" s="125"/>
      <c r="C439" s="126"/>
      <c r="D439" s="126"/>
      <c r="E439" s="126"/>
      <c r="L439" s="115"/>
      <c r="M439" s="115"/>
      <c r="N439" s="115"/>
      <c r="O439" s="115"/>
      <c r="P439" s="115"/>
      <c r="Q439" s="115"/>
      <c r="R439" s="127"/>
      <c r="S439" s="29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27"/>
      <c r="AJ439" s="29"/>
    </row>
    <row r="440" spans="1:36" ht="19.5" x14ac:dyDescent="0.4">
      <c r="A440" s="125"/>
      <c r="B440" s="125"/>
      <c r="C440" s="126"/>
      <c r="D440" s="126"/>
      <c r="E440" s="126"/>
      <c r="L440" s="115"/>
      <c r="M440" s="115"/>
      <c r="N440" s="115"/>
      <c r="O440" s="115"/>
      <c r="P440" s="115"/>
      <c r="Q440" s="115"/>
      <c r="R440" s="127"/>
      <c r="S440" s="29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27"/>
      <c r="AJ440" s="29"/>
    </row>
    <row r="441" spans="1:36" ht="19.5" x14ac:dyDescent="0.4">
      <c r="A441" s="125"/>
      <c r="B441" s="125"/>
      <c r="C441" s="126"/>
      <c r="D441" s="126"/>
      <c r="E441" s="126"/>
      <c r="R441" s="127"/>
      <c r="S441" s="29"/>
      <c r="AI441" s="127"/>
      <c r="AJ441" s="29"/>
    </row>
    <row r="442" spans="1:36" ht="19.5" x14ac:dyDescent="0.4">
      <c r="A442" s="125"/>
      <c r="B442" s="125"/>
      <c r="C442" s="126"/>
      <c r="D442" s="126"/>
      <c r="E442" s="126"/>
      <c r="L442" s="115"/>
      <c r="M442" s="115"/>
      <c r="N442" s="115"/>
      <c r="O442" s="115"/>
      <c r="P442" s="115"/>
      <c r="Q442" s="115"/>
      <c r="R442" s="127"/>
      <c r="S442" s="29"/>
      <c r="AA442" s="115"/>
      <c r="AB442" s="115"/>
      <c r="AC442" s="115"/>
      <c r="AD442" s="115"/>
      <c r="AE442" s="115"/>
      <c r="AF442" s="115"/>
      <c r="AG442" s="115"/>
      <c r="AH442" s="115"/>
      <c r="AI442" s="127"/>
      <c r="AJ442" s="29"/>
    </row>
    <row r="443" spans="1:36" ht="19.5" x14ac:dyDescent="0.4">
      <c r="A443" s="125"/>
      <c r="B443" s="125"/>
      <c r="C443" s="126"/>
      <c r="D443" s="126"/>
      <c r="E443" s="126"/>
      <c r="L443" s="115"/>
      <c r="M443" s="115"/>
      <c r="N443" s="115"/>
      <c r="O443" s="115"/>
      <c r="P443" s="115"/>
      <c r="Q443" s="115"/>
      <c r="R443" s="127"/>
      <c r="S443" s="29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27"/>
      <c r="AJ443" s="29"/>
    </row>
    <row r="444" spans="1:36" ht="19.5" x14ac:dyDescent="0.4">
      <c r="A444" s="125"/>
      <c r="B444" s="125"/>
      <c r="C444" s="126"/>
      <c r="D444" s="126"/>
      <c r="E444" s="126"/>
      <c r="L444" s="115"/>
      <c r="M444" s="115"/>
      <c r="N444" s="115"/>
      <c r="O444" s="115"/>
      <c r="P444" s="115"/>
      <c r="Q444" s="115"/>
      <c r="R444" s="127"/>
      <c r="S444" s="29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27"/>
      <c r="AJ444" s="29"/>
    </row>
    <row r="445" spans="1:36" ht="19.5" x14ac:dyDescent="0.4">
      <c r="A445" s="125"/>
      <c r="B445" s="125"/>
      <c r="C445" s="126"/>
      <c r="D445" s="126"/>
      <c r="E445" s="126"/>
      <c r="L445" s="115"/>
      <c r="M445" s="115"/>
      <c r="N445" s="115"/>
      <c r="O445" s="115"/>
      <c r="P445" s="115"/>
      <c r="Q445" s="115"/>
      <c r="R445" s="127"/>
      <c r="S445" s="29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27"/>
      <c r="AJ445" s="29"/>
    </row>
    <row r="446" spans="1:36" ht="19.5" x14ac:dyDescent="0.4">
      <c r="A446" s="125"/>
      <c r="B446" s="125"/>
      <c r="C446" s="126"/>
      <c r="D446" s="126"/>
      <c r="E446" s="126"/>
      <c r="L446" s="115"/>
      <c r="M446" s="115"/>
      <c r="N446" s="115"/>
      <c r="O446" s="115"/>
      <c r="P446" s="115"/>
      <c r="Q446" s="115"/>
      <c r="R446" s="127"/>
      <c r="S446" s="29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27"/>
      <c r="AJ446" s="29"/>
    </row>
    <row r="447" spans="1:36" ht="19.5" x14ac:dyDescent="0.4">
      <c r="A447" s="125"/>
      <c r="B447" s="125"/>
      <c r="C447" s="126"/>
      <c r="D447" s="126"/>
      <c r="E447" s="126"/>
      <c r="L447" s="115"/>
      <c r="M447" s="115"/>
      <c r="N447" s="115"/>
      <c r="O447" s="115"/>
      <c r="P447" s="115"/>
      <c r="Q447" s="115"/>
      <c r="R447" s="127"/>
      <c r="S447" s="29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27"/>
      <c r="AJ447" s="29"/>
    </row>
    <row r="448" spans="1:36" ht="19.5" x14ac:dyDescent="0.4">
      <c r="A448" s="125"/>
      <c r="B448" s="125"/>
      <c r="C448" s="126"/>
      <c r="D448" s="126"/>
      <c r="E448" s="126"/>
      <c r="L448" s="115"/>
      <c r="M448" s="115"/>
      <c r="N448" s="115"/>
      <c r="O448" s="115"/>
      <c r="P448" s="115"/>
      <c r="Q448" s="115"/>
      <c r="R448" s="127"/>
      <c r="S448" s="29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27"/>
      <c r="AJ448" s="29"/>
    </row>
    <row r="449" spans="1:36" ht="19.5" x14ac:dyDescent="0.4">
      <c r="A449" s="125"/>
      <c r="B449" s="125"/>
      <c r="C449" s="126"/>
      <c r="D449" s="126"/>
      <c r="E449" s="126"/>
      <c r="L449" s="115"/>
      <c r="M449" s="115"/>
      <c r="N449" s="115"/>
      <c r="O449" s="115"/>
      <c r="P449" s="115"/>
      <c r="Q449" s="115"/>
      <c r="R449" s="29"/>
      <c r="S449" s="29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29"/>
      <c r="AJ449" s="29"/>
    </row>
    <row r="450" spans="1:36" ht="19.5" x14ac:dyDescent="0.4">
      <c r="A450" s="125"/>
      <c r="B450" s="125"/>
      <c r="C450" s="126"/>
      <c r="D450" s="126"/>
      <c r="E450" s="126"/>
      <c r="L450" s="115"/>
      <c r="M450" s="115"/>
      <c r="N450" s="115"/>
      <c r="O450" s="115"/>
      <c r="P450" s="115"/>
      <c r="Q450" s="115"/>
      <c r="R450" s="127"/>
      <c r="S450" s="29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27"/>
      <c r="AJ450" s="29"/>
    </row>
    <row r="451" spans="1:36" ht="19.5" x14ac:dyDescent="0.4">
      <c r="A451" s="125"/>
      <c r="B451" s="125"/>
      <c r="C451" s="126"/>
      <c r="D451" s="126"/>
      <c r="E451" s="126"/>
      <c r="L451" s="115"/>
      <c r="M451" s="115"/>
      <c r="N451" s="115"/>
      <c r="O451" s="115"/>
      <c r="P451" s="115"/>
      <c r="Q451" s="115"/>
      <c r="R451" s="127"/>
      <c r="S451" s="29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27"/>
      <c r="AJ451" s="29"/>
    </row>
    <row r="452" spans="1:36" ht="19.5" x14ac:dyDescent="0.4">
      <c r="A452" s="125"/>
      <c r="B452" s="125"/>
      <c r="C452" s="126"/>
      <c r="D452" s="126"/>
      <c r="E452" s="126"/>
      <c r="L452" s="115"/>
      <c r="M452" s="115"/>
      <c r="N452" s="115"/>
      <c r="O452" s="115"/>
      <c r="P452" s="115"/>
      <c r="Q452" s="115"/>
      <c r="R452" s="29"/>
      <c r="S452" s="29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29"/>
      <c r="AJ452" s="29"/>
    </row>
    <row r="453" spans="1:36" ht="19.5" x14ac:dyDescent="0.4">
      <c r="A453" s="125"/>
      <c r="B453" s="125"/>
      <c r="C453" s="126"/>
      <c r="D453" s="126"/>
      <c r="E453" s="126"/>
      <c r="R453" s="127"/>
      <c r="S453" s="29"/>
      <c r="AI453" s="127"/>
      <c r="AJ453" s="29"/>
    </row>
    <row r="454" spans="1:36" ht="19.5" x14ac:dyDescent="0.4">
      <c r="A454" s="125"/>
      <c r="B454" s="125"/>
      <c r="C454" s="126"/>
      <c r="D454" s="126"/>
      <c r="E454" s="126"/>
      <c r="R454" s="127"/>
      <c r="S454" s="29"/>
      <c r="AI454" s="127"/>
      <c r="AJ454" s="29"/>
    </row>
    <row r="455" spans="1:36" ht="19.5" x14ac:dyDescent="0.4">
      <c r="A455" s="125"/>
      <c r="B455" s="125"/>
      <c r="C455" s="126"/>
      <c r="D455" s="126"/>
      <c r="E455" s="126"/>
      <c r="L455" s="115"/>
      <c r="M455" s="115"/>
      <c r="N455" s="115"/>
      <c r="O455" s="115"/>
      <c r="P455" s="115"/>
      <c r="Q455" s="115"/>
      <c r="R455" s="127"/>
      <c r="S455" s="29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27"/>
      <c r="AJ455" s="29"/>
    </row>
    <row r="456" spans="1:36" ht="19.5" x14ac:dyDescent="0.4">
      <c r="A456" s="125"/>
      <c r="B456" s="125"/>
      <c r="C456" s="126"/>
      <c r="D456" s="126"/>
      <c r="E456" s="126"/>
      <c r="R456" s="127"/>
      <c r="S456" s="29"/>
      <c r="AI456" s="127"/>
      <c r="AJ456" s="29"/>
    </row>
    <row r="457" spans="1:36" ht="19.5" x14ac:dyDescent="0.4">
      <c r="A457" s="125"/>
      <c r="B457" s="125"/>
      <c r="C457" s="126"/>
      <c r="D457" s="126"/>
      <c r="E457" s="126"/>
      <c r="L457" s="115"/>
      <c r="M457" s="115"/>
      <c r="N457" s="115"/>
      <c r="O457" s="115"/>
      <c r="P457" s="115"/>
      <c r="Q457" s="115"/>
      <c r="R457" s="127"/>
      <c r="S457" s="29"/>
      <c r="AD457" s="115"/>
      <c r="AE457" s="115"/>
      <c r="AF457" s="115"/>
      <c r="AG457" s="115"/>
      <c r="AH457" s="115"/>
      <c r="AI457" s="127"/>
      <c r="AJ457" s="29"/>
    </row>
    <row r="458" spans="1:36" ht="19.5" x14ac:dyDescent="0.4">
      <c r="A458" s="125"/>
      <c r="B458" s="125"/>
      <c r="C458" s="126"/>
      <c r="D458" s="126"/>
      <c r="E458" s="126"/>
      <c r="L458" s="115"/>
      <c r="M458" s="115"/>
      <c r="N458" s="115"/>
      <c r="O458" s="115"/>
      <c r="P458" s="115"/>
      <c r="Q458" s="115"/>
      <c r="R458" s="29"/>
      <c r="S458" s="29"/>
      <c r="AD458" s="115"/>
      <c r="AE458" s="115"/>
      <c r="AF458" s="115"/>
      <c r="AG458" s="115"/>
      <c r="AH458" s="115"/>
      <c r="AI458" s="29"/>
      <c r="AJ458" s="29"/>
    </row>
    <row r="459" spans="1:36" ht="19.5" x14ac:dyDescent="0.4">
      <c r="A459" s="125"/>
      <c r="B459" s="125"/>
      <c r="C459" s="126"/>
      <c r="D459" s="126"/>
      <c r="E459" s="126"/>
      <c r="L459" s="115"/>
      <c r="M459" s="115"/>
      <c r="N459" s="115"/>
      <c r="O459" s="115"/>
      <c r="P459" s="115"/>
      <c r="Q459" s="115"/>
      <c r="R459" s="127"/>
      <c r="S459" s="29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27"/>
      <c r="AJ459" s="29"/>
    </row>
    <row r="460" spans="1:36" ht="19.5" x14ac:dyDescent="0.4">
      <c r="A460" s="125"/>
      <c r="B460" s="125"/>
      <c r="C460" s="126"/>
      <c r="D460" s="126"/>
      <c r="E460" s="126"/>
      <c r="L460" s="115"/>
      <c r="M460" s="115"/>
      <c r="N460" s="115"/>
      <c r="O460" s="115"/>
      <c r="P460" s="115"/>
      <c r="Q460" s="115"/>
      <c r="R460" s="127"/>
      <c r="S460" s="29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27"/>
      <c r="AJ460" s="29"/>
    </row>
    <row r="461" spans="1:36" ht="19.5" x14ac:dyDescent="0.4">
      <c r="A461" s="125"/>
      <c r="B461" s="125"/>
      <c r="C461" s="126"/>
      <c r="D461" s="126"/>
      <c r="E461" s="126"/>
      <c r="L461" s="115"/>
      <c r="M461" s="115"/>
      <c r="N461" s="115"/>
      <c r="O461" s="115"/>
      <c r="P461" s="115"/>
      <c r="Q461" s="115"/>
      <c r="R461" s="127"/>
      <c r="S461" s="29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27"/>
      <c r="AJ461" s="29"/>
    </row>
    <row r="462" spans="1:36" ht="19.5" x14ac:dyDescent="0.4">
      <c r="A462" s="125"/>
      <c r="B462" s="125"/>
      <c r="C462" s="126"/>
      <c r="D462" s="126"/>
      <c r="E462" s="126"/>
      <c r="L462" s="115"/>
      <c r="M462" s="115"/>
      <c r="N462" s="115"/>
      <c r="O462" s="115"/>
      <c r="P462" s="115"/>
      <c r="Q462" s="115"/>
      <c r="R462" s="127"/>
      <c r="S462" s="29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27"/>
      <c r="AJ462" s="29"/>
    </row>
    <row r="463" spans="1:36" ht="19.5" x14ac:dyDescent="0.4">
      <c r="A463" s="125"/>
      <c r="B463" s="125"/>
      <c r="C463" s="126"/>
      <c r="D463" s="126"/>
      <c r="E463" s="126"/>
      <c r="L463" s="115"/>
      <c r="M463" s="115"/>
      <c r="N463" s="115"/>
      <c r="O463" s="115"/>
      <c r="P463" s="115"/>
      <c r="Q463" s="115"/>
      <c r="R463" s="127"/>
      <c r="S463" s="29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27"/>
      <c r="AJ463" s="29"/>
    </row>
    <row r="464" spans="1:36" ht="19.5" x14ac:dyDescent="0.4">
      <c r="A464" s="125"/>
      <c r="B464" s="125"/>
      <c r="C464" s="126"/>
      <c r="D464" s="126"/>
      <c r="E464" s="126"/>
      <c r="L464" s="115"/>
      <c r="M464" s="115"/>
      <c r="N464" s="115"/>
      <c r="O464" s="115"/>
      <c r="P464" s="115"/>
      <c r="Q464" s="115"/>
      <c r="R464" s="29"/>
      <c r="S464" s="29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29"/>
      <c r="AJ464" s="29"/>
    </row>
    <row r="465" spans="1:36" ht="19.5" x14ac:dyDescent="0.4">
      <c r="A465" s="125"/>
      <c r="B465" s="125"/>
      <c r="C465" s="126"/>
      <c r="D465" s="126"/>
      <c r="E465" s="126"/>
      <c r="L465" s="115"/>
      <c r="M465" s="115"/>
      <c r="N465" s="115"/>
      <c r="O465" s="115"/>
      <c r="P465" s="115"/>
      <c r="Q465" s="115"/>
      <c r="R465" s="127"/>
      <c r="S465" s="29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27"/>
      <c r="AJ465" s="29"/>
    </row>
    <row r="466" spans="1:36" ht="19.5" x14ac:dyDescent="0.4">
      <c r="A466" s="125"/>
      <c r="B466" s="125"/>
      <c r="C466" s="126"/>
      <c r="D466" s="126"/>
      <c r="E466" s="126"/>
      <c r="L466" s="115"/>
      <c r="M466" s="115"/>
      <c r="N466" s="115"/>
      <c r="O466" s="115"/>
      <c r="P466" s="115"/>
      <c r="Q466" s="115"/>
      <c r="R466" s="29"/>
      <c r="S466" s="29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29"/>
      <c r="AJ466" s="29"/>
    </row>
    <row r="467" spans="1:36" ht="19.5" x14ac:dyDescent="0.4">
      <c r="A467" s="125"/>
      <c r="B467" s="125"/>
      <c r="C467" s="126"/>
      <c r="D467" s="126"/>
      <c r="E467" s="126"/>
      <c r="L467" s="115"/>
      <c r="M467" s="115"/>
      <c r="N467" s="115"/>
      <c r="O467" s="115"/>
      <c r="P467" s="115"/>
      <c r="Q467" s="115"/>
      <c r="R467" s="29"/>
      <c r="S467" s="29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29"/>
      <c r="AJ467" s="29"/>
    </row>
    <row r="468" spans="1:36" ht="19.5" x14ac:dyDescent="0.4">
      <c r="A468" s="125"/>
      <c r="B468" s="125"/>
      <c r="C468" s="126"/>
      <c r="D468" s="126"/>
      <c r="E468" s="126"/>
      <c r="L468" s="115"/>
      <c r="M468" s="115"/>
      <c r="N468" s="115"/>
      <c r="O468" s="115"/>
      <c r="P468" s="115"/>
      <c r="Q468" s="115"/>
      <c r="R468" s="127"/>
      <c r="S468" s="29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27"/>
      <c r="AJ468" s="29"/>
    </row>
    <row r="469" spans="1:36" ht="19.5" x14ac:dyDescent="0.4">
      <c r="A469" s="125"/>
      <c r="B469" s="125"/>
      <c r="C469" s="126"/>
      <c r="D469" s="126"/>
      <c r="E469" s="126"/>
      <c r="L469" s="115"/>
      <c r="M469" s="115"/>
      <c r="N469" s="115"/>
      <c r="O469" s="115"/>
      <c r="P469" s="115"/>
      <c r="Q469" s="115"/>
      <c r="R469" s="127"/>
      <c r="S469" s="29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27"/>
      <c r="AJ469" s="29"/>
    </row>
    <row r="470" spans="1:36" ht="19.5" x14ac:dyDescent="0.4">
      <c r="A470" s="125"/>
      <c r="B470" s="125"/>
      <c r="C470" s="126"/>
      <c r="D470" s="126"/>
      <c r="E470" s="126"/>
      <c r="L470" s="115"/>
      <c r="M470" s="115"/>
      <c r="N470" s="115"/>
      <c r="O470" s="115"/>
      <c r="P470" s="115"/>
      <c r="Q470" s="115"/>
      <c r="R470" s="29"/>
      <c r="S470" s="29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29"/>
      <c r="AJ470" s="29"/>
    </row>
    <row r="471" spans="1:36" ht="19.5" x14ac:dyDescent="0.4">
      <c r="A471" s="125"/>
      <c r="B471" s="125"/>
      <c r="C471" s="126"/>
      <c r="D471" s="126"/>
      <c r="E471" s="126"/>
      <c r="L471" s="115"/>
      <c r="M471" s="115"/>
      <c r="N471" s="115"/>
      <c r="O471" s="115"/>
      <c r="P471" s="115"/>
      <c r="Q471" s="115"/>
      <c r="R471" s="127"/>
      <c r="S471" s="29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27"/>
      <c r="AJ471" s="29"/>
    </row>
    <row r="472" spans="1:36" ht="19.5" x14ac:dyDescent="0.4">
      <c r="A472" s="125"/>
      <c r="B472" s="125"/>
      <c r="C472" s="126"/>
      <c r="D472" s="126"/>
      <c r="E472" s="126"/>
      <c r="L472" s="115"/>
      <c r="M472" s="115"/>
      <c r="N472" s="115"/>
      <c r="O472" s="115"/>
      <c r="P472" s="115"/>
      <c r="Q472" s="115"/>
      <c r="R472" s="127"/>
      <c r="S472" s="29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27"/>
      <c r="AJ472" s="29"/>
    </row>
    <row r="473" spans="1:36" ht="19.5" x14ac:dyDescent="0.4">
      <c r="A473" s="125"/>
      <c r="B473" s="125"/>
      <c r="C473" s="126"/>
      <c r="D473" s="126"/>
      <c r="E473" s="126"/>
      <c r="R473" s="127"/>
      <c r="S473" s="29"/>
      <c r="AI473" s="127"/>
      <c r="AJ473" s="29"/>
    </row>
    <row r="474" spans="1:36" ht="19.5" x14ac:dyDescent="0.4">
      <c r="A474" s="125"/>
      <c r="B474" s="125"/>
      <c r="C474" s="126"/>
      <c r="D474" s="126"/>
      <c r="E474" s="126"/>
      <c r="L474" s="115"/>
      <c r="M474" s="115"/>
      <c r="N474" s="115"/>
      <c r="O474" s="115"/>
      <c r="P474" s="115"/>
      <c r="Q474" s="115"/>
      <c r="R474" s="127"/>
      <c r="S474" s="29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27"/>
      <c r="AJ474" s="29"/>
    </row>
    <row r="475" spans="1:36" ht="19.5" x14ac:dyDescent="0.4">
      <c r="A475" s="125"/>
      <c r="B475" s="125"/>
      <c r="C475" s="126"/>
      <c r="D475" s="126"/>
      <c r="E475" s="126"/>
      <c r="L475" s="115"/>
      <c r="M475" s="115"/>
      <c r="N475" s="115"/>
      <c r="O475" s="115"/>
      <c r="P475" s="115"/>
      <c r="Q475" s="115"/>
      <c r="R475" s="127"/>
      <c r="S475" s="29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27"/>
      <c r="AJ475" s="29"/>
    </row>
    <row r="476" spans="1:36" ht="19.5" x14ac:dyDescent="0.4">
      <c r="A476" s="125"/>
      <c r="B476" s="125"/>
      <c r="C476" s="126"/>
      <c r="D476" s="126"/>
      <c r="E476" s="126"/>
      <c r="L476" s="115"/>
      <c r="M476" s="115"/>
      <c r="N476" s="115"/>
      <c r="O476" s="115"/>
      <c r="P476" s="115"/>
      <c r="Q476" s="115"/>
      <c r="R476" s="127"/>
      <c r="S476" s="29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27"/>
      <c r="AJ476" s="29"/>
    </row>
    <row r="477" spans="1:36" ht="19.5" x14ac:dyDescent="0.4">
      <c r="A477" s="125"/>
      <c r="B477" s="125"/>
      <c r="C477" s="126"/>
      <c r="D477" s="126"/>
      <c r="E477" s="126"/>
      <c r="L477" s="115"/>
      <c r="M477" s="115"/>
      <c r="N477" s="115"/>
      <c r="O477" s="115"/>
      <c r="P477" s="115"/>
      <c r="Q477" s="115"/>
      <c r="R477" s="127"/>
      <c r="S477" s="29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27"/>
      <c r="AJ477" s="29"/>
    </row>
    <row r="478" spans="1:36" ht="19.5" x14ac:dyDescent="0.4">
      <c r="A478" s="125"/>
      <c r="B478" s="125"/>
      <c r="C478" s="126"/>
      <c r="D478" s="126"/>
      <c r="E478" s="126"/>
      <c r="R478" s="127"/>
      <c r="S478" s="29"/>
      <c r="AI478" s="127"/>
      <c r="AJ478" s="29"/>
    </row>
    <row r="479" spans="1:36" ht="19.5" x14ac:dyDescent="0.4">
      <c r="A479" s="125"/>
      <c r="B479" s="125"/>
      <c r="C479" s="126"/>
      <c r="D479" s="126"/>
      <c r="E479" s="126"/>
      <c r="L479" s="115"/>
      <c r="M479" s="115"/>
      <c r="N479" s="115"/>
      <c r="O479" s="115"/>
      <c r="P479" s="115"/>
      <c r="Q479" s="115"/>
      <c r="R479" s="127"/>
      <c r="S479" s="29"/>
      <c r="AD479" s="115"/>
      <c r="AE479" s="115"/>
      <c r="AF479" s="115"/>
      <c r="AG479" s="115"/>
      <c r="AH479" s="115"/>
      <c r="AI479" s="127"/>
      <c r="AJ479" s="29"/>
    </row>
    <row r="480" spans="1:36" ht="19.5" x14ac:dyDescent="0.4">
      <c r="A480" s="125"/>
      <c r="B480" s="125"/>
      <c r="C480" s="126"/>
      <c r="D480" s="126"/>
      <c r="E480" s="126"/>
      <c r="L480" s="115"/>
      <c r="M480" s="115"/>
      <c r="N480" s="115"/>
      <c r="O480" s="115"/>
      <c r="P480" s="115"/>
      <c r="Q480" s="115"/>
      <c r="R480" s="127"/>
      <c r="S480" s="29"/>
      <c r="AA480" s="115"/>
      <c r="AB480" s="115"/>
      <c r="AC480" s="115"/>
      <c r="AD480" s="115"/>
      <c r="AE480" s="115"/>
      <c r="AF480" s="115"/>
      <c r="AG480" s="115"/>
      <c r="AH480" s="115"/>
      <c r="AI480" s="127"/>
      <c r="AJ480" s="29"/>
    </row>
    <row r="481" spans="1:36" ht="19.5" x14ac:dyDescent="0.4">
      <c r="A481" s="125"/>
      <c r="B481" s="125"/>
      <c r="C481" s="126"/>
      <c r="D481" s="126"/>
      <c r="E481" s="126"/>
      <c r="L481" s="115"/>
      <c r="M481" s="115"/>
      <c r="N481" s="115"/>
      <c r="O481" s="115"/>
      <c r="P481" s="115"/>
      <c r="Q481" s="115"/>
      <c r="R481" s="29"/>
      <c r="S481" s="29"/>
      <c r="AA481" s="115"/>
      <c r="AB481" s="115"/>
      <c r="AC481" s="115"/>
      <c r="AD481" s="115"/>
      <c r="AE481" s="115"/>
      <c r="AF481" s="115"/>
      <c r="AG481" s="115"/>
      <c r="AH481" s="115"/>
      <c r="AI481" s="29"/>
      <c r="AJ481" s="29"/>
    </row>
    <row r="482" spans="1:36" ht="19.5" x14ac:dyDescent="0.4">
      <c r="A482" s="125"/>
      <c r="B482" s="125"/>
      <c r="C482" s="126"/>
      <c r="D482" s="126"/>
      <c r="E482" s="126"/>
      <c r="R482" s="127"/>
      <c r="S482" s="29"/>
      <c r="AI482" s="127"/>
      <c r="AJ482" s="29"/>
    </row>
    <row r="483" spans="1:36" ht="19.5" x14ac:dyDescent="0.4">
      <c r="A483" s="125"/>
      <c r="B483" s="125"/>
      <c r="C483" s="126"/>
      <c r="D483" s="126"/>
      <c r="E483" s="126"/>
      <c r="L483" s="115"/>
      <c r="M483" s="115"/>
      <c r="N483" s="115"/>
      <c r="O483" s="115"/>
      <c r="P483" s="115"/>
      <c r="Q483" s="115"/>
      <c r="R483" s="127"/>
      <c r="S483" s="29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27"/>
      <c r="AJ483" s="29"/>
    </row>
    <row r="484" spans="1:36" ht="19.5" x14ac:dyDescent="0.4">
      <c r="A484" s="125"/>
      <c r="B484" s="125"/>
      <c r="C484" s="126"/>
      <c r="D484" s="126"/>
      <c r="E484" s="126"/>
      <c r="L484" s="115"/>
      <c r="M484" s="115"/>
      <c r="N484" s="115"/>
      <c r="O484" s="115"/>
      <c r="P484" s="115"/>
      <c r="Q484" s="115"/>
      <c r="R484" s="127"/>
      <c r="S484" s="29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27"/>
      <c r="AJ484" s="29"/>
    </row>
    <row r="485" spans="1:36" ht="19.5" x14ac:dyDescent="0.4">
      <c r="A485" s="125"/>
      <c r="B485" s="125"/>
      <c r="C485" s="126"/>
      <c r="D485" s="126"/>
      <c r="E485" s="126"/>
      <c r="L485" s="115"/>
      <c r="M485" s="115"/>
      <c r="N485" s="115"/>
      <c r="O485" s="115"/>
      <c r="P485" s="115"/>
      <c r="Q485" s="115"/>
      <c r="R485" s="29"/>
      <c r="S485" s="29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29"/>
      <c r="AJ485" s="29"/>
    </row>
    <row r="486" spans="1:36" ht="19.5" x14ac:dyDescent="0.4">
      <c r="A486" s="125"/>
      <c r="B486" s="125"/>
      <c r="C486" s="126"/>
      <c r="D486" s="126"/>
      <c r="E486" s="126"/>
      <c r="R486" s="127"/>
      <c r="S486" s="29"/>
      <c r="AI486" s="127"/>
      <c r="AJ486" s="29"/>
    </row>
    <row r="487" spans="1:36" ht="19.5" x14ac:dyDescent="0.4">
      <c r="A487" s="125"/>
      <c r="B487" s="125"/>
      <c r="C487" s="126"/>
      <c r="D487" s="126"/>
      <c r="E487" s="126"/>
      <c r="L487" s="115"/>
      <c r="M487" s="115"/>
      <c r="N487" s="115"/>
      <c r="O487" s="115"/>
      <c r="P487" s="115"/>
      <c r="Q487" s="115"/>
      <c r="R487" s="29"/>
      <c r="S487" s="29"/>
      <c r="AE487" s="115"/>
      <c r="AF487" s="115"/>
      <c r="AG487" s="115"/>
      <c r="AH487" s="115"/>
      <c r="AI487" s="29"/>
      <c r="AJ487" s="29"/>
    </row>
    <row r="488" spans="1:36" ht="19.5" x14ac:dyDescent="0.4">
      <c r="A488" s="125"/>
      <c r="B488" s="125"/>
      <c r="C488" s="126"/>
      <c r="D488" s="126"/>
      <c r="E488" s="126"/>
      <c r="R488" s="127"/>
      <c r="S488" s="29"/>
      <c r="AI488" s="127"/>
      <c r="AJ488" s="29"/>
    </row>
    <row r="489" spans="1:36" ht="19.5" x14ac:dyDescent="0.4">
      <c r="A489" s="125"/>
      <c r="B489" s="125"/>
      <c r="C489" s="126"/>
      <c r="D489" s="126"/>
      <c r="E489" s="126"/>
      <c r="L489" s="115"/>
      <c r="M489" s="115"/>
      <c r="N489" s="115"/>
      <c r="O489" s="115"/>
      <c r="P489" s="115"/>
      <c r="Q489" s="115"/>
      <c r="R489" s="127"/>
      <c r="S489" s="29"/>
      <c r="AD489" s="115"/>
      <c r="AE489" s="115"/>
      <c r="AF489" s="115"/>
      <c r="AG489" s="115"/>
      <c r="AH489" s="115"/>
      <c r="AI489" s="127"/>
      <c r="AJ489" s="29"/>
    </row>
    <row r="490" spans="1:36" ht="19.5" x14ac:dyDescent="0.4">
      <c r="A490" s="125"/>
      <c r="B490" s="125"/>
      <c r="C490" s="126"/>
      <c r="D490" s="126"/>
      <c r="E490" s="126"/>
      <c r="R490" s="127"/>
      <c r="S490" s="29"/>
      <c r="AI490" s="127"/>
      <c r="AJ490" s="29"/>
    </row>
    <row r="491" spans="1:36" ht="19.5" x14ac:dyDescent="0.4">
      <c r="A491" s="125"/>
      <c r="B491" s="125"/>
      <c r="C491" s="126"/>
      <c r="D491" s="126"/>
      <c r="E491" s="126"/>
      <c r="L491" s="115"/>
      <c r="M491" s="115"/>
      <c r="N491" s="115"/>
      <c r="O491" s="115"/>
      <c r="P491" s="115"/>
      <c r="Q491" s="115"/>
      <c r="R491" s="127"/>
      <c r="S491" s="29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27"/>
      <c r="AJ491" s="29"/>
    </row>
    <row r="492" spans="1:36" ht="19.5" x14ac:dyDescent="0.4">
      <c r="A492" s="125"/>
      <c r="B492" s="125"/>
      <c r="C492" s="126"/>
      <c r="D492" s="126"/>
      <c r="E492" s="126"/>
      <c r="R492" s="127"/>
      <c r="S492" s="29"/>
      <c r="AI492" s="127"/>
      <c r="AJ492" s="29"/>
    </row>
    <row r="493" spans="1:36" ht="19.5" x14ac:dyDescent="0.4">
      <c r="A493" s="125"/>
      <c r="B493" s="125"/>
      <c r="C493" s="126"/>
      <c r="D493" s="126"/>
      <c r="E493" s="126"/>
      <c r="L493" s="115"/>
      <c r="M493" s="115"/>
      <c r="N493" s="115"/>
      <c r="O493" s="115"/>
      <c r="P493" s="115"/>
      <c r="Q493" s="115"/>
      <c r="R493" s="127"/>
      <c r="S493" s="29"/>
      <c r="AC493" s="115"/>
      <c r="AD493" s="115"/>
      <c r="AE493" s="115"/>
      <c r="AF493" s="115"/>
      <c r="AG493" s="115"/>
      <c r="AH493" s="115"/>
      <c r="AI493" s="127"/>
      <c r="AJ493" s="29"/>
    </row>
    <row r="494" spans="1:36" ht="19.5" x14ac:dyDescent="0.4">
      <c r="A494" s="125"/>
      <c r="B494" s="125"/>
      <c r="C494" s="126"/>
      <c r="D494" s="126"/>
      <c r="E494" s="126"/>
      <c r="L494" s="115"/>
      <c r="M494" s="115"/>
      <c r="N494" s="115"/>
      <c r="O494" s="115"/>
      <c r="P494" s="115"/>
      <c r="Q494" s="115"/>
      <c r="R494" s="29"/>
      <c r="S494" s="29"/>
      <c r="AC494" s="115"/>
      <c r="AD494" s="115"/>
      <c r="AE494" s="115"/>
      <c r="AF494" s="115"/>
      <c r="AG494" s="115"/>
      <c r="AH494" s="115"/>
      <c r="AI494" s="29"/>
      <c r="AJ494" s="29"/>
    </row>
    <row r="495" spans="1:36" ht="19.5" x14ac:dyDescent="0.4">
      <c r="A495" s="125"/>
      <c r="B495" s="125"/>
      <c r="C495" s="126"/>
      <c r="D495" s="126"/>
      <c r="E495" s="126"/>
      <c r="L495" s="115"/>
      <c r="M495" s="115"/>
      <c r="N495" s="115"/>
      <c r="O495" s="115"/>
      <c r="P495" s="115"/>
      <c r="Q495" s="115"/>
      <c r="R495" s="127"/>
      <c r="S495" s="29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27"/>
      <c r="AJ495" s="29"/>
    </row>
    <row r="496" spans="1:36" ht="19.5" x14ac:dyDescent="0.4">
      <c r="A496" s="125"/>
      <c r="B496" s="125"/>
      <c r="C496" s="126"/>
      <c r="D496" s="126"/>
      <c r="E496" s="126"/>
      <c r="L496" s="115"/>
      <c r="M496" s="115"/>
      <c r="N496" s="115"/>
      <c r="O496" s="115"/>
      <c r="P496" s="115"/>
      <c r="Q496" s="115"/>
      <c r="R496" s="29"/>
      <c r="S496" s="29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29"/>
      <c r="AJ496" s="29"/>
    </row>
    <row r="497" spans="1:36" ht="19.5" x14ac:dyDescent="0.4">
      <c r="A497" s="125"/>
      <c r="B497" s="125"/>
      <c r="C497" s="126"/>
      <c r="D497" s="126"/>
      <c r="E497" s="126"/>
      <c r="L497" s="115"/>
      <c r="M497" s="115"/>
      <c r="N497" s="115"/>
      <c r="O497" s="115"/>
      <c r="P497" s="115"/>
      <c r="Q497" s="115"/>
      <c r="R497" s="29"/>
      <c r="S497" s="29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29"/>
      <c r="AJ497" s="29"/>
    </row>
    <row r="498" spans="1:36" ht="19.5" x14ac:dyDescent="0.4">
      <c r="A498" s="125"/>
      <c r="B498" s="125"/>
      <c r="C498" s="126"/>
      <c r="D498" s="126"/>
      <c r="E498" s="126"/>
      <c r="L498" s="115"/>
      <c r="M498" s="115"/>
      <c r="N498" s="115"/>
      <c r="O498" s="115"/>
      <c r="P498" s="115"/>
      <c r="Q498" s="115"/>
      <c r="R498" s="29"/>
      <c r="S498" s="29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29"/>
      <c r="AJ498" s="29"/>
    </row>
    <row r="499" spans="1:36" ht="19.5" x14ac:dyDescent="0.4">
      <c r="A499" s="125"/>
      <c r="B499" s="125"/>
      <c r="C499" s="126"/>
      <c r="D499" s="126"/>
      <c r="E499" s="126"/>
      <c r="L499" s="115"/>
      <c r="M499" s="115"/>
      <c r="N499" s="115"/>
      <c r="O499" s="115"/>
      <c r="P499" s="115"/>
      <c r="Q499" s="115"/>
      <c r="R499" s="127"/>
      <c r="S499" s="29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27"/>
      <c r="AJ499" s="29"/>
    </row>
    <row r="500" spans="1:36" ht="19.5" x14ac:dyDescent="0.4">
      <c r="A500" s="125"/>
      <c r="B500" s="125"/>
      <c r="C500" s="126"/>
      <c r="D500" s="126"/>
      <c r="E500" s="126"/>
      <c r="L500" s="115"/>
      <c r="M500" s="115"/>
      <c r="N500" s="115"/>
      <c r="O500" s="115"/>
      <c r="P500" s="115"/>
      <c r="Q500" s="115"/>
      <c r="R500" s="127"/>
      <c r="S500" s="29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27"/>
      <c r="AJ500" s="29"/>
    </row>
    <row r="501" spans="1:36" ht="19.5" x14ac:dyDescent="0.4">
      <c r="A501" s="125"/>
      <c r="B501" s="125"/>
      <c r="C501" s="126"/>
      <c r="D501" s="126"/>
      <c r="E501" s="126"/>
      <c r="R501" s="127"/>
      <c r="S501" s="29"/>
      <c r="AI501" s="127"/>
      <c r="AJ501" s="29"/>
    </row>
    <row r="502" spans="1:36" ht="19.5" x14ac:dyDescent="0.4">
      <c r="A502" s="125"/>
      <c r="B502" s="125"/>
      <c r="C502" s="126"/>
      <c r="D502" s="126"/>
      <c r="E502" s="126"/>
      <c r="L502" s="115"/>
      <c r="M502" s="115"/>
      <c r="N502" s="115"/>
      <c r="O502" s="115"/>
      <c r="P502" s="115"/>
      <c r="Q502" s="115"/>
      <c r="R502" s="29"/>
      <c r="S502" s="29"/>
      <c r="AD502" s="115"/>
      <c r="AE502" s="115"/>
      <c r="AF502" s="115"/>
      <c r="AG502" s="115"/>
      <c r="AH502" s="115"/>
      <c r="AI502" s="29"/>
      <c r="AJ502" s="29"/>
    </row>
    <row r="503" spans="1:36" ht="19.5" x14ac:dyDescent="0.4">
      <c r="A503" s="125"/>
      <c r="B503" s="125"/>
      <c r="C503" s="126"/>
      <c r="D503" s="126"/>
      <c r="E503" s="126"/>
      <c r="L503" s="115"/>
      <c r="M503" s="115"/>
      <c r="N503" s="115"/>
      <c r="O503" s="115"/>
      <c r="P503" s="115"/>
      <c r="Q503" s="115"/>
      <c r="R503" s="127"/>
      <c r="S503" s="29"/>
      <c r="AC503" s="115"/>
      <c r="AD503" s="115"/>
      <c r="AE503" s="115"/>
      <c r="AF503" s="115"/>
      <c r="AG503" s="115"/>
      <c r="AH503" s="115"/>
      <c r="AI503" s="127"/>
      <c r="AJ503" s="29"/>
    </row>
    <row r="504" spans="1:36" ht="19.5" x14ac:dyDescent="0.4">
      <c r="A504" s="125"/>
      <c r="B504" s="125"/>
      <c r="C504" s="126"/>
      <c r="D504" s="126"/>
      <c r="E504" s="126"/>
      <c r="R504" s="127"/>
      <c r="S504" s="29"/>
      <c r="AI504" s="127"/>
      <c r="AJ504" s="29"/>
    </row>
    <row r="505" spans="1:36" ht="19.5" x14ac:dyDescent="0.4">
      <c r="A505" s="125"/>
      <c r="B505" s="125"/>
      <c r="C505" s="126"/>
      <c r="D505" s="126"/>
      <c r="E505" s="126"/>
      <c r="L505" s="115"/>
      <c r="M505" s="115"/>
      <c r="N505" s="115"/>
      <c r="O505" s="115"/>
      <c r="P505" s="115"/>
      <c r="Q505" s="115"/>
      <c r="R505" s="127"/>
      <c r="S505" s="29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27"/>
      <c r="AJ505" s="29"/>
    </row>
    <row r="506" spans="1:36" ht="19.5" x14ac:dyDescent="0.4">
      <c r="A506" s="125"/>
      <c r="B506" s="125"/>
      <c r="C506" s="126"/>
      <c r="D506" s="126"/>
      <c r="E506" s="126"/>
      <c r="L506" s="115"/>
      <c r="M506" s="115"/>
      <c r="N506" s="115"/>
      <c r="O506" s="115"/>
      <c r="P506" s="115"/>
      <c r="Q506" s="115"/>
      <c r="R506" s="127"/>
      <c r="S506" s="29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27"/>
      <c r="AJ506" s="29"/>
    </row>
    <row r="507" spans="1:36" ht="19.5" x14ac:dyDescent="0.4">
      <c r="A507" s="125"/>
      <c r="B507" s="125"/>
      <c r="C507" s="126"/>
      <c r="D507" s="126"/>
      <c r="E507" s="126"/>
      <c r="L507" s="115"/>
      <c r="M507" s="115"/>
      <c r="N507" s="115"/>
      <c r="O507" s="115"/>
      <c r="P507" s="115"/>
      <c r="Q507" s="115"/>
      <c r="R507" s="127"/>
      <c r="S507" s="29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27"/>
      <c r="AJ507" s="29"/>
    </row>
    <row r="508" spans="1:36" ht="19.5" x14ac:dyDescent="0.4">
      <c r="A508" s="125"/>
      <c r="B508" s="125"/>
      <c r="C508" s="126"/>
      <c r="D508" s="126"/>
      <c r="E508" s="126"/>
      <c r="L508" s="115"/>
      <c r="M508" s="115"/>
      <c r="N508" s="115"/>
      <c r="O508" s="115"/>
      <c r="P508" s="115"/>
      <c r="Q508" s="115"/>
      <c r="R508" s="127"/>
      <c r="S508" s="29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27"/>
      <c r="AJ508" s="29"/>
    </row>
    <row r="509" spans="1:36" ht="19.5" x14ac:dyDescent="0.4">
      <c r="A509" s="125"/>
      <c r="B509" s="125"/>
      <c r="C509" s="126"/>
      <c r="D509" s="126"/>
      <c r="E509" s="126"/>
      <c r="L509" s="115"/>
      <c r="M509" s="115"/>
      <c r="N509" s="115"/>
      <c r="O509" s="115"/>
      <c r="P509" s="115"/>
      <c r="Q509" s="115"/>
      <c r="R509" s="29"/>
      <c r="S509" s="29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29"/>
      <c r="AJ509" s="29"/>
    </row>
    <row r="510" spans="1:36" ht="19.5" x14ac:dyDescent="0.4">
      <c r="A510" s="125"/>
      <c r="B510" s="125"/>
      <c r="C510" s="126"/>
      <c r="D510" s="126"/>
      <c r="E510" s="126"/>
      <c r="L510" s="115"/>
      <c r="M510" s="115"/>
      <c r="N510" s="115"/>
      <c r="O510" s="115"/>
      <c r="P510" s="115"/>
      <c r="Q510" s="115"/>
      <c r="R510" s="127"/>
      <c r="S510" s="29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27"/>
      <c r="AJ510" s="29"/>
    </row>
    <row r="511" spans="1:36" ht="19.5" x14ac:dyDescent="0.4">
      <c r="A511" s="125"/>
      <c r="B511" s="125"/>
      <c r="C511" s="126"/>
      <c r="D511" s="126"/>
      <c r="E511" s="126"/>
      <c r="L511" s="115"/>
      <c r="M511" s="115"/>
      <c r="N511" s="115"/>
      <c r="O511" s="115"/>
      <c r="P511" s="115"/>
      <c r="Q511" s="115"/>
      <c r="R511" s="127"/>
      <c r="S511" s="29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27"/>
      <c r="AJ511" s="29"/>
    </row>
    <row r="512" spans="1:36" ht="19.5" x14ac:dyDescent="0.4">
      <c r="A512" s="125"/>
      <c r="B512" s="125"/>
      <c r="C512" s="126"/>
      <c r="D512" s="126"/>
      <c r="E512" s="126"/>
      <c r="L512" s="115"/>
      <c r="M512" s="115"/>
      <c r="N512" s="115"/>
      <c r="O512" s="115"/>
      <c r="P512" s="115"/>
      <c r="Q512" s="115"/>
      <c r="R512" s="127"/>
      <c r="S512" s="29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27"/>
      <c r="AJ512" s="29"/>
    </row>
    <row r="513" spans="1:36" ht="19.5" x14ac:dyDescent="0.4">
      <c r="A513" s="125"/>
      <c r="B513" s="125"/>
      <c r="C513" s="126"/>
      <c r="D513" s="126"/>
      <c r="E513" s="126"/>
      <c r="L513" s="115"/>
      <c r="M513" s="115"/>
      <c r="N513" s="115"/>
      <c r="O513" s="115"/>
      <c r="P513" s="115"/>
      <c r="Q513" s="115"/>
      <c r="R513" s="127"/>
      <c r="S513" s="29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27"/>
      <c r="AJ513" s="29"/>
    </row>
    <row r="514" spans="1:36" ht="19.5" x14ac:dyDescent="0.4">
      <c r="A514" s="125"/>
      <c r="B514" s="125"/>
      <c r="C514" s="126"/>
      <c r="D514" s="126"/>
      <c r="E514" s="126"/>
      <c r="L514" s="115"/>
      <c r="M514" s="115"/>
      <c r="N514" s="115"/>
      <c r="O514" s="115"/>
      <c r="P514" s="115"/>
      <c r="Q514" s="115"/>
      <c r="R514" s="127"/>
      <c r="S514" s="29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27"/>
      <c r="AJ514" s="29"/>
    </row>
    <row r="515" spans="1:36" ht="19.5" x14ac:dyDescent="0.4">
      <c r="A515" s="125"/>
      <c r="B515" s="125"/>
      <c r="C515" s="126"/>
      <c r="D515" s="126"/>
      <c r="E515" s="126"/>
      <c r="L515" s="115"/>
      <c r="M515" s="115"/>
      <c r="N515" s="115"/>
      <c r="O515" s="115"/>
      <c r="P515" s="115"/>
      <c r="Q515" s="115"/>
      <c r="R515" s="127"/>
      <c r="S515" s="29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27"/>
      <c r="AJ515" s="29"/>
    </row>
    <row r="516" spans="1:36" ht="19.5" x14ac:dyDescent="0.4">
      <c r="A516" s="125"/>
      <c r="B516" s="125"/>
      <c r="C516" s="126"/>
      <c r="D516" s="126"/>
      <c r="E516" s="126"/>
      <c r="L516" s="115"/>
      <c r="M516" s="115"/>
      <c r="N516" s="115"/>
      <c r="O516" s="115"/>
      <c r="P516" s="115"/>
      <c r="Q516" s="115"/>
      <c r="R516" s="127"/>
      <c r="S516" s="29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27"/>
      <c r="AJ516" s="29"/>
    </row>
    <row r="517" spans="1:36" ht="19.5" x14ac:dyDescent="0.4">
      <c r="A517" s="125"/>
      <c r="B517" s="125"/>
      <c r="C517" s="126"/>
      <c r="D517" s="126"/>
      <c r="E517" s="126"/>
      <c r="L517" s="115"/>
      <c r="M517" s="115"/>
      <c r="N517" s="115"/>
      <c r="O517" s="115"/>
      <c r="P517" s="115"/>
      <c r="Q517" s="115"/>
      <c r="R517" s="127"/>
      <c r="S517" s="29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27"/>
      <c r="AJ517" s="29"/>
    </row>
    <row r="518" spans="1:36" ht="19.5" x14ac:dyDescent="0.4">
      <c r="A518" s="125"/>
      <c r="B518" s="125"/>
      <c r="C518" s="126"/>
      <c r="D518" s="126"/>
      <c r="E518" s="126"/>
      <c r="L518" s="115"/>
      <c r="M518" s="115"/>
      <c r="N518" s="115"/>
      <c r="O518" s="115"/>
      <c r="P518" s="115"/>
      <c r="Q518" s="115"/>
      <c r="R518" s="29"/>
      <c r="S518" s="29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29"/>
      <c r="AJ518" s="29"/>
    </row>
    <row r="519" spans="1:36" ht="19.5" x14ac:dyDescent="0.4">
      <c r="A519" s="125"/>
      <c r="B519" s="125"/>
      <c r="C519" s="126"/>
      <c r="D519" s="126"/>
      <c r="E519" s="126"/>
      <c r="R519" s="127"/>
      <c r="S519" s="29"/>
      <c r="AI519" s="127"/>
      <c r="AJ519" s="29"/>
    </row>
    <row r="520" spans="1:36" ht="19.5" x14ac:dyDescent="0.4">
      <c r="A520" s="125"/>
      <c r="B520" s="125"/>
      <c r="C520" s="126"/>
      <c r="D520" s="126"/>
      <c r="E520" s="126"/>
      <c r="L520" s="115"/>
      <c r="M520" s="115"/>
      <c r="N520" s="115"/>
      <c r="O520" s="115"/>
      <c r="P520" s="115"/>
      <c r="Q520" s="115"/>
      <c r="R520" s="29"/>
      <c r="S520" s="29"/>
      <c r="AD520" s="115"/>
      <c r="AE520" s="115"/>
      <c r="AF520" s="115"/>
      <c r="AG520" s="115"/>
      <c r="AH520" s="115"/>
      <c r="AI520" s="29"/>
      <c r="AJ520" s="29"/>
    </row>
    <row r="521" spans="1:36" ht="19.5" x14ac:dyDescent="0.4">
      <c r="A521" s="125"/>
      <c r="B521" s="125"/>
      <c r="C521" s="126"/>
      <c r="D521" s="126"/>
      <c r="E521" s="126"/>
      <c r="R521" s="127"/>
      <c r="S521" s="29"/>
      <c r="AI521" s="127"/>
      <c r="AJ521" s="29"/>
    </row>
    <row r="522" spans="1:36" ht="19.5" x14ac:dyDescent="0.4">
      <c r="A522" s="125"/>
      <c r="B522" s="125"/>
      <c r="C522" s="126"/>
      <c r="D522" s="126"/>
      <c r="E522" s="126"/>
      <c r="L522" s="115"/>
      <c r="M522" s="115"/>
      <c r="N522" s="115"/>
      <c r="O522" s="115"/>
      <c r="P522" s="115"/>
      <c r="Q522" s="115"/>
      <c r="R522" s="29"/>
      <c r="S522" s="29"/>
      <c r="AD522" s="115"/>
      <c r="AE522" s="115"/>
      <c r="AF522" s="115"/>
      <c r="AG522" s="115"/>
      <c r="AH522" s="115"/>
      <c r="AI522" s="29"/>
      <c r="AJ522" s="29"/>
    </row>
    <row r="523" spans="1:36" ht="19.5" x14ac:dyDescent="0.4">
      <c r="A523" s="125"/>
      <c r="B523" s="125"/>
      <c r="C523" s="126"/>
      <c r="D523" s="126"/>
      <c r="E523" s="126"/>
      <c r="L523" s="115"/>
      <c r="M523" s="115"/>
      <c r="N523" s="115"/>
      <c r="O523" s="115"/>
      <c r="P523" s="115"/>
      <c r="Q523" s="115"/>
      <c r="R523" s="127"/>
      <c r="S523" s="29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27"/>
      <c r="AJ523" s="29"/>
    </row>
    <row r="524" spans="1:36" ht="19.5" x14ac:dyDescent="0.4">
      <c r="A524" s="125"/>
      <c r="B524" s="125"/>
      <c r="C524" s="126"/>
      <c r="D524" s="126"/>
      <c r="E524" s="126"/>
      <c r="L524" s="115"/>
      <c r="M524" s="115"/>
      <c r="N524" s="115"/>
      <c r="O524" s="115"/>
      <c r="P524" s="115"/>
      <c r="Q524" s="115"/>
      <c r="R524" s="29"/>
      <c r="S524" s="29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29"/>
      <c r="AJ524" s="29"/>
    </row>
    <row r="525" spans="1:36" ht="19.5" x14ac:dyDescent="0.4">
      <c r="A525" s="125"/>
      <c r="B525" s="125"/>
      <c r="C525" s="126"/>
      <c r="D525" s="126"/>
      <c r="E525" s="126"/>
      <c r="L525" s="115"/>
      <c r="M525" s="115"/>
      <c r="N525" s="115"/>
      <c r="O525" s="115"/>
      <c r="P525" s="115"/>
      <c r="Q525" s="115"/>
      <c r="R525" s="127"/>
      <c r="S525" s="29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27"/>
      <c r="AJ525" s="29"/>
    </row>
    <row r="526" spans="1:36" ht="19.5" x14ac:dyDescent="0.4">
      <c r="A526" s="125"/>
      <c r="B526" s="125"/>
      <c r="C526" s="126"/>
      <c r="D526" s="126"/>
      <c r="E526" s="126"/>
      <c r="L526" s="115"/>
      <c r="M526" s="115"/>
      <c r="N526" s="115"/>
      <c r="O526" s="115"/>
      <c r="P526" s="115"/>
      <c r="Q526" s="115"/>
      <c r="R526" s="29"/>
      <c r="S526" s="29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29"/>
      <c r="AJ526" s="29"/>
    </row>
    <row r="527" spans="1:36" ht="19.5" x14ac:dyDescent="0.4">
      <c r="A527" s="125"/>
      <c r="B527" s="125"/>
      <c r="C527" s="126"/>
      <c r="D527" s="126"/>
      <c r="E527" s="126"/>
      <c r="L527" s="115"/>
      <c r="M527" s="115"/>
      <c r="N527" s="115"/>
      <c r="O527" s="115"/>
      <c r="P527" s="115"/>
      <c r="Q527" s="115"/>
      <c r="R527" s="127"/>
      <c r="S527" s="29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27"/>
      <c r="AJ527" s="29"/>
    </row>
    <row r="528" spans="1:36" ht="19.5" x14ac:dyDescent="0.4">
      <c r="A528" s="125"/>
      <c r="B528" s="125"/>
      <c r="C528" s="126"/>
      <c r="D528" s="126"/>
      <c r="E528" s="126"/>
      <c r="L528" s="115"/>
      <c r="M528" s="115"/>
      <c r="N528" s="115"/>
      <c r="O528" s="115"/>
      <c r="P528" s="115"/>
      <c r="Q528" s="115"/>
      <c r="R528" s="29"/>
      <c r="S528" s="29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29"/>
      <c r="AJ528" s="29"/>
    </row>
    <row r="529" spans="1:36" ht="19.5" x14ac:dyDescent="0.4">
      <c r="A529" s="125"/>
      <c r="B529" s="125"/>
      <c r="C529" s="126"/>
      <c r="D529" s="126"/>
      <c r="E529" s="126"/>
      <c r="L529" s="115"/>
      <c r="M529" s="115"/>
      <c r="N529" s="115"/>
      <c r="O529" s="115"/>
      <c r="P529" s="115"/>
      <c r="Q529" s="115"/>
      <c r="R529" s="29"/>
      <c r="S529" s="29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29"/>
      <c r="AJ529" s="29"/>
    </row>
    <row r="530" spans="1:36" ht="19.5" x14ac:dyDescent="0.4">
      <c r="A530" s="125"/>
      <c r="B530" s="125"/>
      <c r="C530" s="126"/>
      <c r="D530" s="126"/>
      <c r="E530" s="126"/>
      <c r="L530" s="115"/>
      <c r="M530" s="115"/>
      <c r="N530" s="115"/>
      <c r="O530" s="115"/>
      <c r="P530" s="115"/>
      <c r="Q530" s="115"/>
      <c r="R530" s="29"/>
      <c r="S530" s="29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29"/>
      <c r="AJ530" s="29"/>
    </row>
    <row r="531" spans="1:36" ht="19.5" x14ac:dyDescent="0.4">
      <c r="A531" s="125"/>
      <c r="B531" s="125"/>
      <c r="C531" s="126"/>
      <c r="D531" s="126"/>
      <c r="E531" s="126"/>
      <c r="L531" s="115"/>
      <c r="M531" s="115"/>
      <c r="N531" s="115"/>
      <c r="O531" s="115"/>
      <c r="P531" s="115"/>
      <c r="Q531" s="115"/>
      <c r="R531" s="127"/>
      <c r="S531" s="29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27"/>
      <c r="AJ531" s="29"/>
    </row>
    <row r="532" spans="1:36" ht="19.5" x14ac:dyDescent="0.4">
      <c r="A532" s="125"/>
      <c r="B532" s="125"/>
      <c r="C532" s="126"/>
      <c r="D532" s="126"/>
      <c r="E532" s="126"/>
      <c r="R532" s="127"/>
      <c r="S532" s="29"/>
      <c r="AI532" s="127"/>
      <c r="AJ532" s="29"/>
    </row>
    <row r="533" spans="1:36" ht="19.5" x14ac:dyDescent="0.4">
      <c r="A533" s="125"/>
      <c r="B533" s="125"/>
      <c r="C533" s="126"/>
      <c r="D533" s="126"/>
      <c r="E533" s="126"/>
      <c r="L533" s="115"/>
      <c r="M533" s="115"/>
      <c r="N533" s="115"/>
      <c r="O533" s="115"/>
      <c r="P533" s="115"/>
      <c r="Q533" s="115"/>
      <c r="R533" s="127"/>
      <c r="S533" s="29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27"/>
      <c r="AJ533" s="29"/>
    </row>
    <row r="534" spans="1:36" ht="19.5" x14ac:dyDescent="0.4">
      <c r="A534" s="125"/>
      <c r="B534" s="125"/>
      <c r="C534" s="126"/>
      <c r="D534" s="126"/>
      <c r="E534" s="126"/>
      <c r="L534" s="115"/>
      <c r="M534" s="115"/>
      <c r="N534" s="115"/>
      <c r="O534" s="115"/>
      <c r="P534" s="115"/>
      <c r="Q534" s="115"/>
      <c r="R534" s="127"/>
      <c r="S534" s="29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27"/>
      <c r="AJ534" s="29"/>
    </row>
    <row r="535" spans="1:36" ht="19.5" x14ac:dyDescent="0.4">
      <c r="A535" s="125"/>
      <c r="B535" s="125"/>
      <c r="C535" s="126"/>
      <c r="D535" s="126"/>
      <c r="E535" s="126"/>
      <c r="L535" s="115"/>
      <c r="M535" s="115"/>
      <c r="N535" s="115"/>
      <c r="O535" s="115"/>
      <c r="P535" s="115"/>
      <c r="Q535" s="115"/>
      <c r="R535" s="29"/>
      <c r="S535" s="29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29"/>
      <c r="AJ535" s="29"/>
    </row>
    <row r="536" spans="1:36" ht="19.5" x14ac:dyDescent="0.4">
      <c r="A536" s="125"/>
      <c r="B536" s="125"/>
      <c r="C536" s="126"/>
      <c r="D536" s="126"/>
      <c r="E536" s="126"/>
      <c r="L536" s="115"/>
      <c r="M536" s="115"/>
      <c r="N536" s="115"/>
      <c r="O536" s="115"/>
      <c r="P536" s="115"/>
      <c r="Q536" s="115"/>
      <c r="R536" s="127"/>
      <c r="S536" s="29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27"/>
      <c r="AJ536" s="29"/>
    </row>
    <row r="537" spans="1:36" ht="19.5" x14ac:dyDescent="0.4">
      <c r="A537" s="125"/>
      <c r="B537" s="125"/>
      <c r="C537" s="126"/>
      <c r="D537" s="126"/>
      <c r="E537" s="126"/>
      <c r="L537" s="115"/>
      <c r="M537" s="115"/>
      <c r="N537" s="115"/>
      <c r="O537" s="115"/>
      <c r="P537" s="115"/>
      <c r="Q537" s="115"/>
      <c r="R537" s="29"/>
      <c r="S537" s="29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29"/>
      <c r="AJ537" s="29"/>
    </row>
    <row r="538" spans="1:36" ht="19.5" x14ac:dyDescent="0.4">
      <c r="A538" s="125"/>
      <c r="B538" s="125"/>
      <c r="C538" s="126"/>
      <c r="D538" s="126"/>
      <c r="E538" s="126"/>
      <c r="L538" s="115"/>
      <c r="M538" s="115"/>
      <c r="N538" s="115"/>
      <c r="O538" s="115"/>
      <c r="P538" s="115"/>
      <c r="Q538" s="115"/>
      <c r="R538" s="127"/>
      <c r="S538" s="29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27"/>
      <c r="AJ538" s="29"/>
    </row>
    <row r="539" spans="1:36" ht="19.5" x14ac:dyDescent="0.4">
      <c r="A539" s="125"/>
      <c r="B539" s="125"/>
      <c r="C539" s="126"/>
      <c r="D539" s="126"/>
      <c r="E539" s="126"/>
      <c r="R539" s="127"/>
      <c r="S539" s="29"/>
      <c r="AI539" s="127"/>
      <c r="AJ539" s="29"/>
    </row>
    <row r="540" spans="1:36" ht="19.5" x14ac:dyDescent="0.4">
      <c r="A540" s="125"/>
      <c r="B540" s="125"/>
      <c r="C540" s="126"/>
      <c r="D540" s="126"/>
      <c r="E540" s="126"/>
      <c r="R540" s="127"/>
      <c r="S540" s="29"/>
      <c r="AI540" s="127"/>
      <c r="AJ540" s="29"/>
    </row>
    <row r="541" spans="1:36" ht="19.5" x14ac:dyDescent="0.4">
      <c r="A541" s="125"/>
      <c r="B541" s="125"/>
      <c r="C541" s="126"/>
      <c r="D541" s="126"/>
      <c r="E541" s="126"/>
      <c r="L541" s="115"/>
      <c r="M541" s="115"/>
      <c r="N541" s="115"/>
      <c r="O541" s="115"/>
      <c r="P541" s="115"/>
      <c r="Q541" s="115"/>
      <c r="R541" s="127"/>
      <c r="S541" s="29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27"/>
      <c r="AJ541" s="29"/>
    </row>
    <row r="542" spans="1:36" ht="19.5" x14ac:dyDescent="0.4">
      <c r="A542" s="125"/>
      <c r="B542" s="125"/>
      <c r="C542" s="126"/>
      <c r="D542" s="126"/>
      <c r="E542" s="126"/>
      <c r="L542" s="115"/>
      <c r="M542" s="115"/>
      <c r="N542" s="115"/>
      <c r="O542" s="115"/>
      <c r="P542" s="115"/>
      <c r="Q542" s="115"/>
      <c r="R542" s="127"/>
      <c r="S542" s="29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27"/>
      <c r="AJ542" s="29"/>
    </row>
    <row r="543" spans="1:36" ht="19.5" x14ac:dyDescent="0.4">
      <c r="A543" s="125"/>
      <c r="B543" s="125"/>
      <c r="C543" s="126"/>
      <c r="D543" s="126"/>
      <c r="E543" s="126"/>
      <c r="L543" s="115"/>
      <c r="M543" s="115"/>
      <c r="N543" s="115"/>
      <c r="O543" s="115"/>
      <c r="P543" s="115"/>
      <c r="Q543" s="115"/>
      <c r="R543" s="29"/>
      <c r="S543" s="29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29"/>
      <c r="AJ543" s="29"/>
    </row>
    <row r="544" spans="1:36" ht="19.5" x14ac:dyDescent="0.4">
      <c r="A544" s="125"/>
      <c r="B544" s="125"/>
      <c r="C544" s="126"/>
      <c r="D544" s="126"/>
      <c r="E544" s="126"/>
      <c r="R544" s="127"/>
      <c r="S544" s="29"/>
      <c r="AI544" s="127"/>
      <c r="AJ544" s="29"/>
    </row>
    <row r="545" spans="1:36" ht="19.5" x14ac:dyDescent="0.4">
      <c r="A545" s="125"/>
      <c r="B545" s="125"/>
      <c r="C545" s="126"/>
      <c r="D545" s="126"/>
      <c r="E545" s="126"/>
      <c r="L545" s="115"/>
      <c r="M545" s="115"/>
      <c r="N545" s="115"/>
      <c r="O545" s="115"/>
      <c r="P545" s="115"/>
      <c r="Q545" s="115"/>
      <c r="R545" s="127"/>
      <c r="S545" s="29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27"/>
      <c r="AJ545" s="29"/>
    </row>
    <row r="546" spans="1:36" ht="19.5" x14ac:dyDescent="0.4">
      <c r="A546" s="125"/>
      <c r="B546" s="125"/>
      <c r="C546" s="126"/>
      <c r="D546" s="126"/>
      <c r="E546" s="126"/>
      <c r="L546" s="115"/>
      <c r="M546" s="115"/>
      <c r="N546" s="115"/>
      <c r="O546" s="115"/>
      <c r="P546" s="115"/>
      <c r="Q546" s="115"/>
      <c r="R546" s="127"/>
      <c r="S546" s="29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27"/>
      <c r="AJ546" s="29"/>
    </row>
    <row r="547" spans="1:36" ht="19.5" x14ac:dyDescent="0.4">
      <c r="A547" s="125"/>
      <c r="B547" s="125"/>
      <c r="C547" s="126"/>
      <c r="D547" s="126"/>
      <c r="E547" s="126"/>
      <c r="R547" s="127"/>
      <c r="S547" s="29"/>
      <c r="AI547" s="127"/>
      <c r="AJ547" s="29"/>
    </row>
    <row r="548" spans="1:36" ht="19.5" x14ac:dyDescent="0.4">
      <c r="A548" s="125"/>
      <c r="B548" s="125"/>
      <c r="C548" s="126"/>
      <c r="D548" s="126"/>
      <c r="E548" s="126"/>
      <c r="L548" s="115"/>
      <c r="M548" s="115"/>
      <c r="N548" s="115"/>
      <c r="O548" s="115"/>
      <c r="P548" s="115"/>
      <c r="Q548" s="115"/>
      <c r="R548" s="127"/>
      <c r="S548" s="29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27"/>
      <c r="AJ548" s="29"/>
    </row>
    <row r="549" spans="1:36" ht="19.5" x14ac:dyDescent="0.4">
      <c r="A549" s="125"/>
      <c r="B549" s="125"/>
      <c r="C549" s="126"/>
      <c r="D549" s="126"/>
      <c r="E549" s="126"/>
      <c r="R549" s="127"/>
      <c r="S549" s="29"/>
      <c r="AI549" s="127"/>
      <c r="AJ549" s="29"/>
    </row>
    <row r="550" spans="1:36" ht="19.5" x14ac:dyDescent="0.4">
      <c r="A550" s="125"/>
      <c r="B550" s="125"/>
      <c r="C550" s="126"/>
      <c r="D550" s="126"/>
      <c r="E550" s="126"/>
      <c r="L550" s="115"/>
      <c r="M550" s="115"/>
      <c r="N550" s="115"/>
      <c r="O550" s="115"/>
      <c r="P550" s="115"/>
      <c r="Q550" s="115"/>
      <c r="R550" s="29"/>
      <c r="S550" s="29"/>
      <c r="AB550" s="115"/>
      <c r="AC550" s="115"/>
      <c r="AD550" s="115"/>
      <c r="AE550" s="115"/>
      <c r="AF550" s="115"/>
      <c r="AG550" s="115"/>
      <c r="AH550" s="115"/>
      <c r="AI550" s="29"/>
      <c r="AJ550" s="29"/>
    </row>
    <row r="551" spans="1:36" ht="19.5" x14ac:dyDescent="0.4">
      <c r="A551" s="125"/>
      <c r="B551" s="125"/>
      <c r="C551" s="126"/>
      <c r="D551" s="126"/>
      <c r="E551" s="126"/>
      <c r="L551" s="115"/>
      <c r="M551" s="115"/>
      <c r="N551" s="115"/>
      <c r="O551" s="115"/>
      <c r="P551" s="115"/>
      <c r="Q551" s="115"/>
      <c r="R551" s="127"/>
      <c r="S551" s="29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27"/>
      <c r="AJ551" s="29"/>
    </row>
    <row r="552" spans="1:36" ht="19.5" x14ac:dyDescent="0.4">
      <c r="A552" s="125"/>
      <c r="B552" s="125"/>
      <c r="C552" s="126"/>
      <c r="D552" s="126"/>
      <c r="E552" s="126"/>
      <c r="L552" s="115"/>
      <c r="M552" s="115"/>
      <c r="N552" s="115"/>
      <c r="O552" s="115"/>
      <c r="P552" s="115"/>
      <c r="Q552" s="115"/>
      <c r="R552" s="127"/>
      <c r="S552" s="29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27"/>
      <c r="AJ552" s="29"/>
    </row>
    <row r="553" spans="1:36" ht="19.5" x14ac:dyDescent="0.4">
      <c r="A553" s="125"/>
      <c r="B553" s="125"/>
      <c r="C553" s="126"/>
      <c r="D553" s="126"/>
      <c r="E553" s="126"/>
      <c r="L553" s="115"/>
      <c r="M553" s="115"/>
      <c r="N553" s="115"/>
      <c r="O553" s="115"/>
      <c r="P553" s="115"/>
      <c r="Q553" s="115"/>
      <c r="R553" s="127"/>
      <c r="S553" s="29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27"/>
      <c r="AJ553" s="29"/>
    </row>
    <row r="554" spans="1:36" ht="19.5" x14ac:dyDescent="0.4">
      <c r="A554" s="125"/>
      <c r="B554" s="125"/>
      <c r="C554" s="126"/>
      <c r="D554" s="126"/>
      <c r="E554" s="126"/>
      <c r="L554" s="115"/>
      <c r="M554" s="115"/>
      <c r="N554" s="115"/>
      <c r="O554" s="115"/>
      <c r="P554" s="115"/>
      <c r="Q554" s="115"/>
      <c r="R554" s="127"/>
      <c r="S554" s="29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27"/>
      <c r="AJ554" s="29"/>
    </row>
    <row r="555" spans="1:36" ht="19.5" x14ac:dyDescent="0.4">
      <c r="A555" s="125"/>
      <c r="B555" s="125"/>
      <c r="C555" s="126"/>
      <c r="D555" s="126"/>
      <c r="E555" s="126"/>
      <c r="L555" s="115"/>
      <c r="M555" s="115"/>
      <c r="N555" s="115"/>
      <c r="O555" s="115"/>
      <c r="P555" s="115"/>
      <c r="Q555" s="115"/>
      <c r="R555" s="127"/>
      <c r="S555" s="29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27"/>
      <c r="AJ555" s="29"/>
    </row>
    <row r="556" spans="1:36" ht="19.5" x14ac:dyDescent="0.4">
      <c r="A556" s="125"/>
      <c r="B556" s="125"/>
      <c r="C556" s="126"/>
      <c r="D556" s="126"/>
      <c r="E556" s="126"/>
      <c r="R556" s="127"/>
      <c r="S556" s="29"/>
      <c r="AI556" s="127"/>
      <c r="AJ556" s="29"/>
    </row>
    <row r="557" spans="1:36" ht="19.5" x14ac:dyDescent="0.4">
      <c r="A557" s="125"/>
      <c r="B557" s="125"/>
      <c r="C557" s="126"/>
      <c r="D557" s="126"/>
      <c r="E557" s="126"/>
      <c r="L557" s="115"/>
      <c r="M557" s="115"/>
      <c r="N557" s="115"/>
      <c r="O557" s="115"/>
      <c r="P557" s="115"/>
      <c r="Q557" s="115"/>
      <c r="R557" s="127"/>
      <c r="S557" s="29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27"/>
      <c r="AJ557" s="29"/>
    </row>
    <row r="558" spans="1:36" ht="19.5" x14ac:dyDescent="0.4">
      <c r="A558" s="125"/>
      <c r="B558" s="125"/>
      <c r="C558" s="126"/>
      <c r="D558" s="126"/>
      <c r="E558" s="126"/>
      <c r="R558" s="127"/>
      <c r="S558" s="29"/>
      <c r="AI558" s="127"/>
      <c r="AJ558" s="29"/>
    </row>
    <row r="559" spans="1:36" ht="19.5" x14ac:dyDescent="0.4">
      <c r="A559" s="125"/>
      <c r="B559" s="125"/>
      <c r="C559" s="126"/>
      <c r="D559" s="126"/>
      <c r="E559" s="126"/>
      <c r="R559" s="127"/>
      <c r="S559" s="29"/>
      <c r="AI559" s="127"/>
      <c r="AJ559" s="29"/>
    </row>
    <row r="560" spans="1:36" ht="19.5" x14ac:dyDescent="0.4">
      <c r="A560" s="125"/>
      <c r="B560" s="125"/>
      <c r="C560" s="126"/>
      <c r="D560" s="126"/>
      <c r="E560" s="126"/>
      <c r="L560" s="115"/>
      <c r="M560" s="115"/>
      <c r="N560" s="115"/>
      <c r="O560" s="115"/>
      <c r="P560" s="115"/>
      <c r="Q560" s="115"/>
      <c r="R560" s="127"/>
      <c r="S560" s="29"/>
      <c r="AA560" s="115"/>
      <c r="AB560" s="115"/>
      <c r="AC560" s="115"/>
      <c r="AD560" s="115"/>
      <c r="AE560" s="115"/>
      <c r="AF560" s="115"/>
      <c r="AG560" s="115"/>
      <c r="AH560" s="115"/>
      <c r="AI560" s="127"/>
      <c r="AJ560" s="29"/>
    </row>
    <row r="561" spans="1:36" ht="19.5" x14ac:dyDescent="0.4">
      <c r="A561" s="125"/>
      <c r="B561" s="125"/>
      <c r="C561" s="126"/>
      <c r="D561" s="126"/>
      <c r="E561" s="126"/>
      <c r="R561" s="127"/>
      <c r="S561" s="29"/>
      <c r="AI561" s="127"/>
      <c r="AJ561" s="29"/>
    </row>
    <row r="562" spans="1:36" ht="19.5" x14ac:dyDescent="0.4">
      <c r="A562" s="125"/>
      <c r="B562" s="125"/>
      <c r="C562" s="126"/>
      <c r="D562" s="126"/>
      <c r="E562" s="126"/>
      <c r="L562" s="115"/>
      <c r="M562" s="115"/>
      <c r="N562" s="115"/>
      <c r="O562" s="115"/>
      <c r="P562" s="115"/>
      <c r="Q562" s="115"/>
      <c r="R562" s="127"/>
      <c r="S562" s="29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27"/>
      <c r="AJ562" s="29"/>
    </row>
    <row r="563" spans="1:36" x14ac:dyDescent="0.4">
      <c r="R563" s="127"/>
      <c r="S563" s="29"/>
      <c r="AI563" s="127"/>
      <c r="AJ563" s="29"/>
    </row>
    <row r="564" spans="1:36" x14ac:dyDescent="0.4">
      <c r="L564" s="115"/>
      <c r="M564" s="115"/>
      <c r="N564" s="115"/>
      <c r="O564" s="115"/>
      <c r="P564" s="115"/>
      <c r="Q564" s="115"/>
      <c r="R564" s="127"/>
      <c r="S564" s="29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27"/>
      <c r="AJ564" s="29"/>
    </row>
    <row r="565" spans="1:36" x14ac:dyDescent="0.4">
      <c r="R565" s="127"/>
      <c r="S565" s="29"/>
      <c r="AI565" s="127"/>
      <c r="AJ565" s="29"/>
    </row>
    <row r="566" spans="1:36" x14ac:dyDescent="0.4">
      <c r="L566" s="115"/>
      <c r="M566" s="115"/>
      <c r="N566" s="115"/>
      <c r="O566" s="115"/>
      <c r="P566" s="115"/>
      <c r="Q566" s="115"/>
      <c r="R566" s="127"/>
      <c r="S566" s="29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27"/>
      <c r="AJ566" s="29"/>
    </row>
    <row r="567" spans="1:36" x14ac:dyDescent="0.4">
      <c r="L567" s="115"/>
      <c r="M567" s="115"/>
      <c r="N567" s="115"/>
      <c r="O567" s="115"/>
      <c r="P567" s="115"/>
      <c r="Q567" s="115"/>
      <c r="R567" s="127"/>
      <c r="S567" s="29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27"/>
      <c r="AJ567" s="29"/>
    </row>
    <row r="568" spans="1:36" x14ac:dyDescent="0.4">
      <c r="L568" s="115"/>
      <c r="M568" s="115"/>
      <c r="N568" s="115"/>
      <c r="O568" s="115"/>
      <c r="P568" s="115"/>
      <c r="Q568" s="115"/>
      <c r="R568" s="127"/>
      <c r="S568" s="29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27"/>
      <c r="AJ568" s="29"/>
    </row>
    <row r="569" spans="1:36" x14ac:dyDescent="0.4">
      <c r="L569" s="115"/>
      <c r="M569" s="115"/>
      <c r="N569" s="115"/>
      <c r="O569" s="115"/>
      <c r="P569" s="115"/>
      <c r="Q569" s="115"/>
      <c r="R569" s="127"/>
      <c r="S569" s="29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27"/>
      <c r="AJ569" s="29"/>
    </row>
    <row r="570" spans="1:36" x14ac:dyDescent="0.4">
      <c r="L570" s="115"/>
      <c r="M570" s="115"/>
      <c r="N570" s="115"/>
      <c r="O570" s="115"/>
      <c r="P570" s="115"/>
      <c r="Q570" s="115"/>
      <c r="R570" s="127"/>
      <c r="S570" s="29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27"/>
      <c r="AJ570" s="29"/>
    </row>
    <row r="571" spans="1:36" x14ac:dyDescent="0.4">
      <c r="R571" s="127"/>
      <c r="S571" s="29"/>
      <c r="AI571" s="127"/>
      <c r="AJ571" s="29"/>
    </row>
    <row r="572" spans="1:36" x14ac:dyDescent="0.4">
      <c r="R572" s="127"/>
      <c r="S572" s="29"/>
      <c r="AI572" s="127"/>
      <c r="AJ572" s="29"/>
    </row>
    <row r="573" spans="1:36" x14ac:dyDescent="0.4">
      <c r="L573" s="115"/>
      <c r="M573" s="115"/>
      <c r="N573" s="115"/>
      <c r="O573" s="115"/>
      <c r="P573" s="115"/>
      <c r="Q573" s="115"/>
      <c r="R573" s="127"/>
      <c r="S573" s="29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27"/>
      <c r="AJ573" s="29"/>
    </row>
    <row r="574" spans="1:36" x14ac:dyDescent="0.4">
      <c r="L574" s="115"/>
      <c r="M574" s="115"/>
      <c r="N574" s="115"/>
      <c r="O574" s="115"/>
      <c r="P574" s="115"/>
      <c r="Q574" s="115"/>
      <c r="R574" s="127"/>
      <c r="S574" s="29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27"/>
      <c r="AJ574" s="29"/>
    </row>
    <row r="575" spans="1:36" x14ac:dyDescent="0.4">
      <c r="R575" s="127"/>
      <c r="S575" s="29"/>
      <c r="AI575" s="127"/>
      <c r="AJ575" s="29"/>
    </row>
    <row r="576" spans="1:36" x14ac:dyDescent="0.4">
      <c r="L576" s="115"/>
      <c r="M576" s="115"/>
      <c r="N576" s="115"/>
      <c r="O576" s="115"/>
      <c r="P576" s="115"/>
      <c r="Q576" s="115"/>
      <c r="R576" s="127"/>
      <c r="S576" s="29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27"/>
      <c r="AJ576" s="29"/>
    </row>
    <row r="577" spans="12:36" x14ac:dyDescent="0.4">
      <c r="L577" s="115"/>
      <c r="M577" s="115"/>
      <c r="N577" s="115"/>
      <c r="O577" s="115"/>
      <c r="P577" s="115"/>
      <c r="Q577" s="115"/>
      <c r="R577" s="127"/>
      <c r="S577" s="29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27"/>
      <c r="AJ577" s="29"/>
    </row>
    <row r="578" spans="12:36" x14ac:dyDescent="0.4">
      <c r="L578" s="115"/>
      <c r="M578" s="115"/>
      <c r="N578" s="115"/>
      <c r="O578" s="115"/>
      <c r="P578" s="115"/>
      <c r="Q578" s="115"/>
      <c r="R578" s="29"/>
      <c r="S578" s="29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29"/>
      <c r="AJ578" s="29"/>
    </row>
    <row r="579" spans="12:36" x14ac:dyDescent="0.4">
      <c r="R579" s="127"/>
      <c r="S579" s="29"/>
      <c r="AI579" s="127"/>
      <c r="AJ579" s="29"/>
    </row>
    <row r="580" spans="12:36" x14ac:dyDescent="0.4">
      <c r="L580" s="115"/>
      <c r="M580" s="115"/>
      <c r="N580" s="115"/>
      <c r="O580" s="115"/>
      <c r="P580" s="115"/>
      <c r="Q580" s="115"/>
      <c r="R580" s="127"/>
      <c r="S580" s="29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27"/>
      <c r="AJ580" s="29"/>
    </row>
    <row r="581" spans="12:36" x14ac:dyDescent="0.4">
      <c r="L581" s="115"/>
      <c r="M581" s="115"/>
      <c r="N581" s="115"/>
      <c r="O581" s="115"/>
      <c r="P581" s="115"/>
      <c r="Q581" s="115"/>
      <c r="R581" s="29"/>
      <c r="S581" s="29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29"/>
      <c r="AJ581" s="29"/>
    </row>
    <row r="582" spans="12:36" x14ac:dyDescent="0.4">
      <c r="L582" s="115"/>
      <c r="M582" s="115"/>
      <c r="N582" s="115"/>
      <c r="O582" s="115"/>
      <c r="P582" s="115"/>
      <c r="Q582" s="115"/>
      <c r="R582" s="127"/>
      <c r="S582" s="29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27"/>
      <c r="AJ582" s="29"/>
    </row>
    <row r="583" spans="12:36" x14ac:dyDescent="0.4">
      <c r="L583" s="115"/>
      <c r="M583" s="115"/>
      <c r="N583" s="115"/>
      <c r="O583" s="115"/>
      <c r="P583" s="115"/>
      <c r="Q583" s="115"/>
      <c r="R583" s="127"/>
      <c r="S583" s="29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27"/>
      <c r="AJ583" s="29"/>
    </row>
    <row r="584" spans="12:36" x14ac:dyDescent="0.4">
      <c r="L584" s="115"/>
      <c r="M584" s="115"/>
      <c r="N584" s="115"/>
      <c r="O584" s="115"/>
      <c r="P584" s="115"/>
      <c r="Q584" s="115"/>
      <c r="R584" s="127"/>
      <c r="S584" s="29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27"/>
      <c r="AJ584" s="29"/>
    </row>
    <row r="585" spans="12:36" x14ac:dyDescent="0.4">
      <c r="R585" s="127"/>
      <c r="S585" s="29"/>
      <c r="AI585" s="127"/>
      <c r="AJ585" s="29"/>
    </row>
    <row r="586" spans="12:36" x14ac:dyDescent="0.4">
      <c r="L586" s="115"/>
      <c r="M586" s="115"/>
      <c r="N586" s="115"/>
      <c r="O586" s="115"/>
      <c r="P586" s="115"/>
      <c r="Q586" s="115"/>
      <c r="R586" s="127"/>
      <c r="S586" s="29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27"/>
      <c r="AJ586" s="29"/>
    </row>
    <row r="587" spans="12:36" x14ac:dyDescent="0.4"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27"/>
      <c r="AJ587" s="29"/>
    </row>
    <row r="588" spans="12:36" x14ac:dyDescent="0.4"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27"/>
      <c r="AJ588" s="29"/>
    </row>
    <row r="589" spans="12:36" x14ac:dyDescent="0.4"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29"/>
      <c r="AJ589" s="29"/>
    </row>
    <row r="590" spans="12:36" x14ac:dyDescent="0.4"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27"/>
      <c r="AJ590" s="29"/>
    </row>
    <row r="591" spans="12:36" x14ac:dyDescent="0.4"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29"/>
      <c r="AJ591" s="29"/>
    </row>
    <row r="592" spans="12:36" x14ac:dyDescent="0.4"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27"/>
      <c r="AJ592" s="29"/>
    </row>
    <row r="593" spans="20:36" x14ac:dyDescent="0.4"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29"/>
      <c r="AJ593" s="29"/>
    </row>
    <row r="594" spans="20:36" x14ac:dyDescent="0.4"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27"/>
      <c r="AJ594" s="29"/>
    </row>
    <row r="595" spans="20:36" x14ac:dyDescent="0.4"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29"/>
      <c r="AJ595" s="29"/>
    </row>
    <row r="596" spans="20:36" x14ac:dyDescent="0.4"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27"/>
      <c r="AJ596" s="29"/>
    </row>
    <row r="597" spans="20:36" x14ac:dyDescent="0.4"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27"/>
      <c r="AJ597" s="29"/>
    </row>
    <row r="598" spans="20:36" x14ac:dyDescent="0.4"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27"/>
      <c r="AJ598" s="29"/>
    </row>
    <row r="599" spans="20:36" x14ac:dyDescent="0.4"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27"/>
      <c r="AJ599" s="29"/>
    </row>
    <row r="600" spans="20:36" x14ac:dyDescent="0.4"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27"/>
      <c r="AJ600" s="29"/>
    </row>
    <row r="601" spans="20:36" x14ac:dyDescent="0.4">
      <c r="AI601" s="127"/>
      <c r="AJ601" s="29"/>
    </row>
    <row r="602" spans="20:36" x14ac:dyDescent="0.4"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27"/>
      <c r="AJ602" s="29"/>
    </row>
    <row r="603" spans="20:36" x14ac:dyDescent="0.4">
      <c r="AI603" s="127"/>
      <c r="AJ603" s="29"/>
    </row>
    <row r="604" spans="20:36" x14ac:dyDescent="0.4">
      <c r="AA604" s="115"/>
      <c r="AB604" s="115"/>
      <c r="AC604" s="115"/>
      <c r="AD604" s="115"/>
      <c r="AE604" s="115"/>
      <c r="AF604" s="115"/>
      <c r="AG604" s="115"/>
      <c r="AH604" s="115"/>
      <c r="AI604" s="127"/>
      <c r="AJ604" s="29"/>
    </row>
    <row r="605" spans="20:36" x14ac:dyDescent="0.4"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27"/>
      <c r="AJ605" s="29"/>
    </row>
    <row r="606" spans="20:36" x14ac:dyDescent="0.4"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29"/>
      <c r="AJ606" s="29"/>
    </row>
    <row r="607" spans="20:36" x14ac:dyDescent="0.4"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29"/>
      <c r="AJ607" s="29"/>
    </row>
    <row r="608" spans="20:36" x14ac:dyDescent="0.4"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27"/>
      <c r="AJ608" s="29"/>
    </row>
    <row r="609" spans="20:36" x14ac:dyDescent="0.4"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27"/>
      <c r="AJ609" s="29"/>
    </row>
    <row r="610" spans="20:36" x14ac:dyDescent="0.4">
      <c r="AI610" s="127"/>
      <c r="AJ610" s="29"/>
    </row>
    <row r="611" spans="20:36" x14ac:dyDescent="0.4"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27"/>
      <c r="AJ611" s="29"/>
    </row>
    <row r="612" spans="20:36" x14ac:dyDescent="0.4"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27"/>
      <c r="AJ612" s="29"/>
    </row>
    <row r="613" spans="20:36" x14ac:dyDescent="0.4"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27"/>
      <c r="AJ613" s="29"/>
    </row>
    <row r="614" spans="20:36" x14ac:dyDescent="0.4">
      <c r="AI614" s="127"/>
      <c r="AJ614" s="29"/>
    </row>
    <row r="615" spans="20:36" x14ac:dyDescent="0.4"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27"/>
      <c r="AJ615" s="29"/>
    </row>
    <row r="616" spans="20:36" x14ac:dyDescent="0.4"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27"/>
      <c r="AJ616" s="29"/>
    </row>
    <row r="617" spans="20:36" x14ac:dyDescent="0.4"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27"/>
      <c r="AJ617" s="29"/>
    </row>
    <row r="618" spans="20:36" x14ac:dyDescent="0.4"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27"/>
      <c r="AJ618" s="29"/>
    </row>
    <row r="619" spans="20:36" x14ac:dyDescent="0.4">
      <c r="AI619" s="127"/>
      <c r="AJ619" s="29"/>
    </row>
    <row r="620" spans="20:36" x14ac:dyDescent="0.4"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27"/>
      <c r="AJ620" s="29"/>
    </row>
    <row r="621" spans="20:36" x14ac:dyDescent="0.4"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27"/>
      <c r="AJ621" s="29"/>
    </row>
    <row r="622" spans="20:36" x14ac:dyDescent="0.4"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27"/>
      <c r="AJ622" s="29"/>
    </row>
    <row r="623" spans="20:36" x14ac:dyDescent="0.4"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27"/>
      <c r="AJ623" s="29"/>
    </row>
    <row r="624" spans="20:36" x14ac:dyDescent="0.4">
      <c r="AI624" s="127"/>
      <c r="AJ624" s="29"/>
    </row>
    <row r="625" spans="19:36" x14ac:dyDescent="0.4"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27"/>
      <c r="AJ625" s="29"/>
    </row>
    <row r="626" spans="19:36" x14ac:dyDescent="0.4">
      <c r="AI626" s="127"/>
      <c r="AJ626" s="29"/>
    </row>
    <row r="627" spans="19:36" x14ac:dyDescent="0.4"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27"/>
      <c r="AJ627" s="29"/>
    </row>
    <row r="628" spans="19:36" x14ac:dyDescent="0.4"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27"/>
      <c r="AJ628" s="29"/>
    </row>
    <row r="629" spans="19:36" x14ac:dyDescent="0.4"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27"/>
      <c r="AJ629" s="29"/>
    </row>
    <row r="630" spans="19:36" x14ac:dyDescent="0.4"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27"/>
      <c r="AJ630" s="29"/>
    </row>
    <row r="631" spans="19:36" x14ac:dyDescent="0.4"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27"/>
      <c r="AJ631" s="29"/>
    </row>
    <row r="632" spans="19:36" x14ac:dyDescent="0.4">
      <c r="AI632" s="127"/>
      <c r="AJ632" s="29"/>
    </row>
    <row r="633" spans="19:36" x14ac:dyDescent="0.4"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27"/>
      <c r="AJ633" s="29"/>
    </row>
    <row r="634" spans="19:36" x14ac:dyDescent="0.4"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27"/>
      <c r="AJ634" s="29"/>
    </row>
    <row r="635" spans="19:36" x14ac:dyDescent="0.4"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27"/>
      <c r="AJ635" s="29"/>
    </row>
    <row r="636" spans="19:36" x14ac:dyDescent="0.4"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27"/>
      <c r="AJ636" s="29"/>
    </row>
    <row r="637" spans="19:36" x14ac:dyDescent="0.4">
      <c r="AI637" s="127"/>
      <c r="AJ637" s="29"/>
    </row>
    <row r="638" spans="19:36" x14ac:dyDescent="0.4"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27"/>
      <c r="AJ638" s="29"/>
    </row>
    <row r="639" spans="19:36" x14ac:dyDescent="0.4">
      <c r="AI639" s="127"/>
      <c r="AJ639" s="29"/>
    </row>
    <row r="640" spans="19:36" x14ac:dyDescent="0.4"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27"/>
      <c r="AJ640" s="29"/>
    </row>
    <row r="641" spans="21:36" x14ac:dyDescent="0.4"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27"/>
      <c r="AJ641" s="29"/>
    </row>
    <row r="642" spans="21:36" x14ac:dyDescent="0.4">
      <c r="AI642" s="127"/>
      <c r="AJ642" s="29"/>
    </row>
    <row r="643" spans="21:36" x14ac:dyDescent="0.4">
      <c r="AA643" s="115"/>
      <c r="AB643" s="115"/>
      <c r="AC643" s="115"/>
      <c r="AD643" s="115"/>
      <c r="AE643" s="115"/>
      <c r="AF643" s="115"/>
      <c r="AG643" s="115"/>
      <c r="AH643" s="115"/>
      <c r="AI643" s="29"/>
      <c r="AJ643" s="29"/>
    </row>
    <row r="644" spans="21:36" x14ac:dyDescent="0.4"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27"/>
      <c r="AJ644" s="29"/>
    </row>
    <row r="645" spans="21:36" x14ac:dyDescent="0.4"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27"/>
      <c r="AJ645" s="29"/>
    </row>
    <row r="646" spans="21:36" x14ac:dyDescent="0.4">
      <c r="AI646" s="127"/>
      <c r="AJ646" s="29"/>
    </row>
    <row r="647" spans="21:36" x14ac:dyDescent="0.4">
      <c r="AI647" s="127"/>
      <c r="AJ647" s="29"/>
    </row>
    <row r="648" spans="21:36" x14ac:dyDescent="0.4"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27"/>
      <c r="AJ648" s="29"/>
    </row>
    <row r="649" spans="21:36" x14ac:dyDescent="0.4"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27"/>
      <c r="AJ649" s="29"/>
    </row>
    <row r="650" spans="21:36" x14ac:dyDescent="0.4">
      <c r="AI650" s="127"/>
      <c r="AJ650" s="29"/>
    </row>
    <row r="651" spans="21:36" x14ac:dyDescent="0.4"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27"/>
      <c r="AJ651" s="29"/>
    </row>
    <row r="652" spans="21:36" x14ac:dyDescent="0.4"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27"/>
      <c r="AJ652" s="29"/>
    </row>
    <row r="653" spans="21:36" x14ac:dyDescent="0.4">
      <c r="AI653" s="127"/>
      <c r="AJ653" s="29"/>
    </row>
    <row r="654" spans="21:36" x14ac:dyDescent="0.4">
      <c r="AA654" s="115"/>
      <c r="AB654" s="115"/>
      <c r="AC654" s="115"/>
      <c r="AD654" s="115"/>
      <c r="AE654" s="115"/>
      <c r="AF654" s="115"/>
      <c r="AG654" s="115"/>
      <c r="AH654" s="115"/>
      <c r="AI654" s="29"/>
      <c r="AJ654" s="29"/>
    </row>
    <row r="655" spans="21:36" x14ac:dyDescent="0.4">
      <c r="AI655" s="127"/>
      <c r="AJ655" s="29"/>
    </row>
    <row r="656" spans="21:36" x14ac:dyDescent="0.4">
      <c r="AI656" s="127"/>
      <c r="AJ656" s="29"/>
    </row>
    <row r="657" spans="19:36" x14ac:dyDescent="0.4"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27"/>
      <c r="AJ657" s="29"/>
    </row>
    <row r="658" spans="19:36" x14ac:dyDescent="0.4"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29"/>
      <c r="AJ658" s="29"/>
    </row>
    <row r="659" spans="19:36" x14ac:dyDescent="0.4">
      <c r="AI659" s="127"/>
      <c r="AJ659" s="29"/>
    </row>
    <row r="660" spans="19:36" x14ac:dyDescent="0.4">
      <c r="AI660" s="127"/>
      <c r="AJ660" s="29"/>
    </row>
    <row r="661" spans="19:36" x14ac:dyDescent="0.4">
      <c r="AI661" s="127"/>
      <c r="AJ661" s="29"/>
    </row>
    <row r="662" spans="19:36" x14ac:dyDescent="0.4">
      <c r="AA662" s="115"/>
      <c r="AB662" s="115"/>
      <c r="AC662" s="115"/>
      <c r="AD662" s="115"/>
      <c r="AE662" s="115"/>
      <c r="AF662" s="115"/>
      <c r="AG662" s="115"/>
      <c r="AH662" s="115"/>
      <c r="AI662" s="29"/>
      <c r="AJ662" s="29"/>
    </row>
    <row r="663" spans="19:36" x14ac:dyDescent="0.4">
      <c r="AA663" s="115"/>
      <c r="AB663" s="115"/>
      <c r="AC663" s="115"/>
      <c r="AD663" s="115"/>
      <c r="AE663" s="115"/>
      <c r="AF663" s="115"/>
      <c r="AG663" s="115"/>
      <c r="AH663" s="115"/>
      <c r="AI663" s="29"/>
      <c r="AJ663" s="29"/>
    </row>
    <row r="664" spans="19:36" x14ac:dyDescent="0.4">
      <c r="AI664" s="127"/>
      <c r="AJ664" s="29"/>
    </row>
    <row r="665" spans="19:36" x14ac:dyDescent="0.4"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29"/>
      <c r="AJ665" s="29"/>
    </row>
    <row r="666" spans="19:36" x14ac:dyDescent="0.4"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27"/>
      <c r="AJ666" s="29"/>
    </row>
    <row r="667" spans="19:36" x14ac:dyDescent="0.4"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29"/>
      <c r="AJ667" s="29"/>
    </row>
    <row r="668" spans="19:36" x14ac:dyDescent="0.4">
      <c r="AI668" s="127"/>
      <c r="AJ668" s="29"/>
    </row>
    <row r="669" spans="19:36" x14ac:dyDescent="0.4">
      <c r="AI669" s="127"/>
      <c r="AJ669" s="29"/>
    </row>
    <row r="670" spans="19:36" x14ac:dyDescent="0.4">
      <c r="AI670" s="127"/>
      <c r="AJ670" s="29"/>
    </row>
    <row r="671" spans="19:36" x14ac:dyDescent="0.4"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27"/>
      <c r="AJ671" s="29"/>
    </row>
    <row r="672" spans="19:36" x14ac:dyDescent="0.4"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27"/>
      <c r="AJ672" s="29"/>
    </row>
    <row r="673" spans="19:36" x14ac:dyDescent="0.4"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29"/>
      <c r="AJ673" s="29"/>
    </row>
    <row r="674" spans="19:36" x14ac:dyDescent="0.4">
      <c r="AI674" s="127"/>
      <c r="AJ674" s="29"/>
    </row>
    <row r="675" spans="19:36" x14ac:dyDescent="0.4"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29"/>
      <c r="AJ675" s="29"/>
    </row>
    <row r="676" spans="19:36" x14ac:dyDescent="0.4">
      <c r="AI676" s="127"/>
      <c r="AJ676" s="29"/>
    </row>
    <row r="677" spans="19:36" x14ac:dyDescent="0.4"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29"/>
      <c r="AJ677" s="29"/>
    </row>
    <row r="678" spans="19:36" x14ac:dyDescent="0.4"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29"/>
      <c r="AJ678" s="29"/>
    </row>
    <row r="679" spans="19:36" x14ac:dyDescent="0.4">
      <c r="AI679" s="127"/>
      <c r="AJ679" s="29"/>
    </row>
    <row r="680" spans="19:36" x14ac:dyDescent="0.4">
      <c r="AI680" s="127"/>
      <c r="AJ680" s="29"/>
    </row>
    <row r="681" spans="19:36" x14ac:dyDescent="0.4">
      <c r="AI681" s="128"/>
      <c r="AJ681" s="29"/>
    </row>
    <row r="682" spans="19:36" x14ac:dyDescent="0.4"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27"/>
      <c r="AJ682" s="29"/>
    </row>
    <row r="683" spans="19:36" x14ac:dyDescent="0.4">
      <c r="AI683" s="127"/>
      <c r="AJ683" s="29"/>
    </row>
    <row r="684" spans="19:36" x14ac:dyDescent="0.4"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27"/>
      <c r="AJ684" s="29"/>
    </row>
    <row r="685" spans="19:36" x14ac:dyDescent="0.4">
      <c r="AI685" s="127"/>
      <c r="AJ685" s="29"/>
    </row>
    <row r="686" spans="19:36" x14ac:dyDescent="0.4">
      <c r="AI686" s="127"/>
      <c r="AJ686" s="29"/>
    </row>
    <row r="687" spans="19:36" x14ac:dyDescent="0.4"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27"/>
      <c r="AJ687" s="29"/>
    </row>
    <row r="688" spans="19:36" x14ac:dyDescent="0.4">
      <c r="AI688" s="127"/>
      <c r="AJ688" s="29"/>
    </row>
    <row r="689" spans="19:36" x14ac:dyDescent="0.4"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27"/>
      <c r="AJ689" s="29"/>
    </row>
    <row r="690" spans="19:36" x14ac:dyDescent="0.4">
      <c r="AI690" s="127"/>
      <c r="AJ690" s="29"/>
    </row>
    <row r="691" spans="19:36" x14ac:dyDescent="0.4"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27"/>
      <c r="AJ691" s="29"/>
    </row>
    <row r="692" spans="19:36" x14ac:dyDescent="0.4">
      <c r="AI692" s="127"/>
      <c r="AJ692" s="29"/>
    </row>
    <row r="693" spans="19:36" x14ac:dyDescent="0.4">
      <c r="AI693" s="128"/>
      <c r="AJ693" s="29"/>
    </row>
    <row r="694" spans="19:36" x14ac:dyDescent="0.4">
      <c r="AI694" s="127"/>
      <c r="AJ694" s="29"/>
    </row>
    <row r="695" spans="19:36" x14ac:dyDescent="0.4">
      <c r="AI695" s="127"/>
      <c r="AJ695" s="29"/>
    </row>
    <row r="696" spans="19:36" x14ac:dyDescent="0.4">
      <c r="AI696" s="128"/>
      <c r="AJ696" s="29"/>
    </row>
    <row r="697" spans="19:36" x14ac:dyDescent="0.4">
      <c r="AI697" s="127"/>
      <c r="AJ697" s="29"/>
    </row>
    <row r="698" spans="19:36" x14ac:dyDescent="0.4">
      <c r="AI698" s="128"/>
      <c r="AJ698" s="29"/>
    </row>
    <row r="699" spans="19:36" x14ac:dyDescent="0.4">
      <c r="AI699" s="127"/>
      <c r="AJ699" s="29"/>
    </row>
    <row r="700" spans="19:36" x14ac:dyDescent="0.4"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27"/>
      <c r="AJ700" s="29"/>
    </row>
    <row r="701" spans="19:36" x14ac:dyDescent="0.4"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28"/>
      <c r="AJ701" s="29"/>
    </row>
    <row r="702" spans="19:36" x14ac:dyDescent="0.4">
      <c r="AI702" s="127"/>
      <c r="AJ702" s="29"/>
    </row>
    <row r="703" spans="19:36" x14ac:dyDescent="0.4">
      <c r="AI703" s="128"/>
      <c r="AJ703" s="29"/>
    </row>
    <row r="704" spans="19:36" x14ac:dyDescent="0.4"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27"/>
      <c r="AJ704" s="29"/>
    </row>
    <row r="705" spans="20:36" x14ac:dyDescent="0.4">
      <c r="AI705" s="127"/>
      <c r="AJ705" s="29"/>
    </row>
    <row r="706" spans="20:36" x14ac:dyDescent="0.4">
      <c r="AI706" s="127"/>
      <c r="AJ706" s="29"/>
    </row>
    <row r="707" spans="20:36" x14ac:dyDescent="0.4"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27"/>
      <c r="AJ707" s="29"/>
    </row>
    <row r="708" spans="20:36" x14ac:dyDescent="0.4">
      <c r="AI708" s="127"/>
      <c r="AJ708" s="29"/>
    </row>
    <row r="709" spans="20:36" x14ac:dyDescent="0.4">
      <c r="AI709" s="127"/>
      <c r="AJ709" s="29"/>
    </row>
    <row r="710" spans="20:36" x14ac:dyDescent="0.4">
      <c r="AI710" s="127"/>
      <c r="AJ710" s="29"/>
    </row>
    <row r="711" spans="20:36" x14ac:dyDescent="0.4"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27"/>
      <c r="AJ711" s="29"/>
    </row>
    <row r="712" spans="20:36" x14ac:dyDescent="0.4"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28"/>
      <c r="AJ712" s="29"/>
    </row>
    <row r="713" spans="20:36" x14ac:dyDescent="0.4">
      <c r="AI713" s="127"/>
      <c r="AJ713" s="29"/>
    </row>
    <row r="714" spans="20:36" x14ac:dyDescent="0.4">
      <c r="AI714" s="128"/>
      <c r="AJ714" s="29"/>
    </row>
    <row r="715" spans="20:36" x14ac:dyDescent="0.4">
      <c r="AI715" s="127"/>
      <c r="AJ715" s="29"/>
    </row>
    <row r="716" spans="20:36" x14ac:dyDescent="0.4"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27"/>
      <c r="AJ716" s="29"/>
    </row>
    <row r="717" spans="20:36" x14ac:dyDescent="0.4">
      <c r="AI717" s="127"/>
      <c r="AJ717" s="29"/>
    </row>
    <row r="718" spans="20:36" x14ac:dyDescent="0.4">
      <c r="AI718" s="128"/>
      <c r="AJ718" s="29"/>
    </row>
    <row r="719" spans="20:36" x14ac:dyDescent="0.4">
      <c r="AI719" s="128"/>
      <c r="AJ719" s="29"/>
    </row>
    <row r="720" spans="20:36" x14ac:dyDescent="0.4">
      <c r="AI720" s="127"/>
      <c r="AJ720" s="29"/>
    </row>
    <row r="721" spans="20:36" x14ac:dyDescent="0.4">
      <c r="AI721" s="127"/>
      <c r="AJ721" s="29"/>
    </row>
    <row r="722" spans="20:36" x14ac:dyDescent="0.4">
      <c r="AI722" s="127"/>
      <c r="AJ722" s="29"/>
    </row>
    <row r="723" spans="20:36" x14ac:dyDescent="0.4">
      <c r="AI723" s="127"/>
      <c r="AJ723" s="29"/>
    </row>
    <row r="724" spans="20:36" x14ac:dyDescent="0.4"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29"/>
      <c r="AJ724" s="29"/>
    </row>
    <row r="725" spans="20:36" x14ac:dyDescent="0.4">
      <c r="AI725" s="127"/>
      <c r="AJ725" s="127"/>
    </row>
    <row r="726" spans="20:36" x14ac:dyDescent="0.4"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29"/>
      <c r="AJ726" s="29"/>
    </row>
    <row r="727" spans="20:36" x14ac:dyDescent="0.4"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29"/>
      <c r="AJ727" s="29"/>
    </row>
    <row r="728" spans="20:36" x14ac:dyDescent="0.4">
      <c r="AI728" s="127"/>
      <c r="AJ728" s="29"/>
    </row>
    <row r="729" spans="20:36" x14ac:dyDescent="0.4">
      <c r="AI729" s="127"/>
      <c r="AJ729" s="29"/>
    </row>
    <row r="730" spans="20:36" x14ac:dyDescent="0.4">
      <c r="AI730" s="127"/>
      <c r="AJ730" s="29"/>
    </row>
    <row r="731" spans="20:36" x14ac:dyDescent="0.4">
      <c r="AI731" s="127"/>
      <c r="AJ731" s="29"/>
    </row>
    <row r="732" spans="20:36" x14ac:dyDescent="0.4">
      <c r="AI732" s="127"/>
      <c r="AJ732" s="29"/>
    </row>
    <row r="733" spans="20:36" x14ac:dyDescent="0.4">
      <c r="AI733" s="127"/>
      <c r="AJ733" s="29"/>
    </row>
    <row r="734" spans="20:36" x14ac:dyDescent="0.4">
      <c r="AI734" s="127"/>
      <c r="AJ734" s="29"/>
    </row>
    <row r="735" spans="20:36" x14ac:dyDescent="0.4">
      <c r="AI735" s="127"/>
      <c r="AJ735" s="29"/>
    </row>
    <row r="736" spans="20:36" x14ac:dyDescent="0.4">
      <c r="AI736" s="127"/>
      <c r="AJ736" s="29"/>
    </row>
    <row r="737" spans="19:36" x14ac:dyDescent="0.4">
      <c r="AI737" s="127"/>
      <c r="AJ737" s="29"/>
    </row>
    <row r="738" spans="19:36" x14ac:dyDescent="0.4"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29"/>
      <c r="AJ738" s="29"/>
    </row>
    <row r="739" spans="19:36" x14ac:dyDescent="0.4">
      <c r="AI739" s="127"/>
      <c r="AJ739" s="29"/>
    </row>
    <row r="740" spans="19:36" x14ac:dyDescent="0.4">
      <c r="AI740" s="127"/>
      <c r="AJ740" s="29"/>
    </row>
    <row r="741" spans="19:36" x14ac:dyDescent="0.4">
      <c r="AI741" s="127"/>
      <c r="AJ741" s="29"/>
    </row>
    <row r="742" spans="19:36" x14ac:dyDescent="0.4">
      <c r="AI742" s="127"/>
      <c r="AJ742" s="29"/>
    </row>
    <row r="743" spans="19:36" x14ac:dyDescent="0.4">
      <c r="AI743" s="127"/>
      <c r="AJ743" s="29"/>
    </row>
    <row r="744" spans="19:36" x14ac:dyDescent="0.4">
      <c r="AI744" s="127"/>
      <c r="AJ744" s="29"/>
    </row>
    <row r="745" spans="19:36" x14ac:dyDescent="0.4">
      <c r="AI745" s="127"/>
      <c r="AJ745" s="29"/>
    </row>
    <row r="746" spans="19:36" x14ac:dyDescent="0.4">
      <c r="AI746" s="127"/>
      <c r="AJ746" s="29"/>
    </row>
    <row r="747" spans="19:36" x14ac:dyDescent="0.4">
      <c r="AI747" s="127"/>
      <c r="AJ747" s="29"/>
    </row>
    <row r="748" spans="19:36" x14ac:dyDescent="0.4"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29"/>
      <c r="AJ748" s="29"/>
    </row>
    <row r="749" spans="19:36" x14ac:dyDescent="0.4">
      <c r="AI749" s="127"/>
      <c r="AJ749" s="29"/>
    </row>
    <row r="750" spans="19:36" x14ac:dyDescent="0.4">
      <c r="AI750" s="127"/>
      <c r="AJ750" s="29"/>
    </row>
    <row r="751" spans="19:36" x14ac:dyDescent="0.4">
      <c r="AI751" s="127"/>
      <c r="AJ751" s="29"/>
    </row>
    <row r="752" spans="19:36" x14ac:dyDescent="0.4">
      <c r="AI752" s="127"/>
      <c r="AJ752" s="29"/>
    </row>
    <row r="753" spans="19:36" x14ac:dyDescent="0.4">
      <c r="AI753" s="127"/>
      <c r="AJ753" s="29"/>
    </row>
    <row r="754" spans="19:36" x14ac:dyDescent="0.4"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29"/>
      <c r="AJ754" s="29"/>
    </row>
    <row r="755" spans="19:36" x14ac:dyDescent="0.4">
      <c r="AI755" s="127"/>
      <c r="AJ755" s="29"/>
    </row>
    <row r="756" spans="19:36" x14ac:dyDescent="0.4">
      <c r="AI756" s="127"/>
      <c r="AJ756" s="29"/>
    </row>
    <row r="757" spans="19:36" x14ac:dyDescent="0.4">
      <c r="AI757" s="127"/>
      <c r="AJ757" s="29"/>
    </row>
    <row r="758" spans="19:36" x14ac:dyDescent="0.4">
      <c r="AI758" s="127"/>
      <c r="AJ758" s="29"/>
    </row>
    <row r="759" spans="19:36" x14ac:dyDescent="0.4">
      <c r="AI759" s="127"/>
      <c r="AJ759" s="29"/>
    </row>
    <row r="760" spans="19:36" x14ac:dyDescent="0.4"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29"/>
      <c r="AJ760" s="29"/>
    </row>
    <row r="761" spans="19:36" x14ac:dyDescent="0.4">
      <c r="AI761" s="127"/>
      <c r="AJ761" s="29"/>
    </row>
    <row r="762" spans="19:36" x14ac:dyDescent="0.4">
      <c r="AI762" s="127"/>
      <c r="AJ762" s="29"/>
    </row>
    <row r="763" spans="19:36" x14ac:dyDescent="0.4">
      <c r="AI763" s="127"/>
      <c r="AJ763" s="29"/>
    </row>
    <row r="764" spans="19:36" x14ac:dyDescent="0.4">
      <c r="AI764" s="127"/>
      <c r="AJ764" s="29"/>
    </row>
    <row r="765" spans="19:36" x14ac:dyDescent="0.4">
      <c r="AI765" s="127"/>
      <c r="AJ765" s="29"/>
    </row>
    <row r="766" spans="19:36" x14ac:dyDescent="0.4">
      <c r="AI766" s="127"/>
      <c r="AJ766" s="29"/>
    </row>
    <row r="767" spans="19:36" x14ac:dyDescent="0.4">
      <c r="AI767" s="127"/>
      <c r="AJ767" s="29"/>
    </row>
    <row r="768" spans="19:36" x14ac:dyDescent="0.4">
      <c r="AI768" s="127"/>
      <c r="AJ768" s="29"/>
    </row>
    <row r="769" spans="19:36" x14ac:dyDescent="0.4">
      <c r="AI769" s="127"/>
      <c r="AJ769" s="29"/>
    </row>
    <row r="770" spans="19:36" x14ac:dyDescent="0.4">
      <c r="AI770" s="127"/>
      <c r="AJ770" s="29"/>
    </row>
    <row r="771" spans="19:36" x14ac:dyDescent="0.4">
      <c r="AI771" s="127"/>
      <c r="AJ771" s="29"/>
    </row>
    <row r="772" spans="19:36" x14ac:dyDescent="0.4">
      <c r="AI772" s="127"/>
      <c r="AJ772" s="29"/>
    </row>
    <row r="773" spans="19:36" x14ac:dyDescent="0.4"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29"/>
      <c r="AJ773" s="29"/>
    </row>
    <row r="774" spans="19:36" x14ac:dyDescent="0.4">
      <c r="AI774" s="127"/>
      <c r="AJ774" s="29"/>
    </row>
    <row r="775" spans="19:36" x14ac:dyDescent="0.4">
      <c r="AI775" s="127"/>
      <c r="AJ775" s="29"/>
    </row>
    <row r="776" spans="19:36" x14ac:dyDescent="0.4">
      <c r="AI776" s="127"/>
      <c r="AJ776" s="29"/>
    </row>
    <row r="777" spans="19:36" x14ac:dyDescent="0.4">
      <c r="AI777" s="127"/>
      <c r="AJ777" s="29"/>
    </row>
    <row r="778" spans="19:36" x14ac:dyDescent="0.4">
      <c r="AI778" s="127"/>
      <c r="AJ778" s="29"/>
    </row>
    <row r="779" spans="19:36" x14ac:dyDescent="0.4">
      <c r="AI779" s="127"/>
      <c r="AJ779" s="29"/>
    </row>
    <row r="780" spans="19:36" x14ac:dyDescent="0.4">
      <c r="AI780" s="127"/>
      <c r="AJ780" s="29"/>
    </row>
    <row r="781" spans="19:36" x14ac:dyDescent="0.4">
      <c r="AI781" s="127"/>
      <c r="AJ781" s="29"/>
    </row>
    <row r="782" spans="19:36" x14ac:dyDescent="0.4">
      <c r="AI782" s="127"/>
      <c r="AJ782" s="29"/>
    </row>
    <row r="783" spans="19:36" x14ac:dyDescent="0.4">
      <c r="AI783" s="127"/>
      <c r="AJ783" s="29"/>
    </row>
    <row r="784" spans="19:36" x14ac:dyDescent="0.4"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29"/>
      <c r="AJ784" s="29"/>
    </row>
    <row r="785" spans="19:36" x14ac:dyDescent="0.4">
      <c r="AI785" s="127"/>
      <c r="AJ785" s="29"/>
    </row>
    <row r="786" spans="19:36" x14ac:dyDescent="0.4">
      <c r="AI786" s="127"/>
      <c r="AJ786" s="29"/>
    </row>
    <row r="787" spans="19:36" x14ac:dyDescent="0.4"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29"/>
      <c r="AJ787" s="29"/>
    </row>
    <row r="788" spans="19:36" x14ac:dyDescent="0.4">
      <c r="AI788" s="127"/>
      <c r="AJ788" s="29"/>
    </row>
    <row r="789" spans="19:36" x14ac:dyDescent="0.4"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29"/>
      <c r="AJ789" s="29"/>
    </row>
    <row r="790" spans="19:36" x14ac:dyDescent="0.4">
      <c r="AI790" s="127"/>
      <c r="AJ790" s="29"/>
    </row>
    <row r="791" spans="19:36" x14ac:dyDescent="0.4">
      <c r="AI791" s="127"/>
      <c r="AJ791" s="29"/>
    </row>
    <row r="792" spans="19:36" x14ac:dyDescent="0.4"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29"/>
      <c r="AJ792" s="29"/>
    </row>
    <row r="793" spans="19:36" x14ac:dyDescent="0.4">
      <c r="AI793" s="127"/>
      <c r="AJ793" s="29"/>
    </row>
    <row r="794" spans="19:36" x14ac:dyDescent="0.4"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29"/>
      <c r="AJ794" s="29"/>
    </row>
    <row r="795" spans="19:36" x14ac:dyDescent="0.4">
      <c r="AI795" s="127"/>
      <c r="AJ795" s="29"/>
    </row>
    <row r="796" spans="19:36" x14ac:dyDescent="0.4"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29"/>
      <c r="AJ796" s="29"/>
    </row>
    <row r="797" spans="19:36" x14ac:dyDescent="0.4"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29"/>
      <c r="AJ797" s="29"/>
    </row>
  </sheetData>
  <sortState xmlns:xlrd2="http://schemas.microsoft.com/office/spreadsheetml/2017/richdata2" ref="L2:M158">
    <sortCondition ref="L2:L158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2026-06-02T06:25:50Z</cp:lastPrinted>
  <dcterms:created xsi:type="dcterms:W3CDTF">2020-05-08T06:29:04Z</dcterms:created>
  <dcterms:modified xsi:type="dcterms:W3CDTF">2026-06-02T06:26:21Z</dcterms:modified>
</cp:coreProperties>
</file>