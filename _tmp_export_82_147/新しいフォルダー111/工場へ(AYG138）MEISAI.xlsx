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65625BF0-6E27-4E1E-BDC4-9BF2322A1F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32" i="3"/>
  <c r="C32" i="3"/>
  <c r="B32" i="3"/>
  <c r="K202" i="3"/>
  <c r="J202" i="3"/>
  <c r="K200" i="3"/>
  <c r="J200" i="3"/>
  <c r="K198" i="3"/>
  <c r="J198" i="3"/>
  <c r="K194" i="3"/>
  <c r="J194" i="3"/>
  <c r="K191" i="3"/>
  <c r="J191" i="3"/>
  <c r="K188" i="3"/>
  <c r="J188" i="3"/>
  <c r="K184" i="3"/>
  <c r="J184" i="3"/>
  <c r="K179" i="3"/>
  <c r="J179" i="3"/>
  <c r="K172" i="3"/>
  <c r="J172" i="3"/>
  <c r="K149" i="3"/>
  <c r="J149" i="3"/>
  <c r="K147" i="3"/>
  <c r="J147" i="3"/>
  <c r="K141" i="3"/>
  <c r="J141" i="3"/>
  <c r="K119" i="3"/>
  <c r="J119" i="3"/>
  <c r="K117" i="3"/>
  <c r="J117" i="3"/>
  <c r="K114" i="3"/>
  <c r="J114" i="3"/>
  <c r="K111" i="3"/>
  <c r="J111" i="3"/>
  <c r="K99" i="3"/>
  <c r="J99" i="3"/>
  <c r="K79" i="3"/>
  <c r="J79" i="3"/>
  <c r="K55" i="3"/>
  <c r="J55" i="3"/>
  <c r="K39" i="3"/>
  <c r="J39" i="3"/>
  <c r="K32" i="3"/>
  <c r="J32" i="3"/>
  <c r="K27" i="3"/>
  <c r="J27" i="3"/>
  <c r="K25" i="3"/>
  <c r="J25" i="3"/>
  <c r="K21" i="3"/>
  <c r="J21" i="3"/>
  <c r="K16" i="3"/>
  <c r="J16" i="3"/>
  <c r="K14" i="3"/>
  <c r="J14" i="3"/>
  <c r="K12" i="3"/>
  <c r="J12" i="3"/>
  <c r="K9" i="3"/>
  <c r="J9" i="3"/>
  <c r="K4" i="3"/>
  <c r="K203" i="3" s="1"/>
  <c r="J4" i="3"/>
  <c r="J203" i="3" s="1"/>
  <c r="A61" i="1"/>
  <c r="U118" i="1"/>
  <c r="A241" i="1" l="1"/>
  <c r="BE1155" i="3"/>
  <c r="BC1155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C1437" i="3"/>
  <c r="CB1437" i="3"/>
  <c r="CC1432" i="3"/>
  <c r="CB1432" i="3"/>
  <c r="CC1430" i="3"/>
  <c r="CB1430" i="3"/>
  <c r="CC1416" i="3"/>
  <c r="CB1416" i="3"/>
  <c r="CC1398" i="3"/>
  <c r="CB1398" i="3"/>
  <c r="CC1387" i="3"/>
  <c r="CB1387" i="3"/>
  <c r="CC1353" i="3"/>
  <c r="CB1353" i="3"/>
  <c r="CC1340" i="3"/>
  <c r="CB1340" i="3"/>
  <c r="CC1302" i="3"/>
  <c r="CB1302" i="3"/>
  <c r="CC1293" i="3"/>
  <c r="CB1293" i="3"/>
  <c r="CC1279" i="3"/>
  <c r="CB1279" i="3"/>
  <c r="CC1246" i="3"/>
  <c r="CB1246" i="3"/>
  <c r="CC1193" i="3"/>
  <c r="CB1193" i="3"/>
  <c r="CC1181" i="3"/>
  <c r="CB1181" i="3"/>
  <c r="CC1158" i="3"/>
  <c r="CB1158" i="3"/>
  <c r="CC1143" i="3"/>
  <c r="CB1143" i="3"/>
  <c r="CC1119" i="3"/>
  <c r="CB1119" i="3"/>
  <c r="CC1101" i="3"/>
  <c r="CB1101" i="3"/>
  <c r="CC1081" i="3"/>
  <c r="CB1081" i="3"/>
  <c r="CC1067" i="3"/>
  <c r="CB1067" i="3"/>
  <c r="CC1058" i="3"/>
  <c r="CB1058" i="3"/>
  <c r="CC984" i="3"/>
  <c r="CB984" i="3"/>
  <c r="B61" i="1"/>
  <c r="A151" i="1"/>
  <c r="AB43" i="1"/>
  <c r="CB1438" i="3" l="1"/>
  <c r="CC1438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<sst xmlns="http://schemas.openxmlformats.org/spreadsheetml/2006/main" count="2848" uniqueCount="570">
  <si>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</si>
  <si>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</si>
  <si>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</si>
  <si>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</si>
  <si>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</si>
  <si>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</si>
  <si>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</si>
  <si>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</si>
  <si>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</si>
  <si>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</si>
  <si>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</si>
  <si>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</si>
  <si>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</si>
  <si>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</si>
  <si>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</si>
  <si>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</si>
  <si>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</si>
  <si>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</si>
  <si>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</si>
  <si>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</si>
  <si>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</si>
  <si>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</si>
  <si>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</si>
  <si>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</si>
  <si>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</si>
  <si>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</si>
  <si>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</si>
  <si>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</si>
  <si>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</si>
  <si>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</si>
  <si>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</si>
  <si>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</si>
  <si>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</si>
  <si>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</si>
  <si>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</si>
  <si>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</si>
  <si>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</si>
  <si>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</si>
  <si>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</si>
  <si>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</si>
  <si>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</si>
  <si>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</si>
  <si>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</si>
  <si>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</si>
  <si>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</si>
  <si>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</si>
  <si>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</si>
  <si>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</si>
  <si>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</si>
  <si>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</si>
  <si>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</si>
  <si>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</si>
  <si>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</si>
  <si>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</si>
  <si>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</si>
  <si>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</si>
  <si>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</si>
  <si>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</si>
  <si>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</si>
  <si>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</si>
  <si>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</si>
  <si>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</si>
  <si>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</si>
  <si>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</si>
  <si>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</si>
  <si>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</si>
  <si>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</si>
  <si>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</si>
  <si>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</si>
  <si>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</si>
  <si>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</si>
  <si>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</si>
  <si>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</si>
  <si>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</si>
  <si>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</si>
  <si>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</si>
  <si>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</si>
  <si>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</si>
  <si>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</si>
  <si>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</si>
  <si>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</si>
  <si>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</si>
  <si>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</si>
  <si>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</si>
  <si>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</si>
  <si>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</si>
  <si>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</si>
  <si>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</si>
  <si>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</si>
  <si>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</si>
  <si>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</si>
  <si>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</si>
  <si>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</si>
  <si>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</si>
  <si>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</si>
  <si>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</si>
  <si>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</si>
  <si>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</si>
  <si>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</si>
  <si>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</si>
  <si>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</si>
  <si>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</si>
  <si>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</si>
  <si>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</si>
  <si>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</si>
  <si>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</si>
  <si>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</si>
  <si>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</si>
  <si>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</si>
  <si>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</si>
  <si>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</si>
  <si>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</si>
  <si>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</si>
  <si>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</si>
  <si>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</si>
  <si>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</si>
  <si>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</si>
  <si>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</si>
  <si>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</si>
  <si>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</si>
  <si>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</si>
  <si>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</si>
  <si>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</si>
  <si>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</si>
  <si>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</si>
  <si>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</si>
  <si>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</si>
  <si>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</si>
  <si>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</si>
  <si>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</si>
  <si>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</si>
  <si>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</si>
  <si>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</si>
  <si>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</si>
  <si>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</si>
  <si>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</si>
  <si>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</si>
  <si>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</si>
  <si>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</si>
  <si>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</si>
  <si>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</si>
  <si>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</si>
  <si>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</si>
  <si>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</si>
  <si>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</si>
  <si>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</si>
  <si>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</si>
  <si>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</si>
  <si>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</si>
  <si>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</si>
  <si>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</si>
  <si>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</si>
  <si>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</si>
  <si>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</si>
  <si>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</si>
  <si>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</si>
  <si>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</si>
  <si>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</si>
  <si>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</si>
  <si>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</si>
  <si>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</si>
  <si>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</si>
  <si>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</si>
  <si>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</si>
  <si>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</si>
  <si>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</si>
  <si>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</si>
  <si>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</si>
  <si>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</si>
  <si>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</si>
  <si>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</si>
  <si>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</si>
  <si>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</si>
  <si>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</si>
  <si>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</si>
  <si>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</si>
  <si>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</si>
  <si>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</si>
  <si>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</si>
  <si>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</si>
  <si>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</si>
  <si>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A335</t>
    <phoneticPr fontId="1"/>
  </si>
  <si>
    <t>A545</t>
    <phoneticPr fontId="1"/>
  </si>
  <si>
    <t>A328</t>
    <phoneticPr fontId="1"/>
  </si>
  <si>
    <t>M037</t>
    <phoneticPr fontId="1"/>
  </si>
  <si>
    <t>M078</t>
    <phoneticPr fontId="1"/>
  </si>
  <si>
    <t>M079</t>
    <phoneticPr fontId="1"/>
  </si>
  <si>
    <t>A505</t>
    <phoneticPr fontId="1"/>
  </si>
  <si>
    <t>A645</t>
    <phoneticPr fontId="1"/>
  </si>
  <si>
    <t>M070</t>
    <phoneticPr fontId="1"/>
  </si>
  <si>
    <t>2026/4/28 個数</t>
  </si>
  <si>
    <t>A755</t>
    <phoneticPr fontId="1"/>
  </si>
  <si>
    <t>A318</t>
    <phoneticPr fontId="1"/>
  </si>
  <si>
    <t>A700</t>
    <phoneticPr fontId="1"/>
  </si>
  <si>
    <t>A732</t>
    <phoneticPr fontId="1"/>
  </si>
  <si>
    <t>2026/5/8 個数</t>
  </si>
  <si>
    <t>2026/5/10 個数</t>
  </si>
  <si>
    <t>2026/5/13 個数</t>
  </si>
  <si>
    <t>2026/5/16 個数</t>
  </si>
  <si>
    <t>08030547</t>
    <phoneticPr fontId="1"/>
  </si>
  <si>
    <t>A330</t>
    <phoneticPr fontId="1"/>
  </si>
  <si>
    <t>08030077</t>
    <phoneticPr fontId="1"/>
  </si>
  <si>
    <t>08030459</t>
    <phoneticPr fontId="1"/>
  </si>
  <si>
    <t>08030460</t>
    <phoneticPr fontId="1"/>
  </si>
  <si>
    <t>E</t>
    <phoneticPr fontId="1"/>
  </si>
  <si>
    <t>08030461</t>
    <phoneticPr fontId="1"/>
  </si>
  <si>
    <t>08030462</t>
    <phoneticPr fontId="1"/>
  </si>
  <si>
    <t>08030463</t>
    <phoneticPr fontId="1"/>
  </si>
  <si>
    <t>08030497</t>
    <phoneticPr fontId="1"/>
  </si>
  <si>
    <t>08030502</t>
    <phoneticPr fontId="1"/>
  </si>
  <si>
    <t>08030512</t>
    <phoneticPr fontId="1"/>
  </si>
  <si>
    <t>08030520</t>
    <phoneticPr fontId="1"/>
  </si>
  <si>
    <t>08030523</t>
    <phoneticPr fontId="1"/>
  </si>
  <si>
    <t>08030524</t>
    <phoneticPr fontId="1"/>
  </si>
  <si>
    <t>08030525</t>
    <phoneticPr fontId="1"/>
  </si>
  <si>
    <t>08030526</t>
    <phoneticPr fontId="1"/>
  </si>
  <si>
    <t>08030534</t>
    <phoneticPr fontId="1"/>
  </si>
  <si>
    <t>08030535</t>
    <phoneticPr fontId="1"/>
  </si>
  <si>
    <t>08030536</t>
    <phoneticPr fontId="1"/>
  </si>
  <si>
    <t>08030558</t>
    <phoneticPr fontId="1"/>
  </si>
  <si>
    <t>08030537</t>
    <phoneticPr fontId="1"/>
  </si>
  <si>
    <t>08030538</t>
    <phoneticPr fontId="1"/>
  </si>
  <si>
    <t>08030539</t>
  </si>
  <si>
    <t>08030540</t>
  </si>
  <si>
    <t>08030541</t>
  </si>
  <si>
    <t>08030542</t>
  </si>
  <si>
    <t>08030543</t>
  </si>
  <si>
    <t>08030544</t>
  </si>
  <si>
    <t>08030545</t>
  </si>
  <si>
    <t>08030546</t>
  </si>
  <si>
    <t>08030548</t>
    <phoneticPr fontId="1"/>
  </si>
  <si>
    <t>08030549</t>
  </si>
  <si>
    <t>08030550</t>
  </si>
  <si>
    <t>08030551</t>
  </si>
  <si>
    <t>08030552</t>
  </si>
  <si>
    <t>08030553</t>
  </si>
  <si>
    <t>08030554</t>
  </si>
  <si>
    <t>08030555</t>
  </si>
  <si>
    <t>08030556</t>
  </si>
  <si>
    <t>08030082</t>
    <phoneticPr fontId="1"/>
  </si>
  <si>
    <t>08030178</t>
    <phoneticPr fontId="1"/>
  </si>
  <si>
    <t>08030363</t>
    <phoneticPr fontId="1"/>
  </si>
  <si>
    <t>A611</t>
    <phoneticPr fontId="1"/>
  </si>
  <si>
    <t>08030364</t>
    <phoneticPr fontId="1"/>
  </si>
  <si>
    <t>08030365</t>
    <phoneticPr fontId="1"/>
  </si>
  <si>
    <t>08030366</t>
    <phoneticPr fontId="1"/>
  </si>
  <si>
    <t>08030367</t>
    <phoneticPr fontId="1"/>
  </si>
  <si>
    <t>08030368</t>
    <phoneticPr fontId="1"/>
  </si>
  <si>
    <t>08030397</t>
    <phoneticPr fontId="1"/>
  </si>
  <si>
    <t>08030416</t>
    <phoneticPr fontId="1"/>
  </si>
  <si>
    <t>08030522</t>
    <phoneticPr fontId="1"/>
  </si>
  <si>
    <t>P</t>
    <phoneticPr fontId="1"/>
  </si>
  <si>
    <t>08030527</t>
    <phoneticPr fontId="1"/>
  </si>
  <si>
    <t>08030574</t>
    <phoneticPr fontId="1"/>
  </si>
  <si>
    <t>08030591</t>
    <phoneticPr fontId="1"/>
  </si>
  <si>
    <t>08030586</t>
    <phoneticPr fontId="1"/>
  </si>
  <si>
    <t>08030587</t>
    <phoneticPr fontId="1"/>
  </si>
  <si>
    <t>08030588</t>
    <phoneticPr fontId="1"/>
  </si>
  <si>
    <t>08030596</t>
    <phoneticPr fontId="1"/>
  </si>
  <si>
    <t>08030597</t>
    <phoneticPr fontId="1"/>
  </si>
  <si>
    <t>08030598</t>
  </si>
  <si>
    <t>08030599</t>
  </si>
  <si>
    <t>08030600</t>
  </si>
  <si>
    <t>08030601</t>
  </si>
  <si>
    <t>08030602</t>
  </si>
  <si>
    <t>08030603</t>
  </si>
  <si>
    <t>08030604</t>
  </si>
  <si>
    <t>08030605</t>
  </si>
  <si>
    <t>08030606</t>
  </si>
  <si>
    <t>08030612</t>
    <phoneticPr fontId="1"/>
  </si>
  <si>
    <t>08020624</t>
    <phoneticPr fontId="1"/>
  </si>
  <si>
    <t>08020625</t>
    <phoneticPr fontId="1"/>
  </si>
  <si>
    <t>08030375</t>
    <phoneticPr fontId="1"/>
  </si>
  <si>
    <t>08030391</t>
    <phoneticPr fontId="1"/>
  </si>
  <si>
    <t>08030394</t>
    <phoneticPr fontId="1"/>
  </si>
  <si>
    <t>08030418</t>
    <phoneticPr fontId="1"/>
  </si>
  <si>
    <t>08030419</t>
    <phoneticPr fontId="1"/>
  </si>
  <si>
    <t>08030457</t>
    <phoneticPr fontId="1"/>
  </si>
  <si>
    <t>08030516</t>
    <phoneticPr fontId="1"/>
  </si>
  <si>
    <t>08030634</t>
    <phoneticPr fontId="1"/>
  </si>
  <si>
    <t>08030640</t>
    <phoneticPr fontId="1"/>
  </si>
  <si>
    <t>08030641</t>
    <phoneticPr fontId="1"/>
  </si>
  <si>
    <t>08030642</t>
  </si>
  <si>
    <t>08030643</t>
  </si>
  <si>
    <t>08030644</t>
  </si>
  <si>
    <t>08030645</t>
  </si>
  <si>
    <t>08030646</t>
  </si>
  <si>
    <t>08030647</t>
  </si>
  <si>
    <t>08030456</t>
    <phoneticPr fontId="1"/>
  </si>
  <si>
    <t>08030501</t>
    <phoneticPr fontId="1"/>
  </si>
  <si>
    <t>08030508</t>
    <phoneticPr fontId="1"/>
  </si>
  <si>
    <t>08030648</t>
    <phoneticPr fontId="1"/>
  </si>
  <si>
    <t>08030649</t>
  </si>
  <si>
    <t>08030656</t>
  </si>
  <si>
    <t>08030650</t>
  </si>
  <si>
    <t>08030651</t>
  </si>
  <si>
    <t>08030652</t>
  </si>
  <si>
    <t>08030653</t>
  </si>
  <si>
    <t>08030654</t>
  </si>
  <si>
    <t>08030655</t>
  </si>
  <si>
    <t>08030657</t>
  </si>
  <si>
    <t>08030658</t>
  </si>
  <si>
    <t>08030659</t>
  </si>
  <si>
    <t>08030393</t>
    <phoneticPr fontId="1"/>
  </si>
  <si>
    <t>08030395</t>
    <phoneticPr fontId="1"/>
  </si>
  <si>
    <t>08030420</t>
    <phoneticPr fontId="1"/>
  </si>
  <si>
    <t>08030430</t>
    <phoneticPr fontId="1"/>
  </si>
  <si>
    <t>08030431</t>
    <phoneticPr fontId="1"/>
  </si>
  <si>
    <t>08030451</t>
    <phoneticPr fontId="1"/>
  </si>
  <si>
    <t>08030452</t>
    <phoneticPr fontId="1"/>
  </si>
  <si>
    <t>08030453</t>
    <phoneticPr fontId="1"/>
  </si>
  <si>
    <t>08030498</t>
    <phoneticPr fontId="1"/>
  </si>
  <si>
    <t>08030499</t>
    <phoneticPr fontId="1"/>
  </si>
  <si>
    <t>08030500</t>
    <phoneticPr fontId="1"/>
  </si>
  <si>
    <t>08030505</t>
    <phoneticPr fontId="1"/>
  </si>
  <si>
    <t>08030503</t>
    <phoneticPr fontId="1"/>
  </si>
  <si>
    <t>08030506</t>
    <phoneticPr fontId="1"/>
  </si>
  <si>
    <t>08030557</t>
    <phoneticPr fontId="1"/>
  </si>
  <si>
    <t>08030521</t>
    <phoneticPr fontId="1"/>
  </si>
  <si>
    <t>08030636</t>
    <phoneticPr fontId="1"/>
  </si>
  <si>
    <t>08030637</t>
    <phoneticPr fontId="1"/>
  </si>
  <si>
    <t>08030638</t>
    <phoneticPr fontId="1"/>
  </si>
  <si>
    <t>08030639</t>
    <phoneticPr fontId="1"/>
  </si>
  <si>
    <t>08030676</t>
    <phoneticPr fontId="1"/>
  </si>
  <si>
    <t>08030677</t>
    <phoneticPr fontId="1"/>
  </si>
  <si>
    <t>08030716</t>
    <phoneticPr fontId="1"/>
  </si>
  <si>
    <t>08030719</t>
    <phoneticPr fontId="1"/>
  </si>
  <si>
    <t>M074</t>
    <phoneticPr fontId="1"/>
  </si>
  <si>
    <t>08030720</t>
    <phoneticPr fontId="1"/>
  </si>
  <si>
    <t>08030722</t>
    <phoneticPr fontId="1"/>
  </si>
  <si>
    <t>08030724</t>
    <phoneticPr fontId="1"/>
  </si>
  <si>
    <t>08030725</t>
    <phoneticPr fontId="1"/>
  </si>
  <si>
    <t>08030726</t>
    <phoneticPr fontId="1"/>
  </si>
  <si>
    <t>08030727</t>
    <phoneticPr fontId="1"/>
  </si>
  <si>
    <t>08030507</t>
    <phoneticPr fontId="1"/>
  </si>
  <si>
    <t>08030458</t>
    <phoneticPr fontId="1"/>
  </si>
  <si>
    <t>08030434</t>
    <phoneticPr fontId="1"/>
  </si>
  <si>
    <t>08030433</t>
    <phoneticPr fontId="1"/>
  </si>
  <si>
    <t>08030454</t>
    <phoneticPr fontId="1"/>
  </si>
  <si>
    <t>08030455</t>
    <phoneticPr fontId="1"/>
  </si>
  <si>
    <t>08030589</t>
    <phoneticPr fontId="1"/>
  </si>
  <si>
    <t>08030590</t>
    <phoneticPr fontId="1"/>
  </si>
  <si>
    <t>08030595</t>
    <phoneticPr fontId="1"/>
  </si>
  <si>
    <t>A181</t>
    <phoneticPr fontId="1"/>
  </si>
  <si>
    <t>08030618</t>
    <phoneticPr fontId="1"/>
  </si>
  <si>
    <t>08030628</t>
    <phoneticPr fontId="1"/>
  </si>
  <si>
    <t>08030629</t>
    <phoneticPr fontId="1"/>
  </si>
  <si>
    <t>08030731</t>
    <phoneticPr fontId="1"/>
  </si>
  <si>
    <t>08030732</t>
    <phoneticPr fontId="1"/>
  </si>
  <si>
    <t>08030733</t>
    <phoneticPr fontId="1"/>
  </si>
  <si>
    <t>08030734</t>
    <phoneticPr fontId="1"/>
  </si>
  <si>
    <t>08030735</t>
    <phoneticPr fontId="1"/>
  </si>
  <si>
    <t>08020638</t>
    <phoneticPr fontId="1"/>
  </si>
  <si>
    <t>08030206</t>
    <phoneticPr fontId="1"/>
  </si>
  <si>
    <t>08040001</t>
    <phoneticPr fontId="1"/>
  </si>
  <si>
    <t>A550</t>
    <phoneticPr fontId="1"/>
  </si>
  <si>
    <t>08040002</t>
    <phoneticPr fontId="1"/>
  </si>
  <si>
    <t>08040003</t>
  </si>
  <si>
    <t>08040004</t>
  </si>
  <si>
    <t>08040005</t>
  </si>
  <si>
    <t>08040006</t>
  </si>
  <si>
    <t>08040009</t>
  </si>
  <si>
    <t>08040010</t>
  </si>
  <si>
    <t>08040008</t>
    <phoneticPr fontId="1"/>
  </si>
  <si>
    <t>2026/4/21 個数</t>
  </si>
  <si>
    <t>2026/5/6 個数</t>
  </si>
  <si>
    <t>2026/5/11 個数</t>
  </si>
  <si>
    <t>2026/5/12 個数</t>
  </si>
  <si>
    <t>2026/5/17 個数</t>
  </si>
  <si>
    <t>2026/5/18 個数</t>
  </si>
  <si>
    <t>2026/5/29 個数</t>
  </si>
  <si>
    <t>AYG138</t>
    <phoneticPr fontId="1"/>
  </si>
  <si>
    <t>08030728</t>
    <phoneticPr fontId="1"/>
  </si>
  <si>
    <t>08030729</t>
    <phoneticPr fontId="1"/>
  </si>
  <si>
    <t>08030730</t>
    <phoneticPr fontId="1"/>
  </si>
  <si>
    <t>08030736</t>
    <phoneticPr fontId="1"/>
  </si>
  <si>
    <t>08030737</t>
    <phoneticPr fontId="1"/>
  </si>
  <si>
    <t>08030738</t>
    <phoneticPr fontId="1"/>
  </si>
  <si>
    <t>08030739</t>
    <phoneticPr fontId="1"/>
  </si>
  <si>
    <t>08030740</t>
    <phoneticPr fontId="1"/>
  </si>
  <si>
    <t>08040016</t>
    <phoneticPr fontId="1"/>
  </si>
  <si>
    <t>08040023</t>
    <phoneticPr fontId="1"/>
  </si>
  <si>
    <t>08040034</t>
    <phoneticPr fontId="1"/>
  </si>
  <si>
    <t>08040035</t>
    <phoneticPr fontId="1"/>
  </si>
  <si>
    <t>08040037</t>
    <phoneticPr fontId="1"/>
  </si>
  <si>
    <t>08040038</t>
    <phoneticPr fontId="1"/>
  </si>
  <si>
    <t>08040058</t>
    <phoneticPr fontId="1"/>
  </si>
  <si>
    <t>08040065</t>
    <phoneticPr fontId="1"/>
  </si>
  <si>
    <t>08040116</t>
    <phoneticPr fontId="1"/>
  </si>
  <si>
    <t>08040040</t>
    <phoneticPr fontId="1"/>
  </si>
  <si>
    <t>08040041</t>
  </si>
  <si>
    <t>08040042</t>
  </si>
  <si>
    <t>08040043</t>
  </si>
  <si>
    <t>08040044</t>
  </si>
  <si>
    <t>08040045</t>
  </si>
  <si>
    <t>08040046</t>
  </si>
  <si>
    <t>08040047</t>
  </si>
  <si>
    <t>08040048</t>
  </si>
  <si>
    <t>08040049</t>
  </si>
  <si>
    <t>08040050</t>
  </si>
  <si>
    <t>08040051</t>
  </si>
  <si>
    <t>08040052</t>
  </si>
  <si>
    <t>08040053</t>
  </si>
  <si>
    <t>08030592</t>
    <phoneticPr fontId="1"/>
  </si>
  <si>
    <t>08030593</t>
    <phoneticPr fontId="1"/>
  </si>
  <si>
    <t>08030594</t>
    <phoneticPr fontId="1"/>
  </si>
  <si>
    <t>08030619</t>
    <phoneticPr fontId="1"/>
  </si>
  <si>
    <t>08030620</t>
    <phoneticPr fontId="1"/>
  </si>
  <si>
    <t>08030668</t>
    <phoneticPr fontId="1"/>
  </si>
  <si>
    <t>08030670</t>
    <phoneticPr fontId="1"/>
  </si>
  <si>
    <t>08030672</t>
    <phoneticPr fontId="1"/>
  </si>
  <si>
    <t>08030673</t>
    <phoneticPr fontId="1"/>
  </si>
  <si>
    <t>08030674</t>
    <phoneticPr fontId="1"/>
  </si>
  <si>
    <t>08030679</t>
    <phoneticPr fontId="1"/>
  </si>
  <si>
    <t>08040054</t>
    <phoneticPr fontId="1"/>
  </si>
  <si>
    <t>08040055</t>
    <phoneticPr fontId="1"/>
  </si>
  <si>
    <t>08040056</t>
  </si>
  <si>
    <t>08040057</t>
  </si>
  <si>
    <t>08030513</t>
    <phoneticPr fontId="1"/>
  </si>
  <si>
    <t>08030575</t>
    <phoneticPr fontId="1"/>
  </si>
  <si>
    <t>08030576</t>
    <phoneticPr fontId="1"/>
  </si>
  <si>
    <t>08030577</t>
    <phoneticPr fontId="1"/>
  </si>
  <si>
    <t>08030578</t>
    <phoneticPr fontId="1"/>
  </si>
  <si>
    <t>08030579</t>
    <phoneticPr fontId="1"/>
  </si>
  <si>
    <t>08030630</t>
    <phoneticPr fontId="1"/>
  </si>
  <si>
    <t>08030631</t>
    <phoneticPr fontId="1"/>
  </si>
  <si>
    <t>08030663</t>
    <phoneticPr fontId="1"/>
  </si>
  <si>
    <t>08030675</t>
    <phoneticPr fontId="1"/>
  </si>
  <si>
    <t>08030678</t>
    <phoneticPr fontId="1"/>
  </si>
  <si>
    <t>A250</t>
    <phoneticPr fontId="1"/>
  </si>
  <si>
    <t>08040036</t>
    <phoneticPr fontId="1"/>
  </si>
  <si>
    <t>08040086</t>
    <phoneticPr fontId="1"/>
  </si>
  <si>
    <t>A120</t>
    <phoneticPr fontId="1"/>
  </si>
  <si>
    <t>08040087</t>
    <phoneticPr fontId="1"/>
  </si>
  <si>
    <t>08040088</t>
    <phoneticPr fontId="1"/>
  </si>
  <si>
    <t>08030519</t>
    <phoneticPr fontId="1"/>
  </si>
  <si>
    <t>08030723</t>
    <phoneticPr fontId="1"/>
  </si>
  <si>
    <t>08040102</t>
    <phoneticPr fontId="1"/>
  </si>
  <si>
    <t>08040103</t>
  </si>
  <si>
    <t>08040104</t>
  </si>
  <si>
    <t>08040105</t>
  </si>
  <si>
    <t>08040106</t>
  </si>
  <si>
    <t>08040107</t>
  </si>
  <si>
    <t>08040108</t>
  </si>
  <si>
    <t>08040109</t>
  </si>
  <si>
    <t>08040110</t>
  </si>
  <si>
    <t>08040111</t>
  </si>
  <si>
    <t>08040177</t>
    <phoneticPr fontId="1"/>
  </si>
  <si>
    <t>08030621</t>
    <phoneticPr fontId="1"/>
  </si>
  <si>
    <t>A652</t>
    <phoneticPr fontId="1"/>
  </si>
  <si>
    <t>08040039</t>
    <phoneticPr fontId="1"/>
  </si>
  <si>
    <t>08040092</t>
    <phoneticPr fontId="1"/>
  </si>
  <si>
    <t>08040093</t>
  </si>
  <si>
    <t>08040094</t>
  </si>
  <si>
    <t>08040095</t>
  </si>
  <si>
    <t>08040096</t>
  </si>
  <si>
    <t>08040097</t>
  </si>
  <si>
    <t>08040098</t>
  </si>
  <si>
    <t>08040099</t>
  </si>
  <si>
    <t>08040100</t>
  </si>
  <si>
    <t>08040101</t>
  </si>
  <si>
    <t>08040169</t>
    <phoneticPr fontId="1"/>
  </si>
  <si>
    <t>08040170</t>
    <phoneticPr fontId="1"/>
  </si>
  <si>
    <t>08040171</t>
    <phoneticPr fontId="1"/>
  </si>
  <si>
    <t>M025</t>
    <phoneticPr fontId="1"/>
  </si>
  <si>
    <t>08040153</t>
    <phoneticPr fontId="1"/>
  </si>
  <si>
    <t>08040154</t>
    <phoneticPr fontId="1"/>
  </si>
  <si>
    <t>08040155</t>
    <phoneticPr fontId="1"/>
  </si>
  <si>
    <t>08040156</t>
    <phoneticPr fontId="1"/>
  </si>
  <si>
    <t>08040157</t>
    <phoneticPr fontId="1"/>
  </si>
  <si>
    <t>08040158</t>
    <phoneticPr fontId="1"/>
  </si>
  <si>
    <t>08040159</t>
  </si>
  <si>
    <t>08040160</t>
  </si>
  <si>
    <t>08040161</t>
  </si>
  <si>
    <t>08040162</t>
  </si>
  <si>
    <t>08040163</t>
  </si>
  <si>
    <t>08040164</t>
  </si>
  <si>
    <t>08040165</t>
  </si>
  <si>
    <t>08040166</t>
  </si>
  <si>
    <t>08040167</t>
  </si>
  <si>
    <t>08040168</t>
    <phoneticPr fontId="1"/>
  </si>
  <si>
    <t>08030510</t>
    <phoneticPr fontId="1"/>
  </si>
  <si>
    <t>08030511</t>
    <phoneticPr fontId="1"/>
  </si>
  <si>
    <t>08040024</t>
    <phoneticPr fontId="1"/>
  </si>
  <si>
    <t>08040025</t>
    <phoneticPr fontId="1"/>
  </si>
  <si>
    <t>08040026</t>
    <phoneticPr fontId="1"/>
  </si>
  <si>
    <t>08040060</t>
    <phoneticPr fontId="1"/>
  </si>
  <si>
    <t>08040061</t>
    <phoneticPr fontId="1"/>
  </si>
  <si>
    <t>08040062</t>
    <phoneticPr fontId="1"/>
  </si>
  <si>
    <t>08040064</t>
    <phoneticPr fontId="1"/>
  </si>
  <si>
    <t>08040066</t>
    <phoneticPr fontId="1"/>
  </si>
  <si>
    <t>08040067</t>
    <phoneticPr fontId="1"/>
  </si>
  <si>
    <t>08040115</t>
    <phoneticPr fontId="1"/>
  </si>
  <si>
    <t>08040117</t>
    <phoneticPr fontId="1"/>
  </si>
  <si>
    <t>08040118</t>
    <phoneticPr fontId="1"/>
  </si>
  <si>
    <t>08040191</t>
    <phoneticPr fontId="1"/>
  </si>
  <si>
    <t>A655</t>
    <phoneticPr fontId="1"/>
  </si>
  <si>
    <t>08040192</t>
    <phoneticPr fontId="1"/>
  </si>
  <si>
    <t>08030614</t>
    <phoneticPr fontId="1"/>
  </si>
  <si>
    <t>08030615</t>
    <phoneticPr fontId="1"/>
  </si>
  <si>
    <t>08030717</t>
    <phoneticPr fontId="1"/>
  </si>
  <si>
    <t>08030718</t>
    <phoneticPr fontId="1"/>
  </si>
  <si>
    <t>08040011</t>
    <phoneticPr fontId="1"/>
  </si>
  <si>
    <t>08040012</t>
    <phoneticPr fontId="1"/>
  </si>
  <si>
    <t>08040018</t>
    <phoneticPr fontId="1"/>
  </si>
  <si>
    <t>A660</t>
    <phoneticPr fontId="1"/>
  </si>
  <si>
    <t>08040020</t>
    <phoneticPr fontId="1"/>
  </si>
  <si>
    <t>08040021</t>
    <phoneticPr fontId="1"/>
  </si>
  <si>
    <t>08040030</t>
    <phoneticPr fontId="1"/>
  </si>
  <si>
    <t>08040059</t>
    <phoneticPr fontId="1"/>
  </si>
  <si>
    <t>08040063</t>
    <phoneticPr fontId="1"/>
  </si>
  <si>
    <t>08040123</t>
    <phoneticPr fontId="1"/>
  </si>
  <si>
    <t>08040125</t>
    <phoneticPr fontId="1"/>
  </si>
  <si>
    <t>08040196</t>
    <phoneticPr fontId="1"/>
  </si>
  <si>
    <t>08040197</t>
  </si>
  <si>
    <t>08040198</t>
  </si>
  <si>
    <t>08040199</t>
  </si>
  <si>
    <t>08040014</t>
    <phoneticPr fontId="1"/>
  </si>
  <si>
    <t>08030616</t>
    <phoneticPr fontId="1"/>
  </si>
  <si>
    <t>08030617</t>
    <phoneticPr fontId="1"/>
  </si>
  <si>
    <t>08030669</t>
    <phoneticPr fontId="1"/>
  </si>
  <si>
    <t>08030671</t>
    <phoneticPr fontId="1"/>
  </si>
  <si>
    <t>08040129</t>
    <phoneticPr fontId="1"/>
  </si>
  <si>
    <t>08040130</t>
    <phoneticPr fontId="1"/>
  </si>
  <si>
    <t>08040141</t>
    <phoneticPr fontId="1"/>
  </si>
  <si>
    <t>08040142</t>
    <phoneticPr fontId="1"/>
  </si>
  <si>
    <t>08040194</t>
    <phoneticPr fontId="1"/>
  </si>
  <si>
    <t>08040200</t>
    <phoneticPr fontId="1"/>
  </si>
  <si>
    <t>08040202</t>
    <phoneticPr fontId="1"/>
  </si>
  <si>
    <t>08040201</t>
    <phoneticPr fontId="1"/>
  </si>
  <si>
    <t>08040204</t>
    <phoneticPr fontId="1"/>
  </si>
  <si>
    <t>08040205</t>
    <phoneticPr fontId="1"/>
  </si>
  <si>
    <t>M035</t>
    <phoneticPr fontId="1"/>
  </si>
  <si>
    <t>08040206</t>
    <phoneticPr fontId="1"/>
  </si>
  <si>
    <t>08040214</t>
    <phoneticPr fontId="1"/>
  </si>
  <si>
    <t>A336</t>
    <phoneticPr fontId="1"/>
  </si>
  <si>
    <t>08040215</t>
    <phoneticPr fontId="1"/>
  </si>
  <si>
    <t>08030278</t>
    <phoneticPr fontId="1"/>
  </si>
  <si>
    <t>08030279</t>
    <phoneticPr fontId="1"/>
  </si>
  <si>
    <t>08030374</t>
    <phoneticPr fontId="1"/>
  </si>
  <si>
    <t>08030417</t>
    <phoneticPr fontId="1"/>
  </si>
  <si>
    <t>08030528</t>
    <phoneticPr fontId="1"/>
  </si>
  <si>
    <t>08030665</t>
    <phoneticPr fontId="1"/>
  </si>
  <si>
    <t>08040114</t>
    <phoneticPr fontId="1"/>
  </si>
  <si>
    <t>08040126</t>
    <phoneticPr fontId="1"/>
  </si>
  <si>
    <t>08040127</t>
    <phoneticPr fontId="1"/>
  </si>
  <si>
    <t>08040143</t>
    <phoneticPr fontId="1"/>
  </si>
  <si>
    <t>08040216</t>
    <phoneticPr fontId="1"/>
  </si>
  <si>
    <t>A997</t>
    <phoneticPr fontId="1"/>
  </si>
  <si>
    <t>08040221</t>
    <phoneticPr fontId="1"/>
  </si>
  <si>
    <t>08040223</t>
    <phoneticPr fontId="1"/>
  </si>
  <si>
    <t>08040224</t>
    <phoneticPr fontId="1"/>
  </si>
  <si>
    <t>08040230</t>
    <phoneticPr fontId="1"/>
  </si>
  <si>
    <t>2026/5/2 個数</t>
  </si>
  <si>
    <t>2026/5/4 個数</t>
  </si>
  <si>
    <t>2026/5/9 個数</t>
  </si>
  <si>
    <t>2026/5/19 個数</t>
  </si>
  <si>
    <t>2026/5/20 個数</t>
  </si>
  <si>
    <t>2026/5/22 個数</t>
  </si>
  <si>
    <t>2026/5/23 個数</t>
  </si>
  <si>
    <t>2026/5/25 個数</t>
  </si>
  <si>
    <t>2026/5/26 個数</t>
  </si>
  <si>
    <t>2026/5/27 個数</t>
  </si>
  <si>
    <t>2026/5/28 個数</t>
  </si>
  <si>
    <t>2026/5/30 個数</t>
  </si>
  <si>
    <t>2026/6/2 個数</t>
  </si>
  <si>
    <t>2026/6/3 個数</t>
  </si>
  <si>
    <t>2026/6/6 個数</t>
  </si>
  <si>
    <t>2026/6/8 個数</t>
  </si>
  <si>
    <t>2026/6/16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</si>
</sst>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9" sqref="F9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371</v>
      </c>
      <c r="B1" s="24">
        <v>46126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21.8</v>
      </c>
      <c r="C3" s="85" t="s">
        <v>372</v>
      </c>
      <c r="D3" s="109" t="s">
        <v>200</v>
      </c>
      <c r="E3" s="15" t="s">
        <v>38</v>
      </c>
      <c r="F3" s="14"/>
      <c r="G3" s="12" t="s">
        <v>178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46158</v>
      </c>
      <c r="U3" s="13" t="s">
        <v>147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373</v>
      </c>
      <c r="D4" s="109" t="s">
        <v>200</v>
      </c>
      <c r="E4" s="15" t="s">
        <v>38</v>
      </c>
      <c r="F4" s="16"/>
      <c r="G4" s="12" t="s">
        <v>178</v>
      </c>
      <c r="H4" s="15"/>
      <c r="I4" s="13"/>
      <c r="J4" s="13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46158</v>
      </c>
      <c r="U4" s="13" t="s">
        <v>147</v>
      </c>
      <c r="V4">
        <v>2</v>
      </c>
      <c r="X4" s="51" t="s">
        <v>107</v>
      </c>
      <c r="Y4" s="52">
        <f>COUNTIF(U3:U27,"R")</f>
        <v>8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374</v>
      </c>
      <c r="D5" s="109" t="s">
        <v>200</v>
      </c>
      <c r="E5" s="15" t="s">
        <v>38</v>
      </c>
      <c r="F5" s="16"/>
      <c r="G5" s="12" t="s">
        <v>178</v>
      </c>
      <c r="H5" s="13"/>
      <c r="I5" s="13"/>
      <c r="J5" s="13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46158</v>
      </c>
      <c r="U5" s="13" t="s">
        <v>147</v>
      </c>
      <c r="V5">
        <v>3</v>
      </c>
      <c r="X5" s="53" t="s">
        <v>108</v>
      </c>
      <c r="Y5" s="54">
        <f>COUNTIF(U3:U27,"J")</f>
        <v>4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375</v>
      </c>
      <c r="D6" s="109" t="s">
        <v>200</v>
      </c>
      <c r="E6" s="15" t="s">
        <v>38</v>
      </c>
      <c r="F6" s="16"/>
      <c r="G6" s="12" t="s">
        <v>178</v>
      </c>
      <c r="H6" s="15"/>
      <c r="I6" s="13"/>
      <c r="J6" s="13">
        <v>1</v>
      </c>
      <c r="K6" s="15"/>
      <c r="L6" s="17"/>
      <c r="M6" s="17"/>
      <c r="N6" s="13"/>
      <c r="O6" s="17"/>
      <c r="P6" s="17"/>
      <c r="Q6" s="17"/>
      <c r="R6" s="17"/>
      <c r="S6" s="15"/>
      <c r="T6" s="25">
        <v>46158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376</v>
      </c>
      <c r="D7" s="109" t="s">
        <v>200</v>
      </c>
      <c r="E7" s="15" t="s">
        <v>38</v>
      </c>
      <c r="F7" s="16"/>
      <c r="G7" s="12" t="s">
        <v>178</v>
      </c>
      <c r="H7" s="15"/>
      <c r="I7" s="13"/>
      <c r="J7" s="13">
        <v>1</v>
      </c>
      <c r="K7" s="15"/>
      <c r="L7" s="17"/>
      <c r="M7" s="17"/>
      <c r="N7" s="13"/>
      <c r="O7" s="17"/>
      <c r="P7" s="17"/>
      <c r="Q7" s="17"/>
      <c r="R7" s="17"/>
      <c r="S7" s="15"/>
      <c r="T7" s="25">
        <v>46158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377</v>
      </c>
      <c r="D8" s="109" t="s">
        <v>200</v>
      </c>
      <c r="E8" s="15" t="s">
        <v>44</v>
      </c>
      <c r="F8" s="16"/>
      <c r="G8" s="12" t="s">
        <v>178</v>
      </c>
      <c r="H8" s="13"/>
      <c r="I8" s="13"/>
      <c r="J8" s="13">
        <v>1</v>
      </c>
      <c r="K8" s="15"/>
      <c r="L8" s="17"/>
      <c r="M8" s="17"/>
      <c r="N8" s="13"/>
      <c r="O8" s="17"/>
      <c r="P8" s="17"/>
      <c r="Q8" s="17"/>
      <c r="R8" s="17"/>
      <c r="S8" s="15"/>
      <c r="T8" s="25">
        <v>46158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378</v>
      </c>
      <c r="D9" s="109" t="s">
        <v>200</v>
      </c>
      <c r="E9" s="15" t="s">
        <v>44</v>
      </c>
      <c r="F9" s="16"/>
      <c r="G9" s="12" t="s">
        <v>178</v>
      </c>
      <c r="H9" s="15"/>
      <c r="I9" s="13"/>
      <c r="J9" s="13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46158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379</v>
      </c>
      <c r="D10" s="109" t="s">
        <v>200</v>
      </c>
      <c r="E10" s="15" t="s">
        <v>44</v>
      </c>
      <c r="F10" s="16"/>
      <c r="G10" s="12" t="s">
        <v>178</v>
      </c>
      <c r="H10" s="15"/>
      <c r="I10" s="13"/>
      <c r="J10" s="13"/>
      <c r="K10" s="15"/>
      <c r="L10" s="17"/>
      <c r="M10" s="17">
        <v>1</v>
      </c>
      <c r="N10" s="13">
        <v>1</v>
      </c>
      <c r="O10" s="17"/>
      <c r="P10" s="17"/>
      <c r="Q10" s="17">
        <v>1</v>
      </c>
      <c r="R10" s="17"/>
      <c r="S10" s="15"/>
      <c r="T10" s="25">
        <v>46158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380</v>
      </c>
      <c r="D11" s="109" t="s">
        <v>185</v>
      </c>
      <c r="E11" s="15" t="s">
        <v>40</v>
      </c>
      <c r="F11" s="16"/>
      <c r="G11" s="12" t="s">
        <v>251</v>
      </c>
      <c r="H11" s="15"/>
      <c r="I11" s="13"/>
      <c r="J11" s="13"/>
      <c r="K11" s="15"/>
      <c r="L11" s="17"/>
      <c r="M11" s="17"/>
      <c r="N11" s="13"/>
      <c r="O11" s="17">
        <v>1</v>
      </c>
      <c r="P11" s="17">
        <v>1</v>
      </c>
      <c r="Q11" s="17"/>
      <c r="R11" s="17"/>
      <c r="S11" s="15"/>
      <c r="T11" s="25">
        <v>46153</v>
      </c>
      <c r="U11" s="13" t="s">
        <v>148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381</v>
      </c>
      <c r="D12" s="109" t="s">
        <v>187</v>
      </c>
      <c r="E12" s="15" t="s">
        <v>40</v>
      </c>
      <c r="F12" s="16"/>
      <c r="G12" s="12" t="s">
        <v>251</v>
      </c>
      <c r="H12" s="15"/>
      <c r="I12" s="15"/>
      <c r="J12" s="13"/>
      <c r="K12" s="15"/>
      <c r="L12" s="17"/>
      <c r="M12" s="17"/>
      <c r="N12" s="17"/>
      <c r="O12" s="17">
        <v>1</v>
      </c>
      <c r="P12" s="17">
        <v>1</v>
      </c>
      <c r="Q12" s="17">
        <v>1</v>
      </c>
      <c r="R12" s="17">
        <v>1</v>
      </c>
      <c r="S12" s="15"/>
      <c r="T12" s="25">
        <v>46160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382</v>
      </c>
      <c r="D13" s="109" t="s">
        <v>186</v>
      </c>
      <c r="E13" s="15" t="s">
        <v>38</v>
      </c>
      <c r="F13" s="16"/>
      <c r="G13" s="12" t="s">
        <v>178</v>
      </c>
      <c r="H13" s="15"/>
      <c r="I13" s="15"/>
      <c r="J13" s="13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46167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383</v>
      </c>
      <c r="D14" s="109" t="s">
        <v>186</v>
      </c>
      <c r="E14" s="15" t="s">
        <v>40</v>
      </c>
      <c r="F14" s="16"/>
      <c r="G14" s="12" t="s">
        <v>251</v>
      </c>
      <c r="H14" s="15"/>
      <c r="I14" s="15"/>
      <c r="J14" s="13"/>
      <c r="K14" s="15"/>
      <c r="L14" s="17"/>
      <c r="M14" s="17"/>
      <c r="N14" s="17"/>
      <c r="O14" s="17">
        <v>1</v>
      </c>
      <c r="P14" s="17">
        <v>1</v>
      </c>
      <c r="Q14" s="17">
        <v>1</v>
      </c>
      <c r="R14" s="17"/>
      <c r="S14" s="15"/>
      <c r="T14" s="25">
        <v>46148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384</v>
      </c>
      <c r="D15" s="109" t="s">
        <v>343</v>
      </c>
      <c r="E15" s="15" t="s">
        <v>37</v>
      </c>
      <c r="F15" s="16"/>
      <c r="G15" s="12" t="s">
        <v>178</v>
      </c>
      <c r="H15" s="15"/>
      <c r="I15" s="15"/>
      <c r="J15" s="13"/>
      <c r="K15" s="15"/>
      <c r="L15" s="17"/>
      <c r="M15" s="17">
        <v>1</v>
      </c>
      <c r="N15" s="17">
        <v>1</v>
      </c>
      <c r="O15" s="17"/>
      <c r="P15" s="17"/>
      <c r="Q15" s="17"/>
      <c r="R15" s="17"/>
      <c r="S15" s="15"/>
      <c r="T15" s="25">
        <v>46161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385</v>
      </c>
      <c r="D16" s="109" t="s">
        <v>183</v>
      </c>
      <c r="E16" s="15" t="s">
        <v>38</v>
      </c>
      <c r="F16" s="16"/>
      <c r="G16" s="12" t="s">
        <v>178</v>
      </c>
      <c r="H16" s="15"/>
      <c r="I16" s="15"/>
      <c r="J16" s="13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46167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 t="s">
        <v>386</v>
      </c>
      <c r="D17" s="109" t="s">
        <v>355</v>
      </c>
      <c r="E17" s="15" t="s">
        <v>58</v>
      </c>
      <c r="F17" s="16"/>
      <c r="G17" s="12" t="s">
        <v>178</v>
      </c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>
        <v>46146</v>
      </c>
      <c r="U17" s="13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 t="s">
        <v>387</v>
      </c>
      <c r="D18" s="110" t="s">
        <v>179</v>
      </c>
      <c r="E18" s="18" t="s">
        <v>40</v>
      </c>
      <c r="F18" s="16"/>
      <c r="G18" s="18" t="s">
        <v>178</v>
      </c>
      <c r="H18" s="15"/>
      <c r="I18" s="15"/>
      <c r="J18" s="18"/>
      <c r="K18" s="15"/>
      <c r="L18" s="19"/>
      <c r="M18" s="19"/>
      <c r="N18" s="19"/>
      <c r="O18" s="19">
        <v>1</v>
      </c>
      <c r="P18" s="19">
        <v>1</v>
      </c>
      <c r="Q18" s="19"/>
      <c r="R18" s="19">
        <v>1</v>
      </c>
      <c r="S18" s="15"/>
      <c r="T18" s="25">
        <v>46155</v>
      </c>
      <c r="U18" s="15" t="s">
        <v>148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 t="s">
        <v>388</v>
      </c>
      <c r="D19" s="110" t="s">
        <v>184</v>
      </c>
      <c r="E19" s="18" t="s">
        <v>37</v>
      </c>
      <c r="F19" s="16"/>
      <c r="G19" s="18" t="s">
        <v>178</v>
      </c>
      <c r="H19" s="15"/>
      <c r="I19" s="15"/>
      <c r="J19" s="18"/>
      <c r="K19" s="15"/>
      <c r="L19" s="19"/>
      <c r="M19" s="19">
        <v>1</v>
      </c>
      <c r="N19" s="19">
        <v>1</v>
      </c>
      <c r="O19" s="19"/>
      <c r="P19" s="19"/>
      <c r="Q19" s="19">
        <v>1</v>
      </c>
      <c r="R19" s="19"/>
      <c r="S19" s="15"/>
      <c r="T19" s="30">
        <v>46154</v>
      </c>
      <c r="U19" s="15" t="s">
        <v>147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298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172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17</v>
      </c>
      <c r="D28" s="112"/>
      <c r="E28" s="29"/>
      <c r="F28" s="29" t="s">
        <v>34</v>
      </c>
      <c r="G28" s="29">
        <f>COUNTIF(G3:G27,"S")</f>
        <v>14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>
        <f t="shared" si="0"/>
        <v>2</v>
      </c>
      <c r="L28" s="29">
        <f t="shared" si="0"/>
        <v>0</v>
      </c>
      <c r="M28" s="29">
        <f t="shared" si="0"/>
        <v>7</v>
      </c>
      <c r="N28" s="29">
        <f t="shared" si="0"/>
        <v>7</v>
      </c>
      <c r="O28" s="29">
        <f t="shared" si="0"/>
        <v>4</v>
      </c>
      <c r="P28" s="29">
        <f t="shared" si="0"/>
        <v>4</v>
      </c>
      <c r="Q28" s="29">
        <f t="shared" si="0"/>
        <v>8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3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39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AYG138</v>
      </c>
      <c r="B31" s="24">
        <f>B1</f>
        <v>46126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25.5</v>
      </c>
      <c r="C33" s="85" t="s">
        <v>389</v>
      </c>
      <c r="D33" s="109" t="s">
        <v>193</v>
      </c>
      <c r="E33" s="15" t="s">
        <v>42</v>
      </c>
      <c r="F33" s="14"/>
      <c r="G33" s="12" t="s">
        <v>178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>
        <v>1</v>
      </c>
      <c r="T33" s="25">
        <v>46165</v>
      </c>
      <c r="U33" s="13" t="s">
        <v>146</v>
      </c>
      <c r="V33">
        <v>1</v>
      </c>
      <c r="X33" s="51" t="s">
        <v>106</v>
      </c>
      <c r="Y33" s="52">
        <f>COUNTIF(U33:U57,"K")</f>
        <v>14</v>
      </c>
      <c r="AA33" s="31" t="s">
        <v>46</v>
      </c>
      <c r="AB33" s="32">
        <f>J28+J178+J148+J118+J208+J238+J268+J298+J328+J358</f>
        <v>59</v>
      </c>
    </row>
    <row r="34" spans="1:29" x14ac:dyDescent="0.4">
      <c r="A34" s="153"/>
      <c r="B34" s="143"/>
      <c r="C34" s="85" t="s">
        <v>390</v>
      </c>
      <c r="D34" s="109" t="s">
        <v>193</v>
      </c>
      <c r="E34" s="15" t="s">
        <v>41</v>
      </c>
      <c r="F34" s="16"/>
      <c r="G34" s="12" t="s">
        <v>178</v>
      </c>
      <c r="H34" s="15"/>
      <c r="I34" s="13"/>
      <c r="J34" s="15">
        <v>1</v>
      </c>
      <c r="K34" s="15"/>
      <c r="L34" s="17"/>
      <c r="M34" s="17"/>
      <c r="N34" s="13"/>
      <c r="O34" s="17"/>
      <c r="P34" s="17"/>
      <c r="Q34" s="17"/>
      <c r="R34" s="17"/>
      <c r="S34" s="15"/>
      <c r="T34" s="25">
        <v>46165</v>
      </c>
      <c r="U34" s="13" t="s">
        <v>146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19</v>
      </c>
    </row>
    <row r="35" spans="1:29" ht="19.5" thickBot="1" x14ac:dyDescent="0.45">
      <c r="A35" s="153"/>
      <c r="B35" s="143"/>
      <c r="C35" s="85" t="s">
        <v>391</v>
      </c>
      <c r="D35" s="109" t="s">
        <v>193</v>
      </c>
      <c r="E35" s="15" t="s">
        <v>42</v>
      </c>
      <c r="F35" s="16"/>
      <c r="G35" s="12" t="s">
        <v>178</v>
      </c>
      <c r="H35" s="13"/>
      <c r="I35" s="13"/>
      <c r="J35" s="13"/>
      <c r="K35" s="15"/>
      <c r="L35" s="13"/>
      <c r="M35" s="17"/>
      <c r="N35" s="17"/>
      <c r="O35" s="17"/>
      <c r="P35" s="17"/>
      <c r="Q35" s="17"/>
      <c r="R35" s="17"/>
      <c r="S35" s="15">
        <v>1</v>
      </c>
      <c r="T35" s="25">
        <v>46165</v>
      </c>
      <c r="U35" s="13" t="s">
        <v>146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2</v>
      </c>
    </row>
    <row r="36" spans="1:29" x14ac:dyDescent="0.4">
      <c r="A36" s="153"/>
      <c r="B36" s="143"/>
      <c r="C36" s="85" t="s">
        <v>392</v>
      </c>
      <c r="D36" s="109" t="s">
        <v>193</v>
      </c>
      <c r="E36" s="15" t="s">
        <v>41</v>
      </c>
      <c r="F36" s="16"/>
      <c r="G36" s="12" t="s">
        <v>178</v>
      </c>
      <c r="H36" s="15"/>
      <c r="I36" s="13"/>
      <c r="J36" s="13">
        <v>1</v>
      </c>
      <c r="K36" s="15"/>
      <c r="L36" s="13"/>
      <c r="M36" s="17"/>
      <c r="N36" s="17"/>
      <c r="O36" s="17"/>
      <c r="P36" s="17"/>
      <c r="Q36" s="17"/>
      <c r="R36" s="17"/>
      <c r="S36" s="15"/>
      <c r="T36" s="25">
        <v>46165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39</v>
      </c>
    </row>
    <row r="37" spans="1:29" x14ac:dyDescent="0.4">
      <c r="A37" s="153"/>
      <c r="B37" s="143"/>
      <c r="C37" s="85" t="s">
        <v>393</v>
      </c>
      <c r="D37" s="109" t="s">
        <v>193</v>
      </c>
      <c r="E37" s="15" t="s">
        <v>42</v>
      </c>
      <c r="F37" s="16"/>
      <c r="G37" s="12" t="s">
        <v>178</v>
      </c>
      <c r="H37" s="15"/>
      <c r="I37" s="13"/>
      <c r="J37" s="13"/>
      <c r="K37" s="15"/>
      <c r="L37" s="13"/>
      <c r="M37" s="17"/>
      <c r="N37" s="17"/>
      <c r="O37" s="17"/>
      <c r="P37" s="17"/>
      <c r="Q37" s="17"/>
      <c r="R37" s="17"/>
      <c r="S37" s="15">
        <v>1</v>
      </c>
      <c r="T37" s="25">
        <v>46165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38</v>
      </c>
    </row>
    <row r="38" spans="1:29" x14ac:dyDescent="0.4">
      <c r="A38" s="153"/>
      <c r="B38" s="143"/>
      <c r="C38" s="85" t="s">
        <v>394</v>
      </c>
      <c r="D38" s="109" t="s">
        <v>193</v>
      </c>
      <c r="E38" s="15" t="s">
        <v>41</v>
      </c>
      <c r="F38" s="16"/>
      <c r="G38" s="12" t="s">
        <v>178</v>
      </c>
      <c r="H38" s="13"/>
      <c r="I38" s="13"/>
      <c r="J38" s="13">
        <v>1</v>
      </c>
      <c r="K38" s="15"/>
      <c r="L38" s="13"/>
      <c r="M38" s="17"/>
      <c r="N38" s="17"/>
      <c r="O38" s="17"/>
      <c r="P38" s="17"/>
      <c r="Q38" s="17"/>
      <c r="R38" s="17"/>
      <c r="S38" s="15"/>
      <c r="T38" s="25">
        <v>46165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22</v>
      </c>
    </row>
    <row r="39" spans="1:29" x14ac:dyDescent="0.4">
      <c r="A39" s="153"/>
      <c r="B39" s="143"/>
      <c r="C39" s="85" t="s">
        <v>395</v>
      </c>
      <c r="D39" s="109" t="s">
        <v>193</v>
      </c>
      <c r="E39" s="15" t="s">
        <v>42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7"/>
      <c r="O39" s="17"/>
      <c r="P39" s="17"/>
      <c r="Q39" s="17"/>
      <c r="R39" s="17"/>
      <c r="S39" s="15">
        <v>1</v>
      </c>
      <c r="T39" s="25">
        <v>46165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20</v>
      </c>
    </row>
    <row r="40" spans="1:29" x14ac:dyDescent="0.4">
      <c r="A40" s="153"/>
      <c r="B40" s="143"/>
      <c r="C40" s="85" t="s">
        <v>396</v>
      </c>
      <c r="D40" s="109" t="s">
        <v>193</v>
      </c>
      <c r="E40" s="15" t="s">
        <v>41</v>
      </c>
      <c r="F40" s="16"/>
      <c r="G40" s="12" t="s">
        <v>178</v>
      </c>
      <c r="H40" s="15"/>
      <c r="I40" s="13"/>
      <c r="J40" s="15">
        <v>1</v>
      </c>
      <c r="K40" s="15"/>
      <c r="L40" s="17"/>
      <c r="M40" s="17"/>
      <c r="N40" s="17"/>
      <c r="O40" s="17"/>
      <c r="P40" s="17"/>
      <c r="Q40" s="17"/>
      <c r="R40" s="17"/>
      <c r="S40" s="15"/>
      <c r="T40" s="25">
        <v>46165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41</v>
      </c>
    </row>
    <row r="41" spans="1:29" x14ac:dyDescent="0.4">
      <c r="A41" s="153"/>
      <c r="B41" s="143"/>
      <c r="C41" s="85" t="s">
        <v>397</v>
      </c>
      <c r="D41" s="109" t="s">
        <v>193</v>
      </c>
      <c r="E41" s="15" t="s">
        <v>42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7"/>
      <c r="O41" s="17"/>
      <c r="P41" s="17"/>
      <c r="Q41" s="17"/>
      <c r="R41" s="17"/>
      <c r="S41" s="15">
        <v>1</v>
      </c>
      <c r="T41" s="25">
        <v>46165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8</v>
      </c>
      <c r="AC41" t="s">
        <v>123</v>
      </c>
    </row>
    <row r="42" spans="1:29" ht="19.5" thickBot="1" x14ac:dyDescent="0.45">
      <c r="A42" s="153"/>
      <c r="B42" s="143"/>
      <c r="C42" s="85" t="s">
        <v>398</v>
      </c>
      <c r="D42" s="109" t="s">
        <v>193</v>
      </c>
      <c r="E42" s="15" t="s">
        <v>41</v>
      </c>
      <c r="F42" s="16"/>
      <c r="G42" s="12" t="s">
        <v>178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46165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12</v>
      </c>
      <c r="AC42" s="73">
        <f>SUM(AB33:AB42)</f>
        <v>260</v>
      </c>
    </row>
    <row r="43" spans="1:29" ht="19.5" thickBot="1" x14ac:dyDescent="0.45">
      <c r="A43" s="153"/>
      <c r="B43" s="143"/>
      <c r="C43" s="85" t="s">
        <v>399</v>
      </c>
      <c r="D43" s="109" t="s">
        <v>193</v>
      </c>
      <c r="E43" s="15" t="s">
        <v>42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>
        <v>1</v>
      </c>
      <c r="T43" s="25">
        <v>46165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400</v>
      </c>
      <c r="D44" s="109" t="s">
        <v>193</v>
      </c>
      <c r="E44" s="15" t="s">
        <v>41</v>
      </c>
      <c r="F44" s="16"/>
      <c r="G44" s="12" t="s">
        <v>178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46165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4</v>
      </c>
    </row>
    <row r="45" spans="1:29" x14ac:dyDescent="0.4">
      <c r="A45" s="153"/>
      <c r="B45" s="143"/>
      <c r="C45" s="85" t="s">
        <v>401</v>
      </c>
      <c r="D45" s="109" t="s">
        <v>193</v>
      </c>
      <c r="E45" s="15" t="s">
        <v>42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>
        <v>1</v>
      </c>
      <c r="T45" s="25">
        <v>46165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4</v>
      </c>
    </row>
    <row r="46" spans="1:29" x14ac:dyDescent="0.4">
      <c r="A46" s="153"/>
      <c r="B46" s="143"/>
      <c r="C46" s="85" t="s">
        <v>402</v>
      </c>
      <c r="D46" s="109" t="s">
        <v>193</v>
      </c>
      <c r="E46" s="15" t="s">
        <v>41</v>
      </c>
      <c r="F46" s="16"/>
      <c r="G46" s="12" t="s">
        <v>178</v>
      </c>
      <c r="H46" s="15"/>
      <c r="I46" s="15"/>
      <c r="J46" s="15">
        <v>1</v>
      </c>
      <c r="K46" s="15"/>
      <c r="L46" s="17"/>
      <c r="M46" s="17"/>
      <c r="N46" s="17"/>
      <c r="O46" s="17"/>
      <c r="P46" s="17"/>
      <c r="Q46" s="17"/>
      <c r="R46" s="17"/>
      <c r="S46" s="15"/>
      <c r="T46" s="25">
        <v>46165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/>
      <c r="D47" s="109"/>
      <c r="E47" s="15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/>
      <c r="D48" s="109"/>
      <c r="E48" s="18"/>
      <c r="F48" s="16"/>
      <c r="G48" s="12"/>
      <c r="H48" s="15"/>
      <c r="I48" s="15"/>
      <c r="J48" s="18"/>
      <c r="K48" s="15"/>
      <c r="L48" s="19"/>
      <c r="M48" s="17"/>
      <c r="N48" s="17"/>
      <c r="O48" s="19"/>
      <c r="P48" s="19"/>
      <c r="Q48" s="17"/>
      <c r="R48" s="19"/>
      <c r="S48" s="15"/>
      <c r="T48" s="25"/>
      <c r="U48" s="13"/>
      <c r="V48" s="73">
        <v>16</v>
      </c>
    </row>
    <row r="49" spans="1:28" x14ac:dyDescent="0.4">
      <c r="A49" s="153"/>
      <c r="B49" s="143"/>
      <c r="C49" s="85"/>
      <c r="D49" s="109"/>
      <c r="E49" s="18"/>
      <c r="F49" s="16"/>
      <c r="G49" s="12"/>
      <c r="H49" s="15"/>
      <c r="I49" s="15"/>
      <c r="J49" s="18"/>
      <c r="K49" s="15"/>
      <c r="L49" s="19"/>
      <c r="M49" s="17"/>
      <c r="N49" s="17"/>
      <c r="O49" s="19"/>
      <c r="P49" s="19"/>
      <c r="Q49" s="17"/>
      <c r="R49" s="19"/>
      <c r="S49" s="15"/>
      <c r="T49" s="25"/>
      <c r="U49" s="13"/>
      <c r="V49">
        <v>17</v>
      </c>
      <c r="AA49" s="39" t="s">
        <v>70</v>
      </c>
      <c r="AB49" s="40">
        <f>G28+G58+G88+G118+G148+G178+G208+G238+G268+G298+G328+G358</f>
        <v>167</v>
      </c>
    </row>
    <row r="50" spans="1:28" ht="19.5" thickBot="1" x14ac:dyDescent="0.45">
      <c r="A50" s="153"/>
      <c r="B50" s="143"/>
      <c r="C50" s="85"/>
      <c r="D50" s="109"/>
      <c r="E50" s="18"/>
      <c r="F50" s="16"/>
      <c r="G50" s="12"/>
      <c r="H50" s="15"/>
      <c r="I50" s="15"/>
      <c r="J50" s="18"/>
      <c r="K50" s="15"/>
      <c r="L50" s="19"/>
      <c r="M50" s="17"/>
      <c r="N50" s="17"/>
      <c r="O50" s="19"/>
      <c r="P50" s="19"/>
      <c r="Q50" s="17"/>
      <c r="R50" s="19"/>
      <c r="S50" s="15"/>
      <c r="T50" s="25"/>
      <c r="U50" s="13"/>
      <c r="V50">
        <v>18</v>
      </c>
      <c r="AA50" s="41" t="s">
        <v>69</v>
      </c>
      <c r="AB50" s="42">
        <f>G29+G59+G89+G119+G149+G179+G209+G239+G269+G299+G329+G359</f>
        <v>5</v>
      </c>
    </row>
    <row r="51" spans="1:28" ht="19.5" thickBot="1" x14ac:dyDescent="0.45">
      <c r="A51" s="153"/>
      <c r="B51" s="143"/>
      <c r="C51" s="85"/>
      <c r="D51" s="109"/>
      <c r="E51" s="18"/>
      <c r="F51" s="16"/>
      <c r="G51" s="12"/>
      <c r="H51" s="15"/>
      <c r="I51" s="15"/>
      <c r="J51" s="18"/>
      <c r="K51" s="15"/>
      <c r="L51" s="19"/>
      <c r="M51" s="17"/>
      <c r="N51" s="17"/>
      <c r="O51" s="19"/>
      <c r="P51" s="19"/>
      <c r="Q51" s="17"/>
      <c r="R51" s="19"/>
      <c r="S51" s="15"/>
      <c r="T51" s="25"/>
      <c r="U51" s="13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7</v>
      </c>
      <c r="K58" s="29">
        <f t="shared" si="1"/>
        <v>0</v>
      </c>
      <c r="L58" s="29">
        <f t="shared" si="1"/>
        <v>0</v>
      </c>
      <c r="M58" s="29">
        <f t="shared" si="1"/>
        <v>0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0</v>
      </c>
      <c r="R58" s="29">
        <f t="shared" si="1"/>
        <v>0</v>
      </c>
      <c r="S58" s="29">
        <f t="shared" si="1"/>
        <v>7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14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AYG138</v>
      </c>
      <c r="B61" s="24">
        <f>B1</f>
        <v>46126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23.5</v>
      </c>
      <c r="C63" s="85" t="s">
        <v>403</v>
      </c>
      <c r="D63" s="109" t="s">
        <v>187</v>
      </c>
      <c r="E63" s="15" t="s">
        <v>38</v>
      </c>
      <c r="F63" s="16"/>
      <c r="G63" s="12" t="s">
        <v>178</v>
      </c>
      <c r="H63" s="15"/>
      <c r="I63" s="13"/>
      <c r="J63" s="15"/>
      <c r="K63" s="15"/>
      <c r="L63" s="17"/>
      <c r="M63" s="17">
        <v>1</v>
      </c>
      <c r="N63" s="13">
        <v>1</v>
      </c>
      <c r="O63" s="17"/>
      <c r="P63" s="17"/>
      <c r="Q63" s="17">
        <v>1</v>
      </c>
      <c r="R63" s="17"/>
      <c r="S63" s="15"/>
      <c r="T63" s="25">
        <v>46155</v>
      </c>
      <c r="U63" s="13" t="s">
        <v>147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404</v>
      </c>
      <c r="D64" s="109" t="s">
        <v>187</v>
      </c>
      <c r="E64" s="15" t="s">
        <v>38</v>
      </c>
      <c r="F64" s="16"/>
      <c r="G64" s="12" t="s">
        <v>178</v>
      </c>
      <c r="H64" s="15"/>
      <c r="I64" s="13"/>
      <c r="J64" s="15"/>
      <c r="K64" s="15"/>
      <c r="L64" s="17"/>
      <c r="M64" s="17">
        <v>1</v>
      </c>
      <c r="N64" s="13">
        <v>1</v>
      </c>
      <c r="O64" s="17"/>
      <c r="P64" s="17"/>
      <c r="Q64" s="17">
        <v>1</v>
      </c>
      <c r="R64" s="17"/>
      <c r="S64" s="15"/>
      <c r="T64" s="25">
        <v>46155</v>
      </c>
      <c r="U64" s="13" t="s">
        <v>147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405</v>
      </c>
      <c r="D65" s="109" t="s">
        <v>187</v>
      </c>
      <c r="E65" s="15" t="s">
        <v>40</v>
      </c>
      <c r="F65" s="16"/>
      <c r="G65" s="12" t="s">
        <v>178</v>
      </c>
      <c r="H65" s="15"/>
      <c r="I65" s="13"/>
      <c r="J65" s="15"/>
      <c r="K65" s="15"/>
      <c r="L65" s="17"/>
      <c r="M65" s="17"/>
      <c r="N65" s="13"/>
      <c r="O65" s="17">
        <v>1</v>
      </c>
      <c r="P65" s="17">
        <v>1</v>
      </c>
      <c r="Q65" s="17"/>
      <c r="R65" s="17"/>
      <c r="S65" s="15"/>
      <c r="T65" s="25">
        <v>46155</v>
      </c>
      <c r="U65" s="13" t="s">
        <v>148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406</v>
      </c>
      <c r="D66" s="109" t="s">
        <v>187</v>
      </c>
      <c r="E66" s="15" t="s">
        <v>37</v>
      </c>
      <c r="F66" s="16"/>
      <c r="G66" s="12" t="s">
        <v>178</v>
      </c>
      <c r="H66" s="15"/>
      <c r="I66" s="15"/>
      <c r="J66" s="15">
        <v>1</v>
      </c>
      <c r="K66" s="15">
        <v>1</v>
      </c>
      <c r="L66" s="17"/>
      <c r="M66" s="17"/>
      <c r="N66" s="17"/>
      <c r="O66" s="17"/>
      <c r="P66" s="17"/>
      <c r="Q66" s="17"/>
      <c r="R66" s="17"/>
      <c r="S66" s="15"/>
      <c r="T66" s="25">
        <v>46155</v>
      </c>
      <c r="U66" s="133" t="s">
        <v>142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407</v>
      </c>
      <c r="D67" s="109" t="s">
        <v>187</v>
      </c>
      <c r="E67" s="15" t="s">
        <v>36</v>
      </c>
      <c r="F67" s="16"/>
      <c r="G67" s="12" t="s">
        <v>178</v>
      </c>
      <c r="H67" s="15"/>
      <c r="I67" s="15"/>
      <c r="J67" s="15"/>
      <c r="K67" s="15"/>
      <c r="L67" s="17"/>
      <c r="M67" s="17">
        <v>1</v>
      </c>
      <c r="N67" s="17">
        <v>1</v>
      </c>
      <c r="O67" s="17"/>
      <c r="P67" s="17"/>
      <c r="Q67" s="17">
        <v>1</v>
      </c>
      <c r="R67" s="17"/>
      <c r="S67" s="15"/>
      <c r="T67" s="25">
        <v>46155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408</v>
      </c>
      <c r="D68" s="109" t="s">
        <v>187</v>
      </c>
      <c r="E68" s="15" t="s">
        <v>36</v>
      </c>
      <c r="F68" s="16"/>
      <c r="G68" s="12" t="s">
        <v>178</v>
      </c>
      <c r="H68" s="15"/>
      <c r="I68" s="15"/>
      <c r="J68" s="15"/>
      <c r="K68" s="15"/>
      <c r="L68" s="17"/>
      <c r="M68" s="17">
        <v>1</v>
      </c>
      <c r="N68" s="17">
        <v>1</v>
      </c>
      <c r="O68" s="17"/>
      <c r="P68" s="17"/>
      <c r="Q68" s="17">
        <v>1</v>
      </c>
      <c r="R68" s="17"/>
      <c r="S68" s="15"/>
      <c r="T68" s="25">
        <v>46155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409</v>
      </c>
      <c r="D69" s="109" t="s">
        <v>187</v>
      </c>
      <c r="E69" s="15" t="s">
        <v>37</v>
      </c>
      <c r="F69" s="16"/>
      <c r="G69" s="12" t="s">
        <v>178</v>
      </c>
      <c r="H69" s="15"/>
      <c r="I69" s="15"/>
      <c r="J69" s="15">
        <v>1</v>
      </c>
      <c r="K69" s="15">
        <v>1</v>
      </c>
      <c r="L69" s="17"/>
      <c r="M69" s="17"/>
      <c r="N69" s="17"/>
      <c r="O69" s="17"/>
      <c r="P69" s="17"/>
      <c r="Q69" s="17"/>
      <c r="R69" s="17"/>
      <c r="S69" s="15"/>
      <c r="T69" s="25">
        <v>46160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410</v>
      </c>
      <c r="D70" s="109" t="s">
        <v>187</v>
      </c>
      <c r="E70" s="15" t="s">
        <v>38</v>
      </c>
      <c r="F70" s="16"/>
      <c r="G70" s="12" t="s">
        <v>178</v>
      </c>
      <c r="H70" s="15"/>
      <c r="I70" s="15"/>
      <c r="J70" s="15">
        <v>1</v>
      </c>
      <c r="K70" s="15"/>
      <c r="L70" s="17"/>
      <c r="M70" s="17"/>
      <c r="N70" s="17"/>
      <c r="O70" s="17"/>
      <c r="P70" s="17"/>
      <c r="Q70" s="17"/>
      <c r="R70" s="17"/>
      <c r="S70" s="15"/>
      <c r="T70" s="25">
        <v>46160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411</v>
      </c>
      <c r="D71" s="109" t="s">
        <v>187</v>
      </c>
      <c r="E71" s="15" t="s">
        <v>36</v>
      </c>
      <c r="F71" s="16"/>
      <c r="G71" s="12" t="s">
        <v>178</v>
      </c>
      <c r="H71" s="15"/>
      <c r="I71" s="15"/>
      <c r="J71" s="15"/>
      <c r="K71" s="15"/>
      <c r="L71" s="17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46158</v>
      </c>
      <c r="U71" s="15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412</v>
      </c>
      <c r="D72" s="109" t="s">
        <v>187</v>
      </c>
      <c r="E72" s="18" t="s">
        <v>75</v>
      </c>
      <c r="F72" s="16"/>
      <c r="G72" s="12" t="s">
        <v>178</v>
      </c>
      <c r="H72" s="15"/>
      <c r="I72" s="15"/>
      <c r="J72" s="18"/>
      <c r="K72" s="15"/>
      <c r="L72" s="19"/>
      <c r="M72" s="19">
        <v>1</v>
      </c>
      <c r="N72" s="19">
        <v>1</v>
      </c>
      <c r="O72" s="19"/>
      <c r="P72" s="19"/>
      <c r="Q72" s="19">
        <v>1</v>
      </c>
      <c r="R72" s="19"/>
      <c r="S72" s="15"/>
      <c r="T72" s="25">
        <v>46158</v>
      </c>
      <c r="U72" s="15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413</v>
      </c>
      <c r="D73" s="109" t="s">
        <v>189</v>
      </c>
      <c r="E73" s="18" t="s">
        <v>75</v>
      </c>
      <c r="F73" s="16"/>
      <c r="G73" s="12" t="s">
        <v>178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/>
      <c r="T73" s="25">
        <v>46140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414</v>
      </c>
      <c r="D74" s="109" t="s">
        <v>193</v>
      </c>
      <c r="E74" s="18" t="s">
        <v>42</v>
      </c>
      <c r="F74" s="16"/>
      <c r="G74" s="12" t="s">
        <v>178</v>
      </c>
      <c r="H74" s="15"/>
      <c r="I74" s="15"/>
      <c r="J74" s="18"/>
      <c r="K74" s="15"/>
      <c r="L74" s="19"/>
      <c r="M74" s="19"/>
      <c r="N74" s="19"/>
      <c r="O74" s="19"/>
      <c r="P74" s="19"/>
      <c r="Q74" s="19"/>
      <c r="R74" s="19"/>
      <c r="S74" s="15">
        <v>1</v>
      </c>
      <c r="T74" s="25">
        <v>46165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415</v>
      </c>
      <c r="D75" s="109" t="s">
        <v>193</v>
      </c>
      <c r="E75" s="18" t="s">
        <v>41</v>
      </c>
      <c r="F75" s="16"/>
      <c r="G75" s="12" t="s">
        <v>178</v>
      </c>
      <c r="H75" s="15"/>
      <c r="I75" s="15"/>
      <c r="J75" s="18">
        <v>1</v>
      </c>
      <c r="K75" s="15"/>
      <c r="L75" s="19"/>
      <c r="M75" s="19"/>
      <c r="N75" s="19"/>
      <c r="O75" s="19"/>
      <c r="P75" s="19"/>
      <c r="Q75" s="19"/>
      <c r="R75" s="19"/>
      <c r="S75" s="15"/>
      <c r="T75" s="26">
        <v>46165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5" t="s">
        <v>416</v>
      </c>
      <c r="D76" s="109" t="s">
        <v>193</v>
      </c>
      <c r="E76" s="18" t="s">
        <v>42</v>
      </c>
      <c r="F76" s="16"/>
      <c r="G76" s="12" t="s">
        <v>178</v>
      </c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>
        <v>1</v>
      </c>
      <c r="T76" s="26">
        <v>46165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5" t="s">
        <v>417</v>
      </c>
      <c r="D77" s="110" t="s">
        <v>193</v>
      </c>
      <c r="E77" s="18" t="s">
        <v>41</v>
      </c>
      <c r="F77" s="16"/>
      <c r="G77" s="18" t="s">
        <v>178</v>
      </c>
      <c r="H77" s="15"/>
      <c r="I77" s="15"/>
      <c r="J77" s="18">
        <v>1</v>
      </c>
      <c r="K77" s="15"/>
      <c r="L77" s="19"/>
      <c r="M77" s="19"/>
      <c r="N77" s="19"/>
      <c r="O77" s="19"/>
      <c r="P77" s="19"/>
      <c r="Q77" s="19"/>
      <c r="R77" s="19"/>
      <c r="S77" s="15"/>
      <c r="T77" s="26">
        <v>46165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2</v>
      </c>
      <c r="L88" s="29">
        <f t="shared" si="2"/>
        <v>0</v>
      </c>
      <c r="M88" s="29">
        <f t="shared" si="2"/>
        <v>6</v>
      </c>
      <c r="N88" s="29">
        <f t="shared" si="2"/>
        <v>6</v>
      </c>
      <c r="O88" s="29">
        <f t="shared" si="2"/>
        <v>1</v>
      </c>
      <c r="P88" s="29">
        <f t="shared" si="2"/>
        <v>1</v>
      </c>
      <c r="Q88" s="29">
        <f t="shared" si="2"/>
        <v>6</v>
      </c>
      <c r="R88" s="29">
        <f t="shared" si="2"/>
        <v>0</v>
      </c>
      <c r="S88" s="29">
        <f t="shared" si="2"/>
        <v>2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24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AYG138</v>
      </c>
      <c r="B91" s="24">
        <f>B1</f>
        <v>46126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23.4</v>
      </c>
      <c r="C93" s="85" t="s">
        <v>418</v>
      </c>
      <c r="D93" s="109" t="s">
        <v>186</v>
      </c>
      <c r="E93" s="15" t="s">
        <v>36</v>
      </c>
      <c r="F93" s="14"/>
      <c r="G93" s="12" t="s">
        <v>178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46158</v>
      </c>
      <c r="U93" s="13" t="s">
        <v>147</v>
      </c>
      <c r="V93">
        <v>1</v>
      </c>
      <c r="X93" s="51" t="s">
        <v>106</v>
      </c>
      <c r="Y93" s="52">
        <f>COUNTIF(U93:U117,"K")</f>
        <v>7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419</v>
      </c>
      <c r="D94" s="109" t="s">
        <v>242</v>
      </c>
      <c r="E94" s="15" t="s">
        <v>38</v>
      </c>
      <c r="F94" s="16"/>
      <c r="G94" s="12" t="s">
        <v>178</v>
      </c>
      <c r="H94" s="15"/>
      <c r="I94" s="15"/>
      <c r="J94" s="13">
        <v>1</v>
      </c>
      <c r="K94" s="15"/>
      <c r="L94" s="13"/>
      <c r="M94" s="17"/>
      <c r="N94" s="17"/>
      <c r="O94" s="17"/>
      <c r="P94" s="17"/>
      <c r="Q94" s="17"/>
      <c r="R94" s="17"/>
      <c r="S94" s="15"/>
      <c r="T94" s="25">
        <v>46158</v>
      </c>
      <c r="U94" s="13" t="s">
        <v>146</v>
      </c>
      <c r="V94">
        <v>2</v>
      </c>
      <c r="X94" s="51" t="s">
        <v>107</v>
      </c>
      <c r="Y94" s="52">
        <f>COUNTIF(U93:U117,"R")</f>
        <v>5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420</v>
      </c>
      <c r="D95" s="109" t="s">
        <v>242</v>
      </c>
      <c r="E95" s="15" t="s">
        <v>39</v>
      </c>
      <c r="F95" s="16"/>
      <c r="G95" s="12" t="s">
        <v>178</v>
      </c>
      <c r="H95" s="15"/>
      <c r="I95" s="15"/>
      <c r="J95" s="13">
        <v>1</v>
      </c>
      <c r="K95" s="15"/>
      <c r="L95" s="13"/>
      <c r="M95" s="17"/>
      <c r="N95" s="17"/>
      <c r="O95" s="17"/>
      <c r="P95" s="17"/>
      <c r="Q95" s="17"/>
      <c r="R95" s="17"/>
      <c r="S95" s="15"/>
      <c r="T95" s="25">
        <v>46158</v>
      </c>
      <c r="U95" s="13" t="s">
        <v>147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421</v>
      </c>
      <c r="D96" s="109" t="s">
        <v>242</v>
      </c>
      <c r="E96" s="15" t="s">
        <v>38</v>
      </c>
      <c r="F96" s="16"/>
      <c r="G96" s="12" t="s">
        <v>178</v>
      </c>
      <c r="H96" s="15"/>
      <c r="I96" s="15"/>
      <c r="J96" s="13">
        <v>1</v>
      </c>
      <c r="K96" s="15">
        <v>1</v>
      </c>
      <c r="L96" s="13"/>
      <c r="M96" s="17"/>
      <c r="N96" s="17"/>
      <c r="O96" s="17"/>
      <c r="P96" s="17"/>
      <c r="Q96" s="17"/>
      <c r="R96" s="17"/>
      <c r="S96" s="15"/>
      <c r="T96" s="25">
        <v>46158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422</v>
      </c>
      <c r="D97" s="109" t="s">
        <v>242</v>
      </c>
      <c r="E97" s="15" t="s">
        <v>39</v>
      </c>
      <c r="F97" s="16"/>
      <c r="G97" s="12" t="s">
        <v>178</v>
      </c>
      <c r="H97" s="15"/>
      <c r="I97" s="15"/>
      <c r="J97" s="13">
        <v>1</v>
      </c>
      <c r="K97" s="15">
        <v>1</v>
      </c>
      <c r="L97" s="13"/>
      <c r="M97" s="17"/>
      <c r="N97" s="17"/>
      <c r="O97" s="17"/>
      <c r="P97" s="17"/>
      <c r="Q97" s="17"/>
      <c r="R97" s="17"/>
      <c r="S97" s="15"/>
      <c r="T97" s="25">
        <v>46158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423</v>
      </c>
      <c r="D98" s="109" t="s">
        <v>242</v>
      </c>
      <c r="E98" s="15" t="s">
        <v>133</v>
      </c>
      <c r="F98" s="16"/>
      <c r="G98" s="12" t="s">
        <v>178</v>
      </c>
      <c r="H98" s="13"/>
      <c r="I98" s="15"/>
      <c r="J98" s="13"/>
      <c r="K98" s="15"/>
      <c r="L98" s="13"/>
      <c r="M98" s="17"/>
      <c r="N98" s="17">
        <v>1</v>
      </c>
      <c r="O98" s="17">
        <v>1</v>
      </c>
      <c r="P98" s="17">
        <v>1</v>
      </c>
      <c r="Q98" s="17">
        <v>1</v>
      </c>
      <c r="R98" s="17">
        <v>1</v>
      </c>
      <c r="S98" s="15"/>
      <c r="T98" s="25">
        <v>46158</v>
      </c>
      <c r="U98" s="13" t="s">
        <v>148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424</v>
      </c>
      <c r="D99" s="109" t="s">
        <v>180</v>
      </c>
      <c r="E99" s="15" t="s">
        <v>78</v>
      </c>
      <c r="F99" s="16"/>
      <c r="G99" s="12" t="s">
        <v>178</v>
      </c>
      <c r="H99" s="15"/>
      <c r="I99" s="15"/>
      <c r="J99" s="13"/>
      <c r="K99" s="15">
        <v>1</v>
      </c>
      <c r="L99" s="13"/>
      <c r="M99" s="17"/>
      <c r="N99" s="17"/>
      <c r="O99" s="17"/>
      <c r="P99" s="17"/>
      <c r="Q99" s="17"/>
      <c r="R99" s="17"/>
      <c r="S99" s="15"/>
      <c r="T99" s="25">
        <v>46144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425</v>
      </c>
      <c r="D100" s="109" t="s">
        <v>180</v>
      </c>
      <c r="E100" s="15" t="s">
        <v>79</v>
      </c>
      <c r="F100" s="16"/>
      <c r="G100" s="12" t="s">
        <v>178</v>
      </c>
      <c r="H100" s="15"/>
      <c r="I100" s="15"/>
      <c r="J100" s="13"/>
      <c r="K100" s="15"/>
      <c r="L100" s="13"/>
      <c r="M100" s="17"/>
      <c r="N100" s="17"/>
      <c r="O100" s="17">
        <v>1</v>
      </c>
      <c r="P100" s="17"/>
      <c r="Q100" s="17"/>
      <c r="R100" s="17"/>
      <c r="S100" s="15"/>
      <c r="T100" s="25">
        <v>46144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426</v>
      </c>
      <c r="D101" s="109" t="s">
        <v>188</v>
      </c>
      <c r="E101" s="15" t="s">
        <v>39</v>
      </c>
      <c r="F101" s="16"/>
      <c r="G101" s="12" t="s">
        <v>178</v>
      </c>
      <c r="H101" s="15"/>
      <c r="I101" s="15"/>
      <c r="J101" s="13">
        <v>1</v>
      </c>
      <c r="K101" s="15"/>
      <c r="L101" s="13"/>
      <c r="M101" s="17"/>
      <c r="N101" s="17"/>
      <c r="O101" s="17"/>
      <c r="P101" s="17"/>
      <c r="Q101" s="17"/>
      <c r="R101" s="17"/>
      <c r="S101" s="15"/>
      <c r="T101" s="25">
        <v>46171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427</v>
      </c>
      <c r="D102" s="109" t="s">
        <v>179</v>
      </c>
      <c r="E102" s="15" t="s">
        <v>37</v>
      </c>
      <c r="F102" s="16"/>
      <c r="G102" s="12" t="s">
        <v>178</v>
      </c>
      <c r="H102" s="15"/>
      <c r="I102" s="15"/>
      <c r="J102" s="13"/>
      <c r="K102" s="15"/>
      <c r="L102" s="13"/>
      <c r="M102" s="17">
        <v>1</v>
      </c>
      <c r="N102" s="17">
        <v>1</v>
      </c>
      <c r="O102" s="17"/>
      <c r="P102" s="17"/>
      <c r="Q102" s="17">
        <v>1</v>
      </c>
      <c r="R102" s="17"/>
      <c r="S102" s="15"/>
      <c r="T102" s="25">
        <v>46154</v>
      </c>
      <c r="U102" s="13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428</v>
      </c>
      <c r="D103" s="109" t="s">
        <v>189</v>
      </c>
      <c r="E103" s="15" t="s">
        <v>36</v>
      </c>
      <c r="F103" s="16"/>
      <c r="G103" s="12" t="s">
        <v>178</v>
      </c>
      <c r="H103" s="15"/>
      <c r="I103" s="15"/>
      <c r="J103" s="13"/>
      <c r="K103" s="15"/>
      <c r="L103" s="13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46140</v>
      </c>
      <c r="U103" s="13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430</v>
      </c>
      <c r="D104" s="109" t="s">
        <v>429</v>
      </c>
      <c r="E104" s="15" t="s">
        <v>39</v>
      </c>
      <c r="F104" s="16"/>
      <c r="G104" s="12" t="s">
        <v>178</v>
      </c>
      <c r="H104" s="15"/>
      <c r="I104" s="15"/>
      <c r="J104" s="13">
        <v>1</v>
      </c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46150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431</v>
      </c>
      <c r="D105" s="109" t="s">
        <v>429</v>
      </c>
      <c r="E105" s="15" t="s">
        <v>133</v>
      </c>
      <c r="F105" s="16"/>
      <c r="G105" s="12" t="s">
        <v>178</v>
      </c>
      <c r="H105" s="15"/>
      <c r="I105" s="15"/>
      <c r="J105" s="13"/>
      <c r="K105" s="15"/>
      <c r="L105" s="13"/>
      <c r="M105" s="17"/>
      <c r="N105" s="17"/>
      <c r="O105" s="17">
        <v>1</v>
      </c>
      <c r="P105" s="17">
        <v>1</v>
      </c>
      <c r="Q105" s="17">
        <v>1</v>
      </c>
      <c r="R105" s="17">
        <v>1</v>
      </c>
      <c r="S105" s="15"/>
      <c r="T105" s="25">
        <v>46150</v>
      </c>
      <c r="U105" s="13" t="s">
        <v>148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 t="s">
        <v>433</v>
      </c>
      <c r="D106" s="109" t="s">
        <v>432</v>
      </c>
      <c r="E106" s="15" t="s">
        <v>37</v>
      </c>
      <c r="F106" s="16"/>
      <c r="G106" s="12" t="s">
        <v>178</v>
      </c>
      <c r="H106" s="15"/>
      <c r="I106" s="15"/>
      <c r="J106" s="13"/>
      <c r="K106" s="15"/>
      <c r="L106" s="13"/>
      <c r="M106" s="17">
        <v>1</v>
      </c>
      <c r="N106" s="17">
        <v>1</v>
      </c>
      <c r="O106" s="17"/>
      <c r="P106" s="17"/>
      <c r="Q106" s="17">
        <v>1</v>
      </c>
      <c r="R106" s="17"/>
      <c r="S106" s="15"/>
      <c r="T106" s="25">
        <v>46165</v>
      </c>
      <c r="U106" s="13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 t="s">
        <v>434</v>
      </c>
      <c r="D107" s="109" t="s">
        <v>432</v>
      </c>
      <c r="E107" s="15" t="s">
        <v>40</v>
      </c>
      <c r="F107" s="16"/>
      <c r="G107" s="12" t="s">
        <v>178</v>
      </c>
      <c r="H107" s="15"/>
      <c r="I107" s="15"/>
      <c r="J107" s="13"/>
      <c r="K107" s="15"/>
      <c r="L107" s="13"/>
      <c r="M107" s="17"/>
      <c r="N107" s="17"/>
      <c r="O107" s="17">
        <v>1</v>
      </c>
      <c r="P107" s="17">
        <v>1</v>
      </c>
      <c r="Q107" s="17"/>
      <c r="R107" s="17"/>
      <c r="S107" s="15"/>
      <c r="T107" s="25">
        <v>46165</v>
      </c>
      <c r="U107" s="13" t="s">
        <v>148</v>
      </c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4</v>
      </c>
      <c r="L118" s="29">
        <f t="shared" ref="L118" si="5">SUM(L93:L117)</f>
        <v>0</v>
      </c>
      <c r="M118" s="29">
        <f t="shared" ref="M118" si="6">SUM(M93:M117)</f>
        <v>3</v>
      </c>
      <c r="N118" s="29">
        <f t="shared" ref="N118" si="7">SUM(N93:N117)</f>
        <v>4</v>
      </c>
      <c r="O118" s="29">
        <f t="shared" ref="O118" si="8">SUM(O93:O117)</f>
        <v>4</v>
      </c>
      <c r="P118" s="29">
        <f t="shared" ref="P118" si="9">SUM(P93:P117)</f>
        <v>3</v>
      </c>
      <c r="Q118" s="29">
        <f t="shared" ref="Q118" si="10">SUM(Q93:Q117)</f>
        <v>5</v>
      </c>
      <c r="R118" s="29">
        <f t="shared" ref="R118" si="11">SUM(R93:R117)</f>
        <v>2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32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AYG138</v>
      </c>
      <c r="B121" s="24">
        <f>B1</f>
        <v>46126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23.6</v>
      </c>
      <c r="C123" s="85" t="s">
        <v>435</v>
      </c>
      <c r="D123" s="109" t="s">
        <v>183</v>
      </c>
      <c r="E123" s="15" t="s">
        <v>40</v>
      </c>
      <c r="F123" s="14"/>
      <c r="G123" s="12" t="s">
        <v>178</v>
      </c>
      <c r="H123" s="13"/>
      <c r="I123" s="13"/>
      <c r="J123" s="13"/>
      <c r="K123" s="13"/>
      <c r="L123" s="13"/>
      <c r="M123" s="13"/>
      <c r="N123" s="13"/>
      <c r="O123" s="13">
        <v>1</v>
      </c>
      <c r="P123" s="13">
        <v>1</v>
      </c>
      <c r="Q123" s="13"/>
      <c r="R123" s="13">
        <v>1</v>
      </c>
      <c r="S123" s="13"/>
      <c r="T123" s="25">
        <v>46160</v>
      </c>
      <c r="U123" s="13" t="s">
        <v>148</v>
      </c>
      <c r="V123">
        <v>1</v>
      </c>
      <c r="X123" s="51" t="s">
        <v>106</v>
      </c>
      <c r="Y123" s="52">
        <f>COUNTIF(U123:U147,"K")</f>
        <v>11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436</v>
      </c>
      <c r="D124" s="109" t="s">
        <v>183</v>
      </c>
      <c r="E124" s="15" t="s">
        <v>37</v>
      </c>
      <c r="F124" s="16"/>
      <c r="G124" s="12" t="s">
        <v>178</v>
      </c>
      <c r="H124" s="15"/>
      <c r="I124" s="15"/>
      <c r="J124" s="15"/>
      <c r="K124" s="15"/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46160</v>
      </c>
      <c r="U124" s="13" t="s">
        <v>147</v>
      </c>
      <c r="V124">
        <v>2</v>
      </c>
      <c r="X124" s="51" t="s">
        <v>107</v>
      </c>
      <c r="Y124" s="52">
        <f>COUNTIF(U123:U147,"R")</f>
        <v>1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437</v>
      </c>
      <c r="D125" s="109" t="s">
        <v>193</v>
      </c>
      <c r="E125" s="15" t="s">
        <v>42</v>
      </c>
      <c r="F125" s="16"/>
      <c r="G125" s="12" t="s">
        <v>178</v>
      </c>
      <c r="H125" s="15"/>
      <c r="I125" s="15"/>
      <c r="J125" s="13"/>
      <c r="K125" s="13"/>
      <c r="L125" s="13"/>
      <c r="M125" s="17"/>
      <c r="N125" s="17"/>
      <c r="O125" s="17"/>
      <c r="P125" s="17"/>
      <c r="Q125" s="17"/>
      <c r="R125" s="17"/>
      <c r="S125" s="15">
        <v>1</v>
      </c>
      <c r="T125" s="25">
        <v>46169</v>
      </c>
      <c r="U125" s="13" t="s">
        <v>142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438</v>
      </c>
      <c r="D126" s="109" t="s">
        <v>193</v>
      </c>
      <c r="E126" s="15" t="s">
        <v>41</v>
      </c>
      <c r="F126" s="16"/>
      <c r="G126" s="12" t="s">
        <v>178</v>
      </c>
      <c r="H126" s="15"/>
      <c r="I126" s="15"/>
      <c r="J126" s="15">
        <v>1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46169</v>
      </c>
      <c r="U126" s="13" t="s">
        <v>142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439</v>
      </c>
      <c r="D127" s="109" t="s">
        <v>193</v>
      </c>
      <c r="E127" s="15" t="s">
        <v>42</v>
      </c>
      <c r="F127" s="16"/>
      <c r="G127" s="12" t="s">
        <v>178</v>
      </c>
      <c r="H127" s="15"/>
      <c r="I127" s="15"/>
      <c r="J127" s="13"/>
      <c r="K127" s="13"/>
      <c r="L127" s="13"/>
      <c r="M127" s="17"/>
      <c r="N127" s="17"/>
      <c r="O127" s="17"/>
      <c r="P127" s="17"/>
      <c r="Q127" s="17"/>
      <c r="R127" s="17"/>
      <c r="S127" s="15">
        <v>1</v>
      </c>
      <c r="T127" s="25">
        <v>46169</v>
      </c>
      <c r="U127" s="13" t="s">
        <v>142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440</v>
      </c>
      <c r="D128" s="109" t="s">
        <v>193</v>
      </c>
      <c r="E128" s="15" t="s">
        <v>41</v>
      </c>
      <c r="F128" s="16"/>
      <c r="G128" s="12" t="s">
        <v>178</v>
      </c>
      <c r="H128" s="13"/>
      <c r="I128" s="15"/>
      <c r="J128" s="15">
        <v>1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46169</v>
      </c>
      <c r="U128" s="13" t="s">
        <v>142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441</v>
      </c>
      <c r="D129" s="109" t="s">
        <v>193</v>
      </c>
      <c r="E129" s="15" t="s">
        <v>42</v>
      </c>
      <c r="F129" s="16"/>
      <c r="G129" s="12" t="s">
        <v>178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>
        <v>1</v>
      </c>
      <c r="T129" s="25">
        <v>46169</v>
      </c>
      <c r="U129" s="13" t="s">
        <v>142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442</v>
      </c>
      <c r="D130" s="109" t="s">
        <v>193</v>
      </c>
      <c r="E130" s="15" t="s">
        <v>41</v>
      </c>
      <c r="F130" s="16"/>
      <c r="G130" s="12" t="s">
        <v>178</v>
      </c>
      <c r="H130" s="15"/>
      <c r="I130" s="15"/>
      <c r="J130" s="15">
        <v>1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46169</v>
      </c>
      <c r="U130" s="13" t="s">
        <v>142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443</v>
      </c>
      <c r="D131" s="109" t="s">
        <v>193</v>
      </c>
      <c r="E131" s="15" t="s">
        <v>42</v>
      </c>
      <c r="F131" s="16"/>
      <c r="G131" s="12" t="s">
        <v>178</v>
      </c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>
        <v>1</v>
      </c>
      <c r="T131" s="25">
        <v>46169</v>
      </c>
      <c r="U131" s="13" t="s">
        <v>142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444</v>
      </c>
      <c r="D132" s="109" t="s">
        <v>193</v>
      </c>
      <c r="E132" s="15" t="s">
        <v>41</v>
      </c>
      <c r="F132" s="16"/>
      <c r="G132" s="12" t="s">
        <v>178</v>
      </c>
      <c r="H132" s="15"/>
      <c r="I132" s="15"/>
      <c r="J132" s="15">
        <v>1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46169</v>
      </c>
      <c r="U132" s="13" t="s">
        <v>142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 t="s">
        <v>445</v>
      </c>
      <c r="D133" s="109" t="s">
        <v>193</v>
      </c>
      <c r="E133" s="15" t="s">
        <v>42</v>
      </c>
      <c r="F133" s="16"/>
      <c r="G133" s="12" t="s">
        <v>178</v>
      </c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>
        <v>1</v>
      </c>
      <c r="T133" s="25">
        <v>46169</v>
      </c>
      <c r="U133" s="13" t="s">
        <v>142</v>
      </c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 t="s">
        <v>446</v>
      </c>
      <c r="D134" s="109" t="s">
        <v>193</v>
      </c>
      <c r="E134" s="15" t="s">
        <v>41</v>
      </c>
      <c r="F134" s="16"/>
      <c r="G134" s="12" t="s">
        <v>178</v>
      </c>
      <c r="H134" s="15"/>
      <c r="I134" s="15"/>
      <c r="J134" s="15">
        <v>1</v>
      </c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46169</v>
      </c>
      <c r="U134" s="13" t="s">
        <v>142</v>
      </c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 t="s">
        <v>447</v>
      </c>
      <c r="D135" s="109" t="s">
        <v>193</v>
      </c>
      <c r="E135" s="15" t="s">
        <v>39</v>
      </c>
      <c r="F135" s="16"/>
      <c r="G135" s="12" t="s">
        <v>178</v>
      </c>
      <c r="H135" s="15"/>
      <c r="I135" s="15"/>
      <c r="J135" s="15">
        <v>1</v>
      </c>
      <c r="K135" s="15"/>
      <c r="L135" s="17">
        <v>1</v>
      </c>
      <c r="M135" s="17"/>
      <c r="N135" s="17"/>
      <c r="O135" s="17"/>
      <c r="P135" s="17"/>
      <c r="Q135" s="17"/>
      <c r="R135" s="17"/>
      <c r="S135" s="15"/>
      <c r="T135" s="25">
        <v>46176</v>
      </c>
      <c r="U135" s="13" t="s">
        <v>142</v>
      </c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/>
      <c r="D137" s="109"/>
      <c r="E137" s="15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/>
      <c r="D138" s="109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13</v>
      </c>
      <c r="D148" s="112"/>
      <c r="E148" s="29"/>
      <c r="F148" s="29" t="s">
        <v>34</v>
      </c>
      <c r="G148" s="29">
        <f>COUNTIF(G123:G147,"S")</f>
        <v>13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6</v>
      </c>
      <c r="K148" s="29">
        <f t="shared" ref="K148" si="14">SUM(K123:K147)</f>
        <v>0</v>
      </c>
      <c r="L148" s="29">
        <f t="shared" ref="L148" si="15">SUM(L123:L147)</f>
        <v>1</v>
      </c>
      <c r="M148" s="29">
        <f t="shared" ref="M148" si="16">SUM(M123:M147)</f>
        <v>1</v>
      </c>
      <c r="N148" s="29">
        <f t="shared" ref="N148" si="17">SUM(N123:N147)</f>
        <v>1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1</v>
      </c>
      <c r="R148" s="29">
        <f t="shared" ref="R148" si="21">SUM(R123:R147)</f>
        <v>1</v>
      </c>
      <c r="S148" s="29">
        <f t="shared" ref="S148" si="22">SUM(S123:S147)</f>
        <v>5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AYG138</v>
      </c>
      <c r="B151" s="24">
        <f>B1</f>
        <v>46126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21.4</v>
      </c>
      <c r="C153" s="85" t="s">
        <v>448</v>
      </c>
      <c r="D153" s="109" t="s">
        <v>179</v>
      </c>
      <c r="E153" s="13" t="s">
        <v>37</v>
      </c>
      <c r="F153" s="14"/>
      <c r="G153" s="12" t="s">
        <v>178</v>
      </c>
      <c r="H153" s="13"/>
      <c r="I153" s="13"/>
      <c r="J153" s="13"/>
      <c r="K153" s="13"/>
      <c r="L153" s="13"/>
      <c r="M153" s="13">
        <v>1</v>
      </c>
      <c r="N153" s="13">
        <v>1</v>
      </c>
      <c r="O153" s="13"/>
      <c r="P153" s="13"/>
      <c r="Q153" s="13"/>
      <c r="R153" s="13"/>
      <c r="S153" s="13"/>
      <c r="T153" s="26">
        <v>46151</v>
      </c>
      <c r="U153" s="13" t="s">
        <v>147</v>
      </c>
      <c r="V153">
        <v>1</v>
      </c>
      <c r="X153" s="51" t="s">
        <v>106</v>
      </c>
      <c r="Y153" s="52">
        <f>COUNTIF(U153:U177,"K")</f>
        <v>10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450</v>
      </c>
      <c r="D154" s="109" t="s">
        <v>449</v>
      </c>
      <c r="E154" s="13" t="s">
        <v>38</v>
      </c>
      <c r="F154" s="16"/>
      <c r="G154" s="12" t="s">
        <v>178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>
        <v>1</v>
      </c>
      <c r="R154" s="17"/>
      <c r="S154" s="15"/>
      <c r="T154" s="26">
        <v>46155</v>
      </c>
      <c r="U154" s="13" t="s">
        <v>147</v>
      </c>
      <c r="V154">
        <v>2</v>
      </c>
      <c r="X154" s="51" t="s">
        <v>107</v>
      </c>
      <c r="Y154" s="52">
        <f>COUNTIF(U153:U177,"R")</f>
        <v>5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451</v>
      </c>
      <c r="D155" s="109" t="s">
        <v>193</v>
      </c>
      <c r="E155" s="13" t="s">
        <v>42</v>
      </c>
      <c r="F155" s="16"/>
      <c r="G155" s="12" t="s">
        <v>178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>
        <v>1</v>
      </c>
      <c r="T155" s="26">
        <v>46169</v>
      </c>
      <c r="U155" s="13" t="s">
        <v>142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452</v>
      </c>
      <c r="D156" s="109" t="s">
        <v>193</v>
      </c>
      <c r="E156" s="13" t="s">
        <v>41</v>
      </c>
      <c r="F156" s="16"/>
      <c r="G156" s="12" t="s">
        <v>178</v>
      </c>
      <c r="H156" s="15"/>
      <c r="I156" s="15"/>
      <c r="J156" s="15">
        <v>1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6">
        <v>46169</v>
      </c>
      <c r="U156" s="13" t="s">
        <v>142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453</v>
      </c>
      <c r="D157" s="109" t="s">
        <v>193</v>
      </c>
      <c r="E157" s="13" t="s">
        <v>42</v>
      </c>
      <c r="F157" s="16"/>
      <c r="G157" s="12" t="s">
        <v>178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>
        <v>1</v>
      </c>
      <c r="T157" s="26">
        <v>46169</v>
      </c>
      <c r="U157" s="13" t="s">
        <v>142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454</v>
      </c>
      <c r="D158" s="109" t="s">
        <v>193</v>
      </c>
      <c r="E158" s="13" t="s">
        <v>41</v>
      </c>
      <c r="F158" s="16"/>
      <c r="G158" s="12" t="s">
        <v>178</v>
      </c>
      <c r="H158" s="13"/>
      <c r="I158" s="15"/>
      <c r="J158" s="13">
        <v>1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46169</v>
      </c>
      <c r="U158" s="13" t="s">
        <v>142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455</v>
      </c>
      <c r="D159" s="109" t="s">
        <v>193</v>
      </c>
      <c r="E159" s="13" t="s">
        <v>42</v>
      </c>
      <c r="F159" s="16"/>
      <c r="G159" s="12" t="s">
        <v>178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>
        <v>1</v>
      </c>
      <c r="T159" s="26">
        <v>46169</v>
      </c>
      <c r="U159" s="13" t="s">
        <v>142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456</v>
      </c>
      <c r="D160" s="109" t="s">
        <v>193</v>
      </c>
      <c r="E160" s="13" t="s">
        <v>41</v>
      </c>
      <c r="F160" s="16"/>
      <c r="G160" s="12" t="s">
        <v>178</v>
      </c>
      <c r="H160" s="15"/>
      <c r="I160" s="15"/>
      <c r="J160" s="13">
        <v>1</v>
      </c>
      <c r="K160" s="15"/>
      <c r="L160" s="13"/>
      <c r="M160" s="17"/>
      <c r="N160" s="17"/>
      <c r="O160" s="17"/>
      <c r="P160" s="17"/>
      <c r="Q160" s="17"/>
      <c r="R160" s="17"/>
      <c r="S160" s="15"/>
      <c r="T160" s="26">
        <v>46169</v>
      </c>
      <c r="U160" s="13" t="s">
        <v>142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457</v>
      </c>
      <c r="D161" s="109" t="s">
        <v>193</v>
      </c>
      <c r="E161" s="13" t="s">
        <v>42</v>
      </c>
      <c r="F161" s="16"/>
      <c r="G161" s="12" t="s">
        <v>178</v>
      </c>
      <c r="H161" s="15"/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>
        <v>1</v>
      </c>
      <c r="T161" s="26">
        <v>46169</v>
      </c>
      <c r="U161" s="13" t="s">
        <v>142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 t="s">
        <v>458</v>
      </c>
      <c r="D162" s="109" t="s">
        <v>193</v>
      </c>
      <c r="E162" s="13" t="s">
        <v>41</v>
      </c>
      <c r="F162" s="138"/>
      <c r="G162" s="12" t="s">
        <v>178</v>
      </c>
      <c r="H162" s="15"/>
      <c r="I162" s="15"/>
      <c r="J162" s="13">
        <v>1</v>
      </c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46169</v>
      </c>
      <c r="U162" s="13" t="s">
        <v>142</v>
      </c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 t="s">
        <v>459</v>
      </c>
      <c r="D163" s="109" t="s">
        <v>193</v>
      </c>
      <c r="E163" s="13" t="s">
        <v>42</v>
      </c>
      <c r="F163" s="16"/>
      <c r="G163" s="12" t="s">
        <v>178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>
        <v>1</v>
      </c>
      <c r="T163" s="26">
        <v>46169</v>
      </c>
      <c r="U163" s="13" t="s">
        <v>142</v>
      </c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 t="s">
        <v>460</v>
      </c>
      <c r="D164" s="109" t="s">
        <v>193</v>
      </c>
      <c r="E164" s="13" t="s">
        <v>41</v>
      </c>
      <c r="F164" s="16"/>
      <c r="G164" s="12" t="s">
        <v>178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6">
        <v>46169</v>
      </c>
      <c r="U164" s="13" t="s">
        <v>142</v>
      </c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 t="s">
        <v>461</v>
      </c>
      <c r="D165" s="109" t="s">
        <v>182</v>
      </c>
      <c r="E165" s="13" t="s">
        <v>58</v>
      </c>
      <c r="F165" s="16"/>
      <c r="G165" s="12" t="s">
        <v>178</v>
      </c>
      <c r="H165" s="15" t="s">
        <v>147</v>
      </c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>
        <v>46167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 t="s">
        <v>462</v>
      </c>
      <c r="D166" s="109" t="s">
        <v>182</v>
      </c>
      <c r="E166" s="13" t="s">
        <v>58</v>
      </c>
      <c r="F166" s="16"/>
      <c r="G166" s="12" t="s">
        <v>178</v>
      </c>
      <c r="H166" s="15" t="s">
        <v>147</v>
      </c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>
        <v>46167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 t="s">
        <v>463</v>
      </c>
      <c r="D167" s="109" t="s">
        <v>464</v>
      </c>
      <c r="E167" s="13" t="s">
        <v>41</v>
      </c>
      <c r="F167" s="16"/>
      <c r="G167" s="12" t="s">
        <v>178</v>
      </c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>
        <v>46164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5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2</v>
      </c>
      <c r="N178" s="29">
        <f t="shared" ref="N178" si="27">SUM(N153:N177)</f>
        <v>2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1</v>
      </c>
      <c r="R178" s="29">
        <f t="shared" ref="R178" si="31">SUM(R153:R177)</f>
        <v>0</v>
      </c>
      <c r="S178" s="29">
        <f t="shared" ref="S178" si="32">SUM(S153:S177)</f>
        <v>5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2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15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20.2</v>
      </c>
      <c r="C183" s="85" t="s">
        <v>465</v>
      </c>
      <c r="D183" s="110" t="s">
        <v>181</v>
      </c>
      <c r="E183" s="18" t="s">
        <v>44</v>
      </c>
      <c r="F183" s="16"/>
      <c r="G183" s="18" t="s">
        <v>178</v>
      </c>
      <c r="H183" s="15"/>
      <c r="I183" s="15"/>
      <c r="J183" s="18">
        <v>1</v>
      </c>
      <c r="K183" s="15"/>
      <c r="L183" s="18"/>
      <c r="M183" s="19"/>
      <c r="N183" s="19"/>
      <c r="O183" s="19"/>
      <c r="P183" s="19"/>
      <c r="Q183" s="19"/>
      <c r="R183" s="19"/>
      <c r="S183" s="15"/>
      <c r="T183" s="25">
        <v>46159</v>
      </c>
      <c r="U183" s="15" t="s">
        <v>146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466</v>
      </c>
      <c r="D184" s="110" t="s">
        <v>181</v>
      </c>
      <c r="E184" s="18" t="s">
        <v>39</v>
      </c>
      <c r="F184" s="16"/>
      <c r="G184" s="18" t="s">
        <v>178</v>
      </c>
      <c r="H184" s="15"/>
      <c r="I184" s="15"/>
      <c r="J184" s="18">
        <v>1</v>
      </c>
      <c r="K184" s="15"/>
      <c r="L184" s="18"/>
      <c r="M184" s="19"/>
      <c r="N184" s="19"/>
      <c r="O184" s="19"/>
      <c r="P184" s="19"/>
      <c r="Q184" s="19"/>
      <c r="R184" s="19"/>
      <c r="S184" s="132"/>
      <c r="T184" s="25">
        <v>46159</v>
      </c>
      <c r="U184" s="15" t="s">
        <v>146</v>
      </c>
      <c r="V184">
        <v>2</v>
      </c>
      <c r="X184" s="51" t="s">
        <v>107</v>
      </c>
      <c r="Y184" s="52">
        <f>COUNTIF(U183:U207,"R")</f>
        <v>3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467</v>
      </c>
      <c r="D185" s="110" t="s">
        <v>181</v>
      </c>
      <c r="E185" s="18" t="s">
        <v>78</v>
      </c>
      <c r="F185" s="16"/>
      <c r="G185" s="18" t="s">
        <v>178</v>
      </c>
      <c r="H185" s="15"/>
      <c r="I185" s="15"/>
      <c r="J185" s="18">
        <v>1</v>
      </c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46159</v>
      </c>
      <c r="U185" s="15" t="s">
        <v>146</v>
      </c>
      <c r="V185">
        <v>3</v>
      </c>
      <c r="X185" s="53" t="s">
        <v>108</v>
      </c>
      <c r="Y185" s="54">
        <f>COUNTIF(U183:U207,"J")</f>
        <v>6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468</v>
      </c>
      <c r="D186" s="110" t="s">
        <v>181</v>
      </c>
      <c r="E186" s="18" t="s">
        <v>75</v>
      </c>
      <c r="F186" s="16"/>
      <c r="G186" s="18" t="s">
        <v>178</v>
      </c>
      <c r="H186" s="15"/>
      <c r="I186" s="15"/>
      <c r="J186" s="18"/>
      <c r="K186" s="15"/>
      <c r="L186" s="18"/>
      <c r="M186" s="17"/>
      <c r="N186" s="17"/>
      <c r="O186" s="17"/>
      <c r="P186" s="17"/>
      <c r="Q186" s="17"/>
      <c r="R186" s="17"/>
      <c r="S186" s="15">
        <v>1</v>
      </c>
      <c r="T186" s="25">
        <v>46159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469</v>
      </c>
      <c r="D187" s="110" t="s">
        <v>181</v>
      </c>
      <c r="E187" s="18" t="s">
        <v>36</v>
      </c>
      <c r="F187" s="16"/>
      <c r="G187" s="18" t="s">
        <v>178</v>
      </c>
      <c r="H187" s="15"/>
      <c r="I187" s="15"/>
      <c r="J187" s="18">
        <v>1</v>
      </c>
      <c r="K187" s="15">
        <v>1</v>
      </c>
      <c r="L187" s="18"/>
      <c r="M187" s="17"/>
      <c r="N187" s="17"/>
      <c r="O187" s="17"/>
      <c r="P187" s="17"/>
      <c r="Q187" s="17"/>
      <c r="R187" s="17"/>
      <c r="S187" s="15"/>
      <c r="T187" s="25">
        <v>46159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470</v>
      </c>
      <c r="D188" s="110" t="s">
        <v>181</v>
      </c>
      <c r="E188" s="18" t="s">
        <v>36</v>
      </c>
      <c r="F188" s="16"/>
      <c r="G188" s="18" t="s">
        <v>178</v>
      </c>
      <c r="H188" s="13"/>
      <c r="I188" s="15"/>
      <c r="J188" s="18">
        <v>1</v>
      </c>
      <c r="K188" s="15">
        <v>1</v>
      </c>
      <c r="L188" s="18"/>
      <c r="M188" s="17"/>
      <c r="N188" s="17"/>
      <c r="O188" s="17"/>
      <c r="P188" s="17"/>
      <c r="Q188" s="17"/>
      <c r="R188" s="17"/>
      <c r="S188" s="15"/>
      <c r="T188" s="25">
        <v>46159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471</v>
      </c>
      <c r="D189" s="110" t="s">
        <v>181</v>
      </c>
      <c r="E189" s="18" t="s">
        <v>40</v>
      </c>
      <c r="F189" s="16"/>
      <c r="G189" s="18" t="s">
        <v>178</v>
      </c>
      <c r="H189" s="15"/>
      <c r="I189" s="15"/>
      <c r="J189" s="18"/>
      <c r="K189" s="15"/>
      <c r="L189" s="18"/>
      <c r="M189" s="17"/>
      <c r="N189" s="17"/>
      <c r="O189" s="17">
        <v>1</v>
      </c>
      <c r="P189" s="17">
        <v>1</v>
      </c>
      <c r="Q189" s="17">
        <v>1</v>
      </c>
      <c r="R189" s="17"/>
      <c r="S189" s="15"/>
      <c r="T189" s="25">
        <v>46159</v>
      </c>
      <c r="U189" s="15" t="s">
        <v>148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472</v>
      </c>
      <c r="D190" s="110" t="s">
        <v>181</v>
      </c>
      <c r="E190" s="18" t="s">
        <v>40</v>
      </c>
      <c r="F190" s="16"/>
      <c r="G190" s="18" t="s">
        <v>178</v>
      </c>
      <c r="H190" s="15"/>
      <c r="I190" s="15"/>
      <c r="J190" s="18"/>
      <c r="K190" s="15"/>
      <c r="L190" s="18"/>
      <c r="M190" s="17"/>
      <c r="N190" s="17"/>
      <c r="O190" s="17">
        <v>1</v>
      </c>
      <c r="P190" s="17">
        <v>1</v>
      </c>
      <c r="Q190" s="17">
        <v>1</v>
      </c>
      <c r="R190" s="17"/>
      <c r="S190" s="15"/>
      <c r="T190" s="25">
        <v>46159</v>
      </c>
      <c r="U190" s="15" t="s">
        <v>148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473</v>
      </c>
      <c r="D191" s="110" t="s">
        <v>181</v>
      </c>
      <c r="E191" s="18" t="s">
        <v>37</v>
      </c>
      <c r="F191" s="16"/>
      <c r="G191" s="18" t="s">
        <v>178</v>
      </c>
      <c r="H191" s="15"/>
      <c r="I191" s="15"/>
      <c r="J191" s="18"/>
      <c r="K191" s="15"/>
      <c r="L191" s="18"/>
      <c r="M191" s="17">
        <v>1</v>
      </c>
      <c r="N191" s="17">
        <v>1</v>
      </c>
      <c r="O191" s="17"/>
      <c r="P191" s="17"/>
      <c r="Q191" s="17"/>
      <c r="R191" s="17"/>
      <c r="S191" s="15"/>
      <c r="T191" s="25">
        <v>46159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 t="s">
        <v>474</v>
      </c>
      <c r="D192" s="110" t="s">
        <v>181</v>
      </c>
      <c r="E192" s="18" t="s">
        <v>36</v>
      </c>
      <c r="F192" s="16"/>
      <c r="G192" s="18" t="s">
        <v>178</v>
      </c>
      <c r="H192" s="15"/>
      <c r="I192" s="15"/>
      <c r="J192" s="18"/>
      <c r="K192" s="15"/>
      <c r="L192" s="18"/>
      <c r="M192" s="17">
        <v>1</v>
      </c>
      <c r="N192" s="17"/>
      <c r="O192" s="17"/>
      <c r="P192" s="17"/>
      <c r="Q192" s="17"/>
      <c r="R192" s="17"/>
      <c r="S192" s="15"/>
      <c r="T192" s="25">
        <v>46159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 t="s">
        <v>475</v>
      </c>
      <c r="D193" s="110" t="s">
        <v>181</v>
      </c>
      <c r="E193" s="18" t="s">
        <v>40</v>
      </c>
      <c r="F193" s="16"/>
      <c r="G193" s="18" t="s">
        <v>178</v>
      </c>
      <c r="H193" s="15"/>
      <c r="I193" s="15"/>
      <c r="J193" s="18"/>
      <c r="K193" s="15"/>
      <c r="L193" s="18"/>
      <c r="M193" s="17"/>
      <c r="N193" s="17"/>
      <c r="O193" s="17">
        <v>1</v>
      </c>
      <c r="P193" s="17">
        <v>1</v>
      </c>
      <c r="Q193" s="17">
        <v>1</v>
      </c>
      <c r="R193" s="17">
        <v>1</v>
      </c>
      <c r="S193" s="15"/>
      <c r="T193" s="25">
        <v>46159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 t="s">
        <v>476</v>
      </c>
      <c r="D194" s="110" t="s">
        <v>181</v>
      </c>
      <c r="E194" s="18" t="s">
        <v>40</v>
      </c>
      <c r="F194" s="16"/>
      <c r="G194" s="18" t="s">
        <v>251</v>
      </c>
      <c r="H194" s="15"/>
      <c r="I194" s="15"/>
      <c r="J194" s="18"/>
      <c r="K194" s="15"/>
      <c r="L194" s="18"/>
      <c r="M194" s="17"/>
      <c r="N194" s="17"/>
      <c r="O194" s="17">
        <v>1</v>
      </c>
      <c r="P194" s="17">
        <v>1</v>
      </c>
      <c r="Q194" s="17"/>
      <c r="R194" s="17"/>
      <c r="S194" s="15"/>
      <c r="T194" s="25">
        <v>46159</v>
      </c>
      <c r="U194" s="15" t="s">
        <v>148</v>
      </c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 t="s">
        <v>477</v>
      </c>
      <c r="D195" s="110" t="s">
        <v>181</v>
      </c>
      <c r="E195" s="18" t="s">
        <v>43</v>
      </c>
      <c r="F195" s="16"/>
      <c r="G195" s="18" t="s">
        <v>178</v>
      </c>
      <c r="H195" s="15"/>
      <c r="I195" s="15"/>
      <c r="J195" s="18">
        <v>1</v>
      </c>
      <c r="K195" s="15"/>
      <c r="L195" s="18"/>
      <c r="M195" s="17"/>
      <c r="N195" s="17"/>
      <c r="O195" s="17"/>
      <c r="P195" s="17"/>
      <c r="Q195" s="17"/>
      <c r="R195" s="17"/>
      <c r="S195" s="15"/>
      <c r="T195" s="25">
        <v>46159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 t="s">
        <v>478</v>
      </c>
      <c r="D196" s="110" t="s">
        <v>181</v>
      </c>
      <c r="E196" s="18" t="s">
        <v>45</v>
      </c>
      <c r="F196" s="16"/>
      <c r="G196" s="18" t="s">
        <v>178</v>
      </c>
      <c r="H196" s="15" t="s">
        <v>147</v>
      </c>
      <c r="I196" s="15"/>
      <c r="J196" s="18"/>
      <c r="K196" s="15"/>
      <c r="L196" s="18"/>
      <c r="M196" s="17">
        <v>1</v>
      </c>
      <c r="N196" s="17">
        <v>1</v>
      </c>
      <c r="O196" s="17"/>
      <c r="P196" s="17"/>
      <c r="Q196" s="17"/>
      <c r="R196" s="17"/>
      <c r="S196" s="15"/>
      <c r="T196" s="25">
        <v>46159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 t="s">
        <v>479</v>
      </c>
      <c r="D197" s="110" t="s">
        <v>181</v>
      </c>
      <c r="E197" s="18" t="s">
        <v>40</v>
      </c>
      <c r="F197" s="16"/>
      <c r="G197" s="18" t="s">
        <v>178</v>
      </c>
      <c r="H197" s="15"/>
      <c r="I197" s="15"/>
      <c r="J197" s="18"/>
      <c r="K197" s="15"/>
      <c r="L197" s="18"/>
      <c r="M197" s="17"/>
      <c r="N197" s="17"/>
      <c r="O197" s="17">
        <v>1</v>
      </c>
      <c r="P197" s="17">
        <v>1</v>
      </c>
      <c r="Q197" s="17"/>
      <c r="R197" s="17"/>
      <c r="S197" s="15"/>
      <c r="T197" s="25">
        <v>46159</v>
      </c>
      <c r="U197" s="15" t="s">
        <v>148</v>
      </c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 t="s">
        <v>480</v>
      </c>
      <c r="D198" s="110" t="s">
        <v>181</v>
      </c>
      <c r="E198" s="18" t="s">
        <v>40</v>
      </c>
      <c r="F198" s="16"/>
      <c r="G198" s="18" t="s">
        <v>178</v>
      </c>
      <c r="H198" s="15" t="s">
        <v>147</v>
      </c>
      <c r="I198" s="15"/>
      <c r="J198" s="18"/>
      <c r="K198" s="15"/>
      <c r="L198" s="18"/>
      <c r="M198" s="19"/>
      <c r="N198" s="19"/>
      <c r="O198" s="19">
        <v>1</v>
      </c>
      <c r="P198" s="19">
        <v>1</v>
      </c>
      <c r="Q198" s="19"/>
      <c r="R198" s="19"/>
      <c r="S198" s="15"/>
      <c r="T198" s="25">
        <v>46159</v>
      </c>
      <c r="U198" s="15" t="s">
        <v>148</v>
      </c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6</v>
      </c>
      <c r="K208" s="29">
        <f t="shared" ref="K208" si="34">SUM(K183:K207)</f>
        <v>2</v>
      </c>
      <c r="L208" s="29">
        <f t="shared" ref="L208" si="35">SUM(L183:L207)</f>
        <v>0</v>
      </c>
      <c r="M208" s="29">
        <f t="shared" ref="M208" si="36">SUM(M183:M207)</f>
        <v>3</v>
      </c>
      <c r="N208" s="29">
        <f t="shared" ref="N208" si="37">SUM(N183:N207)</f>
        <v>2</v>
      </c>
      <c r="O208" s="29">
        <f t="shared" ref="O208" si="38">SUM(O183:O207)</f>
        <v>6</v>
      </c>
      <c r="P208" s="29">
        <f t="shared" ref="P208" si="39">SUM(P183:P207)</f>
        <v>6</v>
      </c>
      <c r="Q208" s="29">
        <f t="shared" ref="Q208" si="40">SUM(Q183:Q207)</f>
        <v>3</v>
      </c>
      <c r="R208" s="29">
        <f t="shared" ref="R208" si="41">SUM(R183:R207)</f>
        <v>1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2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AYG138</v>
      </c>
      <c r="B211" s="24">
        <f>B1</f>
        <v>46126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21.4</v>
      </c>
      <c r="C213" s="85" t="s">
        <v>481</v>
      </c>
      <c r="D213" s="106" t="s">
        <v>179</v>
      </c>
      <c r="E213" s="15" t="s">
        <v>37</v>
      </c>
      <c r="F213" s="16"/>
      <c r="G213" s="15" t="s">
        <v>178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>
        <v>1</v>
      </c>
      <c r="R213" s="17"/>
      <c r="S213" s="15"/>
      <c r="T213" s="25">
        <v>46133</v>
      </c>
      <c r="U213" s="15" t="s">
        <v>147</v>
      </c>
      <c r="V213">
        <v>1</v>
      </c>
      <c r="X213" s="51" t="s">
        <v>106</v>
      </c>
      <c r="Y213" s="52">
        <f>COUNTIF(U213:U237,"K")</f>
        <v>3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482</v>
      </c>
      <c r="D214" s="106" t="s">
        <v>179</v>
      </c>
      <c r="E214" s="15" t="s">
        <v>37</v>
      </c>
      <c r="F214" s="16"/>
      <c r="G214" s="15" t="s">
        <v>178</v>
      </c>
      <c r="H214" s="15"/>
      <c r="I214" s="15"/>
      <c r="J214" s="15"/>
      <c r="K214" s="15"/>
      <c r="L214" s="15"/>
      <c r="M214" s="19">
        <v>1</v>
      </c>
      <c r="N214" s="19">
        <v>1</v>
      </c>
      <c r="O214" s="19"/>
      <c r="P214" s="19"/>
      <c r="Q214" s="19">
        <v>1</v>
      </c>
      <c r="R214" s="19"/>
      <c r="S214" s="15"/>
      <c r="T214" s="25">
        <v>46133</v>
      </c>
      <c r="U214" s="15" t="s">
        <v>147</v>
      </c>
      <c r="V214">
        <v>2</v>
      </c>
      <c r="X214" s="51" t="s">
        <v>107</v>
      </c>
      <c r="Y214" s="52">
        <f>COUNTIF(U213:U237,"R")</f>
        <v>11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483</v>
      </c>
      <c r="D215" s="106" t="s">
        <v>179</v>
      </c>
      <c r="E215" s="15" t="s">
        <v>36</v>
      </c>
      <c r="F215" s="16"/>
      <c r="G215" s="15" t="s">
        <v>178</v>
      </c>
      <c r="H215" s="15"/>
      <c r="I215" s="15"/>
      <c r="J215" s="15"/>
      <c r="K215" s="15"/>
      <c r="L215" s="15"/>
      <c r="M215" s="19">
        <v>1</v>
      </c>
      <c r="N215" s="19">
        <v>1</v>
      </c>
      <c r="O215" s="19"/>
      <c r="P215" s="19"/>
      <c r="Q215" s="19">
        <v>1</v>
      </c>
      <c r="R215" s="19"/>
      <c r="S215" s="15"/>
      <c r="T215" s="25">
        <v>46154</v>
      </c>
      <c r="U215" s="15" t="s">
        <v>147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484</v>
      </c>
      <c r="D216" s="106" t="s">
        <v>179</v>
      </c>
      <c r="E216" s="15" t="s">
        <v>75</v>
      </c>
      <c r="F216" s="16"/>
      <c r="G216" s="15" t="s">
        <v>178</v>
      </c>
      <c r="H216" s="15"/>
      <c r="I216" s="15"/>
      <c r="J216" s="15"/>
      <c r="K216" s="15"/>
      <c r="L216" s="15"/>
      <c r="M216" s="19"/>
      <c r="N216" s="19"/>
      <c r="O216" s="19"/>
      <c r="P216" s="19"/>
      <c r="Q216" s="19"/>
      <c r="R216" s="19"/>
      <c r="S216" s="15"/>
      <c r="T216" s="25">
        <v>46154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 t="s">
        <v>485</v>
      </c>
      <c r="D217" s="106" t="s">
        <v>179</v>
      </c>
      <c r="E217" s="15" t="s">
        <v>36</v>
      </c>
      <c r="F217" s="16"/>
      <c r="G217" s="15" t="s">
        <v>178</v>
      </c>
      <c r="H217" s="15"/>
      <c r="I217" s="15"/>
      <c r="J217" s="15"/>
      <c r="K217" s="15"/>
      <c r="L217" s="15"/>
      <c r="M217" s="19">
        <v>1</v>
      </c>
      <c r="N217" s="19">
        <v>1</v>
      </c>
      <c r="O217" s="19"/>
      <c r="P217" s="19"/>
      <c r="Q217" s="19">
        <v>1</v>
      </c>
      <c r="R217" s="19"/>
      <c r="S217" s="15"/>
      <c r="T217" s="25">
        <v>46153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 t="s">
        <v>486</v>
      </c>
      <c r="D218" s="106" t="s">
        <v>179</v>
      </c>
      <c r="E218" s="15" t="s">
        <v>37</v>
      </c>
      <c r="F218" s="16"/>
      <c r="G218" s="15" t="s">
        <v>178</v>
      </c>
      <c r="H218" s="15"/>
      <c r="I218" s="15"/>
      <c r="J218" s="15"/>
      <c r="K218" s="15"/>
      <c r="L218" s="15"/>
      <c r="M218" s="19">
        <v>1</v>
      </c>
      <c r="N218" s="19">
        <v>1</v>
      </c>
      <c r="O218" s="19"/>
      <c r="P218" s="19"/>
      <c r="Q218" s="19">
        <v>1</v>
      </c>
      <c r="R218" s="19"/>
      <c r="S218" s="15"/>
      <c r="T218" s="25">
        <v>46158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 t="s">
        <v>487</v>
      </c>
      <c r="D219" s="106" t="s">
        <v>179</v>
      </c>
      <c r="E219" s="15" t="s">
        <v>38</v>
      </c>
      <c r="F219" s="16"/>
      <c r="G219" s="15" t="s">
        <v>178</v>
      </c>
      <c r="H219" s="15"/>
      <c r="I219" s="15"/>
      <c r="J219" s="15">
        <v>1</v>
      </c>
      <c r="K219" s="15"/>
      <c r="L219" s="15"/>
      <c r="M219" s="19"/>
      <c r="N219" s="19"/>
      <c r="O219" s="19"/>
      <c r="P219" s="19"/>
      <c r="Q219" s="19"/>
      <c r="R219" s="19"/>
      <c r="S219" s="15"/>
      <c r="T219" s="25">
        <v>46155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 t="s">
        <v>488</v>
      </c>
      <c r="D220" s="106" t="s">
        <v>179</v>
      </c>
      <c r="E220" s="15" t="s">
        <v>40</v>
      </c>
      <c r="F220" s="16"/>
      <c r="G220" s="15" t="s">
        <v>178</v>
      </c>
      <c r="H220" s="15"/>
      <c r="I220" s="15"/>
      <c r="J220" s="15">
        <v>1</v>
      </c>
      <c r="K220" s="15"/>
      <c r="L220" s="15"/>
      <c r="M220" s="17"/>
      <c r="N220" s="17"/>
      <c r="O220" s="17"/>
      <c r="P220" s="17"/>
      <c r="Q220" s="17"/>
      <c r="R220" s="17"/>
      <c r="S220" s="15"/>
      <c r="T220" s="25">
        <v>46155</v>
      </c>
      <c r="U220" s="15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 t="s">
        <v>489</v>
      </c>
      <c r="D221" s="106" t="s">
        <v>179</v>
      </c>
      <c r="E221" s="15" t="s">
        <v>75</v>
      </c>
      <c r="F221" s="16"/>
      <c r="G221" s="15" t="s">
        <v>178</v>
      </c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>
        <v>1</v>
      </c>
      <c r="T221" s="25">
        <v>46154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 t="s">
        <v>490</v>
      </c>
      <c r="D222" s="106" t="s">
        <v>179</v>
      </c>
      <c r="E222" s="15" t="s">
        <v>37</v>
      </c>
      <c r="F222" s="138"/>
      <c r="G222" s="15" t="s">
        <v>178</v>
      </c>
      <c r="H222" s="15"/>
      <c r="I222" s="15"/>
      <c r="J222" s="15"/>
      <c r="K222" s="15"/>
      <c r="L222" s="15"/>
      <c r="M222" s="17">
        <v>1</v>
      </c>
      <c r="N222" s="17">
        <v>1</v>
      </c>
      <c r="O222" s="17"/>
      <c r="P222" s="17"/>
      <c r="Q222" s="17">
        <v>1</v>
      </c>
      <c r="R222" s="17"/>
      <c r="S222" s="15"/>
      <c r="T222" s="25">
        <v>46158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 t="s">
        <v>491</v>
      </c>
      <c r="D223" s="106" t="s">
        <v>179</v>
      </c>
      <c r="E223" s="15" t="s">
        <v>37</v>
      </c>
      <c r="F223" s="16"/>
      <c r="G223" s="15" t="s">
        <v>178</v>
      </c>
      <c r="H223" s="15"/>
      <c r="I223" s="15"/>
      <c r="J223" s="15"/>
      <c r="K223" s="15"/>
      <c r="L223" s="15"/>
      <c r="M223" s="17">
        <v>1</v>
      </c>
      <c r="N223" s="17">
        <v>1</v>
      </c>
      <c r="O223" s="17"/>
      <c r="P223" s="17"/>
      <c r="Q223" s="17">
        <v>1</v>
      </c>
      <c r="R223" s="17"/>
      <c r="S223" s="15"/>
      <c r="T223" s="25">
        <v>46158</v>
      </c>
      <c r="U223" s="15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 t="s">
        <v>492</v>
      </c>
      <c r="D224" s="106" t="s">
        <v>179</v>
      </c>
      <c r="E224" s="15" t="s">
        <v>37</v>
      </c>
      <c r="F224" s="16"/>
      <c r="G224" s="15" t="s">
        <v>178</v>
      </c>
      <c r="H224" s="15"/>
      <c r="I224" s="15"/>
      <c r="J224" s="15"/>
      <c r="K224" s="15"/>
      <c r="L224" s="15"/>
      <c r="M224" s="17">
        <v>1</v>
      </c>
      <c r="N224" s="17">
        <v>1</v>
      </c>
      <c r="O224" s="17"/>
      <c r="P224" s="17"/>
      <c r="Q224" s="17">
        <v>1</v>
      </c>
      <c r="R224" s="17"/>
      <c r="S224" s="15"/>
      <c r="T224" s="25">
        <v>46155</v>
      </c>
      <c r="U224" s="15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 t="s">
        <v>493</v>
      </c>
      <c r="D225" s="106" t="s">
        <v>184</v>
      </c>
      <c r="E225" s="15" t="s">
        <v>75</v>
      </c>
      <c r="F225" s="16"/>
      <c r="G225" s="15" t="s">
        <v>178</v>
      </c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25">
        <v>46155</v>
      </c>
      <c r="U225" s="15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 t="s">
        <v>494</v>
      </c>
      <c r="D226" s="106" t="s">
        <v>184</v>
      </c>
      <c r="E226" s="15" t="s">
        <v>44</v>
      </c>
      <c r="F226" s="16"/>
      <c r="G226" s="15" t="s">
        <v>178</v>
      </c>
      <c r="H226" s="15"/>
      <c r="I226" s="15"/>
      <c r="J226" s="15">
        <v>1</v>
      </c>
      <c r="K226" s="15">
        <v>1</v>
      </c>
      <c r="L226" s="15"/>
      <c r="M226" s="17"/>
      <c r="N226" s="17"/>
      <c r="O226" s="17"/>
      <c r="P226" s="17"/>
      <c r="Q226" s="17"/>
      <c r="R226" s="17"/>
      <c r="S226" s="15"/>
      <c r="T226" s="25">
        <v>46158</v>
      </c>
      <c r="U226" s="15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 t="s">
        <v>495</v>
      </c>
      <c r="D227" s="106" t="s">
        <v>496</v>
      </c>
      <c r="E227" s="15" t="s">
        <v>39</v>
      </c>
      <c r="F227" s="16"/>
      <c r="G227" s="15" t="s">
        <v>178</v>
      </c>
      <c r="H227" s="15"/>
      <c r="I227" s="15"/>
      <c r="J227" s="15">
        <v>1</v>
      </c>
      <c r="K227" s="15"/>
      <c r="L227" s="15"/>
      <c r="M227" s="17"/>
      <c r="N227" s="17"/>
      <c r="O227" s="17"/>
      <c r="P227" s="17"/>
      <c r="Q227" s="17"/>
      <c r="R227" s="17"/>
      <c r="S227" s="15"/>
      <c r="T227" s="25">
        <v>46175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 t="s">
        <v>497</v>
      </c>
      <c r="D228" s="106" t="s">
        <v>496</v>
      </c>
      <c r="E228" s="106" t="s">
        <v>133</v>
      </c>
      <c r="F228" s="16"/>
      <c r="G228" s="15" t="s">
        <v>178</v>
      </c>
      <c r="H228" s="15"/>
      <c r="I228" s="15"/>
      <c r="J228" s="18">
        <v>1</v>
      </c>
      <c r="K228" s="15"/>
      <c r="L228" s="19"/>
      <c r="M228" s="19"/>
      <c r="N228" s="19"/>
      <c r="O228" s="19">
        <v>1</v>
      </c>
      <c r="P228" s="19">
        <v>1</v>
      </c>
      <c r="Q228" s="19"/>
      <c r="R228" s="19"/>
      <c r="S228" s="15"/>
      <c r="T228" s="25">
        <v>46175</v>
      </c>
      <c r="U228" s="15" t="s">
        <v>148</v>
      </c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5</v>
      </c>
      <c r="K238" s="29">
        <f t="shared" ref="K238" si="44">SUM(K213:K237)</f>
        <v>1</v>
      </c>
      <c r="L238" s="29">
        <f t="shared" ref="L238" si="45">SUM(L213:L237)</f>
        <v>0</v>
      </c>
      <c r="M238" s="29">
        <f t="shared" ref="M238" si="46">SUM(M213:M237)</f>
        <v>8</v>
      </c>
      <c r="N238" s="29">
        <f t="shared" ref="N238" si="47">SUM(N213:N237)</f>
        <v>8</v>
      </c>
      <c r="O238" s="29">
        <f t="shared" ref="O238" si="48">SUM(O213:O237)</f>
        <v>1</v>
      </c>
      <c r="P238" s="29">
        <f t="shared" ref="P238" si="49">SUM(P213:P237)</f>
        <v>1</v>
      </c>
      <c r="Q238" s="29">
        <f t="shared" ref="Q238" si="50">SUM(Q213:Q237)</f>
        <v>8</v>
      </c>
      <c r="R238" s="29">
        <f t="shared" ref="R238" si="51">SUM(R213:R237)</f>
        <v>0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33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AYG138</v>
      </c>
      <c r="B241" s="24">
        <f>B1</f>
        <v>46126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>
        <v>18.2</v>
      </c>
      <c r="C243" s="85" t="s">
        <v>498</v>
      </c>
      <c r="D243" s="106" t="s">
        <v>185</v>
      </c>
      <c r="E243" s="106" t="s">
        <v>74</v>
      </c>
      <c r="F243" s="14"/>
      <c r="G243" s="12" t="s">
        <v>178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46172</v>
      </c>
      <c r="U243" s="13" t="s">
        <v>146</v>
      </c>
      <c r="V243">
        <v>1</v>
      </c>
      <c r="X243" t="s">
        <v>106</v>
      </c>
      <c r="Y243">
        <f>COUNTIF(U243:U267,"K")</f>
        <v>4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 t="s">
        <v>499</v>
      </c>
      <c r="D244" s="106" t="s">
        <v>185</v>
      </c>
      <c r="E244" s="106" t="s">
        <v>75</v>
      </c>
      <c r="F244" s="16"/>
      <c r="G244" s="12" t="s">
        <v>178</v>
      </c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>
        <v>46172</v>
      </c>
      <c r="U244" s="13" t="s">
        <v>147</v>
      </c>
      <c r="V244">
        <v>2</v>
      </c>
      <c r="X244" t="s">
        <v>107</v>
      </c>
      <c r="Y244">
        <f>COUNTIF(U243:U267,"R")</f>
        <v>10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 t="s">
        <v>500</v>
      </c>
      <c r="D245" s="106" t="s">
        <v>191</v>
      </c>
      <c r="E245" s="106" t="s">
        <v>39</v>
      </c>
      <c r="F245" s="16"/>
      <c r="G245" s="12" t="s">
        <v>178</v>
      </c>
      <c r="H245" s="13"/>
      <c r="I245" s="15"/>
      <c r="J245" s="13">
        <v>1</v>
      </c>
      <c r="K245" s="15"/>
      <c r="L245" s="13"/>
      <c r="M245" s="17"/>
      <c r="N245" s="17"/>
      <c r="O245" s="17"/>
      <c r="P245" s="17"/>
      <c r="Q245" s="17"/>
      <c r="R245" s="17"/>
      <c r="S245" s="15"/>
      <c r="T245" s="25">
        <v>46170</v>
      </c>
      <c r="U245" s="13" t="s">
        <v>146</v>
      </c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 t="s">
        <v>501</v>
      </c>
      <c r="D246" s="106" t="s">
        <v>327</v>
      </c>
      <c r="E246" s="106" t="s">
        <v>37</v>
      </c>
      <c r="F246" s="16"/>
      <c r="G246" s="12" t="s">
        <v>178</v>
      </c>
      <c r="H246" s="15"/>
      <c r="I246" s="15"/>
      <c r="J246" s="13"/>
      <c r="K246" s="15"/>
      <c r="L246" s="13"/>
      <c r="M246" s="17">
        <v>1</v>
      </c>
      <c r="N246" s="17">
        <v>1</v>
      </c>
      <c r="O246" s="17"/>
      <c r="P246" s="17"/>
      <c r="Q246" s="17">
        <v>1</v>
      </c>
      <c r="R246" s="17"/>
      <c r="S246" s="15"/>
      <c r="T246" s="25">
        <v>46189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 t="s">
        <v>502</v>
      </c>
      <c r="D247" s="106" t="s">
        <v>189</v>
      </c>
      <c r="E247" s="106" t="s">
        <v>75</v>
      </c>
      <c r="F247" s="16"/>
      <c r="G247" s="12" t="s">
        <v>178</v>
      </c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>
        <v>46152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 t="s">
        <v>503</v>
      </c>
      <c r="D248" s="106" t="s">
        <v>180</v>
      </c>
      <c r="E248" s="106" t="s">
        <v>37</v>
      </c>
      <c r="F248" s="16"/>
      <c r="G248" s="12" t="s">
        <v>178</v>
      </c>
      <c r="H248" s="13"/>
      <c r="I248" s="15"/>
      <c r="J248" s="13"/>
      <c r="K248" s="15"/>
      <c r="L248" s="13"/>
      <c r="M248" s="17">
        <v>1</v>
      </c>
      <c r="N248" s="17">
        <v>1</v>
      </c>
      <c r="O248" s="17"/>
      <c r="P248" s="17"/>
      <c r="Q248" s="17">
        <v>1</v>
      </c>
      <c r="R248" s="17"/>
      <c r="S248" s="15"/>
      <c r="T248" s="25">
        <v>46155</v>
      </c>
      <c r="U248" s="13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 t="s">
        <v>504</v>
      </c>
      <c r="D249" s="106" t="s">
        <v>185</v>
      </c>
      <c r="E249" s="106" t="s">
        <v>37</v>
      </c>
      <c r="F249" s="16"/>
      <c r="G249" s="12" t="s">
        <v>178</v>
      </c>
      <c r="H249" s="15"/>
      <c r="I249" s="15"/>
      <c r="J249" s="13"/>
      <c r="K249" s="15"/>
      <c r="L249" s="13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5">
        <v>46153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 t="s">
        <v>506</v>
      </c>
      <c r="D250" s="106" t="s">
        <v>505</v>
      </c>
      <c r="E250" s="106" t="s">
        <v>39</v>
      </c>
      <c r="F250" s="16"/>
      <c r="G250" s="12" t="s">
        <v>178</v>
      </c>
      <c r="H250" s="15"/>
      <c r="I250" s="15"/>
      <c r="J250" s="13">
        <v>1</v>
      </c>
      <c r="K250" s="15"/>
      <c r="L250" s="13"/>
      <c r="M250" s="17"/>
      <c r="N250" s="17"/>
      <c r="O250" s="17"/>
      <c r="P250" s="17"/>
      <c r="Q250" s="17"/>
      <c r="R250" s="17"/>
      <c r="S250" s="15"/>
      <c r="T250" s="25">
        <v>46150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 t="s">
        <v>507</v>
      </c>
      <c r="D251" s="106" t="s">
        <v>505</v>
      </c>
      <c r="E251" s="106" t="s">
        <v>39</v>
      </c>
      <c r="F251" s="16"/>
      <c r="G251" s="12" t="s">
        <v>178</v>
      </c>
      <c r="H251" s="15"/>
      <c r="I251" s="15"/>
      <c r="J251" s="13">
        <v>1</v>
      </c>
      <c r="K251" s="15"/>
      <c r="L251" s="13"/>
      <c r="M251" s="17"/>
      <c r="N251" s="17"/>
      <c r="O251" s="17"/>
      <c r="P251" s="17"/>
      <c r="Q251" s="17"/>
      <c r="R251" s="17"/>
      <c r="S251" s="15"/>
      <c r="T251" s="25">
        <v>46150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 t="s">
        <v>508</v>
      </c>
      <c r="D252" s="106" t="s">
        <v>186</v>
      </c>
      <c r="E252" s="106" t="s">
        <v>36</v>
      </c>
      <c r="F252" s="138"/>
      <c r="G252" s="137" t="s">
        <v>178</v>
      </c>
      <c r="H252" s="15"/>
      <c r="I252" s="15"/>
      <c r="J252" s="13"/>
      <c r="K252" s="15"/>
      <c r="L252" s="13"/>
      <c r="M252" s="17">
        <v>1</v>
      </c>
      <c r="N252" s="17">
        <v>1</v>
      </c>
      <c r="O252" s="17"/>
      <c r="P252" s="17"/>
      <c r="Q252" s="17">
        <v>1</v>
      </c>
      <c r="R252" s="17"/>
      <c r="S252" s="15"/>
      <c r="T252" s="25">
        <v>46172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 t="s">
        <v>509</v>
      </c>
      <c r="D253" s="106" t="s">
        <v>189</v>
      </c>
      <c r="E253" s="106" t="s">
        <v>38</v>
      </c>
      <c r="F253" s="16"/>
      <c r="G253" s="12" t="s">
        <v>178</v>
      </c>
      <c r="H253" s="15"/>
      <c r="I253" s="15"/>
      <c r="J253" s="15">
        <v>1</v>
      </c>
      <c r="K253" s="15">
        <v>1</v>
      </c>
      <c r="L253" s="17"/>
      <c r="M253" s="17"/>
      <c r="N253" s="17">
        <v>1</v>
      </c>
      <c r="O253" s="17"/>
      <c r="P253" s="17"/>
      <c r="Q253" s="17"/>
      <c r="R253" s="17"/>
      <c r="S253" s="15"/>
      <c r="T253" s="25">
        <v>46155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 t="s">
        <v>510</v>
      </c>
      <c r="D254" s="106" t="s">
        <v>179</v>
      </c>
      <c r="E254" s="106" t="s">
        <v>36</v>
      </c>
      <c r="F254" s="16"/>
      <c r="G254" s="12" t="s">
        <v>178</v>
      </c>
      <c r="H254" s="15"/>
      <c r="I254" s="15"/>
      <c r="J254" s="15"/>
      <c r="K254" s="15"/>
      <c r="L254" s="17"/>
      <c r="M254" s="17">
        <v>1</v>
      </c>
      <c r="N254" s="17">
        <v>1</v>
      </c>
      <c r="O254" s="17"/>
      <c r="P254" s="17"/>
      <c r="Q254" s="17">
        <v>1</v>
      </c>
      <c r="R254" s="17"/>
      <c r="S254" s="15"/>
      <c r="T254" s="25">
        <v>46154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 t="s">
        <v>511</v>
      </c>
      <c r="D255" s="106" t="s">
        <v>185</v>
      </c>
      <c r="E255" s="106" t="s">
        <v>36</v>
      </c>
      <c r="F255" s="16"/>
      <c r="G255" s="12" t="s">
        <v>178</v>
      </c>
      <c r="H255" s="15"/>
      <c r="I255" s="15"/>
      <c r="J255" s="15"/>
      <c r="K255" s="15"/>
      <c r="L255" s="17"/>
      <c r="M255" s="17">
        <v>1</v>
      </c>
      <c r="N255" s="17">
        <v>1</v>
      </c>
      <c r="O255" s="17"/>
      <c r="P255" s="17"/>
      <c r="Q255" s="17">
        <v>1</v>
      </c>
      <c r="R255" s="17"/>
      <c r="S255" s="15"/>
      <c r="T255" s="25">
        <v>46158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 t="s">
        <v>512</v>
      </c>
      <c r="D256" s="106" t="s">
        <v>185</v>
      </c>
      <c r="E256" s="106" t="s">
        <v>75</v>
      </c>
      <c r="F256" s="16"/>
      <c r="G256" s="12" t="s">
        <v>178</v>
      </c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>
        <v>46158</v>
      </c>
      <c r="U256" s="13" t="s">
        <v>147</v>
      </c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14</v>
      </c>
      <c r="D268" s="112"/>
      <c r="E268" s="29"/>
      <c r="F268" s="29" t="s">
        <v>34</v>
      </c>
      <c r="G268" s="29">
        <f>COUNTIF(G243:G267,"S")</f>
        <v>14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5</v>
      </c>
      <c r="K268" s="29">
        <f t="shared" ref="K268" si="54">SUM(K243:K267)</f>
        <v>2</v>
      </c>
      <c r="L268" s="29">
        <f t="shared" ref="L268" si="55">SUM(L243:L267)</f>
        <v>0</v>
      </c>
      <c r="M268" s="29">
        <f t="shared" ref="M268" si="56">SUM(M243:M267)</f>
        <v>6</v>
      </c>
      <c r="N268" s="29">
        <f t="shared" ref="N268" si="57">SUM(N243:N267)</f>
        <v>7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6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26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AYG138</v>
      </c>
      <c r="B271" s="24">
        <f>B1</f>
        <v>46126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>
        <v>18</v>
      </c>
      <c r="C273" s="85" t="s">
        <v>513</v>
      </c>
      <c r="D273" s="109" t="s">
        <v>193</v>
      </c>
      <c r="E273" s="13" t="s">
        <v>59</v>
      </c>
      <c r="F273" s="14"/>
      <c r="G273" s="12" t="s">
        <v>178</v>
      </c>
      <c r="H273" s="13" t="s">
        <v>204</v>
      </c>
      <c r="I273" s="13"/>
      <c r="J273" s="13">
        <v>2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46179</v>
      </c>
      <c r="U273" s="13" t="s">
        <v>142</v>
      </c>
      <c r="V273">
        <v>1</v>
      </c>
      <c r="X273" s="51" t="s">
        <v>106</v>
      </c>
      <c r="Y273" s="52">
        <f>COUNTIF(U273:U297,"K")</f>
        <v>4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 t="s">
        <v>514</v>
      </c>
      <c r="D274" s="109" t="s">
        <v>193</v>
      </c>
      <c r="E274" s="13" t="s">
        <v>59</v>
      </c>
      <c r="F274" s="16"/>
      <c r="G274" s="12" t="s">
        <v>178</v>
      </c>
      <c r="H274" s="15" t="s">
        <v>204</v>
      </c>
      <c r="I274" s="15"/>
      <c r="J274" s="15">
        <v>2</v>
      </c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46179</v>
      </c>
      <c r="U274" s="13" t="s">
        <v>146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 t="s">
        <v>515</v>
      </c>
      <c r="D275" s="109" t="s">
        <v>193</v>
      </c>
      <c r="E275" s="13" t="s">
        <v>59</v>
      </c>
      <c r="F275" s="16"/>
      <c r="G275" s="12" t="s">
        <v>178</v>
      </c>
      <c r="H275" s="15" t="s">
        <v>204</v>
      </c>
      <c r="I275" s="15"/>
      <c r="J275" s="15">
        <v>2</v>
      </c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46179</v>
      </c>
      <c r="U275" s="13" t="s">
        <v>146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 t="s">
        <v>516</v>
      </c>
      <c r="D276" s="109" t="s">
        <v>193</v>
      </c>
      <c r="E276" s="13" t="s">
        <v>59</v>
      </c>
      <c r="F276" s="16"/>
      <c r="G276" s="12" t="s">
        <v>178</v>
      </c>
      <c r="H276" s="15" t="s">
        <v>204</v>
      </c>
      <c r="I276" s="15"/>
      <c r="J276" s="15">
        <v>2</v>
      </c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46181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4</v>
      </c>
      <c r="D298" s="112"/>
      <c r="E298" s="29"/>
      <c r="F298" s="29" t="s">
        <v>34</v>
      </c>
      <c r="G298" s="29">
        <f>COUNTIF(G273:G297,"S")</f>
        <v>4</v>
      </c>
      <c r="H298" s="29">
        <f>COUNTIF(H273:H297,"E")</f>
        <v>4</v>
      </c>
      <c r="I298" s="29">
        <f>SUM(I273:I297)</f>
        <v>0</v>
      </c>
      <c r="J298" s="29">
        <f t="shared" ref="J298" si="63">SUM(J273:J297)</f>
        <v>8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8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AYG138</v>
      </c>
      <c r="B301" s="24">
        <f>B1</f>
        <v>46126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>
        <v>22.2</v>
      </c>
      <c r="C303" s="85" t="s">
        <v>517</v>
      </c>
      <c r="D303" s="109" t="s">
        <v>185</v>
      </c>
      <c r="E303" s="13" t="s">
        <v>37</v>
      </c>
      <c r="F303" s="14"/>
      <c r="G303" s="12" t="s">
        <v>178</v>
      </c>
      <c r="H303" s="13"/>
      <c r="I303" s="13"/>
      <c r="J303" s="13">
        <v>1</v>
      </c>
      <c r="K303" s="13">
        <v>1</v>
      </c>
      <c r="L303" s="13"/>
      <c r="M303" s="13"/>
      <c r="N303" s="13"/>
      <c r="O303" s="13"/>
      <c r="P303" s="13"/>
      <c r="Q303" s="13"/>
      <c r="R303" s="13"/>
      <c r="S303" s="13"/>
      <c r="T303" s="26">
        <v>46160</v>
      </c>
      <c r="U303" s="13" t="s">
        <v>146</v>
      </c>
      <c r="V303">
        <v>1</v>
      </c>
      <c r="X303" s="51" t="s">
        <v>106</v>
      </c>
      <c r="Y303" s="52">
        <f>COUNTIF(U303:U327,"K")</f>
        <v>6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 t="s">
        <v>518</v>
      </c>
      <c r="D304" s="109" t="s">
        <v>187</v>
      </c>
      <c r="E304" s="13" t="s">
        <v>36</v>
      </c>
      <c r="F304" s="16"/>
      <c r="G304" s="12" t="s">
        <v>178</v>
      </c>
      <c r="H304" s="15"/>
      <c r="I304" s="15"/>
      <c r="J304" s="15">
        <v>1</v>
      </c>
      <c r="K304" s="15">
        <v>1</v>
      </c>
      <c r="L304" s="17"/>
      <c r="M304" s="13"/>
      <c r="N304" s="13"/>
      <c r="O304" s="17"/>
      <c r="P304" s="17"/>
      <c r="Q304" s="17"/>
      <c r="R304" s="17"/>
      <c r="S304" s="15"/>
      <c r="T304" s="26">
        <v>46160</v>
      </c>
      <c r="U304" s="13" t="s">
        <v>146</v>
      </c>
      <c r="V304">
        <v>2</v>
      </c>
      <c r="X304" s="51" t="s">
        <v>107</v>
      </c>
      <c r="Y304" s="52">
        <f>COUNTIF(U303:U327,"R")</f>
        <v>8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 t="s">
        <v>519</v>
      </c>
      <c r="D305" s="109" t="s">
        <v>187</v>
      </c>
      <c r="E305" s="13" t="s">
        <v>41</v>
      </c>
      <c r="F305" s="16"/>
      <c r="G305" s="12" t="s">
        <v>178</v>
      </c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>
        <v>46160</v>
      </c>
      <c r="U305" s="13" t="s">
        <v>147</v>
      </c>
      <c r="V305">
        <v>3</v>
      </c>
      <c r="X305" s="53" t="s">
        <v>108</v>
      </c>
      <c r="Y305" s="54">
        <f>COUNTIF(U303:U327,"J")</f>
        <v>4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 t="s">
        <v>520</v>
      </c>
      <c r="D306" s="109" t="s">
        <v>187</v>
      </c>
      <c r="E306" s="13" t="s">
        <v>41</v>
      </c>
      <c r="F306" s="16"/>
      <c r="G306" s="12" t="s">
        <v>178</v>
      </c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>
        <v>46160</v>
      </c>
      <c r="U306" s="13" t="s">
        <v>147</v>
      </c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 t="s">
        <v>521</v>
      </c>
      <c r="D307" s="109" t="s">
        <v>187</v>
      </c>
      <c r="E307" s="13" t="s">
        <v>38</v>
      </c>
      <c r="F307" s="16"/>
      <c r="G307" s="12" t="s">
        <v>178</v>
      </c>
      <c r="H307" s="15"/>
      <c r="I307" s="15"/>
      <c r="J307" s="15">
        <v>1</v>
      </c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46160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 t="s">
        <v>522</v>
      </c>
      <c r="D308" s="109" t="s">
        <v>182</v>
      </c>
      <c r="E308" s="13" t="s">
        <v>37</v>
      </c>
      <c r="F308" s="16"/>
      <c r="G308" s="12" t="s">
        <v>178</v>
      </c>
      <c r="H308" s="13"/>
      <c r="I308" s="15"/>
      <c r="J308" s="15"/>
      <c r="K308" s="15"/>
      <c r="L308" s="17"/>
      <c r="M308" s="13">
        <v>1</v>
      </c>
      <c r="N308" s="13"/>
      <c r="O308" s="17"/>
      <c r="P308" s="17"/>
      <c r="Q308" s="17">
        <v>1</v>
      </c>
      <c r="R308" s="17"/>
      <c r="S308" s="15"/>
      <c r="T308" s="26">
        <v>46169</v>
      </c>
      <c r="U308" s="13" t="s">
        <v>147</v>
      </c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 t="s">
        <v>523</v>
      </c>
      <c r="D309" s="109" t="s">
        <v>182</v>
      </c>
      <c r="E309" s="13" t="s">
        <v>37</v>
      </c>
      <c r="F309" s="16"/>
      <c r="G309" s="12" t="s">
        <v>178</v>
      </c>
      <c r="H309" s="15"/>
      <c r="I309" s="15"/>
      <c r="J309" s="15"/>
      <c r="K309" s="15"/>
      <c r="L309" s="17"/>
      <c r="M309" s="13">
        <v>1</v>
      </c>
      <c r="N309" s="13"/>
      <c r="O309" s="17"/>
      <c r="P309" s="17"/>
      <c r="Q309" s="17">
        <v>1</v>
      </c>
      <c r="R309" s="17"/>
      <c r="S309" s="15"/>
      <c r="T309" s="26">
        <v>46169</v>
      </c>
      <c r="U309" s="13" t="s">
        <v>147</v>
      </c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 t="s">
        <v>524</v>
      </c>
      <c r="D310" s="109" t="s">
        <v>179</v>
      </c>
      <c r="E310" s="13" t="s">
        <v>37</v>
      </c>
      <c r="F310" s="16"/>
      <c r="G310" s="12" t="s">
        <v>178</v>
      </c>
      <c r="H310" s="15"/>
      <c r="I310" s="15"/>
      <c r="J310" s="15"/>
      <c r="K310" s="15"/>
      <c r="L310" s="17"/>
      <c r="M310" s="13">
        <v>1</v>
      </c>
      <c r="N310" s="13">
        <v>1</v>
      </c>
      <c r="O310" s="17"/>
      <c r="P310" s="17"/>
      <c r="Q310" s="17"/>
      <c r="R310" s="17"/>
      <c r="S310" s="15"/>
      <c r="T310" s="26">
        <v>46161</v>
      </c>
      <c r="U310" s="13" t="s">
        <v>147</v>
      </c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 t="s">
        <v>525</v>
      </c>
      <c r="D311" s="109" t="s">
        <v>179</v>
      </c>
      <c r="E311" s="13" t="s">
        <v>37</v>
      </c>
      <c r="F311" s="16"/>
      <c r="G311" s="12" t="s">
        <v>178</v>
      </c>
      <c r="H311" s="15"/>
      <c r="I311" s="15"/>
      <c r="J311" s="15"/>
      <c r="K311" s="15"/>
      <c r="L311" s="17"/>
      <c r="M311" s="13">
        <v>1</v>
      </c>
      <c r="N311" s="13">
        <v>1</v>
      </c>
      <c r="O311" s="17"/>
      <c r="P311" s="17"/>
      <c r="Q311" s="17">
        <v>1</v>
      </c>
      <c r="R311" s="17"/>
      <c r="S311" s="15"/>
      <c r="T311" s="26">
        <v>46158</v>
      </c>
      <c r="U311" s="13" t="s">
        <v>147</v>
      </c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 t="s">
        <v>526</v>
      </c>
      <c r="D312" s="109" t="s">
        <v>186</v>
      </c>
      <c r="E312" s="13" t="s">
        <v>40</v>
      </c>
      <c r="F312" s="16"/>
      <c r="G312" s="12" t="s">
        <v>251</v>
      </c>
      <c r="H312" s="15"/>
      <c r="I312" s="15"/>
      <c r="J312" s="15"/>
      <c r="K312" s="15"/>
      <c r="L312" s="17"/>
      <c r="M312" s="13"/>
      <c r="N312" s="13"/>
      <c r="O312" s="17">
        <v>1</v>
      </c>
      <c r="P312" s="17">
        <v>1</v>
      </c>
      <c r="Q312" s="17">
        <v>1</v>
      </c>
      <c r="R312" s="17"/>
      <c r="S312" s="15"/>
      <c r="T312" s="26">
        <v>46168</v>
      </c>
      <c r="U312" s="13" t="s">
        <v>148</v>
      </c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 t="s">
        <v>527</v>
      </c>
      <c r="D313" s="109" t="s">
        <v>192</v>
      </c>
      <c r="E313" s="13" t="s">
        <v>40</v>
      </c>
      <c r="F313" s="16"/>
      <c r="G313" s="12" t="s">
        <v>178</v>
      </c>
      <c r="H313" s="15"/>
      <c r="I313" s="15"/>
      <c r="J313" s="15"/>
      <c r="K313" s="15"/>
      <c r="L313" s="17"/>
      <c r="M313" s="13"/>
      <c r="N313" s="13"/>
      <c r="O313" s="17">
        <v>1</v>
      </c>
      <c r="P313" s="17"/>
      <c r="Q313" s="17">
        <v>1</v>
      </c>
      <c r="R313" s="17">
        <v>1</v>
      </c>
      <c r="S313" s="15"/>
      <c r="T313" s="26">
        <v>46170</v>
      </c>
      <c r="U313" s="13" t="s">
        <v>148</v>
      </c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 t="s">
        <v>528</v>
      </c>
      <c r="D314" s="109" t="s">
        <v>192</v>
      </c>
      <c r="E314" s="13" t="s">
        <v>38</v>
      </c>
      <c r="F314" s="16"/>
      <c r="G314" s="12" t="s">
        <v>178</v>
      </c>
      <c r="H314" s="15"/>
      <c r="I314" s="15"/>
      <c r="J314" s="15"/>
      <c r="K314" s="15"/>
      <c r="L314" s="17"/>
      <c r="M314" s="13">
        <v>1</v>
      </c>
      <c r="N314" s="13">
        <v>1</v>
      </c>
      <c r="O314" s="17"/>
      <c r="P314" s="17"/>
      <c r="Q314" s="17">
        <v>1</v>
      </c>
      <c r="R314" s="17"/>
      <c r="S314" s="15"/>
      <c r="T314" s="26">
        <v>46170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 t="s">
        <v>529</v>
      </c>
      <c r="D315" s="109" t="s">
        <v>192</v>
      </c>
      <c r="E315" s="13" t="s">
        <v>38</v>
      </c>
      <c r="F315" s="16"/>
      <c r="G315" s="12" t="s">
        <v>178</v>
      </c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>
        <v>46170</v>
      </c>
      <c r="U315" s="13" t="s">
        <v>146</v>
      </c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 t="s">
        <v>530</v>
      </c>
      <c r="D316" s="109" t="s">
        <v>179</v>
      </c>
      <c r="E316" s="13" t="s">
        <v>36</v>
      </c>
      <c r="F316" s="16"/>
      <c r="G316" s="12" t="s">
        <v>178</v>
      </c>
      <c r="H316" s="15"/>
      <c r="I316" s="15"/>
      <c r="J316" s="15"/>
      <c r="K316" s="15"/>
      <c r="L316" s="17"/>
      <c r="M316" s="13">
        <v>1</v>
      </c>
      <c r="N316" s="13">
        <v>1</v>
      </c>
      <c r="O316" s="17"/>
      <c r="P316" s="17"/>
      <c r="Q316" s="17">
        <v>1</v>
      </c>
      <c r="R316" s="17"/>
      <c r="S316" s="15"/>
      <c r="T316" s="26">
        <v>46162</v>
      </c>
      <c r="U316" s="13" t="s">
        <v>147</v>
      </c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 t="s">
        <v>531</v>
      </c>
      <c r="D317" s="109" t="s">
        <v>179</v>
      </c>
      <c r="E317" s="13" t="s">
        <v>40</v>
      </c>
      <c r="F317" s="16"/>
      <c r="G317" s="12" t="s">
        <v>178</v>
      </c>
      <c r="H317" s="15"/>
      <c r="I317" s="15"/>
      <c r="J317" s="15"/>
      <c r="K317" s="15"/>
      <c r="L317" s="17"/>
      <c r="M317" s="13">
        <v>1</v>
      </c>
      <c r="N317" s="13">
        <v>1</v>
      </c>
      <c r="O317" s="17"/>
      <c r="P317" s="17"/>
      <c r="Q317" s="17">
        <v>1</v>
      </c>
      <c r="R317" s="17"/>
      <c r="S317" s="15"/>
      <c r="T317" s="26">
        <v>46162</v>
      </c>
      <c r="U317" s="13" t="s">
        <v>148</v>
      </c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 t="s">
        <v>533</v>
      </c>
      <c r="D318" s="109" t="s">
        <v>532</v>
      </c>
      <c r="E318" s="13" t="s">
        <v>40</v>
      </c>
      <c r="F318" s="16"/>
      <c r="G318" s="12" t="s">
        <v>178</v>
      </c>
      <c r="H318" s="15"/>
      <c r="I318" s="15"/>
      <c r="J318" s="15"/>
      <c r="K318" s="15"/>
      <c r="L318" s="19"/>
      <c r="M318" s="13"/>
      <c r="N318" s="13"/>
      <c r="O318" s="19">
        <v>1</v>
      </c>
      <c r="P318" s="19">
        <v>1</v>
      </c>
      <c r="Q318" s="19"/>
      <c r="R318" s="19">
        <v>1</v>
      </c>
      <c r="S318" s="15"/>
      <c r="T318" s="26">
        <v>46159</v>
      </c>
      <c r="U318" s="13" t="s">
        <v>148</v>
      </c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 t="s">
        <v>534</v>
      </c>
      <c r="D319" s="110" t="s">
        <v>535</v>
      </c>
      <c r="E319" s="18" t="s">
        <v>37</v>
      </c>
      <c r="F319" s="16"/>
      <c r="G319" s="15" t="s">
        <v>178</v>
      </c>
      <c r="H319" s="15"/>
      <c r="I319" s="15"/>
      <c r="J319" s="18">
        <v>1</v>
      </c>
      <c r="K319" s="15">
        <v>1</v>
      </c>
      <c r="L319" s="19"/>
      <c r="M319" s="19"/>
      <c r="N319" s="19"/>
      <c r="O319" s="19"/>
      <c r="P319" s="19"/>
      <c r="Q319" s="19"/>
      <c r="R319" s="19"/>
      <c r="S319" s="15"/>
      <c r="T319" s="26">
        <v>46159</v>
      </c>
      <c r="U319" s="15" t="s">
        <v>146</v>
      </c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 t="s">
        <v>536</v>
      </c>
      <c r="D320" s="110" t="s">
        <v>535</v>
      </c>
      <c r="E320" s="18" t="s">
        <v>37</v>
      </c>
      <c r="F320" s="16"/>
      <c r="G320" s="18" t="s">
        <v>178</v>
      </c>
      <c r="H320" s="15"/>
      <c r="I320" s="15"/>
      <c r="J320" s="18">
        <v>1</v>
      </c>
      <c r="K320" s="15">
        <v>1</v>
      </c>
      <c r="L320" s="19"/>
      <c r="M320" s="19"/>
      <c r="N320" s="19"/>
      <c r="O320" s="19"/>
      <c r="P320" s="19"/>
      <c r="Q320" s="19"/>
      <c r="R320" s="19"/>
      <c r="S320" s="15"/>
      <c r="T320" s="26">
        <v>46159</v>
      </c>
      <c r="U320" s="15" t="s">
        <v>146</v>
      </c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18</v>
      </c>
      <c r="D328" s="112"/>
      <c r="E328" s="29"/>
      <c r="F328" s="29" t="s">
        <v>34</v>
      </c>
      <c r="G328" s="29">
        <f>COUNTIF(G303:G327,"S")</f>
        <v>17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5</v>
      </c>
      <c r="K328" s="29">
        <f t="shared" ref="K328" si="74">SUM(K303:K327)</f>
        <v>5</v>
      </c>
      <c r="L328" s="29">
        <f t="shared" ref="L328" si="75">SUM(L303:L327)</f>
        <v>0</v>
      </c>
      <c r="M328" s="29">
        <f t="shared" ref="M328" si="76">SUM(M303:M327)</f>
        <v>7</v>
      </c>
      <c r="N328" s="29">
        <f t="shared" ref="N328" si="77">SUM(N303:N327)</f>
        <v>5</v>
      </c>
      <c r="O328" s="29">
        <f t="shared" ref="O328" si="78">SUM(O303:O327)</f>
        <v>3</v>
      </c>
      <c r="P328" s="29">
        <f t="shared" ref="P328" si="79">SUM(P303:P327)</f>
        <v>2</v>
      </c>
      <c r="Q328" s="29">
        <f t="shared" ref="Q328" si="80">SUM(Q303:Q327)</f>
        <v>8</v>
      </c>
      <c r="R328" s="29">
        <f t="shared" ref="R328" si="81">SUM(R303:R327)</f>
        <v>2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1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37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AYG138</v>
      </c>
      <c r="B331" s="24">
        <f>B151</f>
        <v>46126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>
        <v>26</v>
      </c>
      <c r="C333" s="86" t="s">
        <v>537</v>
      </c>
      <c r="D333" s="109" t="s">
        <v>464</v>
      </c>
      <c r="E333" s="109" t="s">
        <v>60</v>
      </c>
      <c r="F333" s="14"/>
      <c r="G333" s="12" t="s">
        <v>178</v>
      </c>
      <c r="H333" s="13"/>
      <c r="I333" s="13"/>
      <c r="J333" s="13">
        <v>1</v>
      </c>
      <c r="K333" s="13"/>
      <c r="L333" s="13">
        <v>1</v>
      </c>
      <c r="M333" s="13"/>
      <c r="N333" s="13"/>
      <c r="O333" s="13"/>
      <c r="P333" s="13"/>
      <c r="Q333" s="13"/>
      <c r="R333" s="13"/>
      <c r="S333" s="13"/>
      <c r="T333" s="26"/>
      <c r="U333" s="13" t="s">
        <v>146</v>
      </c>
      <c r="V333">
        <v>1</v>
      </c>
      <c r="X333" s="51" t="s">
        <v>106</v>
      </c>
      <c r="Y333" s="52">
        <f>COUNTIF(U333:U356,"K")</f>
        <v>8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 t="s">
        <v>538</v>
      </c>
      <c r="D334" s="109" t="s">
        <v>464</v>
      </c>
      <c r="E334" s="109" t="s">
        <v>37</v>
      </c>
      <c r="F334" s="16"/>
      <c r="G334" s="12" t="s">
        <v>178</v>
      </c>
      <c r="H334" s="15"/>
      <c r="I334" s="15"/>
      <c r="J334" s="15">
        <v>1</v>
      </c>
      <c r="K334" s="15">
        <v>1</v>
      </c>
      <c r="L334" s="17"/>
      <c r="M334" s="17"/>
      <c r="N334" s="17"/>
      <c r="O334" s="17"/>
      <c r="P334" s="17"/>
      <c r="Q334" s="17"/>
      <c r="R334" s="17"/>
      <c r="S334" s="15"/>
      <c r="T334" s="26">
        <v>46151</v>
      </c>
      <c r="U334" s="13" t="s">
        <v>146</v>
      </c>
      <c r="V334">
        <v>2</v>
      </c>
      <c r="X334" s="51" t="s">
        <v>107</v>
      </c>
      <c r="Y334" s="52">
        <f>COUNTIF(U333:U356,"R")</f>
        <v>4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 t="s">
        <v>539</v>
      </c>
      <c r="D335" s="109" t="s">
        <v>179</v>
      </c>
      <c r="E335" s="109" t="s">
        <v>36</v>
      </c>
      <c r="F335" s="16"/>
      <c r="G335" s="12" t="s">
        <v>178</v>
      </c>
      <c r="H335" s="15"/>
      <c r="I335" s="15"/>
      <c r="J335" s="15"/>
      <c r="K335" s="15"/>
      <c r="L335" s="17"/>
      <c r="M335" s="17">
        <v>1</v>
      </c>
      <c r="N335" s="17">
        <v>1</v>
      </c>
      <c r="O335" s="17"/>
      <c r="P335" s="17"/>
      <c r="Q335" s="17"/>
      <c r="R335" s="17"/>
      <c r="S335" s="15"/>
      <c r="T335" s="26">
        <v>46140</v>
      </c>
      <c r="U335" s="13" t="s">
        <v>146</v>
      </c>
      <c r="V335">
        <v>3</v>
      </c>
      <c r="X335" s="53" t="s">
        <v>108</v>
      </c>
      <c r="Y335" s="54">
        <f>COUNTIF(U333:U356,"J")</f>
        <v>3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 t="s">
        <v>540</v>
      </c>
      <c r="D336" s="109" t="s">
        <v>179</v>
      </c>
      <c r="E336" s="109" t="s">
        <v>37</v>
      </c>
      <c r="F336" s="16"/>
      <c r="G336" s="12" t="s">
        <v>178</v>
      </c>
      <c r="H336" s="15"/>
      <c r="I336" s="15"/>
      <c r="J336" s="15">
        <v>1</v>
      </c>
      <c r="K336" s="15"/>
      <c r="L336" s="17"/>
      <c r="M336" s="17"/>
      <c r="N336" s="17"/>
      <c r="O336" s="17"/>
      <c r="P336" s="17"/>
      <c r="Q336" s="17"/>
      <c r="R336" s="17"/>
      <c r="S336" s="15"/>
      <c r="T336" s="26">
        <v>46140</v>
      </c>
      <c r="U336" s="13" t="s">
        <v>146</v>
      </c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 t="s">
        <v>541</v>
      </c>
      <c r="D337" s="109" t="s">
        <v>183</v>
      </c>
      <c r="E337" s="109" t="s">
        <v>39</v>
      </c>
      <c r="F337" s="16"/>
      <c r="G337" s="12" t="s">
        <v>178</v>
      </c>
      <c r="H337" s="15"/>
      <c r="I337" s="15"/>
      <c r="J337" s="15">
        <v>1</v>
      </c>
      <c r="K337" s="15"/>
      <c r="L337" s="17"/>
      <c r="M337" s="17"/>
      <c r="N337" s="17"/>
      <c r="O337" s="17"/>
      <c r="P337" s="17"/>
      <c r="Q337" s="17"/>
      <c r="R337" s="17"/>
      <c r="S337" s="15"/>
      <c r="T337" s="26">
        <v>46167</v>
      </c>
      <c r="U337" s="13" t="s">
        <v>146</v>
      </c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 t="s">
        <v>542</v>
      </c>
      <c r="D338" s="109" t="s">
        <v>188</v>
      </c>
      <c r="E338" s="109" t="s">
        <v>39</v>
      </c>
      <c r="F338" s="16"/>
      <c r="G338" s="12" t="s">
        <v>178</v>
      </c>
      <c r="H338" s="13"/>
      <c r="I338" s="15"/>
      <c r="J338" s="15">
        <v>1</v>
      </c>
      <c r="K338" s="15"/>
      <c r="L338" s="17"/>
      <c r="M338" s="17"/>
      <c r="N338" s="17"/>
      <c r="O338" s="17"/>
      <c r="P338" s="17"/>
      <c r="Q338" s="17"/>
      <c r="R338" s="17"/>
      <c r="S338" s="15"/>
      <c r="T338" s="26">
        <v>46171</v>
      </c>
      <c r="U338" s="13" t="s">
        <v>146</v>
      </c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 t="s">
        <v>543</v>
      </c>
      <c r="D339" s="109" t="s">
        <v>185</v>
      </c>
      <c r="E339" s="109" t="s">
        <v>40</v>
      </c>
      <c r="F339" s="16"/>
      <c r="G339" s="12" t="s">
        <v>178</v>
      </c>
      <c r="H339" s="15"/>
      <c r="I339" s="15"/>
      <c r="J339" s="15"/>
      <c r="K339" s="15"/>
      <c r="L339" s="17"/>
      <c r="M339" s="17"/>
      <c r="N339" s="17"/>
      <c r="O339" s="17">
        <v>1</v>
      </c>
      <c r="P339" s="17">
        <v>1</v>
      </c>
      <c r="Q339" s="17"/>
      <c r="R339" s="17"/>
      <c r="S339" s="15"/>
      <c r="T339" s="26">
        <v>46153</v>
      </c>
      <c r="U339" s="13" t="s">
        <v>148</v>
      </c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 t="s">
        <v>544</v>
      </c>
      <c r="D340" s="109" t="s">
        <v>327</v>
      </c>
      <c r="E340" s="109" t="s">
        <v>40</v>
      </c>
      <c r="F340" s="16"/>
      <c r="G340" s="12" t="s">
        <v>178</v>
      </c>
      <c r="H340" s="15"/>
      <c r="I340" s="15"/>
      <c r="J340" s="15"/>
      <c r="K340" s="15"/>
      <c r="L340" s="17"/>
      <c r="M340" s="17"/>
      <c r="N340" s="17"/>
      <c r="O340" s="17">
        <v>1</v>
      </c>
      <c r="P340" s="17">
        <v>1</v>
      </c>
      <c r="Q340" s="17"/>
      <c r="R340" s="17"/>
      <c r="S340" s="15"/>
      <c r="T340" s="26">
        <v>46171</v>
      </c>
      <c r="U340" s="13" t="s">
        <v>148</v>
      </c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 t="s">
        <v>545</v>
      </c>
      <c r="D341" s="109" t="s">
        <v>327</v>
      </c>
      <c r="E341" s="15" t="s">
        <v>40</v>
      </c>
      <c r="F341" s="16"/>
      <c r="G341" s="15" t="s">
        <v>178</v>
      </c>
      <c r="H341" s="15"/>
      <c r="I341" s="15"/>
      <c r="J341" s="15"/>
      <c r="K341" s="15"/>
      <c r="L341" s="17"/>
      <c r="M341" s="17"/>
      <c r="N341" s="17"/>
      <c r="O341" s="17">
        <v>1</v>
      </c>
      <c r="P341" s="17">
        <v>1</v>
      </c>
      <c r="Q341" s="17"/>
      <c r="R341" s="17"/>
      <c r="S341" s="15"/>
      <c r="T341" s="26">
        <v>46171</v>
      </c>
      <c r="U341" s="13" t="s">
        <v>148</v>
      </c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 t="s">
        <v>546</v>
      </c>
      <c r="D342" s="109" t="s">
        <v>187</v>
      </c>
      <c r="E342" s="15" t="s">
        <v>36</v>
      </c>
      <c r="F342" s="16"/>
      <c r="G342" s="15" t="s">
        <v>178</v>
      </c>
      <c r="H342" s="15"/>
      <c r="I342" s="15"/>
      <c r="J342" s="15"/>
      <c r="K342" s="15"/>
      <c r="L342" s="17"/>
      <c r="M342" s="17">
        <v>1</v>
      </c>
      <c r="N342" s="17">
        <v>1</v>
      </c>
      <c r="O342" s="17"/>
      <c r="P342" s="17"/>
      <c r="Q342" s="17">
        <v>1</v>
      </c>
      <c r="R342" s="17"/>
      <c r="S342" s="15"/>
      <c r="T342" s="26">
        <v>46165</v>
      </c>
      <c r="U342" s="13" t="s">
        <v>147</v>
      </c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 t="s">
        <v>547</v>
      </c>
      <c r="D343" s="109" t="s">
        <v>194</v>
      </c>
      <c r="E343" s="15" t="s">
        <v>58</v>
      </c>
      <c r="F343" s="16"/>
      <c r="G343" s="15" t="s">
        <v>178</v>
      </c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>
        <v>46176</v>
      </c>
      <c r="U343" s="15" t="s">
        <v>147</v>
      </c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 t="s">
        <v>549</v>
      </c>
      <c r="D344" s="109" t="s">
        <v>548</v>
      </c>
      <c r="E344" s="15" t="s">
        <v>38</v>
      </c>
      <c r="F344" s="16"/>
      <c r="G344" s="15" t="s">
        <v>178</v>
      </c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>
        <v>46170</v>
      </c>
      <c r="U344" s="15" t="s">
        <v>147</v>
      </c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 t="s">
        <v>550</v>
      </c>
      <c r="D345" s="109" t="s">
        <v>183</v>
      </c>
      <c r="E345" s="15" t="s">
        <v>44</v>
      </c>
      <c r="F345" s="16"/>
      <c r="G345" s="15" t="s">
        <v>178</v>
      </c>
      <c r="H345" s="15"/>
      <c r="I345" s="15"/>
      <c r="J345" s="15">
        <v>1</v>
      </c>
      <c r="K345" s="15">
        <v>1</v>
      </c>
      <c r="L345" s="17"/>
      <c r="M345" s="17"/>
      <c r="N345" s="17"/>
      <c r="O345" s="17"/>
      <c r="P345" s="17"/>
      <c r="Q345" s="17"/>
      <c r="R345" s="17"/>
      <c r="S345" s="15"/>
      <c r="T345" s="26">
        <v>46160</v>
      </c>
      <c r="U345" s="15" t="s">
        <v>146</v>
      </c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 t="s">
        <v>551</v>
      </c>
      <c r="D346" s="109" t="s">
        <v>182</v>
      </c>
      <c r="E346" s="15" t="s">
        <v>39</v>
      </c>
      <c r="F346" s="16"/>
      <c r="G346" s="15" t="s">
        <v>178</v>
      </c>
      <c r="H346" s="15"/>
      <c r="I346" s="15"/>
      <c r="J346" s="15">
        <v>1</v>
      </c>
      <c r="K346" s="15">
        <v>1</v>
      </c>
      <c r="L346" s="17"/>
      <c r="M346" s="17"/>
      <c r="N346" s="17"/>
      <c r="O346" s="17"/>
      <c r="P346" s="17"/>
      <c r="Q346" s="17"/>
      <c r="R346" s="17"/>
      <c r="S346" s="15"/>
      <c r="T346" s="26">
        <v>46170</v>
      </c>
      <c r="U346" s="15" t="s">
        <v>146</v>
      </c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 t="s">
        <v>552</v>
      </c>
      <c r="D347" s="109" t="s">
        <v>355</v>
      </c>
      <c r="E347" s="15" t="s">
        <v>58</v>
      </c>
      <c r="F347" s="16"/>
      <c r="G347" s="15" t="s">
        <v>178</v>
      </c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>
        <v>46155</v>
      </c>
      <c r="U347" s="15" t="s">
        <v>147</v>
      </c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15</v>
      </c>
      <c r="D358" s="112"/>
      <c r="E358" s="29"/>
      <c r="F358" s="29" t="s">
        <v>34</v>
      </c>
      <c r="G358" s="29">
        <f>COUNTIF(G333:G357,"S")</f>
        <v>15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7</v>
      </c>
      <c r="K358" s="29">
        <f t="shared" si="83"/>
        <v>3</v>
      </c>
      <c r="L358" s="29">
        <f t="shared" si="83"/>
        <v>1</v>
      </c>
      <c r="M358" s="29">
        <f t="shared" si="83"/>
        <v>2</v>
      </c>
      <c r="N358" s="29">
        <f t="shared" si="83"/>
        <v>2</v>
      </c>
      <c r="O358" s="29">
        <f t="shared" si="83"/>
        <v>3</v>
      </c>
      <c r="P358" s="29">
        <f t="shared" si="83"/>
        <v>3</v>
      </c>
      <c r="Q358" s="29">
        <f t="shared" si="83"/>
        <v>1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22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J2120"/>
  <sheetViews>
    <sheetView topLeftCell="A7" zoomScaleNormal="100" workbookViewId="0">
      <selection sqref="A1:D33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1" width="16.625" customWidth="1"/>
    <col min="62" max="62" width="11" customWidth="1"/>
    <col min="63" max="63" width="10.5" style="121" customWidth="1"/>
    <col min="64" max="64" width="10.25" style="121" customWidth="1"/>
    <col min="65" max="65" width="10.875" style="121" customWidth="1"/>
    <col min="66" max="79" width="16.625" customWidth="1"/>
    <col min="80" max="80" width="20.5" customWidth="1"/>
    <col min="85" max="85" width="12.375" customWidth="1"/>
    <col min="86" max="86" width="11.25" customWidth="1"/>
    <col min="87" max="87" width="10.5" customWidth="1"/>
    <col min="88" max="88" width="10.25" customWidth="1"/>
  </cols>
  <sheetData>
    <row r="1" spans="1:84" x14ac:dyDescent="0.4">
      <c r="A1" s="120" t="s">
        <v>371</v>
      </c>
      <c r="B1" s="121"/>
      <c r="C1" s="121"/>
      <c r="D1" s="121"/>
      <c r="J1" t="s">
        <v>143</v>
      </c>
      <c r="K1" t="s">
        <v>144</v>
      </c>
      <c r="BD1" t="s">
        <v>143</v>
      </c>
      <c r="BE1" t="s">
        <v>144</v>
      </c>
      <c r="BJ1" s="120"/>
      <c r="CB1" t="s">
        <v>143</v>
      </c>
      <c r="CC1" t="s">
        <v>144</v>
      </c>
    </row>
    <row r="2" spans="1:84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J2" s="25">
        <v>46133</v>
      </c>
      <c r="K2" s="13" t="s">
        <v>147</v>
      </c>
      <c r="AC2" s="127"/>
      <c r="AD2" s="29"/>
      <c r="AS2" s="127"/>
      <c r="AT2" s="29"/>
      <c r="BD2" s="25">
        <v>45669</v>
      </c>
      <c r="BE2" s="13" t="s">
        <v>147</v>
      </c>
      <c r="BJ2" s="116"/>
      <c r="BK2" s="123"/>
      <c r="BL2" s="123"/>
      <c r="BM2" s="123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25">
        <v>45258</v>
      </c>
      <c r="CC2" s="13" t="s">
        <v>162</v>
      </c>
      <c r="CF2" s="114"/>
    </row>
    <row r="3" spans="1:84" ht="20.100000000000001" customHeight="1" x14ac:dyDescent="0.4">
      <c r="A3" s="117">
        <v>46133</v>
      </c>
      <c r="B3" s="123"/>
      <c r="C3" s="123">
        <v>2</v>
      </c>
      <c r="D3" s="123"/>
      <c r="H3" s="115"/>
      <c r="I3" s="115"/>
      <c r="J3" s="25">
        <v>46133</v>
      </c>
      <c r="K3" s="13" t="s">
        <v>147</v>
      </c>
      <c r="AC3" s="127"/>
      <c r="AD3" s="29"/>
      <c r="AS3" s="127"/>
      <c r="AT3" s="29"/>
      <c r="BD3" s="25"/>
      <c r="BE3" s="13"/>
      <c r="BJ3" s="116"/>
      <c r="BK3" s="123"/>
      <c r="BL3" s="123"/>
      <c r="BM3" s="123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25"/>
      <c r="CC3" s="13"/>
      <c r="CF3" s="114"/>
    </row>
    <row r="4" spans="1:84" ht="20.100000000000001" customHeight="1" x14ac:dyDescent="0.4">
      <c r="A4" s="117">
        <v>46140</v>
      </c>
      <c r="B4" s="123">
        <v>2</v>
      </c>
      <c r="C4" s="123">
        <v>2</v>
      </c>
      <c r="D4" s="123"/>
      <c r="H4" s="115"/>
      <c r="I4" s="115" t="s">
        <v>364</v>
      </c>
      <c r="J4" s="13">
        <f>SUBTOTAL(3,J2:J3)</f>
        <v>2</v>
      </c>
      <c r="K4" s="13">
        <f>SUBTOTAL(3,K2:K3)</f>
        <v>2</v>
      </c>
      <c r="AC4" s="127"/>
      <c r="AD4" s="29"/>
      <c r="AS4" s="127"/>
      <c r="AT4" s="29"/>
      <c r="BD4" s="25"/>
      <c r="BE4" s="13"/>
      <c r="BJ4" s="116"/>
      <c r="BK4" s="123"/>
      <c r="BL4" s="123"/>
      <c r="BM4" s="123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25"/>
      <c r="CC4" s="13"/>
      <c r="CF4" s="114"/>
    </row>
    <row r="5" spans="1:84" ht="20.100000000000001" customHeight="1" x14ac:dyDescent="0.4">
      <c r="A5" s="117">
        <v>46144</v>
      </c>
      <c r="B5" s="123">
        <v>2</v>
      </c>
      <c r="C5" s="123"/>
      <c r="D5" s="123"/>
      <c r="J5" s="25">
        <v>46140</v>
      </c>
      <c r="K5" s="13" t="s">
        <v>147</v>
      </c>
      <c r="AB5" s="115"/>
      <c r="AC5" s="29"/>
      <c r="AD5" s="29"/>
      <c r="AS5" s="127"/>
      <c r="AT5" s="29"/>
      <c r="BD5" s="25"/>
      <c r="BE5" s="13"/>
      <c r="BJ5" s="116"/>
      <c r="BK5" s="123"/>
      <c r="BL5" s="123"/>
      <c r="BM5" s="123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25"/>
      <c r="CC5" s="13"/>
      <c r="CF5" s="114"/>
    </row>
    <row r="6" spans="1:84" ht="20.100000000000001" customHeight="1" x14ac:dyDescent="0.4">
      <c r="A6" s="117">
        <v>46146</v>
      </c>
      <c r="B6" s="123"/>
      <c r="C6" s="123">
        <v>2</v>
      </c>
      <c r="D6" s="123"/>
      <c r="J6" s="25">
        <v>46140</v>
      </c>
      <c r="K6" s="13" t="s">
        <v>147</v>
      </c>
      <c r="Z6" s="115"/>
      <c r="AA6" s="115"/>
      <c r="AB6" s="115"/>
      <c r="AC6" s="127"/>
      <c r="AD6" s="29"/>
      <c r="AS6" s="127"/>
      <c r="AT6" s="29"/>
      <c r="BD6" s="25"/>
      <c r="BE6" s="13"/>
      <c r="BJ6" s="116"/>
      <c r="BK6" s="123"/>
      <c r="BL6" s="123"/>
      <c r="BM6" s="123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25"/>
      <c r="CC6" s="13"/>
      <c r="CF6" s="114"/>
    </row>
    <row r="7" spans="1:84" ht="20.100000000000001" customHeight="1" x14ac:dyDescent="0.4">
      <c r="A7" s="117">
        <v>46148</v>
      </c>
      <c r="B7" s="123"/>
      <c r="C7" s="123"/>
      <c r="D7" s="123">
        <v>1</v>
      </c>
      <c r="J7" s="25">
        <v>46140</v>
      </c>
      <c r="K7" s="13" t="s">
        <v>146</v>
      </c>
      <c r="Z7" s="115"/>
      <c r="AA7" s="115"/>
      <c r="AB7" s="115"/>
      <c r="AC7" s="29"/>
      <c r="AD7" s="29"/>
      <c r="AS7" s="127"/>
      <c r="AT7" s="29"/>
      <c r="BD7" s="25"/>
      <c r="BE7" s="13"/>
      <c r="BJ7" s="116"/>
      <c r="BK7" s="123"/>
      <c r="BL7" s="123"/>
      <c r="BM7" s="123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25"/>
      <c r="CC7" s="13"/>
      <c r="CF7" s="114"/>
    </row>
    <row r="8" spans="1:84" ht="20.100000000000001" customHeight="1" x14ac:dyDescent="0.4">
      <c r="A8" s="117">
        <v>46150</v>
      </c>
      <c r="B8" s="123">
        <v>3</v>
      </c>
      <c r="C8" s="123"/>
      <c r="D8" s="123">
        <v>1</v>
      </c>
      <c r="H8" s="115"/>
      <c r="I8" s="115"/>
      <c r="J8" s="25">
        <v>46140</v>
      </c>
      <c r="K8" s="13" t="s">
        <v>146</v>
      </c>
      <c r="Z8" s="115"/>
      <c r="AA8" s="115"/>
      <c r="AB8" s="115"/>
      <c r="AC8" s="29"/>
      <c r="AD8" s="29"/>
      <c r="AS8" s="127"/>
      <c r="AT8" s="29"/>
      <c r="BD8" s="25"/>
      <c r="BE8" s="13"/>
      <c r="BJ8" s="116"/>
      <c r="BK8" s="123"/>
      <c r="BL8" s="123"/>
      <c r="BM8" s="123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25"/>
      <c r="CC8" s="13"/>
      <c r="CF8" s="114"/>
    </row>
    <row r="9" spans="1:84" ht="20.100000000000001" customHeight="1" x14ac:dyDescent="0.4">
      <c r="A9" s="117">
        <v>46151</v>
      </c>
      <c r="B9" s="123">
        <v>2</v>
      </c>
      <c r="C9" s="123">
        <v>1</v>
      </c>
      <c r="D9" s="123"/>
      <c r="H9" s="115"/>
      <c r="I9" s="115" t="s">
        <v>190</v>
      </c>
      <c r="J9" s="13">
        <f>SUBTOTAL(3,J5:J8)</f>
        <v>4</v>
      </c>
      <c r="K9" s="13">
        <f>SUBTOTAL(3,K5:K8)</f>
        <v>4</v>
      </c>
      <c r="Z9" s="115"/>
      <c r="AA9" s="115"/>
      <c r="AB9" s="115"/>
      <c r="AC9" s="29"/>
      <c r="AD9" s="29"/>
      <c r="AS9" s="127"/>
      <c r="AT9" s="29"/>
      <c r="BD9" s="25"/>
      <c r="BE9" s="13"/>
      <c r="BJ9" s="116"/>
      <c r="BK9" s="123"/>
      <c r="BL9" s="123"/>
      <c r="BM9" s="123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25"/>
      <c r="CC9" s="13"/>
      <c r="CF9" s="114"/>
    </row>
    <row r="10" spans="1:84" ht="20.100000000000001" customHeight="1" x14ac:dyDescent="0.4">
      <c r="A10" s="117">
        <v>46152</v>
      </c>
      <c r="B10" s="123"/>
      <c r="C10" s="123">
        <v>1</v>
      </c>
      <c r="D10" s="123"/>
      <c r="J10" s="25">
        <v>46144</v>
      </c>
      <c r="K10" s="13" t="s">
        <v>146</v>
      </c>
      <c r="Z10" s="115"/>
      <c r="AA10" s="115"/>
      <c r="AB10" s="115"/>
      <c r="AC10" s="127"/>
      <c r="AD10" s="29"/>
      <c r="AS10" s="127"/>
      <c r="AT10" s="29"/>
      <c r="BD10" s="25"/>
      <c r="BE10" s="13"/>
      <c r="BJ10" s="116"/>
      <c r="BK10" s="123"/>
      <c r="BL10" s="123"/>
      <c r="BM10" s="123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25"/>
      <c r="CC10" s="13"/>
      <c r="CF10" s="114"/>
    </row>
    <row r="11" spans="1:84" ht="20.100000000000001" customHeight="1" x14ac:dyDescent="0.4">
      <c r="A11" s="117">
        <v>46153</v>
      </c>
      <c r="B11" s="123"/>
      <c r="C11" s="123">
        <v>2</v>
      </c>
      <c r="D11" s="123">
        <v>2</v>
      </c>
      <c r="H11" s="115"/>
      <c r="I11" s="115"/>
      <c r="J11" s="25">
        <v>46144</v>
      </c>
      <c r="K11" s="13" t="s">
        <v>146</v>
      </c>
      <c r="Z11" s="115"/>
      <c r="AA11" s="115"/>
      <c r="AB11" s="115"/>
      <c r="AC11" s="127"/>
      <c r="AD11" s="29"/>
      <c r="AS11" s="127"/>
      <c r="AT11" s="29"/>
      <c r="BD11" s="25"/>
      <c r="BE11" s="13"/>
      <c r="BJ11" s="116"/>
      <c r="BK11" s="123"/>
      <c r="BL11" s="123"/>
      <c r="BM11" s="123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25"/>
      <c r="CC11" s="13"/>
      <c r="CF11" s="114"/>
    </row>
    <row r="12" spans="1:84" ht="20.100000000000001" customHeight="1" x14ac:dyDescent="0.4">
      <c r="A12" s="117">
        <v>46154</v>
      </c>
      <c r="B12" s="123">
        <v>1</v>
      </c>
      <c r="C12" s="123">
        <v>5</v>
      </c>
      <c r="D12" s="123"/>
      <c r="H12" s="115"/>
      <c r="I12" s="115" t="s">
        <v>553</v>
      </c>
      <c r="J12" s="13">
        <f>SUBTOTAL(3,J10:J11)</f>
        <v>2</v>
      </c>
      <c r="K12" s="13">
        <f>SUBTOTAL(3,K10:K11)</f>
        <v>2</v>
      </c>
      <c r="Z12" s="115"/>
      <c r="AA12" s="115"/>
      <c r="AB12" s="115"/>
      <c r="AC12" s="127"/>
      <c r="AD12" s="29"/>
      <c r="AS12" s="127"/>
      <c r="AT12" s="29"/>
      <c r="BD12" s="25"/>
      <c r="BE12" s="13"/>
      <c r="BJ12" s="116"/>
      <c r="BK12" s="123"/>
      <c r="BL12" s="123"/>
      <c r="BM12" s="123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25"/>
      <c r="CC12" s="13"/>
      <c r="CF12" s="114"/>
    </row>
    <row r="13" spans="1:84" ht="20.100000000000001" customHeight="1" x14ac:dyDescent="0.4">
      <c r="A13" s="117">
        <v>46155</v>
      </c>
      <c r="B13" s="123">
        <v>2</v>
      </c>
      <c r="C13" s="123">
        <v>10</v>
      </c>
      <c r="D13" s="123">
        <v>3</v>
      </c>
      <c r="J13" s="25">
        <v>46146</v>
      </c>
      <c r="K13" s="13" t="s">
        <v>147</v>
      </c>
      <c r="Z13" s="115"/>
      <c r="AA13" s="115"/>
      <c r="AB13" s="115"/>
      <c r="AC13" s="29"/>
      <c r="AD13" s="29"/>
      <c r="AS13" s="127"/>
      <c r="AT13" s="29"/>
      <c r="BD13" s="25"/>
      <c r="BE13" s="13"/>
      <c r="BJ13" s="116"/>
      <c r="BK13" s="123"/>
      <c r="BL13" s="123"/>
      <c r="BM13" s="123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25"/>
      <c r="CC13" s="13"/>
      <c r="CF13" s="114"/>
    </row>
    <row r="14" spans="1:84" ht="20.100000000000001" customHeight="1" x14ac:dyDescent="0.4">
      <c r="A14" s="117">
        <v>46158</v>
      </c>
      <c r="B14" s="123">
        <v>6</v>
      </c>
      <c r="C14" s="123">
        <v>16</v>
      </c>
      <c r="D14" s="123">
        <v>1</v>
      </c>
      <c r="I14" s="115" t="s">
        <v>554</v>
      </c>
      <c r="J14" s="13">
        <f>SUBTOTAL(3,J13:J13)</f>
        <v>1</v>
      </c>
      <c r="K14" s="13">
        <f>SUBTOTAL(3,K13:K13)</f>
        <v>1</v>
      </c>
      <c r="Z14" s="115"/>
      <c r="AA14" s="115"/>
      <c r="AB14" s="115"/>
      <c r="AC14" s="29"/>
      <c r="AD14" s="29"/>
      <c r="AS14" s="127"/>
      <c r="AT14" s="29"/>
      <c r="BD14" s="25"/>
      <c r="BE14" s="13"/>
      <c r="BJ14" s="116"/>
      <c r="BK14" s="123"/>
      <c r="BL14" s="123"/>
      <c r="BM14" s="123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25"/>
      <c r="CC14" s="13"/>
      <c r="CF14" s="114"/>
    </row>
    <row r="15" spans="1:84" ht="20.100000000000001" customHeight="1" x14ac:dyDescent="0.4">
      <c r="A15" s="117">
        <v>46159</v>
      </c>
      <c r="B15" s="123">
        <v>9</v>
      </c>
      <c r="C15" s="123">
        <v>3</v>
      </c>
      <c r="D15" s="123">
        <v>7</v>
      </c>
      <c r="H15" s="115"/>
      <c r="I15" s="115"/>
      <c r="J15" s="25">
        <v>46148</v>
      </c>
      <c r="K15" s="13" t="s">
        <v>148</v>
      </c>
      <c r="Z15" s="115"/>
      <c r="AA15" s="115"/>
      <c r="AB15" s="115"/>
      <c r="AC15" s="29"/>
      <c r="AD15" s="29"/>
      <c r="AS15" s="127"/>
      <c r="AT15" s="29"/>
      <c r="BD15" s="25"/>
      <c r="BE15" s="13"/>
      <c r="BJ15" s="116"/>
      <c r="BK15" s="123"/>
      <c r="BL15" s="123"/>
      <c r="BM15" s="123"/>
      <c r="BR15" s="115"/>
      <c r="BS15" s="115"/>
      <c r="BT15" s="115"/>
      <c r="BU15" s="115"/>
      <c r="BV15" s="115"/>
      <c r="BW15" s="115"/>
      <c r="BX15" s="115"/>
      <c r="BY15" s="115"/>
      <c r="BZ15" s="115"/>
      <c r="CA15" s="115"/>
      <c r="CB15" s="25"/>
      <c r="CC15" s="13"/>
      <c r="CF15" s="114"/>
    </row>
    <row r="16" spans="1:84" ht="20.100000000000001" customHeight="1" x14ac:dyDescent="0.4">
      <c r="A16" s="117">
        <v>46160</v>
      </c>
      <c r="B16" s="123">
        <v>6</v>
      </c>
      <c r="C16" s="123">
        <v>3</v>
      </c>
      <c r="D16" s="123">
        <v>2</v>
      </c>
      <c r="H16" s="115"/>
      <c r="I16" s="115" t="s">
        <v>365</v>
      </c>
      <c r="J16" s="13">
        <f>SUBTOTAL(3,J15:J15)</f>
        <v>1</v>
      </c>
      <c r="K16" s="13">
        <f>SUBTOTAL(3,K15:K15)</f>
        <v>1</v>
      </c>
      <c r="Z16" s="115"/>
      <c r="AA16" s="115"/>
      <c r="AB16" s="115"/>
      <c r="AC16" s="29"/>
      <c r="AD16" s="29"/>
      <c r="AS16" s="127"/>
      <c r="AT16" s="29"/>
      <c r="BD16" s="25"/>
      <c r="BE16" s="13"/>
      <c r="BJ16" s="116"/>
      <c r="BK16" s="123"/>
      <c r="BL16" s="123"/>
      <c r="BM16" s="123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25"/>
      <c r="CC16" s="13"/>
      <c r="CF16" s="114"/>
    </row>
    <row r="17" spans="1:84" ht="20.100000000000001" customHeight="1" x14ac:dyDescent="0.4">
      <c r="A17" s="117">
        <v>46161</v>
      </c>
      <c r="B17" s="123"/>
      <c r="C17" s="123">
        <v>2</v>
      </c>
      <c r="D17" s="123"/>
      <c r="J17" s="25">
        <v>46150</v>
      </c>
      <c r="K17" s="13" t="s">
        <v>146</v>
      </c>
      <c r="Y17" s="115"/>
      <c r="Z17" s="115"/>
      <c r="AA17" s="115"/>
      <c r="AB17" s="115"/>
      <c r="AC17" s="127"/>
      <c r="AD17" s="29"/>
      <c r="AS17" s="127"/>
      <c r="AT17" s="29"/>
      <c r="BD17" s="25"/>
      <c r="BE17" s="13"/>
      <c r="BJ17" s="116"/>
      <c r="BK17" s="123"/>
      <c r="BL17" s="123"/>
      <c r="BM17" s="123"/>
      <c r="BR17" s="115"/>
      <c r="BS17" s="115"/>
      <c r="BT17" s="115"/>
      <c r="BU17" s="115"/>
      <c r="BV17" s="115"/>
      <c r="BW17" s="115"/>
      <c r="BX17" s="115"/>
      <c r="BY17" s="115"/>
      <c r="BZ17" s="115"/>
      <c r="CA17" s="115"/>
      <c r="CB17" s="25"/>
      <c r="CC17" s="13"/>
      <c r="CF17" s="114"/>
    </row>
    <row r="18" spans="1:84" ht="20.100000000000001" customHeight="1" x14ac:dyDescent="0.4">
      <c r="A18" s="117">
        <v>46162</v>
      </c>
      <c r="B18" s="123"/>
      <c r="C18" s="123">
        <v>1</v>
      </c>
      <c r="D18" s="123">
        <v>1</v>
      </c>
      <c r="J18" s="25">
        <v>46150</v>
      </c>
      <c r="K18" s="13" t="s">
        <v>148</v>
      </c>
      <c r="Y18" s="115"/>
      <c r="Z18" s="115"/>
      <c r="AA18" s="115"/>
      <c r="AB18" s="115"/>
      <c r="AC18" s="127"/>
      <c r="AD18" s="29"/>
      <c r="AS18" s="127"/>
      <c r="AT18" s="29"/>
      <c r="BD18" s="25"/>
      <c r="BE18" s="13"/>
      <c r="BJ18" s="116"/>
      <c r="BK18" s="123"/>
      <c r="BL18" s="123"/>
      <c r="BM18" s="123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25"/>
      <c r="CC18" s="13"/>
      <c r="CF18" s="114"/>
    </row>
    <row r="19" spans="1:84" ht="20.100000000000001" customHeight="1" x14ac:dyDescent="0.4">
      <c r="A19" s="117">
        <v>46164</v>
      </c>
      <c r="B19" s="123"/>
      <c r="C19" s="123">
        <v>1</v>
      </c>
      <c r="D19" s="123"/>
      <c r="J19" s="25">
        <v>46150</v>
      </c>
      <c r="K19" s="13" t="s">
        <v>146</v>
      </c>
      <c r="Y19" s="115"/>
      <c r="Z19" s="115"/>
      <c r="AA19" s="115"/>
      <c r="AB19" s="115"/>
      <c r="AC19" s="127"/>
      <c r="AD19" s="29"/>
      <c r="AS19" s="127"/>
      <c r="AT19" s="29"/>
      <c r="BD19" s="25"/>
      <c r="BE19" s="13"/>
      <c r="BJ19" s="116"/>
      <c r="BK19" s="123"/>
      <c r="BL19" s="123"/>
      <c r="BM19" s="123"/>
      <c r="BR19" s="115"/>
      <c r="BS19" s="115"/>
      <c r="BT19" s="115"/>
      <c r="BU19" s="115"/>
      <c r="BV19" s="115"/>
      <c r="BW19" s="115"/>
      <c r="BX19" s="115"/>
      <c r="BY19" s="115"/>
      <c r="BZ19" s="115"/>
      <c r="CA19" s="115"/>
      <c r="CB19" s="25"/>
      <c r="CC19" s="13"/>
      <c r="CF19" s="114"/>
    </row>
    <row r="20" spans="1:84" ht="20.100000000000001" customHeight="1" x14ac:dyDescent="0.4">
      <c r="A20" s="117">
        <v>46165</v>
      </c>
      <c r="B20" s="123">
        <v>19</v>
      </c>
      <c r="C20" s="123">
        <v>2</v>
      </c>
      <c r="D20" s="123">
        <v>1</v>
      </c>
      <c r="J20" s="25">
        <v>46150</v>
      </c>
      <c r="K20" s="13" t="s">
        <v>146</v>
      </c>
      <c r="Y20" s="115"/>
      <c r="Z20" s="115"/>
      <c r="AA20" s="115"/>
      <c r="AB20" s="115"/>
      <c r="AC20" s="127"/>
      <c r="AD20" s="29"/>
      <c r="AS20" s="127"/>
      <c r="AT20" s="29"/>
      <c r="BD20" s="25"/>
      <c r="BE20" s="13"/>
      <c r="BJ20" s="116"/>
      <c r="BK20" s="123"/>
      <c r="BL20" s="123"/>
      <c r="BM20" s="123"/>
      <c r="BR20" s="115"/>
      <c r="BS20" s="115"/>
      <c r="BT20" s="115"/>
      <c r="BU20" s="115"/>
      <c r="BV20" s="115"/>
      <c r="BW20" s="115"/>
      <c r="BX20" s="115"/>
      <c r="BY20" s="115"/>
      <c r="BZ20" s="115"/>
      <c r="CA20" s="115"/>
      <c r="CB20" s="25"/>
      <c r="CC20" s="13"/>
      <c r="CF20" s="114"/>
    </row>
    <row r="21" spans="1:84" ht="20.100000000000001" customHeight="1" x14ac:dyDescent="0.4">
      <c r="A21" s="117">
        <v>46167</v>
      </c>
      <c r="B21" s="123">
        <v>3</v>
      </c>
      <c r="C21" s="123">
        <v>2</v>
      </c>
      <c r="D21" s="123"/>
      <c r="I21" s="115" t="s">
        <v>195</v>
      </c>
      <c r="J21" s="13">
        <f>SUBTOTAL(3,J17:J20)</f>
        <v>4</v>
      </c>
      <c r="K21" s="13">
        <f>SUBTOTAL(3,K17:K20)</f>
        <v>4</v>
      </c>
      <c r="Y21" s="115"/>
      <c r="Z21" s="115"/>
      <c r="AA21" s="115"/>
      <c r="AB21" s="115"/>
      <c r="AC21" s="127"/>
      <c r="AD21" s="29"/>
      <c r="AS21" s="127"/>
      <c r="AT21" s="29"/>
      <c r="BD21" s="25"/>
      <c r="BE21" s="13"/>
      <c r="BJ21" s="116"/>
      <c r="BK21" s="123"/>
      <c r="BL21" s="123"/>
      <c r="BM21" s="123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25"/>
      <c r="CC21" s="13"/>
      <c r="CF21" s="114"/>
    </row>
    <row r="22" spans="1:84" ht="20.100000000000001" customHeight="1" x14ac:dyDescent="0.4">
      <c r="A22" s="117">
        <v>46168</v>
      </c>
      <c r="B22" s="123"/>
      <c r="C22" s="123"/>
      <c r="D22" s="123">
        <v>1</v>
      </c>
      <c r="H22" s="115"/>
      <c r="I22" s="115"/>
      <c r="J22" s="25">
        <v>46151</v>
      </c>
      <c r="K22" s="13" t="s">
        <v>147</v>
      </c>
      <c r="Y22" s="115"/>
      <c r="Z22" s="115"/>
      <c r="AA22" s="115"/>
      <c r="AB22" s="115"/>
      <c r="AC22" s="127"/>
      <c r="AD22" s="29"/>
      <c r="AS22" s="127"/>
      <c r="AT22" s="29"/>
      <c r="BD22" s="25"/>
      <c r="BE22" s="13"/>
      <c r="BJ22" s="116"/>
      <c r="BK22" s="123"/>
      <c r="BL22" s="123"/>
      <c r="BM22" s="123"/>
      <c r="BR22" s="115"/>
      <c r="BS22" s="115"/>
      <c r="BT22" s="115"/>
      <c r="BU22" s="115"/>
      <c r="BV22" s="115"/>
      <c r="BW22" s="115"/>
      <c r="BX22" s="115"/>
      <c r="BY22" s="115"/>
      <c r="BZ22" s="115"/>
      <c r="CA22" s="115"/>
      <c r="CB22" s="25"/>
      <c r="CC22" s="13"/>
      <c r="CF22" s="114"/>
    </row>
    <row r="23" spans="1:84" ht="20.100000000000001" customHeight="1" x14ac:dyDescent="0.4">
      <c r="A23" s="117">
        <v>46169</v>
      </c>
      <c r="B23" s="123">
        <v>20</v>
      </c>
      <c r="C23" s="123">
        <v>2</v>
      </c>
      <c r="D23" s="123"/>
      <c r="J23" s="25">
        <v>46151</v>
      </c>
      <c r="K23" s="15" t="s">
        <v>146</v>
      </c>
      <c r="X23" s="115"/>
      <c r="Y23" s="115"/>
      <c r="Z23" s="115"/>
      <c r="AA23" s="115"/>
      <c r="AB23" s="115"/>
      <c r="AC23" s="127"/>
      <c r="AD23" s="29"/>
      <c r="AS23" s="127"/>
      <c r="AT23" s="29"/>
      <c r="BD23" s="25"/>
      <c r="BE23" s="13"/>
      <c r="BJ23" s="116"/>
      <c r="BK23" s="123"/>
      <c r="BL23" s="123"/>
      <c r="BM23" s="123"/>
      <c r="BR23" s="115"/>
      <c r="BS23" s="115"/>
      <c r="BT23" s="115"/>
      <c r="BU23" s="115"/>
      <c r="BV23" s="115"/>
      <c r="BW23" s="115"/>
      <c r="BX23" s="115"/>
      <c r="BY23" s="115"/>
      <c r="BZ23" s="115"/>
      <c r="CA23" s="115"/>
      <c r="CB23" s="25"/>
      <c r="CC23" s="13"/>
      <c r="CF23" s="114"/>
    </row>
    <row r="24" spans="1:84" ht="20.100000000000001" customHeight="1" x14ac:dyDescent="0.4">
      <c r="A24" s="117">
        <v>46170</v>
      </c>
      <c r="B24" s="123">
        <v>3</v>
      </c>
      <c r="C24" s="123">
        <v>2</v>
      </c>
      <c r="D24" s="123">
        <v>1</v>
      </c>
      <c r="H24" s="115"/>
      <c r="I24" s="115"/>
      <c r="J24" s="30">
        <v>46151</v>
      </c>
      <c r="K24" s="15" t="s">
        <v>146</v>
      </c>
      <c r="X24" s="115"/>
      <c r="Y24" s="115"/>
      <c r="Z24" s="115"/>
      <c r="AA24" s="115"/>
      <c r="AB24" s="115"/>
      <c r="AC24" s="127"/>
      <c r="AD24" s="29"/>
      <c r="AS24" s="127"/>
      <c r="AT24" s="29"/>
      <c r="BD24" s="25"/>
      <c r="BE24" s="13"/>
      <c r="BJ24" s="116"/>
      <c r="BK24" s="123"/>
      <c r="BL24" s="123"/>
      <c r="BM24" s="123"/>
      <c r="BR24" s="115"/>
      <c r="BS24" s="115"/>
      <c r="BT24" s="115"/>
      <c r="BU24" s="115"/>
      <c r="BV24" s="115"/>
      <c r="BW24" s="115"/>
      <c r="BX24" s="115"/>
      <c r="BY24" s="115"/>
      <c r="BZ24" s="115"/>
      <c r="CA24" s="115"/>
      <c r="CB24" s="25"/>
      <c r="CC24" s="13"/>
      <c r="CF24" s="114"/>
    </row>
    <row r="25" spans="1:84" ht="20.100000000000001" customHeight="1" x14ac:dyDescent="0.4">
      <c r="A25" s="117">
        <v>46171</v>
      </c>
      <c r="B25" s="123">
        <v>2</v>
      </c>
      <c r="C25" s="123"/>
      <c r="D25" s="123">
        <v>2</v>
      </c>
      <c r="H25" s="115"/>
      <c r="I25" s="115" t="s">
        <v>555</v>
      </c>
      <c r="J25" s="141">
        <f>SUBTOTAL(3,J22:J24)</f>
        <v>3</v>
      </c>
      <c r="K25" s="13">
        <f>SUBTOTAL(3,K22:K24)</f>
        <v>3</v>
      </c>
      <c r="X25" s="115"/>
      <c r="Y25" s="115"/>
      <c r="Z25" s="115"/>
      <c r="AA25" s="115"/>
      <c r="AB25" s="115"/>
      <c r="AC25" s="127"/>
      <c r="AD25" s="29"/>
      <c r="AS25" s="127"/>
      <c r="AT25" s="29"/>
      <c r="BD25" s="25"/>
      <c r="BE25" s="13"/>
      <c r="BJ25" s="116"/>
      <c r="BK25" s="123"/>
      <c r="BL25" s="123"/>
      <c r="BM25" s="123"/>
      <c r="BR25" s="115"/>
      <c r="BS25" s="115"/>
      <c r="BT25" s="115"/>
      <c r="BU25" s="115"/>
      <c r="BV25" s="115"/>
      <c r="BW25" s="115"/>
      <c r="BX25" s="115"/>
      <c r="BY25" s="115"/>
      <c r="BZ25" s="115"/>
      <c r="CA25" s="115"/>
      <c r="CB25" s="25"/>
      <c r="CC25" s="13"/>
      <c r="CF25" s="114"/>
    </row>
    <row r="26" spans="1:84" ht="20.100000000000001" customHeight="1" x14ac:dyDescent="0.4">
      <c r="A26" s="117">
        <v>46172</v>
      </c>
      <c r="B26" s="123">
        <v>1</v>
      </c>
      <c r="C26" s="123">
        <v>2</v>
      </c>
      <c r="D26" s="123"/>
      <c r="J26" s="25">
        <v>46152</v>
      </c>
      <c r="K26" s="13" t="s">
        <v>147</v>
      </c>
      <c r="W26" s="115"/>
      <c r="X26" s="115"/>
      <c r="Y26" s="115"/>
      <c r="Z26" s="115"/>
      <c r="AA26" s="115"/>
      <c r="AB26" s="115"/>
      <c r="AC26" s="127"/>
      <c r="AD26" s="29"/>
      <c r="AS26" s="127"/>
      <c r="AT26" s="29"/>
      <c r="BD26" s="25"/>
      <c r="BE26" s="13"/>
      <c r="BJ26" s="116"/>
      <c r="BK26" s="123"/>
      <c r="BL26" s="123"/>
      <c r="BM26" s="123"/>
      <c r="BR26" s="115"/>
      <c r="BS26" s="115"/>
      <c r="BT26" s="115"/>
      <c r="BU26" s="115"/>
      <c r="BV26" s="115"/>
      <c r="BW26" s="115"/>
      <c r="BX26" s="115"/>
      <c r="BY26" s="115"/>
      <c r="BZ26" s="115"/>
      <c r="CA26" s="115"/>
      <c r="CB26" s="25"/>
      <c r="CC26" s="13"/>
      <c r="CF26" s="114"/>
    </row>
    <row r="27" spans="1:84" ht="20.100000000000001" customHeight="1" x14ac:dyDescent="0.4">
      <c r="A27" s="117">
        <v>46175</v>
      </c>
      <c r="B27" s="123">
        <v>1</v>
      </c>
      <c r="C27" s="123"/>
      <c r="D27" s="123">
        <v>1</v>
      </c>
      <c r="I27" s="115" t="s">
        <v>196</v>
      </c>
      <c r="J27" s="13">
        <f>SUBTOTAL(3,J26:J26)</f>
        <v>1</v>
      </c>
      <c r="K27" s="13">
        <f>SUBTOTAL(3,K26:K26)</f>
        <v>1</v>
      </c>
      <c r="W27" s="115"/>
      <c r="X27" s="115"/>
      <c r="Y27" s="115"/>
      <c r="Z27" s="115"/>
      <c r="AA27" s="115"/>
      <c r="AB27" s="115"/>
      <c r="AC27" s="127"/>
      <c r="AD27" s="29"/>
      <c r="AS27" s="127"/>
      <c r="AT27" s="29"/>
      <c r="BD27" s="25"/>
      <c r="BE27" s="13"/>
      <c r="BJ27" s="116"/>
      <c r="BK27" s="123"/>
      <c r="BL27" s="123"/>
      <c r="BM27" s="123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25"/>
      <c r="CC27" s="13"/>
      <c r="CF27" s="114"/>
    </row>
    <row r="28" spans="1:84" ht="20.100000000000001" customHeight="1" x14ac:dyDescent="0.4">
      <c r="A28" s="117">
        <v>46176</v>
      </c>
      <c r="B28" s="123">
        <v>1</v>
      </c>
      <c r="C28" s="123">
        <v>1</v>
      </c>
      <c r="D28" s="123"/>
      <c r="H28" s="115"/>
      <c r="I28" s="115"/>
      <c r="J28" s="25">
        <v>46153</v>
      </c>
      <c r="K28" s="13" t="s">
        <v>148</v>
      </c>
      <c r="W28" s="115"/>
      <c r="X28" s="115"/>
      <c r="Y28" s="115"/>
      <c r="Z28" s="115"/>
      <c r="AA28" s="115"/>
      <c r="AB28" s="115"/>
      <c r="AC28" s="127"/>
      <c r="AD28" s="29"/>
      <c r="AS28" s="127"/>
      <c r="AT28" s="29"/>
      <c r="BD28" s="25"/>
      <c r="BE28" s="13"/>
      <c r="BJ28" s="116"/>
      <c r="BK28" s="123"/>
      <c r="BL28" s="123"/>
      <c r="BM28" s="123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25"/>
      <c r="CC28" s="13"/>
      <c r="CF28" s="114"/>
    </row>
    <row r="29" spans="1:84" ht="20.100000000000001" customHeight="1" x14ac:dyDescent="0.4">
      <c r="A29" s="117">
        <v>46179</v>
      </c>
      <c r="B29" s="123">
        <v>3</v>
      </c>
      <c r="C29" s="123"/>
      <c r="D29" s="123"/>
      <c r="J29" s="25">
        <v>46153</v>
      </c>
      <c r="K29" s="13" t="s">
        <v>147</v>
      </c>
      <c r="W29" s="115"/>
      <c r="X29" s="115"/>
      <c r="Y29" s="115"/>
      <c r="Z29" s="115"/>
      <c r="AA29" s="115"/>
      <c r="AB29" s="115"/>
      <c r="AC29" s="127"/>
      <c r="AD29" s="29"/>
      <c r="AS29" s="127"/>
      <c r="AT29" s="29"/>
      <c r="BD29" s="25"/>
      <c r="BE29" s="13"/>
      <c r="BJ29" s="116"/>
      <c r="BK29" s="123"/>
      <c r="BL29" s="123"/>
      <c r="BM29" s="123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25"/>
      <c r="CC29" s="13"/>
      <c r="CF29" s="114"/>
    </row>
    <row r="30" spans="1:84" ht="20.100000000000001" customHeight="1" x14ac:dyDescent="0.4">
      <c r="A30" s="117">
        <v>46181</v>
      </c>
      <c r="B30" s="123">
        <v>1</v>
      </c>
      <c r="C30" s="123"/>
      <c r="D30" s="123"/>
      <c r="J30" s="25">
        <v>46153</v>
      </c>
      <c r="K30" s="13" t="s">
        <v>147</v>
      </c>
      <c r="V30" s="115"/>
      <c r="W30" s="115"/>
      <c r="X30" s="115"/>
      <c r="Y30" s="115"/>
      <c r="Z30" s="115"/>
      <c r="AA30" s="115"/>
      <c r="AB30" s="115"/>
      <c r="AC30" s="127"/>
      <c r="AD30" s="29"/>
      <c r="AS30" s="127"/>
      <c r="AT30" s="29"/>
      <c r="BD30" s="25"/>
      <c r="BE30" s="13"/>
      <c r="BJ30" s="116"/>
      <c r="BK30" s="123"/>
      <c r="BL30" s="123"/>
      <c r="BM30" s="123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25"/>
      <c r="CC30" s="13"/>
      <c r="CF30" s="114"/>
    </row>
    <row r="31" spans="1:84" ht="20.100000000000001" customHeight="1" x14ac:dyDescent="0.4">
      <c r="A31" s="117">
        <v>46189</v>
      </c>
      <c r="B31" s="123"/>
      <c r="C31" s="123">
        <v>1</v>
      </c>
      <c r="D31" s="123"/>
      <c r="J31" s="25">
        <v>46153</v>
      </c>
      <c r="K31" s="13" t="s">
        <v>148</v>
      </c>
      <c r="V31" s="115"/>
      <c r="W31" s="115"/>
      <c r="X31" s="115"/>
      <c r="Y31" s="115"/>
      <c r="Z31" s="115"/>
      <c r="AA31" s="115"/>
      <c r="AB31" s="115"/>
      <c r="AC31" s="127"/>
      <c r="AD31" s="134"/>
      <c r="AS31" s="127"/>
      <c r="AT31" s="29"/>
      <c r="BD31" s="25"/>
      <c r="BE31" s="13"/>
      <c r="BJ31" s="116"/>
      <c r="BK31" s="123"/>
      <c r="BL31" s="123"/>
      <c r="BM31" s="123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25"/>
      <c r="CC31" s="13"/>
      <c r="CF31" s="114"/>
    </row>
    <row r="32" spans="1:84" ht="20.100000000000001" customHeight="1" x14ac:dyDescent="0.4">
      <c r="A32" s="117"/>
      <c r="B32" s="123">
        <f>SUM(B3:B31)</f>
        <v>87</v>
      </c>
      <c r="C32" s="123">
        <f>SUM(C3:C31)</f>
        <v>63</v>
      </c>
      <c r="D32" s="123">
        <f>SUM(D3:D31)</f>
        <v>24</v>
      </c>
      <c r="I32" s="115" t="s">
        <v>366</v>
      </c>
      <c r="J32" s="13">
        <f>SUBTOTAL(3,J28:J31)</f>
        <v>4</v>
      </c>
      <c r="K32" s="13">
        <f>SUBTOTAL(3,K28:K31)</f>
        <v>4</v>
      </c>
      <c r="V32" s="115"/>
      <c r="W32" s="115"/>
      <c r="X32" s="115"/>
      <c r="Y32" s="115"/>
      <c r="Z32" s="115"/>
      <c r="AA32" s="115"/>
      <c r="AB32" s="115"/>
      <c r="AC32" s="127"/>
      <c r="AD32" s="134"/>
      <c r="AS32" s="127"/>
      <c r="AT32" s="29"/>
      <c r="BD32" s="25"/>
      <c r="BE32" s="13"/>
      <c r="BJ32" s="116"/>
      <c r="BK32" s="123"/>
      <c r="BL32" s="123"/>
      <c r="BM32" s="123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25"/>
      <c r="CC32" s="13"/>
      <c r="CF32" s="114"/>
    </row>
    <row r="33" spans="1:84" ht="20.100000000000001" customHeight="1" x14ac:dyDescent="0.4">
      <c r="A33" s="117"/>
      <c r="B33" s="123"/>
      <c r="C33" s="123"/>
      <c r="D33" s="123">
        <f>SUM(B32:D32)</f>
        <v>174</v>
      </c>
      <c r="J33" s="25">
        <v>46154</v>
      </c>
      <c r="K33" s="13" t="s">
        <v>147</v>
      </c>
      <c r="V33" s="115"/>
      <c r="W33" s="115"/>
      <c r="X33" s="115"/>
      <c r="Y33" s="115"/>
      <c r="Z33" s="115"/>
      <c r="AA33" s="115"/>
      <c r="AB33" s="115"/>
      <c r="AC33" s="127"/>
      <c r="AD33" s="29"/>
      <c r="AS33" s="127"/>
      <c r="AT33" s="29"/>
      <c r="BD33" s="25"/>
      <c r="BE33" s="13"/>
      <c r="BJ33" s="116"/>
      <c r="BK33" s="123"/>
      <c r="BL33" s="123"/>
      <c r="BM33" s="123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25"/>
      <c r="CC33" s="13"/>
      <c r="CF33" s="114"/>
    </row>
    <row r="34" spans="1:84" ht="20.100000000000001" customHeight="1" x14ac:dyDescent="0.4">
      <c r="A34" s="117"/>
      <c r="B34" s="123"/>
      <c r="C34" s="123"/>
      <c r="D34" s="123"/>
      <c r="J34" s="25">
        <v>46154</v>
      </c>
      <c r="K34" s="13" t="s">
        <v>147</v>
      </c>
      <c r="V34" s="115"/>
      <c r="W34" s="115"/>
      <c r="X34" s="115"/>
      <c r="Y34" s="115"/>
      <c r="Z34" s="115"/>
      <c r="AA34" s="115"/>
      <c r="AB34" s="115"/>
      <c r="AC34" s="29"/>
      <c r="AD34" s="29"/>
      <c r="AS34" s="127"/>
      <c r="AT34" s="29"/>
      <c r="BD34" s="25"/>
      <c r="BE34" s="13"/>
      <c r="BJ34" s="116"/>
      <c r="BK34" s="123"/>
      <c r="BL34" s="123"/>
      <c r="BM34" s="123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25"/>
      <c r="CC34" s="13"/>
      <c r="CF34" s="114"/>
    </row>
    <row r="35" spans="1:84" ht="20.100000000000001" customHeight="1" x14ac:dyDescent="0.4">
      <c r="A35" s="117"/>
      <c r="B35" s="123"/>
      <c r="C35" s="123"/>
      <c r="D35" s="123"/>
      <c r="J35" s="25">
        <v>46154</v>
      </c>
      <c r="K35" s="13" t="s">
        <v>147</v>
      </c>
      <c r="V35" s="115"/>
      <c r="W35" s="115"/>
      <c r="X35" s="115"/>
      <c r="Y35" s="115"/>
      <c r="Z35" s="115"/>
      <c r="AA35" s="115"/>
      <c r="AB35" s="115"/>
      <c r="AC35" s="127"/>
      <c r="AD35" s="29"/>
      <c r="AS35" s="127"/>
      <c r="AT35" s="29"/>
      <c r="BD35" s="25"/>
      <c r="BE35" s="13"/>
      <c r="BJ35" s="116"/>
      <c r="BK35" s="123"/>
      <c r="BL35" s="123"/>
      <c r="BM35" s="123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25"/>
      <c r="CC35" s="13"/>
      <c r="CF35" s="114"/>
    </row>
    <row r="36" spans="1:84" ht="20.100000000000001" customHeight="1" x14ac:dyDescent="0.4">
      <c r="A36" s="117"/>
      <c r="B36" s="123"/>
      <c r="C36" s="123"/>
      <c r="D36" s="123"/>
      <c r="J36" s="25">
        <v>46154</v>
      </c>
      <c r="K36" s="13" t="s">
        <v>147</v>
      </c>
      <c r="V36" s="115"/>
      <c r="W36" s="115"/>
      <c r="X36" s="115"/>
      <c r="Y36" s="115"/>
      <c r="Z36" s="115"/>
      <c r="AA36" s="115"/>
      <c r="AB36" s="115"/>
      <c r="AC36" s="127"/>
      <c r="AD36" s="29"/>
      <c r="AS36" s="127"/>
      <c r="AT36" s="29"/>
      <c r="BD36" s="25"/>
      <c r="BE36" s="13"/>
      <c r="BJ36" s="116"/>
      <c r="BK36" s="123"/>
      <c r="BL36" s="123"/>
      <c r="BM36" s="123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25"/>
      <c r="CC36" s="13"/>
      <c r="CF36" s="114"/>
    </row>
    <row r="37" spans="1:84" ht="20.100000000000001" customHeight="1" x14ac:dyDescent="0.4">
      <c r="A37" s="117"/>
      <c r="B37" s="123"/>
      <c r="C37" s="123"/>
      <c r="D37" s="123"/>
      <c r="J37" s="25">
        <v>46154</v>
      </c>
      <c r="K37" s="13" t="s">
        <v>146</v>
      </c>
      <c r="V37" s="115"/>
      <c r="W37" s="115"/>
      <c r="X37" s="115"/>
      <c r="Y37" s="115"/>
      <c r="Z37" s="115"/>
      <c r="AA37" s="115"/>
      <c r="AB37" s="115"/>
      <c r="AC37" s="127"/>
      <c r="AD37" s="29"/>
      <c r="AS37" s="127"/>
      <c r="AT37" s="29"/>
      <c r="BD37" s="25"/>
      <c r="BE37" s="13"/>
      <c r="BJ37" s="116"/>
      <c r="BK37" s="123"/>
      <c r="BL37" s="123"/>
      <c r="BM37" s="123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25"/>
      <c r="CC37" s="13"/>
      <c r="CF37" s="114"/>
    </row>
    <row r="38" spans="1:84" ht="20.100000000000001" customHeight="1" x14ac:dyDescent="0.4">
      <c r="A38" s="117"/>
      <c r="B38" s="123"/>
      <c r="C38" s="123"/>
      <c r="D38" s="123"/>
      <c r="J38" s="25">
        <v>46154</v>
      </c>
      <c r="K38" s="13" t="s">
        <v>147</v>
      </c>
      <c r="V38" s="115"/>
      <c r="W38" s="115"/>
      <c r="X38" s="115"/>
      <c r="Y38" s="115"/>
      <c r="Z38" s="115"/>
      <c r="AA38" s="115"/>
      <c r="AB38" s="115"/>
      <c r="AC38" s="29"/>
      <c r="AD38" s="29"/>
      <c r="AS38" s="127"/>
      <c r="AT38" s="29"/>
      <c r="BD38" s="25"/>
      <c r="BE38" s="13"/>
      <c r="BJ38" s="116"/>
      <c r="BK38" s="123"/>
      <c r="BL38" s="123"/>
      <c r="BM38" s="123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25"/>
      <c r="CC38" s="13"/>
      <c r="CF38" s="114"/>
    </row>
    <row r="39" spans="1:84" ht="20.100000000000001" customHeight="1" x14ac:dyDescent="0.4">
      <c r="A39" s="117"/>
      <c r="B39" s="123"/>
      <c r="C39" s="123"/>
      <c r="D39" s="123"/>
      <c r="I39" s="115" t="s">
        <v>367</v>
      </c>
      <c r="J39" s="13">
        <f>SUBTOTAL(3,J33:J38)</f>
        <v>6</v>
      </c>
      <c r="K39" s="13">
        <f>SUBTOTAL(3,K33:K38)</f>
        <v>6</v>
      </c>
      <c r="V39" s="115"/>
      <c r="W39" s="115"/>
      <c r="X39" s="115"/>
      <c r="Y39" s="115"/>
      <c r="Z39" s="115"/>
      <c r="AA39" s="115"/>
      <c r="AB39" s="115"/>
      <c r="AC39" s="29"/>
      <c r="AD39" s="29"/>
      <c r="AS39" s="127"/>
      <c r="AT39" s="29"/>
      <c r="BD39" s="25"/>
      <c r="BE39" s="13"/>
      <c r="BJ39" s="116"/>
      <c r="BK39" s="123"/>
      <c r="BL39" s="123"/>
      <c r="BM39" s="123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25"/>
      <c r="CC39" s="13"/>
      <c r="CF39" s="114"/>
    </row>
    <row r="40" spans="1:84" ht="20.100000000000001" customHeight="1" x14ac:dyDescent="0.4">
      <c r="A40" s="117"/>
      <c r="B40" s="139"/>
      <c r="C40" s="123"/>
      <c r="D40" s="123"/>
      <c r="J40" s="25">
        <v>46155</v>
      </c>
      <c r="K40" s="13" t="s">
        <v>148</v>
      </c>
      <c r="U40" s="115"/>
      <c r="V40" s="115"/>
      <c r="W40" s="115"/>
      <c r="X40" s="115"/>
      <c r="Y40" s="115"/>
      <c r="Z40" s="115"/>
      <c r="AA40" s="115"/>
      <c r="AB40" s="115"/>
      <c r="AC40" s="127"/>
      <c r="AD40" s="29"/>
      <c r="AS40" s="127"/>
      <c r="AT40" s="29"/>
      <c r="BD40" s="25"/>
      <c r="BE40" s="13"/>
      <c r="BJ40" s="116"/>
      <c r="BK40" s="123"/>
      <c r="BL40" s="123"/>
      <c r="BM40" s="123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25"/>
      <c r="CC40" s="13"/>
      <c r="CF40" s="114"/>
    </row>
    <row r="41" spans="1:84" ht="20.100000000000001" customHeight="1" x14ac:dyDescent="0.4">
      <c r="A41" s="117"/>
      <c r="B41" s="123"/>
      <c r="C41" s="123"/>
      <c r="D41" s="123"/>
      <c r="J41" s="25">
        <v>46155</v>
      </c>
      <c r="K41" s="13" t="s">
        <v>147</v>
      </c>
      <c r="U41" s="115"/>
      <c r="V41" s="115"/>
      <c r="W41" s="115"/>
      <c r="X41" s="115"/>
      <c r="Y41" s="115"/>
      <c r="Z41" s="115"/>
      <c r="AA41" s="115"/>
      <c r="AB41" s="115"/>
      <c r="AC41" s="127"/>
      <c r="AD41" s="29"/>
      <c r="AS41" s="127"/>
      <c r="AT41" s="29"/>
      <c r="BD41" s="25"/>
      <c r="BE41" s="13"/>
      <c r="BJ41" s="116"/>
      <c r="BK41" s="123"/>
      <c r="BL41" s="123"/>
      <c r="BM41" s="123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25"/>
      <c r="CC41" s="13"/>
      <c r="CF41" s="114"/>
    </row>
    <row r="42" spans="1:84" ht="20.100000000000001" customHeight="1" x14ac:dyDescent="0.4">
      <c r="A42" s="117"/>
      <c r="B42" s="123"/>
      <c r="C42" s="123"/>
      <c r="D42" s="123"/>
      <c r="J42" s="25">
        <v>46155</v>
      </c>
      <c r="K42" s="13" t="s">
        <v>147</v>
      </c>
      <c r="U42" s="115"/>
      <c r="V42" s="115"/>
      <c r="W42" s="115"/>
      <c r="X42" s="115"/>
      <c r="Y42" s="115"/>
      <c r="Z42" s="115"/>
      <c r="AA42" s="115"/>
      <c r="AB42" s="115"/>
      <c r="AC42" s="127"/>
      <c r="AD42" s="29"/>
      <c r="AS42" s="127"/>
      <c r="AT42" s="29"/>
      <c r="BD42" s="25"/>
      <c r="BE42" s="13"/>
      <c r="BJ42" s="116"/>
      <c r="BK42" s="123"/>
      <c r="BL42" s="123"/>
      <c r="BM42" s="123"/>
      <c r="BR42" s="115"/>
      <c r="BS42" s="115"/>
      <c r="BT42" s="115"/>
      <c r="BU42" s="115"/>
      <c r="BV42" s="115"/>
      <c r="BW42" s="115"/>
      <c r="BX42" s="115"/>
      <c r="BY42" s="115"/>
      <c r="BZ42" s="115"/>
      <c r="CA42" s="115"/>
      <c r="CB42" s="25"/>
      <c r="CC42" s="13"/>
      <c r="CF42" s="114"/>
    </row>
    <row r="43" spans="1:84" ht="20.100000000000001" customHeight="1" x14ac:dyDescent="0.4">
      <c r="A43" s="117"/>
      <c r="B43" s="123"/>
      <c r="C43" s="123"/>
      <c r="D43" s="123"/>
      <c r="J43" s="25">
        <v>46155</v>
      </c>
      <c r="K43" s="13" t="s">
        <v>148</v>
      </c>
      <c r="U43" s="115"/>
      <c r="V43" s="115"/>
      <c r="W43" s="115"/>
      <c r="X43" s="115"/>
      <c r="Y43" s="115"/>
      <c r="Z43" s="115"/>
      <c r="AA43" s="115"/>
      <c r="AB43" s="115"/>
      <c r="AC43" s="127"/>
      <c r="AD43" s="29"/>
      <c r="AS43" s="127"/>
      <c r="AT43" s="29"/>
      <c r="BD43" s="25"/>
      <c r="BE43" s="13"/>
      <c r="BJ43" s="116"/>
      <c r="BK43" s="123"/>
      <c r="BL43" s="123"/>
      <c r="BM43" s="123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25"/>
      <c r="CC43" s="13"/>
      <c r="CF43" s="114"/>
    </row>
    <row r="44" spans="1:84" ht="20.100000000000001" customHeight="1" x14ac:dyDescent="0.4">
      <c r="A44" s="117"/>
      <c r="B44" s="123"/>
      <c r="C44" s="123"/>
      <c r="D44" s="123"/>
      <c r="J44" s="25">
        <v>46155</v>
      </c>
      <c r="K44" s="133" t="s">
        <v>142</v>
      </c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27"/>
      <c r="AD44" s="29"/>
      <c r="AS44" s="127"/>
      <c r="AT44" s="29"/>
      <c r="BD44" s="25"/>
      <c r="BE44" s="13"/>
      <c r="BJ44" s="116"/>
      <c r="BK44" s="123"/>
      <c r="BL44" s="123"/>
      <c r="BM44" s="123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25"/>
      <c r="CC44" s="13"/>
      <c r="CF44" s="114"/>
    </row>
    <row r="45" spans="1:84" ht="20.100000000000001" customHeight="1" x14ac:dyDescent="0.4">
      <c r="A45" s="117"/>
      <c r="B45" s="123"/>
      <c r="C45" s="123"/>
      <c r="D45" s="123"/>
      <c r="J45" s="25">
        <v>46155</v>
      </c>
      <c r="K45" s="13" t="s">
        <v>147</v>
      </c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29"/>
      <c r="AD45" s="29"/>
      <c r="AS45" s="127"/>
      <c r="AT45" s="29"/>
      <c r="BD45" s="25"/>
      <c r="BE45" s="13"/>
      <c r="BJ45" s="116"/>
      <c r="BK45" s="123"/>
      <c r="BL45" s="123"/>
      <c r="BM45" s="123"/>
      <c r="BR45" s="115"/>
      <c r="BS45" s="115"/>
      <c r="BT45" s="115"/>
      <c r="BU45" s="115"/>
      <c r="BV45" s="115"/>
      <c r="BW45" s="115"/>
      <c r="BX45" s="115"/>
      <c r="BY45" s="115"/>
      <c r="BZ45" s="115"/>
      <c r="CA45" s="115"/>
      <c r="CB45" s="25"/>
      <c r="CC45" s="13"/>
      <c r="CF45" s="114"/>
    </row>
    <row r="46" spans="1:84" ht="20.100000000000001" customHeight="1" x14ac:dyDescent="0.4">
      <c r="A46" s="117"/>
      <c r="B46" s="123"/>
      <c r="C46" s="123"/>
      <c r="D46" s="123"/>
      <c r="J46" s="25">
        <v>46155</v>
      </c>
      <c r="K46" s="13" t="s">
        <v>147</v>
      </c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27"/>
      <c r="AD46" s="29"/>
      <c r="AS46" s="127"/>
      <c r="AT46" s="29"/>
      <c r="BD46" s="25"/>
      <c r="BE46" s="13"/>
      <c r="BJ46" s="116"/>
      <c r="BK46" s="123"/>
      <c r="BL46" s="123"/>
      <c r="BM46" s="123"/>
      <c r="BR46" s="115"/>
      <c r="BS46" s="115"/>
      <c r="BT46" s="115"/>
      <c r="BU46" s="115"/>
      <c r="BV46" s="115"/>
      <c r="BW46" s="115"/>
      <c r="BX46" s="115"/>
      <c r="BY46" s="115"/>
      <c r="BZ46" s="115"/>
      <c r="CA46" s="115"/>
      <c r="CB46" s="25"/>
      <c r="CC46" s="13"/>
      <c r="CF46" s="114"/>
    </row>
    <row r="47" spans="1:84" ht="20.100000000000001" customHeight="1" x14ac:dyDescent="0.4">
      <c r="A47" s="117"/>
      <c r="B47" s="123"/>
      <c r="C47" s="123"/>
      <c r="D47" s="123"/>
      <c r="J47" s="25">
        <v>46155</v>
      </c>
      <c r="K47" s="13" t="s">
        <v>147</v>
      </c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27"/>
      <c r="AD47" s="29"/>
      <c r="AS47" s="127"/>
      <c r="AT47" s="29"/>
      <c r="BD47" s="25"/>
      <c r="BE47" s="13"/>
      <c r="BJ47" s="116"/>
      <c r="BK47" s="123"/>
      <c r="BL47" s="123"/>
      <c r="BM47" s="123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25"/>
      <c r="CC47" s="13"/>
      <c r="CF47" s="114"/>
    </row>
    <row r="48" spans="1:84" ht="20.100000000000001" customHeight="1" x14ac:dyDescent="0.4">
      <c r="A48" s="117"/>
      <c r="B48" s="123"/>
      <c r="C48" s="123"/>
      <c r="D48" s="123"/>
      <c r="J48" s="25">
        <v>46155</v>
      </c>
      <c r="K48" s="13" t="s">
        <v>146</v>
      </c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29"/>
      <c r="AD48" s="29"/>
      <c r="AS48" s="127"/>
      <c r="AT48" s="29"/>
      <c r="BD48" s="25"/>
      <c r="BE48" s="13"/>
      <c r="BJ48" s="116"/>
      <c r="BK48" s="123"/>
      <c r="BL48" s="123"/>
      <c r="BM48" s="123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25"/>
      <c r="CC48" s="13"/>
      <c r="CF48" s="114"/>
    </row>
    <row r="49" spans="1:84" ht="20.100000000000001" customHeight="1" x14ac:dyDescent="0.4">
      <c r="A49" s="117"/>
      <c r="B49" s="123"/>
      <c r="C49" s="123"/>
      <c r="D49" s="123"/>
      <c r="J49" s="25">
        <v>46155</v>
      </c>
      <c r="K49" s="13" t="s">
        <v>148</v>
      </c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27"/>
      <c r="AD49" s="29"/>
      <c r="AS49" s="127"/>
      <c r="AT49" s="29"/>
      <c r="BD49" s="25"/>
      <c r="BE49" s="13"/>
      <c r="BJ49" s="116"/>
      <c r="BK49" s="123"/>
      <c r="BL49" s="123"/>
      <c r="BM49" s="123"/>
      <c r="BR49" s="115"/>
      <c r="BS49" s="115"/>
      <c r="BT49" s="115"/>
      <c r="BU49" s="115"/>
      <c r="BV49" s="115"/>
      <c r="BW49" s="115"/>
      <c r="BX49" s="115"/>
      <c r="BY49" s="115"/>
      <c r="BZ49" s="115"/>
      <c r="CA49" s="115"/>
      <c r="CB49" s="25"/>
      <c r="CC49" s="13"/>
      <c r="CF49" s="114"/>
    </row>
    <row r="50" spans="1:84" ht="20.100000000000001" customHeight="1" x14ac:dyDescent="0.4">
      <c r="A50" s="117"/>
      <c r="B50" s="123"/>
      <c r="C50" s="123"/>
      <c r="D50" s="123"/>
      <c r="H50" s="115"/>
      <c r="I50" s="115"/>
      <c r="J50" s="25">
        <v>46155</v>
      </c>
      <c r="K50" s="13" t="s">
        <v>147</v>
      </c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27"/>
      <c r="AD50" s="29"/>
      <c r="AS50" s="127"/>
      <c r="AT50" s="29"/>
      <c r="BD50" s="25"/>
      <c r="BE50" s="13"/>
      <c r="BJ50" s="116"/>
      <c r="BK50" s="123"/>
      <c r="BL50" s="123"/>
      <c r="BM50" s="123"/>
      <c r="BR50" s="115"/>
      <c r="BS50" s="115"/>
      <c r="BT50" s="115"/>
      <c r="BU50" s="115"/>
      <c r="BV50" s="115"/>
      <c r="BW50" s="115"/>
      <c r="BX50" s="115"/>
      <c r="BY50" s="115"/>
      <c r="BZ50" s="115"/>
      <c r="CA50" s="115"/>
      <c r="CB50" s="25"/>
      <c r="CC50" s="13"/>
      <c r="CF50" s="114"/>
    </row>
    <row r="51" spans="1:84" ht="20.100000000000001" customHeight="1" x14ac:dyDescent="0.4">
      <c r="A51" s="117"/>
      <c r="B51" s="123"/>
      <c r="C51" s="123"/>
      <c r="D51" s="123"/>
      <c r="J51" s="25">
        <v>46155</v>
      </c>
      <c r="K51" s="15" t="s">
        <v>147</v>
      </c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27"/>
      <c r="AD51" s="29"/>
      <c r="AS51" s="127"/>
      <c r="AT51" s="29"/>
      <c r="BD51" s="25"/>
      <c r="BE51" s="13"/>
      <c r="BJ51" s="116"/>
      <c r="BK51" s="123"/>
      <c r="BL51" s="123"/>
      <c r="BM51" s="123"/>
      <c r="BR51" s="115"/>
      <c r="BS51" s="115"/>
      <c r="BT51" s="115"/>
      <c r="BU51" s="115"/>
      <c r="BV51" s="115"/>
      <c r="BW51" s="115"/>
      <c r="BX51" s="115"/>
      <c r="BY51" s="115"/>
      <c r="BZ51" s="115"/>
      <c r="CA51" s="115"/>
      <c r="CB51" s="25"/>
      <c r="CC51" s="13"/>
      <c r="CF51" s="114"/>
    </row>
    <row r="52" spans="1:84" ht="20.100000000000001" customHeight="1" x14ac:dyDescent="0.4">
      <c r="A52" s="117"/>
      <c r="B52" s="123"/>
      <c r="C52" s="123"/>
      <c r="D52" s="123"/>
      <c r="J52" s="25">
        <v>46155</v>
      </c>
      <c r="K52" s="132" t="s">
        <v>147</v>
      </c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27"/>
      <c r="AD52" s="29"/>
      <c r="AS52" s="127"/>
      <c r="AT52" s="29"/>
      <c r="BD52" s="25"/>
      <c r="BE52" s="13"/>
      <c r="BJ52" s="116"/>
      <c r="BK52" s="123"/>
      <c r="BL52" s="123"/>
      <c r="BM52" s="123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25"/>
      <c r="CC52" s="13"/>
      <c r="CF52" s="114"/>
    </row>
    <row r="53" spans="1:84" ht="20.100000000000001" customHeight="1" x14ac:dyDescent="0.4">
      <c r="A53" s="117"/>
      <c r="B53" s="123"/>
      <c r="C53" s="123"/>
      <c r="D53" s="123"/>
      <c r="J53" s="25">
        <v>46155</v>
      </c>
      <c r="K53" s="15" t="s">
        <v>147</v>
      </c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29"/>
      <c r="AD53" s="29"/>
      <c r="AS53" s="127"/>
      <c r="AT53" s="29"/>
      <c r="BD53" s="25"/>
      <c r="BE53" s="13"/>
      <c r="BJ53" s="116"/>
      <c r="BK53" s="123"/>
      <c r="BL53" s="123"/>
      <c r="BM53" s="123"/>
      <c r="BR53" s="115"/>
      <c r="BS53" s="115"/>
      <c r="BT53" s="115"/>
      <c r="BU53" s="115"/>
      <c r="BV53" s="115"/>
      <c r="BW53" s="115"/>
      <c r="BX53" s="115"/>
      <c r="BY53" s="115"/>
      <c r="BZ53" s="115"/>
      <c r="CA53" s="115"/>
      <c r="CB53" s="25"/>
      <c r="CC53" s="13"/>
      <c r="CF53" s="114"/>
    </row>
    <row r="54" spans="1:84" ht="20.100000000000001" customHeight="1" x14ac:dyDescent="0.4">
      <c r="A54" s="117"/>
      <c r="B54" s="123"/>
      <c r="C54" s="123"/>
      <c r="D54" s="123"/>
      <c r="J54" s="25">
        <v>46155</v>
      </c>
      <c r="K54" s="15" t="s">
        <v>147</v>
      </c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27"/>
      <c r="AD54" s="29"/>
      <c r="AS54" s="127"/>
      <c r="AT54" s="29"/>
      <c r="BD54" s="25"/>
      <c r="BE54" s="13"/>
      <c r="BJ54" s="116"/>
      <c r="BK54" s="123"/>
      <c r="BL54" s="123"/>
      <c r="BM54" s="123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25"/>
      <c r="CC54" s="13"/>
      <c r="CF54" s="114"/>
    </row>
    <row r="55" spans="1:84" ht="20.100000000000001" customHeight="1" x14ac:dyDescent="0.4">
      <c r="A55" s="117"/>
      <c r="B55" s="123"/>
      <c r="C55" s="123"/>
      <c r="D55" s="123"/>
      <c r="I55" s="115" t="s">
        <v>197</v>
      </c>
      <c r="J55" s="20">
        <f>SUBTOTAL(3,J40:J54)</f>
        <v>15</v>
      </c>
      <c r="K55" s="15">
        <f>SUBTOTAL(3,K40:K54)</f>
        <v>15</v>
      </c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27"/>
      <c r="AD55" s="29"/>
      <c r="AS55" s="127"/>
      <c r="AT55" s="29"/>
      <c r="BD55" s="25"/>
      <c r="BE55" s="13"/>
      <c r="BJ55" s="116"/>
      <c r="BK55" s="123"/>
      <c r="BL55" s="123"/>
      <c r="BM55" s="123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25"/>
      <c r="CC55" s="13"/>
      <c r="CF55" s="114"/>
    </row>
    <row r="56" spans="1:84" ht="20.100000000000001" customHeight="1" x14ac:dyDescent="0.4">
      <c r="A56" s="117"/>
      <c r="B56" s="123"/>
      <c r="C56" s="123"/>
      <c r="D56" s="123"/>
      <c r="J56" s="26">
        <v>46158</v>
      </c>
      <c r="K56" s="15" t="s">
        <v>147</v>
      </c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27"/>
      <c r="AD56" s="29"/>
      <c r="AS56" s="127"/>
      <c r="AT56" s="29"/>
      <c r="BD56" s="25"/>
      <c r="BE56" s="13"/>
      <c r="BJ56" s="116"/>
      <c r="BK56" s="123"/>
      <c r="BL56" s="123"/>
      <c r="BM56" s="123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25"/>
      <c r="CC56" s="13"/>
      <c r="CF56" s="114"/>
    </row>
    <row r="57" spans="1:84" ht="20.100000000000001" customHeight="1" x14ac:dyDescent="0.4">
      <c r="A57" s="117"/>
      <c r="B57" s="123"/>
      <c r="C57" s="123"/>
      <c r="D57" s="123"/>
      <c r="J57" s="26">
        <v>46158</v>
      </c>
      <c r="K57" s="15" t="s">
        <v>147</v>
      </c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27"/>
      <c r="AD57" s="29"/>
      <c r="AS57" s="127"/>
      <c r="AT57" s="29"/>
      <c r="BD57" s="25"/>
      <c r="BE57" s="13"/>
      <c r="BJ57" s="116"/>
      <c r="BK57" s="123"/>
      <c r="BL57" s="123"/>
      <c r="BM57" s="123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25"/>
      <c r="CC57" s="13"/>
      <c r="CF57" s="114"/>
    </row>
    <row r="58" spans="1:84" ht="20.100000000000001" customHeight="1" x14ac:dyDescent="0.4">
      <c r="A58" s="117"/>
      <c r="B58" s="123"/>
      <c r="C58" s="123"/>
      <c r="D58" s="123"/>
      <c r="J58" s="26">
        <v>46158</v>
      </c>
      <c r="K58" s="15" t="s">
        <v>147</v>
      </c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29"/>
      <c r="AD58" s="29"/>
      <c r="AS58" s="127"/>
      <c r="AT58" s="29"/>
      <c r="BD58" s="25"/>
      <c r="BE58" s="13"/>
      <c r="BJ58" s="116"/>
      <c r="BK58" s="123"/>
      <c r="BL58" s="123"/>
      <c r="BM58" s="123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25"/>
      <c r="CC58" s="13"/>
      <c r="CF58" s="114"/>
    </row>
    <row r="59" spans="1:84" ht="20.100000000000001" customHeight="1" x14ac:dyDescent="0.4">
      <c r="A59" s="117"/>
      <c r="B59" s="123"/>
      <c r="C59" s="123"/>
      <c r="D59" s="123"/>
      <c r="J59" s="25">
        <v>46158</v>
      </c>
      <c r="K59" s="13" t="s">
        <v>146</v>
      </c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27"/>
      <c r="AD59" s="29"/>
      <c r="AS59" s="127"/>
      <c r="AT59" s="29"/>
      <c r="BD59" s="25"/>
      <c r="BE59" s="13"/>
      <c r="BJ59" s="116"/>
      <c r="BK59" s="123"/>
      <c r="BL59" s="123"/>
      <c r="BM59" s="123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25"/>
      <c r="CC59" s="13"/>
      <c r="CF59" s="114"/>
    </row>
    <row r="60" spans="1:84" ht="20.100000000000001" customHeight="1" x14ac:dyDescent="0.4">
      <c r="A60" s="117"/>
      <c r="B60" s="123"/>
      <c r="C60" s="123"/>
      <c r="D60" s="123"/>
      <c r="H60" s="115"/>
      <c r="I60" s="115"/>
      <c r="J60" s="25">
        <v>46158</v>
      </c>
      <c r="K60" s="13" t="s">
        <v>146</v>
      </c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27"/>
      <c r="AD60" s="29"/>
      <c r="AS60" s="127"/>
      <c r="AT60" s="29"/>
      <c r="BD60" s="25"/>
      <c r="BE60" s="13"/>
      <c r="BJ60" s="116"/>
      <c r="BK60" s="123"/>
      <c r="BL60" s="123"/>
      <c r="BM60" s="123"/>
      <c r="BR60" s="115"/>
      <c r="BS60" s="115"/>
      <c r="BT60" s="115"/>
      <c r="BU60" s="115"/>
      <c r="BV60" s="115"/>
      <c r="BW60" s="115"/>
      <c r="BX60" s="115"/>
      <c r="BY60" s="115"/>
      <c r="BZ60" s="115"/>
      <c r="CA60" s="115"/>
      <c r="CB60" s="25"/>
      <c r="CC60" s="13"/>
      <c r="CF60" s="114"/>
    </row>
    <row r="61" spans="1:84" ht="20.100000000000001" customHeight="1" x14ac:dyDescent="0.4">
      <c r="A61" s="117"/>
      <c r="B61" s="123"/>
      <c r="C61" s="123"/>
      <c r="D61" s="123"/>
      <c r="J61" s="25">
        <v>46158</v>
      </c>
      <c r="K61" s="13" t="s">
        <v>146</v>
      </c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27"/>
      <c r="AD61" s="29"/>
      <c r="AS61" s="127"/>
      <c r="AT61" s="29"/>
      <c r="BD61" s="25"/>
      <c r="BE61" s="13"/>
      <c r="BJ61" s="116"/>
      <c r="BK61" s="123"/>
      <c r="BL61" s="123"/>
      <c r="BM61" s="123"/>
      <c r="BR61" s="115"/>
      <c r="BS61" s="115"/>
      <c r="BT61" s="115"/>
      <c r="BU61" s="115"/>
      <c r="BV61" s="115"/>
      <c r="BW61" s="115"/>
      <c r="BX61" s="115"/>
      <c r="BY61" s="115"/>
      <c r="BZ61" s="115"/>
      <c r="CA61" s="115"/>
      <c r="CB61" s="25"/>
      <c r="CC61" s="13"/>
      <c r="CF61" s="114"/>
    </row>
    <row r="62" spans="1:84" ht="20.100000000000001" customHeight="1" x14ac:dyDescent="0.4">
      <c r="A62" s="117"/>
      <c r="B62" s="123"/>
      <c r="C62" s="123"/>
      <c r="D62" s="123"/>
      <c r="H62" s="115"/>
      <c r="I62" s="115"/>
      <c r="J62" s="25">
        <v>46158</v>
      </c>
      <c r="K62" s="13" t="s">
        <v>147</v>
      </c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27"/>
      <c r="AD62" s="29"/>
      <c r="AS62" s="127"/>
      <c r="AT62" s="29"/>
      <c r="BD62" s="25"/>
      <c r="BE62" s="13"/>
      <c r="BJ62" s="116"/>
      <c r="BK62" s="123"/>
      <c r="BL62" s="123"/>
      <c r="BM62" s="123"/>
      <c r="BR62" s="115"/>
      <c r="BS62" s="115"/>
      <c r="BT62" s="115"/>
      <c r="BU62" s="115"/>
      <c r="BV62" s="115"/>
      <c r="BW62" s="115"/>
      <c r="BX62" s="115"/>
      <c r="BY62" s="115"/>
      <c r="BZ62" s="115"/>
      <c r="CA62" s="115"/>
      <c r="CB62" s="25"/>
      <c r="CC62" s="13"/>
      <c r="CF62" s="114"/>
    </row>
    <row r="63" spans="1:84" ht="20.100000000000001" customHeight="1" x14ac:dyDescent="0.4">
      <c r="A63" s="117"/>
      <c r="B63" s="123"/>
      <c r="C63" s="123"/>
      <c r="D63" s="123"/>
      <c r="J63" s="25">
        <v>46158</v>
      </c>
      <c r="K63" s="13" t="s">
        <v>147</v>
      </c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27"/>
      <c r="AD63" s="29"/>
      <c r="AS63" s="127"/>
      <c r="AT63" s="29"/>
      <c r="BD63" s="25"/>
      <c r="BE63" s="13"/>
      <c r="BJ63" s="116"/>
      <c r="BK63" s="123"/>
      <c r="BL63" s="123"/>
      <c r="BM63" s="123"/>
      <c r="BR63" s="115"/>
      <c r="BS63" s="115"/>
      <c r="BT63" s="115"/>
      <c r="BU63" s="115"/>
      <c r="BV63" s="115"/>
      <c r="BW63" s="115"/>
      <c r="BX63" s="115"/>
      <c r="BY63" s="115"/>
      <c r="BZ63" s="115"/>
      <c r="CA63" s="115"/>
      <c r="CB63" s="25"/>
      <c r="CC63" s="13"/>
      <c r="CF63" s="114"/>
    </row>
    <row r="64" spans="1:84" ht="20.100000000000001" customHeight="1" x14ac:dyDescent="0.4">
      <c r="A64" s="117"/>
      <c r="B64" s="123"/>
      <c r="C64" s="123"/>
      <c r="D64" s="123"/>
      <c r="J64" s="25">
        <v>46158</v>
      </c>
      <c r="K64" s="13" t="s">
        <v>147</v>
      </c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29"/>
      <c r="AD64" s="29"/>
      <c r="AS64" s="127"/>
      <c r="AT64" s="29"/>
      <c r="BD64" s="25"/>
      <c r="BE64" s="13"/>
      <c r="BJ64" s="116"/>
      <c r="BK64" s="123"/>
      <c r="BL64" s="123"/>
      <c r="BM64" s="123"/>
      <c r="BR64" s="115"/>
      <c r="BS64" s="115"/>
      <c r="BT64" s="115"/>
      <c r="BU64" s="115"/>
      <c r="BV64" s="115"/>
      <c r="BW64" s="115"/>
      <c r="BX64" s="115"/>
      <c r="BY64" s="115"/>
      <c r="BZ64" s="115"/>
      <c r="CA64" s="115"/>
      <c r="CB64" s="25"/>
      <c r="CC64" s="13"/>
      <c r="CF64" s="114"/>
    </row>
    <row r="65" spans="1:84" ht="20.100000000000001" customHeight="1" x14ac:dyDescent="0.4">
      <c r="A65" s="117"/>
      <c r="B65" s="123"/>
      <c r="C65" s="123"/>
      <c r="D65" s="123"/>
      <c r="J65" s="25">
        <v>46158</v>
      </c>
      <c r="K65" s="13" t="s">
        <v>147</v>
      </c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27"/>
      <c r="AD65" s="29"/>
      <c r="AS65" s="127"/>
      <c r="AT65" s="29"/>
      <c r="BD65" s="25"/>
      <c r="BE65" s="13"/>
      <c r="BJ65" s="116"/>
      <c r="BK65" s="123"/>
      <c r="BL65" s="123"/>
      <c r="BM65" s="123"/>
      <c r="BR65" s="115"/>
      <c r="BS65" s="115"/>
      <c r="BT65" s="115"/>
      <c r="BU65" s="115"/>
      <c r="BV65" s="115"/>
      <c r="BW65" s="115"/>
      <c r="BX65" s="115"/>
      <c r="BY65" s="115"/>
      <c r="BZ65" s="115"/>
      <c r="CA65" s="115"/>
      <c r="CB65" s="25"/>
      <c r="CC65" s="13"/>
      <c r="CF65" s="114"/>
    </row>
    <row r="66" spans="1:84" ht="20.100000000000001" customHeight="1" x14ac:dyDescent="0.4">
      <c r="A66" s="117"/>
      <c r="B66" s="123"/>
      <c r="C66" s="123"/>
      <c r="D66" s="123"/>
      <c r="J66" s="25">
        <v>46158</v>
      </c>
      <c r="K66" s="13" t="s">
        <v>147</v>
      </c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27"/>
      <c r="AD66" s="29"/>
      <c r="AS66" s="127"/>
      <c r="AT66" s="29"/>
      <c r="BD66" s="25"/>
      <c r="BE66" s="13"/>
      <c r="BJ66" s="116"/>
      <c r="BK66" s="123"/>
      <c r="BL66" s="123"/>
      <c r="BM66" s="123"/>
      <c r="BR66" s="115"/>
      <c r="BS66" s="115"/>
      <c r="BT66" s="115"/>
      <c r="BU66" s="115"/>
      <c r="BV66" s="115"/>
      <c r="BW66" s="115"/>
      <c r="BX66" s="115"/>
      <c r="BY66" s="115"/>
      <c r="BZ66" s="115"/>
      <c r="CA66" s="115"/>
      <c r="CB66" s="25"/>
      <c r="CC66" s="13"/>
      <c r="CF66" s="114"/>
    </row>
    <row r="67" spans="1:84" ht="20.100000000000001" customHeight="1" x14ac:dyDescent="0.4">
      <c r="A67" s="117"/>
      <c r="B67" s="123"/>
      <c r="C67" s="123"/>
      <c r="D67" s="123"/>
      <c r="J67" s="25">
        <v>46158</v>
      </c>
      <c r="K67" s="13" t="s">
        <v>146</v>
      </c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27"/>
      <c r="AD67" s="29"/>
      <c r="AS67" s="127"/>
      <c r="AT67" s="29"/>
      <c r="BD67" s="25"/>
      <c r="BE67" s="13"/>
      <c r="BJ67" s="116"/>
      <c r="BK67" s="123"/>
      <c r="BL67" s="123"/>
      <c r="BM67" s="123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25"/>
      <c r="CC67" s="13"/>
      <c r="CF67" s="114"/>
    </row>
    <row r="68" spans="1:84" ht="20.100000000000001" customHeight="1" x14ac:dyDescent="0.4">
      <c r="A68" s="117"/>
      <c r="B68" s="123"/>
      <c r="C68" s="123"/>
      <c r="D68" s="123"/>
      <c r="J68" s="25">
        <v>46158</v>
      </c>
      <c r="K68" s="13" t="s">
        <v>147</v>
      </c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27"/>
      <c r="AD68" s="29"/>
      <c r="AS68" s="127"/>
      <c r="AT68" s="29"/>
      <c r="BD68" s="25"/>
      <c r="BE68" s="13"/>
      <c r="BJ68" s="116"/>
      <c r="BK68" s="123"/>
      <c r="BL68" s="123"/>
      <c r="BM68" s="123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25"/>
      <c r="CC68" s="13"/>
      <c r="CF68" s="114"/>
    </row>
    <row r="69" spans="1:84" ht="20.100000000000001" customHeight="1" x14ac:dyDescent="0.4">
      <c r="A69" s="117"/>
      <c r="B69" s="123"/>
      <c r="C69" s="123"/>
      <c r="D69" s="123"/>
      <c r="J69" s="25">
        <v>46158</v>
      </c>
      <c r="K69" s="13" t="s">
        <v>146</v>
      </c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29"/>
      <c r="AD69" s="29"/>
      <c r="AS69" s="127"/>
      <c r="AT69" s="29"/>
      <c r="BD69" s="25"/>
      <c r="BE69" s="13"/>
      <c r="BJ69" s="116"/>
      <c r="BK69" s="123"/>
      <c r="BL69" s="123"/>
      <c r="BM69" s="123"/>
      <c r="BR69" s="115"/>
      <c r="BS69" s="115"/>
      <c r="BT69" s="115"/>
      <c r="BU69" s="115"/>
      <c r="BV69" s="115"/>
      <c r="BW69" s="115"/>
      <c r="BX69" s="115"/>
      <c r="BY69" s="115"/>
      <c r="BZ69" s="115"/>
      <c r="CA69" s="115"/>
      <c r="CB69" s="25"/>
      <c r="CC69" s="13"/>
      <c r="CF69" s="114"/>
    </row>
    <row r="70" spans="1:84" ht="20.100000000000001" customHeight="1" x14ac:dyDescent="0.4">
      <c r="A70" s="117"/>
      <c r="B70" s="123"/>
      <c r="C70" s="123"/>
      <c r="D70" s="123"/>
      <c r="J70" s="25">
        <v>46158</v>
      </c>
      <c r="K70" s="13" t="s">
        <v>146</v>
      </c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27"/>
      <c r="AD70" s="29"/>
      <c r="AS70" s="127"/>
      <c r="AT70" s="29"/>
      <c r="BD70" s="25"/>
      <c r="BE70" s="13"/>
      <c r="BJ70" s="116"/>
      <c r="BK70" s="123"/>
      <c r="BL70" s="123"/>
      <c r="BM70" s="123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25"/>
      <c r="CC70" s="13"/>
      <c r="CF70" s="114"/>
    </row>
    <row r="71" spans="1:84" ht="20.100000000000001" customHeight="1" x14ac:dyDescent="0.4">
      <c r="A71" s="117"/>
      <c r="B71" s="123"/>
      <c r="C71" s="123"/>
      <c r="D71" s="123"/>
      <c r="H71" s="115"/>
      <c r="I71" s="115"/>
      <c r="J71" s="25">
        <v>46158</v>
      </c>
      <c r="K71" s="13" t="s">
        <v>148</v>
      </c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27"/>
      <c r="AD71" s="29"/>
      <c r="AS71" s="127"/>
      <c r="AT71" s="29"/>
      <c r="BD71" s="25"/>
      <c r="BE71" s="13"/>
      <c r="BJ71" s="116"/>
      <c r="BK71" s="123"/>
      <c r="BL71" s="123"/>
      <c r="BM71" s="123"/>
      <c r="BR71" s="115"/>
      <c r="BS71" s="115"/>
      <c r="BT71" s="115"/>
      <c r="BU71" s="115"/>
      <c r="BV71" s="115"/>
      <c r="BW71" s="115"/>
      <c r="BX71" s="115"/>
      <c r="BY71" s="115"/>
      <c r="BZ71" s="115"/>
      <c r="CA71" s="115"/>
      <c r="CB71" s="25"/>
      <c r="CC71" s="13"/>
      <c r="CF71" s="114"/>
    </row>
    <row r="72" spans="1:84" ht="20.100000000000001" customHeight="1" x14ac:dyDescent="0.4">
      <c r="A72" s="117"/>
      <c r="B72" s="123"/>
      <c r="C72" s="123"/>
      <c r="D72" s="123"/>
      <c r="J72" s="25">
        <v>46158</v>
      </c>
      <c r="K72" s="13" t="s">
        <v>147</v>
      </c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27"/>
      <c r="AD72" s="29"/>
      <c r="AS72" s="127"/>
      <c r="AT72" s="29"/>
      <c r="BD72" s="25"/>
      <c r="BE72" s="13"/>
      <c r="BJ72" s="116"/>
      <c r="BK72" s="123"/>
      <c r="BL72" s="123"/>
      <c r="BM72" s="123"/>
      <c r="BR72" s="115"/>
      <c r="BS72" s="115"/>
      <c r="BT72" s="115"/>
      <c r="BU72" s="115"/>
      <c r="BV72" s="115"/>
      <c r="BW72" s="115"/>
      <c r="BX72" s="115"/>
      <c r="BY72" s="115"/>
      <c r="BZ72" s="115"/>
      <c r="CA72" s="115"/>
      <c r="CB72" s="25"/>
      <c r="CC72" s="13"/>
      <c r="CF72" s="114"/>
    </row>
    <row r="73" spans="1:84" ht="20.100000000000001" customHeight="1" x14ac:dyDescent="0.4">
      <c r="A73" s="117"/>
      <c r="B73" s="123"/>
      <c r="C73" s="123"/>
      <c r="D73" s="123"/>
      <c r="J73" s="25">
        <v>46158</v>
      </c>
      <c r="K73" s="13" t="s">
        <v>147</v>
      </c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27"/>
      <c r="AD73" s="29"/>
      <c r="AS73" s="127"/>
      <c r="AT73" s="29"/>
      <c r="BD73" s="25"/>
      <c r="BE73" s="13"/>
      <c r="BJ73" s="116"/>
      <c r="BK73" s="123"/>
      <c r="BL73" s="123"/>
      <c r="BM73" s="123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25"/>
      <c r="CC73" s="13"/>
      <c r="CF73" s="114"/>
    </row>
    <row r="74" spans="1:84" ht="20.100000000000001" customHeight="1" x14ac:dyDescent="0.4">
      <c r="A74" s="117"/>
      <c r="B74" s="123"/>
      <c r="C74" s="123"/>
      <c r="D74" s="123"/>
      <c r="J74" s="25">
        <v>46158</v>
      </c>
      <c r="K74" s="13" t="s">
        <v>147</v>
      </c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27"/>
      <c r="AD74" s="29"/>
      <c r="AS74" s="127"/>
      <c r="AT74" s="29"/>
      <c r="BD74" s="25"/>
      <c r="BE74" s="13"/>
      <c r="BJ74" s="116"/>
      <c r="BK74" s="123"/>
      <c r="BL74" s="123"/>
      <c r="BM74" s="123"/>
      <c r="BR74" s="115"/>
      <c r="BS74" s="115"/>
      <c r="BT74" s="115"/>
      <c r="BU74" s="115"/>
      <c r="BV74" s="115"/>
      <c r="BW74" s="115"/>
      <c r="BX74" s="115"/>
      <c r="BY74" s="115"/>
      <c r="BZ74" s="115"/>
      <c r="CA74" s="115"/>
      <c r="CB74" s="25"/>
      <c r="CC74" s="13"/>
      <c r="CF74" s="114"/>
    </row>
    <row r="75" spans="1:84" ht="20.100000000000001" customHeight="1" x14ac:dyDescent="0.4">
      <c r="A75" s="117"/>
      <c r="B75" s="123"/>
      <c r="C75" s="123"/>
      <c r="D75" s="123"/>
      <c r="J75" s="25">
        <v>46158</v>
      </c>
      <c r="K75" s="13" t="s">
        <v>147</v>
      </c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27"/>
      <c r="AD75" s="29"/>
      <c r="AS75" s="127"/>
      <c r="AT75" s="29"/>
      <c r="BD75" s="25"/>
      <c r="BE75" s="13"/>
      <c r="BJ75" s="116"/>
      <c r="BK75" s="123"/>
      <c r="BL75" s="123"/>
      <c r="BM75" s="123"/>
      <c r="BR75" s="115"/>
      <c r="BS75" s="115"/>
      <c r="BT75" s="115"/>
      <c r="BU75" s="115"/>
      <c r="BV75" s="115"/>
      <c r="BW75" s="115"/>
      <c r="BX75" s="115"/>
      <c r="BY75" s="115"/>
      <c r="BZ75" s="115"/>
      <c r="CA75" s="115"/>
      <c r="CB75" s="25"/>
      <c r="CC75" s="13"/>
      <c r="CF75" s="114"/>
    </row>
    <row r="76" spans="1:84" ht="20.100000000000001" customHeight="1" x14ac:dyDescent="0.4">
      <c r="A76" s="117"/>
      <c r="B76" s="123"/>
      <c r="C76" s="123"/>
      <c r="D76" s="123"/>
      <c r="J76" s="25">
        <v>46158</v>
      </c>
      <c r="K76" s="13" t="s">
        <v>147</v>
      </c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29"/>
      <c r="AD76" s="29"/>
      <c r="AS76" s="127"/>
      <c r="AT76" s="29"/>
      <c r="BD76" s="25"/>
      <c r="BE76" s="13"/>
      <c r="BJ76" s="116"/>
      <c r="BK76" s="123"/>
      <c r="BL76" s="123"/>
      <c r="BM76" s="123"/>
      <c r="BR76" s="115"/>
      <c r="BS76" s="115"/>
      <c r="BT76" s="115"/>
      <c r="BU76" s="115"/>
      <c r="BV76" s="115"/>
      <c r="BW76" s="115"/>
      <c r="BX76" s="115"/>
      <c r="BY76" s="115"/>
      <c r="BZ76" s="115"/>
      <c r="CA76" s="115"/>
      <c r="CB76" s="25"/>
      <c r="CC76" s="13"/>
      <c r="CF76" s="114"/>
    </row>
    <row r="77" spans="1:84" ht="20.100000000000001" customHeight="1" x14ac:dyDescent="0.4">
      <c r="A77" s="117"/>
      <c r="B77" s="123"/>
      <c r="C77" s="123"/>
      <c r="D77" s="123"/>
      <c r="J77" s="25">
        <v>46158</v>
      </c>
      <c r="K77" s="13" t="s">
        <v>147</v>
      </c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27"/>
      <c r="AD77" s="134"/>
      <c r="AS77" s="127"/>
      <c r="AT77" s="29"/>
      <c r="BD77" s="25"/>
      <c r="BE77" s="13"/>
      <c r="BJ77" s="116"/>
      <c r="BK77" s="123"/>
      <c r="BL77" s="123"/>
      <c r="BM77" s="123"/>
      <c r="BR77" s="115"/>
      <c r="BS77" s="115"/>
      <c r="BT77" s="115"/>
      <c r="BU77" s="115"/>
      <c r="BV77" s="115"/>
      <c r="BW77" s="115"/>
      <c r="BX77" s="115"/>
      <c r="BY77" s="115"/>
      <c r="BZ77" s="115"/>
      <c r="CA77" s="115"/>
      <c r="CB77" s="25"/>
      <c r="CC77" s="13"/>
      <c r="CF77" s="114"/>
    </row>
    <row r="78" spans="1:84" ht="20.100000000000001" customHeight="1" x14ac:dyDescent="0.4">
      <c r="A78" s="117"/>
      <c r="B78" s="123"/>
      <c r="C78" s="123"/>
      <c r="D78" s="123"/>
      <c r="J78" s="25">
        <v>46158</v>
      </c>
      <c r="K78" s="13" t="s">
        <v>147</v>
      </c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29"/>
      <c r="AD78" s="29"/>
      <c r="AS78" s="127"/>
      <c r="AT78" s="29"/>
      <c r="BD78" s="25"/>
      <c r="BE78" s="13"/>
      <c r="BJ78" s="116"/>
      <c r="BK78" s="123"/>
      <c r="BL78" s="123"/>
      <c r="BM78" s="123"/>
      <c r="BR78" s="115"/>
      <c r="BS78" s="115"/>
      <c r="BT78" s="115"/>
      <c r="BU78" s="115"/>
      <c r="BV78" s="115"/>
      <c r="BW78" s="115"/>
      <c r="BX78" s="115"/>
      <c r="BY78" s="115"/>
      <c r="BZ78" s="115"/>
      <c r="CA78" s="115"/>
      <c r="CB78" s="25"/>
      <c r="CC78" s="13"/>
      <c r="CF78" s="114"/>
    </row>
    <row r="79" spans="1:84" ht="20.100000000000001" customHeight="1" x14ac:dyDescent="0.4">
      <c r="A79" s="117"/>
      <c r="B79" s="123"/>
      <c r="C79" s="123"/>
      <c r="D79" s="123"/>
      <c r="I79" s="115" t="s">
        <v>198</v>
      </c>
      <c r="J79" s="13">
        <f>SUBTOTAL(3,J56:J78)</f>
        <v>23</v>
      </c>
      <c r="K79" s="13">
        <f>SUBTOTAL(3,K56:K78)</f>
        <v>23</v>
      </c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29"/>
      <c r="AD79" s="29"/>
      <c r="AS79" s="127"/>
      <c r="AT79" s="29"/>
      <c r="BD79" s="25"/>
      <c r="BE79" s="13"/>
      <c r="BJ79" s="116"/>
      <c r="BK79" s="123"/>
      <c r="BL79" s="123"/>
      <c r="BM79" s="123"/>
      <c r="BR79" s="115"/>
      <c r="BS79" s="115"/>
      <c r="BT79" s="115"/>
      <c r="BU79" s="115"/>
      <c r="BV79" s="115"/>
      <c r="BW79" s="115"/>
      <c r="BX79" s="115"/>
      <c r="BY79" s="115"/>
      <c r="BZ79" s="115"/>
      <c r="CA79" s="115"/>
      <c r="CB79" s="25"/>
      <c r="CC79" s="13"/>
      <c r="CF79" s="114"/>
    </row>
    <row r="80" spans="1:84" ht="20.100000000000001" customHeight="1" x14ac:dyDescent="0.4">
      <c r="A80" s="117"/>
      <c r="B80" s="123"/>
      <c r="C80" s="123"/>
      <c r="D80" s="123"/>
      <c r="J80" s="25">
        <v>46159</v>
      </c>
      <c r="K80" s="13" t="s">
        <v>146</v>
      </c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27"/>
      <c r="AD80" s="29"/>
      <c r="AS80" s="127"/>
      <c r="AT80" s="29"/>
      <c r="BD80" s="25"/>
      <c r="BE80" s="13"/>
      <c r="BJ80" s="116"/>
      <c r="BK80" s="123"/>
      <c r="BL80" s="123"/>
      <c r="BM80" s="123"/>
      <c r="BR80" s="115"/>
      <c r="BS80" s="115"/>
      <c r="BT80" s="115"/>
      <c r="BU80" s="115"/>
      <c r="BV80" s="115"/>
      <c r="BW80" s="115"/>
      <c r="BX80" s="115"/>
      <c r="BY80" s="115"/>
      <c r="BZ80" s="115"/>
      <c r="CA80" s="115"/>
      <c r="CB80" s="25"/>
      <c r="CC80" s="13"/>
      <c r="CF80" s="114"/>
    </row>
    <row r="81" spans="1:84" ht="20.100000000000001" customHeight="1" x14ac:dyDescent="0.4">
      <c r="A81" s="117"/>
      <c r="B81" s="123"/>
      <c r="C81" s="123"/>
      <c r="D81" s="123"/>
      <c r="H81" s="115"/>
      <c r="I81" s="115"/>
      <c r="J81" s="25">
        <v>46159</v>
      </c>
      <c r="K81" s="13" t="s">
        <v>146</v>
      </c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27"/>
      <c r="AD81" s="29"/>
      <c r="AS81" s="127"/>
      <c r="AT81" s="29"/>
      <c r="BD81" s="25"/>
      <c r="BE81" s="13"/>
      <c r="BJ81" s="116"/>
      <c r="BK81" s="123"/>
      <c r="BL81" s="123"/>
      <c r="BM81" s="123"/>
      <c r="BR81" s="115"/>
      <c r="BS81" s="115"/>
      <c r="BT81" s="115"/>
      <c r="BU81" s="115"/>
      <c r="BV81" s="115"/>
      <c r="BW81" s="115"/>
      <c r="BX81" s="115"/>
      <c r="BY81" s="115"/>
      <c r="BZ81" s="115"/>
      <c r="CA81" s="115"/>
      <c r="CB81" s="25"/>
      <c r="CC81" s="13"/>
      <c r="CF81" s="114"/>
    </row>
    <row r="82" spans="1:84" ht="20.100000000000001" customHeight="1" x14ac:dyDescent="0.4">
      <c r="A82" s="117"/>
      <c r="B82" s="123"/>
      <c r="C82" s="123"/>
      <c r="D82" s="123"/>
      <c r="J82" s="25">
        <v>46159</v>
      </c>
      <c r="K82" s="13" t="s">
        <v>146</v>
      </c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27"/>
      <c r="AD82" s="29"/>
      <c r="AS82" s="127"/>
      <c r="AT82" s="29"/>
      <c r="BD82" s="25"/>
      <c r="BE82" s="13"/>
      <c r="BJ82" s="116"/>
      <c r="BK82" s="123"/>
      <c r="BL82" s="123"/>
      <c r="BM82" s="123"/>
      <c r="BR82" s="115"/>
      <c r="BS82" s="115"/>
      <c r="BT82" s="115"/>
      <c r="BU82" s="115"/>
      <c r="BV82" s="115"/>
      <c r="BW82" s="115"/>
      <c r="BX82" s="115"/>
      <c r="BY82" s="115"/>
      <c r="BZ82" s="115"/>
      <c r="CA82" s="115"/>
      <c r="CB82" s="25"/>
      <c r="CC82" s="13"/>
      <c r="CF82" s="114"/>
    </row>
    <row r="83" spans="1:84" ht="20.100000000000001" customHeight="1" x14ac:dyDescent="0.4">
      <c r="A83" s="117"/>
      <c r="B83" s="123"/>
      <c r="C83" s="123"/>
      <c r="D83" s="123"/>
      <c r="J83" s="25">
        <v>46159</v>
      </c>
      <c r="K83" s="13" t="s">
        <v>146</v>
      </c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27"/>
      <c r="AD83" s="29"/>
      <c r="AS83" s="127"/>
      <c r="AT83" s="29"/>
      <c r="BD83" s="25"/>
      <c r="BE83" s="13"/>
      <c r="BJ83" s="116"/>
      <c r="BK83" s="123"/>
      <c r="BL83" s="123"/>
      <c r="BM83" s="123"/>
      <c r="BR83" s="115"/>
      <c r="BS83" s="115"/>
      <c r="BT83" s="115"/>
      <c r="BU83" s="115"/>
      <c r="BV83" s="115"/>
      <c r="BW83" s="115"/>
      <c r="BX83" s="115"/>
      <c r="BY83" s="115"/>
      <c r="BZ83" s="115"/>
      <c r="CA83" s="115"/>
      <c r="CB83" s="25"/>
      <c r="CC83" s="13"/>
      <c r="CF83" s="114"/>
    </row>
    <row r="84" spans="1:84" ht="20.100000000000001" customHeight="1" x14ac:dyDescent="0.4">
      <c r="A84" s="117"/>
      <c r="B84" s="123"/>
      <c r="C84" s="123"/>
      <c r="D84" s="123"/>
      <c r="J84" s="25">
        <v>46159</v>
      </c>
      <c r="K84" s="13" t="s">
        <v>146</v>
      </c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27"/>
      <c r="AD84" s="29"/>
      <c r="AS84" s="127"/>
      <c r="AT84" s="29"/>
      <c r="BD84" s="25"/>
      <c r="BE84" s="13"/>
      <c r="BJ84" s="116"/>
      <c r="BK84" s="123"/>
      <c r="BL84" s="123"/>
      <c r="BM84" s="123"/>
      <c r="BR84" s="115"/>
      <c r="BS84" s="115"/>
      <c r="BT84" s="115"/>
      <c r="BU84" s="115"/>
      <c r="BV84" s="115"/>
      <c r="BW84" s="115"/>
      <c r="BX84" s="115"/>
      <c r="BY84" s="115"/>
      <c r="BZ84" s="115"/>
      <c r="CA84" s="115"/>
      <c r="CB84" s="25"/>
      <c r="CC84" s="13"/>
      <c r="CF84" s="114"/>
    </row>
    <row r="85" spans="1:84" ht="20.100000000000001" customHeight="1" x14ac:dyDescent="0.4">
      <c r="A85" s="117"/>
      <c r="B85" s="123"/>
      <c r="C85" s="123"/>
      <c r="D85" s="123"/>
      <c r="J85" s="25">
        <v>46159</v>
      </c>
      <c r="K85" s="13" t="s">
        <v>146</v>
      </c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27"/>
      <c r="AD85" s="29"/>
      <c r="AS85" s="127"/>
      <c r="AT85" s="29"/>
      <c r="BD85" s="25"/>
      <c r="BE85" s="13"/>
      <c r="BJ85" s="116"/>
      <c r="BK85" s="123"/>
      <c r="BL85" s="123"/>
      <c r="BM85" s="123"/>
      <c r="BR85" s="115"/>
      <c r="BS85" s="115"/>
      <c r="BT85" s="115"/>
      <c r="BU85" s="115"/>
      <c r="BV85" s="115"/>
      <c r="BW85" s="115"/>
      <c r="BX85" s="115"/>
      <c r="BY85" s="115"/>
      <c r="BZ85" s="115"/>
      <c r="CA85" s="115"/>
      <c r="CB85" s="25"/>
      <c r="CC85" s="13"/>
      <c r="CF85" s="114"/>
    </row>
    <row r="86" spans="1:84" ht="20.100000000000001" customHeight="1" x14ac:dyDescent="0.4">
      <c r="A86" s="117"/>
      <c r="B86" s="123"/>
      <c r="C86" s="123"/>
      <c r="D86" s="123"/>
      <c r="J86" s="25">
        <v>46159</v>
      </c>
      <c r="K86" s="13" t="s">
        <v>148</v>
      </c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27"/>
      <c r="AD86" s="29"/>
      <c r="AS86" s="127"/>
      <c r="AT86" s="29"/>
      <c r="BD86" s="25"/>
      <c r="BE86" s="13"/>
      <c r="BJ86" s="116"/>
      <c r="BK86" s="123"/>
      <c r="BL86" s="123"/>
      <c r="BM86" s="123"/>
      <c r="BR86" s="115"/>
      <c r="BS86" s="115"/>
      <c r="BT86" s="115"/>
      <c r="BU86" s="115"/>
      <c r="BV86" s="115"/>
      <c r="BW86" s="115"/>
      <c r="BX86" s="115"/>
      <c r="BY86" s="115"/>
      <c r="BZ86" s="115"/>
      <c r="CA86" s="115"/>
      <c r="CB86" s="25"/>
      <c r="CC86" s="13"/>
      <c r="CF86" s="114"/>
    </row>
    <row r="87" spans="1:84" ht="20.100000000000001" customHeight="1" x14ac:dyDescent="0.4">
      <c r="A87" s="117"/>
      <c r="B87" s="123"/>
      <c r="C87" s="123"/>
      <c r="D87" s="123"/>
      <c r="J87" s="25">
        <v>46159</v>
      </c>
      <c r="K87" s="13" t="s">
        <v>148</v>
      </c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27"/>
      <c r="AD87" s="29"/>
      <c r="AS87" s="127"/>
      <c r="AT87" s="29"/>
      <c r="BD87" s="25"/>
      <c r="BE87" s="13"/>
      <c r="BJ87" s="116"/>
      <c r="BK87" s="123"/>
      <c r="BL87" s="123"/>
      <c r="BM87" s="123"/>
      <c r="BR87" s="115"/>
      <c r="BS87" s="115"/>
      <c r="BT87" s="115"/>
      <c r="BU87" s="115"/>
      <c r="BV87" s="115"/>
      <c r="BW87" s="115"/>
      <c r="BX87" s="115"/>
      <c r="BY87" s="115"/>
      <c r="BZ87" s="115"/>
      <c r="CA87" s="115"/>
      <c r="CB87" s="25"/>
      <c r="CC87" s="13"/>
      <c r="CF87" s="114"/>
    </row>
    <row r="88" spans="1:84" ht="20.100000000000001" customHeight="1" x14ac:dyDescent="0.4">
      <c r="A88" s="117"/>
      <c r="B88" s="123"/>
      <c r="C88" s="123"/>
      <c r="D88" s="123"/>
      <c r="J88" s="26">
        <v>46159</v>
      </c>
      <c r="K88" s="13" t="s">
        <v>147</v>
      </c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27"/>
      <c r="AD88" s="29"/>
      <c r="AS88" s="127"/>
      <c r="AT88" s="29"/>
      <c r="BD88" s="25"/>
      <c r="BE88" s="13"/>
      <c r="BJ88" s="116"/>
      <c r="BK88" s="123"/>
      <c r="BL88" s="123"/>
      <c r="BM88" s="123"/>
      <c r="BR88" s="115"/>
      <c r="BS88" s="115"/>
      <c r="BT88" s="115"/>
      <c r="BU88" s="115"/>
      <c r="BV88" s="115"/>
      <c r="BW88" s="115"/>
      <c r="BX88" s="115"/>
      <c r="BY88" s="115"/>
      <c r="BZ88" s="115"/>
      <c r="CA88" s="115"/>
      <c r="CB88" s="25"/>
      <c r="CC88" s="13"/>
      <c r="CF88" s="114"/>
    </row>
    <row r="89" spans="1:84" ht="20.100000000000001" customHeight="1" x14ac:dyDescent="0.4">
      <c r="A89" s="117"/>
      <c r="B89" s="123"/>
      <c r="C89" s="123"/>
      <c r="D89" s="123"/>
      <c r="H89" s="115"/>
      <c r="I89" s="115"/>
      <c r="J89" s="26">
        <v>46159</v>
      </c>
      <c r="K89" s="13" t="s">
        <v>147</v>
      </c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27"/>
      <c r="AD89" s="29"/>
      <c r="AS89" s="127"/>
      <c r="AT89" s="29"/>
      <c r="BD89" s="25"/>
      <c r="BE89" s="13"/>
      <c r="BJ89" s="116"/>
      <c r="BK89" s="123"/>
      <c r="BL89" s="123"/>
      <c r="BM89" s="123"/>
      <c r="BR89" s="115"/>
      <c r="BS89" s="115"/>
      <c r="BT89" s="115"/>
      <c r="BU89" s="115"/>
      <c r="BV89" s="115"/>
      <c r="BW89" s="115"/>
      <c r="BX89" s="115"/>
      <c r="BY89" s="115"/>
      <c r="BZ89" s="115"/>
      <c r="CA89" s="115"/>
      <c r="CB89" s="25"/>
      <c r="CC89" s="13"/>
      <c r="CF89" s="114"/>
    </row>
    <row r="90" spans="1:84" ht="20.100000000000001" customHeight="1" x14ac:dyDescent="0.4">
      <c r="A90" s="117"/>
      <c r="B90" s="123"/>
      <c r="C90" s="123"/>
      <c r="D90" s="123"/>
      <c r="J90" s="26">
        <v>46159</v>
      </c>
      <c r="K90" s="13" t="s">
        <v>148</v>
      </c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27"/>
      <c r="AD90" s="29"/>
      <c r="AS90" s="127"/>
      <c r="AT90" s="29"/>
      <c r="BD90" s="25"/>
      <c r="BE90" s="13"/>
      <c r="BJ90" s="116"/>
      <c r="BK90" s="123"/>
      <c r="BL90" s="123"/>
      <c r="BM90" s="123"/>
      <c r="BR90" s="115"/>
      <c r="BS90" s="115"/>
      <c r="BT90" s="115"/>
      <c r="BU90" s="115"/>
      <c r="BV90" s="115"/>
      <c r="BW90" s="115"/>
      <c r="BX90" s="115"/>
      <c r="BY90" s="115"/>
      <c r="BZ90" s="115"/>
      <c r="CA90" s="115"/>
      <c r="CB90" s="25"/>
      <c r="CC90" s="13"/>
      <c r="CF90" s="114"/>
    </row>
    <row r="91" spans="1:84" ht="20.100000000000001" customHeight="1" x14ac:dyDescent="0.4">
      <c r="A91" s="117"/>
      <c r="B91" s="123"/>
      <c r="C91" s="123"/>
      <c r="D91" s="123"/>
      <c r="J91" s="26">
        <v>46159</v>
      </c>
      <c r="K91" s="13" t="s">
        <v>148</v>
      </c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29"/>
      <c r="AD91" s="29"/>
      <c r="AS91" s="127"/>
      <c r="AT91" s="29"/>
      <c r="BD91" s="25"/>
      <c r="BE91" s="13"/>
      <c r="BJ91" s="116"/>
      <c r="BK91" s="123"/>
      <c r="BL91" s="123"/>
      <c r="BM91" s="123"/>
      <c r="BR91" s="115"/>
      <c r="BS91" s="115"/>
      <c r="BT91" s="115"/>
      <c r="BU91" s="115"/>
      <c r="BV91" s="115"/>
      <c r="BW91" s="115"/>
      <c r="BX91" s="115"/>
      <c r="BY91" s="115"/>
      <c r="BZ91" s="115"/>
      <c r="CA91" s="115"/>
      <c r="CB91" s="25"/>
      <c r="CC91" s="13"/>
      <c r="CF91" s="114"/>
    </row>
    <row r="92" spans="1:84" ht="20.100000000000001" customHeight="1" x14ac:dyDescent="0.4">
      <c r="A92" s="117"/>
      <c r="B92" s="123"/>
      <c r="C92" s="123"/>
      <c r="D92" s="123"/>
      <c r="J92" s="26">
        <v>46159</v>
      </c>
      <c r="K92" s="13" t="s">
        <v>146</v>
      </c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27"/>
      <c r="AD92" s="29"/>
      <c r="AS92" s="127"/>
      <c r="AT92" s="29"/>
      <c r="BD92" s="25"/>
      <c r="BE92" s="13"/>
      <c r="BJ92" s="116"/>
      <c r="BK92" s="123"/>
      <c r="BL92" s="123"/>
      <c r="BM92" s="123"/>
      <c r="BR92" s="115"/>
      <c r="BS92" s="115"/>
      <c r="BT92" s="115"/>
      <c r="BU92" s="115"/>
      <c r="BV92" s="115"/>
      <c r="BW92" s="115"/>
      <c r="BX92" s="115"/>
      <c r="BY92" s="115"/>
      <c r="BZ92" s="115"/>
      <c r="CA92" s="115"/>
      <c r="CB92" s="25"/>
      <c r="CC92" s="13"/>
      <c r="CF92" s="114"/>
    </row>
    <row r="93" spans="1:84" ht="20.100000000000001" customHeight="1" x14ac:dyDescent="0.4">
      <c r="A93" s="117"/>
      <c r="B93" s="123"/>
      <c r="C93" s="123"/>
      <c r="D93" s="123"/>
      <c r="J93" s="26">
        <v>46159</v>
      </c>
      <c r="K93" s="13" t="s">
        <v>147</v>
      </c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29"/>
      <c r="AD93" s="29"/>
      <c r="AS93" s="127"/>
      <c r="AT93" s="29"/>
      <c r="BD93" s="25"/>
      <c r="BE93" s="13"/>
      <c r="BJ93" s="116"/>
      <c r="BK93" s="123"/>
      <c r="BL93" s="123"/>
      <c r="BM93" s="123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25"/>
      <c r="CC93" s="13"/>
      <c r="CF93" s="114"/>
    </row>
    <row r="94" spans="1:84" ht="20.100000000000001" customHeight="1" x14ac:dyDescent="0.4">
      <c r="A94" s="117"/>
      <c r="B94" s="123"/>
      <c r="C94" s="123"/>
      <c r="D94" s="123"/>
      <c r="J94" s="26">
        <v>46159</v>
      </c>
      <c r="K94" s="13" t="s">
        <v>148</v>
      </c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27"/>
      <c r="AD94" s="29"/>
      <c r="AS94" s="127"/>
      <c r="AT94" s="29"/>
      <c r="BD94" s="25"/>
      <c r="BE94" s="13"/>
      <c r="BJ94" s="116"/>
      <c r="BK94" s="123"/>
      <c r="BL94" s="123"/>
      <c r="BM94" s="123"/>
      <c r="BR94" s="115"/>
      <c r="BS94" s="115"/>
      <c r="BT94" s="115"/>
      <c r="BU94" s="115"/>
      <c r="BV94" s="115"/>
      <c r="BW94" s="115"/>
      <c r="BX94" s="115"/>
      <c r="BY94" s="115"/>
      <c r="BZ94" s="115"/>
      <c r="CA94" s="115"/>
      <c r="CB94" s="25"/>
      <c r="CC94" s="13"/>
      <c r="CF94" s="114"/>
    </row>
    <row r="95" spans="1:84" ht="20.100000000000001" customHeight="1" x14ac:dyDescent="0.4">
      <c r="A95" s="117"/>
      <c r="B95" s="123"/>
      <c r="C95" s="123"/>
      <c r="D95" s="123"/>
      <c r="J95" s="26">
        <v>46159</v>
      </c>
      <c r="K95" s="13" t="s">
        <v>148</v>
      </c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29"/>
      <c r="AD95" s="29"/>
      <c r="AS95" s="127"/>
      <c r="AT95" s="29"/>
      <c r="BD95" s="25"/>
      <c r="BE95" s="13"/>
      <c r="BJ95" s="116"/>
      <c r="BK95" s="123"/>
      <c r="BL95" s="123"/>
      <c r="BM95" s="123"/>
      <c r="BR95" s="115"/>
      <c r="BS95" s="115"/>
      <c r="BT95" s="115"/>
      <c r="BU95" s="115"/>
      <c r="BV95" s="115"/>
      <c r="BW95" s="115"/>
      <c r="BX95" s="115"/>
      <c r="BY95" s="115"/>
      <c r="BZ95" s="115"/>
      <c r="CA95" s="115"/>
      <c r="CB95" s="25"/>
      <c r="CC95" s="13"/>
      <c r="CF95" s="114"/>
    </row>
    <row r="96" spans="1:84" ht="20.100000000000001" customHeight="1" x14ac:dyDescent="0.4">
      <c r="A96" s="117"/>
      <c r="B96" s="123"/>
      <c r="C96" s="123"/>
      <c r="D96" s="123"/>
      <c r="J96" s="26">
        <v>46159</v>
      </c>
      <c r="K96" s="13" t="s">
        <v>148</v>
      </c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27"/>
      <c r="AD96" s="29"/>
      <c r="AS96" s="127"/>
      <c r="AT96" s="29"/>
      <c r="BD96" s="25"/>
      <c r="BE96" s="13"/>
      <c r="BJ96" s="116"/>
      <c r="BK96" s="123"/>
      <c r="BL96" s="123"/>
      <c r="BM96" s="123"/>
      <c r="BR96" s="115"/>
      <c r="BS96" s="115"/>
      <c r="BT96" s="115"/>
      <c r="BU96" s="115"/>
      <c r="BV96" s="115"/>
      <c r="BW96" s="115"/>
      <c r="BX96" s="115"/>
      <c r="BY96" s="115"/>
      <c r="BZ96" s="115"/>
      <c r="CA96" s="115"/>
      <c r="CB96" s="25"/>
      <c r="CC96" s="13"/>
      <c r="CF96" s="114"/>
    </row>
    <row r="97" spans="1:84" ht="20.100000000000001" customHeight="1" x14ac:dyDescent="0.4">
      <c r="A97" s="117"/>
      <c r="B97" s="123"/>
      <c r="C97" s="123"/>
      <c r="D97" s="123"/>
      <c r="J97" s="26">
        <v>46159</v>
      </c>
      <c r="K97" s="13" t="s">
        <v>146</v>
      </c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27"/>
      <c r="AD97" s="29"/>
      <c r="AS97" s="127"/>
      <c r="AT97" s="29"/>
      <c r="BD97" s="25"/>
      <c r="BE97" s="13"/>
      <c r="BJ97" s="116"/>
      <c r="BK97" s="123"/>
      <c r="BL97" s="123"/>
      <c r="BM97" s="123"/>
      <c r="BR97" s="115"/>
      <c r="BS97" s="115"/>
      <c r="BT97" s="115"/>
      <c r="BU97" s="115"/>
      <c r="BV97" s="115"/>
      <c r="BW97" s="115"/>
      <c r="BX97" s="115"/>
      <c r="BY97" s="115"/>
      <c r="BZ97" s="115"/>
      <c r="CA97" s="115"/>
      <c r="CB97" s="25"/>
      <c r="CC97" s="13"/>
      <c r="CF97" s="114"/>
    </row>
    <row r="98" spans="1:84" ht="20.100000000000001" customHeight="1" x14ac:dyDescent="0.4">
      <c r="A98" s="117"/>
      <c r="B98" s="123"/>
      <c r="C98" s="123"/>
      <c r="D98" s="123"/>
      <c r="J98" s="26">
        <v>46159</v>
      </c>
      <c r="K98" s="13" t="s">
        <v>146</v>
      </c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27"/>
      <c r="AD98" s="29"/>
      <c r="AS98" s="127"/>
      <c r="AT98" s="29"/>
      <c r="BD98" s="25"/>
      <c r="BE98" s="13"/>
      <c r="BJ98" s="116"/>
      <c r="BK98" s="123"/>
      <c r="BL98" s="123"/>
      <c r="BM98" s="123"/>
      <c r="BR98" s="115"/>
      <c r="BS98" s="115"/>
      <c r="BT98" s="115"/>
      <c r="BU98" s="115"/>
      <c r="BV98" s="115"/>
      <c r="BW98" s="115"/>
      <c r="BX98" s="115"/>
      <c r="BY98" s="115"/>
      <c r="BZ98" s="115"/>
      <c r="CA98" s="115"/>
      <c r="CB98" s="25"/>
      <c r="CC98" s="13"/>
      <c r="CF98" s="114"/>
    </row>
    <row r="99" spans="1:84" ht="20.100000000000001" customHeight="1" x14ac:dyDescent="0.4">
      <c r="A99" s="117"/>
      <c r="B99" s="123"/>
      <c r="C99" s="123"/>
      <c r="D99" s="123"/>
      <c r="I99" s="115" t="s">
        <v>368</v>
      </c>
      <c r="J99" s="17">
        <f>SUBTOTAL(3,J80:J98)</f>
        <v>19</v>
      </c>
      <c r="K99" s="13">
        <f>SUBTOTAL(3,K80:K98)</f>
        <v>19</v>
      </c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27"/>
      <c r="AD99" s="29"/>
      <c r="AS99" s="127"/>
      <c r="AT99" s="29"/>
      <c r="BD99" s="25"/>
      <c r="BE99" s="13"/>
      <c r="BJ99" s="116"/>
      <c r="BK99" s="123"/>
      <c r="BL99" s="123"/>
      <c r="BM99" s="123"/>
      <c r="BR99" s="115"/>
      <c r="BS99" s="115"/>
      <c r="BT99" s="115"/>
      <c r="BU99" s="115"/>
      <c r="BV99" s="115"/>
      <c r="BW99" s="115"/>
      <c r="BX99" s="115"/>
      <c r="BY99" s="115"/>
      <c r="BZ99" s="115"/>
      <c r="CA99" s="115"/>
      <c r="CB99" s="25"/>
      <c r="CC99" s="13"/>
      <c r="CF99" s="114"/>
    </row>
    <row r="100" spans="1:84" ht="20.100000000000001" customHeight="1" x14ac:dyDescent="0.4">
      <c r="A100" s="117"/>
      <c r="B100" s="123"/>
      <c r="C100" s="123"/>
      <c r="D100" s="123"/>
      <c r="H100" s="115"/>
      <c r="I100" s="115"/>
      <c r="J100" s="26">
        <v>46160</v>
      </c>
      <c r="K100" s="13" t="s">
        <v>148</v>
      </c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27"/>
      <c r="AD100" s="29"/>
      <c r="AS100" s="127"/>
      <c r="AT100" s="29"/>
      <c r="BD100" s="25"/>
      <c r="BE100" s="13"/>
      <c r="BJ100" s="116"/>
      <c r="BK100" s="123"/>
      <c r="BL100" s="123"/>
      <c r="BM100" s="123"/>
      <c r="BR100" s="115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25"/>
      <c r="CC100" s="13"/>
      <c r="CF100" s="114"/>
    </row>
    <row r="101" spans="1:84" ht="20.100000000000001" customHeight="1" x14ac:dyDescent="0.4">
      <c r="A101" s="117"/>
      <c r="B101" s="123"/>
      <c r="C101" s="123"/>
      <c r="D101" s="123"/>
      <c r="J101" s="26">
        <v>46160</v>
      </c>
      <c r="K101" s="13" t="s">
        <v>146</v>
      </c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27"/>
      <c r="AD101" s="29"/>
      <c r="AS101" s="127"/>
      <c r="AT101" s="29"/>
      <c r="BD101" s="25"/>
      <c r="BE101" s="13"/>
      <c r="BJ101" s="116"/>
      <c r="BK101" s="123"/>
      <c r="BL101" s="123"/>
      <c r="BM101" s="123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25"/>
      <c r="CC101" s="13"/>
      <c r="CF101" s="114"/>
    </row>
    <row r="102" spans="1:84" ht="20.100000000000001" customHeight="1" x14ac:dyDescent="0.4">
      <c r="A102" s="117"/>
      <c r="B102" s="123"/>
      <c r="C102" s="123"/>
      <c r="D102" s="123"/>
      <c r="J102" s="26">
        <v>46160</v>
      </c>
      <c r="K102" s="13" t="s">
        <v>146</v>
      </c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27"/>
      <c r="AD102" s="29"/>
      <c r="AS102" s="127"/>
      <c r="AT102" s="29"/>
      <c r="BD102" s="25"/>
      <c r="BE102" s="13"/>
      <c r="BJ102" s="116"/>
      <c r="BK102" s="123"/>
      <c r="BL102" s="123"/>
      <c r="BM102" s="123"/>
      <c r="BR102" s="115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25"/>
      <c r="CC102" s="13"/>
      <c r="CF102" s="114"/>
    </row>
    <row r="103" spans="1:84" ht="20.100000000000001" customHeight="1" x14ac:dyDescent="0.4">
      <c r="A103" s="117"/>
      <c r="B103" s="123"/>
      <c r="C103" s="123"/>
      <c r="D103" s="123"/>
      <c r="J103" s="26">
        <v>46160</v>
      </c>
      <c r="K103" s="13" t="s">
        <v>148</v>
      </c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27"/>
      <c r="AD103" s="29"/>
      <c r="AS103" s="127"/>
      <c r="AT103" s="29"/>
      <c r="BD103" s="25"/>
      <c r="BE103" s="13"/>
      <c r="BJ103" s="116"/>
      <c r="BK103" s="123"/>
      <c r="BL103" s="123"/>
      <c r="BM103" s="123"/>
      <c r="BR103" s="115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25"/>
      <c r="CC103" s="13"/>
      <c r="CF103" s="114"/>
    </row>
    <row r="104" spans="1:84" ht="20.100000000000001" customHeight="1" x14ac:dyDescent="0.4">
      <c r="A104" s="117"/>
      <c r="B104" s="123"/>
      <c r="C104" s="123"/>
      <c r="D104" s="123"/>
      <c r="J104" s="25">
        <v>46160</v>
      </c>
      <c r="K104" s="15" t="s">
        <v>147</v>
      </c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27"/>
      <c r="AD104" s="29"/>
      <c r="AS104" s="127"/>
      <c r="AT104" s="29"/>
      <c r="BD104" s="25"/>
      <c r="BE104" s="13"/>
      <c r="BJ104" s="116"/>
      <c r="BK104" s="123"/>
      <c r="BL104" s="123"/>
      <c r="BM104" s="123"/>
      <c r="BR104" s="115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25"/>
      <c r="CC104" s="13"/>
      <c r="CF104" s="114"/>
    </row>
    <row r="105" spans="1:84" ht="20.100000000000001" customHeight="1" x14ac:dyDescent="0.4">
      <c r="A105" s="117"/>
      <c r="B105" s="123"/>
      <c r="C105" s="123"/>
      <c r="D105" s="123"/>
      <c r="J105" s="25">
        <v>46160</v>
      </c>
      <c r="K105" s="15" t="s">
        <v>146</v>
      </c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27"/>
      <c r="AD105" s="29"/>
      <c r="AS105" s="127"/>
      <c r="AT105" s="29"/>
      <c r="BD105" s="25"/>
      <c r="BE105" s="13"/>
      <c r="BJ105" s="116"/>
      <c r="BK105" s="123"/>
      <c r="BL105" s="123"/>
      <c r="BM105" s="123"/>
      <c r="BR105" s="115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25"/>
      <c r="CC105" s="13"/>
      <c r="CF105" s="114"/>
    </row>
    <row r="106" spans="1:84" ht="20.100000000000001" customHeight="1" x14ac:dyDescent="0.4">
      <c r="A106" s="117"/>
      <c r="B106" s="123"/>
      <c r="C106" s="123"/>
      <c r="D106" s="123"/>
      <c r="J106" s="25">
        <v>46160</v>
      </c>
      <c r="K106" s="15" t="s">
        <v>146</v>
      </c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27"/>
      <c r="AD106" s="29"/>
      <c r="AS106" s="127"/>
      <c r="AT106" s="29"/>
      <c r="BD106" s="25"/>
      <c r="BE106" s="13"/>
      <c r="BJ106" s="116"/>
      <c r="BK106" s="123"/>
      <c r="BL106" s="123"/>
      <c r="BM106" s="123"/>
      <c r="BR106" s="115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25"/>
      <c r="CC106" s="13"/>
      <c r="CF106" s="114"/>
    </row>
    <row r="107" spans="1:84" ht="20.100000000000001" customHeight="1" x14ac:dyDescent="0.4">
      <c r="A107" s="117"/>
      <c r="B107" s="123"/>
      <c r="C107" s="123"/>
      <c r="D107" s="123"/>
      <c r="H107" s="115"/>
      <c r="I107" s="115"/>
      <c r="J107" s="25">
        <v>46160</v>
      </c>
      <c r="K107" s="15" t="s">
        <v>147</v>
      </c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27"/>
      <c r="AD107" s="29"/>
      <c r="AS107" s="127"/>
      <c r="AT107" s="29"/>
      <c r="BD107" s="25"/>
      <c r="BE107" s="13"/>
      <c r="BJ107" s="116"/>
      <c r="BK107" s="123"/>
      <c r="BL107" s="123"/>
      <c r="BM107" s="123"/>
      <c r="BR107" s="115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25"/>
      <c r="CC107" s="13"/>
      <c r="CF107" s="114"/>
    </row>
    <row r="108" spans="1:84" ht="20.100000000000001" customHeight="1" x14ac:dyDescent="0.4">
      <c r="A108" s="117"/>
      <c r="B108" s="123"/>
      <c r="C108" s="123"/>
      <c r="D108" s="123"/>
      <c r="J108" s="25">
        <v>46160</v>
      </c>
      <c r="K108" s="15" t="s">
        <v>147</v>
      </c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27"/>
      <c r="AD108" s="29"/>
      <c r="AS108" s="127"/>
      <c r="AT108" s="29"/>
      <c r="BD108" s="25"/>
      <c r="BE108" s="13"/>
      <c r="BJ108" s="116"/>
      <c r="BK108" s="123"/>
      <c r="BL108" s="123"/>
      <c r="BM108" s="123"/>
      <c r="BR108" s="115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25"/>
      <c r="CC108" s="13"/>
      <c r="CF108" s="114"/>
    </row>
    <row r="109" spans="1:84" ht="20.100000000000001" customHeight="1" x14ac:dyDescent="0.4">
      <c r="A109" s="117"/>
      <c r="B109" s="123"/>
      <c r="C109" s="123"/>
      <c r="D109" s="123"/>
      <c r="J109" s="25">
        <v>46160</v>
      </c>
      <c r="K109" s="15" t="s">
        <v>146</v>
      </c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27"/>
      <c r="AD109" s="29"/>
      <c r="AS109" s="127"/>
      <c r="AT109" s="29"/>
      <c r="BD109" s="25"/>
      <c r="BE109" s="13"/>
      <c r="BJ109" s="116"/>
      <c r="BK109" s="123"/>
      <c r="BL109" s="123"/>
      <c r="BM109" s="123"/>
      <c r="BR109" s="115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25"/>
      <c r="CC109" s="13"/>
      <c r="CF109" s="114"/>
    </row>
    <row r="110" spans="1:84" ht="20.100000000000001" customHeight="1" x14ac:dyDescent="0.4">
      <c r="A110" s="117"/>
      <c r="B110" s="123"/>
      <c r="C110" s="123"/>
      <c r="D110" s="123"/>
      <c r="J110" s="25">
        <v>46160</v>
      </c>
      <c r="K110" s="15" t="s">
        <v>146</v>
      </c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27"/>
      <c r="AD110" s="29"/>
      <c r="AS110" s="127"/>
      <c r="AT110" s="29"/>
      <c r="BD110" s="25"/>
      <c r="BE110" s="13"/>
      <c r="BJ110" s="116"/>
      <c r="BK110" s="123"/>
      <c r="BL110" s="123"/>
      <c r="BM110" s="123"/>
      <c r="BR110" s="115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25"/>
      <c r="CC110" s="13"/>
      <c r="CF110" s="114"/>
    </row>
    <row r="111" spans="1:84" ht="20.100000000000001" customHeight="1" x14ac:dyDescent="0.4">
      <c r="A111" s="117"/>
      <c r="B111" s="123"/>
      <c r="C111" s="123"/>
      <c r="D111" s="123"/>
      <c r="I111" s="115" t="s">
        <v>369</v>
      </c>
      <c r="J111" s="13">
        <f>SUBTOTAL(3,J100:J110)</f>
        <v>11</v>
      </c>
      <c r="K111" s="15">
        <f>SUBTOTAL(3,K100:K110)</f>
        <v>11</v>
      </c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27"/>
      <c r="AD111" s="29"/>
      <c r="AS111" s="127"/>
      <c r="AT111" s="29"/>
      <c r="BD111" s="25"/>
      <c r="BE111" s="13"/>
      <c r="BJ111" s="116"/>
      <c r="BK111" s="123"/>
      <c r="BL111" s="123"/>
      <c r="BM111" s="123"/>
      <c r="BR111" s="115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25"/>
      <c r="CC111" s="13"/>
      <c r="CF111" s="114"/>
    </row>
    <row r="112" spans="1:84" ht="20.100000000000001" customHeight="1" x14ac:dyDescent="0.4">
      <c r="A112" s="117"/>
      <c r="B112" s="123"/>
      <c r="C112" s="123"/>
      <c r="D112" s="123"/>
      <c r="J112" s="25">
        <v>46161</v>
      </c>
      <c r="K112" s="15" t="s">
        <v>147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29"/>
      <c r="AD112" s="29"/>
      <c r="AS112" s="127"/>
      <c r="AT112" s="29"/>
      <c r="BD112" s="25"/>
      <c r="BE112" s="13"/>
      <c r="BJ112" s="116"/>
      <c r="BK112" s="123"/>
      <c r="BL112" s="123"/>
      <c r="BM112" s="123"/>
      <c r="BR112" s="115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25"/>
      <c r="CC112" s="13"/>
      <c r="CF112" s="114"/>
    </row>
    <row r="113" spans="1:84" ht="20.100000000000001" customHeight="1" x14ac:dyDescent="0.4">
      <c r="A113" s="117"/>
      <c r="B113" s="123"/>
      <c r="C113" s="123"/>
      <c r="D113" s="123"/>
      <c r="J113" s="25">
        <v>46161</v>
      </c>
      <c r="K113" s="15" t="s">
        <v>147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27"/>
      <c r="AD113" s="29"/>
      <c r="AS113" s="127"/>
      <c r="AT113" s="29"/>
      <c r="BD113" s="25"/>
      <c r="BE113" s="13"/>
      <c r="BJ113" s="116"/>
      <c r="BK113" s="123"/>
      <c r="BL113" s="123"/>
      <c r="BM113" s="123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25"/>
      <c r="CC113" s="13"/>
      <c r="CF113" s="114"/>
    </row>
    <row r="114" spans="1:84" ht="20.100000000000001" customHeight="1" x14ac:dyDescent="0.4">
      <c r="A114" s="117"/>
      <c r="B114" s="123"/>
      <c r="C114" s="123"/>
      <c r="D114" s="123"/>
      <c r="I114" s="115" t="s">
        <v>556</v>
      </c>
      <c r="J114" s="13">
        <f>SUBTOTAL(3,J112:J113)</f>
        <v>2</v>
      </c>
      <c r="K114" s="15">
        <f>SUBTOTAL(3,K112:K113)</f>
        <v>2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27"/>
      <c r="AD114" s="29"/>
      <c r="AS114" s="127"/>
      <c r="AT114" s="29"/>
      <c r="BD114" s="25"/>
      <c r="BE114" s="13"/>
      <c r="BJ114" s="116"/>
      <c r="BK114" s="123"/>
      <c r="BL114" s="123"/>
      <c r="BM114" s="123"/>
      <c r="BR114" s="115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25"/>
      <c r="CC114" s="13"/>
      <c r="CF114" s="114"/>
    </row>
    <row r="115" spans="1:84" ht="20.100000000000001" customHeight="1" x14ac:dyDescent="0.4">
      <c r="A115" s="117"/>
      <c r="B115" s="123"/>
      <c r="C115" s="123"/>
      <c r="D115" s="123"/>
      <c r="J115" s="25">
        <v>46162</v>
      </c>
      <c r="K115" s="15" t="s">
        <v>147</v>
      </c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29"/>
      <c r="AD115" s="29"/>
      <c r="AS115" s="127"/>
      <c r="AT115" s="29"/>
      <c r="BD115" s="25"/>
      <c r="BE115" s="13"/>
      <c r="BJ115" s="116"/>
      <c r="BK115" s="123"/>
      <c r="BL115" s="123"/>
      <c r="BM115" s="123"/>
      <c r="BR115" s="115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25"/>
      <c r="CC115" s="13"/>
      <c r="CF115" s="114"/>
    </row>
    <row r="116" spans="1:84" ht="20.100000000000001" customHeight="1" x14ac:dyDescent="0.4">
      <c r="A116" s="117"/>
      <c r="B116" s="123"/>
      <c r="C116" s="123"/>
      <c r="D116" s="123"/>
      <c r="J116" s="25">
        <v>46162</v>
      </c>
      <c r="K116" s="15" t="s">
        <v>148</v>
      </c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27"/>
      <c r="AD116" s="29"/>
      <c r="AS116" s="127"/>
      <c r="AT116" s="29"/>
      <c r="BD116" s="25"/>
      <c r="BE116" s="13"/>
      <c r="BJ116" s="116"/>
      <c r="BK116" s="123"/>
      <c r="BL116" s="123"/>
      <c r="BM116" s="123"/>
      <c r="BR116" s="115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25"/>
      <c r="CC116" s="13"/>
      <c r="CF116" s="114"/>
    </row>
    <row r="117" spans="1:84" ht="20.100000000000001" customHeight="1" x14ac:dyDescent="0.4">
      <c r="A117" s="117"/>
      <c r="B117" s="123"/>
      <c r="C117" s="123"/>
      <c r="D117" s="123"/>
      <c r="I117" s="115" t="s">
        <v>557</v>
      </c>
      <c r="J117" s="13">
        <f>SUBTOTAL(3,J115:J116)</f>
        <v>2</v>
      </c>
      <c r="K117" s="15">
        <f>SUBTOTAL(3,K115:K116)</f>
        <v>2</v>
      </c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27"/>
      <c r="AD117" s="29"/>
      <c r="AS117" s="127"/>
      <c r="AT117" s="29"/>
      <c r="BD117" s="25"/>
      <c r="BE117" s="13"/>
      <c r="BJ117" s="116"/>
      <c r="BK117" s="123"/>
      <c r="BL117" s="123"/>
      <c r="BM117" s="123"/>
      <c r="BR117" s="115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25"/>
      <c r="CC117" s="13"/>
      <c r="CF117" s="114"/>
    </row>
    <row r="118" spans="1:84" ht="20.100000000000001" customHeight="1" x14ac:dyDescent="0.4">
      <c r="A118" s="117"/>
      <c r="B118" s="123"/>
      <c r="C118" s="123"/>
      <c r="D118" s="123"/>
      <c r="J118" s="25">
        <v>46164</v>
      </c>
      <c r="K118" s="15" t="s">
        <v>147</v>
      </c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27"/>
      <c r="AD118" s="29"/>
      <c r="AS118" s="127"/>
      <c r="AT118" s="29"/>
      <c r="BD118" s="25"/>
      <c r="BE118" s="13"/>
      <c r="BJ118" s="116"/>
      <c r="BK118" s="123"/>
      <c r="BL118" s="123"/>
      <c r="BM118" s="123"/>
      <c r="BR118" s="115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25"/>
      <c r="CC118" s="13"/>
      <c r="CF118" s="114"/>
    </row>
    <row r="119" spans="1:84" ht="20.100000000000001" customHeight="1" x14ac:dyDescent="0.4">
      <c r="A119" s="117"/>
      <c r="B119" s="123"/>
      <c r="C119" s="123"/>
      <c r="D119" s="123"/>
      <c r="I119" s="115" t="s">
        <v>558</v>
      </c>
      <c r="J119" s="13">
        <f>SUBTOTAL(3,J118:J118)</f>
        <v>1</v>
      </c>
      <c r="K119" s="15">
        <f>SUBTOTAL(3,K118:K118)</f>
        <v>1</v>
      </c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27"/>
      <c r="AD119" s="29"/>
      <c r="AS119" s="127"/>
      <c r="AT119" s="29"/>
      <c r="BD119" s="25"/>
      <c r="BE119" s="13"/>
      <c r="BJ119" s="116"/>
      <c r="BK119" s="123"/>
      <c r="BL119" s="123"/>
      <c r="BM119" s="123"/>
      <c r="BR119" s="115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25"/>
      <c r="CC119" s="13"/>
      <c r="CF119" s="114"/>
    </row>
    <row r="120" spans="1:84" ht="20.100000000000001" customHeight="1" x14ac:dyDescent="0.4">
      <c r="A120" s="117"/>
      <c r="B120" s="123"/>
      <c r="C120" s="123"/>
      <c r="D120" s="123"/>
      <c r="J120" s="25">
        <v>46165</v>
      </c>
      <c r="K120" s="15" t="s">
        <v>146</v>
      </c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27"/>
      <c r="AD120" s="29"/>
      <c r="AS120" s="127"/>
      <c r="AT120" s="29"/>
      <c r="BD120" s="25"/>
      <c r="BE120" s="13"/>
      <c r="BJ120" s="116"/>
      <c r="BK120" s="123"/>
      <c r="BL120" s="123"/>
      <c r="BM120" s="123"/>
      <c r="BR120" s="115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25"/>
      <c r="CC120" s="13"/>
      <c r="CF120" s="114"/>
    </row>
    <row r="121" spans="1:84" ht="20.100000000000001" customHeight="1" x14ac:dyDescent="0.4">
      <c r="A121" s="117"/>
      <c r="B121" s="123"/>
      <c r="C121" s="123"/>
      <c r="D121" s="123"/>
      <c r="J121" s="25">
        <v>46165</v>
      </c>
      <c r="K121" s="15" t="s">
        <v>146</v>
      </c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27"/>
      <c r="AD121" s="29"/>
      <c r="AS121" s="127"/>
      <c r="AT121" s="29"/>
      <c r="BD121" s="25"/>
      <c r="BE121" s="13"/>
      <c r="BJ121" s="116"/>
      <c r="BK121" s="123"/>
      <c r="BL121" s="123"/>
      <c r="BM121" s="123"/>
      <c r="BR121" s="115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25"/>
      <c r="CC121" s="13"/>
      <c r="CF121" s="114"/>
    </row>
    <row r="122" spans="1:84" ht="20.100000000000001" customHeight="1" x14ac:dyDescent="0.4">
      <c r="A122" s="117"/>
      <c r="B122" s="123"/>
      <c r="C122" s="123"/>
      <c r="D122" s="123"/>
      <c r="J122" s="25">
        <v>46165</v>
      </c>
      <c r="K122" s="15" t="s">
        <v>146</v>
      </c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27"/>
      <c r="AD122" s="29"/>
      <c r="AS122" s="127"/>
      <c r="AT122" s="29"/>
      <c r="BD122" s="25"/>
      <c r="BE122" s="13"/>
      <c r="BJ122" s="116"/>
      <c r="BK122" s="123"/>
      <c r="BL122" s="123"/>
      <c r="BM122" s="123"/>
      <c r="BR122" s="115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25"/>
      <c r="CC122" s="13"/>
      <c r="CF122" s="114"/>
    </row>
    <row r="123" spans="1:84" ht="20.100000000000001" customHeight="1" x14ac:dyDescent="0.4">
      <c r="A123" s="117"/>
      <c r="B123" s="123"/>
      <c r="C123" s="123"/>
      <c r="D123" s="123"/>
      <c r="J123" s="25">
        <v>46165</v>
      </c>
      <c r="K123" s="15" t="s">
        <v>146</v>
      </c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27"/>
      <c r="AD123" s="29"/>
      <c r="AS123" s="127"/>
      <c r="AT123" s="29"/>
      <c r="BD123" s="25"/>
      <c r="BE123" s="13"/>
      <c r="BJ123" s="116"/>
      <c r="BK123" s="123"/>
      <c r="BL123" s="123"/>
      <c r="BM123" s="123"/>
      <c r="BR123" s="115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25"/>
      <c r="CC123" s="13"/>
      <c r="CF123" s="114"/>
    </row>
    <row r="124" spans="1:84" ht="20.100000000000001" customHeight="1" x14ac:dyDescent="0.4">
      <c r="A124" s="117"/>
      <c r="B124" s="123"/>
      <c r="C124" s="123"/>
      <c r="D124" s="123"/>
      <c r="J124" s="25">
        <v>46165</v>
      </c>
      <c r="K124" s="15" t="s">
        <v>146</v>
      </c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29"/>
      <c r="AD124" s="29"/>
      <c r="AS124" s="127"/>
      <c r="AT124" s="29"/>
      <c r="BD124" s="25"/>
      <c r="BE124" s="13"/>
      <c r="BJ124" s="116"/>
      <c r="BK124" s="123"/>
      <c r="BL124" s="123"/>
      <c r="BM124" s="123"/>
      <c r="BR124" s="115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25"/>
      <c r="CC124" s="13"/>
      <c r="CF124" s="114"/>
    </row>
    <row r="125" spans="1:84" ht="20.100000000000001" customHeight="1" x14ac:dyDescent="0.4">
      <c r="A125" s="117"/>
      <c r="B125" s="123"/>
      <c r="C125" s="123"/>
      <c r="D125" s="123"/>
      <c r="J125" s="25">
        <v>46165</v>
      </c>
      <c r="K125" s="15" t="s">
        <v>146</v>
      </c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27"/>
      <c r="AD125" s="29"/>
      <c r="AS125" s="127"/>
      <c r="AT125" s="29"/>
      <c r="BD125" s="25"/>
      <c r="BE125" s="13"/>
      <c r="BJ125" s="116"/>
      <c r="BK125" s="123"/>
      <c r="BL125" s="123"/>
      <c r="BM125" s="123"/>
      <c r="BR125" s="115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25"/>
      <c r="CC125" s="13"/>
      <c r="CF125" s="114"/>
    </row>
    <row r="126" spans="1:84" ht="20.100000000000001" customHeight="1" x14ac:dyDescent="0.4">
      <c r="A126" s="117"/>
      <c r="B126" s="123"/>
      <c r="C126" s="123"/>
      <c r="D126" s="123"/>
      <c r="J126" s="25">
        <v>46165</v>
      </c>
      <c r="K126" s="15" t="s">
        <v>146</v>
      </c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27"/>
      <c r="AD126" s="29"/>
      <c r="AS126" s="127"/>
      <c r="AT126" s="29"/>
      <c r="BD126" s="25"/>
      <c r="BE126" s="13"/>
      <c r="BJ126" s="116"/>
      <c r="BK126" s="123"/>
      <c r="BL126" s="123"/>
      <c r="BM126" s="123"/>
      <c r="BR126" s="115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25"/>
      <c r="CC126" s="13"/>
      <c r="CF126" s="114"/>
    </row>
    <row r="127" spans="1:84" ht="20.100000000000001" customHeight="1" x14ac:dyDescent="0.4">
      <c r="A127" s="117"/>
      <c r="B127" s="123"/>
      <c r="C127" s="123"/>
      <c r="D127" s="123"/>
      <c r="J127" s="25">
        <v>46165</v>
      </c>
      <c r="K127" s="15" t="s">
        <v>146</v>
      </c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27"/>
      <c r="AD127" s="29"/>
      <c r="AS127" s="127"/>
      <c r="AT127" s="29"/>
      <c r="BD127" s="25"/>
      <c r="BE127" s="13"/>
      <c r="BJ127" s="116"/>
      <c r="BK127" s="123"/>
      <c r="BL127" s="123"/>
      <c r="BM127" s="123"/>
      <c r="BR127" s="115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25"/>
      <c r="CC127" s="13"/>
      <c r="CF127" s="114"/>
    </row>
    <row r="128" spans="1:84" ht="20.100000000000001" customHeight="1" x14ac:dyDescent="0.4">
      <c r="A128" s="117"/>
      <c r="B128" s="123"/>
      <c r="C128" s="123"/>
      <c r="D128" s="123"/>
      <c r="J128" s="25">
        <v>46165</v>
      </c>
      <c r="K128" s="15" t="s">
        <v>146</v>
      </c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27"/>
      <c r="AD128" s="29"/>
      <c r="AS128" s="127"/>
      <c r="AT128" s="29"/>
      <c r="BD128" s="25"/>
      <c r="BE128" s="13"/>
      <c r="BJ128" s="116"/>
      <c r="BK128" s="123"/>
      <c r="BL128" s="123"/>
      <c r="BM128" s="123"/>
      <c r="BR128" s="115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25"/>
      <c r="CC128" s="13"/>
      <c r="CF128" s="114"/>
    </row>
    <row r="129" spans="1:84" ht="20.100000000000001" customHeight="1" x14ac:dyDescent="0.4">
      <c r="A129" s="117"/>
      <c r="B129" s="123"/>
      <c r="C129" s="123"/>
      <c r="D129" s="123"/>
      <c r="J129" s="25">
        <v>46165</v>
      </c>
      <c r="K129" s="15" t="s">
        <v>146</v>
      </c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29"/>
      <c r="AD129" s="29"/>
      <c r="AS129" s="127"/>
      <c r="AT129" s="29"/>
      <c r="BD129" s="25"/>
      <c r="BE129" s="13"/>
      <c r="BJ129" s="116"/>
      <c r="BK129" s="123"/>
      <c r="BL129" s="123"/>
      <c r="BM129" s="123"/>
      <c r="BR129" s="115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25"/>
      <c r="CC129" s="13"/>
      <c r="CF129" s="114"/>
    </row>
    <row r="130" spans="1:84" ht="20.100000000000001" customHeight="1" x14ac:dyDescent="0.4">
      <c r="A130" s="117"/>
      <c r="B130" s="123"/>
      <c r="C130" s="123"/>
      <c r="D130" s="123"/>
      <c r="J130" s="25">
        <v>46165</v>
      </c>
      <c r="K130" s="15" t="s">
        <v>146</v>
      </c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27"/>
      <c r="AD130" s="29"/>
      <c r="AS130" s="127"/>
      <c r="AT130" s="29"/>
      <c r="BD130" s="25"/>
      <c r="BE130" s="13"/>
      <c r="BJ130" s="116"/>
      <c r="BK130" s="123"/>
      <c r="BL130" s="123"/>
      <c r="BM130" s="123"/>
      <c r="BR130" s="115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25"/>
      <c r="CC130" s="13"/>
      <c r="CF130" s="114"/>
    </row>
    <row r="131" spans="1:84" ht="20.100000000000001" customHeight="1" x14ac:dyDescent="0.4">
      <c r="A131" s="117"/>
      <c r="B131" s="123"/>
      <c r="C131" s="123"/>
      <c r="D131" s="123"/>
      <c r="J131" s="25">
        <v>46165</v>
      </c>
      <c r="K131" s="15" t="s">
        <v>146</v>
      </c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27"/>
      <c r="AD131" s="29"/>
      <c r="AS131" s="127"/>
      <c r="AT131" s="29"/>
      <c r="BD131" s="25"/>
      <c r="BE131" s="13"/>
      <c r="BJ131" s="116"/>
      <c r="BK131" s="123"/>
      <c r="BL131" s="123"/>
      <c r="BM131" s="123"/>
      <c r="BR131" s="115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25"/>
      <c r="CC131" s="13"/>
      <c r="CF131" s="114"/>
    </row>
    <row r="132" spans="1:84" ht="20.100000000000001" customHeight="1" x14ac:dyDescent="0.4">
      <c r="A132" s="117"/>
      <c r="B132" s="123"/>
      <c r="C132" s="123"/>
      <c r="D132" s="123"/>
      <c r="J132" s="25">
        <v>46165</v>
      </c>
      <c r="K132" s="15" t="s">
        <v>146</v>
      </c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29"/>
      <c r="AD132" s="29"/>
      <c r="AS132" s="127"/>
      <c r="AT132" s="29"/>
      <c r="BD132" s="25"/>
      <c r="BE132" s="13"/>
      <c r="BJ132" s="116"/>
      <c r="BK132" s="123"/>
      <c r="BL132" s="123"/>
      <c r="BM132" s="123"/>
      <c r="BR132" s="115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25"/>
      <c r="CC132" s="13"/>
      <c r="CF132" s="114"/>
    </row>
    <row r="133" spans="1:84" ht="20.100000000000001" customHeight="1" x14ac:dyDescent="0.4">
      <c r="A133" s="117"/>
      <c r="B133" s="123"/>
      <c r="C133" s="123"/>
      <c r="D133" s="123"/>
      <c r="J133" s="25">
        <v>46165</v>
      </c>
      <c r="K133" s="15" t="s">
        <v>146</v>
      </c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27"/>
      <c r="AD133" s="29"/>
      <c r="AS133" s="127"/>
      <c r="AT133" s="29"/>
      <c r="BD133" s="25"/>
      <c r="BE133" s="13"/>
      <c r="BJ133" s="116"/>
      <c r="BK133" s="123"/>
      <c r="BL133" s="123"/>
      <c r="BM133" s="123"/>
      <c r="BR133" s="115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25"/>
      <c r="CC133" s="13"/>
      <c r="CF133" s="114"/>
    </row>
    <row r="134" spans="1:84" ht="20.100000000000001" customHeight="1" x14ac:dyDescent="0.4">
      <c r="A134" s="117"/>
      <c r="B134" s="123"/>
      <c r="C134" s="123"/>
      <c r="D134" s="123"/>
      <c r="J134" s="25">
        <v>46165</v>
      </c>
      <c r="K134" s="15" t="s">
        <v>146</v>
      </c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29"/>
      <c r="AD134" s="29"/>
      <c r="AS134" s="127"/>
      <c r="AT134" s="29"/>
      <c r="BD134" s="25"/>
      <c r="BE134" s="13"/>
      <c r="BJ134" s="116"/>
      <c r="BK134" s="123"/>
      <c r="BL134" s="123"/>
      <c r="BM134" s="123"/>
      <c r="BR134" s="115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25"/>
      <c r="CC134" s="13"/>
      <c r="CF134" s="114"/>
    </row>
    <row r="135" spans="1:84" ht="20.100000000000001" customHeight="1" x14ac:dyDescent="0.4">
      <c r="A135" s="117"/>
      <c r="B135" s="123"/>
      <c r="C135" s="123"/>
      <c r="D135" s="123"/>
      <c r="J135" s="25">
        <v>46165</v>
      </c>
      <c r="K135" s="15" t="s">
        <v>146</v>
      </c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29"/>
      <c r="AD135" s="29"/>
      <c r="AS135" s="127"/>
      <c r="AT135" s="29"/>
      <c r="BD135" s="25"/>
      <c r="BE135" s="13"/>
      <c r="BJ135" s="116"/>
      <c r="BK135" s="123"/>
      <c r="BL135" s="123"/>
      <c r="BM135" s="123"/>
      <c r="BR135" s="115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25"/>
      <c r="CC135" s="13"/>
      <c r="CF135" s="114"/>
    </row>
    <row r="136" spans="1:84" ht="20.100000000000001" customHeight="1" x14ac:dyDescent="0.4">
      <c r="A136" s="117"/>
      <c r="B136" s="123"/>
      <c r="C136" s="123"/>
      <c r="D136" s="123"/>
      <c r="J136" s="25">
        <v>46165</v>
      </c>
      <c r="K136" s="15" t="s">
        <v>146</v>
      </c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27"/>
      <c r="AD136" s="29"/>
      <c r="AS136" s="127"/>
      <c r="AT136" s="29"/>
      <c r="BD136" s="25"/>
      <c r="BE136" s="13"/>
      <c r="BJ136" s="116"/>
      <c r="BK136" s="123"/>
      <c r="BL136" s="123"/>
      <c r="BM136" s="123"/>
      <c r="BR136" s="115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25"/>
      <c r="CC136" s="13"/>
      <c r="CF136" s="114"/>
    </row>
    <row r="137" spans="1:84" ht="20.100000000000001" customHeight="1" x14ac:dyDescent="0.4">
      <c r="A137" s="117"/>
      <c r="B137" s="123"/>
      <c r="C137" s="123"/>
      <c r="D137" s="123"/>
      <c r="J137" s="25">
        <v>46165</v>
      </c>
      <c r="K137" s="15" t="s">
        <v>146</v>
      </c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27"/>
      <c r="AD137" s="29"/>
      <c r="AS137" s="127"/>
      <c r="AT137" s="29"/>
      <c r="BD137" s="25"/>
      <c r="BE137" s="13"/>
      <c r="BJ137" s="116"/>
      <c r="BK137" s="123"/>
      <c r="BL137" s="123"/>
      <c r="BM137" s="123"/>
      <c r="BR137" s="115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25"/>
      <c r="CC137" s="13"/>
      <c r="CF137" s="114"/>
    </row>
    <row r="138" spans="1:84" ht="20.100000000000001" customHeight="1" x14ac:dyDescent="0.4">
      <c r="A138" s="117"/>
      <c r="B138" s="123"/>
      <c r="C138" s="123"/>
      <c r="D138" s="123"/>
      <c r="J138" s="25">
        <v>46165</v>
      </c>
      <c r="K138" s="15" t="s">
        <v>147</v>
      </c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27"/>
      <c r="AD138" s="29"/>
      <c r="AS138" s="127"/>
      <c r="AT138" s="29"/>
      <c r="BD138" s="25"/>
      <c r="BE138" s="13"/>
      <c r="BJ138" s="116"/>
      <c r="BK138" s="123"/>
      <c r="BL138" s="123"/>
      <c r="BM138" s="123"/>
      <c r="BR138" s="115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25"/>
      <c r="CC138" s="13"/>
      <c r="CF138" s="114"/>
    </row>
    <row r="139" spans="1:84" ht="20.100000000000001" customHeight="1" x14ac:dyDescent="0.4">
      <c r="A139" s="117"/>
      <c r="B139" s="123"/>
      <c r="C139" s="123"/>
      <c r="D139" s="123"/>
      <c r="J139" s="25">
        <v>46165</v>
      </c>
      <c r="K139" s="15" t="s">
        <v>148</v>
      </c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27"/>
      <c r="AD139" s="29"/>
      <c r="AS139" s="127"/>
      <c r="AT139" s="29"/>
      <c r="BD139" s="25"/>
      <c r="BE139" s="13"/>
      <c r="BJ139" s="116"/>
      <c r="BK139" s="123"/>
      <c r="BL139" s="123"/>
      <c r="BM139" s="123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25"/>
      <c r="CC139" s="13"/>
      <c r="CF139" s="114"/>
    </row>
    <row r="140" spans="1:84" ht="20.100000000000001" customHeight="1" x14ac:dyDescent="0.4">
      <c r="A140" s="117"/>
      <c r="B140" s="123"/>
      <c r="C140" s="123"/>
      <c r="D140" s="123"/>
      <c r="J140" s="25">
        <v>46165</v>
      </c>
      <c r="K140" s="13" t="s">
        <v>147</v>
      </c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27"/>
      <c r="AD140" s="29"/>
      <c r="AS140" s="127"/>
      <c r="AT140" s="29"/>
      <c r="BD140" s="25"/>
      <c r="BE140" s="13"/>
      <c r="BJ140" s="116"/>
      <c r="BK140" s="123"/>
      <c r="BL140" s="123"/>
      <c r="BM140" s="123"/>
      <c r="BR140" s="115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25"/>
      <c r="CC140" s="13"/>
      <c r="CF140" s="114"/>
    </row>
    <row r="141" spans="1:84" ht="20.100000000000001" customHeight="1" x14ac:dyDescent="0.4">
      <c r="A141" s="117"/>
      <c r="B141" s="123"/>
      <c r="C141" s="123"/>
      <c r="D141" s="123"/>
      <c r="I141" s="115" t="s">
        <v>559</v>
      </c>
      <c r="J141" s="13">
        <f>SUBTOTAL(3,J120:J140)</f>
        <v>21</v>
      </c>
      <c r="K141" s="13">
        <f>SUBTOTAL(3,K120:K140)</f>
        <v>21</v>
      </c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27"/>
      <c r="AD141" s="29"/>
      <c r="AS141" s="127"/>
      <c r="AT141" s="29"/>
      <c r="BD141" s="25"/>
      <c r="BE141" s="13"/>
      <c r="BJ141" s="116"/>
      <c r="BK141" s="123"/>
      <c r="BL141" s="123"/>
      <c r="BM141" s="123"/>
      <c r="BR141" s="115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25"/>
      <c r="CC141" s="13"/>
      <c r="CF141" s="114"/>
    </row>
    <row r="142" spans="1:84" ht="20.100000000000001" customHeight="1" x14ac:dyDescent="0.4">
      <c r="A142" s="117"/>
      <c r="B142" s="123"/>
      <c r="C142" s="123"/>
      <c r="D142" s="123"/>
      <c r="J142" s="25">
        <v>46167</v>
      </c>
      <c r="K142" s="13" t="s">
        <v>146</v>
      </c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27"/>
      <c r="AD142" s="29"/>
      <c r="AS142" s="127"/>
      <c r="AT142" s="29"/>
      <c r="BD142" s="25"/>
      <c r="BE142" s="13"/>
      <c r="BJ142" s="116"/>
      <c r="BK142" s="123"/>
      <c r="BL142" s="123"/>
      <c r="BM142" s="123"/>
      <c r="BR142" s="115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25"/>
      <c r="CC142" s="13"/>
      <c r="CF142" s="114"/>
    </row>
    <row r="143" spans="1:84" ht="20.100000000000001" customHeight="1" x14ac:dyDescent="0.4">
      <c r="A143" s="117"/>
      <c r="B143" s="123"/>
      <c r="C143" s="123"/>
      <c r="D143" s="123"/>
      <c r="J143" s="25">
        <v>46167</v>
      </c>
      <c r="K143" s="13" t="s">
        <v>146</v>
      </c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27"/>
      <c r="AD143" s="29"/>
      <c r="AS143" s="127"/>
      <c r="AT143" s="29"/>
      <c r="BD143" s="25"/>
      <c r="BE143" s="13"/>
      <c r="BJ143" s="116"/>
      <c r="BK143" s="123"/>
      <c r="BL143" s="123"/>
      <c r="BM143" s="123"/>
      <c r="BR143" s="115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25"/>
      <c r="CC143" s="13"/>
      <c r="CF143" s="114"/>
    </row>
    <row r="144" spans="1:84" ht="20.100000000000001" customHeight="1" x14ac:dyDescent="0.4">
      <c r="A144" s="117"/>
      <c r="B144" s="123"/>
      <c r="C144" s="123"/>
      <c r="D144" s="123"/>
      <c r="J144" s="25">
        <v>46167</v>
      </c>
      <c r="K144" s="13" t="s">
        <v>147</v>
      </c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27"/>
      <c r="AD144" s="29"/>
      <c r="AS144" s="127"/>
      <c r="AT144" s="29"/>
      <c r="BD144" s="25"/>
      <c r="BE144" s="13"/>
      <c r="BJ144" s="116"/>
      <c r="BK144" s="123"/>
      <c r="BL144" s="123"/>
      <c r="BM144" s="123"/>
      <c r="BR144" s="115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25"/>
      <c r="CC144" s="13"/>
      <c r="CF144" s="114"/>
    </row>
    <row r="145" spans="1:84" ht="20.100000000000001" customHeight="1" x14ac:dyDescent="0.4">
      <c r="A145" s="117"/>
      <c r="B145" s="123"/>
      <c r="C145" s="123"/>
      <c r="D145" s="123"/>
      <c r="H145" s="115"/>
      <c r="I145" s="115"/>
      <c r="J145" s="25">
        <v>46167</v>
      </c>
      <c r="K145" s="13" t="s">
        <v>147</v>
      </c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27"/>
      <c r="AD145" s="29"/>
      <c r="AS145" s="127"/>
      <c r="AT145" s="29"/>
      <c r="BD145" s="25"/>
      <c r="BE145" s="13"/>
      <c r="BJ145" s="116"/>
      <c r="BK145" s="123"/>
      <c r="BL145" s="123"/>
      <c r="BM145" s="123"/>
      <c r="BR145" s="115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25"/>
      <c r="CC145" s="13"/>
      <c r="CF145" s="114"/>
    </row>
    <row r="146" spans="1:84" ht="20.100000000000001" customHeight="1" x14ac:dyDescent="0.4">
      <c r="A146" s="117"/>
      <c r="B146" s="123"/>
      <c r="C146" s="123"/>
      <c r="D146" s="123"/>
      <c r="J146" s="25">
        <v>46167</v>
      </c>
      <c r="K146" s="13" t="s">
        <v>146</v>
      </c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27"/>
      <c r="AD146" s="29"/>
      <c r="AS146" s="127"/>
      <c r="AT146" s="29"/>
      <c r="BD146" s="25"/>
      <c r="BE146" s="13"/>
      <c r="BJ146" s="116"/>
      <c r="BK146" s="123"/>
      <c r="BL146" s="123"/>
      <c r="BM146" s="123"/>
      <c r="BR146" s="115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25"/>
      <c r="CC146" s="13"/>
      <c r="CF146" s="114"/>
    </row>
    <row r="147" spans="1:84" ht="20.100000000000001" customHeight="1" x14ac:dyDescent="0.4">
      <c r="A147" s="117"/>
      <c r="B147" s="123"/>
      <c r="C147" s="123"/>
      <c r="D147" s="123"/>
      <c r="I147" s="115" t="s">
        <v>560</v>
      </c>
      <c r="J147" s="13">
        <f>SUBTOTAL(3,J142:J146)</f>
        <v>5</v>
      </c>
      <c r="K147" s="13">
        <f>SUBTOTAL(3,K142:K146)</f>
        <v>5</v>
      </c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27"/>
      <c r="AD147" s="29"/>
      <c r="AS147" s="127"/>
      <c r="AT147" s="29"/>
      <c r="BD147" s="25"/>
      <c r="BE147" s="13"/>
      <c r="BJ147" s="116"/>
      <c r="BK147" s="123"/>
      <c r="BL147" s="123"/>
      <c r="BM147" s="123"/>
      <c r="BR147" s="115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25"/>
      <c r="CC147" s="13"/>
      <c r="CF147" s="114"/>
    </row>
    <row r="148" spans="1:84" ht="20.100000000000001" customHeight="1" x14ac:dyDescent="0.4">
      <c r="A148" s="117"/>
      <c r="B148" s="123"/>
      <c r="C148" s="123"/>
      <c r="D148" s="123"/>
      <c r="J148" s="25">
        <v>46168</v>
      </c>
      <c r="K148" s="13" t="s">
        <v>148</v>
      </c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27"/>
      <c r="AD148" s="29"/>
      <c r="AS148" s="127"/>
      <c r="AT148" s="29"/>
      <c r="BD148" s="25"/>
      <c r="BE148" s="13"/>
      <c r="BJ148" s="116"/>
      <c r="BK148" s="123"/>
      <c r="BL148" s="123"/>
      <c r="BM148" s="123"/>
      <c r="BR148" s="115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25"/>
      <c r="CC148" s="13"/>
      <c r="CF148" s="114"/>
    </row>
    <row r="149" spans="1:84" ht="20.100000000000001" customHeight="1" x14ac:dyDescent="0.4">
      <c r="A149" s="117"/>
      <c r="B149" s="123"/>
      <c r="C149" s="123"/>
      <c r="D149" s="123"/>
      <c r="I149" s="115" t="s">
        <v>561</v>
      </c>
      <c r="J149" s="13">
        <f>SUBTOTAL(3,J148:J148)</f>
        <v>1</v>
      </c>
      <c r="K149" s="13">
        <f>SUBTOTAL(3,K148:K148)</f>
        <v>1</v>
      </c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27"/>
      <c r="AD149" s="29"/>
      <c r="AS149" s="127"/>
      <c r="AT149" s="29"/>
      <c r="BD149" s="25"/>
      <c r="BE149" s="13"/>
      <c r="BJ149" s="116"/>
      <c r="BK149" s="123"/>
      <c r="BL149" s="123"/>
      <c r="BM149" s="123"/>
      <c r="BR149" s="115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25"/>
      <c r="CC149" s="13"/>
      <c r="CF149" s="114"/>
    </row>
    <row r="150" spans="1:84" ht="20.100000000000001" customHeight="1" x14ac:dyDescent="0.4">
      <c r="A150" s="117"/>
      <c r="B150" s="123"/>
      <c r="C150" s="123"/>
      <c r="D150" s="123"/>
      <c r="J150" s="25">
        <v>46169</v>
      </c>
      <c r="K150" s="13" t="s">
        <v>142</v>
      </c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27"/>
      <c r="AD150" s="29"/>
      <c r="AS150" s="127"/>
      <c r="AT150" s="29"/>
      <c r="BD150" s="25"/>
      <c r="BE150" s="13"/>
      <c r="BJ150" s="116"/>
      <c r="BK150" s="123"/>
      <c r="BL150" s="123"/>
      <c r="BM150" s="123"/>
      <c r="BR150" s="115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25"/>
      <c r="CC150" s="13"/>
      <c r="CF150" s="114"/>
    </row>
    <row r="151" spans="1:84" ht="20.100000000000001" customHeight="1" x14ac:dyDescent="0.4">
      <c r="A151" s="117"/>
      <c r="B151" s="123"/>
      <c r="C151" s="123"/>
      <c r="D151" s="123"/>
      <c r="J151" s="25">
        <v>46169</v>
      </c>
      <c r="K151" s="13" t="s">
        <v>142</v>
      </c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27"/>
      <c r="AD151" s="29"/>
      <c r="AS151" s="127"/>
      <c r="AT151" s="29"/>
      <c r="BD151" s="25"/>
      <c r="BE151" s="13"/>
      <c r="BJ151" s="116"/>
      <c r="BK151" s="123"/>
      <c r="BL151" s="123"/>
      <c r="BM151" s="123"/>
      <c r="BR151" s="115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25"/>
      <c r="CC151" s="13"/>
      <c r="CF151" s="114"/>
    </row>
    <row r="152" spans="1:84" ht="20.100000000000001" customHeight="1" x14ac:dyDescent="0.4">
      <c r="A152" s="117"/>
      <c r="B152" s="123"/>
      <c r="C152" s="123"/>
      <c r="D152" s="123"/>
      <c r="J152" s="25">
        <v>46169</v>
      </c>
      <c r="K152" s="13" t="s">
        <v>142</v>
      </c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27"/>
      <c r="AD152" s="29"/>
      <c r="AS152" s="127"/>
      <c r="AT152" s="29"/>
      <c r="BD152" s="25"/>
      <c r="BE152" s="13"/>
      <c r="BJ152" s="116"/>
      <c r="BK152" s="123"/>
      <c r="BL152" s="123"/>
      <c r="BM152" s="123"/>
      <c r="BR152" s="115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25"/>
      <c r="CC152" s="13"/>
      <c r="CF152" s="114"/>
    </row>
    <row r="153" spans="1:84" ht="20.100000000000001" customHeight="1" x14ac:dyDescent="0.4">
      <c r="A153" s="117"/>
      <c r="B153" s="123"/>
      <c r="C153" s="123"/>
      <c r="D153" s="123"/>
      <c r="J153" s="25">
        <v>46169</v>
      </c>
      <c r="K153" s="13" t="s">
        <v>142</v>
      </c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27"/>
      <c r="AD153" s="29"/>
      <c r="AS153" s="127"/>
      <c r="AT153" s="29"/>
      <c r="BD153" s="25"/>
      <c r="BE153" s="13"/>
      <c r="BJ153" s="116"/>
      <c r="BK153" s="123"/>
      <c r="BL153" s="123"/>
      <c r="BM153" s="123"/>
      <c r="BR153" s="115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25"/>
      <c r="CC153" s="13"/>
      <c r="CF153" s="114"/>
    </row>
    <row r="154" spans="1:84" ht="20.100000000000001" customHeight="1" x14ac:dyDescent="0.4">
      <c r="A154" s="117"/>
      <c r="B154" s="123"/>
      <c r="C154" s="123"/>
      <c r="D154" s="123"/>
      <c r="J154" s="25">
        <v>46169</v>
      </c>
      <c r="K154" s="13" t="s">
        <v>142</v>
      </c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27"/>
      <c r="AD154" s="29"/>
      <c r="AS154" s="127"/>
      <c r="AT154" s="29"/>
      <c r="BD154" s="25"/>
      <c r="BE154" s="13"/>
      <c r="BJ154" s="116"/>
      <c r="BK154" s="123"/>
      <c r="BL154" s="123"/>
      <c r="BM154" s="123"/>
      <c r="BR154" s="115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25"/>
      <c r="CC154" s="13"/>
      <c r="CF154" s="114"/>
    </row>
    <row r="155" spans="1:84" ht="20.100000000000001" customHeight="1" x14ac:dyDescent="0.4">
      <c r="A155" s="117"/>
      <c r="B155" s="123"/>
      <c r="C155" s="123"/>
      <c r="D155" s="123"/>
      <c r="J155" s="25">
        <v>46169</v>
      </c>
      <c r="K155" s="13" t="s">
        <v>142</v>
      </c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27"/>
      <c r="AD155" s="29"/>
      <c r="AS155" s="127"/>
      <c r="AT155" s="29"/>
      <c r="BD155" s="25"/>
      <c r="BE155" s="13"/>
      <c r="BJ155" s="116"/>
      <c r="BK155" s="123"/>
      <c r="BL155" s="123"/>
      <c r="BM155" s="123"/>
      <c r="BR155" s="115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25"/>
      <c r="CC155" s="13"/>
      <c r="CF155" s="114"/>
    </row>
    <row r="156" spans="1:84" ht="20.100000000000001" customHeight="1" x14ac:dyDescent="0.4">
      <c r="A156" s="117"/>
      <c r="B156" s="123"/>
      <c r="C156" s="123"/>
      <c r="D156" s="123"/>
      <c r="J156" s="25">
        <v>46169</v>
      </c>
      <c r="K156" s="13" t="s">
        <v>142</v>
      </c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27"/>
      <c r="AD156" s="29"/>
      <c r="AS156" s="127"/>
      <c r="AT156" s="29"/>
      <c r="BD156" s="25"/>
      <c r="BE156" s="13"/>
      <c r="BJ156" s="116"/>
      <c r="BK156" s="123"/>
      <c r="BL156" s="123"/>
      <c r="BM156" s="123"/>
      <c r="BR156" s="115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25"/>
      <c r="CC156" s="13"/>
      <c r="CF156" s="114"/>
    </row>
    <row r="157" spans="1:84" ht="20.100000000000001" customHeight="1" x14ac:dyDescent="0.4">
      <c r="A157" s="117"/>
      <c r="B157" s="123"/>
      <c r="C157" s="123"/>
      <c r="D157" s="123"/>
      <c r="J157" s="26">
        <v>46169</v>
      </c>
      <c r="K157" s="13" t="s">
        <v>142</v>
      </c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27"/>
      <c r="AD157" s="29"/>
      <c r="AS157" s="127"/>
      <c r="AT157" s="29"/>
      <c r="BD157" s="25"/>
      <c r="BE157" s="13"/>
      <c r="BJ157" s="116"/>
      <c r="BK157" s="123"/>
      <c r="BL157" s="123"/>
      <c r="BM157" s="123"/>
      <c r="BR157" s="115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25"/>
      <c r="CC157" s="13"/>
      <c r="CF157" s="114"/>
    </row>
    <row r="158" spans="1:84" ht="20.100000000000001" customHeight="1" x14ac:dyDescent="0.4">
      <c r="A158" s="117"/>
      <c r="B158" s="123"/>
      <c r="C158" s="123"/>
      <c r="D158" s="123"/>
      <c r="J158" s="26">
        <v>46169</v>
      </c>
      <c r="K158" s="13" t="s">
        <v>142</v>
      </c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27"/>
      <c r="AD158" s="29"/>
      <c r="AS158" s="127"/>
      <c r="AT158" s="29"/>
      <c r="BD158" s="25"/>
      <c r="BE158" s="13"/>
      <c r="BJ158" s="116"/>
      <c r="BK158" s="123"/>
      <c r="BL158" s="123"/>
      <c r="BM158" s="123"/>
      <c r="BR158" s="115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25"/>
      <c r="CC158" s="13"/>
      <c r="CF158" s="114"/>
    </row>
    <row r="159" spans="1:84" ht="20.100000000000001" customHeight="1" x14ac:dyDescent="0.4">
      <c r="A159" s="117"/>
      <c r="B159" s="123"/>
      <c r="C159" s="123"/>
      <c r="D159" s="123"/>
      <c r="J159" s="26">
        <v>46169</v>
      </c>
      <c r="K159" s="13" t="s">
        <v>142</v>
      </c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27"/>
      <c r="AD159" s="29"/>
      <c r="AS159" s="127"/>
      <c r="AT159" s="29"/>
      <c r="BD159" s="25"/>
      <c r="BE159" s="13"/>
      <c r="BJ159" s="116"/>
      <c r="BK159" s="123"/>
      <c r="BL159" s="123"/>
      <c r="BM159" s="123"/>
      <c r="BR159" s="115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25"/>
      <c r="CC159" s="13"/>
      <c r="CF159" s="114"/>
    </row>
    <row r="160" spans="1:84" ht="20.100000000000001" customHeight="1" x14ac:dyDescent="0.4">
      <c r="A160" s="117"/>
      <c r="B160" s="123"/>
      <c r="C160" s="123"/>
      <c r="D160" s="123"/>
      <c r="J160" s="26">
        <v>46169</v>
      </c>
      <c r="K160" s="13" t="s">
        <v>142</v>
      </c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27"/>
      <c r="AD160" s="29"/>
      <c r="AS160" s="127"/>
      <c r="AT160" s="29"/>
      <c r="BD160" s="25"/>
      <c r="BE160" s="13"/>
      <c r="BJ160" s="116"/>
      <c r="BK160" s="123"/>
      <c r="BL160" s="123"/>
      <c r="BM160" s="123"/>
      <c r="BR160" s="115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25"/>
      <c r="CC160" s="13"/>
      <c r="CF160" s="114"/>
    </row>
    <row r="161" spans="1:84" ht="20.100000000000001" customHeight="1" x14ac:dyDescent="0.4">
      <c r="A161" s="117"/>
      <c r="B161" s="123"/>
      <c r="C161" s="123"/>
      <c r="D161" s="123"/>
      <c r="J161" s="26">
        <v>46169</v>
      </c>
      <c r="K161" s="13" t="s">
        <v>142</v>
      </c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27"/>
      <c r="AD161" s="29"/>
      <c r="AS161" s="127"/>
      <c r="AT161" s="29"/>
      <c r="BD161" s="25"/>
      <c r="BE161" s="13"/>
      <c r="BJ161" s="116"/>
      <c r="BK161" s="123"/>
      <c r="BL161" s="123"/>
      <c r="BM161" s="123"/>
      <c r="BR161" s="115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25"/>
      <c r="CC161" s="13"/>
      <c r="CF161" s="114"/>
    </row>
    <row r="162" spans="1:84" ht="20.100000000000001" customHeight="1" x14ac:dyDescent="0.4">
      <c r="A162" s="117"/>
      <c r="B162" s="123"/>
      <c r="C162" s="123"/>
      <c r="D162" s="123"/>
      <c r="H162" s="115"/>
      <c r="I162" s="115"/>
      <c r="J162" s="26">
        <v>46169</v>
      </c>
      <c r="K162" s="13" t="s">
        <v>142</v>
      </c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27"/>
      <c r="AD162" s="29"/>
      <c r="AS162" s="127"/>
      <c r="AT162" s="29"/>
      <c r="BD162" s="25"/>
      <c r="BE162" s="13"/>
      <c r="BJ162" s="116"/>
      <c r="BK162" s="123"/>
      <c r="BL162" s="123"/>
      <c r="BM162" s="123"/>
      <c r="BR162" s="115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25"/>
      <c r="CC162" s="13"/>
      <c r="CF162" s="114"/>
    </row>
    <row r="163" spans="1:84" ht="20.100000000000001" customHeight="1" x14ac:dyDescent="0.4">
      <c r="A163" s="117"/>
      <c r="B163" s="123"/>
      <c r="C163" s="123"/>
      <c r="D163" s="123"/>
      <c r="J163" s="26">
        <v>46169</v>
      </c>
      <c r="K163" s="13" t="s">
        <v>142</v>
      </c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27"/>
      <c r="AD163" s="29"/>
      <c r="AS163" s="127"/>
      <c r="AT163" s="29"/>
      <c r="BD163" s="25"/>
      <c r="BE163" s="13"/>
      <c r="BJ163" s="116"/>
      <c r="BK163" s="123"/>
      <c r="BL163" s="123"/>
      <c r="BM163" s="123"/>
      <c r="BR163" s="115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25"/>
      <c r="CC163" s="13"/>
      <c r="CF163" s="114"/>
    </row>
    <row r="164" spans="1:84" ht="20.100000000000001" customHeight="1" x14ac:dyDescent="0.4">
      <c r="A164" s="117"/>
      <c r="B164" s="123"/>
      <c r="C164" s="123"/>
      <c r="D164" s="123"/>
      <c r="J164" s="26">
        <v>46169</v>
      </c>
      <c r="K164" s="13" t="s">
        <v>142</v>
      </c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27"/>
      <c r="AD164" s="29"/>
      <c r="AS164" s="127"/>
      <c r="AT164" s="29"/>
      <c r="BD164" s="25"/>
      <c r="BE164" s="13"/>
      <c r="BJ164" s="116"/>
      <c r="BK164" s="123"/>
      <c r="BL164" s="123"/>
      <c r="BM164" s="123"/>
      <c r="BR164" s="115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25"/>
      <c r="CC164" s="13"/>
      <c r="CF164" s="114"/>
    </row>
    <row r="165" spans="1:84" ht="20.100000000000001" customHeight="1" x14ac:dyDescent="0.4">
      <c r="A165" s="117"/>
      <c r="B165" s="123"/>
      <c r="C165" s="123"/>
      <c r="D165" s="123"/>
      <c r="H165" s="115"/>
      <c r="I165" s="115"/>
      <c r="J165" s="26">
        <v>46169</v>
      </c>
      <c r="K165" s="13" t="s">
        <v>142</v>
      </c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27"/>
      <c r="AD165" s="29"/>
      <c r="AS165" s="127"/>
      <c r="AT165" s="29"/>
      <c r="BD165" s="25"/>
      <c r="BE165" s="13"/>
      <c r="BJ165" s="116"/>
      <c r="BK165" s="123"/>
      <c r="BL165" s="123"/>
      <c r="BM165" s="123"/>
      <c r="BR165" s="115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25"/>
      <c r="CC165" s="13"/>
      <c r="CF165" s="114"/>
    </row>
    <row r="166" spans="1:84" ht="20.100000000000001" customHeight="1" x14ac:dyDescent="0.4">
      <c r="A166" s="117"/>
      <c r="B166" s="123"/>
      <c r="C166" s="123"/>
      <c r="D166" s="123"/>
      <c r="J166" s="26">
        <v>46169</v>
      </c>
      <c r="K166" s="13" t="s">
        <v>142</v>
      </c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27"/>
      <c r="AD166" s="29"/>
      <c r="AS166" s="127"/>
      <c r="AT166" s="29"/>
      <c r="BD166" s="25"/>
      <c r="BE166" s="13"/>
      <c r="BJ166" s="116"/>
      <c r="BK166" s="123"/>
      <c r="BL166" s="123"/>
      <c r="BM166" s="123"/>
      <c r="BR166" s="115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25"/>
      <c r="CC166" s="13"/>
      <c r="CF166" s="114"/>
    </row>
    <row r="167" spans="1:84" ht="20.100000000000001" customHeight="1" x14ac:dyDescent="0.4">
      <c r="A167" s="117"/>
      <c r="B167" s="123"/>
      <c r="C167" s="123"/>
      <c r="D167" s="123"/>
      <c r="J167" s="26">
        <v>46169</v>
      </c>
      <c r="K167" s="13" t="s">
        <v>142</v>
      </c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27"/>
      <c r="AD167" s="29"/>
      <c r="AS167" s="127"/>
      <c r="AT167" s="29"/>
      <c r="BD167" s="25"/>
      <c r="BE167" s="13"/>
      <c r="BJ167" s="116"/>
      <c r="BK167" s="123"/>
      <c r="BL167" s="123"/>
      <c r="BM167" s="123"/>
      <c r="BR167" s="115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25"/>
      <c r="CC167" s="13"/>
      <c r="CF167" s="114"/>
    </row>
    <row r="168" spans="1:84" ht="20.100000000000001" customHeight="1" x14ac:dyDescent="0.4">
      <c r="A168" s="117"/>
      <c r="B168" s="123"/>
      <c r="C168" s="123"/>
      <c r="D168" s="123"/>
      <c r="J168" s="26">
        <v>46169</v>
      </c>
      <c r="K168" s="13" t="s">
        <v>142</v>
      </c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29"/>
      <c r="AD168" s="29"/>
      <c r="AS168" s="127"/>
      <c r="AT168" s="29"/>
      <c r="BD168" s="25"/>
      <c r="BE168" s="13"/>
      <c r="BJ168" s="116"/>
      <c r="BK168" s="123"/>
      <c r="BL168" s="123"/>
      <c r="BM168" s="123"/>
      <c r="BR168" s="115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25"/>
      <c r="CC168" s="13"/>
      <c r="CF168" s="114"/>
    </row>
    <row r="169" spans="1:84" ht="20.100000000000001" customHeight="1" x14ac:dyDescent="0.4">
      <c r="A169" s="117"/>
      <c r="B169" s="123"/>
      <c r="C169" s="123"/>
      <c r="D169" s="123"/>
      <c r="J169" s="26">
        <v>46169</v>
      </c>
      <c r="K169" s="13" t="s">
        <v>142</v>
      </c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27"/>
      <c r="AD169" s="29"/>
      <c r="AS169" s="127"/>
      <c r="AT169" s="29"/>
      <c r="BD169" s="25"/>
      <c r="BE169" s="13"/>
      <c r="BJ169" s="116"/>
      <c r="BK169" s="123"/>
      <c r="BL169" s="123"/>
      <c r="BM169" s="123"/>
      <c r="BR169" s="115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25"/>
      <c r="CC169" s="13"/>
      <c r="CF169" s="114"/>
    </row>
    <row r="170" spans="1:84" ht="20.100000000000001" customHeight="1" x14ac:dyDescent="0.4">
      <c r="A170" s="117"/>
      <c r="B170" s="123"/>
      <c r="C170" s="123"/>
      <c r="D170" s="123"/>
      <c r="J170" s="26">
        <v>46169</v>
      </c>
      <c r="K170" s="13" t="s">
        <v>147</v>
      </c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27"/>
      <c r="AD170" s="29"/>
      <c r="AS170" s="127"/>
      <c r="AT170" s="29"/>
      <c r="BD170" s="25"/>
      <c r="BE170" s="13"/>
      <c r="BJ170" s="116"/>
      <c r="BK170" s="123"/>
      <c r="BL170" s="123"/>
      <c r="BM170" s="123"/>
      <c r="BR170" s="115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25"/>
      <c r="CC170" s="13"/>
      <c r="CF170" s="114"/>
    </row>
    <row r="171" spans="1:84" ht="20.100000000000001" customHeight="1" x14ac:dyDescent="0.4">
      <c r="A171" s="117"/>
      <c r="B171" s="123"/>
      <c r="C171" s="123"/>
      <c r="D171" s="123"/>
      <c r="J171" s="26">
        <v>46169</v>
      </c>
      <c r="K171" s="13" t="s">
        <v>147</v>
      </c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27"/>
      <c r="AD171" s="29"/>
      <c r="AS171" s="127"/>
      <c r="AT171" s="29"/>
      <c r="BD171" s="25"/>
      <c r="BE171" s="13"/>
      <c r="BJ171" s="116"/>
      <c r="BK171" s="123"/>
      <c r="BL171" s="123"/>
      <c r="BM171" s="123"/>
      <c r="BR171" s="115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25"/>
      <c r="CC171" s="13"/>
      <c r="CF171" s="114"/>
    </row>
    <row r="172" spans="1:84" ht="20.100000000000001" customHeight="1" x14ac:dyDescent="0.4">
      <c r="A172" s="117"/>
      <c r="B172" s="123"/>
      <c r="C172" s="123"/>
      <c r="D172" s="123"/>
      <c r="I172" s="115" t="s">
        <v>562</v>
      </c>
      <c r="J172" s="17">
        <f>SUBTOTAL(3,J150:J171)</f>
        <v>22</v>
      </c>
      <c r="K172" s="13">
        <f>SUBTOTAL(3,K150:K171)</f>
        <v>22</v>
      </c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27"/>
      <c r="AD172" s="29"/>
      <c r="AS172" s="127"/>
      <c r="AT172" s="29"/>
      <c r="BD172" s="25"/>
      <c r="BE172" s="13"/>
      <c r="BJ172" s="116"/>
      <c r="BK172" s="123"/>
      <c r="BL172" s="123"/>
      <c r="BM172" s="123"/>
      <c r="BR172" s="115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25"/>
      <c r="CC172" s="13"/>
      <c r="CF172" s="114"/>
    </row>
    <row r="173" spans="1:84" ht="20.100000000000001" customHeight="1" x14ac:dyDescent="0.4">
      <c r="A173" s="117"/>
      <c r="B173" s="123"/>
      <c r="C173" s="123"/>
      <c r="D173" s="123"/>
      <c r="J173" s="26">
        <v>46170</v>
      </c>
      <c r="K173" s="13" t="s">
        <v>146</v>
      </c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27"/>
      <c r="AD173" s="29"/>
      <c r="AS173" s="127"/>
      <c r="AT173" s="29"/>
      <c r="BD173" s="25"/>
      <c r="BE173" s="13"/>
      <c r="BJ173" s="116"/>
      <c r="BK173" s="123"/>
      <c r="BL173" s="123"/>
      <c r="BM173" s="123"/>
      <c r="BR173" s="115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25"/>
      <c r="CC173" s="13"/>
      <c r="CF173" s="114"/>
    </row>
    <row r="174" spans="1:84" ht="20.100000000000001" customHeight="1" x14ac:dyDescent="0.4">
      <c r="A174" s="117"/>
      <c r="B174" s="123"/>
      <c r="C174" s="123"/>
      <c r="D174" s="123"/>
      <c r="J174" s="26">
        <v>46170</v>
      </c>
      <c r="K174" s="13" t="s">
        <v>148</v>
      </c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27"/>
      <c r="AD174" s="29"/>
      <c r="AS174" s="127"/>
      <c r="AT174" s="29"/>
      <c r="BD174" s="25"/>
      <c r="BE174" s="13"/>
      <c r="BJ174" s="116"/>
      <c r="BK174" s="123"/>
      <c r="BL174" s="123"/>
      <c r="BM174" s="123"/>
      <c r="BR174" s="115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25"/>
      <c r="CC174" s="13"/>
      <c r="CF174" s="114"/>
    </row>
    <row r="175" spans="1:84" ht="20.100000000000001" customHeight="1" x14ac:dyDescent="0.4">
      <c r="A175" s="117"/>
      <c r="B175" s="123"/>
      <c r="C175" s="123"/>
      <c r="D175" s="123"/>
      <c r="J175" s="26">
        <v>46170</v>
      </c>
      <c r="K175" s="13" t="s">
        <v>147</v>
      </c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29"/>
      <c r="AD175" s="29"/>
      <c r="AS175" s="127"/>
      <c r="AT175" s="29"/>
      <c r="BD175" s="25"/>
      <c r="BE175" s="13"/>
      <c r="BJ175" s="116"/>
      <c r="BK175" s="123"/>
      <c r="BL175" s="123"/>
      <c r="BM175" s="123"/>
      <c r="BR175" s="115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25"/>
      <c r="CC175" s="13"/>
      <c r="CF175" s="114"/>
    </row>
    <row r="176" spans="1:84" ht="20.100000000000001" customHeight="1" x14ac:dyDescent="0.4">
      <c r="A176" s="117"/>
      <c r="B176" s="123"/>
      <c r="C176" s="123"/>
      <c r="D176" s="123"/>
      <c r="J176" s="26">
        <v>46170</v>
      </c>
      <c r="K176" s="13" t="s">
        <v>146</v>
      </c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27"/>
      <c r="AD176" s="29"/>
      <c r="AS176" s="127"/>
      <c r="AT176" s="29"/>
      <c r="BD176" s="25"/>
      <c r="BE176" s="13"/>
      <c r="BJ176" s="116"/>
      <c r="BK176" s="123"/>
      <c r="BL176" s="123"/>
      <c r="BM176" s="123"/>
      <c r="BR176" s="115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25"/>
      <c r="CC176" s="13"/>
      <c r="CF176" s="114"/>
    </row>
    <row r="177" spans="1:84" ht="20.100000000000001" customHeight="1" x14ac:dyDescent="0.4">
      <c r="A177" s="117"/>
      <c r="B177" s="123"/>
      <c r="C177" s="123"/>
      <c r="D177" s="123"/>
      <c r="J177" s="26">
        <v>46170</v>
      </c>
      <c r="K177" s="13" t="s">
        <v>147</v>
      </c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27"/>
      <c r="AD177" s="29"/>
      <c r="AS177" s="127"/>
      <c r="AT177" s="29"/>
      <c r="BD177" s="25"/>
      <c r="BE177" s="13"/>
      <c r="BJ177" s="116"/>
      <c r="BK177" s="123"/>
      <c r="BL177" s="123"/>
      <c r="BM177" s="123"/>
      <c r="BR177" s="115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25"/>
      <c r="CC177" s="13"/>
      <c r="CF177" s="114"/>
    </row>
    <row r="178" spans="1:84" ht="20.100000000000001" customHeight="1" x14ac:dyDescent="0.4">
      <c r="A178" s="117"/>
      <c r="B178" s="123"/>
      <c r="C178" s="123"/>
      <c r="D178" s="123"/>
      <c r="J178" s="26">
        <v>46170</v>
      </c>
      <c r="K178" s="15" t="s">
        <v>146</v>
      </c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27"/>
      <c r="AD178" s="29"/>
      <c r="AS178" s="127"/>
      <c r="AT178" s="29"/>
      <c r="BD178" s="25"/>
      <c r="BE178" s="13"/>
      <c r="BJ178" s="116"/>
      <c r="BK178" s="123"/>
      <c r="BL178" s="123"/>
      <c r="BM178" s="123"/>
      <c r="BR178" s="115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25"/>
      <c r="CC178" s="13"/>
      <c r="CF178" s="114"/>
    </row>
    <row r="179" spans="1:84" ht="20.100000000000001" customHeight="1" x14ac:dyDescent="0.4">
      <c r="A179" s="117"/>
      <c r="B179" s="123"/>
      <c r="C179" s="123"/>
      <c r="D179" s="123"/>
      <c r="I179" s="115" t="s">
        <v>563</v>
      </c>
      <c r="J179" s="17">
        <f>SUBTOTAL(3,J173:J178)</f>
        <v>6</v>
      </c>
      <c r="K179" s="15">
        <f>SUBTOTAL(3,K173:K178)</f>
        <v>6</v>
      </c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27"/>
      <c r="AD179" s="29"/>
      <c r="AS179" s="127"/>
      <c r="AT179" s="29"/>
      <c r="BD179" s="25"/>
      <c r="BE179" s="13"/>
      <c r="BJ179" s="116"/>
      <c r="BK179" s="123"/>
      <c r="BL179" s="123"/>
      <c r="BM179" s="123"/>
      <c r="BR179" s="115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25"/>
      <c r="CC179" s="13"/>
      <c r="CF179" s="114"/>
    </row>
    <row r="180" spans="1:84" ht="20.100000000000001" customHeight="1" x14ac:dyDescent="0.4">
      <c r="A180" s="117"/>
      <c r="B180" s="123"/>
      <c r="C180" s="123"/>
      <c r="D180" s="123"/>
      <c r="J180" s="26">
        <v>46171</v>
      </c>
      <c r="K180" s="15" t="s">
        <v>146</v>
      </c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27"/>
      <c r="AD180" s="29"/>
      <c r="AS180" s="127"/>
      <c r="AT180" s="29"/>
      <c r="BD180" s="25"/>
      <c r="BE180" s="13"/>
      <c r="BJ180" s="116"/>
      <c r="BK180" s="123"/>
      <c r="BL180" s="123"/>
      <c r="BM180" s="123"/>
      <c r="BR180" s="115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25"/>
      <c r="CC180" s="13"/>
      <c r="CF180" s="114"/>
    </row>
    <row r="181" spans="1:84" ht="20.100000000000001" customHeight="1" x14ac:dyDescent="0.4">
      <c r="A181" s="117"/>
      <c r="B181" s="123"/>
      <c r="C181" s="123"/>
      <c r="D181" s="123"/>
      <c r="J181" s="26">
        <v>46171</v>
      </c>
      <c r="K181" s="13" t="s">
        <v>146</v>
      </c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27"/>
      <c r="AD181" s="29"/>
      <c r="AS181" s="127"/>
      <c r="AT181" s="29"/>
      <c r="BD181" s="25"/>
      <c r="BE181" s="13"/>
      <c r="BJ181" s="116"/>
      <c r="BK181" s="123"/>
      <c r="BL181" s="123"/>
      <c r="BM181" s="123"/>
      <c r="BR181" s="115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25"/>
      <c r="CC181" s="13"/>
      <c r="CF181" s="114"/>
    </row>
    <row r="182" spans="1:84" ht="20.100000000000001" customHeight="1" x14ac:dyDescent="0.4">
      <c r="A182" s="117"/>
      <c r="B182" s="123"/>
      <c r="C182" s="123"/>
      <c r="D182" s="123"/>
      <c r="J182" s="26">
        <v>46171</v>
      </c>
      <c r="K182" s="13" t="s">
        <v>148</v>
      </c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27"/>
      <c r="AD182" s="29"/>
      <c r="AS182" s="127"/>
      <c r="AT182" s="29"/>
      <c r="BD182" s="25"/>
      <c r="BE182" s="13"/>
      <c r="BJ182" s="116"/>
      <c r="BK182" s="123"/>
      <c r="BL182" s="123"/>
      <c r="BM182" s="123"/>
      <c r="BR182" s="115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25"/>
      <c r="CC182" s="13"/>
      <c r="CF182" s="114"/>
    </row>
    <row r="183" spans="1:84" ht="20.100000000000001" customHeight="1" x14ac:dyDescent="0.4">
      <c r="A183" s="117"/>
      <c r="B183" s="123"/>
      <c r="C183" s="123"/>
      <c r="D183" s="123"/>
      <c r="J183" s="26">
        <v>46171</v>
      </c>
      <c r="K183" s="13" t="s">
        <v>148</v>
      </c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27"/>
      <c r="AD183" s="29"/>
      <c r="AS183" s="127"/>
      <c r="AT183" s="29"/>
      <c r="BD183" s="25"/>
      <c r="BE183" s="13"/>
      <c r="BJ183" s="116"/>
      <c r="BK183" s="123"/>
      <c r="BL183" s="123"/>
      <c r="BM183" s="123"/>
      <c r="BR183" s="115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25"/>
      <c r="CC183" s="13"/>
      <c r="CF183" s="114"/>
    </row>
    <row r="184" spans="1:84" ht="20.100000000000001" customHeight="1" x14ac:dyDescent="0.4">
      <c r="A184" s="117"/>
      <c r="B184" s="123"/>
      <c r="C184" s="123"/>
      <c r="D184" s="123"/>
      <c r="I184" s="115" t="s">
        <v>370</v>
      </c>
      <c r="J184" s="17">
        <f>SUBTOTAL(3,J180:J183)</f>
        <v>4</v>
      </c>
      <c r="K184" s="13">
        <f>SUBTOTAL(3,K180:K183)</f>
        <v>4</v>
      </c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27"/>
      <c r="AD184" s="29"/>
      <c r="AS184" s="127"/>
      <c r="AT184" s="29"/>
      <c r="BD184" s="25"/>
      <c r="BE184" s="13"/>
      <c r="BJ184" s="116"/>
      <c r="BK184" s="123"/>
      <c r="BL184" s="123"/>
      <c r="BM184" s="123"/>
      <c r="BR184" s="115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25"/>
      <c r="CC184" s="13"/>
      <c r="CF184" s="114"/>
    </row>
    <row r="185" spans="1:84" ht="20.100000000000001" customHeight="1" x14ac:dyDescent="0.4">
      <c r="A185" s="117"/>
      <c r="B185" s="123"/>
      <c r="C185" s="123"/>
      <c r="D185" s="123"/>
      <c r="J185" s="26">
        <v>46172</v>
      </c>
      <c r="K185" s="13" t="s">
        <v>146</v>
      </c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27"/>
      <c r="AD185" s="29"/>
      <c r="AS185" s="127"/>
      <c r="AT185" s="29"/>
      <c r="BD185" s="25"/>
      <c r="BE185" s="13"/>
      <c r="BJ185" s="116"/>
      <c r="BK185" s="123"/>
      <c r="BL185" s="123"/>
      <c r="BM185" s="123"/>
      <c r="BR185" s="115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25"/>
      <c r="CC185" s="13"/>
      <c r="CF185" s="114"/>
    </row>
    <row r="186" spans="1:84" ht="20.100000000000001" customHeight="1" x14ac:dyDescent="0.4">
      <c r="A186" s="117"/>
      <c r="B186" s="123"/>
      <c r="C186" s="123"/>
      <c r="D186" s="123"/>
      <c r="G186" s="115"/>
      <c r="H186" s="115"/>
      <c r="I186" s="115"/>
      <c r="J186" s="26">
        <v>46172</v>
      </c>
      <c r="K186" s="13" t="s">
        <v>147</v>
      </c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27"/>
      <c r="AD186" s="29"/>
      <c r="AS186" s="127"/>
      <c r="AT186" s="29"/>
      <c r="BD186" s="25"/>
      <c r="BE186" s="13"/>
      <c r="BJ186" s="116"/>
      <c r="BK186" s="123"/>
      <c r="BL186" s="123"/>
      <c r="BM186" s="123"/>
      <c r="BR186" s="115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25"/>
      <c r="CC186" s="13"/>
      <c r="CF186" s="114"/>
    </row>
    <row r="187" spans="1:84" ht="20.100000000000001" customHeight="1" x14ac:dyDescent="0.4">
      <c r="A187" s="117"/>
      <c r="B187" s="123"/>
      <c r="C187" s="123"/>
      <c r="D187" s="123"/>
      <c r="G187" s="115"/>
      <c r="H187" s="115"/>
      <c r="I187" s="115"/>
      <c r="J187" s="26">
        <v>46172</v>
      </c>
      <c r="K187" s="13" t="s">
        <v>147</v>
      </c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27"/>
      <c r="AD187" s="29"/>
      <c r="AS187" s="127"/>
      <c r="AT187" s="29"/>
      <c r="BD187" s="25"/>
      <c r="BE187" s="13"/>
      <c r="BJ187" s="116"/>
      <c r="BK187" s="123"/>
      <c r="BL187" s="123"/>
      <c r="BM187" s="123"/>
      <c r="BR187" s="115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25"/>
      <c r="CC187" s="13"/>
      <c r="CF187" s="114"/>
    </row>
    <row r="188" spans="1:84" ht="20.100000000000001" customHeight="1" x14ac:dyDescent="0.4">
      <c r="A188" s="117"/>
      <c r="B188" s="123"/>
      <c r="C188" s="123"/>
      <c r="D188" s="123"/>
      <c r="G188" s="115"/>
      <c r="H188" s="115"/>
      <c r="I188" s="115" t="s">
        <v>564</v>
      </c>
      <c r="J188" s="17">
        <f>SUBTOTAL(3,J185:J187)</f>
        <v>3</v>
      </c>
      <c r="K188" s="13">
        <f>SUBTOTAL(3,K185:K187)</f>
        <v>3</v>
      </c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27"/>
      <c r="AD188" s="29"/>
      <c r="AS188" s="127"/>
      <c r="AT188" s="29"/>
      <c r="BD188" s="25"/>
      <c r="BE188" s="13"/>
      <c r="BJ188" s="116"/>
      <c r="BK188" s="123"/>
      <c r="BL188" s="123"/>
      <c r="BM188" s="123"/>
      <c r="BR188" s="115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25"/>
      <c r="CC188" s="13"/>
      <c r="CF188" s="114"/>
    </row>
    <row r="189" spans="1:84" ht="20.100000000000001" customHeight="1" x14ac:dyDescent="0.4">
      <c r="A189" s="117"/>
      <c r="B189" s="123"/>
      <c r="C189" s="123"/>
      <c r="D189" s="123"/>
      <c r="G189" s="115"/>
      <c r="H189" s="115"/>
      <c r="I189" s="115"/>
      <c r="J189" s="26">
        <v>46175</v>
      </c>
      <c r="K189" s="13" t="s">
        <v>146</v>
      </c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27"/>
      <c r="AD189" s="29"/>
      <c r="AS189" s="127"/>
      <c r="AT189" s="29"/>
      <c r="BD189" s="25"/>
      <c r="BE189" s="13"/>
      <c r="BJ189" s="116"/>
      <c r="BK189" s="123"/>
      <c r="BL189" s="123"/>
      <c r="BM189" s="123"/>
      <c r="BR189" s="115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25"/>
      <c r="CC189" s="13"/>
      <c r="CF189" s="114"/>
    </row>
    <row r="190" spans="1:84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26">
        <v>46175</v>
      </c>
      <c r="K190" s="13" t="s">
        <v>148</v>
      </c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27"/>
      <c r="AD190" s="29"/>
      <c r="AS190" s="127"/>
      <c r="AT190" s="29"/>
      <c r="BD190" s="25"/>
      <c r="BE190" s="13"/>
      <c r="BJ190" s="116"/>
      <c r="BK190" s="123"/>
      <c r="BL190" s="123"/>
      <c r="BM190" s="123"/>
      <c r="BR190" s="115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25"/>
      <c r="CC190" s="13"/>
      <c r="CF190" s="114"/>
    </row>
    <row r="191" spans="1:84" ht="20.100000000000001" customHeight="1" x14ac:dyDescent="0.4">
      <c r="A191" s="117"/>
      <c r="B191" s="123"/>
      <c r="C191" s="123"/>
      <c r="D191" s="123"/>
      <c r="G191" s="115"/>
      <c r="H191" s="115"/>
      <c r="I191" s="115" t="s">
        <v>565</v>
      </c>
      <c r="J191" s="17">
        <f>SUBTOTAL(3,J189:J190)</f>
        <v>2</v>
      </c>
      <c r="K191" s="13">
        <f>SUBTOTAL(3,K189:K190)</f>
        <v>2</v>
      </c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27"/>
      <c r="AD191" s="29"/>
      <c r="AS191" s="127"/>
      <c r="AT191" s="29"/>
      <c r="BD191" s="25"/>
      <c r="BE191" s="13"/>
      <c r="BJ191" s="116"/>
      <c r="BK191" s="123"/>
      <c r="BL191" s="123"/>
      <c r="BM191" s="123"/>
      <c r="BR191" s="115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25"/>
      <c r="CC191" s="13"/>
      <c r="CF191" s="114"/>
    </row>
    <row r="192" spans="1:84" ht="20.100000000000001" customHeight="1" x14ac:dyDescent="0.4">
      <c r="A192" s="117"/>
      <c r="B192" s="123"/>
      <c r="C192" s="123"/>
      <c r="D192" s="123"/>
      <c r="G192" s="115"/>
      <c r="H192" s="115"/>
      <c r="I192" s="115"/>
      <c r="J192" s="26">
        <v>46176</v>
      </c>
      <c r="K192" s="13" t="s">
        <v>142</v>
      </c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29"/>
      <c r="AD192" s="29"/>
      <c r="AS192" s="127"/>
      <c r="AT192" s="29"/>
      <c r="BD192" s="25"/>
      <c r="BE192" s="13"/>
      <c r="BJ192" s="116"/>
      <c r="BK192" s="123"/>
      <c r="BL192" s="123"/>
      <c r="BM192" s="123"/>
      <c r="BR192" s="115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25"/>
      <c r="CC192" s="13"/>
      <c r="CF192" s="114"/>
    </row>
    <row r="193" spans="1:84" ht="20.100000000000001" customHeight="1" x14ac:dyDescent="0.4">
      <c r="A193" s="117"/>
      <c r="B193" s="123"/>
      <c r="C193" s="123"/>
      <c r="D193" s="123"/>
      <c r="G193" s="115"/>
      <c r="H193" s="115"/>
      <c r="I193" s="115"/>
      <c r="J193" s="26">
        <v>46176</v>
      </c>
      <c r="K193" s="13" t="s">
        <v>147</v>
      </c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27"/>
      <c r="AD193" s="29"/>
      <c r="AS193" s="127"/>
      <c r="AT193" s="29"/>
      <c r="BD193" s="25"/>
      <c r="BE193" s="13"/>
      <c r="BJ193" s="116"/>
      <c r="BK193" s="123"/>
      <c r="BL193" s="123"/>
      <c r="BM193" s="123"/>
      <c r="BR193" s="115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25"/>
      <c r="CC193" s="13"/>
      <c r="CF193" s="114"/>
    </row>
    <row r="194" spans="1:84" ht="20.100000000000001" customHeight="1" x14ac:dyDescent="0.4">
      <c r="A194" s="117"/>
      <c r="B194" s="123"/>
      <c r="C194" s="123"/>
      <c r="D194" s="123"/>
      <c r="G194" s="115"/>
      <c r="H194" s="115"/>
      <c r="I194" s="115" t="s">
        <v>566</v>
      </c>
      <c r="J194" s="17">
        <f>SUBTOTAL(3,J192:J193)</f>
        <v>2</v>
      </c>
      <c r="K194" s="13">
        <f>SUBTOTAL(3,K192:K193)</f>
        <v>2</v>
      </c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27"/>
      <c r="AD194" s="29"/>
      <c r="AS194" s="127"/>
      <c r="AT194" s="29"/>
      <c r="BD194" s="25"/>
      <c r="BE194" s="13"/>
      <c r="BJ194" s="116"/>
      <c r="BK194" s="123"/>
      <c r="BL194" s="123"/>
      <c r="BM194" s="123"/>
      <c r="BR194" s="115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25"/>
      <c r="CC194" s="13"/>
      <c r="CF194" s="114"/>
    </row>
    <row r="195" spans="1:84" ht="20.100000000000001" customHeight="1" x14ac:dyDescent="0.4">
      <c r="A195" s="117"/>
      <c r="B195" s="123"/>
      <c r="C195" s="123"/>
      <c r="D195" s="123"/>
      <c r="G195" s="115"/>
      <c r="H195" s="115"/>
      <c r="I195" s="115"/>
      <c r="J195" s="26">
        <v>46179</v>
      </c>
      <c r="K195" s="15" t="s">
        <v>142</v>
      </c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27"/>
      <c r="AD195" s="29"/>
      <c r="AS195" s="127"/>
      <c r="AT195" s="29"/>
      <c r="BD195" s="25"/>
      <c r="BE195" s="13"/>
      <c r="BJ195" s="116"/>
      <c r="BK195" s="123"/>
      <c r="BL195" s="123"/>
      <c r="BM195" s="123"/>
      <c r="BR195" s="115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25"/>
      <c r="CC195" s="13"/>
      <c r="CF195" s="114"/>
    </row>
    <row r="196" spans="1:84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26">
        <v>46179</v>
      </c>
      <c r="K196" s="15" t="s">
        <v>146</v>
      </c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29"/>
      <c r="AD196" s="29"/>
      <c r="AS196" s="127"/>
      <c r="AT196" s="29"/>
      <c r="BD196" s="25"/>
      <c r="BE196" s="13"/>
      <c r="BJ196" s="116"/>
      <c r="BK196" s="123"/>
      <c r="BL196" s="123"/>
      <c r="BM196" s="123"/>
      <c r="BR196" s="115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25"/>
      <c r="CC196" s="13"/>
      <c r="CF196" s="114"/>
    </row>
    <row r="197" spans="1:84" ht="20.100000000000001" customHeight="1" x14ac:dyDescent="0.4">
      <c r="A197" s="117"/>
      <c r="B197" s="123"/>
      <c r="C197" s="123"/>
      <c r="D197" s="123"/>
      <c r="J197" s="26">
        <v>46179</v>
      </c>
      <c r="K197" s="15" t="s">
        <v>146</v>
      </c>
      <c r="AC197" s="127"/>
      <c r="AD197" s="29"/>
      <c r="AR197" s="115"/>
      <c r="AS197" s="29"/>
      <c r="AT197" s="29"/>
      <c r="BD197" s="25"/>
      <c r="BE197" s="13"/>
      <c r="BJ197" s="116"/>
      <c r="BK197" s="123"/>
      <c r="BL197" s="123"/>
      <c r="BM197" s="123"/>
      <c r="BR197" s="115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25"/>
      <c r="CC197" s="13"/>
      <c r="CF197" s="114"/>
    </row>
    <row r="198" spans="1:84" ht="20.100000000000001" customHeight="1" x14ac:dyDescent="0.4">
      <c r="A198" s="117"/>
      <c r="B198" s="123"/>
      <c r="C198" s="123"/>
      <c r="D198" s="123"/>
      <c r="I198" s="115" t="s">
        <v>567</v>
      </c>
      <c r="J198" s="17">
        <f>SUBTOTAL(3,J195:J197)</f>
        <v>3</v>
      </c>
      <c r="K198" s="15">
        <f>SUBTOTAL(3,K195:K197)</f>
        <v>3</v>
      </c>
      <c r="AC198" s="127"/>
      <c r="AD198" s="29"/>
      <c r="AR198" s="115"/>
      <c r="AS198" s="29"/>
      <c r="AT198" s="29"/>
      <c r="BD198" s="25"/>
      <c r="BE198" s="13"/>
      <c r="BJ198" s="116"/>
      <c r="BK198" s="123"/>
      <c r="BL198" s="123"/>
      <c r="BM198" s="123"/>
      <c r="BR198" s="115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25"/>
      <c r="CC198" s="13"/>
      <c r="CF198" s="114"/>
    </row>
    <row r="199" spans="1:84" ht="20.100000000000001" customHeight="1" x14ac:dyDescent="0.4">
      <c r="A199" s="117"/>
      <c r="B199" s="123"/>
      <c r="C199" s="123"/>
      <c r="D199" s="123"/>
      <c r="J199" s="26">
        <v>46181</v>
      </c>
      <c r="K199" s="15" t="s">
        <v>146</v>
      </c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27"/>
      <c r="AD199" s="29"/>
      <c r="AR199" s="115"/>
      <c r="AS199" s="29"/>
      <c r="AT199" s="29"/>
      <c r="BD199" s="25"/>
      <c r="BE199" s="13"/>
      <c r="BJ199" s="116"/>
      <c r="BK199" s="123"/>
      <c r="BL199" s="123"/>
      <c r="BM199" s="123"/>
      <c r="BR199" s="115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25"/>
      <c r="CC199" s="13"/>
      <c r="CF199" s="114"/>
    </row>
    <row r="200" spans="1:84" ht="20.100000000000001" customHeight="1" x14ac:dyDescent="0.4">
      <c r="A200" s="117"/>
      <c r="B200" s="123"/>
      <c r="C200" s="123"/>
      <c r="D200" s="123"/>
      <c r="I200" s="115" t="s">
        <v>568</v>
      </c>
      <c r="J200" s="17">
        <f>SUBTOTAL(3,J199:J199)</f>
        <v>1</v>
      </c>
      <c r="K200" s="15">
        <f>SUBTOTAL(3,K199:K199)</f>
        <v>1</v>
      </c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27"/>
      <c r="AD200" s="29"/>
      <c r="AR200" s="115"/>
      <c r="AS200" s="29"/>
      <c r="AT200" s="29"/>
      <c r="BD200" s="25"/>
      <c r="BE200" s="13"/>
      <c r="BJ200" s="116"/>
      <c r="BK200" s="123"/>
      <c r="BL200" s="123"/>
      <c r="BM200" s="123"/>
      <c r="BR200" s="115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25"/>
      <c r="CC200" s="13"/>
      <c r="CF200" s="114"/>
    </row>
    <row r="201" spans="1:84" ht="20.100000000000001" customHeight="1" x14ac:dyDescent="0.4">
      <c r="A201" s="117"/>
      <c r="B201" s="123"/>
      <c r="C201" s="123"/>
      <c r="D201" s="123"/>
      <c r="J201" s="26">
        <v>46189</v>
      </c>
      <c r="K201" s="15" t="s">
        <v>147</v>
      </c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27"/>
      <c r="AD201" s="29"/>
      <c r="AR201" s="115"/>
      <c r="AS201" s="29"/>
      <c r="AT201" s="29"/>
      <c r="BD201" s="25"/>
      <c r="BE201" s="13"/>
      <c r="BJ201" s="116"/>
      <c r="BK201" s="123"/>
      <c r="BL201" s="123"/>
      <c r="BM201" s="123"/>
      <c r="BR201" s="115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25"/>
      <c r="CC201" s="13"/>
      <c r="CF201" s="114"/>
    </row>
    <row r="202" spans="1:84" ht="20.100000000000001" customHeight="1" x14ac:dyDescent="0.4">
      <c r="A202" s="117"/>
      <c r="B202" s="123"/>
      <c r="C202" s="123"/>
      <c r="D202" s="123"/>
      <c r="I202" s="115" t="s">
        <v>569</v>
      </c>
      <c r="J202" s="17">
        <f>SUBTOTAL(3,J201:J201)</f>
        <v>1</v>
      </c>
      <c r="K202" s="13">
        <f>SUBTOTAL(3,K201:K201)</f>
        <v>1</v>
      </c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27"/>
      <c r="AD202" s="29"/>
      <c r="AR202" s="115"/>
      <c r="AS202" s="29"/>
      <c r="AT202" s="29"/>
      <c r="BD202" s="25"/>
      <c r="BE202" s="13"/>
      <c r="BJ202" s="116"/>
      <c r="BK202" s="123"/>
      <c r="BL202" s="123"/>
      <c r="BM202" s="123"/>
      <c r="BR202" s="115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25"/>
      <c r="CC202" s="13"/>
      <c r="CF202" s="114"/>
    </row>
    <row r="203" spans="1:84" ht="20.100000000000001" customHeight="1" x14ac:dyDescent="0.4">
      <c r="A203" s="117"/>
      <c r="B203" s="123"/>
      <c r="C203" s="123"/>
      <c r="D203" s="123"/>
      <c r="I203" s="115" t="s">
        <v>145</v>
      </c>
      <c r="J203" s="17">
        <f>SUBTOTAL(3,J2:J201)</f>
        <v>172</v>
      </c>
      <c r="K203" s="13">
        <f>SUBTOTAL(3,K2:K201)</f>
        <v>172</v>
      </c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27"/>
      <c r="AD203" s="29"/>
      <c r="AR203" s="115"/>
      <c r="AS203" s="29"/>
      <c r="AT203" s="29"/>
      <c r="BD203" s="25"/>
      <c r="BE203" s="13"/>
      <c r="BJ203" s="116"/>
      <c r="BK203" s="123"/>
      <c r="BL203" s="123"/>
      <c r="BM203" s="123"/>
      <c r="BR203" s="115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25"/>
      <c r="CC203" s="13"/>
      <c r="CF203" s="114"/>
    </row>
    <row r="204" spans="1:84" ht="20.100000000000001" customHeight="1" x14ac:dyDescent="0.4">
      <c r="A204" s="117"/>
      <c r="B204" s="123"/>
      <c r="C204" s="123"/>
      <c r="D204" s="123"/>
      <c r="H204" s="115"/>
      <c r="I204" s="115"/>
      <c r="J204" s="17"/>
      <c r="K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27"/>
      <c r="AD204" s="29"/>
      <c r="AR204" s="115"/>
      <c r="AS204" s="29"/>
      <c r="AT204" s="29"/>
      <c r="BD204" s="25"/>
      <c r="BE204" s="13"/>
      <c r="BJ204" s="116"/>
      <c r="BK204" s="123"/>
      <c r="BL204" s="123"/>
      <c r="BM204" s="123"/>
      <c r="BR204" s="115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25"/>
      <c r="CC204" s="13"/>
      <c r="CF204" s="114"/>
    </row>
    <row r="205" spans="1:84" ht="20.100000000000001" customHeight="1" x14ac:dyDescent="0.4">
      <c r="A205" s="117"/>
      <c r="B205" s="123"/>
      <c r="C205" s="123"/>
      <c r="D205" s="123"/>
      <c r="J205" s="26"/>
      <c r="K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27"/>
      <c r="AD205" s="29"/>
      <c r="AR205" s="115"/>
      <c r="AS205" s="29"/>
      <c r="AT205" s="29"/>
      <c r="BD205" s="25"/>
      <c r="BE205" s="13"/>
      <c r="BJ205" s="116"/>
      <c r="BK205" s="123"/>
      <c r="BL205" s="123"/>
      <c r="BM205" s="123"/>
      <c r="BR205" s="115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25"/>
      <c r="CC205" s="13"/>
      <c r="CF205" s="114"/>
    </row>
    <row r="206" spans="1:84" ht="20.100000000000001" customHeight="1" x14ac:dyDescent="0.4">
      <c r="A206" s="117"/>
      <c r="B206" s="123"/>
      <c r="C206" s="123"/>
      <c r="D206" s="123"/>
      <c r="J206" s="26"/>
      <c r="K206" s="13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27"/>
      <c r="AD206" s="29"/>
      <c r="AR206" s="115"/>
      <c r="AS206" s="29"/>
      <c r="AT206" s="29"/>
      <c r="BD206" s="25"/>
      <c r="BE206" s="13"/>
      <c r="BJ206" s="116"/>
      <c r="BK206" s="123"/>
      <c r="BL206" s="123"/>
      <c r="BM206" s="123"/>
      <c r="BR206" s="115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25"/>
      <c r="CC206" s="13"/>
      <c r="CF206" s="114"/>
    </row>
    <row r="207" spans="1:84" ht="20.100000000000001" customHeight="1" x14ac:dyDescent="0.4">
      <c r="A207" s="117"/>
      <c r="B207" s="123"/>
      <c r="C207" s="123"/>
      <c r="D207" s="123"/>
      <c r="J207" s="26"/>
      <c r="K207" s="13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27"/>
      <c r="AD207" s="29"/>
      <c r="AR207" s="115"/>
      <c r="AS207" s="29"/>
      <c r="AT207" s="29"/>
      <c r="BD207" s="25"/>
      <c r="BE207" s="13"/>
      <c r="BJ207" s="116"/>
      <c r="BK207" s="123"/>
      <c r="BL207" s="123"/>
      <c r="BM207" s="123"/>
      <c r="BR207" s="115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25"/>
      <c r="CC207" s="13"/>
      <c r="CF207" s="114"/>
    </row>
    <row r="208" spans="1:84" ht="20.100000000000001" customHeight="1" x14ac:dyDescent="0.4">
      <c r="A208" s="117"/>
      <c r="B208" s="123"/>
      <c r="C208" s="123"/>
      <c r="D208" s="123"/>
      <c r="J208" s="26"/>
      <c r="K208" s="13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27"/>
      <c r="AD208" s="29"/>
      <c r="AR208" s="115"/>
      <c r="AS208" s="29"/>
      <c r="AT208" s="29"/>
      <c r="BD208" s="25"/>
      <c r="BE208" s="13"/>
      <c r="BJ208" s="116"/>
      <c r="BK208" s="123"/>
      <c r="BL208" s="123"/>
      <c r="BM208" s="123"/>
      <c r="BR208" s="115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25"/>
      <c r="CC208" s="13"/>
      <c r="CF208" s="114"/>
    </row>
    <row r="209" spans="1:84" ht="20.100000000000001" customHeight="1" x14ac:dyDescent="0.4">
      <c r="A209" s="117"/>
      <c r="B209" s="123"/>
      <c r="C209" s="123"/>
      <c r="D209" s="123"/>
      <c r="H209" s="115"/>
      <c r="I209" s="115"/>
      <c r="J209" s="119"/>
      <c r="K209" s="119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27"/>
      <c r="AD209" s="29"/>
      <c r="AR209" s="115"/>
      <c r="AS209" s="29"/>
      <c r="AT209" s="29"/>
      <c r="BD209" s="25"/>
      <c r="BE209" s="13"/>
      <c r="BJ209" s="116"/>
      <c r="BK209" s="123"/>
      <c r="BL209" s="123"/>
      <c r="BM209" s="123"/>
      <c r="BR209" s="115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25"/>
      <c r="CC209" s="13"/>
      <c r="CF209" s="114"/>
    </row>
    <row r="210" spans="1:84" ht="20.100000000000001" customHeight="1" x14ac:dyDescent="0.4">
      <c r="A210" s="117"/>
      <c r="B210" s="123"/>
      <c r="C210" s="123"/>
      <c r="D210" s="123"/>
      <c r="H210" s="115"/>
      <c r="I210" s="115"/>
      <c r="J210" s="119"/>
      <c r="K210" s="119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27"/>
      <c r="AD210" s="29"/>
      <c r="AR210" s="115"/>
      <c r="AS210" s="29"/>
      <c r="AT210" s="29"/>
      <c r="BD210" s="25"/>
      <c r="BE210" s="13"/>
      <c r="BJ210" s="116"/>
      <c r="BK210" s="123"/>
      <c r="BL210" s="123"/>
      <c r="BM210" s="123"/>
      <c r="BR210" s="115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25"/>
      <c r="CC210" s="13"/>
      <c r="CF210" s="114"/>
    </row>
    <row r="211" spans="1:84" ht="20.100000000000001" customHeight="1" x14ac:dyDescent="0.4">
      <c r="A211" s="117"/>
      <c r="B211" s="123"/>
      <c r="C211" s="123"/>
      <c r="D211" s="123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27"/>
      <c r="AD211" s="29"/>
      <c r="AR211" s="115"/>
      <c r="AS211" s="29"/>
      <c r="AT211" s="29"/>
      <c r="BD211" s="25"/>
      <c r="BE211" s="13"/>
      <c r="BJ211" s="116"/>
      <c r="BK211" s="123"/>
      <c r="BL211" s="123"/>
      <c r="BM211" s="123"/>
      <c r="BR211" s="115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25"/>
      <c r="CC211" s="13"/>
      <c r="CF211" s="114"/>
    </row>
    <row r="212" spans="1:84" ht="20.100000000000001" customHeight="1" x14ac:dyDescent="0.4">
      <c r="A212" s="117"/>
      <c r="B212" s="123"/>
      <c r="C212" s="123"/>
      <c r="D212" s="123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27"/>
      <c r="AD212" s="29"/>
      <c r="AR212" s="115"/>
      <c r="AS212" s="29"/>
      <c r="AT212" s="29"/>
      <c r="BD212" s="25"/>
      <c r="BE212" s="13"/>
      <c r="BJ212" s="116"/>
      <c r="BK212" s="123"/>
      <c r="BL212" s="123"/>
      <c r="BM212" s="123"/>
      <c r="BR212" s="115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25"/>
      <c r="CC212" s="13"/>
      <c r="CF212" s="114"/>
    </row>
    <row r="213" spans="1:84" ht="20.100000000000001" customHeight="1" x14ac:dyDescent="0.4">
      <c r="A213" s="117"/>
      <c r="B213" s="123"/>
      <c r="C213" s="123"/>
      <c r="D213" s="123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27"/>
      <c r="AD213" s="29"/>
      <c r="AR213" s="115"/>
      <c r="AS213" s="29"/>
      <c r="AT213" s="29"/>
      <c r="BD213" s="25"/>
      <c r="BE213" s="13"/>
      <c r="BJ213" s="116"/>
      <c r="BK213" s="123"/>
      <c r="BL213" s="123"/>
      <c r="BM213" s="123"/>
      <c r="BR213" s="115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25"/>
      <c r="CC213" s="13"/>
      <c r="CF213" s="114"/>
    </row>
    <row r="214" spans="1:84" ht="20.100000000000001" customHeight="1" x14ac:dyDescent="0.4">
      <c r="A214" s="117"/>
      <c r="B214" s="123"/>
      <c r="C214" s="123"/>
      <c r="D214" s="123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27"/>
      <c r="AD214" s="29"/>
      <c r="AR214" s="115"/>
      <c r="AS214" s="29"/>
      <c r="AT214" s="29"/>
      <c r="BD214" s="25"/>
      <c r="BE214" s="13"/>
      <c r="BJ214" s="116"/>
      <c r="BK214" s="123"/>
      <c r="BL214" s="123"/>
      <c r="BM214" s="123"/>
      <c r="BR214" s="115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25"/>
      <c r="CC214" s="13"/>
      <c r="CF214" s="114"/>
    </row>
    <row r="215" spans="1:84" ht="20.100000000000001" customHeight="1" x14ac:dyDescent="0.4">
      <c r="A215" s="117"/>
      <c r="B215" s="123"/>
      <c r="C215" s="123"/>
      <c r="D215" s="123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27"/>
      <c r="AD215" s="29"/>
      <c r="AR215" s="115"/>
      <c r="AS215" s="29"/>
      <c r="AT215" s="29"/>
      <c r="BD215" s="25"/>
      <c r="BE215" s="13"/>
      <c r="BJ215" s="116"/>
      <c r="BK215" s="123"/>
      <c r="BL215" s="123"/>
      <c r="BM215" s="123"/>
      <c r="BR215" s="115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25"/>
      <c r="CC215" s="13"/>
      <c r="CF215" s="114"/>
    </row>
    <row r="216" spans="1:84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27"/>
      <c r="AD216" s="29"/>
      <c r="AR216" s="115"/>
      <c r="AS216" s="29"/>
      <c r="AT216" s="29"/>
      <c r="BD216" s="25"/>
      <c r="BE216" s="13"/>
      <c r="BJ216" s="116"/>
      <c r="BK216" s="123"/>
      <c r="BL216" s="123"/>
      <c r="BM216" s="123"/>
      <c r="BR216" s="115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25"/>
      <c r="CC216" s="13"/>
      <c r="CF216" s="114"/>
    </row>
    <row r="217" spans="1:84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27"/>
      <c r="AD217" s="29"/>
      <c r="AR217" s="115"/>
      <c r="AS217" s="29"/>
      <c r="AT217" s="29"/>
      <c r="BD217" s="25"/>
      <c r="BE217" s="13"/>
      <c r="BJ217" s="116"/>
      <c r="BK217" s="123"/>
      <c r="BL217" s="123"/>
      <c r="BM217" s="123"/>
      <c r="BR217" s="115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25"/>
      <c r="CC217" s="13"/>
      <c r="CF217" s="114"/>
    </row>
    <row r="218" spans="1:84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27"/>
      <c r="AD218" s="29"/>
      <c r="AR218" s="115"/>
      <c r="AS218" s="29"/>
      <c r="AT218" s="29"/>
      <c r="BD218" s="25"/>
      <c r="BE218" s="13"/>
      <c r="BJ218" s="116"/>
      <c r="BK218" s="123"/>
      <c r="BL218" s="123"/>
      <c r="BM218" s="123"/>
      <c r="BR218" s="115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25"/>
      <c r="CC218" s="13"/>
      <c r="CF218" s="114"/>
    </row>
    <row r="219" spans="1:84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27"/>
      <c r="AD219" s="29"/>
      <c r="AR219" s="115"/>
      <c r="AS219" s="29"/>
      <c r="AT219" s="29"/>
      <c r="BD219" s="25"/>
      <c r="BE219" s="13"/>
      <c r="BJ219" s="116"/>
      <c r="BK219" s="123"/>
      <c r="BL219" s="123"/>
      <c r="BM219" s="123"/>
      <c r="BR219" s="115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25"/>
      <c r="CC219" s="13"/>
      <c r="CF219" s="114"/>
    </row>
    <row r="220" spans="1:84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29"/>
      <c r="AD220" s="29"/>
      <c r="AR220" s="115"/>
      <c r="AS220" s="29"/>
      <c r="AT220" s="29"/>
      <c r="BD220" s="25"/>
      <c r="BE220" s="13"/>
      <c r="BJ220" s="116"/>
      <c r="BK220" s="123"/>
      <c r="BL220" s="123"/>
      <c r="BM220" s="123"/>
      <c r="BR220" s="115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25"/>
      <c r="CC220" s="13"/>
      <c r="CF220" s="114"/>
    </row>
    <row r="221" spans="1:84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27"/>
      <c r="AD221" s="29"/>
      <c r="AR221" s="115"/>
      <c r="AS221" s="29"/>
      <c r="AT221" s="29"/>
      <c r="BD221" s="25"/>
      <c r="BE221" s="13"/>
      <c r="BJ221" s="116"/>
      <c r="BK221" s="123"/>
      <c r="BL221" s="123"/>
      <c r="BM221" s="123"/>
      <c r="BR221" s="115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25"/>
      <c r="CC221" s="13"/>
      <c r="CF221" s="114"/>
    </row>
    <row r="222" spans="1:84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27"/>
      <c r="AD222" s="29"/>
      <c r="AR222" s="115"/>
      <c r="AS222" s="29"/>
      <c r="AT222" s="29"/>
      <c r="BD222" s="25"/>
      <c r="BE222" s="13"/>
      <c r="BJ222" s="116"/>
      <c r="BK222" s="123"/>
      <c r="BL222" s="123"/>
      <c r="BM222" s="123"/>
      <c r="BR222" s="115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25"/>
      <c r="CC222" s="13"/>
      <c r="CF222" s="114"/>
    </row>
    <row r="223" spans="1:84" ht="20.100000000000001" customHeight="1" x14ac:dyDescent="0.4">
      <c r="A223" s="117"/>
      <c r="B223" s="123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27"/>
      <c r="AD223" s="29"/>
      <c r="AR223" s="115"/>
      <c r="AS223" s="29"/>
      <c r="AT223" s="29"/>
      <c r="BD223" s="25"/>
      <c r="BE223" s="13"/>
      <c r="BJ223" s="116"/>
      <c r="BK223" s="123"/>
      <c r="BL223" s="123"/>
      <c r="BM223" s="123"/>
      <c r="BR223" s="115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25"/>
      <c r="CC223" s="13"/>
      <c r="CF223" s="114"/>
    </row>
    <row r="224" spans="1:84" ht="20.100000000000001" customHeight="1" x14ac:dyDescent="0.4">
      <c r="A224" s="117"/>
      <c r="B224" s="123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27"/>
      <c r="AD224" s="29"/>
      <c r="AR224" s="115"/>
      <c r="AS224" s="29"/>
      <c r="AT224" s="29"/>
      <c r="BD224" s="25"/>
      <c r="BE224" s="13"/>
      <c r="BJ224" s="116"/>
      <c r="BK224" s="123"/>
      <c r="BL224" s="123"/>
      <c r="BM224" s="123"/>
      <c r="BR224" s="115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25"/>
      <c r="CC224" s="13"/>
      <c r="CF224" s="114"/>
    </row>
    <row r="225" spans="1:84" ht="20.100000000000001" customHeight="1" x14ac:dyDescent="0.4">
      <c r="A225" s="117"/>
      <c r="B225" s="123"/>
      <c r="C225" s="123"/>
      <c r="D225" s="123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27"/>
      <c r="AD225" s="29"/>
      <c r="AR225" s="115"/>
      <c r="AS225" s="29"/>
      <c r="AT225" s="29"/>
      <c r="BD225" s="25"/>
      <c r="BE225" s="13"/>
      <c r="BJ225" s="116"/>
      <c r="BK225" s="123"/>
      <c r="BL225" s="123"/>
      <c r="BM225" s="123"/>
      <c r="BR225" s="115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25"/>
      <c r="CC225" s="13"/>
      <c r="CF225" s="114"/>
    </row>
    <row r="226" spans="1:84" ht="20.100000000000001" customHeight="1" x14ac:dyDescent="0.4">
      <c r="A226" s="117"/>
      <c r="B226" s="123"/>
      <c r="C226" s="123"/>
      <c r="D226" s="123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27"/>
      <c r="AD226" s="29"/>
      <c r="AR226" s="115"/>
      <c r="AS226" s="29"/>
      <c r="AT226" s="29"/>
      <c r="BD226" s="25"/>
      <c r="BE226" s="13"/>
      <c r="BJ226" s="116"/>
      <c r="BK226" s="123"/>
      <c r="BL226" s="123"/>
      <c r="BM226" s="123"/>
      <c r="BR226" s="115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25"/>
      <c r="CC226" s="13"/>
      <c r="CF226" s="114"/>
    </row>
    <row r="227" spans="1:84" ht="20.100000000000001" customHeight="1" x14ac:dyDescent="0.4">
      <c r="A227" s="117"/>
      <c r="B227" s="123"/>
      <c r="C227" s="123"/>
      <c r="D227" s="123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27"/>
      <c r="AD227" s="29"/>
      <c r="AR227" s="115"/>
      <c r="AS227" s="29"/>
      <c r="AT227" s="29"/>
      <c r="BD227" s="25"/>
      <c r="BE227" s="13"/>
      <c r="BJ227" s="116"/>
      <c r="BK227" s="123"/>
      <c r="BL227" s="123"/>
      <c r="BM227" s="123"/>
      <c r="BR227" s="115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25"/>
      <c r="CC227" s="13"/>
      <c r="CF227" s="114"/>
    </row>
    <row r="228" spans="1:84" ht="20.100000000000001" customHeight="1" x14ac:dyDescent="0.4">
      <c r="A228" s="117"/>
      <c r="B228" s="123"/>
      <c r="C228" s="123"/>
      <c r="D228" s="123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27"/>
      <c r="AD228" s="29"/>
      <c r="AR228" s="115"/>
      <c r="AS228" s="29"/>
      <c r="AT228" s="29"/>
      <c r="BD228" s="25"/>
      <c r="BE228" s="13"/>
      <c r="BJ228" s="116"/>
      <c r="BK228" s="123"/>
      <c r="BL228" s="123"/>
      <c r="BM228" s="123"/>
      <c r="BR228" s="115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25"/>
      <c r="CC228" s="13"/>
      <c r="CF228" s="114"/>
    </row>
    <row r="229" spans="1:84" ht="20.100000000000001" customHeight="1" x14ac:dyDescent="0.4">
      <c r="A229" s="117"/>
      <c r="B229" s="123"/>
      <c r="C229" s="123"/>
      <c r="D229" s="123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27"/>
      <c r="AD229" s="29"/>
      <c r="AR229" s="115"/>
      <c r="AS229" s="29"/>
      <c r="AT229" s="29"/>
      <c r="BD229" s="25"/>
      <c r="BE229" s="13"/>
      <c r="BJ229" s="116"/>
      <c r="BK229" s="123"/>
      <c r="BL229" s="123"/>
      <c r="BM229" s="123"/>
      <c r="BR229" s="115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25"/>
      <c r="CC229" s="13"/>
      <c r="CF229" s="114"/>
    </row>
    <row r="230" spans="1:84" ht="20.100000000000001" customHeight="1" x14ac:dyDescent="0.4">
      <c r="A230" s="117"/>
      <c r="B230" s="123"/>
      <c r="C230" s="123"/>
      <c r="D230" s="123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27"/>
      <c r="AD230" s="29"/>
      <c r="AR230" s="115"/>
      <c r="AS230" s="29"/>
      <c r="AT230" s="29"/>
      <c r="BD230" s="25"/>
      <c r="BE230" s="13"/>
      <c r="BJ230" s="116"/>
      <c r="BK230" s="123"/>
      <c r="BL230" s="123"/>
      <c r="BM230" s="123"/>
      <c r="BR230" s="115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25"/>
      <c r="CC230" s="13"/>
      <c r="CF230" s="114"/>
    </row>
    <row r="231" spans="1:84" ht="20.100000000000001" customHeight="1" x14ac:dyDescent="0.4">
      <c r="A231" s="117"/>
      <c r="B231" s="123"/>
      <c r="C231" s="123"/>
      <c r="D231" s="123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27"/>
      <c r="AD231" s="29"/>
      <c r="AR231" s="115"/>
      <c r="AS231" s="29"/>
      <c r="AT231" s="29"/>
      <c r="BD231" s="25"/>
      <c r="BE231" s="13"/>
      <c r="BJ231" s="116"/>
      <c r="BK231" s="123"/>
      <c r="BL231" s="123"/>
      <c r="BM231" s="123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25"/>
      <c r="CC231" s="13"/>
      <c r="CF231" s="114"/>
    </row>
    <row r="232" spans="1:84" ht="20.100000000000001" customHeight="1" x14ac:dyDescent="0.4">
      <c r="A232" s="117"/>
      <c r="B232" s="123"/>
      <c r="C232" s="123"/>
      <c r="D232" s="123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27"/>
      <c r="AD232" s="29"/>
      <c r="AR232" s="115"/>
      <c r="AS232" s="29"/>
      <c r="AT232" s="29"/>
      <c r="BD232" s="25"/>
      <c r="BE232" s="13"/>
      <c r="BJ232" s="116"/>
      <c r="BK232" s="123"/>
      <c r="BL232" s="123"/>
      <c r="BM232" s="123"/>
      <c r="BR232" s="115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25"/>
      <c r="CC232" s="13"/>
      <c r="CF232" s="114"/>
    </row>
    <row r="233" spans="1:84" ht="20.100000000000001" customHeight="1" x14ac:dyDescent="0.4">
      <c r="A233" s="117"/>
      <c r="B233" s="123"/>
      <c r="C233" s="123"/>
      <c r="D233" s="123"/>
      <c r="AC233" s="127"/>
      <c r="AD233" s="29"/>
      <c r="AP233" s="115"/>
      <c r="AQ233" s="115"/>
      <c r="AR233" s="115"/>
      <c r="AS233" s="127"/>
      <c r="AT233" s="29"/>
      <c r="BD233" s="25"/>
      <c r="BE233" s="13"/>
      <c r="BJ233" s="116"/>
      <c r="BK233" s="123"/>
      <c r="BL233" s="123"/>
      <c r="BM233" s="123"/>
      <c r="BR233" s="115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25"/>
      <c r="CC233" s="13"/>
      <c r="CF233" s="114"/>
    </row>
    <row r="234" spans="1:84" ht="20.100000000000001" customHeight="1" x14ac:dyDescent="0.4">
      <c r="A234" s="117"/>
      <c r="B234" s="123"/>
      <c r="C234" s="123"/>
      <c r="D234" s="123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27"/>
      <c r="AD234" s="29"/>
      <c r="AP234" s="115"/>
      <c r="AQ234" s="115"/>
      <c r="AR234" s="115"/>
      <c r="AS234" s="127"/>
      <c r="AT234" s="29"/>
      <c r="BD234" s="25"/>
      <c r="BE234" s="13"/>
      <c r="BJ234" s="116"/>
      <c r="BK234" s="123"/>
      <c r="BL234" s="123"/>
      <c r="BM234" s="123"/>
      <c r="BR234" s="115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25"/>
      <c r="CC234" s="13"/>
      <c r="CF234" s="114"/>
    </row>
    <row r="235" spans="1:84" ht="20.100000000000001" customHeight="1" x14ac:dyDescent="0.4">
      <c r="A235" s="117"/>
      <c r="B235" s="123"/>
      <c r="C235" s="123"/>
      <c r="D235" s="123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27"/>
      <c r="AD235" s="29"/>
      <c r="AP235" s="115"/>
      <c r="AQ235" s="115"/>
      <c r="AR235" s="115"/>
      <c r="AS235" s="127"/>
      <c r="AT235" s="29"/>
      <c r="BD235" s="25"/>
      <c r="BE235" s="13"/>
      <c r="BJ235" s="116"/>
      <c r="BK235" s="123"/>
      <c r="BL235" s="123"/>
      <c r="BM235" s="123"/>
      <c r="BR235" s="115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25"/>
      <c r="CC235" s="13"/>
      <c r="CF235" s="114"/>
    </row>
    <row r="236" spans="1:84" ht="20.100000000000001" customHeight="1" x14ac:dyDescent="0.4">
      <c r="A236" s="117"/>
      <c r="B236" s="123"/>
      <c r="C236" s="123"/>
      <c r="D236" s="123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27"/>
      <c r="AD236" s="29"/>
      <c r="AP236" s="115"/>
      <c r="AQ236" s="115"/>
      <c r="AR236" s="115"/>
      <c r="AS236" s="127"/>
      <c r="AT236" s="29"/>
      <c r="BD236" s="25"/>
      <c r="BE236" s="13"/>
      <c r="BJ236" s="116"/>
      <c r="BK236" s="123"/>
      <c r="BL236" s="123"/>
      <c r="BM236" s="123"/>
      <c r="BR236" s="115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25"/>
      <c r="CC236" s="13"/>
      <c r="CF236" s="114"/>
    </row>
    <row r="237" spans="1:84" ht="20.100000000000001" customHeight="1" x14ac:dyDescent="0.4">
      <c r="A237" s="117"/>
      <c r="B237" s="123"/>
      <c r="C237" s="123"/>
      <c r="D237" s="123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27"/>
      <c r="AD237" s="29"/>
      <c r="AP237" s="115"/>
      <c r="AQ237" s="115"/>
      <c r="AR237" s="115"/>
      <c r="AS237" s="127"/>
      <c r="AT237" s="29"/>
      <c r="BD237" s="25"/>
      <c r="BE237" s="13"/>
      <c r="BJ237" s="116"/>
      <c r="BK237" s="123"/>
      <c r="BL237" s="123"/>
      <c r="BM237" s="123"/>
      <c r="BR237" s="115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25"/>
      <c r="CC237" s="13"/>
      <c r="CF237" s="114"/>
    </row>
    <row r="238" spans="1:84" ht="20.100000000000001" customHeight="1" x14ac:dyDescent="0.4">
      <c r="A238" s="117"/>
      <c r="B238" s="123"/>
      <c r="C238" s="123"/>
      <c r="D238" s="123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27"/>
      <c r="AD238" s="29"/>
      <c r="AP238" s="115"/>
      <c r="AQ238" s="115"/>
      <c r="AR238" s="115"/>
      <c r="AS238" s="127"/>
      <c r="AT238" s="29"/>
      <c r="BD238" s="25"/>
      <c r="BE238" s="13"/>
      <c r="BJ238" s="116"/>
      <c r="BK238" s="123"/>
      <c r="BL238" s="123"/>
      <c r="BM238" s="123"/>
      <c r="BR238" s="115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25"/>
      <c r="CC238" s="13"/>
      <c r="CF238" s="114"/>
    </row>
    <row r="239" spans="1:84" ht="20.100000000000001" customHeight="1" x14ac:dyDescent="0.4">
      <c r="A239" s="117"/>
      <c r="B239" s="123"/>
      <c r="C239" s="123"/>
      <c r="D239" s="123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27"/>
      <c r="AD239" s="29"/>
      <c r="AP239" s="115"/>
      <c r="AQ239" s="115"/>
      <c r="AR239" s="115"/>
      <c r="AS239" s="127"/>
      <c r="AT239" s="29"/>
      <c r="BD239" s="25"/>
      <c r="BE239" s="13"/>
      <c r="BJ239" s="116"/>
      <c r="BK239" s="123"/>
      <c r="BL239" s="123"/>
      <c r="BM239" s="123"/>
      <c r="BR239" s="115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25"/>
      <c r="CC239" s="13"/>
      <c r="CF239" s="114"/>
    </row>
    <row r="240" spans="1:84" ht="20.100000000000001" customHeight="1" x14ac:dyDescent="0.4">
      <c r="A240" s="117"/>
      <c r="B240" s="123"/>
      <c r="C240" s="123"/>
      <c r="D240" s="123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27"/>
      <c r="AD240" s="29"/>
      <c r="AP240" s="115"/>
      <c r="AQ240" s="115"/>
      <c r="AR240" s="115"/>
      <c r="AS240" s="127"/>
      <c r="AT240" s="29"/>
      <c r="BD240" s="25"/>
      <c r="BE240" s="13"/>
      <c r="BJ240" s="116"/>
      <c r="BK240" s="123"/>
      <c r="BL240" s="123"/>
      <c r="BM240" s="123"/>
      <c r="BR240" s="115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25"/>
      <c r="CC240" s="13"/>
      <c r="CF240" s="114"/>
    </row>
    <row r="241" spans="1:84" ht="20.100000000000001" customHeight="1" x14ac:dyDescent="0.4">
      <c r="A241" s="117"/>
      <c r="B241" s="123"/>
      <c r="C241" s="123"/>
      <c r="D241" s="123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27"/>
      <c r="AD241" s="29"/>
      <c r="AP241" s="115"/>
      <c r="AQ241" s="115"/>
      <c r="AR241" s="115"/>
      <c r="AS241" s="127"/>
      <c r="AT241" s="29"/>
      <c r="BD241" s="25"/>
      <c r="BE241" s="13"/>
      <c r="BJ241" s="116"/>
      <c r="BK241" s="123"/>
      <c r="BL241" s="123"/>
      <c r="BM241" s="123"/>
      <c r="BR241" s="115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25"/>
      <c r="CC241" s="13"/>
      <c r="CF241" s="114"/>
    </row>
    <row r="242" spans="1:84" ht="20.100000000000001" customHeight="1" x14ac:dyDescent="0.4">
      <c r="A242" s="117"/>
      <c r="B242" s="123"/>
      <c r="C242" s="123"/>
      <c r="D242" s="123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27"/>
      <c r="AD242" s="29"/>
      <c r="AP242" s="115"/>
      <c r="AQ242" s="115"/>
      <c r="AR242" s="115"/>
      <c r="AS242" s="127"/>
      <c r="AT242" s="29"/>
      <c r="BD242" s="25"/>
      <c r="BE242" s="13"/>
      <c r="BJ242" s="116"/>
      <c r="BK242" s="123"/>
      <c r="BL242" s="123"/>
      <c r="BM242" s="123"/>
      <c r="BR242" s="115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25"/>
      <c r="CC242" s="13"/>
      <c r="CF242" s="114"/>
    </row>
    <row r="243" spans="1:84" ht="20.100000000000001" customHeight="1" x14ac:dyDescent="0.4">
      <c r="A243" s="117"/>
      <c r="B243" s="123"/>
      <c r="C243" s="123"/>
      <c r="D243" s="123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29"/>
      <c r="AD243" s="29"/>
      <c r="AP243" s="115"/>
      <c r="AQ243" s="115"/>
      <c r="AR243" s="115"/>
      <c r="AS243" s="127"/>
      <c r="AT243" s="29"/>
      <c r="BD243" s="25"/>
      <c r="BE243" s="13"/>
      <c r="BJ243" s="116"/>
      <c r="BK243" s="123"/>
      <c r="BL243" s="123"/>
      <c r="BM243" s="123"/>
      <c r="BR243" s="115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25"/>
      <c r="CC243" s="13"/>
      <c r="CF243" s="114"/>
    </row>
    <row r="244" spans="1:84" ht="20.100000000000001" customHeight="1" x14ac:dyDescent="0.4">
      <c r="A244" s="117"/>
      <c r="B244" s="123"/>
      <c r="C244" s="123"/>
      <c r="D244" s="123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27"/>
      <c r="AD244" s="29"/>
      <c r="AP244" s="115"/>
      <c r="AQ244" s="115"/>
      <c r="AR244" s="115"/>
      <c r="AS244" s="127"/>
      <c r="AT244" s="29"/>
      <c r="BD244" s="25"/>
      <c r="BE244" s="13"/>
      <c r="BJ244" s="116"/>
      <c r="BK244" s="123"/>
      <c r="BL244" s="123"/>
      <c r="BM244" s="123"/>
      <c r="BR244" s="115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25"/>
      <c r="CC244" s="13"/>
      <c r="CF244" s="114"/>
    </row>
    <row r="245" spans="1:84" ht="20.100000000000001" customHeight="1" x14ac:dyDescent="0.4">
      <c r="A245" s="117"/>
      <c r="B245" s="123"/>
      <c r="C245" s="123"/>
      <c r="D245" s="123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29"/>
      <c r="AD245" s="29"/>
      <c r="AP245" s="115"/>
      <c r="AQ245" s="115"/>
      <c r="AR245" s="115"/>
      <c r="AS245" s="127"/>
      <c r="AT245" s="29"/>
      <c r="BD245" s="25"/>
      <c r="BE245" s="13"/>
      <c r="BJ245" s="116"/>
      <c r="BK245" s="123"/>
      <c r="BL245" s="123"/>
      <c r="BM245" s="123"/>
      <c r="BR245" s="115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25"/>
      <c r="CC245" s="13"/>
      <c r="CF245" s="114"/>
    </row>
    <row r="246" spans="1:84" ht="20.100000000000001" customHeight="1" x14ac:dyDescent="0.4">
      <c r="A246" s="117"/>
      <c r="B246" s="123"/>
      <c r="C246" s="123"/>
      <c r="D246" s="123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27"/>
      <c r="AD246" s="29"/>
      <c r="AP246" s="115"/>
      <c r="AQ246" s="115"/>
      <c r="AR246" s="115"/>
      <c r="AS246" s="127"/>
      <c r="AT246" s="29"/>
      <c r="BD246" s="25"/>
      <c r="BE246" s="13"/>
      <c r="BJ246" s="116"/>
      <c r="BK246" s="123"/>
      <c r="BL246" s="123"/>
      <c r="BM246" s="123"/>
      <c r="BR246" s="115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25"/>
      <c r="CC246" s="13"/>
      <c r="CF246" s="114"/>
    </row>
    <row r="247" spans="1:84" ht="20.100000000000001" customHeight="1" x14ac:dyDescent="0.4">
      <c r="A247" s="117"/>
      <c r="B247" s="123"/>
      <c r="C247" s="123"/>
      <c r="D247" s="123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29"/>
      <c r="AD247" s="29"/>
      <c r="AP247" s="115"/>
      <c r="AQ247" s="115"/>
      <c r="AR247" s="115"/>
      <c r="AS247" s="127"/>
      <c r="AT247" s="29"/>
      <c r="BD247" s="25"/>
      <c r="BE247" s="13"/>
      <c r="BJ247" s="116"/>
      <c r="BK247" s="123"/>
      <c r="BL247" s="123"/>
      <c r="BM247" s="123"/>
      <c r="BR247" s="115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25"/>
      <c r="CC247" s="13"/>
      <c r="CF247" s="114"/>
    </row>
    <row r="248" spans="1:84" ht="20.100000000000001" customHeight="1" x14ac:dyDescent="0.4">
      <c r="A248" s="117"/>
      <c r="B248" s="123"/>
      <c r="C248" s="123"/>
      <c r="D248" s="123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27"/>
      <c r="AD248" s="29"/>
      <c r="AP248" s="115"/>
      <c r="AQ248" s="115"/>
      <c r="AR248" s="115"/>
      <c r="AS248" s="127"/>
      <c r="AT248" s="29"/>
      <c r="BD248" s="25"/>
      <c r="BE248" s="13"/>
      <c r="BJ248" s="116"/>
      <c r="BK248" s="123"/>
      <c r="BL248" s="123"/>
      <c r="BM248" s="123"/>
      <c r="BR248" s="115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25"/>
      <c r="CC248" s="13"/>
      <c r="CF248" s="114"/>
    </row>
    <row r="249" spans="1:84" ht="20.100000000000001" customHeight="1" x14ac:dyDescent="0.4">
      <c r="A249" s="117"/>
      <c r="B249" s="123"/>
      <c r="C249" s="123"/>
      <c r="D249" s="123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27"/>
      <c r="AD249" s="29"/>
      <c r="AP249" s="115"/>
      <c r="AQ249" s="115"/>
      <c r="AR249" s="115"/>
      <c r="AS249" s="127"/>
      <c r="AT249" s="29"/>
      <c r="BD249" s="25"/>
      <c r="BE249" s="13"/>
      <c r="BJ249" s="116"/>
      <c r="BK249" s="123"/>
      <c r="BL249" s="123"/>
      <c r="BM249" s="123"/>
      <c r="BR249" s="115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25"/>
      <c r="CC249" s="13"/>
      <c r="CF249" s="114"/>
    </row>
    <row r="250" spans="1:84" ht="20.100000000000001" customHeight="1" x14ac:dyDescent="0.4">
      <c r="A250" s="117"/>
      <c r="B250" s="123"/>
      <c r="C250" s="123"/>
      <c r="D250" s="123"/>
      <c r="AC250" s="127"/>
      <c r="AD250" s="29"/>
      <c r="AP250" s="115"/>
      <c r="AQ250" s="115"/>
      <c r="AR250" s="115"/>
      <c r="AS250" s="29"/>
      <c r="AT250" s="29"/>
      <c r="BD250" s="25"/>
      <c r="BE250" s="13"/>
      <c r="BJ250" s="116"/>
      <c r="BK250" s="123"/>
      <c r="BL250" s="123"/>
      <c r="BM250" s="123"/>
      <c r="BR250" s="115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25"/>
      <c r="CC250" s="13"/>
      <c r="CF250" s="114"/>
    </row>
    <row r="251" spans="1:84" ht="20.100000000000001" customHeight="1" x14ac:dyDescent="0.4">
      <c r="A251" s="117"/>
      <c r="B251" s="123"/>
      <c r="C251" s="123"/>
      <c r="D251" s="123"/>
      <c r="Z251" s="115"/>
      <c r="AA251" s="115"/>
      <c r="AB251" s="115"/>
      <c r="AC251" s="127"/>
      <c r="AD251" s="29"/>
      <c r="AP251" s="115"/>
      <c r="AQ251" s="115"/>
      <c r="AR251" s="115"/>
      <c r="AS251" s="29"/>
      <c r="AT251" s="29"/>
      <c r="BD251" s="25"/>
      <c r="BE251" s="13"/>
      <c r="BJ251" s="116"/>
      <c r="BK251" s="123"/>
      <c r="BL251" s="123"/>
      <c r="BM251" s="123"/>
      <c r="BR251" s="115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25"/>
      <c r="CC251" s="13"/>
      <c r="CF251" s="114"/>
    </row>
    <row r="252" spans="1:84" ht="20.100000000000001" customHeight="1" x14ac:dyDescent="0.4">
      <c r="A252" s="117"/>
      <c r="B252" s="123"/>
      <c r="C252" s="123"/>
      <c r="D252" s="123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27"/>
      <c r="AD252" s="29"/>
      <c r="AP252" s="115"/>
      <c r="AQ252" s="115"/>
      <c r="AR252" s="115"/>
      <c r="AS252" s="29"/>
      <c r="AT252" s="29"/>
      <c r="BD252" s="25"/>
      <c r="BE252" s="13"/>
      <c r="BJ252" s="116"/>
      <c r="BK252" s="123"/>
      <c r="BL252" s="123"/>
      <c r="BM252" s="123"/>
      <c r="BR252" s="115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25"/>
      <c r="CC252" s="13"/>
      <c r="CF252" s="114"/>
    </row>
    <row r="253" spans="1:84" ht="20.100000000000001" customHeight="1" x14ac:dyDescent="0.4">
      <c r="A253" s="117"/>
      <c r="B253" s="123"/>
      <c r="C253" s="123"/>
      <c r="D253" s="123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27"/>
      <c r="AD253" s="29"/>
      <c r="AP253" s="115"/>
      <c r="AQ253" s="115"/>
      <c r="AR253" s="115"/>
      <c r="AS253" s="29"/>
      <c r="AT253" s="29"/>
      <c r="BD253" s="25"/>
      <c r="BE253" s="13"/>
      <c r="BJ253" s="116"/>
      <c r="BK253" s="123"/>
      <c r="BL253" s="123"/>
      <c r="BM253" s="123"/>
      <c r="BR253" s="115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25"/>
      <c r="CC253" s="13"/>
      <c r="CF253" s="114"/>
    </row>
    <row r="254" spans="1:84" ht="20.100000000000001" customHeight="1" x14ac:dyDescent="0.4">
      <c r="A254" s="117"/>
      <c r="B254" s="123"/>
      <c r="C254" s="123"/>
      <c r="D254" s="123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27"/>
      <c r="AD254" s="29"/>
      <c r="AP254" s="115"/>
      <c r="AQ254" s="115"/>
      <c r="AR254" s="115"/>
      <c r="AS254" s="29"/>
      <c r="AT254" s="29"/>
      <c r="BD254" s="25"/>
      <c r="BE254" s="13"/>
      <c r="BJ254" s="116"/>
      <c r="BK254" s="123"/>
      <c r="BL254" s="123"/>
      <c r="BM254" s="123"/>
      <c r="BR254" s="115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25"/>
      <c r="CC254" s="13"/>
      <c r="CF254" s="114"/>
    </row>
    <row r="255" spans="1:84" ht="20.100000000000001" customHeight="1" x14ac:dyDescent="0.4">
      <c r="A255" s="117"/>
      <c r="B255" s="123"/>
      <c r="C255" s="123"/>
      <c r="D255" s="123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27"/>
      <c r="AD255" s="29"/>
      <c r="AP255" s="115"/>
      <c r="AQ255" s="115"/>
      <c r="AR255" s="115"/>
      <c r="AS255" s="29"/>
      <c r="AT255" s="29"/>
      <c r="BD255" s="25"/>
      <c r="BE255" s="13"/>
      <c r="BJ255" s="116"/>
      <c r="BK255" s="123"/>
      <c r="BL255" s="123"/>
      <c r="BM255" s="123"/>
      <c r="BR255" s="115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25"/>
      <c r="CC255" s="13"/>
      <c r="CF255" s="114"/>
    </row>
    <row r="256" spans="1:84" ht="20.100000000000001" customHeight="1" x14ac:dyDescent="0.4">
      <c r="A256" s="117"/>
      <c r="B256" s="123"/>
      <c r="C256" s="123"/>
      <c r="D256" s="123"/>
      <c r="AC256" s="127"/>
      <c r="AD256" s="29"/>
      <c r="AO256" s="115"/>
      <c r="AP256" s="115"/>
      <c r="AQ256" s="115"/>
      <c r="AR256" s="115"/>
      <c r="AS256" s="127"/>
      <c r="AT256" s="29"/>
      <c r="BD256" s="25"/>
      <c r="BE256" s="13"/>
      <c r="BJ256" s="116"/>
      <c r="BK256" s="123"/>
      <c r="BL256" s="123"/>
      <c r="BM256" s="123"/>
      <c r="BR256" s="115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25"/>
      <c r="CC256" s="13"/>
      <c r="CF256" s="114"/>
    </row>
    <row r="257" spans="1:84" ht="20.100000000000001" customHeight="1" x14ac:dyDescent="0.4">
      <c r="A257" s="117"/>
      <c r="B257" s="123"/>
      <c r="C257" s="123"/>
      <c r="D257" s="123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27"/>
      <c r="AD257" s="29"/>
      <c r="AO257" s="115"/>
      <c r="AP257" s="115"/>
      <c r="AQ257" s="115"/>
      <c r="AR257" s="115"/>
      <c r="AS257" s="127"/>
      <c r="AT257" s="29"/>
      <c r="BD257" s="25"/>
      <c r="BE257" s="13"/>
      <c r="BJ257" s="116"/>
      <c r="BK257" s="123"/>
      <c r="BL257" s="123"/>
      <c r="BM257" s="123"/>
      <c r="BR257" s="115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25"/>
      <c r="CC257" s="13"/>
      <c r="CF257" s="114"/>
    </row>
    <row r="258" spans="1:84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27"/>
      <c r="AD258" s="29"/>
      <c r="AO258" s="115"/>
      <c r="AP258" s="115"/>
      <c r="AQ258" s="115"/>
      <c r="AR258" s="115"/>
      <c r="AS258" s="127"/>
      <c r="AT258" s="29"/>
      <c r="BD258" s="25"/>
      <c r="BE258" s="13"/>
      <c r="BJ258" s="116"/>
      <c r="BK258" s="123"/>
      <c r="BL258" s="123"/>
      <c r="BM258" s="123"/>
      <c r="BR258" s="115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25"/>
      <c r="CC258" s="13"/>
      <c r="CF258" s="114"/>
    </row>
    <row r="259" spans="1:84" ht="20.100000000000001" customHeight="1" x14ac:dyDescent="0.4">
      <c r="A259" s="117"/>
      <c r="B259" s="123"/>
      <c r="C259" s="123"/>
      <c r="D259" s="123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27"/>
      <c r="AD259" s="29"/>
      <c r="AO259" s="115"/>
      <c r="AP259" s="115"/>
      <c r="AQ259" s="115"/>
      <c r="AR259" s="115"/>
      <c r="AS259" s="127"/>
      <c r="AT259" s="29"/>
      <c r="BD259" s="25"/>
      <c r="BE259" s="13"/>
      <c r="BJ259" s="116"/>
      <c r="BK259" s="123"/>
      <c r="BL259" s="123"/>
      <c r="BM259" s="123"/>
      <c r="BR259" s="115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25"/>
      <c r="CC259" s="13"/>
      <c r="CF259" s="114"/>
    </row>
    <row r="260" spans="1:84" ht="20.100000000000001" customHeight="1" x14ac:dyDescent="0.4">
      <c r="A260" s="117"/>
      <c r="B260" s="123"/>
      <c r="C260" s="123"/>
      <c r="D260" s="123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27"/>
      <c r="AD260" s="29"/>
      <c r="AO260" s="115"/>
      <c r="AP260" s="115"/>
      <c r="AQ260" s="115"/>
      <c r="AR260" s="115"/>
      <c r="AS260" s="127"/>
      <c r="AT260" s="29"/>
      <c r="BD260" s="25"/>
      <c r="BE260" s="13"/>
      <c r="BJ260" s="116"/>
      <c r="BK260" s="123"/>
      <c r="BL260" s="123"/>
      <c r="BM260" s="123"/>
      <c r="BR260" s="115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25"/>
      <c r="CC260" s="13"/>
      <c r="CF260" s="114"/>
    </row>
    <row r="261" spans="1:84" ht="20.100000000000001" customHeight="1" x14ac:dyDescent="0.4">
      <c r="A261" s="117"/>
      <c r="B261" s="123"/>
      <c r="C261" s="123"/>
      <c r="D261" s="123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29"/>
      <c r="AD261" s="29"/>
      <c r="AO261" s="115"/>
      <c r="AP261" s="115"/>
      <c r="AQ261" s="115"/>
      <c r="AR261" s="115"/>
      <c r="AS261" s="127"/>
      <c r="AT261" s="29"/>
      <c r="BD261" s="25"/>
      <c r="BE261" s="13"/>
      <c r="BJ261" s="116"/>
      <c r="BK261" s="123"/>
      <c r="BL261" s="123"/>
      <c r="BM261" s="123"/>
      <c r="BR261" s="115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25"/>
      <c r="CC261" s="13"/>
      <c r="CF261" s="114"/>
    </row>
    <row r="262" spans="1:84" ht="20.100000000000001" customHeight="1" x14ac:dyDescent="0.4">
      <c r="A262" s="117"/>
      <c r="B262" s="123"/>
      <c r="C262" s="123"/>
      <c r="D262" s="123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27"/>
      <c r="AD262" s="29"/>
      <c r="AO262" s="115"/>
      <c r="AP262" s="115"/>
      <c r="AQ262" s="115"/>
      <c r="AR262" s="115"/>
      <c r="AS262" s="127"/>
      <c r="AT262" s="29"/>
      <c r="BD262" s="25"/>
      <c r="BE262" s="13"/>
      <c r="BJ262" s="116"/>
      <c r="BK262" s="123"/>
      <c r="BL262" s="123"/>
      <c r="BM262" s="123"/>
      <c r="BR262" s="115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25"/>
      <c r="CC262" s="13"/>
      <c r="CF262" s="114"/>
    </row>
    <row r="263" spans="1:84" ht="20.100000000000001" customHeight="1" x14ac:dyDescent="0.4">
      <c r="A263" s="117"/>
      <c r="B263" s="123"/>
      <c r="C263" s="123"/>
      <c r="D263" s="123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27"/>
      <c r="AD263" s="29"/>
      <c r="AO263" s="115"/>
      <c r="AP263" s="115"/>
      <c r="AQ263" s="115"/>
      <c r="AR263" s="115"/>
      <c r="AS263" s="127"/>
      <c r="AT263" s="29"/>
      <c r="BD263" s="25"/>
      <c r="BE263" s="13"/>
      <c r="BJ263" s="116"/>
      <c r="BK263" s="123"/>
      <c r="BL263" s="123"/>
      <c r="BM263" s="123"/>
      <c r="BR263" s="115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25"/>
      <c r="CC263" s="13"/>
      <c r="CF263" s="114"/>
    </row>
    <row r="264" spans="1:84" ht="20.100000000000001" customHeight="1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27"/>
      <c r="AD264" s="29"/>
      <c r="AO264" s="115"/>
      <c r="AP264" s="115"/>
      <c r="AQ264" s="115"/>
      <c r="AR264" s="115"/>
      <c r="AS264" s="127"/>
      <c r="AT264" s="29"/>
      <c r="BD264" s="25"/>
      <c r="BE264" s="13"/>
      <c r="BJ264" s="116"/>
      <c r="BK264" s="123"/>
      <c r="BL264" s="123"/>
      <c r="BM264" s="123"/>
      <c r="BR264" s="115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25"/>
      <c r="CC264" s="13"/>
      <c r="CF264" s="114"/>
    </row>
    <row r="265" spans="1:84" ht="20.100000000000001" customHeight="1" x14ac:dyDescent="0.4">
      <c r="A265" s="117"/>
      <c r="B265" s="123"/>
      <c r="C265" s="123"/>
      <c r="D265" s="123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27"/>
      <c r="AD265" s="29"/>
      <c r="AO265" s="115"/>
      <c r="AP265" s="115"/>
      <c r="AQ265" s="115"/>
      <c r="AR265" s="115"/>
      <c r="AS265" s="127"/>
      <c r="AT265" s="29"/>
      <c r="BD265" s="25"/>
      <c r="BE265" s="13"/>
      <c r="BJ265" s="116"/>
      <c r="BK265" s="123"/>
      <c r="BL265" s="123"/>
      <c r="BM265" s="123"/>
      <c r="BR265" s="115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25"/>
      <c r="CC265" s="13"/>
      <c r="CF265" s="114"/>
    </row>
    <row r="266" spans="1:84" ht="20.100000000000001" customHeight="1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29"/>
      <c r="AD266" s="29"/>
      <c r="AO266" s="115"/>
      <c r="AP266" s="115"/>
      <c r="AQ266" s="115"/>
      <c r="AR266" s="115"/>
      <c r="AS266" s="127"/>
      <c r="AT266" s="29"/>
      <c r="BD266" s="25"/>
      <c r="BE266" s="13"/>
      <c r="BJ266" s="116"/>
      <c r="BK266" s="123"/>
      <c r="BL266" s="123"/>
      <c r="BM266" s="123"/>
      <c r="BR266" s="115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25"/>
      <c r="CC266" s="13"/>
      <c r="CF266" s="114"/>
    </row>
    <row r="267" spans="1:84" ht="20.100000000000001" customHeight="1" x14ac:dyDescent="0.4">
      <c r="A267" s="117"/>
      <c r="B267" s="123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27"/>
      <c r="AD267" s="29"/>
      <c r="AO267" s="115"/>
      <c r="AP267" s="115"/>
      <c r="AQ267" s="115"/>
      <c r="AR267" s="115"/>
      <c r="AS267" s="127"/>
      <c r="AT267" s="29"/>
      <c r="BD267" s="25"/>
      <c r="BE267" s="13"/>
      <c r="BJ267" s="116"/>
      <c r="BK267" s="123"/>
      <c r="BL267" s="123"/>
      <c r="BM267" s="123"/>
      <c r="BR267" s="115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25"/>
      <c r="CC267" s="13"/>
      <c r="CF267" s="114"/>
    </row>
    <row r="268" spans="1:84" ht="20.100000000000001" customHeight="1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27"/>
      <c r="AD268" s="29"/>
      <c r="AO268" s="115"/>
      <c r="AP268" s="115"/>
      <c r="AQ268" s="115"/>
      <c r="AR268" s="115"/>
      <c r="AS268" s="127"/>
      <c r="AT268" s="29"/>
      <c r="BD268" s="25"/>
      <c r="BE268" s="13"/>
      <c r="BJ268" s="116"/>
      <c r="BK268" s="123"/>
      <c r="BL268" s="123"/>
      <c r="BM268" s="123"/>
      <c r="BR268" s="115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25"/>
      <c r="CC268" s="13"/>
      <c r="CF268" s="114"/>
    </row>
    <row r="269" spans="1:84" ht="20.100000000000001" customHeight="1" x14ac:dyDescent="0.4">
      <c r="A269" s="117"/>
      <c r="B269" s="123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27"/>
      <c r="AD269" s="29"/>
      <c r="AO269" s="115"/>
      <c r="AP269" s="115"/>
      <c r="AQ269" s="115"/>
      <c r="AR269" s="115"/>
      <c r="AS269" s="127"/>
      <c r="AT269" s="29"/>
      <c r="BD269" s="25"/>
      <c r="BE269" s="13"/>
      <c r="BJ269" s="116"/>
      <c r="BK269" s="123"/>
      <c r="BL269" s="123"/>
      <c r="BM269" s="123"/>
      <c r="BR269" s="115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25"/>
      <c r="CC269" s="13"/>
      <c r="CF269" s="114"/>
    </row>
    <row r="270" spans="1:84" ht="20.100000000000001" customHeight="1" x14ac:dyDescent="0.4">
      <c r="A270" s="117"/>
      <c r="B270" s="123"/>
      <c r="C270" s="123"/>
      <c r="D270" s="123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27"/>
      <c r="AD270" s="29"/>
      <c r="AO270" s="115"/>
      <c r="AP270" s="115"/>
      <c r="AQ270" s="115"/>
      <c r="AR270" s="115"/>
      <c r="AS270" s="127"/>
      <c r="AT270" s="29"/>
      <c r="BD270" s="25"/>
      <c r="BE270" s="13"/>
      <c r="BJ270" s="116"/>
      <c r="BK270" s="123"/>
      <c r="BL270" s="123"/>
      <c r="BM270" s="123"/>
      <c r="BR270" s="115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25"/>
      <c r="CC270" s="13"/>
      <c r="CF270" s="114"/>
    </row>
    <row r="271" spans="1:84" ht="20.100000000000001" customHeight="1" x14ac:dyDescent="0.4">
      <c r="A271" s="117"/>
      <c r="B271" s="123"/>
      <c r="C271" s="123"/>
      <c r="D271" s="123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27"/>
      <c r="AD271" s="29"/>
      <c r="AO271" s="115"/>
      <c r="AP271" s="115"/>
      <c r="AQ271" s="115"/>
      <c r="AR271" s="115"/>
      <c r="AS271" s="127"/>
      <c r="AT271" s="29"/>
      <c r="BD271" s="25"/>
      <c r="BE271" s="13"/>
      <c r="BJ271" s="116"/>
      <c r="BK271" s="123"/>
      <c r="BL271" s="123"/>
      <c r="BM271" s="123"/>
      <c r="BR271" s="115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25"/>
      <c r="CC271" s="13"/>
      <c r="CF271" s="114"/>
    </row>
    <row r="272" spans="1:84" ht="20.100000000000001" customHeight="1" x14ac:dyDescent="0.4">
      <c r="A272" s="117"/>
      <c r="B272" s="123"/>
      <c r="C272" s="123"/>
      <c r="D272" s="123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27"/>
      <c r="AD272" s="29"/>
      <c r="AO272" s="115"/>
      <c r="AP272" s="115"/>
      <c r="AQ272" s="115"/>
      <c r="AR272" s="115"/>
      <c r="AS272" s="127"/>
      <c r="AT272" s="29"/>
      <c r="BD272" s="25"/>
      <c r="BE272" s="13"/>
      <c r="BJ272" s="116"/>
      <c r="BK272" s="123"/>
      <c r="BL272" s="123"/>
      <c r="BM272" s="123"/>
      <c r="BR272" s="115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25"/>
      <c r="CC272" s="13"/>
      <c r="CF272" s="114"/>
    </row>
    <row r="273" spans="1:84" ht="20.100000000000001" customHeight="1" x14ac:dyDescent="0.4">
      <c r="A273" s="117"/>
      <c r="B273" s="123"/>
      <c r="C273" s="123"/>
      <c r="D273" s="123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29"/>
      <c r="AD273" s="29"/>
      <c r="AO273" s="115"/>
      <c r="AP273" s="115"/>
      <c r="AQ273" s="115"/>
      <c r="AR273" s="115"/>
      <c r="AS273" s="127"/>
      <c r="AT273" s="29"/>
      <c r="BD273" s="25"/>
      <c r="BE273" s="13"/>
      <c r="BJ273" s="116"/>
      <c r="BK273" s="123"/>
      <c r="BL273" s="123"/>
      <c r="BM273" s="123"/>
      <c r="BR273" s="115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25"/>
      <c r="CC273" s="13"/>
      <c r="CF273" s="114"/>
    </row>
    <row r="274" spans="1:84" ht="20.100000000000001" customHeight="1" x14ac:dyDescent="0.4">
      <c r="A274" s="117"/>
      <c r="B274" s="123"/>
      <c r="C274" s="123"/>
      <c r="D274" s="123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29"/>
      <c r="AD274" s="29"/>
      <c r="AO274" s="115"/>
      <c r="AP274" s="115"/>
      <c r="AQ274" s="115"/>
      <c r="AR274" s="115"/>
      <c r="AS274" s="127"/>
      <c r="AT274" s="29"/>
      <c r="BD274" s="25"/>
      <c r="BE274" s="13"/>
      <c r="BJ274" s="116"/>
      <c r="BK274" s="123"/>
      <c r="BL274" s="123"/>
      <c r="BM274" s="123"/>
      <c r="BR274" s="115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25"/>
      <c r="CC274" s="13"/>
      <c r="CF274" s="114"/>
    </row>
    <row r="275" spans="1:84" ht="20.100000000000001" customHeight="1" x14ac:dyDescent="0.4">
      <c r="A275" s="117"/>
      <c r="B275" s="123"/>
      <c r="C275" s="123"/>
      <c r="D275" s="123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27"/>
      <c r="AD275" s="29"/>
      <c r="AO275" s="115"/>
      <c r="AP275" s="115"/>
      <c r="AQ275" s="115"/>
      <c r="AR275" s="115"/>
      <c r="AS275" s="127"/>
      <c r="AT275" s="29"/>
      <c r="BD275" s="25"/>
      <c r="BE275" s="13"/>
      <c r="BJ275" s="116"/>
      <c r="BK275" s="123"/>
      <c r="BL275" s="123"/>
      <c r="BM275" s="123"/>
      <c r="BR275" s="115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25"/>
      <c r="CC275" s="13"/>
      <c r="CF275" s="114"/>
    </row>
    <row r="276" spans="1:84" ht="20.100000000000001" customHeight="1" x14ac:dyDescent="0.4">
      <c r="A276" s="117"/>
      <c r="B276" s="123"/>
      <c r="C276" s="123"/>
      <c r="D276" s="123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29"/>
      <c r="AD276" s="29"/>
      <c r="AO276" s="115"/>
      <c r="AP276" s="115"/>
      <c r="AQ276" s="115"/>
      <c r="AR276" s="115"/>
      <c r="AS276" s="127"/>
      <c r="AT276" s="29"/>
      <c r="BD276" s="25"/>
      <c r="BE276" s="13"/>
      <c r="BJ276" s="116"/>
      <c r="BK276" s="123"/>
      <c r="BL276" s="123"/>
      <c r="BM276" s="123"/>
      <c r="BR276" s="115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25"/>
      <c r="CC276" s="13"/>
      <c r="CF276" s="114"/>
    </row>
    <row r="277" spans="1:84" ht="20.100000000000001" customHeight="1" x14ac:dyDescent="0.4">
      <c r="A277" s="117"/>
      <c r="B277" s="123"/>
      <c r="C277" s="123"/>
      <c r="D277" s="123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27"/>
      <c r="AD277" s="29"/>
      <c r="AO277" s="115"/>
      <c r="AP277" s="115"/>
      <c r="AQ277" s="115"/>
      <c r="AR277" s="115"/>
      <c r="AS277" s="127"/>
      <c r="AT277" s="29"/>
      <c r="BD277" s="25"/>
      <c r="BE277" s="13"/>
      <c r="BJ277" s="116"/>
      <c r="BK277" s="123"/>
      <c r="BL277" s="123"/>
      <c r="BM277" s="123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25"/>
      <c r="CC277" s="13"/>
      <c r="CF277" s="114"/>
    </row>
    <row r="278" spans="1:84" ht="20.100000000000001" customHeight="1" x14ac:dyDescent="0.4">
      <c r="A278" s="117"/>
      <c r="B278" s="123"/>
      <c r="C278" s="123"/>
      <c r="D278" s="123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27"/>
      <c r="AD278" s="29"/>
      <c r="AO278" s="115"/>
      <c r="AP278" s="115"/>
      <c r="AQ278" s="115"/>
      <c r="AR278" s="115"/>
      <c r="AS278" s="127"/>
      <c r="AT278" s="29"/>
      <c r="BD278" s="25"/>
      <c r="BE278" s="13"/>
      <c r="BJ278" s="116"/>
      <c r="BK278" s="123"/>
      <c r="BL278" s="123"/>
      <c r="BM278" s="123"/>
      <c r="BR278" s="115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25"/>
      <c r="CC278" s="13"/>
      <c r="CF278" s="114"/>
    </row>
    <row r="279" spans="1:84" ht="20.100000000000001" customHeight="1" x14ac:dyDescent="0.4">
      <c r="A279" s="117"/>
      <c r="B279" s="123"/>
      <c r="C279" s="123"/>
      <c r="D279" s="123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27"/>
      <c r="AD279" s="29"/>
      <c r="AO279" s="115"/>
      <c r="AP279" s="115"/>
      <c r="AQ279" s="115"/>
      <c r="AR279" s="115"/>
      <c r="AS279" s="127"/>
      <c r="AT279" s="29"/>
      <c r="BD279" s="25"/>
      <c r="BE279" s="13"/>
      <c r="BJ279" s="116"/>
      <c r="BK279" s="123"/>
      <c r="BL279" s="123"/>
      <c r="BM279" s="123"/>
      <c r="BR279" s="115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25"/>
      <c r="CC279" s="13"/>
      <c r="CF279" s="114"/>
    </row>
    <row r="280" spans="1:84" ht="20.100000000000001" customHeight="1" x14ac:dyDescent="0.4">
      <c r="A280" s="117"/>
      <c r="B280" s="123"/>
      <c r="C280" s="123"/>
      <c r="D280" s="123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29"/>
      <c r="AD280" s="29"/>
      <c r="AO280" s="115"/>
      <c r="AP280" s="115"/>
      <c r="AQ280" s="115"/>
      <c r="AR280" s="115"/>
      <c r="AS280" s="127"/>
      <c r="AT280" s="29"/>
      <c r="BD280" s="25"/>
      <c r="BE280" s="13"/>
      <c r="BJ280" s="116"/>
      <c r="BK280" s="123"/>
      <c r="BL280" s="123"/>
      <c r="BM280" s="123"/>
      <c r="BR280" s="115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25"/>
      <c r="CC280" s="13"/>
      <c r="CF280" s="114"/>
    </row>
    <row r="281" spans="1:84" ht="20.100000000000001" customHeight="1" x14ac:dyDescent="0.4">
      <c r="A281" s="117"/>
      <c r="B281" s="123"/>
      <c r="C281" s="123"/>
      <c r="D281" s="123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27"/>
      <c r="AD281" s="29"/>
      <c r="AO281" s="115"/>
      <c r="AP281" s="115"/>
      <c r="AQ281" s="115"/>
      <c r="AR281" s="115"/>
      <c r="AS281" s="127"/>
      <c r="AT281" s="29"/>
      <c r="BD281" s="25"/>
      <c r="BE281" s="13"/>
      <c r="BJ281" s="116"/>
      <c r="BK281" s="123"/>
      <c r="BL281" s="123"/>
      <c r="BM281" s="123"/>
      <c r="BR281" s="115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25"/>
      <c r="CC281" s="13"/>
      <c r="CF281" s="114"/>
    </row>
    <row r="282" spans="1:84" ht="20.100000000000001" customHeight="1" x14ac:dyDescent="0.4">
      <c r="A282" s="117"/>
      <c r="B282" s="123"/>
      <c r="C282" s="123"/>
      <c r="D282" s="123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29"/>
      <c r="AD282" s="29"/>
      <c r="AO282" s="115"/>
      <c r="AP282" s="115"/>
      <c r="AQ282" s="115"/>
      <c r="AR282" s="115"/>
      <c r="AS282" s="127"/>
      <c r="AT282" s="29"/>
      <c r="BD282" s="25"/>
      <c r="BE282" s="13"/>
      <c r="BJ282" s="116"/>
      <c r="BK282" s="123"/>
      <c r="BL282" s="123"/>
      <c r="BM282" s="123"/>
      <c r="BR282" s="115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25"/>
      <c r="CC282" s="13"/>
      <c r="CF282" s="114"/>
    </row>
    <row r="283" spans="1:84" ht="20.100000000000001" customHeight="1" x14ac:dyDescent="0.4">
      <c r="A283" s="117"/>
      <c r="B283" s="123"/>
      <c r="C283" s="123"/>
      <c r="D283" s="123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29"/>
      <c r="AD283" s="29"/>
      <c r="AO283" s="115"/>
      <c r="AP283" s="115"/>
      <c r="AQ283" s="115"/>
      <c r="AR283" s="115"/>
      <c r="AS283" s="127"/>
      <c r="AT283" s="29"/>
      <c r="BD283" s="25"/>
      <c r="BE283" s="13"/>
      <c r="BJ283" s="116"/>
      <c r="BK283" s="123"/>
      <c r="BL283" s="123"/>
      <c r="BM283" s="123"/>
      <c r="BR283" s="115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25"/>
      <c r="CC283" s="13"/>
      <c r="CF283" s="114"/>
    </row>
    <row r="284" spans="1:84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27"/>
      <c r="AD284" s="29"/>
      <c r="AO284" s="115"/>
      <c r="AP284" s="115"/>
      <c r="AQ284" s="115"/>
      <c r="AR284" s="115"/>
      <c r="AS284" s="127"/>
      <c r="AT284" s="29"/>
      <c r="BD284" s="25"/>
      <c r="BE284" s="13"/>
      <c r="BJ284" s="116"/>
      <c r="BK284" s="123"/>
      <c r="BL284" s="123"/>
      <c r="BM284" s="123"/>
      <c r="BR284" s="115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25"/>
      <c r="CC284" s="13"/>
      <c r="CF284" s="114"/>
    </row>
    <row r="285" spans="1:84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27"/>
      <c r="AD285" s="29"/>
      <c r="AO285" s="115"/>
      <c r="AP285" s="115"/>
      <c r="AQ285" s="115"/>
      <c r="AR285" s="115"/>
      <c r="AS285" s="127"/>
      <c r="AT285" s="29"/>
      <c r="BD285" s="25"/>
      <c r="BE285" s="13"/>
      <c r="BJ285" s="116"/>
      <c r="BK285" s="123"/>
      <c r="BL285" s="123"/>
      <c r="BM285" s="123"/>
      <c r="BR285" s="115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25"/>
      <c r="CC285" s="13"/>
      <c r="CF285" s="114"/>
    </row>
    <row r="286" spans="1:84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27"/>
      <c r="AD286" s="29"/>
      <c r="AO286" s="115"/>
      <c r="AP286" s="115"/>
      <c r="AQ286" s="115"/>
      <c r="AR286" s="115"/>
      <c r="AS286" s="127"/>
      <c r="AT286" s="29"/>
      <c r="BD286" s="25"/>
      <c r="BE286" s="13"/>
      <c r="BJ286" s="116"/>
      <c r="BK286" s="123"/>
      <c r="BL286" s="123"/>
      <c r="BM286" s="123"/>
      <c r="BR286" s="115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25"/>
      <c r="CC286" s="13"/>
      <c r="CF286" s="114"/>
    </row>
    <row r="287" spans="1:84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27"/>
      <c r="AD287" s="29"/>
      <c r="AO287" s="115"/>
      <c r="AP287" s="115"/>
      <c r="AQ287" s="115"/>
      <c r="AR287" s="115"/>
      <c r="AS287" s="127"/>
      <c r="AT287" s="29"/>
      <c r="BD287" s="25"/>
      <c r="BE287" s="13"/>
      <c r="BJ287" s="116"/>
      <c r="BK287" s="123"/>
      <c r="BL287" s="123"/>
      <c r="BM287" s="123"/>
      <c r="BR287" s="115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25"/>
      <c r="CC287" s="13"/>
      <c r="CF287" s="114"/>
    </row>
    <row r="288" spans="1:84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27"/>
      <c r="AD288" s="29"/>
      <c r="AO288" s="115"/>
      <c r="AP288" s="115"/>
      <c r="AQ288" s="115"/>
      <c r="AR288" s="115"/>
      <c r="AS288" s="127"/>
      <c r="AT288" s="29"/>
      <c r="BD288" s="25"/>
      <c r="BE288" s="13"/>
      <c r="BJ288" s="116"/>
      <c r="BK288" s="123"/>
      <c r="BL288" s="123"/>
      <c r="BM288" s="123"/>
      <c r="BR288" s="115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25"/>
      <c r="CC288" s="13"/>
      <c r="CF288" s="114"/>
    </row>
    <row r="289" spans="1:84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27"/>
      <c r="AD289" s="29"/>
      <c r="AO289" s="115"/>
      <c r="AP289" s="115"/>
      <c r="AQ289" s="115"/>
      <c r="AR289" s="115"/>
      <c r="AS289" s="127"/>
      <c r="AT289" s="29"/>
      <c r="BD289" s="25"/>
      <c r="BE289" s="13"/>
      <c r="BJ289" s="116"/>
      <c r="BK289" s="123"/>
      <c r="BL289" s="123"/>
      <c r="BM289" s="123"/>
      <c r="BR289" s="115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25"/>
      <c r="CC289" s="13"/>
      <c r="CF289" s="114"/>
    </row>
    <row r="290" spans="1:84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29"/>
      <c r="AD290" s="29"/>
      <c r="AO290" s="115"/>
      <c r="AP290" s="115"/>
      <c r="AQ290" s="115"/>
      <c r="AR290" s="115"/>
      <c r="AS290" s="127"/>
      <c r="AT290" s="29"/>
      <c r="BD290" s="25"/>
      <c r="BE290" s="13"/>
      <c r="BJ290" s="116"/>
      <c r="BK290" s="123"/>
      <c r="BL290" s="123"/>
      <c r="BM290" s="123"/>
      <c r="BR290" s="115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25"/>
      <c r="CC290" s="13"/>
      <c r="CF290" s="114"/>
    </row>
    <row r="291" spans="1:84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27"/>
      <c r="AD291" s="29"/>
      <c r="AO291" s="115"/>
      <c r="AP291" s="115"/>
      <c r="AQ291" s="115"/>
      <c r="AR291" s="115"/>
      <c r="AS291" s="127"/>
      <c r="AT291" s="29"/>
      <c r="BD291" s="25"/>
      <c r="BE291" s="13"/>
      <c r="BJ291" s="116"/>
      <c r="BK291" s="123"/>
      <c r="BL291" s="123"/>
      <c r="BM291" s="123"/>
      <c r="BR291" s="115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25"/>
      <c r="CC291" s="13"/>
      <c r="CF291" s="114"/>
    </row>
    <row r="292" spans="1:84" ht="20.100000000000001" customHeight="1" x14ac:dyDescent="0.4">
      <c r="A292" s="117"/>
      <c r="B292" s="123"/>
      <c r="C292" s="123"/>
      <c r="D292" s="123"/>
      <c r="AC292" s="127"/>
      <c r="AD292" s="29"/>
      <c r="AO292" s="115"/>
      <c r="AP292" s="115"/>
      <c r="AQ292" s="115"/>
      <c r="AR292" s="115"/>
      <c r="AS292" s="29"/>
      <c r="AT292" s="29"/>
      <c r="BD292" s="25"/>
      <c r="BE292" s="13"/>
      <c r="BJ292" s="116"/>
      <c r="BK292" s="123"/>
      <c r="BL292" s="123"/>
      <c r="BM292" s="123"/>
      <c r="BR292" s="115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25"/>
      <c r="CC292" s="13"/>
      <c r="CF292" s="114"/>
    </row>
    <row r="293" spans="1:84" ht="20.100000000000001" customHeight="1" x14ac:dyDescent="0.4">
      <c r="A293" s="117"/>
      <c r="B293" s="123"/>
      <c r="C293" s="123"/>
      <c r="D293" s="123"/>
      <c r="X293" s="115"/>
      <c r="Y293" s="115"/>
      <c r="Z293" s="115"/>
      <c r="AA293" s="115"/>
      <c r="AB293" s="115"/>
      <c r="AC293" s="127"/>
      <c r="AD293" s="29"/>
      <c r="AO293" s="115"/>
      <c r="AP293" s="115"/>
      <c r="AQ293" s="115"/>
      <c r="AR293" s="115"/>
      <c r="AS293" s="29"/>
      <c r="AT293" s="29"/>
      <c r="BD293" s="25"/>
      <c r="BE293" s="13"/>
      <c r="BJ293" s="116"/>
      <c r="BK293" s="123"/>
      <c r="BL293" s="123"/>
      <c r="BM293" s="123"/>
      <c r="BR293" s="115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25"/>
      <c r="CC293" s="13"/>
      <c r="CF293" s="114"/>
    </row>
    <row r="294" spans="1:84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27"/>
      <c r="AD294" s="29"/>
      <c r="AO294" s="115"/>
      <c r="AP294" s="115"/>
      <c r="AQ294" s="115"/>
      <c r="AR294" s="115"/>
      <c r="AS294" s="29"/>
      <c r="AT294" s="29"/>
      <c r="BD294" s="25"/>
      <c r="BE294" s="13"/>
      <c r="BJ294" s="116"/>
      <c r="BK294" s="123"/>
      <c r="BL294" s="123"/>
      <c r="BM294" s="123"/>
      <c r="BR294" s="115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25"/>
      <c r="CC294" s="13"/>
      <c r="CF294" s="114"/>
    </row>
    <row r="295" spans="1:84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27"/>
      <c r="AD295" s="29"/>
      <c r="AO295" s="115"/>
      <c r="AP295" s="115"/>
      <c r="AQ295" s="115"/>
      <c r="AR295" s="115"/>
      <c r="AS295" s="29"/>
      <c r="AT295" s="29"/>
      <c r="BD295" s="25"/>
      <c r="BE295" s="13"/>
      <c r="BJ295" s="116"/>
      <c r="BK295" s="123"/>
      <c r="BL295" s="123"/>
      <c r="BM295" s="123"/>
      <c r="BR295" s="115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25"/>
      <c r="CC295" s="13"/>
      <c r="CF295" s="114"/>
    </row>
    <row r="296" spans="1:84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27"/>
      <c r="AD296" s="29"/>
      <c r="AO296" s="115"/>
      <c r="AP296" s="115"/>
      <c r="AQ296" s="115"/>
      <c r="AR296" s="115"/>
      <c r="AS296" s="29"/>
      <c r="AT296" s="29"/>
      <c r="BD296" s="25"/>
      <c r="BE296" s="13"/>
      <c r="BJ296" s="116"/>
      <c r="BK296" s="123"/>
      <c r="BL296" s="123"/>
      <c r="BM296" s="123"/>
      <c r="BR296" s="115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25"/>
      <c r="CC296" s="13"/>
      <c r="CF296" s="114"/>
    </row>
    <row r="297" spans="1:84" ht="20.100000000000001" customHeight="1" x14ac:dyDescent="0.4">
      <c r="A297" s="117"/>
      <c r="B297" s="139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27"/>
      <c r="AD297" s="29"/>
      <c r="AO297" s="115"/>
      <c r="AP297" s="115"/>
      <c r="AQ297" s="115"/>
      <c r="AR297" s="115"/>
      <c r="AS297" s="29"/>
      <c r="AT297" s="29"/>
      <c r="BD297" s="25"/>
      <c r="BE297" s="13"/>
      <c r="BJ297" s="116"/>
      <c r="BK297" s="123"/>
      <c r="BL297" s="123"/>
      <c r="BM297" s="123"/>
      <c r="BR297" s="115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25"/>
      <c r="CC297" s="13"/>
      <c r="CF297" s="114"/>
    </row>
    <row r="298" spans="1:84" ht="20.100000000000001" customHeight="1" x14ac:dyDescent="0.4">
      <c r="A298" s="117"/>
      <c r="B298" s="139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27"/>
      <c r="AD298" s="29"/>
      <c r="AO298" s="115"/>
      <c r="AP298" s="115"/>
      <c r="AQ298" s="115"/>
      <c r="AR298" s="115"/>
      <c r="AS298" s="29"/>
      <c r="AT298" s="29"/>
      <c r="BD298" s="25"/>
      <c r="BE298" s="13"/>
      <c r="BJ298" s="116"/>
      <c r="BK298" s="123"/>
      <c r="BL298" s="123"/>
      <c r="BM298" s="123"/>
      <c r="BR298" s="115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25"/>
      <c r="CC298" s="13"/>
      <c r="CF298" s="114"/>
    </row>
    <row r="299" spans="1:84" ht="20.100000000000001" customHeight="1" x14ac:dyDescent="0.4">
      <c r="A299" s="117"/>
      <c r="B299" s="139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27"/>
      <c r="AD299" s="29"/>
      <c r="AO299" s="115"/>
      <c r="AP299" s="115"/>
      <c r="AQ299" s="115"/>
      <c r="AR299" s="115"/>
      <c r="AS299" s="29"/>
      <c r="AT299" s="29"/>
      <c r="BD299" s="25"/>
      <c r="BE299" s="13"/>
      <c r="BJ299" s="116"/>
      <c r="BK299" s="123"/>
      <c r="BL299" s="123"/>
      <c r="BM299" s="123"/>
      <c r="BR299" s="115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25"/>
      <c r="CC299" s="13"/>
      <c r="CF299" s="114"/>
    </row>
    <row r="300" spans="1:84" ht="20.100000000000001" customHeight="1" x14ac:dyDescent="0.4">
      <c r="A300" s="117"/>
      <c r="B300" s="139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27"/>
      <c r="AD300" s="29"/>
      <c r="AO300" s="115"/>
      <c r="AP300" s="115"/>
      <c r="AQ300" s="115"/>
      <c r="AR300" s="115"/>
      <c r="AS300" s="29"/>
      <c r="AT300" s="29"/>
      <c r="BD300" s="25"/>
      <c r="BE300" s="13"/>
      <c r="BJ300" s="116"/>
      <c r="BK300" s="123"/>
      <c r="BL300" s="123"/>
      <c r="BM300" s="123"/>
      <c r="BR300" s="115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25"/>
      <c r="CC300" s="13"/>
      <c r="CF300" s="114"/>
    </row>
    <row r="301" spans="1:84" ht="20.100000000000001" customHeight="1" x14ac:dyDescent="0.4">
      <c r="A301" s="117"/>
      <c r="B301" s="139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27"/>
      <c r="AD301" s="29"/>
      <c r="AO301" s="115"/>
      <c r="AP301" s="115"/>
      <c r="AQ301" s="115"/>
      <c r="AR301" s="115"/>
      <c r="AS301" s="29"/>
      <c r="AT301" s="29"/>
      <c r="BD301" s="25"/>
      <c r="BE301" s="13"/>
      <c r="BJ301" s="116"/>
      <c r="BK301" s="123"/>
      <c r="BL301" s="123"/>
      <c r="BM301" s="123"/>
      <c r="BR301" s="115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25"/>
      <c r="CC301" s="13"/>
      <c r="CF301" s="114"/>
    </row>
    <row r="302" spans="1:84" ht="20.100000000000001" customHeight="1" x14ac:dyDescent="0.4">
      <c r="A302" s="117"/>
      <c r="B302" s="139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29"/>
      <c r="AD302" s="29"/>
      <c r="AO302" s="115"/>
      <c r="AP302" s="115"/>
      <c r="AQ302" s="115"/>
      <c r="AR302" s="115"/>
      <c r="AS302" s="29"/>
      <c r="AT302" s="29"/>
      <c r="BD302" s="25"/>
      <c r="BE302" s="13"/>
      <c r="BJ302" s="116"/>
      <c r="BK302" s="123"/>
      <c r="BL302" s="123"/>
      <c r="BM302" s="123"/>
      <c r="BR302" s="115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25"/>
      <c r="CC302" s="13"/>
      <c r="CF302" s="114"/>
    </row>
    <row r="303" spans="1:84" ht="20.100000000000001" customHeight="1" x14ac:dyDescent="0.4">
      <c r="A303" s="117"/>
      <c r="B303" s="123"/>
      <c r="C303" s="123"/>
      <c r="D303" s="123"/>
      <c r="AC303" s="127"/>
      <c r="AD303" s="29"/>
      <c r="AO303" s="115"/>
      <c r="AP303" s="115"/>
      <c r="AQ303" s="115"/>
      <c r="AR303" s="115"/>
      <c r="AS303" s="127"/>
      <c r="AT303" s="29"/>
      <c r="BD303" s="25"/>
      <c r="BE303" s="13"/>
      <c r="BJ303" s="116"/>
      <c r="BK303" s="123"/>
      <c r="BL303" s="123"/>
      <c r="BM303" s="123"/>
      <c r="BR303" s="115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25"/>
      <c r="CC303" s="13"/>
      <c r="CF303" s="114"/>
    </row>
    <row r="304" spans="1:84" ht="20.100000000000001" customHeight="1" x14ac:dyDescent="0.4">
      <c r="A304" s="117"/>
      <c r="B304" s="123"/>
      <c r="C304" s="123"/>
      <c r="D304" s="123"/>
      <c r="Y304" s="115"/>
      <c r="Z304" s="115"/>
      <c r="AA304" s="115"/>
      <c r="AB304" s="115"/>
      <c r="AC304" s="29"/>
      <c r="AD304" s="29"/>
      <c r="AO304" s="115"/>
      <c r="AP304" s="115"/>
      <c r="AQ304" s="115"/>
      <c r="AR304" s="115"/>
      <c r="AS304" s="127"/>
      <c r="AT304" s="29"/>
      <c r="BD304" s="25"/>
      <c r="BE304" s="13"/>
      <c r="BJ304" s="116"/>
      <c r="BK304" s="123"/>
      <c r="BL304" s="123"/>
      <c r="BM304" s="123"/>
      <c r="BR304" s="115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25"/>
      <c r="CC304" s="13"/>
      <c r="CF304" s="114"/>
    </row>
    <row r="305" spans="1:84" ht="20.100000000000001" customHeight="1" x14ac:dyDescent="0.4">
      <c r="A305" s="117"/>
      <c r="B305" s="123"/>
      <c r="C305" s="123"/>
      <c r="D305" s="123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27"/>
      <c r="AD305" s="29"/>
      <c r="AO305" s="115"/>
      <c r="AP305" s="115"/>
      <c r="AQ305" s="115"/>
      <c r="AR305" s="115"/>
      <c r="AS305" s="127"/>
      <c r="AT305" s="29"/>
      <c r="BD305" s="25"/>
      <c r="BE305" s="13"/>
      <c r="BJ305" s="116"/>
      <c r="BK305" s="123"/>
      <c r="BL305" s="123"/>
      <c r="BM305" s="123"/>
      <c r="BR305" s="115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25"/>
      <c r="CC305" s="13"/>
      <c r="CF305" s="114"/>
    </row>
    <row r="306" spans="1:84" ht="20.100000000000001" customHeight="1" x14ac:dyDescent="0.4">
      <c r="A306" s="117"/>
      <c r="B306" s="123"/>
      <c r="C306" s="123"/>
      <c r="D306" s="123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27"/>
      <c r="AD306" s="29"/>
      <c r="AO306" s="115"/>
      <c r="AP306" s="115"/>
      <c r="AQ306" s="115"/>
      <c r="AR306" s="115"/>
      <c r="AS306" s="127"/>
      <c r="AT306" s="29"/>
      <c r="BD306" s="25"/>
      <c r="BE306" s="13"/>
      <c r="BJ306" s="116"/>
      <c r="BK306" s="123"/>
      <c r="BL306" s="123"/>
      <c r="BM306" s="123"/>
      <c r="BR306" s="115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25"/>
      <c r="CC306" s="13"/>
      <c r="CF306" s="114"/>
    </row>
    <row r="307" spans="1:84" ht="20.100000000000001" customHeight="1" x14ac:dyDescent="0.4">
      <c r="A307" s="117"/>
      <c r="B307" s="123"/>
      <c r="C307" s="123"/>
      <c r="D307" s="123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27"/>
      <c r="AD307" s="29"/>
      <c r="AO307" s="115"/>
      <c r="AP307" s="115"/>
      <c r="AQ307" s="115"/>
      <c r="AR307" s="115"/>
      <c r="AS307" s="127"/>
      <c r="AT307" s="29"/>
      <c r="BD307" s="25"/>
      <c r="BE307" s="13"/>
      <c r="BJ307" s="116"/>
      <c r="BK307" s="123"/>
      <c r="BL307" s="123"/>
      <c r="BM307" s="123"/>
      <c r="BR307" s="115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25"/>
      <c r="CC307" s="13"/>
      <c r="CF307" s="114"/>
    </row>
    <row r="308" spans="1:84" ht="20.100000000000001" customHeight="1" x14ac:dyDescent="0.4">
      <c r="A308" s="117"/>
      <c r="B308" s="123"/>
      <c r="C308" s="123"/>
      <c r="D308" s="123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29"/>
      <c r="AD308" s="29"/>
      <c r="AO308" s="115"/>
      <c r="AP308" s="115"/>
      <c r="AQ308" s="115"/>
      <c r="AR308" s="115"/>
      <c r="AS308" s="127"/>
      <c r="AT308" s="29"/>
      <c r="BD308" s="25"/>
      <c r="BE308" s="13"/>
      <c r="BJ308" s="116"/>
      <c r="BK308" s="123"/>
      <c r="BL308" s="123"/>
      <c r="BM308" s="123"/>
      <c r="BR308" s="115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25"/>
      <c r="CC308" s="13"/>
      <c r="CF308" s="114"/>
    </row>
    <row r="309" spans="1:84" ht="20.100000000000001" customHeight="1" x14ac:dyDescent="0.4">
      <c r="A309" s="117"/>
      <c r="B309" s="123"/>
      <c r="C309" s="123"/>
      <c r="D309" s="123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27"/>
      <c r="AD309" s="134"/>
      <c r="AO309" s="115"/>
      <c r="AP309" s="115"/>
      <c r="AQ309" s="115"/>
      <c r="AR309" s="115"/>
      <c r="AS309" s="127"/>
      <c r="AT309" s="29"/>
      <c r="BD309" s="25"/>
      <c r="BE309" s="13"/>
      <c r="BJ309" s="116"/>
      <c r="BK309" s="123"/>
      <c r="BL309" s="123"/>
      <c r="BM309" s="123"/>
      <c r="BR309" s="115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25"/>
      <c r="CC309" s="13"/>
      <c r="CF309" s="114"/>
    </row>
    <row r="310" spans="1:84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27"/>
      <c r="AD310" s="29"/>
      <c r="AO310" s="115"/>
      <c r="AP310" s="115"/>
      <c r="AQ310" s="115"/>
      <c r="AR310" s="115"/>
      <c r="AS310" s="127"/>
      <c r="AT310" s="29"/>
      <c r="BD310" s="25"/>
      <c r="BE310" s="13"/>
      <c r="BJ310" s="116"/>
      <c r="BK310" s="123"/>
      <c r="BL310" s="123"/>
      <c r="BM310" s="123"/>
      <c r="BR310" s="115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25"/>
      <c r="CC310" s="13"/>
      <c r="CF310" s="114"/>
    </row>
    <row r="311" spans="1:84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29"/>
      <c r="AD311" s="29"/>
      <c r="AO311" s="115"/>
      <c r="AP311" s="115"/>
      <c r="AQ311" s="115"/>
      <c r="AR311" s="115"/>
      <c r="AS311" s="127"/>
      <c r="AT311" s="29"/>
      <c r="BD311" s="25"/>
      <c r="BE311" s="13"/>
      <c r="BJ311" s="116"/>
      <c r="BK311" s="123"/>
      <c r="BL311" s="123"/>
      <c r="BM311" s="123"/>
      <c r="BR311" s="115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25"/>
      <c r="CC311" s="13"/>
      <c r="CF311" s="114"/>
    </row>
    <row r="312" spans="1:84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27"/>
      <c r="AD312" s="29"/>
      <c r="AO312" s="115"/>
      <c r="AP312" s="115"/>
      <c r="AQ312" s="115"/>
      <c r="AR312" s="115"/>
      <c r="AS312" s="127"/>
      <c r="AT312" s="29"/>
      <c r="BD312" s="25"/>
      <c r="BE312" s="13"/>
      <c r="BJ312" s="116"/>
      <c r="BK312" s="123"/>
      <c r="BL312" s="123"/>
      <c r="BM312" s="123"/>
      <c r="BR312" s="115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25"/>
      <c r="CC312" s="13"/>
      <c r="CF312" s="114"/>
    </row>
    <row r="313" spans="1:84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27"/>
      <c r="AD313" s="29"/>
      <c r="AO313" s="115"/>
      <c r="AP313" s="115"/>
      <c r="AQ313" s="115"/>
      <c r="AR313" s="115"/>
      <c r="AS313" s="127"/>
      <c r="AT313" s="29"/>
      <c r="BD313" s="25"/>
      <c r="BE313" s="13"/>
      <c r="BJ313" s="116"/>
      <c r="BK313" s="123"/>
      <c r="BL313" s="123"/>
      <c r="BM313" s="123"/>
      <c r="BR313" s="115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25"/>
      <c r="CC313" s="13"/>
      <c r="CF313" s="114"/>
    </row>
    <row r="314" spans="1:84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27"/>
      <c r="AD314" s="29"/>
      <c r="AO314" s="115"/>
      <c r="AP314" s="115"/>
      <c r="AQ314" s="115"/>
      <c r="AR314" s="115"/>
      <c r="AS314" s="127"/>
      <c r="AT314" s="29"/>
      <c r="BD314" s="25"/>
      <c r="BE314" s="13"/>
      <c r="BJ314" s="116"/>
      <c r="BK314" s="123"/>
      <c r="BL314" s="123"/>
      <c r="BM314" s="123"/>
      <c r="BR314" s="115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25"/>
      <c r="CC314" s="13"/>
      <c r="CF314" s="114"/>
    </row>
    <row r="315" spans="1:84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27"/>
      <c r="AD315" s="29"/>
      <c r="AO315" s="115"/>
      <c r="AP315" s="115"/>
      <c r="AQ315" s="115"/>
      <c r="AR315" s="115"/>
      <c r="AS315" s="127"/>
      <c r="AT315" s="29"/>
      <c r="BD315" s="25"/>
      <c r="BE315" s="13"/>
      <c r="BJ315" s="116"/>
      <c r="BK315" s="123"/>
      <c r="BL315" s="123"/>
      <c r="BM315" s="123"/>
      <c r="BR315" s="115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25"/>
      <c r="CC315" s="13"/>
      <c r="CF315" s="114"/>
    </row>
    <row r="316" spans="1:84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27"/>
      <c r="AD316" s="29"/>
      <c r="AO316" s="115"/>
      <c r="AP316" s="115"/>
      <c r="AQ316" s="115"/>
      <c r="AR316" s="115"/>
      <c r="AS316" s="127"/>
      <c r="AT316" s="29"/>
      <c r="BD316" s="25"/>
      <c r="BE316" s="13"/>
      <c r="BJ316" s="116"/>
      <c r="BK316" s="123"/>
      <c r="BL316" s="123"/>
      <c r="BM316" s="123"/>
      <c r="BR316" s="115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25"/>
      <c r="CC316" s="13"/>
      <c r="CF316" s="114"/>
    </row>
    <row r="317" spans="1:84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27"/>
      <c r="AD317" s="29"/>
      <c r="AO317" s="115"/>
      <c r="AP317" s="115"/>
      <c r="AQ317" s="115"/>
      <c r="AR317" s="115"/>
      <c r="AS317" s="127"/>
      <c r="AT317" s="29"/>
      <c r="BD317" s="25"/>
      <c r="BE317" s="13"/>
      <c r="BJ317" s="116"/>
      <c r="BK317" s="123"/>
      <c r="BL317" s="123"/>
      <c r="BM317" s="123"/>
      <c r="BR317" s="115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25"/>
      <c r="CC317" s="13"/>
      <c r="CF317" s="114"/>
    </row>
    <row r="318" spans="1:84" ht="20.100000000000001" customHeight="1" x14ac:dyDescent="0.4">
      <c r="A318" s="117"/>
      <c r="B318" s="123"/>
      <c r="C318" s="123"/>
      <c r="D318" s="123"/>
      <c r="AC318" s="127"/>
      <c r="AD318" s="29"/>
      <c r="AO318" s="115"/>
      <c r="AP318" s="115"/>
      <c r="AQ318" s="115"/>
      <c r="AR318" s="115"/>
      <c r="AS318" s="29"/>
      <c r="AT318" s="29"/>
      <c r="BD318" s="25"/>
      <c r="BE318" s="13"/>
      <c r="BJ318" s="116"/>
      <c r="BK318" s="123"/>
      <c r="BL318" s="123"/>
      <c r="BM318" s="123"/>
      <c r="BR318" s="115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25"/>
      <c r="CC318" s="13"/>
      <c r="CF318" s="114"/>
    </row>
    <row r="319" spans="1:84" ht="20.100000000000001" customHeight="1" x14ac:dyDescent="0.4">
      <c r="A319" s="117"/>
      <c r="B319" s="123"/>
      <c r="C319" s="123"/>
      <c r="D319" s="123"/>
      <c r="V319" s="115"/>
      <c r="W319" s="115"/>
      <c r="X319" s="115"/>
      <c r="Y319" s="115"/>
      <c r="Z319" s="115"/>
      <c r="AA319" s="115"/>
      <c r="AB319" s="115"/>
      <c r="AC319" s="127"/>
      <c r="AD319" s="29"/>
      <c r="AO319" s="115"/>
      <c r="AP319" s="115"/>
      <c r="AQ319" s="115"/>
      <c r="AR319" s="115"/>
      <c r="AS319" s="29"/>
      <c r="AT319" s="29"/>
      <c r="BD319" s="25"/>
      <c r="BE319" s="13"/>
      <c r="BJ319" s="116"/>
      <c r="BK319" s="123"/>
      <c r="BL319" s="123"/>
      <c r="BM319" s="123"/>
      <c r="BR319" s="115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25"/>
      <c r="CC319" s="13"/>
      <c r="CF319" s="114"/>
    </row>
    <row r="320" spans="1:84" ht="20.100000000000001" customHeight="1" x14ac:dyDescent="0.4">
      <c r="A320" s="117"/>
      <c r="B320" s="123"/>
      <c r="C320" s="123"/>
      <c r="D320" s="123"/>
      <c r="U320" s="115"/>
      <c r="V320" s="115"/>
      <c r="W320" s="115"/>
      <c r="X320" s="115"/>
      <c r="Y320" s="115"/>
      <c r="Z320" s="115"/>
      <c r="AA320" s="115"/>
      <c r="AB320" s="115"/>
      <c r="AC320" s="127"/>
      <c r="AD320" s="29"/>
      <c r="AO320" s="115"/>
      <c r="AP320" s="115"/>
      <c r="AQ320" s="115"/>
      <c r="AR320" s="115"/>
      <c r="AS320" s="29"/>
      <c r="AT320" s="29"/>
      <c r="BD320" s="25"/>
      <c r="BE320" s="13"/>
      <c r="BJ320" s="116"/>
      <c r="BK320" s="123"/>
      <c r="BL320" s="123"/>
      <c r="BM320" s="123"/>
      <c r="BR320" s="115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25"/>
      <c r="CC320" s="13"/>
      <c r="CF320" s="114"/>
    </row>
    <row r="321" spans="1:84" ht="20.100000000000001" customHeight="1" x14ac:dyDescent="0.4">
      <c r="A321" s="117"/>
      <c r="B321" s="123"/>
      <c r="C321" s="123"/>
      <c r="D321" s="123"/>
      <c r="U321" s="115"/>
      <c r="V321" s="115"/>
      <c r="W321" s="115"/>
      <c r="X321" s="115"/>
      <c r="Y321" s="115"/>
      <c r="Z321" s="115"/>
      <c r="AA321" s="115"/>
      <c r="AB321" s="115"/>
      <c r="AC321" s="127"/>
      <c r="AD321" s="29"/>
      <c r="AO321" s="115"/>
      <c r="AP321" s="115"/>
      <c r="AQ321" s="115"/>
      <c r="AR321" s="115"/>
      <c r="AS321" s="29"/>
      <c r="AT321" s="29"/>
      <c r="BD321" s="25"/>
      <c r="BE321" s="13"/>
      <c r="BJ321" s="116"/>
      <c r="BK321" s="123"/>
      <c r="BL321" s="123"/>
      <c r="BM321" s="123"/>
      <c r="BR321" s="115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25"/>
      <c r="CC321" s="13"/>
      <c r="CF321" s="114"/>
    </row>
    <row r="322" spans="1:84" ht="20.100000000000001" customHeight="1" x14ac:dyDescent="0.4">
      <c r="A322" s="117"/>
      <c r="B322" s="123"/>
      <c r="C322" s="123"/>
      <c r="D322" s="123"/>
      <c r="AC322" s="127"/>
      <c r="AD322" s="29"/>
      <c r="AN322" s="115"/>
      <c r="AO322" s="115"/>
      <c r="AP322" s="115"/>
      <c r="AQ322" s="115"/>
      <c r="AR322" s="115"/>
      <c r="AS322" s="127"/>
      <c r="AT322" s="29"/>
      <c r="BD322" s="25"/>
      <c r="BE322" s="13"/>
      <c r="BJ322" s="116"/>
      <c r="BK322" s="123"/>
      <c r="BL322" s="123"/>
      <c r="BM322" s="123"/>
      <c r="BR322" s="115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25"/>
      <c r="CC322" s="13"/>
      <c r="CF322" s="114"/>
    </row>
    <row r="323" spans="1:84" ht="20.100000000000001" customHeight="1" x14ac:dyDescent="0.4">
      <c r="A323" s="117"/>
      <c r="B323" s="123"/>
      <c r="C323" s="123"/>
      <c r="D323" s="123"/>
      <c r="Y323" s="115"/>
      <c r="Z323" s="115"/>
      <c r="AA323" s="115"/>
      <c r="AB323" s="115"/>
      <c r="AC323" s="29"/>
      <c r="AD323" s="29"/>
      <c r="AN323" s="115"/>
      <c r="AO323" s="115"/>
      <c r="AP323" s="115"/>
      <c r="AQ323" s="115"/>
      <c r="AR323" s="115"/>
      <c r="AS323" s="127"/>
      <c r="AT323" s="29"/>
      <c r="BD323" s="25"/>
      <c r="BE323" s="13"/>
      <c r="BJ323" s="116"/>
      <c r="BK323" s="123"/>
      <c r="BL323" s="123"/>
      <c r="BM323" s="123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25"/>
      <c r="CC323" s="13"/>
      <c r="CF323" s="114"/>
    </row>
    <row r="324" spans="1:84" ht="20.100000000000001" customHeight="1" x14ac:dyDescent="0.4">
      <c r="A324" s="117"/>
      <c r="B324" s="123"/>
      <c r="C324" s="123"/>
      <c r="D324" s="123"/>
      <c r="W324" s="115"/>
      <c r="X324" s="115"/>
      <c r="Y324" s="115"/>
      <c r="Z324" s="115"/>
      <c r="AA324" s="115"/>
      <c r="AB324" s="115"/>
      <c r="AC324" s="127"/>
      <c r="AD324" s="29"/>
      <c r="AN324" s="115"/>
      <c r="AO324" s="115"/>
      <c r="AP324" s="115"/>
      <c r="AQ324" s="115"/>
      <c r="AR324" s="115"/>
      <c r="AS324" s="127"/>
      <c r="AT324" s="29"/>
      <c r="BD324" s="25"/>
      <c r="BE324" s="13"/>
      <c r="BJ324" s="116"/>
      <c r="BK324" s="123"/>
      <c r="BL324" s="123"/>
      <c r="BM324" s="123"/>
      <c r="BR324" s="115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25"/>
      <c r="CC324" s="13"/>
      <c r="CF324" s="114"/>
    </row>
    <row r="325" spans="1:84" ht="20.100000000000001" customHeight="1" x14ac:dyDescent="0.4">
      <c r="A325" s="117"/>
      <c r="B325" s="123"/>
      <c r="C325" s="123"/>
      <c r="D325" s="123"/>
      <c r="U325" s="115"/>
      <c r="V325" s="115"/>
      <c r="W325" s="115"/>
      <c r="X325" s="115"/>
      <c r="Y325" s="115"/>
      <c r="Z325" s="115"/>
      <c r="AA325" s="115"/>
      <c r="AB325" s="115"/>
      <c r="AC325" s="127"/>
      <c r="AD325" s="29"/>
      <c r="AN325" s="115"/>
      <c r="AO325" s="115"/>
      <c r="AP325" s="115"/>
      <c r="AQ325" s="115"/>
      <c r="AR325" s="115"/>
      <c r="AS325" s="127"/>
      <c r="AT325" s="29"/>
      <c r="BD325" s="25"/>
      <c r="BE325" s="13"/>
      <c r="BJ325" s="116"/>
      <c r="BK325" s="123"/>
      <c r="BL325" s="123"/>
      <c r="BM325" s="123"/>
      <c r="BR325" s="115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25"/>
      <c r="CC325" s="13"/>
      <c r="CF325" s="114"/>
    </row>
    <row r="326" spans="1:84" ht="20.100000000000001" customHeight="1" x14ac:dyDescent="0.4">
      <c r="A326" s="117"/>
      <c r="B326" s="123"/>
      <c r="C326" s="123"/>
      <c r="D326" s="123"/>
      <c r="U326" s="115"/>
      <c r="V326" s="115"/>
      <c r="W326" s="115"/>
      <c r="X326" s="115"/>
      <c r="Y326" s="115"/>
      <c r="Z326" s="115"/>
      <c r="AA326" s="115"/>
      <c r="AB326" s="115"/>
      <c r="AC326" s="29"/>
      <c r="AD326" s="29"/>
      <c r="AN326" s="115"/>
      <c r="AO326" s="115"/>
      <c r="AP326" s="115"/>
      <c r="AQ326" s="115"/>
      <c r="AR326" s="115"/>
      <c r="AS326" s="127"/>
      <c r="AT326" s="29"/>
      <c r="BD326" s="25"/>
      <c r="BE326" s="13"/>
      <c r="BJ326" s="116"/>
      <c r="BK326" s="123"/>
      <c r="BL326" s="123"/>
      <c r="BM326" s="123"/>
      <c r="BR326" s="115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25"/>
      <c r="CC326" s="13"/>
      <c r="CF326" s="114"/>
    </row>
    <row r="327" spans="1:84" ht="20.100000000000001" customHeight="1" x14ac:dyDescent="0.4">
      <c r="A327" s="117"/>
      <c r="B327" s="123"/>
      <c r="C327" s="123"/>
      <c r="D327" s="123"/>
      <c r="U327" s="115"/>
      <c r="V327" s="115"/>
      <c r="W327" s="115"/>
      <c r="X327" s="115"/>
      <c r="Y327" s="115"/>
      <c r="Z327" s="115"/>
      <c r="AA327" s="115"/>
      <c r="AB327" s="115"/>
      <c r="AC327" s="127"/>
      <c r="AD327" s="29"/>
      <c r="AN327" s="115"/>
      <c r="AO327" s="115"/>
      <c r="AP327" s="115"/>
      <c r="AQ327" s="115"/>
      <c r="AR327" s="115"/>
      <c r="AS327" s="127"/>
      <c r="AT327" s="29"/>
      <c r="BD327" s="25"/>
      <c r="BE327" s="13"/>
      <c r="BJ327" s="116"/>
      <c r="BK327" s="123"/>
      <c r="BL327" s="123"/>
      <c r="BM327" s="123"/>
      <c r="BR327" s="115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25"/>
      <c r="CC327" s="13"/>
      <c r="CF327" s="114"/>
    </row>
    <row r="328" spans="1:84" ht="20.100000000000001" customHeight="1" x14ac:dyDescent="0.4">
      <c r="A328" s="117"/>
      <c r="B328" s="123"/>
      <c r="C328" s="123"/>
      <c r="D328" s="123"/>
      <c r="U328" s="115"/>
      <c r="V328" s="115"/>
      <c r="W328" s="115"/>
      <c r="X328" s="115"/>
      <c r="Y328" s="115"/>
      <c r="Z328" s="115"/>
      <c r="AA328" s="115"/>
      <c r="AB328" s="115"/>
      <c r="AC328" s="29"/>
      <c r="AD328" s="29"/>
      <c r="AN328" s="115"/>
      <c r="AO328" s="115"/>
      <c r="AP328" s="115"/>
      <c r="AQ328" s="115"/>
      <c r="AR328" s="115"/>
      <c r="AS328" s="127"/>
      <c r="AT328" s="29"/>
      <c r="BD328" s="25"/>
      <c r="BE328" s="13"/>
      <c r="BJ328" s="116"/>
      <c r="BK328" s="123"/>
      <c r="BL328" s="123"/>
      <c r="BM328" s="123"/>
      <c r="BR328" s="115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25"/>
      <c r="CC328" s="13"/>
      <c r="CF328" s="114"/>
    </row>
    <row r="329" spans="1:84" ht="20.100000000000001" customHeight="1" x14ac:dyDescent="0.4">
      <c r="A329" s="117"/>
      <c r="B329" s="123"/>
      <c r="C329" s="123"/>
      <c r="D329" s="123"/>
      <c r="U329" s="115"/>
      <c r="V329" s="115"/>
      <c r="W329" s="115"/>
      <c r="X329" s="115"/>
      <c r="Y329" s="115"/>
      <c r="Z329" s="115"/>
      <c r="AA329" s="115"/>
      <c r="AB329" s="115"/>
      <c r="AC329" s="127"/>
      <c r="AD329" s="29"/>
      <c r="AN329" s="115"/>
      <c r="AO329" s="115"/>
      <c r="AP329" s="115"/>
      <c r="AQ329" s="115"/>
      <c r="AR329" s="115"/>
      <c r="AS329" s="127"/>
      <c r="AT329" s="29"/>
      <c r="BD329" s="25"/>
      <c r="BE329" s="13"/>
      <c r="BJ329" s="116"/>
      <c r="BK329" s="123"/>
      <c r="BL329" s="123"/>
      <c r="BM329" s="123"/>
      <c r="BR329" s="115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25"/>
      <c r="CC329" s="13"/>
      <c r="CF329" s="114"/>
    </row>
    <row r="330" spans="1:84" ht="20.100000000000001" customHeight="1" x14ac:dyDescent="0.4">
      <c r="A330" s="117"/>
      <c r="B330" s="123"/>
      <c r="C330" s="123"/>
      <c r="D330" s="123"/>
      <c r="U330" s="115"/>
      <c r="V330" s="115"/>
      <c r="W330" s="115"/>
      <c r="X330" s="115"/>
      <c r="Y330" s="115"/>
      <c r="Z330" s="115"/>
      <c r="AA330" s="115"/>
      <c r="AB330" s="115"/>
      <c r="AC330" s="29"/>
      <c r="AD330" s="29"/>
      <c r="AN330" s="115"/>
      <c r="AO330" s="115"/>
      <c r="AP330" s="115"/>
      <c r="AQ330" s="115"/>
      <c r="AR330" s="115"/>
      <c r="AS330" s="127"/>
      <c r="AT330" s="29"/>
      <c r="BD330" s="25"/>
      <c r="BE330" s="13"/>
      <c r="BJ330" s="116"/>
      <c r="BK330" s="123"/>
      <c r="BL330" s="123"/>
      <c r="BM330" s="123"/>
      <c r="BR330" s="115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25"/>
      <c r="CC330" s="13"/>
      <c r="CF330" s="114"/>
    </row>
    <row r="331" spans="1:84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29"/>
      <c r="AD331" s="29"/>
      <c r="AN331" s="115"/>
      <c r="AO331" s="115"/>
      <c r="AP331" s="115"/>
      <c r="AQ331" s="115"/>
      <c r="AR331" s="115"/>
      <c r="AS331" s="127"/>
      <c r="AT331" s="29"/>
      <c r="BD331" s="25"/>
      <c r="BE331" s="13"/>
      <c r="BJ331" s="116"/>
      <c r="BK331" s="123"/>
      <c r="BL331" s="123"/>
      <c r="BM331" s="123"/>
      <c r="BR331" s="115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25"/>
      <c r="CC331" s="13"/>
      <c r="CF331" s="114"/>
    </row>
    <row r="332" spans="1:84" ht="20.100000000000001" customHeight="1" x14ac:dyDescent="0.4">
      <c r="A332" s="117"/>
      <c r="B332" s="123"/>
      <c r="C332" s="123"/>
      <c r="D332" s="123"/>
      <c r="U332" s="115"/>
      <c r="V332" s="115"/>
      <c r="W332" s="115"/>
      <c r="X332" s="115"/>
      <c r="Y332" s="115"/>
      <c r="Z332" s="115"/>
      <c r="AA332" s="115"/>
      <c r="AB332" s="115"/>
      <c r="AC332" s="127"/>
      <c r="AD332" s="29"/>
      <c r="AN332" s="115"/>
      <c r="AO332" s="115"/>
      <c r="AP332" s="115"/>
      <c r="AQ332" s="115"/>
      <c r="AR332" s="115"/>
      <c r="AS332" s="127"/>
      <c r="AT332" s="29"/>
      <c r="BD332" s="25"/>
      <c r="BE332" s="13"/>
      <c r="BJ332" s="116"/>
      <c r="BK332" s="123"/>
      <c r="BL332" s="123"/>
      <c r="BM332" s="123"/>
      <c r="BR332" s="115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25"/>
      <c r="CC332" s="13"/>
      <c r="CF332" s="114"/>
    </row>
    <row r="333" spans="1:84" ht="20.100000000000001" customHeight="1" x14ac:dyDescent="0.4">
      <c r="A333" s="117"/>
      <c r="B333" s="123"/>
      <c r="C333" s="123"/>
      <c r="D333" s="123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27"/>
      <c r="AD333" s="29"/>
      <c r="AN333" s="115"/>
      <c r="AO333" s="115"/>
      <c r="AP333" s="115"/>
      <c r="AQ333" s="115"/>
      <c r="AR333" s="115"/>
      <c r="AS333" s="127"/>
      <c r="AT333" s="29"/>
      <c r="BD333" s="25"/>
      <c r="BE333" s="13"/>
      <c r="BJ333" s="116"/>
      <c r="BK333" s="123"/>
      <c r="BL333" s="123"/>
      <c r="BM333" s="123"/>
      <c r="BR333" s="115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25"/>
      <c r="CC333" s="13"/>
      <c r="CF333" s="114"/>
    </row>
    <row r="334" spans="1:84" ht="20.100000000000001" customHeight="1" x14ac:dyDescent="0.4">
      <c r="A334" s="117"/>
      <c r="B334" s="123"/>
      <c r="C334" s="123"/>
      <c r="D334" s="123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29"/>
      <c r="AD334" s="29"/>
      <c r="AN334" s="115"/>
      <c r="AO334" s="115"/>
      <c r="AP334" s="115"/>
      <c r="AQ334" s="115"/>
      <c r="AR334" s="115"/>
      <c r="AS334" s="127"/>
      <c r="AT334" s="29"/>
      <c r="BD334" s="25"/>
      <c r="BE334" s="13"/>
      <c r="BJ334" s="116"/>
      <c r="BK334" s="123"/>
      <c r="BL334" s="123"/>
      <c r="BM334" s="123"/>
      <c r="BR334" s="115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25"/>
      <c r="CC334" s="13"/>
      <c r="CF334" s="114"/>
    </row>
    <row r="335" spans="1:84" ht="20.100000000000001" customHeight="1" x14ac:dyDescent="0.4">
      <c r="A335" s="117"/>
      <c r="B335" s="123"/>
      <c r="C335" s="123"/>
      <c r="D335" s="123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27"/>
      <c r="AD335" s="29"/>
      <c r="AN335" s="115"/>
      <c r="AO335" s="115"/>
      <c r="AP335" s="115"/>
      <c r="AQ335" s="115"/>
      <c r="AR335" s="115"/>
      <c r="AS335" s="127"/>
      <c r="AT335" s="29"/>
      <c r="BD335" s="25"/>
      <c r="BE335" s="13"/>
      <c r="BJ335" s="116"/>
      <c r="BK335" s="123"/>
      <c r="BL335" s="123"/>
      <c r="BM335" s="123"/>
      <c r="BR335" s="115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25"/>
      <c r="CC335" s="13"/>
      <c r="CF335" s="114"/>
    </row>
    <row r="336" spans="1:84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29"/>
      <c r="AD336" s="29"/>
      <c r="AN336" s="115"/>
      <c r="AO336" s="115"/>
      <c r="AP336" s="115"/>
      <c r="AQ336" s="115"/>
      <c r="AR336" s="115"/>
      <c r="AS336" s="127"/>
      <c r="AT336" s="29"/>
      <c r="BD336" s="25"/>
      <c r="BE336" s="13"/>
      <c r="BJ336" s="116"/>
      <c r="BK336" s="123"/>
      <c r="BL336" s="123"/>
      <c r="BM336" s="123"/>
      <c r="BR336" s="115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25"/>
      <c r="CC336" s="13"/>
      <c r="CF336" s="114"/>
    </row>
    <row r="337" spans="1:84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29"/>
      <c r="AD337" s="29"/>
      <c r="AN337" s="115"/>
      <c r="AO337" s="115"/>
      <c r="AP337" s="115"/>
      <c r="AQ337" s="115"/>
      <c r="AR337" s="115"/>
      <c r="AS337" s="127"/>
      <c r="AT337" s="29"/>
      <c r="BD337" s="25"/>
      <c r="BE337" s="13"/>
      <c r="BJ337" s="116"/>
      <c r="BK337" s="123"/>
      <c r="BL337" s="123"/>
      <c r="BM337" s="123"/>
      <c r="BR337" s="115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25"/>
      <c r="CC337" s="13"/>
      <c r="CF337" s="114"/>
    </row>
    <row r="338" spans="1:84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27"/>
      <c r="AD338" s="29"/>
      <c r="AN338" s="115"/>
      <c r="AO338" s="115"/>
      <c r="AP338" s="115"/>
      <c r="AQ338" s="115"/>
      <c r="AR338" s="115"/>
      <c r="AS338" s="127"/>
      <c r="AT338" s="29"/>
      <c r="BD338" s="25"/>
      <c r="BE338" s="13"/>
      <c r="BJ338" s="116"/>
      <c r="BK338" s="123"/>
      <c r="BL338" s="123"/>
      <c r="BM338" s="123"/>
      <c r="BR338" s="115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25"/>
      <c r="CC338" s="13"/>
      <c r="CF338" s="114"/>
    </row>
    <row r="339" spans="1:84" ht="20.100000000000001" customHeight="1" x14ac:dyDescent="0.4">
      <c r="A339" s="117"/>
      <c r="B339" s="123"/>
      <c r="C339" s="123"/>
      <c r="D339" s="123"/>
      <c r="AC339" s="127"/>
      <c r="AD339" s="29"/>
      <c r="AN339" s="115"/>
      <c r="AO339" s="115"/>
      <c r="AP339" s="115"/>
      <c r="AQ339" s="115"/>
      <c r="AR339" s="115"/>
      <c r="AS339" s="29"/>
      <c r="AT339" s="29"/>
      <c r="BD339" s="25"/>
      <c r="BE339" s="13"/>
      <c r="BJ339" s="116"/>
      <c r="BK339" s="123"/>
      <c r="BL339" s="123"/>
      <c r="BM339" s="123"/>
      <c r="BR339" s="115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25"/>
      <c r="CC339" s="13"/>
      <c r="CF339" s="114"/>
    </row>
    <row r="340" spans="1:84" ht="20.100000000000001" customHeight="1" x14ac:dyDescent="0.4">
      <c r="A340" s="117"/>
      <c r="B340" s="123"/>
      <c r="C340" s="123"/>
      <c r="D340" s="123"/>
      <c r="V340" s="115"/>
      <c r="W340" s="115"/>
      <c r="X340" s="115"/>
      <c r="Y340" s="115"/>
      <c r="Z340" s="115"/>
      <c r="AA340" s="115"/>
      <c r="AB340" s="115"/>
      <c r="AC340" s="127"/>
      <c r="AD340" s="29"/>
      <c r="AN340" s="115"/>
      <c r="AO340" s="115"/>
      <c r="AP340" s="115"/>
      <c r="AQ340" s="115"/>
      <c r="AR340" s="115"/>
      <c r="AS340" s="29"/>
      <c r="AT340" s="29"/>
      <c r="BD340" s="25"/>
      <c r="BE340" s="13"/>
      <c r="BJ340" s="116"/>
      <c r="BK340" s="123"/>
      <c r="BL340" s="123"/>
      <c r="BM340" s="123"/>
      <c r="BR340" s="115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25"/>
      <c r="CC340" s="13"/>
      <c r="CF340" s="114"/>
    </row>
    <row r="341" spans="1:84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27"/>
      <c r="AD341" s="29"/>
      <c r="AN341" s="115"/>
      <c r="AO341" s="115"/>
      <c r="AP341" s="115"/>
      <c r="AQ341" s="115"/>
      <c r="AR341" s="115"/>
      <c r="AS341" s="29"/>
      <c r="AT341" s="29"/>
      <c r="BD341" s="25"/>
      <c r="BE341" s="13"/>
      <c r="BJ341" s="116"/>
      <c r="BK341" s="123"/>
      <c r="BL341" s="123"/>
      <c r="BM341" s="123"/>
      <c r="BR341" s="115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25"/>
      <c r="CC341" s="13"/>
      <c r="CF341" s="114"/>
    </row>
    <row r="342" spans="1:84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27"/>
      <c r="AD342" s="29"/>
      <c r="AN342" s="115"/>
      <c r="AO342" s="115"/>
      <c r="AP342" s="115"/>
      <c r="AQ342" s="115"/>
      <c r="AR342" s="115"/>
      <c r="AS342" s="29"/>
      <c r="AT342" s="29"/>
      <c r="BD342" s="25"/>
      <c r="BE342" s="13"/>
      <c r="BJ342" s="116"/>
      <c r="BK342" s="123"/>
      <c r="BL342" s="123"/>
      <c r="BM342" s="123"/>
      <c r="BR342" s="115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25"/>
      <c r="CC342" s="13"/>
      <c r="CF342" s="114"/>
    </row>
    <row r="343" spans="1:84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27"/>
      <c r="AD343" s="29"/>
      <c r="AN343" s="115"/>
      <c r="AO343" s="115"/>
      <c r="AP343" s="115"/>
      <c r="AQ343" s="115"/>
      <c r="AR343" s="115"/>
      <c r="AS343" s="29"/>
      <c r="AT343" s="29"/>
      <c r="BD343" s="25"/>
      <c r="BE343" s="13"/>
      <c r="BJ343" s="116"/>
      <c r="BK343" s="123"/>
      <c r="BL343" s="123"/>
      <c r="BM343" s="123"/>
      <c r="BR343" s="115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25"/>
      <c r="CC343" s="13"/>
      <c r="CF343" s="114"/>
    </row>
    <row r="344" spans="1:84" ht="20.100000000000001" customHeight="1" x14ac:dyDescent="0.4">
      <c r="A344" s="117"/>
      <c r="B344" s="123"/>
      <c r="C344" s="123"/>
      <c r="D344" s="123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29"/>
      <c r="AD344" s="29"/>
      <c r="AN344" s="115"/>
      <c r="AO344" s="115"/>
      <c r="AP344" s="115"/>
      <c r="AQ344" s="115"/>
      <c r="AR344" s="115"/>
      <c r="AS344" s="29"/>
      <c r="AT344" s="29"/>
      <c r="BD344" s="25"/>
      <c r="BE344" s="13"/>
      <c r="BJ344" s="116"/>
      <c r="BK344" s="123"/>
      <c r="BL344" s="123"/>
      <c r="BM344" s="123"/>
      <c r="BR344" s="115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25"/>
      <c r="CC344" s="13"/>
      <c r="CF344" s="114"/>
    </row>
    <row r="345" spans="1:84" ht="20.100000000000001" customHeight="1" x14ac:dyDescent="0.4">
      <c r="A345" s="117"/>
      <c r="B345" s="123"/>
      <c r="C345" s="123"/>
      <c r="D345" s="123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27"/>
      <c r="AD345" s="29"/>
      <c r="AN345" s="115"/>
      <c r="AO345" s="115"/>
      <c r="AP345" s="115"/>
      <c r="AQ345" s="115"/>
      <c r="AR345" s="115"/>
      <c r="AS345" s="29"/>
      <c r="AT345" s="29"/>
      <c r="BD345" s="25"/>
      <c r="BE345" s="13"/>
      <c r="BJ345" s="116"/>
      <c r="BK345" s="123"/>
      <c r="BL345" s="123"/>
      <c r="BM345" s="123"/>
      <c r="BR345" s="115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25"/>
      <c r="CC345" s="13"/>
      <c r="CF345" s="114"/>
    </row>
    <row r="346" spans="1:84" ht="20.100000000000001" customHeight="1" x14ac:dyDescent="0.4">
      <c r="A346" s="117"/>
      <c r="B346" s="123"/>
      <c r="C346" s="123"/>
      <c r="D346" s="123"/>
      <c r="AC346" s="127"/>
      <c r="AD346" s="29"/>
      <c r="AN346" s="115"/>
      <c r="AO346" s="115"/>
      <c r="AP346" s="115"/>
      <c r="AQ346" s="115"/>
      <c r="AR346" s="115"/>
      <c r="AS346" s="127"/>
      <c r="AT346" s="29"/>
      <c r="BD346" s="25"/>
      <c r="BE346" s="13"/>
      <c r="BJ346" s="116"/>
      <c r="BK346" s="123"/>
      <c r="BL346" s="123"/>
      <c r="BM346" s="123"/>
      <c r="BR346" s="115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25"/>
      <c r="CC346" s="13"/>
      <c r="CF346" s="114"/>
    </row>
    <row r="347" spans="1:84" ht="20.100000000000001" customHeight="1" x14ac:dyDescent="0.4">
      <c r="A347" s="117"/>
      <c r="B347" s="123"/>
      <c r="C347" s="123"/>
      <c r="D347" s="123"/>
      <c r="AC347" s="127"/>
      <c r="AD347" s="29"/>
      <c r="AM347" s="115"/>
      <c r="AN347" s="115"/>
      <c r="AO347" s="115"/>
      <c r="AP347" s="115"/>
      <c r="AQ347" s="115"/>
      <c r="AR347" s="115"/>
      <c r="AS347" s="127"/>
      <c r="AT347" s="29"/>
      <c r="BD347" s="25"/>
      <c r="BE347" s="13"/>
      <c r="BJ347" s="116"/>
      <c r="BK347" s="123"/>
      <c r="BL347" s="123"/>
      <c r="BM347" s="123"/>
      <c r="BR347" s="115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25"/>
      <c r="CC347" s="13"/>
      <c r="CF347" s="114"/>
    </row>
    <row r="348" spans="1:84" ht="20.100000000000001" customHeight="1" x14ac:dyDescent="0.4">
      <c r="A348" s="117"/>
      <c r="B348" s="123"/>
      <c r="C348" s="123"/>
      <c r="D348" s="123"/>
      <c r="V348" s="115"/>
      <c r="W348" s="115"/>
      <c r="X348" s="115"/>
      <c r="Y348" s="115"/>
      <c r="Z348" s="115"/>
      <c r="AA348" s="115"/>
      <c r="AB348" s="115"/>
      <c r="AC348" s="127"/>
      <c r="AD348" s="29"/>
      <c r="AM348" s="115"/>
      <c r="AN348" s="115"/>
      <c r="AO348" s="115"/>
      <c r="AP348" s="115"/>
      <c r="AQ348" s="115"/>
      <c r="AR348" s="115"/>
      <c r="AS348" s="127"/>
      <c r="AT348" s="29"/>
      <c r="BD348" s="25"/>
      <c r="BE348" s="13"/>
      <c r="BJ348" s="116"/>
      <c r="BK348" s="123"/>
      <c r="BL348" s="123"/>
      <c r="BM348" s="123"/>
      <c r="BR348" s="115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25"/>
      <c r="CC348" s="13"/>
      <c r="CF348" s="114"/>
    </row>
    <row r="349" spans="1:84" ht="20.100000000000001" customHeight="1" x14ac:dyDescent="0.4">
      <c r="A349" s="117"/>
      <c r="B349" s="123"/>
      <c r="C349" s="123"/>
      <c r="D349" s="123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27"/>
      <c r="AD349" s="29"/>
      <c r="AM349" s="115"/>
      <c r="AN349" s="115"/>
      <c r="AO349" s="115"/>
      <c r="AP349" s="115"/>
      <c r="AQ349" s="115"/>
      <c r="AR349" s="115"/>
      <c r="AS349" s="127"/>
      <c r="AT349" s="29"/>
      <c r="BD349" s="25"/>
      <c r="BE349" s="13"/>
      <c r="BJ349" s="116"/>
      <c r="BK349" s="123"/>
      <c r="BL349" s="123"/>
      <c r="BM349" s="123"/>
      <c r="BR349" s="115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25"/>
      <c r="CC349" s="13"/>
      <c r="CF349" s="114"/>
    </row>
    <row r="350" spans="1:84" ht="20.100000000000001" customHeight="1" x14ac:dyDescent="0.4">
      <c r="A350" s="117"/>
      <c r="B350" s="123"/>
      <c r="C350" s="123"/>
      <c r="D350" s="123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27"/>
      <c r="AD350" s="29"/>
      <c r="AM350" s="115"/>
      <c r="AN350" s="115"/>
      <c r="AO350" s="115"/>
      <c r="AP350" s="115"/>
      <c r="AQ350" s="115"/>
      <c r="AR350" s="115"/>
      <c r="AS350" s="127"/>
      <c r="AT350" s="29"/>
      <c r="BD350" s="25"/>
      <c r="BE350" s="13"/>
      <c r="BJ350" s="116"/>
      <c r="BK350" s="123"/>
      <c r="BL350" s="123"/>
      <c r="BM350" s="123"/>
      <c r="BR350" s="115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25"/>
      <c r="CC350" s="13"/>
      <c r="CF350" s="114"/>
    </row>
    <row r="351" spans="1:84" ht="20.100000000000001" customHeight="1" x14ac:dyDescent="0.4">
      <c r="A351" s="117"/>
      <c r="B351" s="123"/>
      <c r="C351" s="123"/>
      <c r="D351" s="123"/>
      <c r="AC351" s="127"/>
      <c r="AD351" s="29"/>
      <c r="AM351" s="115"/>
      <c r="AN351" s="115"/>
      <c r="AO351" s="115"/>
      <c r="AP351" s="115"/>
      <c r="AQ351" s="115"/>
      <c r="AR351" s="115"/>
      <c r="AS351" s="29"/>
      <c r="AT351" s="29"/>
      <c r="BD351" s="25"/>
      <c r="BE351" s="13"/>
      <c r="BJ351" s="116"/>
      <c r="BK351" s="123"/>
      <c r="BL351" s="123"/>
      <c r="BM351" s="123"/>
      <c r="BR351" s="115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25"/>
      <c r="CC351" s="13"/>
      <c r="CF351" s="114"/>
    </row>
    <row r="352" spans="1:84" ht="20.100000000000001" customHeight="1" x14ac:dyDescent="0.4">
      <c r="A352" s="117"/>
      <c r="B352" s="123"/>
      <c r="C352" s="123"/>
      <c r="D352" s="123"/>
      <c r="W352" s="115"/>
      <c r="X352" s="115"/>
      <c r="Y352" s="115"/>
      <c r="Z352" s="115"/>
      <c r="AA352" s="115"/>
      <c r="AB352" s="115"/>
      <c r="AC352" s="29"/>
      <c r="AD352" s="29"/>
      <c r="AM352" s="115"/>
      <c r="AN352" s="115"/>
      <c r="AO352" s="115"/>
      <c r="AP352" s="115"/>
      <c r="AQ352" s="115"/>
      <c r="AR352" s="115"/>
      <c r="AS352" s="29"/>
      <c r="AT352" s="29"/>
      <c r="BD352" s="25"/>
      <c r="BE352" s="13"/>
      <c r="BJ352" s="116"/>
      <c r="BK352" s="123"/>
      <c r="BL352" s="123"/>
      <c r="BM352" s="123"/>
      <c r="BR352" s="115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25"/>
      <c r="CC352" s="13"/>
      <c r="CF352" s="114"/>
    </row>
    <row r="353" spans="1:84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27"/>
      <c r="AD353" s="29"/>
      <c r="AM353" s="115"/>
      <c r="AN353" s="115"/>
      <c r="AO353" s="115"/>
      <c r="AP353" s="115"/>
      <c r="AQ353" s="115"/>
      <c r="AR353" s="115"/>
      <c r="AS353" s="29"/>
      <c r="AT353" s="29"/>
      <c r="BD353" s="25"/>
      <c r="BE353" s="13"/>
      <c r="BJ353" s="116"/>
      <c r="BK353" s="123"/>
      <c r="BL353" s="123"/>
      <c r="BM353" s="123"/>
      <c r="BR353" s="115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25"/>
      <c r="CC353" s="13"/>
      <c r="CF353" s="114"/>
    </row>
    <row r="354" spans="1:84" ht="20.100000000000001" customHeight="1" x14ac:dyDescent="0.4">
      <c r="A354" s="117"/>
      <c r="B354" s="123"/>
      <c r="C354" s="123"/>
      <c r="D354" s="123"/>
      <c r="AC354" s="127"/>
      <c r="AD354" s="29"/>
      <c r="AM354" s="115"/>
      <c r="AN354" s="115"/>
      <c r="AO354" s="115"/>
      <c r="AP354" s="115"/>
      <c r="AQ354" s="115"/>
      <c r="AR354" s="115"/>
      <c r="AS354" s="127"/>
      <c r="AT354" s="29"/>
      <c r="BD354" s="25"/>
      <c r="BE354" s="13"/>
      <c r="BJ354" s="116"/>
      <c r="BK354" s="123"/>
      <c r="BL354" s="123"/>
      <c r="BM354" s="123"/>
      <c r="BR354" s="115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25"/>
      <c r="CC354" s="13"/>
      <c r="CF354" s="114"/>
    </row>
    <row r="355" spans="1:84" ht="20.100000000000001" customHeight="1" x14ac:dyDescent="0.4">
      <c r="A355" s="117"/>
      <c r="B355" s="123"/>
      <c r="C355" s="123"/>
      <c r="D355" s="123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27"/>
      <c r="AD355" s="29"/>
      <c r="AM355" s="115"/>
      <c r="AN355" s="115"/>
      <c r="AO355" s="115"/>
      <c r="AP355" s="115"/>
      <c r="AQ355" s="115"/>
      <c r="AR355" s="115"/>
      <c r="AS355" s="127"/>
      <c r="AT355" s="29"/>
      <c r="BD355" s="25"/>
      <c r="BE355" s="13"/>
      <c r="BJ355" s="116"/>
      <c r="BK355" s="123"/>
      <c r="BL355" s="123"/>
      <c r="BM355" s="123"/>
      <c r="BR355" s="115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25"/>
      <c r="CC355" s="13"/>
      <c r="CF355" s="114"/>
    </row>
    <row r="356" spans="1:84" ht="20.100000000000001" customHeight="1" x14ac:dyDescent="0.4">
      <c r="A356" s="117"/>
      <c r="B356" s="123"/>
      <c r="C356" s="123"/>
      <c r="D356" s="123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29"/>
      <c r="AD356" s="29"/>
      <c r="AM356" s="115"/>
      <c r="AN356" s="115"/>
      <c r="AO356" s="115"/>
      <c r="AP356" s="115"/>
      <c r="AQ356" s="115"/>
      <c r="AR356" s="115"/>
      <c r="AS356" s="127"/>
      <c r="AT356" s="29"/>
      <c r="BD356" s="25"/>
      <c r="BE356" s="13"/>
      <c r="BJ356" s="116"/>
      <c r="BK356" s="123"/>
      <c r="BL356" s="123"/>
      <c r="BM356" s="123"/>
      <c r="BR356" s="115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25"/>
      <c r="CC356" s="13"/>
      <c r="CF356" s="114"/>
    </row>
    <row r="357" spans="1:84" ht="20.100000000000001" customHeight="1" x14ac:dyDescent="0.4">
      <c r="A357" s="117"/>
      <c r="B357" s="123"/>
      <c r="C357" s="123"/>
      <c r="D357" s="123"/>
      <c r="AC357" s="127"/>
      <c r="AD357" s="29"/>
      <c r="AM357" s="115"/>
      <c r="AN357" s="115"/>
      <c r="AO357" s="115"/>
      <c r="AP357" s="115"/>
      <c r="AQ357" s="115"/>
      <c r="AR357" s="115"/>
      <c r="AS357" s="127"/>
      <c r="AT357" s="29"/>
      <c r="BD357" s="25"/>
      <c r="BE357" s="13"/>
      <c r="BJ357" s="116"/>
      <c r="BK357" s="123"/>
      <c r="BL357" s="123"/>
      <c r="BM357" s="123"/>
      <c r="BR357" s="115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25"/>
      <c r="CC357" s="13"/>
      <c r="CF357" s="114"/>
    </row>
    <row r="358" spans="1:84" ht="20.100000000000001" customHeight="1" x14ac:dyDescent="0.4">
      <c r="A358" s="117"/>
      <c r="B358" s="123"/>
      <c r="C358" s="123"/>
      <c r="D358" s="123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27"/>
      <c r="AD358" s="29"/>
      <c r="AM358" s="115"/>
      <c r="AN358" s="115"/>
      <c r="AO358" s="115"/>
      <c r="AP358" s="115"/>
      <c r="AQ358" s="115"/>
      <c r="AR358" s="115"/>
      <c r="AS358" s="127"/>
      <c r="AT358" s="29"/>
      <c r="BD358" s="25"/>
      <c r="BE358" s="13"/>
      <c r="BJ358" s="116"/>
      <c r="BK358" s="123"/>
      <c r="BL358" s="123"/>
      <c r="BM358" s="123"/>
      <c r="BR358" s="115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25"/>
      <c r="CC358" s="13"/>
      <c r="CF358" s="114"/>
    </row>
    <row r="359" spans="1:84" ht="20.100000000000001" customHeight="1" x14ac:dyDescent="0.4">
      <c r="A359" s="117"/>
      <c r="B359" s="123"/>
      <c r="C359" s="123"/>
      <c r="D359" s="123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27"/>
      <c r="AD359" s="29"/>
      <c r="AM359" s="115"/>
      <c r="AN359" s="115"/>
      <c r="AO359" s="115"/>
      <c r="AP359" s="115"/>
      <c r="AQ359" s="115"/>
      <c r="AR359" s="115"/>
      <c r="AS359" s="127"/>
      <c r="AT359" s="29"/>
      <c r="BD359" s="25"/>
      <c r="BE359" s="13"/>
      <c r="BJ359" s="116"/>
      <c r="BK359" s="123"/>
      <c r="BL359" s="123"/>
      <c r="BM359" s="123"/>
      <c r="BR359" s="115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25"/>
      <c r="CC359" s="13"/>
      <c r="CF359" s="114"/>
    </row>
    <row r="360" spans="1:84" ht="20.100000000000001" customHeight="1" x14ac:dyDescent="0.4">
      <c r="A360" s="117"/>
      <c r="B360" s="123"/>
      <c r="C360" s="123"/>
      <c r="D360" s="123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27"/>
      <c r="AD360" s="29"/>
      <c r="AM360" s="115"/>
      <c r="AN360" s="115"/>
      <c r="AO360" s="115"/>
      <c r="AP360" s="115"/>
      <c r="AQ360" s="115"/>
      <c r="AR360" s="115"/>
      <c r="AS360" s="127"/>
      <c r="AT360" s="29"/>
      <c r="BD360" s="25"/>
      <c r="BE360" s="13"/>
      <c r="BJ360" s="116"/>
      <c r="BK360" s="123"/>
      <c r="BL360" s="123"/>
      <c r="BM360" s="123"/>
      <c r="BR360" s="115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25"/>
      <c r="CC360" s="13"/>
      <c r="CF360" s="114"/>
    </row>
    <row r="361" spans="1:84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29"/>
      <c r="AD361" s="29"/>
      <c r="AM361" s="115"/>
      <c r="AN361" s="115"/>
      <c r="AO361" s="115"/>
      <c r="AP361" s="115"/>
      <c r="AQ361" s="115"/>
      <c r="AR361" s="115"/>
      <c r="AS361" s="127"/>
      <c r="AT361" s="29"/>
      <c r="BD361" s="25"/>
      <c r="BE361" s="13"/>
      <c r="BJ361" s="116"/>
      <c r="BK361" s="123"/>
      <c r="BL361" s="123"/>
      <c r="BM361" s="123"/>
      <c r="BR361" s="115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25"/>
      <c r="CC361" s="13"/>
      <c r="CF361" s="114"/>
    </row>
    <row r="362" spans="1:84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27"/>
      <c r="AD362" s="29"/>
      <c r="AM362" s="115"/>
      <c r="AN362" s="115"/>
      <c r="AO362" s="115"/>
      <c r="AP362" s="115"/>
      <c r="AQ362" s="115"/>
      <c r="AR362" s="115"/>
      <c r="AS362" s="127"/>
      <c r="AT362" s="29"/>
      <c r="BD362" s="25"/>
      <c r="BE362" s="13"/>
      <c r="BJ362" s="116"/>
      <c r="BK362" s="123"/>
      <c r="BL362" s="123"/>
      <c r="BM362" s="123"/>
      <c r="BR362" s="115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25"/>
      <c r="CC362" s="13"/>
      <c r="CF362" s="114"/>
    </row>
    <row r="363" spans="1:84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27"/>
      <c r="AD363" s="29"/>
      <c r="AM363" s="115"/>
      <c r="AN363" s="115"/>
      <c r="AO363" s="115"/>
      <c r="AP363" s="115"/>
      <c r="AQ363" s="115"/>
      <c r="AR363" s="115"/>
      <c r="AS363" s="127"/>
      <c r="AT363" s="29"/>
      <c r="BD363" s="25"/>
      <c r="BE363" s="13"/>
      <c r="BJ363" s="116"/>
      <c r="BK363" s="123"/>
      <c r="BL363" s="123"/>
      <c r="BM363" s="123"/>
      <c r="BR363" s="115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25"/>
      <c r="CC363" s="13"/>
      <c r="CF363" s="114"/>
    </row>
    <row r="364" spans="1:84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27"/>
      <c r="AD364" s="29"/>
      <c r="AM364" s="115"/>
      <c r="AN364" s="115"/>
      <c r="AO364" s="115"/>
      <c r="AP364" s="115"/>
      <c r="AQ364" s="115"/>
      <c r="AR364" s="115"/>
      <c r="AS364" s="127"/>
      <c r="AT364" s="29"/>
      <c r="BD364" s="25"/>
      <c r="BE364" s="13"/>
      <c r="BJ364" s="116"/>
      <c r="BK364" s="123"/>
      <c r="BL364" s="123"/>
      <c r="BM364" s="123"/>
      <c r="BR364" s="115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25"/>
      <c r="CC364" s="13"/>
      <c r="CF364" s="114"/>
    </row>
    <row r="365" spans="1:84" ht="20.100000000000001" customHeight="1" x14ac:dyDescent="0.4">
      <c r="A365" s="117"/>
      <c r="B365" s="123"/>
      <c r="C365" s="123"/>
      <c r="D365" s="123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27"/>
      <c r="AD365" s="29"/>
      <c r="AM365" s="115"/>
      <c r="AN365" s="115"/>
      <c r="AO365" s="115"/>
      <c r="AP365" s="115"/>
      <c r="AQ365" s="115"/>
      <c r="AR365" s="115"/>
      <c r="AS365" s="127"/>
      <c r="AT365" s="29"/>
      <c r="BD365" s="25"/>
      <c r="BE365" s="13"/>
      <c r="BJ365" s="116"/>
      <c r="BK365" s="123"/>
      <c r="BL365" s="123"/>
      <c r="BM365" s="123"/>
      <c r="BR365" s="115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25"/>
      <c r="CC365" s="13"/>
      <c r="CF365" s="114"/>
    </row>
    <row r="366" spans="1:84" ht="20.100000000000001" customHeight="1" x14ac:dyDescent="0.4">
      <c r="A366" s="117"/>
      <c r="B366" s="123"/>
      <c r="C366" s="123"/>
      <c r="D366" s="123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29"/>
      <c r="AD366" s="29"/>
      <c r="AM366" s="115"/>
      <c r="AN366" s="115"/>
      <c r="AO366" s="115"/>
      <c r="AP366" s="115"/>
      <c r="AQ366" s="115"/>
      <c r="AR366" s="115"/>
      <c r="AS366" s="127"/>
      <c r="AT366" s="29"/>
      <c r="BD366" s="25"/>
      <c r="BE366" s="13"/>
      <c r="BJ366" s="116"/>
      <c r="BK366" s="123"/>
      <c r="BL366" s="123"/>
      <c r="BM366" s="123"/>
      <c r="BR366" s="115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25"/>
      <c r="CC366" s="13"/>
      <c r="CF366" s="114"/>
    </row>
    <row r="367" spans="1:84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27"/>
      <c r="AD367" s="29"/>
      <c r="AM367" s="115"/>
      <c r="AN367" s="115"/>
      <c r="AO367" s="115"/>
      <c r="AP367" s="115"/>
      <c r="AQ367" s="115"/>
      <c r="AR367" s="115"/>
      <c r="AS367" s="127"/>
      <c r="AT367" s="29"/>
      <c r="BD367" s="25"/>
      <c r="BE367" s="13"/>
      <c r="BJ367" s="116"/>
      <c r="BK367" s="123"/>
      <c r="BL367" s="123"/>
      <c r="BM367" s="123"/>
      <c r="BR367" s="115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25"/>
      <c r="CC367" s="13"/>
      <c r="CF367" s="114"/>
    </row>
    <row r="368" spans="1:84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29"/>
      <c r="AD368" s="29"/>
      <c r="AM368" s="115"/>
      <c r="AN368" s="115"/>
      <c r="AO368" s="115"/>
      <c r="AP368" s="115"/>
      <c r="AQ368" s="115"/>
      <c r="AR368" s="115"/>
      <c r="AS368" s="127"/>
      <c r="AT368" s="29"/>
      <c r="BD368" s="25"/>
      <c r="BE368" s="13"/>
      <c r="BJ368" s="116"/>
      <c r="BK368" s="123"/>
      <c r="BL368" s="123"/>
      <c r="BM368" s="123"/>
      <c r="BR368" s="115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25"/>
      <c r="CC368" s="13"/>
      <c r="CF368" s="114"/>
    </row>
    <row r="369" spans="1:84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29"/>
      <c r="AD369" s="29"/>
      <c r="AM369" s="115"/>
      <c r="AN369" s="115"/>
      <c r="AO369" s="115"/>
      <c r="AP369" s="115"/>
      <c r="AQ369" s="115"/>
      <c r="AR369" s="115"/>
      <c r="AS369" s="127"/>
      <c r="AT369" s="29"/>
      <c r="BD369" s="25"/>
      <c r="BE369" s="13"/>
      <c r="BJ369" s="116"/>
      <c r="BK369" s="123"/>
      <c r="BL369" s="123"/>
      <c r="BM369" s="123"/>
      <c r="BR369" s="115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25"/>
      <c r="CC369" s="13"/>
      <c r="CF369" s="114"/>
    </row>
    <row r="370" spans="1:84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29"/>
      <c r="AD370" s="29"/>
      <c r="AM370" s="115"/>
      <c r="AN370" s="115"/>
      <c r="AO370" s="115"/>
      <c r="AP370" s="115"/>
      <c r="AQ370" s="115"/>
      <c r="AR370" s="115"/>
      <c r="AS370" s="127"/>
      <c r="AT370" s="29"/>
      <c r="BD370" s="25"/>
      <c r="BE370" s="13"/>
      <c r="BJ370" s="116"/>
      <c r="BK370" s="123"/>
      <c r="BL370" s="123"/>
      <c r="BM370" s="123"/>
      <c r="BR370" s="115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25"/>
      <c r="CC370" s="13"/>
      <c r="CF370" s="114"/>
    </row>
    <row r="371" spans="1:84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29"/>
      <c r="AD371" s="29"/>
      <c r="AM371" s="115"/>
      <c r="AN371" s="115"/>
      <c r="AO371" s="115"/>
      <c r="AP371" s="115"/>
      <c r="AQ371" s="115"/>
      <c r="AR371" s="115"/>
      <c r="AS371" s="127"/>
      <c r="AT371" s="29"/>
      <c r="BD371" s="25"/>
      <c r="BE371" s="13"/>
      <c r="BJ371" s="116"/>
      <c r="BK371" s="123"/>
      <c r="BL371" s="123"/>
      <c r="BM371" s="123"/>
      <c r="BR371" s="115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25"/>
      <c r="CC371" s="13"/>
      <c r="CF371" s="114"/>
    </row>
    <row r="372" spans="1:84" ht="20.100000000000001" customHeight="1" x14ac:dyDescent="0.4">
      <c r="A372" s="117"/>
      <c r="B372" s="123"/>
      <c r="C372" s="123"/>
      <c r="D372" s="123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27"/>
      <c r="AD372" s="29"/>
      <c r="AM372" s="115"/>
      <c r="AN372" s="115"/>
      <c r="AO372" s="115"/>
      <c r="AP372" s="115"/>
      <c r="AQ372" s="115"/>
      <c r="AR372" s="115"/>
      <c r="AS372" s="127"/>
      <c r="AT372" s="29"/>
      <c r="BD372" s="25"/>
      <c r="BE372" s="13"/>
      <c r="BJ372" s="116"/>
      <c r="BK372" s="123"/>
      <c r="BL372" s="123"/>
      <c r="BM372" s="123"/>
      <c r="BR372" s="115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25"/>
      <c r="CC372" s="13"/>
      <c r="CF372" s="114"/>
    </row>
    <row r="373" spans="1:84" ht="20.100000000000001" customHeight="1" x14ac:dyDescent="0.4">
      <c r="A373" s="117"/>
      <c r="B373" s="123"/>
      <c r="C373" s="123"/>
      <c r="D373" s="123"/>
      <c r="AC373" s="127"/>
      <c r="AD373" s="29"/>
      <c r="AM373" s="115"/>
      <c r="AN373" s="115"/>
      <c r="AO373" s="115"/>
      <c r="AP373" s="115"/>
      <c r="AQ373" s="115"/>
      <c r="AR373" s="115"/>
      <c r="AS373" s="127"/>
      <c r="AT373" s="29"/>
      <c r="BD373" s="25"/>
      <c r="BE373" s="13"/>
      <c r="BJ373" s="116"/>
      <c r="BK373" s="123"/>
      <c r="BL373" s="123"/>
      <c r="BM373" s="123"/>
      <c r="BR373" s="115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25"/>
      <c r="CC373" s="13"/>
      <c r="CF373" s="114"/>
    </row>
    <row r="374" spans="1:84" ht="20.100000000000001" customHeight="1" x14ac:dyDescent="0.4">
      <c r="A374" s="117"/>
      <c r="B374" s="123"/>
      <c r="C374" s="123"/>
      <c r="D374" s="123"/>
      <c r="AC374" s="127"/>
      <c r="AD374" s="29"/>
      <c r="AM374" s="115"/>
      <c r="AN374" s="115"/>
      <c r="AO374" s="115"/>
      <c r="AP374" s="115"/>
      <c r="AQ374" s="115"/>
      <c r="AR374" s="115"/>
      <c r="AS374" s="29"/>
      <c r="AT374" s="29"/>
      <c r="BD374" s="25"/>
      <c r="BE374" s="13"/>
      <c r="BJ374" s="116"/>
      <c r="BK374" s="123"/>
      <c r="BL374" s="123"/>
      <c r="BM374" s="123"/>
      <c r="BR374" s="115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25"/>
      <c r="CC374" s="13"/>
      <c r="CF374" s="114"/>
    </row>
    <row r="375" spans="1:84" ht="20.100000000000001" customHeight="1" x14ac:dyDescent="0.4">
      <c r="A375" s="117"/>
      <c r="B375" s="123"/>
      <c r="C375" s="123"/>
      <c r="D375" s="123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27"/>
      <c r="AD375" s="29"/>
      <c r="AM375" s="115"/>
      <c r="AN375" s="115"/>
      <c r="AO375" s="115"/>
      <c r="AP375" s="115"/>
      <c r="AQ375" s="115"/>
      <c r="AR375" s="115"/>
      <c r="AS375" s="29"/>
      <c r="AT375" s="29"/>
      <c r="BD375" s="25"/>
      <c r="BE375" s="13"/>
      <c r="BJ375" s="116"/>
      <c r="BK375" s="123"/>
      <c r="BL375" s="123"/>
      <c r="BM375" s="123"/>
      <c r="BR375" s="115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25"/>
      <c r="CC375" s="13"/>
      <c r="CF375" s="114"/>
    </row>
    <row r="376" spans="1:84" ht="20.100000000000001" customHeight="1" x14ac:dyDescent="0.4">
      <c r="A376" s="117"/>
      <c r="B376" s="123"/>
      <c r="C376" s="123"/>
      <c r="D376" s="123"/>
      <c r="AC376" s="127"/>
      <c r="AD376" s="29"/>
      <c r="AM376" s="115"/>
      <c r="AN376" s="115"/>
      <c r="AO376" s="115"/>
      <c r="AP376" s="115"/>
      <c r="AQ376" s="115"/>
      <c r="AR376" s="115"/>
      <c r="AS376" s="127"/>
      <c r="AT376" s="29"/>
      <c r="BD376" s="25"/>
      <c r="BE376" s="13"/>
      <c r="BJ376" s="116"/>
      <c r="BK376" s="123"/>
      <c r="BL376" s="123"/>
      <c r="BM376" s="123"/>
      <c r="BR376" s="115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25"/>
      <c r="CC376" s="13"/>
      <c r="CF376" s="114"/>
    </row>
    <row r="377" spans="1:84" ht="20.100000000000001" customHeight="1" x14ac:dyDescent="0.4">
      <c r="A377" s="117"/>
      <c r="B377" s="123"/>
      <c r="C377" s="123"/>
      <c r="D377" s="123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27"/>
      <c r="AD377" s="29"/>
      <c r="AM377" s="115"/>
      <c r="AN377" s="115"/>
      <c r="AO377" s="115"/>
      <c r="AP377" s="115"/>
      <c r="AQ377" s="115"/>
      <c r="AR377" s="115"/>
      <c r="AS377" s="127"/>
      <c r="AT377" s="29"/>
      <c r="BD377" s="25"/>
      <c r="BE377" s="13"/>
      <c r="BJ377" s="116"/>
      <c r="BK377" s="123"/>
      <c r="BL377" s="123"/>
      <c r="BM377" s="123"/>
      <c r="BR377" s="115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25"/>
      <c r="CC377" s="13"/>
      <c r="CF377" s="114"/>
    </row>
    <row r="378" spans="1:84" ht="20.100000000000001" customHeight="1" x14ac:dyDescent="0.4">
      <c r="A378" s="117"/>
      <c r="B378" s="123"/>
      <c r="C378" s="123"/>
      <c r="D378" s="123"/>
      <c r="AC378" s="127"/>
      <c r="AD378" s="29"/>
      <c r="AM378" s="115"/>
      <c r="AN378" s="115"/>
      <c r="AO378" s="115"/>
      <c r="AP378" s="115"/>
      <c r="AQ378" s="115"/>
      <c r="AR378" s="115"/>
      <c r="AS378" s="29"/>
      <c r="AT378" s="29"/>
      <c r="BD378" s="25"/>
      <c r="BE378" s="13"/>
      <c r="BJ378" s="116"/>
      <c r="BK378" s="123"/>
      <c r="BL378" s="123"/>
      <c r="BM378" s="123"/>
      <c r="BR378" s="115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25"/>
      <c r="CC378" s="13"/>
      <c r="CF378" s="114"/>
    </row>
    <row r="379" spans="1:84" ht="20.100000000000001" customHeight="1" x14ac:dyDescent="0.4">
      <c r="A379" s="117"/>
      <c r="B379" s="123"/>
      <c r="C379" s="123"/>
      <c r="D379" s="123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27"/>
      <c r="AD379" s="29"/>
      <c r="AM379" s="115"/>
      <c r="AN379" s="115"/>
      <c r="AO379" s="115"/>
      <c r="AP379" s="115"/>
      <c r="AQ379" s="115"/>
      <c r="AR379" s="115"/>
      <c r="AS379" s="29"/>
      <c r="AT379" s="29"/>
      <c r="BD379" s="25"/>
      <c r="BE379" s="13"/>
      <c r="BJ379" s="116"/>
      <c r="BK379" s="123"/>
      <c r="BL379" s="123"/>
      <c r="BM379" s="123"/>
      <c r="BR379" s="115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25"/>
      <c r="CC379" s="13"/>
      <c r="CF379" s="114"/>
    </row>
    <row r="380" spans="1:84" ht="20.100000000000001" customHeight="1" x14ac:dyDescent="0.4">
      <c r="A380" s="117"/>
      <c r="B380" s="123"/>
      <c r="C380" s="123"/>
      <c r="D380" s="123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27"/>
      <c r="AD380" s="29"/>
      <c r="AM380" s="115"/>
      <c r="AN380" s="115"/>
      <c r="AO380" s="115"/>
      <c r="AP380" s="115"/>
      <c r="AQ380" s="115"/>
      <c r="AR380" s="115"/>
      <c r="AS380" s="29"/>
      <c r="AT380" s="29"/>
      <c r="BD380" s="25"/>
      <c r="BE380" s="13"/>
      <c r="BJ380" s="116"/>
      <c r="BK380" s="123"/>
      <c r="BL380" s="123"/>
      <c r="BM380" s="123"/>
      <c r="BR380" s="115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25"/>
      <c r="CC380" s="13"/>
      <c r="CF380" s="114"/>
    </row>
    <row r="381" spans="1:84" ht="20.100000000000001" customHeight="1" x14ac:dyDescent="0.4">
      <c r="A381" s="117"/>
      <c r="B381" s="123"/>
      <c r="C381" s="123"/>
      <c r="D381" s="123"/>
      <c r="AC381" s="127"/>
      <c r="AD381" s="29"/>
      <c r="AM381" s="115"/>
      <c r="AN381" s="115"/>
      <c r="AO381" s="115"/>
      <c r="AP381" s="115"/>
      <c r="AQ381" s="115"/>
      <c r="AR381" s="115"/>
      <c r="AS381" s="127"/>
      <c r="AT381" s="29"/>
      <c r="BD381" s="25"/>
      <c r="BE381" s="13"/>
      <c r="BJ381" s="116"/>
      <c r="BK381" s="123"/>
      <c r="BL381" s="123"/>
      <c r="BM381" s="123"/>
      <c r="BR381" s="115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25"/>
      <c r="CC381" s="13"/>
      <c r="CF381" s="114"/>
    </row>
    <row r="382" spans="1:84" ht="20.100000000000001" customHeight="1" x14ac:dyDescent="0.4">
      <c r="A382" s="117"/>
      <c r="B382" s="123"/>
      <c r="C382" s="123"/>
      <c r="D382" s="123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27"/>
      <c r="AD382" s="29"/>
      <c r="AM382" s="115"/>
      <c r="AN382" s="115"/>
      <c r="AO382" s="115"/>
      <c r="AP382" s="115"/>
      <c r="AQ382" s="115"/>
      <c r="AR382" s="115"/>
      <c r="AS382" s="127"/>
      <c r="AT382" s="29"/>
      <c r="BD382" s="25"/>
      <c r="BE382" s="13"/>
      <c r="BJ382" s="116"/>
      <c r="BK382" s="123"/>
      <c r="BL382" s="123"/>
      <c r="BM382" s="123"/>
      <c r="BR382" s="115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25"/>
      <c r="CC382" s="13"/>
      <c r="CF382" s="114"/>
    </row>
    <row r="383" spans="1:84" ht="20.100000000000001" customHeight="1" x14ac:dyDescent="0.4">
      <c r="A383" s="117"/>
      <c r="B383" s="123"/>
      <c r="C383" s="123"/>
      <c r="D383" s="123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27"/>
      <c r="AD383" s="29"/>
      <c r="AM383" s="115"/>
      <c r="AN383" s="115"/>
      <c r="AO383" s="115"/>
      <c r="AP383" s="115"/>
      <c r="AQ383" s="115"/>
      <c r="AR383" s="115"/>
      <c r="AS383" s="127"/>
      <c r="AT383" s="29"/>
      <c r="BD383" s="25"/>
      <c r="BE383" s="13"/>
      <c r="BJ383" s="116"/>
      <c r="BK383" s="123"/>
      <c r="BL383" s="123"/>
      <c r="BM383" s="123"/>
      <c r="BR383" s="115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25"/>
      <c r="CC383" s="13"/>
      <c r="CF383" s="114"/>
    </row>
    <row r="384" spans="1:84" ht="20.100000000000001" customHeight="1" x14ac:dyDescent="0.4">
      <c r="A384" s="117"/>
      <c r="B384" s="123"/>
      <c r="C384" s="123"/>
      <c r="D384" s="123"/>
      <c r="AC384" s="127"/>
      <c r="AD384" s="29"/>
      <c r="AM384" s="115"/>
      <c r="AN384" s="115"/>
      <c r="AO384" s="115"/>
      <c r="AP384" s="115"/>
      <c r="AQ384" s="115"/>
      <c r="AR384" s="115"/>
      <c r="AS384" s="127"/>
      <c r="AT384" s="29"/>
      <c r="BD384" s="25"/>
      <c r="BE384" s="13"/>
      <c r="BJ384" s="116"/>
      <c r="BK384" s="123"/>
      <c r="BL384" s="123"/>
      <c r="BM384" s="123"/>
      <c r="BR384" s="115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25"/>
      <c r="CC384" s="13"/>
      <c r="CF384" s="114"/>
    </row>
    <row r="385" spans="1:84" ht="20.100000000000001" customHeight="1" x14ac:dyDescent="0.4">
      <c r="A385" s="117"/>
      <c r="B385" s="123"/>
      <c r="C385" s="123"/>
      <c r="D385" s="123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27"/>
      <c r="AD385" s="29"/>
      <c r="AM385" s="115"/>
      <c r="AN385" s="115"/>
      <c r="AO385" s="115"/>
      <c r="AP385" s="115"/>
      <c r="AQ385" s="115"/>
      <c r="AR385" s="115"/>
      <c r="AS385" s="127"/>
      <c r="AT385" s="29"/>
      <c r="BD385" s="25"/>
      <c r="BE385" s="13"/>
      <c r="BJ385" s="116"/>
      <c r="BK385" s="123"/>
      <c r="BL385" s="123"/>
      <c r="BM385" s="123"/>
      <c r="BR385" s="115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25"/>
      <c r="CC385" s="13"/>
      <c r="CF385" s="114"/>
    </row>
    <row r="386" spans="1:84" ht="20.100000000000001" customHeight="1" x14ac:dyDescent="0.4">
      <c r="A386" s="117"/>
      <c r="B386" s="123"/>
      <c r="C386" s="123"/>
      <c r="D386" s="123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27"/>
      <c r="AD386" s="29"/>
      <c r="AM386" s="115"/>
      <c r="AN386" s="115"/>
      <c r="AO386" s="115"/>
      <c r="AP386" s="115"/>
      <c r="AQ386" s="115"/>
      <c r="AR386" s="115"/>
      <c r="AS386" s="127"/>
      <c r="AT386" s="29"/>
      <c r="BD386" s="25"/>
      <c r="BE386" s="13"/>
      <c r="BJ386" s="116"/>
      <c r="BK386" s="123"/>
      <c r="BL386" s="123"/>
      <c r="BM386" s="123"/>
      <c r="BR386" s="115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25"/>
      <c r="CC386" s="13"/>
      <c r="CF386" s="114"/>
    </row>
    <row r="387" spans="1:84" ht="20.100000000000001" customHeight="1" x14ac:dyDescent="0.4">
      <c r="A387" s="117"/>
      <c r="B387" s="123"/>
      <c r="C387" s="123"/>
      <c r="D387" s="123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27"/>
      <c r="AD387" s="29"/>
      <c r="AM387" s="115"/>
      <c r="AN387" s="115"/>
      <c r="AO387" s="115"/>
      <c r="AP387" s="115"/>
      <c r="AQ387" s="115"/>
      <c r="AR387" s="115"/>
      <c r="AS387" s="127"/>
      <c r="AT387" s="29"/>
      <c r="BD387" s="25"/>
      <c r="BE387" s="13"/>
      <c r="BJ387" s="116"/>
      <c r="BK387" s="123"/>
      <c r="BL387" s="123"/>
      <c r="BM387" s="123"/>
      <c r="BR387" s="115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25"/>
      <c r="CC387" s="13"/>
      <c r="CF387" s="114"/>
    </row>
    <row r="388" spans="1:84" ht="20.100000000000001" customHeight="1" x14ac:dyDescent="0.4">
      <c r="A388" s="117"/>
      <c r="B388" s="123"/>
      <c r="C388" s="123"/>
      <c r="D388" s="123"/>
      <c r="AC388" s="127"/>
      <c r="AD388" s="29"/>
      <c r="AM388" s="115"/>
      <c r="AN388" s="115"/>
      <c r="AO388" s="115"/>
      <c r="AP388" s="115"/>
      <c r="AQ388" s="115"/>
      <c r="AR388" s="115"/>
      <c r="AS388" s="29"/>
      <c r="AT388" s="29"/>
      <c r="BD388" s="25"/>
      <c r="BE388" s="13"/>
      <c r="BJ388" s="116"/>
      <c r="BK388" s="123"/>
      <c r="BL388" s="123"/>
      <c r="BM388" s="123"/>
      <c r="BR388" s="115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25"/>
      <c r="CC388" s="13"/>
      <c r="CF388" s="114"/>
    </row>
    <row r="389" spans="1:84" ht="20.100000000000001" customHeight="1" x14ac:dyDescent="0.4">
      <c r="A389" s="117"/>
      <c r="B389" s="123"/>
      <c r="C389" s="123"/>
      <c r="D389" s="123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29"/>
      <c r="AD389" s="29"/>
      <c r="AM389" s="115"/>
      <c r="AN389" s="115"/>
      <c r="AO389" s="115"/>
      <c r="AP389" s="115"/>
      <c r="AQ389" s="115"/>
      <c r="AR389" s="115"/>
      <c r="AS389" s="29"/>
      <c r="AT389" s="29"/>
      <c r="BD389" s="25"/>
      <c r="BE389" s="13"/>
      <c r="BJ389" s="116"/>
      <c r="BK389" s="123"/>
      <c r="BL389" s="123"/>
      <c r="BM389" s="123"/>
      <c r="BR389" s="115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25"/>
      <c r="CC389" s="13"/>
      <c r="CF389" s="114"/>
    </row>
    <row r="390" spans="1:84" ht="20.100000000000001" customHeight="1" x14ac:dyDescent="0.4">
      <c r="A390" s="117"/>
      <c r="B390" s="123"/>
      <c r="C390" s="123"/>
      <c r="D390" s="123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27"/>
      <c r="AD390" s="29"/>
      <c r="AM390" s="115"/>
      <c r="AN390" s="115"/>
      <c r="AO390" s="115"/>
      <c r="AP390" s="115"/>
      <c r="AQ390" s="115"/>
      <c r="AR390" s="115"/>
      <c r="AS390" s="29"/>
      <c r="AT390" s="29"/>
      <c r="BD390" s="25"/>
      <c r="BE390" s="13"/>
      <c r="BJ390" s="116"/>
      <c r="BK390" s="123"/>
      <c r="BL390" s="123"/>
      <c r="BM390" s="123"/>
      <c r="BR390" s="115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25"/>
      <c r="CC390" s="13"/>
      <c r="CF390" s="114"/>
    </row>
    <row r="391" spans="1:84" ht="20.100000000000001" customHeight="1" x14ac:dyDescent="0.4">
      <c r="A391" s="117"/>
      <c r="B391" s="123"/>
      <c r="C391" s="123"/>
      <c r="D391" s="123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27"/>
      <c r="AD391" s="29"/>
      <c r="AM391" s="115"/>
      <c r="AN391" s="115"/>
      <c r="AO391" s="115"/>
      <c r="AP391" s="115"/>
      <c r="AQ391" s="115"/>
      <c r="AR391" s="115"/>
      <c r="AS391" s="29"/>
      <c r="AT391" s="29"/>
      <c r="BD391" s="25"/>
      <c r="BE391" s="13"/>
      <c r="BJ391" s="116"/>
      <c r="BK391" s="123"/>
      <c r="BL391" s="123"/>
      <c r="BM391" s="123"/>
      <c r="BR391" s="115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25"/>
      <c r="CC391" s="13"/>
      <c r="CF391" s="114"/>
    </row>
    <row r="392" spans="1:84" ht="20.100000000000001" customHeight="1" x14ac:dyDescent="0.4">
      <c r="A392" s="117"/>
      <c r="B392" s="123"/>
      <c r="C392" s="123"/>
      <c r="D392" s="123"/>
      <c r="AC392" s="127"/>
      <c r="AD392" s="29"/>
      <c r="AL392" s="115"/>
      <c r="AM392" s="115"/>
      <c r="AN392" s="115"/>
      <c r="AO392" s="115"/>
      <c r="AP392" s="115"/>
      <c r="AQ392" s="115"/>
      <c r="AR392" s="115"/>
      <c r="AS392" s="127"/>
      <c r="AT392" s="29"/>
      <c r="BD392" s="25"/>
      <c r="BE392" s="13"/>
      <c r="BJ392" s="116"/>
      <c r="BK392" s="123"/>
      <c r="BL392" s="123"/>
      <c r="BM392" s="123"/>
      <c r="BR392" s="115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25"/>
      <c r="CC392" s="13"/>
      <c r="CF392" s="114"/>
    </row>
    <row r="393" spans="1:84" ht="20.100000000000001" customHeight="1" x14ac:dyDescent="0.4">
      <c r="A393" s="117"/>
      <c r="B393" s="123"/>
      <c r="C393" s="123"/>
      <c r="D393" s="123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27"/>
      <c r="AD393" s="29"/>
      <c r="AL393" s="115"/>
      <c r="AM393" s="115"/>
      <c r="AN393" s="115"/>
      <c r="AO393" s="115"/>
      <c r="AP393" s="115"/>
      <c r="AQ393" s="115"/>
      <c r="AR393" s="115"/>
      <c r="AS393" s="127"/>
      <c r="AT393" s="29"/>
      <c r="BD393" s="25"/>
      <c r="BE393" s="13"/>
      <c r="BJ393" s="116"/>
      <c r="BK393" s="123"/>
      <c r="BL393" s="123"/>
      <c r="BM393" s="123"/>
      <c r="BR393" s="115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25"/>
      <c r="CC393" s="13"/>
      <c r="CF393" s="114"/>
    </row>
    <row r="394" spans="1:84" ht="20.100000000000001" customHeight="1" x14ac:dyDescent="0.4">
      <c r="A394" s="117"/>
      <c r="B394" s="123"/>
      <c r="C394" s="123"/>
      <c r="D394" s="123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27"/>
      <c r="AD394" s="29"/>
      <c r="AL394" s="115"/>
      <c r="AM394" s="115"/>
      <c r="AN394" s="115"/>
      <c r="AO394" s="115"/>
      <c r="AP394" s="115"/>
      <c r="AQ394" s="115"/>
      <c r="AR394" s="115"/>
      <c r="AS394" s="127"/>
      <c r="AT394" s="29"/>
      <c r="BD394" s="25"/>
      <c r="BE394" s="13"/>
      <c r="BJ394" s="116"/>
      <c r="BK394" s="123"/>
      <c r="BL394" s="123"/>
      <c r="BM394" s="123"/>
      <c r="BR394" s="115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25"/>
      <c r="CC394" s="13"/>
      <c r="CF394" s="114"/>
    </row>
    <row r="395" spans="1:84" ht="20.100000000000001" customHeight="1" x14ac:dyDescent="0.4">
      <c r="A395" s="117"/>
      <c r="B395" s="123"/>
      <c r="C395" s="123"/>
      <c r="D395" s="123"/>
      <c r="AC395" s="127"/>
      <c r="AD395" s="29"/>
      <c r="AL395" s="115"/>
      <c r="AM395" s="115"/>
      <c r="AN395" s="115"/>
      <c r="AO395" s="115"/>
      <c r="AP395" s="115"/>
      <c r="AQ395" s="115"/>
      <c r="AR395" s="115"/>
      <c r="AS395" s="127"/>
      <c r="AT395" s="134"/>
      <c r="BD395" s="25"/>
      <c r="BE395" s="13"/>
      <c r="BJ395" s="116"/>
      <c r="BK395" s="123"/>
      <c r="BL395" s="123"/>
      <c r="BM395" s="123"/>
      <c r="BR395" s="115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25"/>
      <c r="CC395" s="13"/>
      <c r="CF395" s="114"/>
    </row>
    <row r="396" spans="1:84" ht="20.100000000000001" customHeight="1" x14ac:dyDescent="0.4">
      <c r="A396" s="117"/>
      <c r="B396" s="123"/>
      <c r="C396" s="123"/>
      <c r="D396" s="123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27"/>
      <c r="AD396" s="29"/>
      <c r="AL396" s="115"/>
      <c r="AM396" s="115"/>
      <c r="AN396" s="115"/>
      <c r="AO396" s="115"/>
      <c r="AP396" s="115"/>
      <c r="AQ396" s="115"/>
      <c r="AR396" s="115"/>
      <c r="AS396" s="127"/>
      <c r="AT396" s="134"/>
      <c r="BD396" s="25"/>
      <c r="BE396" s="13"/>
      <c r="BJ396" s="116"/>
      <c r="BK396" s="123"/>
      <c r="BL396" s="123"/>
      <c r="BM396" s="123"/>
      <c r="BR396" s="115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25"/>
      <c r="CC396" s="13"/>
      <c r="CF396" s="114"/>
    </row>
    <row r="397" spans="1:84" ht="20.100000000000001" customHeight="1" x14ac:dyDescent="0.4">
      <c r="A397" s="117"/>
      <c r="B397" s="123"/>
      <c r="C397" s="123"/>
      <c r="D397" s="123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27"/>
      <c r="AD397" s="29"/>
      <c r="AL397" s="115"/>
      <c r="AM397" s="115"/>
      <c r="AN397" s="115"/>
      <c r="AO397" s="115"/>
      <c r="AP397" s="115"/>
      <c r="AQ397" s="115"/>
      <c r="AR397" s="115"/>
      <c r="AS397" s="127"/>
      <c r="AT397" s="134"/>
      <c r="BD397" s="25"/>
      <c r="BE397" s="13"/>
      <c r="BJ397" s="116"/>
      <c r="BK397" s="123"/>
      <c r="BL397" s="123"/>
      <c r="BM397" s="123"/>
      <c r="BR397" s="115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25"/>
      <c r="CC397" s="13"/>
      <c r="CF397" s="114"/>
    </row>
    <row r="398" spans="1:84" ht="20.100000000000001" customHeight="1" x14ac:dyDescent="0.4">
      <c r="A398" s="117"/>
      <c r="B398" s="123"/>
      <c r="C398" s="123"/>
      <c r="D398" s="123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27"/>
      <c r="AD398" s="29"/>
      <c r="AL398" s="115"/>
      <c r="AM398" s="115"/>
      <c r="AN398" s="115"/>
      <c r="AO398" s="115"/>
      <c r="AP398" s="115"/>
      <c r="AQ398" s="115"/>
      <c r="AR398" s="115"/>
      <c r="AS398" s="127"/>
      <c r="AT398" s="134"/>
      <c r="BD398" s="25"/>
      <c r="BE398" s="13"/>
      <c r="BJ398" s="116"/>
      <c r="BK398" s="123"/>
      <c r="BL398" s="123"/>
      <c r="BM398" s="123"/>
      <c r="BR398" s="115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25"/>
      <c r="CC398" s="13"/>
      <c r="CF398" s="114"/>
    </row>
    <row r="399" spans="1:84" ht="20.100000000000001" customHeight="1" x14ac:dyDescent="0.4">
      <c r="A399" s="117"/>
      <c r="B399" s="123"/>
      <c r="C399" s="123"/>
      <c r="D399" s="123"/>
      <c r="AC399" s="127"/>
      <c r="AD399" s="29"/>
      <c r="AJ399" s="115"/>
      <c r="AK399" s="115"/>
      <c r="AL399" s="115"/>
      <c r="AM399" s="115"/>
      <c r="AN399" s="115"/>
      <c r="AO399" s="115"/>
      <c r="AP399" s="115"/>
      <c r="AQ399" s="115"/>
      <c r="AR399" s="115"/>
      <c r="AS399" s="127"/>
      <c r="AT399" s="29"/>
      <c r="BD399" s="25"/>
      <c r="BE399" s="13"/>
      <c r="BJ399" s="116"/>
      <c r="BK399" s="123"/>
      <c r="BL399" s="123"/>
      <c r="BM399" s="123"/>
      <c r="BR399" s="115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25"/>
      <c r="CC399" s="13"/>
      <c r="CF399" s="114"/>
    </row>
    <row r="400" spans="1:84" ht="20.100000000000001" customHeight="1" x14ac:dyDescent="0.4">
      <c r="A400" s="117"/>
      <c r="B400" s="123"/>
      <c r="C400" s="123"/>
      <c r="D400" s="123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27"/>
      <c r="AD400" s="29"/>
      <c r="AJ400" s="115"/>
      <c r="AK400" s="115"/>
      <c r="AL400" s="115"/>
      <c r="AM400" s="115"/>
      <c r="AN400" s="115"/>
      <c r="AO400" s="115"/>
      <c r="AP400" s="115"/>
      <c r="AQ400" s="115"/>
      <c r="AR400" s="115"/>
      <c r="AS400" s="127"/>
      <c r="AT400" s="29"/>
      <c r="BD400" s="25"/>
      <c r="BE400" s="13"/>
      <c r="BJ400" s="116"/>
      <c r="BK400" s="123"/>
      <c r="BL400" s="123"/>
      <c r="BM400" s="123"/>
      <c r="BR400" s="115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25"/>
      <c r="CC400" s="13"/>
      <c r="CF400" s="114"/>
    </row>
    <row r="401" spans="1:84" ht="20.100000000000001" customHeight="1" x14ac:dyDescent="0.4">
      <c r="A401" s="117"/>
      <c r="B401" s="123"/>
      <c r="C401" s="123"/>
      <c r="D401" s="123"/>
      <c r="AC401" s="127"/>
      <c r="AD401" s="29"/>
      <c r="AJ401" s="115"/>
      <c r="AK401" s="115"/>
      <c r="AL401" s="115"/>
      <c r="AM401" s="115"/>
      <c r="AN401" s="115"/>
      <c r="AO401" s="115"/>
      <c r="AP401" s="115"/>
      <c r="AQ401" s="115"/>
      <c r="AR401" s="115"/>
      <c r="AS401" s="127"/>
      <c r="AT401" s="29"/>
      <c r="BD401" s="25"/>
      <c r="BE401" s="13"/>
      <c r="BJ401" s="116"/>
      <c r="BK401" s="123"/>
      <c r="BL401" s="123"/>
      <c r="BM401" s="123"/>
      <c r="BR401" s="115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25"/>
      <c r="CC401" s="13"/>
      <c r="CF401" s="114"/>
    </row>
    <row r="402" spans="1:84" ht="20.100000000000001" customHeight="1" x14ac:dyDescent="0.4">
      <c r="A402" s="117"/>
      <c r="B402" s="123"/>
      <c r="C402" s="123"/>
      <c r="D402" s="123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27"/>
      <c r="AD402" s="29"/>
      <c r="AJ402" s="115"/>
      <c r="AK402" s="115"/>
      <c r="AL402" s="115"/>
      <c r="AM402" s="115"/>
      <c r="AN402" s="115"/>
      <c r="AO402" s="115"/>
      <c r="AP402" s="115"/>
      <c r="AQ402" s="115"/>
      <c r="AR402" s="115"/>
      <c r="AS402" s="127"/>
      <c r="AT402" s="29"/>
      <c r="BD402" s="25"/>
      <c r="BE402" s="13"/>
      <c r="BJ402" s="116"/>
      <c r="BK402" s="123"/>
      <c r="BL402" s="123"/>
      <c r="BM402" s="123"/>
      <c r="BR402" s="115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25"/>
      <c r="CC402" s="13"/>
      <c r="CF402" s="114"/>
    </row>
    <row r="403" spans="1:84" ht="20.100000000000001" customHeight="1" x14ac:dyDescent="0.4">
      <c r="A403" s="117"/>
      <c r="B403" s="123"/>
      <c r="C403" s="123"/>
      <c r="D403" s="123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29"/>
      <c r="AD403" s="29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127"/>
      <c r="AT403" s="29"/>
      <c r="BD403" s="25"/>
      <c r="BE403" s="13"/>
      <c r="BJ403" s="116"/>
      <c r="BK403" s="123"/>
      <c r="BL403" s="123"/>
      <c r="BM403" s="123"/>
      <c r="BR403" s="115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25"/>
      <c r="CC403" s="13"/>
      <c r="CF403" s="114"/>
    </row>
    <row r="404" spans="1:84" ht="20.100000000000001" customHeight="1" x14ac:dyDescent="0.4">
      <c r="A404" s="117"/>
      <c r="B404" s="123"/>
      <c r="C404" s="123"/>
      <c r="D404" s="123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27"/>
      <c r="AD404" s="134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127"/>
      <c r="AT404" s="29"/>
      <c r="BD404" s="25"/>
      <c r="BE404" s="13"/>
      <c r="BJ404" s="116"/>
      <c r="BK404" s="123"/>
      <c r="BL404" s="123"/>
      <c r="BM404" s="123"/>
      <c r="BR404" s="115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25"/>
      <c r="CC404" s="13"/>
      <c r="CF404" s="114"/>
    </row>
    <row r="405" spans="1:84" ht="20.100000000000001" customHeight="1" x14ac:dyDescent="0.4">
      <c r="A405" s="117"/>
      <c r="B405" s="123"/>
      <c r="C405" s="123"/>
      <c r="D405" s="123"/>
      <c r="AC405" s="127"/>
      <c r="AD405" s="29"/>
      <c r="AJ405" s="115"/>
      <c r="AK405" s="115"/>
      <c r="AL405" s="115"/>
      <c r="AM405" s="115"/>
      <c r="AN405" s="115"/>
      <c r="AO405" s="115"/>
      <c r="AP405" s="115"/>
      <c r="AQ405" s="115"/>
      <c r="AR405" s="115"/>
      <c r="AS405" s="127"/>
      <c r="AT405" s="29"/>
      <c r="BD405" s="25"/>
      <c r="BE405" s="13"/>
      <c r="BJ405" s="116"/>
      <c r="BK405" s="123"/>
      <c r="BL405" s="123"/>
      <c r="BM405" s="123"/>
      <c r="BR405" s="115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25"/>
      <c r="CC405" s="13"/>
      <c r="CF405" s="114"/>
    </row>
    <row r="406" spans="1:84" ht="20.100000000000001" customHeight="1" x14ac:dyDescent="0.4">
      <c r="A406" s="117"/>
      <c r="B406" s="123"/>
      <c r="C406" s="123"/>
      <c r="D406" s="123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27"/>
      <c r="AD406" s="29"/>
      <c r="AJ406" s="115"/>
      <c r="AK406" s="115"/>
      <c r="AL406" s="115"/>
      <c r="AM406" s="115"/>
      <c r="AN406" s="115"/>
      <c r="AO406" s="115"/>
      <c r="AP406" s="115"/>
      <c r="AQ406" s="115"/>
      <c r="AR406" s="115"/>
      <c r="AS406" s="127"/>
      <c r="AT406" s="29"/>
      <c r="BD406" s="25"/>
      <c r="BE406" s="13"/>
      <c r="BJ406" s="116"/>
      <c r="BK406" s="123"/>
      <c r="BL406" s="123"/>
      <c r="BM406" s="123"/>
      <c r="BR406" s="115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25"/>
      <c r="CC406" s="13"/>
      <c r="CF406" s="114"/>
    </row>
    <row r="407" spans="1:84" ht="20.100000000000001" customHeight="1" x14ac:dyDescent="0.4">
      <c r="A407" s="117"/>
      <c r="B407" s="123"/>
      <c r="C407" s="123"/>
      <c r="D407" s="123"/>
      <c r="AC407" s="127"/>
      <c r="AD407" s="29"/>
      <c r="AJ407" s="115"/>
      <c r="AK407" s="115"/>
      <c r="AL407" s="115"/>
      <c r="AM407" s="115"/>
      <c r="AN407" s="115"/>
      <c r="AO407" s="115"/>
      <c r="AP407" s="115"/>
      <c r="AQ407" s="115"/>
      <c r="AR407" s="115"/>
      <c r="AS407" s="29"/>
      <c r="AT407" s="29"/>
      <c r="BD407" s="25"/>
      <c r="BE407" s="13"/>
      <c r="BJ407" s="116"/>
      <c r="BK407" s="123"/>
      <c r="BL407" s="123"/>
      <c r="BM407" s="123"/>
      <c r="BR407" s="115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25"/>
      <c r="CC407" s="13"/>
      <c r="CF407" s="114"/>
    </row>
    <row r="408" spans="1:84" ht="20.100000000000001" customHeight="1" x14ac:dyDescent="0.4">
      <c r="A408" s="117"/>
      <c r="B408" s="123"/>
      <c r="C408" s="123"/>
      <c r="D408" s="123"/>
      <c r="AC408" s="127"/>
      <c r="AD408" s="29"/>
      <c r="AJ408" s="115"/>
      <c r="AK408" s="115"/>
      <c r="AL408" s="115"/>
      <c r="AM408" s="115"/>
      <c r="AN408" s="115"/>
      <c r="AO408" s="115"/>
      <c r="AP408" s="115"/>
      <c r="AQ408" s="115"/>
      <c r="AR408" s="115"/>
      <c r="AS408" s="127"/>
      <c r="AT408" s="29"/>
      <c r="BD408" s="25"/>
      <c r="BE408" s="13"/>
      <c r="BJ408" s="116"/>
      <c r="BK408" s="123"/>
      <c r="BL408" s="123"/>
      <c r="BM408" s="123"/>
      <c r="BR408" s="115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25"/>
      <c r="CC408" s="13"/>
      <c r="CF408" s="114"/>
    </row>
    <row r="409" spans="1:84" ht="20.100000000000001" customHeight="1" x14ac:dyDescent="0.4">
      <c r="A409" s="117"/>
      <c r="B409" s="123"/>
      <c r="C409" s="123"/>
      <c r="D409" s="123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27"/>
      <c r="AD409" s="29"/>
      <c r="AJ409" s="115"/>
      <c r="AK409" s="115"/>
      <c r="AL409" s="115"/>
      <c r="AM409" s="115"/>
      <c r="AN409" s="115"/>
      <c r="AO409" s="115"/>
      <c r="AP409" s="115"/>
      <c r="AQ409" s="115"/>
      <c r="AR409" s="115"/>
      <c r="AS409" s="127"/>
      <c r="AT409" s="29"/>
      <c r="BD409" s="25"/>
      <c r="BE409" s="13"/>
      <c r="BJ409" s="116"/>
      <c r="BK409" s="123"/>
      <c r="BL409" s="123"/>
      <c r="BM409" s="123"/>
      <c r="BR409" s="115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25"/>
      <c r="CC409" s="13"/>
      <c r="CF409" s="114"/>
    </row>
    <row r="410" spans="1:84" ht="20.100000000000001" customHeight="1" x14ac:dyDescent="0.4">
      <c r="A410" s="117"/>
      <c r="B410" s="123"/>
      <c r="C410" s="123"/>
      <c r="D410" s="123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27"/>
      <c r="AD410" s="29"/>
      <c r="AJ410" s="115"/>
      <c r="AK410" s="115"/>
      <c r="AL410" s="115"/>
      <c r="AM410" s="115"/>
      <c r="AN410" s="115"/>
      <c r="AO410" s="115"/>
      <c r="AP410" s="115"/>
      <c r="AQ410" s="115"/>
      <c r="AR410" s="115"/>
      <c r="AS410" s="127"/>
      <c r="AT410" s="29"/>
      <c r="BD410" s="25"/>
      <c r="BE410" s="13"/>
      <c r="BJ410" s="116"/>
      <c r="BK410" s="123"/>
      <c r="BL410" s="123"/>
      <c r="BM410" s="123"/>
      <c r="BR410" s="115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25"/>
      <c r="CC410" s="13"/>
      <c r="CF410" s="114"/>
    </row>
    <row r="411" spans="1:84" ht="20.100000000000001" customHeight="1" x14ac:dyDescent="0.4">
      <c r="A411" s="117"/>
      <c r="B411" s="123"/>
      <c r="C411" s="123"/>
      <c r="D411" s="123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29"/>
      <c r="AD411" s="29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127"/>
      <c r="AT411" s="29"/>
      <c r="BD411" s="25"/>
      <c r="BE411" s="13"/>
      <c r="BJ411" s="116"/>
      <c r="BK411" s="123"/>
      <c r="BL411" s="123"/>
      <c r="BM411" s="123"/>
      <c r="BR411" s="115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25"/>
      <c r="CC411" s="13"/>
      <c r="CF411" s="114"/>
    </row>
    <row r="412" spans="1:84" ht="20.100000000000001" customHeight="1" x14ac:dyDescent="0.4">
      <c r="A412" s="117"/>
      <c r="B412" s="123"/>
      <c r="C412" s="123"/>
      <c r="D412" s="123"/>
      <c r="AC412" s="127"/>
      <c r="AD412" s="29"/>
      <c r="AJ412" s="115"/>
      <c r="AK412" s="115"/>
      <c r="AL412" s="115"/>
      <c r="AM412" s="115"/>
      <c r="AN412" s="115"/>
      <c r="AO412" s="115"/>
      <c r="AP412" s="115"/>
      <c r="AQ412" s="115"/>
      <c r="AR412" s="115"/>
      <c r="AS412" s="127"/>
      <c r="AT412" s="29"/>
      <c r="BD412" s="25"/>
      <c r="BE412" s="13"/>
      <c r="BJ412" s="116"/>
      <c r="BK412" s="123"/>
      <c r="BL412" s="123"/>
      <c r="BM412" s="123"/>
      <c r="BR412" s="115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25"/>
      <c r="CC412" s="13"/>
      <c r="CF412" s="114"/>
    </row>
    <row r="413" spans="1:84" ht="20.100000000000001" customHeight="1" x14ac:dyDescent="0.4">
      <c r="A413" s="117"/>
      <c r="B413" s="123"/>
      <c r="C413" s="123"/>
      <c r="D413" s="123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27"/>
      <c r="AD413" s="29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127"/>
      <c r="AT413" s="29"/>
      <c r="BD413" s="25"/>
      <c r="BE413" s="13"/>
      <c r="BJ413" s="116"/>
      <c r="BK413" s="123"/>
      <c r="BL413" s="123"/>
      <c r="BM413" s="123"/>
      <c r="BR413" s="115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25"/>
      <c r="CC413" s="13"/>
      <c r="CF413" s="114"/>
    </row>
    <row r="414" spans="1:84" ht="20.100000000000001" customHeight="1" x14ac:dyDescent="0.4">
      <c r="A414" s="117"/>
      <c r="B414" s="123"/>
      <c r="C414" s="123"/>
      <c r="D414" s="123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29"/>
      <c r="AD414" s="29"/>
      <c r="AJ414" s="115"/>
      <c r="AK414" s="115"/>
      <c r="AL414" s="115"/>
      <c r="AM414" s="115"/>
      <c r="AN414" s="115"/>
      <c r="AO414" s="115"/>
      <c r="AP414" s="115"/>
      <c r="AQ414" s="115"/>
      <c r="AR414" s="115"/>
      <c r="AS414" s="127"/>
      <c r="AT414" s="29"/>
      <c r="BD414" s="25"/>
      <c r="BE414" s="13"/>
      <c r="BJ414" s="116"/>
      <c r="BK414" s="123"/>
      <c r="BL414" s="123"/>
      <c r="BM414" s="123"/>
      <c r="BR414" s="115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25"/>
      <c r="CC414" s="13"/>
      <c r="CF414" s="114"/>
    </row>
    <row r="415" spans="1:84" ht="20.100000000000001" customHeight="1" x14ac:dyDescent="0.4">
      <c r="A415" s="117"/>
      <c r="B415" s="123"/>
      <c r="C415" s="123"/>
      <c r="D415" s="123"/>
      <c r="AC415" s="127"/>
      <c r="AD415" s="29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127"/>
      <c r="AT415" s="29"/>
      <c r="BD415" s="25"/>
      <c r="BE415" s="13"/>
      <c r="BJ415" s="116"/>
      <c r="BK415" s="123"/>
      <c r="BL415" s="123"/>
      <c r="BM415" s="123"/>
      <c r="BR415" s="115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25"/>
      <c r="CC415" s="13"/>
      <c r="CF415" s="114"/>
    </row>
    <row r="416" spans="1:84" ht="20.100000000000001" customHeight="1" x14ac:dyDescent="0.4">
      <c r="A416" s="117"/>
      <c r="B416" s="123"/>
      <c r="C416" s="123"/>
      <c r="D416" s="123"/>
      <c r="AC416" s="127"/>
      <c r="AD416" s="29"/>
      <c r="AJ416" s="115"/>
      <c r="AK416" s="115"/>
      <c r="AL416" s="115"/>
      <c r="AM416" s="115"/>
      <c r="AN416" s="115"/>
      <c r="AO416" s="115"/>
      <c r="AP416" s="115"/>
      <c r="AQ416" s="115"/>
      <c r="AR416" s="115"/>
      <c r="AS416" s="127"/>
      <c r="AT416" s="29"/>
      <c r="BD416" s="25"/>
      <c r="BE416" s="13"/>
      <c r="BJ416" s="116"/>
      <c r="BK416" s="123"/>
      <c r="BL416" s="123"/>
      <c r="BM416" s="123"/>
      <c r="BR416" s="115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25"/>
      <c r="CC416" s="13"/>
      <c r="CF416" s="114"/>
    </row>
    <row r="417" spans="1:84" ht="20.100000000000001" customHeight="1" x14ac:dyDescent="0.4">
      <c r="A417" s="117"/>
      <c r="B417" s="123"/>
      <c r="C417" s="123"/>
      <c r="D417" s="123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27"/>
      <c r="AD417" s="29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127"/>
      <c r="AT417" s="29"/>
      <c r="BD417" s="25"/>
      <c r="BE417" s="13"/>
      <c r="BJ417" s="116"/>
      <c r="BK417" s="123"/>
      <c r="BL417" s="123"/>
      <c r="BM417" s="123"/>
      <c r="BR417" s="115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25"/>
      <c r="CC417" s="13"/>
      <c r="CF417" s="114"/>
    </row>
    <row r="418" spans="1:84" ht="20.100000000000001" customHeight="1" x14ac:dyDescent="0.4">
      <c r="A418" s="117"/>
      <c r="B418" s="123"/>
      <c r="C418" s="123"/>
      <c r="D418" s="123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27"/>
      <c r="AD418" s="29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127"/>
      <c r="AT418" s="29"/>
      <c r="BD418" s="25"/>
      <c r="BE418" s="13"/>
      <c r="BJ418" s="116"/>
      <c r="BK418" s="123"/>
      <c r="BL418" s="123"/>
      <c r="BM418" s="123"/>
      <c r="BR418" s="115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25"/>
      <c r="CC418" s="13"/>
      <c r="CF418" s="114"/>
    </row>
    <row r="419" spans="1:84" ht="20.100000000000001" customHeight="1" x14ac:dyDescent="0.4">
      <c r="A419" s="117"/>
      <c r="B419" s="123"/>
      <c r="C419" s="123"/>
      <c r="D419" s="123"/>
      <c r="AC419" s="127"/>
      <c r="AD419" s="29"/>
      <c r="AJ419" s="115"/>
      <c r="AK419" s="115"/>
      <c r="AL419" s="115"/>
      <c r="AM419" s="115"/>
      <c r="AN419" s="115"/>
      <c r="AO419" s="115"/>
      <c r="AP419" s="115"/>
      <c r="AQ419" s="115"/>
      <c r="AR419" s="115"/>
      <c r="AS419" s="127"/>
      <c r="AT419" s="29"/>
      <c r="BD419" s="25"/>
      <c r="BE419" s="13"/>
      <c r="BJ419" s="116"/>
      <c r="BK419" s="123"/>
      <c r="BL419" s="123"/>
      <c r="BM419" s="123"/>
      <c r="BR419" s="115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25"/>
      <c r="CC419" s="13"/>
      <c r="CF419" s="114"/>
    </row>
    <row r="420" spans="1:84" ht="20.100000000000001" customHeight="1" x14ac:dyDescent="0.4">
      <c r="A420" s="117"/>
      <c r="B420" s="123"/>
      <c r="C420" s="123"/>
      <c r="D420" s="123"/>
      <c r="AC420" s="127"/>
      <c r="AD420" s="29"/>
      <c r="AJ420" s="115"/>
      <c r="AK420" s="115"/>
      <c r="AL420" s="115"/>
      <c r="AM420" s="115"/>
      <c r="AN420" s="115"/>
      <c r="AO420" s="115"/>
      <c r="AP420" s="115"/>
      <c r="AQ420" s="115"/>
      <c r="AR420" s="115"/>
      <c r="AS420" s="127"/>
      <c r="AT420" s="29"/>
      <c r="BD420" s="25"/>
      <c r="BE420" s="13"/>
      <c r="BJ420" s="116"/>
      <c r="BK420" s="123"/>
      <c r="BL420" s="123"/>
      <c r="BM420" s="123"/>
      <c r="BR420" s="115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25"/>
      <c r="CC420" s="13"/>
      <c r="CF420" s="114"/>
    </row>
    <row r="421" spans="1:84" ht="20.100000000000001" customHeight="1" x14ac:dyDescent="0.4">
      <c r="A421" s="117"/>
      <c r="B421" s="123"/>
      <c r="C421" s="123"/>
      <c r="D421" s="123"/>
      <c r="AC421" s="127"/>
      <c r="AD421" s="29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127"/>
      <c r="AT421" s="29"/>
      <c r="BD421" s="25"/>
      <c r="BE421" s="13"/>
      <c r="BJ421" s="116"/>
      <c r="BK421" s="123"/>
      <c r="BL421" s="123"/>
      <c r="BM421" s="123"/>
      <c r="BR421" s="115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25"/>
      <c r="CC421" s="13"/>
      <c r="CF421" s="114"/>
    </row>
    <row r="422" spans="1:84" ht="20.100000000000001" customHeight="1" x14ac:dyDescent="0.4">
      <c r="A422" s="117"/>
      <c r="B422" s="123"/>
      <c r="C422" s="123"/>
      <c r="D422" s="123"/>
      <c r="AC422" s="127"/>
      <c r="AD422" s="29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127"/>
      <c r="AT422" s="29"/>
      <c r="BD422" s="25"/>
      <c r="BE422" s="13"/>
      <c r="BJ422" s="116"/>
      <c r="BK422" s="123"/>
      <c r="BL422" s="123"/>
      <c r="BM422" s="123"/>
      <c r="BR422" s="115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25"/>
      <c r="CC422" s="13"/>
      <c r="CF422" s="114"/>
    </row>
    <row r="423" spans="1:84" ht="20.100000000000001" customHeight="1" x14ac:dyDescent="0.4">
      <c r="A423" s="117"/>
      <c r="B423" s="123"/>
      <c r="C423" s="123"/>
      <c r="D423" s="123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29"/>
      <c r="AD423" s="29"/>
      <c r="AJ423" s="115"/>
      <c r="AK423" s="115"/>
      <c r="AL423" s="115"/>
      <c r="AM423" s="115"/>
      <c r="AN423" s="115"/>
      <c r="AO423" s="115"/>
      <c r="AP423" s="115"/>
      <c r="AQ423" s="115"/>
      <c r="AR423" s="115"/>
      <c r="AS423" s="127"/>
      <c r="AT423" s="29"/>
      <c r="BD423" s="25"/>
      <c r="BE423" s="13"/>
      <c r="BJ423" s="116"/>
      <c r="BK423" s="123"/>
      <c r="BL423" s="123"/>
      <c r="BM423" s="123"/>
      <c r="BR423" s="115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25"/>
      <c r="CC423" s="13"/>
      <c r="CF423" s="114"/>
    </row>
    <row r="424" spans="1:84" ht="20.100000000000001" customHeight="1" x14ac:dyDescent="0.4">
      <c r="A424" s="117"/>
      <c r="B424" s="123"/>
      <c r="C424" s="123"/>
      <c r="D424" s="123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27"/>
      <c r="AD424" s="29"/>
      <c r="AJ424" s="115"/>
      <c r="AK424" s="115"/>
      <c r="AL424" s="115"/>
      <c r="AM424" s="115"/>
      <c r="AN424" s="115"/>
      <c r="AO424" s="115"/>
      <c r="AP424" s="115"/>
      <c r="AQ424" s="115"/>
      <c r="AR424" s="115"/>
      <c r="AS424" s="127"/>
      <c r="AT424" s="29"/>
      <c r="BD424" s="25"/>
      <c r="BE424" s="13"/>
      <c r="BJ424" s="116"/>
      <c r="BK424" s="123"/>
      <c r="BL424" s="123"/>
      <c r="BM424" s="123"/>
      <c r="BR424" s="115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25"/>
      <c r="CC424" s="13"/>
      <c r="CF424" s="114"/>
    </row>
    <row r="425" spans="1:84" ht="20.100000000000001" customHeight="1" x14ac:dyDescent="0.4">
      <c r="A425" s="117"/>
      <c r="B425" s="123"/>
      <c r="C425" s="123"/>
      <c r="D425" s="123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29"/>
      <c r="AD425" s="29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127"/>
      <c r="AT425" s="29"/>
      <c r="BD425" s="25"/>
      <c r="BE425" s="13"/>
      <c r="BJ425" s="116"/>
      <c r="BK425" s="123"/>
      <c r="BL425" s="123"/>
      <c r="BM425" s="123"/>
      <c r="BR425" s="115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25"/>
      <c r="CC425" s="13"/>
      <c r="CF425" s="114"/>
    </row>
    <row r="426" spans="1:84" ht="20.100000000000001" customHeight="1" x14ac:dyDescent="0.4">
      <c r="A426" s="117"/>
      <c r="B426" s="123"/>
      <c r="C426" s="123"/>
      <c r="D426" s="123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27"/>
      <c r="AD426" s="29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127"/>
      <c r="AT426" s="29"/>
      <c r="BD426" s="25"/>
      <c r="BE426" s="13"/>
      <c r="BJ426" s="116"/>
      <c r="BK426" s="123"/>
      <c r="BL426" s="123"/>
      <c r="BM426" s="123"/>
      <c r="BR426" s="115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25"/>
      <c r="CC426" s="13"/>
      <c r="CF426" s="114"/>
    </row>
    <row r="427" spans="1:84" ht="20.100000000000001" customHeight="1" x14ac:dyDescent="0.4">
      <c r="A427" s="117"/>
      <c r="B427" s="123"/>
      <c r="C427" s="123"/>
      <c r="D427" s="123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29"/>
      <c r="AD427" s="29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127"/>
      <c r="AT427" s="29"/>
      <c r="BD427" s="25"/>
      <c r="BE427" s="13"/>
      <c r="BJ427" s="116"/>
      <c r="BK427" s="123"/>
      <c r="BL427" s="123"/>
      <c r="BM427" s="123"/>
      <c r="BR427" s="115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25"/>
      <c r="CC427" s="13"/>
      <c r="CF427" s="114"/>
    </row>
    <row r="428" spans="1:84" ht="20.100000000000001" customHeight="1" x14ac:dyDescent="0.4">
      <c r="A428" s="117"/>
      <c r="B428" s="123"/>
      <c r="C428" s="123"/>
      <c r="D428" s="123"/>
      <c r="AC428" s="127"/>
      <c r="AD428" s="29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15"/>
      <c r="AS428" s="127"/>
      <c r="AT428" s="29"/>
      <c r="BD428" s="25"/>
      <c r="BE428" s="13"/>
      <c r="BJ428" s="116"/>
      <c r="BK428" s="123"/>
      <c r="BL428" s="123"/>
      <c r="BM428" s="123"/>
      <c r="BR428" s="115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25"/>
      <c r="CC428" s="13"/>
      <c r="CF428" s="114"/>
    </row>
    <row r="429" spans="1:84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29"/>
      <c r="AD429" s="29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127"/>
      <c r="AT429" s="29"/>
      <c r="BD429" s="25"/>
      <c r="BE429" s="13"/>
      <c r="BJ429" s="116"/>
      <c r="BK429" s="123"/>
      <c r="BL429" s="123"/>
      <c r="BM429" s="123"/>
      <c r="BR429" s="115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25"/>
      <c r="CC429" s="13"/>
      <c r="CF429" s="114"/>
    </row>
    <row r="430" spans="1:84" ht="20.100000000000001" customHeight="1" x14ac:dyDescent="0.4">
      <c r="A430" s="117"/>
      <c r="B430" s="123"/>
      <c r="C430" s="123"/>
      <c r="D430" s="123"/>
      <c r="AC430" s="127"/>
      <c r="AD430" s="29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15"/>
      <c r="AS430" s="127"/>
      <c r="AT430" s="29"/>
      <c r="BD430" s="25"/>
      <c r="BE430" s="13"/>
      <c r="BJ430" s="116"/>
      <c r="BK430" s="123"/>
      <c r="BL430" s="123"/>
      <c r="BM430" s="123"/>
      <c r="BR430" s="115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25"/>
      <c r="CC430" s="13"/>
      <c r="CF430" s="114"/>
    </row>
    <row r="431" spans="1:84" ht="20.100000000000001" customHeight="1" x14ac:dyDescent="0.4">
      <c r="A431" s="117"/>
      <c r="B431" s="123"/>
      <c r="C431" s="123"/>
      <c r="D431" s="123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27"/>
      <c r="AD431" s="29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115"/>
      <c r="AS431" s="127"/>
      <c r="AT431" s="29"/>
      <c r="BD431" s="25"/>
      <c r="BE431" s="13"/>
      <c r="BJ431" s="116"/>
      <c r="BK431" s="123"/>
      <c r="BL431" s="123"/>
      <c r="BM431" s="123"/>
      <c r="BR431" s="115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25"/>
      <c r="CC431" s="13"/>
      <c r="CF431" s="114"/>
    </row>
    <row r="432" spans="1:84" ht="20.100000000000001" customHeight="1" x14ac:dyDescent="0.4">
      <c r="A432" s="117"/>
      <c r="B432" s="123"/>
      <c r="C432" s="123"/>
      <c r="D432" s="123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29"/>
      <c r="AD432" s="29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27"/>
      <c r="AT432" s="29"/>
      <c r="BD432" s="25"/>
      <c r="BE432" s="13"/>
      <c r="BJ432" s="116"/>
      <c r="BK432" s="123"/>
      <c r="BL432" s="123"/>
      <c r="BM432" s="123"/>
      <c r="BR432" s="115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25"/>
      <c r="CC432" s="13"/>
      <c r="CF432" s="114"/>
    </row>
    <row r="433" spans="1:84" ht="20.100000000000001" customHeight="1" x14ac:dyDescent="0.4">
      <c r="A433" s="117"/>
      <c r="B433" s="123"/>
      <c r="C433" s="123"/>
      <c r="D433" s="123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29"/>
      <c r="AD433" s="29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115"/>
      <c r="AS433" s="127"/>
      <c r="AT433" s="29"/>
      <c r="BD433" s="25"/>
      <c r="BE433" s="13"/>
      <c r="BJ433" s="116"/>
      <c r="BK433" s="123"/>
      <c r="BL433" s="123"/>
      <c r="BM433" s="123"/>
      <c r="BR433" s="115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25"/>
      <c r="CC433" s="13"/>
      <c r="CF433" s="114"/>
    </row>
    <row r="434" spans="1:84" ht="20.100000000000001" customHeight="1" x14ac:dyDescent="0.4">
      <c r="A434" s="117"/>
      <c r="B434" s="123"/>
      <c r="C434" s="123"/>
      <c r="D434" s="123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29"/>
      <c r="AD434" s="29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115"/>
      <c r="AS434" s="127"/>
      <c r="AT434" s="29"/>
      <c r="BD434" s="25"/>
      <c r="BE434" s="13"/>
      <c r="BJ434" s="116"/>
      <c r="BK434" s="123"/>
      <c r="BL434" s="123"/>
      <c r="BM434" s="123"/>
      <c r="BR434" s="115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25"/>
      <c r="CC434" s="13"/>
      <c r="CF434" s="114"/>
    </row>
    <row r="435" spans="1:84" ht="20.100000000000001" customHeight="1" x14ac:dyDescent="0.4">
      <c r="A435" s="117"/>
      <c r="B435" s="123"/>
      <c r="C435" s="123"/>
      <c r="D435" s="123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27"/>
      <c r="AD435" s="29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127"/>
      <c r="AT435" s="29"/>
      <c r="BD435" s="25"/>
      <c r="BE435" s="13"/>
      <c r="BJ435" s="116"/>
      <c r="BK435" s="123"/>
      <c r="BL435" s="123"/>
      <c r="BM435" s="123"/>
      <c r="BR435" s="115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25"/>
      <c r="CC435" s="13"/>
      <c r="CF435" s="114"/>
    </row>
    <row r="436" spans="1:84" ht="20.100000000000001" customHeight="1" x14ac:dyDescent="0.4">
      <c r="A436" s="117"/>
      <c r="B436" s="123"/>
      <c r="C436" s="123"/>
      <c r="D436" s="123"/>
      <c r="AC436" s="127"/>
      <c r="AD436" s="29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29"/>
      <c r="AT436" s="29"/>
      <c r="BD436" s="25"/>
      <c r="BE436" s="13"/>
      <c r="BJ436" s="116"/>
      <c r="BK436" s="123"/>
      <c r="BL436" s="123"/>
      <c r="BM436" s="123"/>
      <c r="BR436" s="115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25"/>
      <c r="CC436" s="13"/>
      <c r="CF436" s="114"/>
    </row>
    <row r="437" spans="1:84" ht="20.100000000000001" customHeight="1" x14ac:dyDescent="0.4">
      <c r="A437" s="117"/>
      <c r="B437" s="123"/>
      <c r="C437" s="123"/>
      <c r="D437" s="123"/>
      <c r="AC437" s="127"/>
      <c r="AD437" s="29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127"/>
      <c r="AT437" s="29"/>
      <c r="BD437" s="25"/>
      <c r="BE437" s="13"/>
      <c r="BJ437" s="116"/>
      <c r="BK437" s="123"/>
      <c r="BL437" s="123"/>
      <c r="BM437" s="123"/>
      <c r="BR437" s="115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25"/>
      <c r="CC437" s="13"/>
      <c r="CF437" s="114"/>
    </row>
    <row r="438" spans="1:84" ht="20.100000000000001" customHeight="1" x14ac:dyDescent="0.4">
      <c r="A438" s="117"/>
      <c r="B438" s="123"/>
      <c r="C438" s="123"/>
      <c r="D438" s="123"/>
      <c r="AC438" s="127"/>
      <c r="AD438" s="29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15"/>
      <c r="AS438" s="127"/>
      <c r="AT438" s="29"/>
      <c r="BD438" s="25"/>
      <c r="BE438" s="13"/>
      <c r="BJ438" s="116"/>
      <c r="BK438" s="123"/>
      <c r="BL438" s="123"/>
      <c r="BM438" s="123"/>
      <c r="BR438" s="115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25"/>
      <c r="CC438" s="13"/>
      <c r="CF438" s="114"/>
    </row>
    <row r="439" spans="1:84" ht="20.100000000000001" customHeight="1" x14ac:dyDescent="0.4">
      <c r="A439" s="117"/>
      <c r="B439" s="123"/>
      <c r="C439" s="123"/>
      <c r="D439" s="123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29"/>
      <c r="AD439" s="29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127"/>
      <c r="AT439" s="29"/>
      <c r="BD439" s="25"/>
      <c r="BE439" s="13"/>
      <c r="BJ439" s="116"/>
      <c r="BK439" s="123"/>
      <c r="BL439" s="123"/>
      <c r="BM439" s="123"/>
      <c r="BR439" s="115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25"/>
      <c r="CC439" s="13"/>
      <c r="CF439" s="114"/>
    </row>
    <row r="440" spans="1:84" ht="20.100000000000001" customHeight="1" x14ac:dyDescent="0.4">
      <c r="A440" s="117"/>
      <c r="B440" s="123"/>
      <c r="C440" s="123"/>
      <c r="D440" s="123"/>
      <c r="AC440" s="127"/>
      <c r="AD440" s="29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29"/>
      <c r="AT440" s="29"/>
      <c r="BD440" s="25"/>
      <c r="BE440" s="13"/>
      <c r="BJ440" s="116"/>
      <c r="BK440" s="123"/>
      <c r="BL440" s="123"/>
      <c r="BM440" s="123"/>
      <c r="BR440" s="115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25"/>
      <c r="CC440" s="13"/>
      <c r="CF440" s="114"/>
    </row>
    <row r="441" spans="1:84" ht="20.100000000000001" customHeight="1" x14ac:dyDescent="0.4">
      <c r="A441" s="117"/>
      <c r="B441" s="123"/>
      <c r="C441" s="123"/>
      <c r="D441" s="123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27"/>
      <c r="AD441" s="29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29"/>
      <c r="AT441" s="29"/>
      <c r="BD441" s="25"/>
      <c r="BE441" s="13"/>
      <c r="BJ441" s="116"/>
      <c r="BK441" s="123"/>
      <c r="BL441" s="123"/>
      <c r="BM441" s="123"/>
      <c r="BR441" s="115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25"/>
      <c r="CC441" s="13"/>
      <c r="CF441" s="114"/>
    </row>
    <row r="442" spans="1:84" ht="20.100000000000001" customHeight="1" x14ac:dyDescent="0.4">
      <c r="A442" s="117"/>
      <c r="B442" s="123"/>
      <c r="C442" s="123"/>
      <c r="D442" s="123"/>
      <c r="AC442" s="127"/>
      <c r="AD442" s="29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27"/>
      <c r="AT442" s="29"/>
      <c r="BD442" s="25"/>
      <c r="BE442" s="13"/>
      <c r="BJ442" s="116"/>
      <c r="BK442" s="123"/>
      <c r="BL442" s="123"/>
      <c r="BM442" s="123"/>
      <c r="BR442" s="115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25"/>
      <c r="CC442" s="13"/>
      <c r="CF442" s="114"/>
    </row>
    <row r="443" spans="1:84" ht="20.100000000000001" customHeight="1" x14ac:dyDescent="0.4">
      <c r="A443" s="117"/>
      <c r="B443" s="123"/>
      <c r="C443" s="123"/>
      <c r="D443" s="123"/>
      <c r="AC443" s="127"/>
      <c r="AD443" s="29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27"/>
      <c r="AT443" s="29"/>
      <c r="BD443" s="25"/>
      <c r="BE443" s="13"/>
      <c r="BJ443" s="116"/>
      <c r="BK443" s="123"/>
      <c r="BL443" s="123"/>
      <c r="BM443" s="123"/>
      <c r="BR443" s="115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25"/>
      <c r="CC443" s="13"/>
      <c r="CF443" s="114"/>
    </row>
    <row r="444" spans="1:84" ht="20.100000000000001" customHeight="1" x14ac:dyDescent="0.4">
      <c r="A444" s="117"/>
      <c r="B444" s="123"/>
      <c r="C444" s="123"/>
      <c r="D444" s="123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29"/>
      <c r="AD444" s="29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27"/>
      <c r="AT444" s="29"/>
      <c r="BD444" s="25"/>
      <c r="BE444" s="13"/>
      <c r="BJ444" s="116"/>
      <c r="BK444" s="123"/>
      <c r="BL444" s="123"/>
      <c r="BM444" s="123"/>
      <c r="BR444" s="115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25"/>
      <c r="CC444" s="13"/>
      <c r="CF444" s="114"/>
    </row>
    <row r="445" spans="1:84" ht="20.100000000000001" customHeight="1" x14ac:dyDescent="0.4">
      <c r="A445" s="117"/>
      <c r="B445" s="123"/>
      <c r="C445" s="123"/>
      <c r="D445" s="123"/>
      <c r="F445" s="117"/>
      <c r="G445" s="135"/>
      <c r="H445" s="135"/>
      <c r="I445" s="135"/>
      <c r="J445" s="135"/>
      <c r="K445" s="135"/>
      <c r="L445" s="135"/>
      <c r="M445" s="135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27"/>
      <c r="AD445" s="29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127"/>
      <c r="AT445" s="29"/>
      <c r="BD445" s="25"/>
      <c r="BE445" s="13"/>
      <c r="BJ445" s="116"/>
      <c r="BK445" s="123"/>
      <c r="BL445" s="123"/>
      <c r="BM445" s="123"/>
      <c r="BR445" s="115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25"/>
      <c r="CC445" s="13"/>
      <c r="CF445" s="114"/>
    </row>
    <row r="446" spans="1:84" ht="20.100000000000001" customHeight="1" x14ac:dyDescent="0.4">
      <c r="A446" s="117"/>
      <c r="B446" s="123"/>
      <c r="C446" s="123"/>
      <c r="D446" s="123"/>
      <c r="F446" s="117"/>
      <c r="G446" s="135"/>
      <c r="H446" s="135"/>
      <c r="I446" s="135"/>
      <c r="J446" s="135"/>
      <c r="K446" s="135"/>
      <c r="L446" s="135"/>
      <c r="M446" s="135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27"/>
      <c r="AD446" s="29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27"/>
      <c r="AT446" s="29"/>
      <c r="BD446" s="25"/>
      <c r="BE446" s="13"/>
      <c r="BJ446" s="116"/>
      <c r="BK446" s="123"/>
      <c r="BL446" s="123"/>
      <c r="BM446" s="123"/>
      <c r="BR446" s="115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25"/>
      <c r="CC446" s="13"/>
      <c r="CF446" s="114"/>
    </row>
    <row r="447" spans="1:84" ht="20.100000000000001" customHeight="1" x14ac:dyDescent="0.4">
      <c r="A447" s="117"/>
      <c r="B447" s="123"/>
      <c r="C447" s="123"/>
      <c r="D447" s="123"/>
      <c r="F447" s="117"/>
      <c r="G447" s="135"/>
      <c r="H447" s="135"/>
      <c r="I447" s="135"/>
      <c r="J447" s="135"/>
      <c r="K447" s="135"/>
      <c r="L447" s="135"/>
      <c r="M447" s="135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29"/>
      <c r="AD447" s="29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127"/>
      <c r="AT447" s="29"/>
      <c r="BD447" s="25"/>
      <c r="BE447" s="13"/>
      <c r="BJ447" s="116"/>
      <c r="BK447" s="123"/>
      <c r="BL447" s="123"/>
      <c r="BM447" s="123"/>
      <c r="BR447" s="115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25"/>
      <c r="CC447" s="13"/>
      <c r="CF447" s="114"/>
    </row>
    <row r="448" spans="1:84" ht="20.100000000000001" customHeight="1" x14ac:dyDescent="0.4">
      <c r="A448" s="117"/>
      <c r="B448" s="123"/>
      <c r="C448" s="123"/>
      <c r="D448" s="123"/>
      <c r="F448" s="117"/>
      <c r="G448" s="135"/>
      <c r="H448" s="135"/>
      <c r="I448" s="135"/>
      <c r="J448" s="135"/>
      <c r="K448" s="135"/>
      <c r="L448" s="135"/>
      <c r="M448" s="135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27"/>
      <c r="AD448" s="29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29"/>
      <c r="AT448" s="29"/>
      <c r="BD448" s="25"/>
      <c r="BE448" s="13"/>
      <c r="BJ448" s="116"/>
      <c r="BK448" s="123"/>
      <c r="BL448" s="123"/>
      <c r="BM448" s="123"/>
      <c r="BR448" s="115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25"/>
      <c r="CC448" s="13"/>
      <c r="CF448" s="114"/>
    </row>
    <row r="449" spans="1:84" ht="20.100000000000001" customHeight="1" x14ac:dyDescent="0.4">
      <c r="A449" s="117"/>
      <c r="B449" s="123"/>
      <c r="C449" s="123"/>
      <c r="D449" s="123"/>
      <c r="F449" s="117"/>
      <c r="G449" s="135"/>
      <c r="H449" s="135"/>
      <c r="I449" s="135"/>
      <c r="J449" s="135"/>
      <c r="K449" s="135"/>
      <c r="L449" s="135"/>
      <c r="M449" s="135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27"/>
      <c r="AD449" s="29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127"/>
      <c r="AT449" s="29"/>
      <c r="BD449" s="25"/>
      <c r="BE449" s="13"/>
      <c r="BJ449" s="116"/>
      <c r="BK449" s="123"/>
      <c r="BL449" s="123"/>
      <c r="BM449" s="123"/>
      <c r="BR449" s="115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25"/>
      <c r="CC449" s="13"/>
      <c r="CF449" s="114"/>
    </row>
    <row r="450" spans="1:84" ht="20.100000000000001" customHeight="1" x14ac:dyDescent="0.4">
      <c r="A450" s="117"/>
      <c r="B450" s="123"/>
      <c r="C450" s="123"/>
      <c r="D450" s="123"/>
      <c r="F450" s="117"/>
      <c r="G450" s="135"/>
      <c r="H450" s="135"/>
      <c r="I450" s="135"/>
      <c r="J450" s="135"/>
      <c r="K450" s="135"/>
      <c r="L450" s="135"/>
      <c r="M450" s="135"/>
      <c r="N450" s="136"/>
      <c r="O450" s="136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27"/>
      <c r="AD450" s="29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27"/>
      <c r="AT450" s="29"/>
      <c r="BD450" s="25"/>
      <c r="BE450" s="13"/>
      <c r="BJ450" s="116"/>
      <c r="BK450" s="123"/>
      <c r="BL450" s="123"/>
      <c r="BM450" s="123"/>
      <c r="BR450" s="115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25"/>
      <c r="CC450" s="13"/>
      <c r="CF450" s="114"/>
    </row>
    <row r="451" spans="1:84" ht="20.100000000000001" customHeight="1" x14ac:dyDescent="0.4">
      <c r="A451" s="117"/>
      <c r="B451" s="123"/>
      <c r="C451" s="123"/>
      <c r="D451" s="123"/>
      <c r="F451" s="117"/>
      <c r="G451" s="135"/>
      <c r="H451" s="135"/>
      <c r="I451" s="135"/>
      <c r="J451" s="135"/>
      <c r="K451" s="135"/>
      <c r="L451" s="135"/>
      <c r="M451" s="135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27"/>
      <c r="AD451" s="29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127"/>
      <c r="AT451" s="29"/>
      <c r="BD451" s="25"/>
      <c r="BE451" s="13"/>
      <c r="BJ451" s="116"/>
      <c r="BK451" s="123"/>
      <c r="BL451" s="123"/>
      <c r="BM451" s="123"/>
      <c r="BR451" s="115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25"/>
      <c r="CC451" s="13"/>
      <c r="CF451" s="114"/>
    </row>
    <row r="452" spans="1:84" ht="20.100000000000001" customHeight="1" x14ac:dyDescent="0.4">
      <c r="A452" s="117"/>
      <c r="B452" s="123"/>
      <c r="C452" s="123"/>
      <c r="D452" s="123"/>
      <c r="F452" s="117"/>
      <c r="G452" s="135"/>
      <c r="H452" s="135"/>
      <c r="I452" s="135"/>
      <c r="J452" s="135"/>
      <c r="K452" s="135"/>
      <c r="L452" s="135"/>
      <c r="M452" s="135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27"/>
      <c r="AD452" s="29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29"/>
      <c r="AT452" s="29"/>
      <c r="BD452" s="25"/>
      <c r="BE452" s="13"/>
      <c r="BJ452" s="116"/>
      <c r="BK452" s="123"/>
      <c r="BL452" s="123"/>
      <c r="BM452" s="123"/>
      <c r="BR452" s="115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25"/>
      <c r="CC452" s="13"/>
      <c r="CF452" s="114"/>
    </row>
    <row r="453" spans="1:84" ht="20.100000000000001" customHeight="1" x14ac:dyDescent="0.4">
      <c r="A453" s="117"/>
      <c r="B453" s="123"/>
      <c r="C453" s="123"/>
      <c r="D453" s="123"/>
      <c r="F453" s="117"/>
      <c r="G453" s="135"/>
      <c r="H453" s="135"/>
      <c r="I453" s="135"/>
      <c r="J453" s="135"/>
      <c r="K453" s="135"/>
      <c r="L453" s="135"/>
      <c r="M453" s="135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27"/>
      <c r="AD453" s="29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29"/>
      <c r="AT453" s="29"/>
      <c r="BD453" s="25"/>
      <c r="BE453" s="13"/>
      <c r="BJ453" s="116"/>
      <c r="BK453" s="123"/>
      <c r="BL453" s="123"/>
      <c r="BM453" s="123"/>
      <c r="BR453" s="115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25"/>
      <c r="CC453" s="13"/>
      <c r="CF453" s="114"/>
    </row>
    <row r="454" spans="1:84" ht="20.100000000000001" customHeight="1" x14ac:dyDescent="0.4">
      <c r="A454" s="117"/>
      <c r="B454" s="123"/>
      <c r="C454" s="123"/>
      <c r="D454" s="123"/>
      <c r="F454" s="117"/>
      <c r="G454" s="135"/>
      <c r="H454" s="135"/>
      <c r="I454" s="135"/>
      <c r="J454" s="135"/>
      <c r="K454" s="135"/>
      <c r="L454" s="135"/>
      <c r="M454" s="135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27"/>
      <c r="AD454" s="29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29"/>
      <c r="AT454" s="29"/>
      <c r="BD454" s="25"/>
      <c r="BE454" s="13"/>
      <c r="BJ454" s="116"/>
      <c r="BK454" s="123"/>
      <c r="BL454" s="123"/>
      <c r="BM454" s="123"/>
      <c r="BR454" s="115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25"/>
      <c r="CC454" s="13"/>
      <c r="CF454" s="114"/>
    </row>
    <row r="455" spans="1:84" ht="20.100000000000001" customHeight="1" x14ac:dyDescent="0.4">
      <c r="A455" s="117"/>
      <c r="B455" s="123"/>
      <c r="C455" s="123"/>
      <c r="D455" s="123"/>
      <c r="F455" s="117"/>
      <c r="G455" s="135"/>
      <c r="H455" s="135"/>
      <c r="I455" s="135"/>
      <c r="J455" s="135"/>
      <c r="K455" s="135"/>
      <c r="L455" s="135"/>
      <c r="M455" s="135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27"/>
      <c r="AD455" s="29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27"/>
      <c r="AT455" s="29"/>
      <c r="BD455" s="25"/>
      <c r="BE455" s="13"/>
      <c r="BJ455" s="116"/>
      <c r="BK455" s="123"/>
      <c r="BL455" s="123"/>
      <c r="BM455" s="123"/>
      <c r="BR455" s="115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25"/>
      <c r="CC455" s="13"/>
      <c r="CF455" s="114"/>
    </row>
    <row r="456" spans="1:84" ht="20.100000000000001" customHeight="1" x14ac:dyDescent="0.4">
      <c r="A456" s="117"/>
      <c r="B456" s="123"/>
      <c r="C456" s="123"/>
      <c r="D456" s="123"/>
      <c r="F456" s="117"/>
      <c r="G456" s="135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27"/>
      <c r="AD456" s="29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27"/>
      <c r="AT456" s="29"/>
      <c r="BD456" s="25"/>
      <c r="BE456" s="13"/>
      <c r="BJ456" s="116"/>
      <c r="BK456" s="123"/>
      <c r="BL456" s="123"/>
      <c r="BM456" s="123"/>
      <c r="BR456" s="115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25"/>
      <c r="CC456" s="13"/>
      <c r="CF456" s="114"/>
    </row>
    <row r="457" spans="1:84" ht="20.100000000000001" customHeight="1" x14ac:dyDescent="0.4">
      <c r="A457" s="117"/>
      <c r="B457" s="123"/>
      <c r="C457" s="123"/>
      <c r="D457" s="123"/>
      <c r="F457" s="117"/>
      <c r="G457" s="135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27"/>
      <c r="AD457" s="29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27"/>
      <c r="AT457" s="29"/>
      <c r="BD457" s="25"/>
      <c r="BE457" s="13"/>
      <c r="BJ457" s="116"/>
      <c r="BK457" s="123"/>
      <c r="BL457" s="123"/>
      <c r="BM457" s="123"/>
      <c r="BR457" s="115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25"/>
      <c r="CC457" s="13"/>
      <c r="CF457" s="114"/>
    </row>
    <row r="458" spans="1:84" ht="20.100000000000001" customHeight="1" x14ac:dyDescent="0.4">
      <c r="A458" s="117"/>
      <c r="B458" s="123"/>
      <c r="C458" s="123"/>
      <c r="D458" s="123"/>
      <c r="F458" s="117"/>
      <c r="G458" s="135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29"/>
      <c r="AD458" s="29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27"/>
      <c r="AT458" s="29"/>
      <c r="BD458" s="25"/>
      <c r="BE458" s="13"/>
      <c r="BJ458" s="116"/>
      <c r="BK458" s="123"/>
      <c r="BL458" s="123"/>
      <c r="BM458" s="123"/>
      <c r="BR458" s="115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25"/>
      <c r="CC458" s="13"/>
      <c r="CF458" s="114"/>
    </row>
    <row r="459" spans="1:84" ht="20.100000000000001" customHeight="1" x14ac:dyDescent="0.4">
      <c r="A459" s="117"/>
      <c r="B459" s="123"/>
      <c r="C459" s="123"/>
      <c r="D459" s="123"/>
      <c r="F459" s="117"/>
      <c r="G459" s="135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27"/>
      <c r="AD459" s="29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27"/>
      <c r="AT459" s="29"/>
      <c r="BD459" s="25"/>
      <c r="BE459" s="13"/>
      <c r="BJ459" s="116"/>
      <c r="BK459" s="123"/>
      <c r="BL459" s="123"/>
      <c r="BM459" s="123"/>
      <c r="BR459" s="115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25"/>
      <c r="CC459" s="13"/>
      <c r="CF459" s="114"/>
    </row>
    <row r="460" spans="1:84" ht="20.100000000000001" customHeight="1" x14ac:dyDescent="0.4">
      <c r="A460" s="117"/>
      <c r="B460" s="123"/>
      <c r="C460" s="123"/>
      <c r="D460" s="123"/>
      <c r="F460" s="117"/>
      <c r="G460" s="135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27"/>
      <c r="AD460" s="29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27"/>
      <c r="AT460" s="29"/>
      <c r="BD460" s="25"/>
      <c r="BE460" s="13"/>
      <c r="BJ460" s="116"/>
      <c r="BK460" s="123"/>
      <c r="BL460" s="123"/>
      <c r="BM460" s="123"/>
      <c r="BR460" s="115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25"/>
      <c r="CC460" s="13"/>
      <c r="CF460" s="114"/>
    </row>
    <row r="461" spans="1:84" ht="20.100000000000001" customHeight="1" x14ac:dyDescent="0.4">
      <c r="A461" s="117"/>
      <c r="B461" s="123"/>
      <c r="C461" s="123"/>
      <c r="D461" s="123"/>
      <c r="F461" s="117"/>
      <c r="G461" s="135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27"/>
      <c r="AD461" s="29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27"/>
      <c r="AT461" s="29"/>
      <c r="BD461" s="25"/>
      <c r="BE461" s="13"/>
      <c r="BJ461" s="116"/>
      <c r="BK461" s="123"/>
      <c r="BL461" s="123"/>
      <c r="BM461" s="123"/>
      <c r="BR461" s="115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25"/>
      <c r="CC461" s="13"/>
      <c r="CF461" s="114"/>
    </row>
    <row r="462" spans="1:84" ht="20.100000000000001" customHeight="1" x14ac:dyDescent="0.4">
      <c r="A462" s="117"/>
      <c r="B462" s="123"/>
      <c r="C462" s="123"/>
      <c r="D462" s="123"/>
      <c r="F462" s="117"/>
      <c r="G462" s="135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27"/>
      <c r="AD462" s="29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27"/>
      <c r="AT462" s="29"/>
      <c r="BD462" s="25"/>
      <c r="BE462" s="13"/>
      <c r="BJ462" s="116"/>
      <c r="BK462" s="123"/>
      <c r="BL462" s="123"/>
      <c r="BM462" s="123"/>
      <c r="BR462" s="115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25"/>
      <c r="CC462" s="13"/>
      <c r="CF462" s="114"/>
    </row>
    <row r="463" spans="1:84" ht="20.100000000000001" customHeight="1" x14ac:dyDescent="0.4">
      <c r="A463" s="117"/>
      <c r="B463" s="123"/>
      <c r="C463" s="123"/>
      <c r="D463" s="123"/>
      <c r="F463" s="117"/>
      <c r="G463" s="135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29"/>
      <c r="AD463" s="29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27"/>
      <c r="AT463" s="29"/>
      <c r="BD463" s="25"/>
      <c r="BE463" s="13"/>
      <c r="BJ463" s="116"/>
      <c r="BK463" s="123"/>
      <c r="BL463" s="123"/>
      <c r="BM463" s="123"/>
      <c r="BR463" s="115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25"/>
      <c r="CC463" s="13"/>
      <c r="CF463" s="114"/>
    </row>
    <row r="464" spans="1:84" ht="20.100000000000001" customHeight="1" x14ac:dyDescent="0.4">
      <c r="A464" s="117"/>
      <c r="B464" s="123"/>
      <c r="C464" s="123"/>
      <c r="D464" s="123"/>
      <c r="F464" s="117"/>
      <c r="G464" s="135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27"/>
      <c r="AD464" s="29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27"/>
      <c r="AT464" s="29"/>
      <c r="BD464" s="25"/>
      <c r="BE464" s="13"/>
      <c r="BJ464" s="116"/>
      <c r="BK464" s="123"/>
      <c r="BL464" s="123"/>
      <c r="BM464" s="123"/>
      <c r="BR464" s="115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25"/>
      <c r="CC464" s="13"/>
      <c r="CF464" s="114"/>
    </row>
    <row r="465" spans="1:84" ht="20.100000000000001" customHeight="1" x14ac:dyDescent="0.4">
      <c r="A465" s="117"/>
      <c r="B465" s="123"/>
      <c r="C465" s="123"/>
      <c r="D465" s="123"/>
      <c r="F465" s="117"/>
      <c r="G465" s="135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27"/>
      <c r="AD465" s="29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27"/>
      <c r="AT465" s="29"/>
      <c r="BD465" s="25"/>
      <c r="BE465" s="13"/>
      <c r="BJ465" s="116"/>
      <c r="BK465" s="123"/>
      <c r="BL465" s="123"/>
      <c r="BM465" s="123"/>
      <c r="BR465" s="115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25"/>
      <c r="CC465" s="13"/>
      <c r="CF465" s="114"/>
    </row>
    <row r="466" spans="1:84" ht="20.100000000000001" customHeight="1" x14ac:dyDescent="0.4">
      <c r="A466" s="117"/>
      <c r="B466" s="123"/>
      <c r="C466" s="123"/>
      <c r="D466" s="123"/>
      <c r="F466" s="117"/>
      <c r="G466" s="135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29"/>
      <c r="AD466" s="29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27"/>
      <c r="AT466" s="29"/>
      <c r="BD466" s="25"/>
      <c r="BE466" s="13"/>
      <c r="BJ466" s="116"/>
      <c r="BK466" s="123"/>
      <c r="BL466" s="123"/>
      <c r="BM466" s="123"/>
      <c r="BR466" s="115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25"/>
      <c r="CC466" s="13"/>
      <c r="CF466" s="114"/>
    </row>
    <row r="467" spans="1:84" ht="20.100000000000001" customHeight="1" x14ac:dyDescent="0.4">
      <c r="A467" s="117"/>
      <c r="B467" s="123"/>
      <c r="C467" s="123"/>
      <c r="D467" s="123"/>
      <c r="F467" s="117"/>
      <c r="G467" s="135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27"/>
      <c r="AD467" s="29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27"/>
      <c r="AT467" s="29"/>
      <c r="BD467" s="25"/>
      <c r="BE467" s="13"/>
      <c r="BJ467" s="116"/>
      <c r="BK467" s="123"/>
      <c r="BL467" s="123"/>
      <c r="BM467" s="123"/>
      <c r="BR467" s="115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25"/>
      <c r="CC467" s="13"/>
      <c r="CF467" s="114"/>
    </row>
    <row r="468" spans="1:84" ht="20.100000000000001" customHeight="1" x14ac:dyDescent="0.4">
      <c r="A468" s="117"/>
      <c r="B468" s="123"/>
      <c r="C468" s="123"/>
      <c r="D468" s="123"/>
      <c r="F468" s="117"/>
      <c r="G468" s="135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29"/>
      <c r="AD468" s="29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27"/>
      <c r="AT468" s="29"/>
      <c r="BD468" s="25"/>
      <c r="BE468" s="13"/>
      <c r="BJ468" s="116"/>
      <c r="BK468" s="123"/>
      <c r="BL468" s="123"/>
      <c r="BM468" s="123"/>
      <c r="BR468" s="115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25"/>
      <c r="CC468" s="13"/>
      <c r="CF468" s="114"/>
    </row>
    <row r="469" spans="1:84" ht="20.100000000000001" customHeight="1" x14ac:dyDescent="0.4">
      <c r="A469" s="117"/>
      <c r="B469" s="123"/>
      <c r="C469" s="123"/>
      <c r="D469" s="123"/>
      <c r="F469" s="117"/>
      <c r="G469" s="135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27"/>
      <c r="AD469" s="29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27"/>
      <c r="AT469" s="29"/>
      <c r="BD469" s="25"/>
      <c r="BE469" s="13"/>
      <c r="BJ469" s="116"/>
      <c r="BK469" s="123"/>
      <c r="BL469" s="123"/>
      <c r="BM469" s="123"/>
      <c r="BR469" s="115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25"/>
      <c r="CC469" s="13"/>
      <c r="CF469" s="114"/>
    </row>
    <row r="470" spans="1:84" ht="20.100000000000001" customHeight="1" x14ac:dyDescent="0.4">
      <c r="A470" s="117"/>
      <c r="B470" s="123"/>
      <c r="C470" s="123"/>
      <c r="D470" s="123"/>
      <c r="F470" s="117"/>
      <c r="G470" s="135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29"/>
      <c r="AD470" s="29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27"/>
      <c r="AT470" s="29"/>
      <c r="BD470" s="25"/>
      <c r="BE470" s="13"/>
      <c r="BJ470" s="116"/>
      <c r="BK470" s="123"/>
      <c r="BL470" s="123"/>
      <c r="BM470" s="123"/>
      <c r="BR470" s="115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25"/>
      <c r="CC470" s="13"/>
      <c r="CF470" s="114"/>
    </row>
    <row r="471" spans="1:84" ht="20.100000000000001" customHeight="1" x14ac:dyDescent="0.4">
      <c r="A471" s="117"/>
      <c r="B471" s="123"/>
      <c r="C471" s="123"/>
      <c r="D471" s="123"/>
      <c r="F471" s="117"/>
      <c r="G471" s="135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27"/>
      <c r="AD471" s="29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27"/>
      <c r="AT471" s="29"/>
      <c r="BD471" s="25"/>
      <c r="BE471" s="13"/>
      <c r="BJ471" s="116"/>
      <c r="BK471" s="123"/>
      <c r="BL471" s="123"/>
      <c r="BM471" s="123"/>
      <c r="BR471" s="115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25"/>
      <c r="CC471" s="13"/>
      <c r="CF471" s="114"/>
    </row>
    <row r="472" spans="1:84" ht="20.100000000000001" customHeight="1" x14ac:dyDescent="0.4">
      <c r="A472" s="117"/>
      <c r="B472" s="123"/>
      <c r="C472" s="123"/>
      <c r="D472" s="123"/>
      <c r="F472" s="117"/>
      <c r="G472" s="135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27"/>
      <c r="AD472" s="29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27"/>
      <c r="AT472" s="29"/>
      <c r="BD472" s="25"/>
      <c r="BE472" s="13"/>
      <c r="BJ472" s="116"/>
      <c r="BK472" s="123"/>
      <c r="BL472" s="123"/>
      <c r="BM472" s="123"/>
      <c r="BR472" s="115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25"/>
      <c r="CC472" s="13"/>
      <c r="CF472" s="114"/>
    </row>
    <row r="473" spans="1:84" ht="20.100000000000001" customHeight="1" x14ac:dyDescent="0.4">
      <c r="A473" s="117"/>
      <c r="B473" s="123"/>
      <c r="C473" s="123"/>
      <c r="D473" s="123"/>
      <c r="F473" s="117"/>
      <c r="G473" s="135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27"/>
      <c r="AD473" s="29"/>
      <c r="AS473" s="127"/>
      <c r="AT473" s="29"/>
      <c r="BD473" s="25"/>
      <c r="BE473" s="13"/>
      <c r="BJ473" s="116"/>
      <c r="BK473" s="123"/>
      <c r="BL473" s="123"/>
      <c r="BM473" s="123"/>
      <c r="BR473" s="115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25"/>
      <c r="CC473" s="13"/>
      <c r="CF473" s="114"/>
    </row>
    <row r="474" spans="1:84" ht="20.100000000000001" customHeight="1" x14ac:dyDescent="0.4">
      <c r="A474" s="117"/>
      <c r="B474" s="123"/>
      <c r="C474" s="123"/>
      <c r="D474" s="123"/>
      <c r="F474" s="117"/>
      <c r="G474" s="135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29"/>
      <c r="AD474" s="29"/>
      <c r="AS474" s="127"/>
      <c r="AT474" s="29"/>
      <c r="BD474" s="25"/>
      <c r="BE474" s="13"/>
      <c r="BJ474" s="116"/>
      <c r="BK474" s="123"/>
      <c r="BL474" s="123"/>
      <c r="BM474" s="123"/>
      <c r="BR474" s="115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25"/>
      <c r="CC474" s="13"/>
      <c r="CF474" s="114"/>
    </row>
    <row r="475" spans="1:84" ht="20.100000000000001" customHeight="1" x14ac:dyDescent="0.4">
      <c r="A475" s="117"/>
      <c r="B475" s="123"/>
      <c r="C475" s="123"/>
      <c r="D475" s="123"/>
      <c r="F475" s="117"/>
      <c r="G475" s="135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27"/>
      <c r="AD475" s="29"/>
      <c r="AO475" s="115"/>
      <c r="AP475" s="115"/>
      <c r="AQ475" s="115"/>
      <c r="AR475" s="115"/>
      <c r="AS475" s="127"/>
      <c r="AT475" s="29"/>
      <c r="BD475" s="25"/>
      <c r="BE475" s="13"/>
      <c r="BJ475" s="116"/>
      <c r="BK475" s="123"/>
      <c r="BL475" s="123"/>
      <c r="BM475" s="123"/>
      <c r="BR475" s="115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25"/>
      <c r="CC475" s="13"/>
      <c r="CF475" s="114"/>
    </row>
    <row r="476" spans="1:84" ht="20.100000000000001" customHeight="1" x14ac:dyDescent="0.4">
      <c r="A476" s="117"/>
      <c r="B476" s="123"/>
      <c r="C476" s="123"/>
      <c r="D476" s="123"/>
      <c r="F476" s="117"/>
      <c r="G476" s="135"/>
      <c r="H476" s="136"/>
      <c r="I476" s="136"/>
      <c r="J476" s="136"/>
      <c r="K476" s="136"/>
      <c r="L476" s="136"/>
      <c r="M476" s="136"/>
      <c r="N476" s="136"/>
      <c r="O476" s="136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27"/>
      <c r="AD476" s="29"/>
      <c r="AO476" s="115"/>
      <c r="AP476" s="115"/>
      <c r="AQ476" s="115"/>
      <c r="AR476" s="115"/>
      <c r="AS476" s="127"/>
      <c r="AT476" s="29"/>
      <c r="BD476" s="25"/>
      <c r="BE476" s="13"/>
      <c r="BJ476" s="116"/>
      <c r="BK476" s="123"/>
      <c r="BL476" s="123"/>
      <c r="BM476" s="123"/>
      <c r="BR476" s="115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25"/>
      <c r="CC476" s="13"/>
      <c r="CF476" s="114"/>
    </row>
    <row r="477" spans="1:84" ht="20.100000000000001" customHeight="1" x14ac:dyDescent="0.4">
      <c r="A477" s="117"/>
      <c r="B477" s="123"/>
      <c r="C477" s="123"/>
      <c r="D477" s="123"/>
      <c r="F477" s="117"/>
      <c r="G477" s="135"/>
      <c r="H477" s="136"/>
      <c r="I477" s="136"/>
      <c r="J477" s="136"/>
      <c r="K477" s="136"/>
      <c r="L477" s="136"/>
      <c r="M477" s="136"/>
      <c r="N477" s="136"/>
      <c r="O477" s="136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29"/>
      <c r="AD477" s="29"/>
      <c r="AO477" s="115"/>
      <c r="AP477" s="115"/>
      <c r="AQ477" s="115"/>
      <c r="AR477" s="115"/>
      <c r="AS477" s="127"/>
      <c r="AT477" s="29"/>
      <c r="BD477" s="25"/>
      <c r="BE477" s="13"/>
      <c r="BJ477" s="116"/>
      <c r="BK477" s="123"/>
      <c r="BL477" s="123"/>
      <c r="BM477" s="123"/>
      <c r="BR477" s="115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25"/>
      <c r="CC477" s="13"/>
      <c r="CF477" s="114"/>
    </row>
    <row r="478" spans="1:84" ht="20.100000000000001" customHeight="1" x14ac:dyDescent="0.4">
      <c r="A478" s="117"/>
      <c r="B478" s="123"/>
      <c r="C478" s="123"/>
      <c r="D478" s="123"/>
      <c r="F478" s="117"/>
      <c r="G478" s="135"/>
      <c r="H478" s="136"/>
      <c r="I478" s="136"/>
      <c r="J478" s="136"/>
      <c r="K478" s="136"/>
      <c r="L478" s="136"/>
      <c r="M478" s="136"/>
      <c r="N478" s="136"/>
      <c r="O478" s="136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29"/>
      <c r="AD478" s="29"/>
      <c r="AO478" s="115"/>
      <c r="AP478" s="115"/>
      <c r="AQ478" s="115"/>
      <c r="AR478" s="115"/>
      <c r="AS478" s="127"/>
      <c r="AT478" s="29"/>
      <c r="BD478" s="25"/>
      <c r="BE478" s="13"/>
      <c r="BJ478" s="116"/>
      <c r="BK478" s="123"/>
      <c r="BL478" s="123"/>
      <c r="BM478" s="123"/>
      <c r="BR478" s="115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25"/>
      <c r="CC478" s="13"/>
      <c r="CF478" s="114"/>
    </row>
    <row r="479" spans="1:84" ht="20.100000000000001" customHeight="1" x14ac:dyDescent="0.4">
      <c r="A479" s="117"/>
      <c r="B479" s="123"/>
      <c r="C479" s="123"/>
      <c r="D479" s="123"/>
      <c r="F479" s="117"/>
      <c r="G479" s="135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27"/>
      <c r="AD479" s="29"/>
      <c r="AO479" s="115"/>
      <c r="AP479" s="115"/>
      <c r="AQ479" s="115"/>
      <c r="AR479" s="115"/>
      <c r="AS479" s="127"/>
      <c r="AT479" s="29"/>
      <c r="BD479" s="25"/>
      <c r="BE479" s="13"/>
      <c r="BJ479" s="116"/>
      <c r="BK479" s="123"/>
      <c r="BL479" s="123"/>
      <c r="BM479" s="123"/>
      <c r="BR479" s="115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25"/>
      <c r="CC479" s="13"/>
      <c r="CF479" s="114"/>
    </row>
    <row r="480" spans="1:84" ht="20.100000000000001" customHeight="1" x14ac:dyDescent="0.4">
      <c r="A480" s="117"/>
      <c r="B480" s="123"/>
      <c r="C480" s="123"/>
      <c r="D480" s="123"/>
      <c r="F480" s="117"/>
      <c r="G480" s="135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27"/>
      <c r="AD480" s="29"/>
      <c r="AO480" s="115"/>
      <c r="AP480" s="115"/>
      <c r="AQ480" s="115"/>
      <c r="AR480" s="115"/>
      <c r="AS480" s="127"/>
      <c r="AT480" s="29"/>
      <c r="BD480" s="25"/>
      <c r="BE480" s="13"/>
      <c r="BJ480" s="116"/>
      <c r="BK480" s="123"/>
      <c r="BL480" s="123"/>
      <c r="BM480" s="123"/>
      <c r="BR480" s="115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25"/>
      <c r="CC480" s="13"/>
      <c r="CF480" s="114"/>
    </row>
    <row r="481" spans="1:84" ht="20.100000000000001" customHeight="1" x14ac:dyDescent="0.4">
      <c r="A481" s="117"/>
      <c r="B481" s="123"/>
      <c r="C481" s="123"/>
      <c r="D481" s="123"/>
      <c r="F481" s="117"/>
      <c r="G481" s="135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27"/>
      <c r="AD481" s="29"/>
      <c r="AK481" s="115"/>
      <c r="AL481" s="115"/>
      <c r="AM481" s="115"/>
      <c r="AN481" s="115"/>
      <c r="AO481" s="115"/>
      <c r="AP481" s="115"/>
      <c r="AQ481" s="115"/>
      <c r="AR481" s="115"/>
      <c r="AS481" s="127"/>
      <c r="AT481" s="29"/>
      <c r="BD481" s="25"/>
      <c r="BE481" s="13"/>
      <c r="BJ481" s="116"/>
      <c r="BK481" s="123"/>
      <c r="BL481" s="123"/>
      <c r="BM481" s="123"/>
      <c r="BR481" s="115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25"/>
      <c r="CC481" s="13"/>
      <c r="CF481" s="114"/>
    </row>
    <row r="482" spans="1:84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27"/>
      <c r="AD482" s="29"/>
      <c r="AK482" s="115"/>
      <c r="AL482" s="115"/>
      <c r="AM482" s="115"/>
      <c r="AN482" s="115"/>
      <c r="AO482" s="115"/>
      <c r="AP482" s="115"/>
      <c r="AQ482" s="115"/>
      <c r="AR482" s="115"/>
      <c r="AS482" s="29"/>
      <c r="AT482" s="29"/>
      <c r="BD482" s="25"/>
      <c r="BE482" s="13"/>
      <c r="BJ482" s="116"/>
      <c r="BK482" s="123"/>
      <c r="BL482" s="123"/>
      <c r="BM482" s="123"/>
      <c r="BR482" s="115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25"/>
      <c r="CC482" s="13"/>
      <c r="CF482" s="114"/>
    </row>
    <row r="483" spans="1:84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29"/>
      <c r="AD483" s="29"/>
      <c r="AK483" s="115"/>
      <c r="AL483" s="115"/>
      <c r="AM483" s="115"/>
      <c r="AN483" s="115"/>
      <c r="AO483" s="115"/>
      <c r="AP483" s="115"/>
      <c r="AQ483" s="115"/>
      <c r="AR483" s="115"/>
      <c r="AS483" s="29"/>
      <c r="AT483" s="29"/>
      <c r="BD483" s="25"/>
      <c r="BE483" s="13"/>
      <c r="BJ483" s="116"/>
      <c r="BK483" s="123"/>
      <c r="BL483" s="123"/>
      <c r="BM483" s="123"/>
      <c r="BR483" s="115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25"/>
      <c r="CC483" s="13"/>
      <c r="CF483" s="114"/>
    </row>
    <row r="484" spans="1:84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27"/>
      <c r="AD484" s="29"/>
      <c r="AK484" s="115"/>
      <c r="AL484" s="115"/>
      <c r="AM484" s="115"/>
      <c r="AN484" s="115"/>
      <c r="AO484" s="115"/>
      <c r="AP484" s="115"/>
      <c r="AQ484" s="115"/>
      <c r="AR484" s="115"/>
      <c r="AS484" s="127"/>
      <c r="AT484" s="29"/>
      <c r="BD484" s="25"/>
      <c r="BE484" s="13"/>
      <c r="BJ484" s="116"/>
      <c r="BK484" s="123"/>
      <c r="BL484" s="123"/>
      <c r="BM484" s="123"/>
      <c r="BR484" s="115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25"/>
      <c r="CC484" s="13"/>
      <c r="CF484" s="114"/>
    </row>
    <row r="485" spans="1:84" ht="20.100000000000001" customHeight="1" x14ac:dyDescent="0.4">
      <c r="A485" s="117"/>
      <c r="B485" s="123"/>
      <c r="C485" s="123"/>
      <c r="D485" s="123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7"/>
      <c r="AD485" s="29"/>
      <c r="AK485" s="115"/>
      <c r="AL485" s="115"/>
      <c r="AM485" s="115"/>
      <c r="AN485" s="115"/>
      <c r="AO485" s="115"/>
      <c r="AP485" s="115"/>
      <c r="AQ485" s="115"/>
      <c r="AR485" s="115"/>
      <c r="AS485" s="127"/>
      <c r="AT485" s="29"/>
      <c r="BD485" s="25"/>
      <c r="BE485" s="13"/>
      <c r="BJ485" s="116"/>
      <c r="BK485" s="123"/>
      <c r="BL485" s="123"/>
      <c r="BM485" s="123"/>
      <c r="BR485" s="115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25"/>
      <c r="CC485" s="13"/>
      <c r="CF485" s="114"/>
    </row>
    <row r="486" spans="1:84" ht="20.100000000000001" customHeight="1" x14ac:dyDescent="0.4">
      <c r="A486" s="117"/>
      <c r="B486" s="123"/>
      <c r="C486" s="123"/>
      <c r="D486" s="123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7"/>
      <c r="AD486" s="29"/>
      <c r="AK486" s="115"/>
      <c r="AL486" s="115"/>
      <c r="AM486" s="115"/>
      <c r="AN486" s="115"/>
      <c r="AO486" s="115"/>
      <c r="AP486" s="115"/>
      <c r="AQ486" s="115"/>
      <c r="AR486" s="115"/>
      <c r="AS486" s="127"/>
      <c r="AT486" s="29"/>
      <c r="BD486" s="25"/>
      <c r="BE486" s="13"/>
      <c r="BJ486" s="116"/>
      <c r="BK486" s="123"/>
      <c r="BL486" s="123"/>
      <c r="BM486" s="123"/>
      <c r="BR486" s="115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25"/>
      <c r="CC486" s="13"/>
      <c r="CF486" s="114"/>
    </row>
    <row r="487" spans="1:84" ht="20.100000000000001" customHeight="1" x14ac:dyDescent="0.4">
      <c r="A487" s="117"/>
      <c r="B487" s="123"/>
      <c r="C487" s="123"/>
      <c r="D487" s="123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7"/>
      <c r="AD487" s="29"/>
      <c r="AK487" s="115"/>
      <c r="AL487" s="115"/>
      <c r="AM487" s="115"/>
      <c r="AN487" s="115"/>
      <c r="AO487" s="115"/>
      <c r="AP487" s="115"/>
      <c r="AQ487" s="115"/>
      <c r="AR487" s="115"/>
      <c r="AS487" s="127"/>
      <c r="AT487" s="29"/>
      <c r="BD487" s="25"/>
      <c r="BE487" s="13"/>
      <c r="BJ487" s="116"/>
      <c r="BK487" s="123"/>
      <c r="BL487" s="123"/>
      <c r="BM487" s="123"/>
      <c r="BR487" s="115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25"/>
      <c r="CC487" s="13"/>
      <c r="CF487" s="114"/>
    </row>
    <row r="488" spans="1:84" ht="20.100000000000001" customHeight="1" x14ac:dyDescent="0.4">
      <c r="A488" s="117"/>
      <c r="B488" s="123"/>
      <c r="C488" s="123"/>
      <c r="D488" s="123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7"/>
      <c r="AD488" s="29"/>
      <c r="AK488" s="115"/>
      <c r="AL488" s="115"/>
      <c r="AM488" s="115"/>
      <c r="AN488" s="115"/>
      <c r="AO488" s="115"/>
      <c r="AP488" s="115"/>
      <c r="AQ488" s="115"/>
      <c r="AR488" s="115"/>
      <c r="AS488" s="127"/>
      <c r="AT488" s="29"/>
      <c r="BD488" s="25"/>
      <c r="BE488" s="13"/>
      <c r="BJ488" s="116"/>
      <c r="BK488" s="123"/>
      <c r="BL488" s="123"/>
      <c r="BM488" s="123"/>
      <c r="BR488" s="115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25"/>
      <c r="CC488" s="13"/>
      <c r="CF488" s="114"/>
    </row>
    <row r="489" spans="1:84" ht="20.100000000000001" customHeight="1" x14ac:dyDescent="0.4">
      <c r="A489" s="117"/>
      <c r="B489" s="123"/>
      <c r="C489" s="123"/>
      <c r="D489" s="123"/>
      <c r="AC489" s="127"/>
      <c r="AD489" s="29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27"/>
      <c r="AT489" s="29"/>
      <c r="BD489" s="25"/>
      <c r="BE489" s="13"/>
      <c r="BJ489" s="116"/>
      <c r="BK489" s="123"/>
      <c r="BL489" s="123"/>
      <c r="BM489" s="123"/>
      <c r="BR489" s="115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25"/>
      <c r="CC489" s="13"/>
      <c r="CF489" s="114"/>
    </row>
    <row r="490" spans="1:84" ht="20.100000000000001" customHeight="1" x14ac:dyDescent="0.4">
      <c r="A490" s="117"/>
      <c r="B490" s="123"/>
      <c r="C490" s="123"/>
      <c r="D490" s="123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27"/>
      <c r="AD490" s="29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27"/>
      <c r="AT490" s="29"/>
      <c r="BD490" s="25"/>
      <c r="BE490" s="13"/>
      <c r="BJ490" s="116"/>
      <c r="BK490" s="123"/>
      <c r="BL490" s="123"/>
      <c r="BM490" s="123"/>
      <c r="BR490" s="115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25"/>
      <c r="CC490" s="13"/>
      <c r="CF490" s="114"/>
    </row>
    <row r="491" spans="1:84" ht="20.100000000000001" customHeight="1" x14ac:dyDescent="0.4">
      <c r="A491" s="117"/>
      <c r="B491" s="123"/>
      <c r="C491" s="123"/>
      <c r="D491" s="123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27"/>
      <c r="AD491" s="29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27"/>
      <c r="AT491" s="29"/>
      <c r="BD491" s="25"/>
      <c r="BE491" s="13"/>
      <c r="BJ491" s="116"/>
      <c r="BK491" s="123"/>
      <c r="BL491" s="123"/>
      <c r="BM491" s="123"/>
      <c r="BR491" s="115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25"/>
      <c r="CC491" s="13"/>
      <c r="CF491" s="114"/>
    </row>
    <row r="492" spans="1:84" ht="20.100000000000001" customHeight="1" x14ac:dyDescent="0.4">
      <c r="A492" s="117"/>
      <c r="B492" s="123"/>
      <c r="C492" s="123"/>
      <c r="D492" s="123"/>
      <c r="AC492" s="127"/>
      <c r="AD492" s="29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27"/>
      <c r="AT492" s="29"/>
      <c r="BD492" s="25"/>
      <c r="BE492" s="13"/>
      <c r="BJ492" s="116"/>
      <c r="BK492" s="123"/>
      <c r="BL492" s="123"/>
      <c r="BM492" s="123"/>
      <c r="BR492" s="115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25"/>
      <c r="CC492" s="13"/>
      <c r="CF492" s="114"/>
    </row>
    <row r="493" spans="1:84" ht="20.100000000000001" customHeight="1" x14ac:dyDescent="0.4">
      <c r="A493" s="117"/>
      <c r="B493" s="123"/>
      <c r="C493" s="123"/>
      <c r="D493" s="123"/>
      <c r="AC493" s="127"/>
      <c r="AD493" s="29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27"/>
      <c r="AT493" s="134"/>
      <c r="BD493" s="25"/>
      <c r="BE493" s="13"/>
      <c r="BJ493" s="116"/>
      <c r="BK493" s="123"/>
      <c r="BL493" s="123"/>
      <c r="BM493" s="123"/>
      <c r="BR493" s="115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25"/>
      <c r="CC493" s="13"/>
      <c r="CF493" s="114"/>
    </row>
    <row r="494" spans="1:84" ht="20.100000000000001" customHeight="1" x14ac:dyDescent="0.4">
      <c r="A494" s="117"/>
      <c r="B494" s="123"/>
      <c r="C494" s="123"/>
      <c r="D494" s="123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27"/>
      <c r="AD494" s="29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27"/>
      <c r="AT494" s="134"/>
      <c r="BD494" s="25"/>
      <c r="BE494" s="13"/>
      <c r="BJ494" s="116"/>
      <c r="BK494" s="123"/>
      <c r="BL494" s="123"/>
      <c r="BM494" s="123"/>
      <c r="BR494" s="115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25"/>
      <c r="CC494" s="13"/>
      <c r="CF494" s="114"/>
    </row>
    <row r="495" spans="1:84" ht="20.100000000000001" customHeight="1" x14ac:dyDescent="0.4">
      <c r="A495" s="117"/>
      <c r="B495" s="123"/>
      <c r="C495" s="123"/>
      <c r="D495" s="123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29"/>
      <c r="AD495" s="29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27"/>
      <c r="AT495" s="134"/>
      <c r="BD495" s="25"/>
      <c r="BE495" s="13"/>
      <c r="BJ495" s="116"/>
      <c r="BK495" s="123"/>
      <c r="BL495" s="123"/>
      <c r="BM495" s="123"/>
      <c r="BR495" s="115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25"/>
      <c r="CC495" s="13"/>
      <c r="CF495" s="114"/>
    </row>
    <row r="496" spans="1:84" ht="20.100000000000001" customHeight="1" x14ac:dyDescent="0.4">
      <c r="A496" s="117"/>
      <c r="B496" s="123"/>
      <c r="C496" s="123"/>
      <c r="D496" s="123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27"/>
      <c r="AD496" s="29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27"/>
      <c r="AT496" s="134"/>
      <c r="BD496" s="25"/>
      <c r="BE496" s="13"/>
      <c r="BJ496" s="116"/>
      <c r="BK496" s="123"/>
      <c r="BL496" s="123"/>
      <c r="BM496" s="123"/>
      <c r="BR496" s="115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25"/>
      <c r="CC496" s="13"/>
      <c r="CF496" s="114"/>
    </row>
    <row r="497" spans="1:84" ht="20.100000000000001" customHeight="1" x14ac:dyDescent="0.4">
      <c r="A497" s="117"/>
      <c r="B497" s="123"/>
      <c r="C497" s="123"/>
      <c r="D497" s="123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27"/>
      <c r="AD497" s="29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27"/>
      <c r="AT497" s="134"/>
      <c r="BD497" s="25"/>
      <c r="BE497" s="13"/>
      <c r="BJ497" s="116"/>
      <c r="BK497" s="123"/>
      <c r="BL497" s="123"/>
      <c r="BM497" s="123"/>
      <c r="BR497" s="115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25"/>
      <c r="CC497" s="13"/>
      <c r="CF497" s="114"/>
    </row>
    <row r="498" spans="1:84" ht="20.100000000000001" customHeight="1" x14ac:dyDescent="0.4">
      <c r="A498" s="117"/>
      <c r="B498" s="123"/>
      <c r="C498" s="123"/>
      <c r="D498" s="123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27"/>
      <c r="AD498" s="29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27"/>
      <c r="AT498" s="134"/>
      <c r="BD498" s="25"/>
      <c r="BE498" s="13"/>
      <c r="BJ498" s="116"/>
      <c r="BK498" s="123"/>
      <c r="BL498" s="123"/>
      <c r="BM498" s="123"/>
      <c r="BR498" s="115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25"/>
      <c r="CC498" s="13"/>
      <c r="CF498" s="114"/>
    </row>
    <row r="499" spans="1:84" ht="20.100000000000001" customHeight="1" x14ac:dyDescent="0.4">
      <c r="A499" s="117"/>
      <c r="B499" s="123"/>
      <c r="C499" s="123"/>
      <c r="D499" s="123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27"/>
      <c r="AD499" s="29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27"/>
      <c r="AT499" s="134"/>
      <c r="BD499" s="25"/>
      <c r="BE499" s="13"/>
      <c r="BJ499" s="116"/>
      <c r="BK499" s="123"/>
      <c r="BL499" s="123"/>
      <c r="BM499" s="123"/>
      <c r="BR499" s="115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25"/>
      <c r="CC499" s="13"/>
      <c r="CF499" s="114"/>
    </row>
    <row r="500" spans="1:84" ht="20.100000000000001" customHeight="1" x14ac:dyDescent="0.4">
      <c r="A500" s="117"/>
      <c r="B500" s="123"/>
      <c r="C500" s="123"/>
      <c r="D500" s="123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27"/>
      <c r="AD500" s="29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127"/>
      <c r="AT500" s="134"/>
      <c r="BD500" s="25"/>
      <c r="BE500" s="13"/>
      <c r="BJ500" s="116"/>
      <c r="BK500" s="123"/>
      <c r="BL500" s="123"/>
      <c r="BM500" s="123"/>
      <c r="BR500" s="115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25"/>
      <c r="CC500" s="13"/>
      <c r="CF500" s="114"/>
    </row>
    <row r="501" spans="1:84" ht="20.100000000000001" customHeight="1" x14ac:dyDescent="0.4">
      <c r="A501" s="117"/>
      <c r="B501" s="123"/>
      <c r="C501" s="123"/>
      <c r="D501" s="123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29"/>
      <c r="AD501" s="29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127"/>
      <c r="AT501" s="134"/>
      <c r="BD501" s="25"/>
      <c r="BE501" s="13"/>
      <c r="BJ501" s="116"/>
      <c r="BK501" s="123"/>
      <c r="BL501" s="123"/>
      <c r="BM501" s="123"/>
      <c r="BR501" s="115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25"/>
      <c r="CC501" s="13"/>
      <c r="CF501" s="114"/>
    </row>
    <row r="502" spans="1:84" ht="20.100000000000001" customHeight="1" x14ac:dyDescent="0.4">
      <c r="A502" s="117"/>
      <c r="B502" s="123"/>
      <c r="C502" s="123"/>
      <c r="D502" s="123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27"/>
      <c r="AD502" s="29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127"/>
      <c r="AT502" s="134"/>
      <c r="BD502" s="25"/>
      <c r="BE502" s="13"/>
      <c r="BJ502" s="116"/>
      <c r="BK502" s="123"/>
      <c r="BL502" s="123"/>
      <c r="BM502" s="123"/>
      <c r="BR502" s="115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25"/>
      <c r="CC502" s="13"/>
      <c r="CF502" s="114"/>
    </row>
    <row r="503" spans="1:84" ht="20.100000000000001" customHeight="1" x14ac:dyDescent="0.4">
      <c r="A503" s="117"/>
      <c r="B503" s="123"/>
      <c r="C503" s="123"/>
      <c r="D503" s="123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27"/>
      <c r="AD503" s="29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27"/>
      <c r="AT503" s="134"/>
      <c r="BD503" s="25"/>
      <c r="BE503" s="13"/>
      <c r="BJ503" s="116"/>
      <c r="BK503" s="123"/>
      <c r="BL503" s="123"/>
      <c r="BM503" s="123"/>
      <c r="BR503" s="115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25"/>
      <c r="CC503" s="13"/>
      <c r="CF503" s="114"/>
    </row>
    <row r="504" spans="1:84" ht="20.100000000000001" customHeight="1" x14ac:dyDescent="0.4">
      <c r="A504" s="117"/>
      <c r="B504" s="123"/>
      <c r="C504" s="123"/>
      <c r="D504" s="123"/>
      <c r="AC504" s="127"/>
      <c r="AD504" s="29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27"/>
      <c r="AT504" s="29"/>
      <c r="BD504" s="25"/>
      <c r="BE504" s="13"/>
      <c r="BJ504" s="116"/>
      <c r="BK504" s="123"/>
      <c r="BL504" s="123"/>
      <c r="BM504" s="123"/>
      <c r="BR504" s="115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25"/>
      <c r="CC504" s="13"/>
      <c r="CF504" s="114"/>
    </row>
    <row r="505" spans="1:84" ht="20.100000000000001" customHeight="1" x14ac:dyDescent="0.4">
      <c r="A505" s="117"/>
      <c r="B505" s="123"/>
      <c r="C505" s="123"/>
      <c r="D505" s="123"/>
      <c r="AC505" s="127"/>
      <c r="AD505" s="29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29"/>
      <c r="AT505" s="29"/>
      <c r="BD505" s="25"/>
      <c r="BE505" s="13"/>
      <c r="BJ505" s="116"/>
      <c r="BK505" s="123"/>
      <c r="BL505" s="123"/>
      <c r="BM505" s="123"/>
      <c r="BR505" s="115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25"/>
      <c r="CC505" s="13"/>
      <c r="CF505" s="114"/>
    </row>
    <row r="506" spans="1:84" ht="20.100000000000001" customHeight="1" x14ac:dyDescent="0.4">
      <c r="A506" s="117"/>
      <c r="B506" s="123"/>
      <c r="C506" s="123"/>
      <c r="D506" s="123"/>
      <c r="AC506" s="127"/>
      <c r="AD506" s="29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27"/>
      <c r="AT506" s="29"/>
      <c r="BD506" s="25"/>
      <c r="BE506" s="13"/>
      <c r="BJ506" s="116"/>
      <c r="BK506" s="123"/>
      <c r="BL506" s="123"/>
      <c r="BM506" s="123"/>
      <c r="BR506" s="115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25"/>
      <c r="CC506" s="13"/>
      <c r="CF506" s="114"/>
    </row>
    <row r="507" spans="1:84" ht="20.100000000000001" customHeight="1" x14ac:dyDescent="0.4">
      <c r="A507" s="117"/>
      <c r="B507" s="123"/>
      <c r="C507" s="123"/>
      <c r="D507" s="123"/>
      <c r="AC507" s="127"/>
      <c r="AD507" s="29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27"/>
      <c r="AT507" s="29"/>
      <c r="BD507" s="25"/>
      <c r="BE507" s="13"/>
      <c r="BJ507" s="116"/>
      <c r="BK507" s="123"/>
      <c r="BL507" s="123"/>
      <c r="BM507" s="123"/>
      <c r="BR507" s="115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25"/>
      <c r="CC507" s="13"/>
      <c r="CF507" s="114"/>
    </row>
    <row r="508" spans="1:84" ht="20.100000000000001" customHeight="1" x14ac:dyDescent="0.4">
      <c r="A508" s="117"/>
      <c r="B508" s="123"/>
      <c r="C508" s="123"/>
      <c r="D508" s="123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29"/>
      <c r="AD508" s="29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27"/>
      <c r="AT508" s="29"/>
      <c r="BD508" s="25"/>
      <c r="BE508" s="13"/>
      <c r="BJ508" s="116"/>
      <c r="BK508" s="123"/>
      <c r="BL508" s="123"/>
      <c r="BM508" s="123"/>
      <c r="BR508" s="115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25"/>
      <c r="CC508" s="13"/>
      <c r="CF508" s="114"/>
    </row>
    <row r="509" spans="1:84" ht="20.100000000000001" customHeight="1" x14ac:dyDescent="0.4">
      <c r="A509" s="117"/>
      <c r="B509" s="123"/>
      <c r="C509" s="123"/>
      <c r="D509" s="123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27"/>
      <c r="AD509" s="29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27"/>
      <c r="AT509" s="29"/>
      <c r="BD509" s="25"/>
      <c r="BE509" s="13"/>
      <c r="BJ509" s="116"/>
      <c r="BK509" s="123"/>
      <c r="BL509" s="123"/>
      <c r="BM509" s="123"/>
      <c r="BR509" s="115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25"/>
      <c r="CC509" s="13"/>
      <c r="CF509" s="114"/>
    </row>
    <row r="510" spans="1:84" ht="20.100000000000001" customHeight="1" x14ac:dyDescent="0.4">
      <c r="A510" s="117"/>
      <c r="B510" s="123"/>
      <c r="C510" s="123"/>
      <c r="D510" s="123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27"/>
      <c r="AD510" s="29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27"/>
      <c r="AT510" s="29"/>
      <c r="BD510" s="25"/>
      <c r="BE510" s="13"/>
      <c r="BJ510" s="116"/>
      <c r="BK510" s="123"/>
      <c r="BL510" s="123"/>
      <c r="BM510" s="123"/>
      <c r="BR510" s="115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25"/>
      <c r="CC510" s="13"/>
      <c r="CF510" s="114"/>
    </row>
    <row r="511" spans="1:84" ht="20.100000000000001" customHeight="1" x14ac:dyDescent="0.4">
      <c r="A511" s="117"/>
      <c r="B511" s="123"/>
      <c r="C511" s="123"/>
      <c r="D511" s="123"/>
      <c r="AC511" s="127"/>
      <c r="AD511" s="134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27"/>
      <c r="AT511" s="29"/>
      <c r="BD511" s="25"/>
      <c r="BE511" s="13"/>
      <c r="BJ511" s="116"/>
      <c r="BK511" s="123"/>
      <c r="BL511" s="123"/>
      <c r="BM511" s="123"/>
      <c r="BR511" s="115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25"/>
      <c r="CC511" s="13"/>
      <c r="CF511" s="114"/>
    </row>
    <row r="512" spans="1:84" ht="20.100000000000001" customHeight="1" x14ac:dyDescent="0.4">
      <c r="A512" s="117"/>
      <c r="B512" s="123"/>
      <c r="C512" s="123"/>
      <c r="D512" s="123"/>
      <c r="AC512" s="127"/>
      <c r="AD512" s="29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27"/>
      <c r="AT512" s="29"/>
      <c r="BD512" s="25"/>
      <c r="BE512" s="13"/>
      <c r="BJ512" s="116"/>
      <c r="BK512" s="123"/>
      <c r="BL512" s="123"/>
      <c r="BM512" s="123"/>
      <c r="BR512" s="115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25"/>
      <c r="CC512" s="13"/>
      <c r="CF512" s="114"/>
    </row>
    <row r="513" spans="1:84" ht="20.100000000000001" customHeight="1" x14ac:dyDescent="0.4">
      <c r="A513" s="117"/>
      <c r="B513" s="123"/>
      <c r="C513" s="123"/>
      <c r="D513" s="123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27"/>
      <c r="AD513" s="29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27"/>
      <c r="AT513" s="29"/>
      <c r="BD513" s="25"/>
      <c r="BE513" s="13"/>
      <c r="BJ513" s="116"/>
      <c r="BK513" s="123"/>
      <c r="BL513" s="123"/>
      <c r="BM513" s="123"/>
      <c r="BR513" s="115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25"/>
      <c r="CC513" s="13"/>
      <c r="CF513" s="114"/>
    </row>
    <row r="514" spans="1:84" ht="20.100000000000001" customHeight="1" x14ac:dyDescent="0.4">
      <c r="A514" s="117"/>
      <c r="B514" s="123"/>
      <c r="C514" s="123"/>
      <c r="D514" s="123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29"/>
      <c r="AD514" s="29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27"/>
      <c r="AT514" s="29"/>
      <c r="BD514" s="25"/>
      <c r="BE514" s="13"/>
      <c r="BJ514" s="116"/>
      <c r="BK514" s="123"/>
      <c r="BL514" s="123"/>
      <c r="BM514" s="123"/>
      <c r="BR514" s="115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25"/>
      <c r="CC514" s="13"/>
      <c r="CF514" s="114"/>
    </row>
    <row r="515" spans="1:84" ht="20.100000000000001" customHeight="1" x14ac:dyDescent="0.4">
      <c r="A515" s="117"/>
      <c r="B515" s="123"/>
      <c r="C515" s="123"/>
      <c r="D515" s="123"/>
      <c r="AC515" s="127"/>
      <c r="AD515" s="29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27"/>
      <c r="AT515" s="29"/>
      <c r="BD515" s="25"/>
      <c r="BE515" s="13"/>
      <c r="BJ515" s="116"/>
      <c r="BK515" s="123"/>
      <c r="BL515" s="123"/>
      <c r="BM515" s="123"/>
      <c r="BR515" s="115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25"/>
      <c r="CC515" s="13"/>
      <c r="CF515" s="114"/>
    </row>
    <row r="516" spans="1:84" ht="20.100000000000001" customHeight="1" x14ac:dyDescent="0.4">
      <c r="A516" s="117"/>
      <c r="B516" s="123"/>
      <c r="C516" s="123"/>
      <c r="D516" s="123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29"/>
      <c r="AD516" s="29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27"/>
      <c r="AT516" s="29"/>
      <c r="BD516" s="25"/>
      <c r="BE516" s="13"/>
      <c r="BJ516" s="116"/>
      <c r="BK516" s="123"/>
      <c r="BL516" s="123"/>
      <c r="BM516" s="123"/>
      <c r="BR516" s="115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25"/>
      <c r="CC516" s="13"/>
      <c r="CF516" s="114"/>
    </row>
    <row r="517" spans="1:84" ht="20.100000000000001" customHeight="1" x14ac:dyDescent="0.4">
      <c r="A517" s="117"/>
      <c r="B517" s="123"/>
      <c r="C517" s="123"/>
      <c r="D517" s="123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27"/>
      <c r="AD517" s="29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27"/>
      <c r="AT517" s="29"/>
      <c r="BD517" s="25"/>
      <c r="BE517" s="13"/>
      <c r="BJ517" s="116"/>
      <c r="BK517" s="123"/>
      <c r="BL517" s="123"/>
      <c r="BM517" s="123"/>
      <c r="BR517" s="115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25"/>
      <c r="CC517" s="13"/>
      <c r="CF517" s="114"/>
    </row>
    <row r="518" spans="1:84" ht="20.100000000000001" customHeight="1" x14ac:dyDescent="0.4">
      <c r="A518" s="117"/>
      <c r="B518" s="123"/>
      <c r="C518" s="123"/>
      <c r="D518" s="123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27"/>
      <c r="AD518" s="29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27"/>
      <c r="AT518" s="29"/>
      <c r="BD518" s="25"/>
      <c r="BE518" s="13"/>
      <c r="BJ518" s="116"/>
      <c r="BK518" s="123"/>
      <c r="BL518" s="123"/>
      <c r="BM518" s="123"/>
      <c r="BR518" s="115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25"/>
      <c r="CC518" s="13"/>
      <c r="CF518" s="114"/>
    </row>
    <row r="519" spans="1:84" ht="20.100000000000001" customHeight="1" x14ac:dyDescent="0.4">
      <c r="A519" s="117"/>
      <c r="B519" s="123"/>
      <c r="C519" s="123"/>
      <c r="D519" s="123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29"/>
      <c r="AD519" s="29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27"/>
      <c r="AT519" s="29"/>
      <c r="BD519" s="25"/>
      <c r="BE519" s="13"/>
      <c r="BJ519" s="116"/>
      <c r="BK519" s="123"/>
      <c r="BL519" s="123"/>
      <c r="BM519" s="123"/>
      <c r="BR519" s="115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25"/>
      <c r="CC519" s="13"/>
      <c r="CF519" s="114"/>
    </row>
    <row r="520" spans="1:84" ht="20.100000000000001" customHeight="1" x14ac:dyDescent="0.4">
      <c r="A520" s="117"/>
      <c r="B520" s="123"/>
      <c r="C520" s="123"/>
      <c r="D520" s="123"/>
      <c r="AC520" s="127"/>
      <c r="AD520" s="134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29"/>
      <c r="AT520" s="29"/>
      <c r="BD520" s="25"/>
      <c r="BE520" s="13"/>
      <c r="BJ520" s="116"/>
      <c r="BK520" s="123"/>
      <c r="BL520" s="123"/>
      <c r="BM520" s="123"/>
      <c r="BR520" s="115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25"/>
      <c r="CC520" s="13"/>
      <c r="CF520" s="114"/>
    </row>
    <row r="521" spans="1:84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29"/>
      <c r="AD521" s="29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29"/>
      <c r="AT521" s="29"/>
      <c r="BD521" s="25"/>
      <c r="BE521" s="13"/>
      <c r="BJ521" s="116"/>
      <c r="BK521" s="123"/>
      <c r="BL521" s="123"/>
      <c r="BM521" s="123"/>
      <c r="BR521" s="115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25"/>
      <c r="CC521" s="13"/>
      <c r="CF521" s="114"/>
    </row>
    <row r="522" spans="1:84" ht="20.100000000000001" customHeight="1" x14ac:dyDescent="0.4">
      <c r="A522" s="117"/>
      <c r="B522" s="123"/>
      <c r="C522" s="123"/>
      <c r="D522" s="123"/>
      <c r="AC522" s="127"/>
      <c r="AD522" s="29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27"/>
      <c r="AT522" s="29"/>
      <c r="BD522" s="25"/>
      <c r="BE522" s="13"/>
      <c r="BJ522" s="116"/>
      <c r="BK522" s="123"/>
      <c r="BL522" s="123"/>
      <c r="BM522" s="123"/>
      <c r="BR522" s="115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25"/>
      <c r="CC522" s="13"/>
      <c r="CF522" s="114"/>
    </row>
    <row r="523" spans="1:84" ht="20.100000000000001" customHeight="1" x14ac:dyDescent="0.4">
      <c r="A523" s="117"/>
      <c r="B523" s="123"/>
      <c r="C523" s="123"/>
      <c r="D523" s="123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27"/>
      <c r="AD523" s="29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27"/>
      <c r="AT523" s="29"/>
      <c r="BD523" s="25"/>
      <c r="BE523" s="13"/>
      <c r="BJ523" s="116"/>
      <c r="BK523" s="123"/>
      <c r="BL523" s="123"/>
      <c r="BM523" s="123"/>
      <c r="BR523" s="115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25"/>
      <c r="CC523" s="13"/>
      <c r="CF523" s="114"/>
    </row>
    <row r="524" spans="1:84" ht="20.100000000000001" customHeight="1" x14ac:dyDescent="0.4">
      <c r="A524" s="117"/>
      <c r="B524" s="123"/>
      <c r="C524" s="123"/>
      <c r="D524" s="123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29"/>
      <c r="AD524" s="29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127"/>
      <c r="AT524" s="29"/>
      <c r="BD524" s="25"/>
      <c r="BE524" s="13"/>
      <c r="BJ524" s="116"/>
      <c r="BK524" s="123"/>
      <c r="BL524" s="123"/>
      <c r="BM524" s="123"/>
      <c r="BR524" s="115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25"/>
      <c r="CC524" s="13"/>
      <c r="CF524" s="114"/>
    </row>
    <row r="525" spans="1:84" ht="20.100000000000001" customHeight="1" x14ac:dyDescent="0.4">
      <c r="A525" s="117"/>
      <c r="B525" s="123"/>
      <c r="C525" s="123"/>
      <c r="D525" s="123"/>
      <c r="AC525" s="127"/>
      <c r="AD525" s="29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27"/>
      <c r="AT525" s="29"/>
      <c r="BD525" s="25"/>
      <c r="BE525" s="13"/>
      <c r="BJ525" s="116"/>
      <c r="BK525" s="123"/>
      <c r="BL525" s="123"/>
      <c r="BM525" s="123"/>
      <c r="BR525" s="115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25"/>
      <c r="CC525" s="13"/>
      <c r="CF525" s="114"/>
    </row>
    <row r="526" spans="1:84" ht="20.100000000000001" customHeight="1" x14ac:dyDescent="0.4">
      <c r="A526" s="117"/>
      <c r="B526" s="123"/>
      <c r="C526" s="123"/>
      <c r="D526" s="123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27"/>
      <c r="AD526" s="29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27"/>
      <c r="AT526" s="29"/>
      <c r="BD526" s="25"/>
      <c r="BE526" s="13"/>
      <c r="BJ526" s="116"/>
      <c r="BK526" s="123"/>
      <c r="BL526" s="123"/>
      <c r="BM526" s="123"/>
      <c r="BR526" s="115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25"/>
      <c r="CC526" s="13"/>
      <c r="CF526" s="114"/>
    </row>
    <row r="527" spans="1:84" ht="20.100000000000001" customHeight="1" x14ac:dyDescent="0.4">
      <c r="A527" s="117"/>
      <c r="B527" s="123"/>
      <c r="C527" s="123"/>
      <c r="D527" s="123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29"/>
      <c r="AD527" s="29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27"/>
      <c r="AT527" s="29"/>
      <c r="BD527" s="25"/>
      <c r="BE527" s="13"/>
      <c r="BJ527" s="116"/>
      <c r="BK527" s="123"/>
      <c r="BL527" s="123"/>
      <c r="BM527" s="123"/>
      <c r="BR527" s="115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25"/>
      <c r="CC527" s="13"/>
      <c r="CF527" s="114"/>
    </row>
    <row r="528" spans="1:84" ht="20.100000000000001" customHeight="1" x14ac:dyDescent="0.4">
      <c r="A528" s="117"/>
      <c r="B528" s="123"/>
      <c r="C528" s="123"/>
      <c r="D528" s="123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29"/>
      <c r="AD528" s="29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27"/>
      <c r="AT528" s="29"/>
      <c r="BD528" s="25"/>
      <c r="BE528" s="13"/>
      <c r="BJ528" s="116"/>
      <c r="BK528" s="123"/>
      <c r="BL528" s="123"/>
      <c r="BM528" s="123"/>
      <c r="BR528" s="115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25"/>
      <c r="CC528" s="13"/>
      <c r="CF528" s="114"/>
    </row>
    <row r="529" spans="1:84" ht="20.100000000000001" customHeight="1" x14ac:dyDescent="0.4">
      <c r="A529" s="117"/>
      <c r="B529" s="123"/>
      <c r="C529" s="123"/>
      <c r="D529" s="123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27"/>
      <c r="AD529" s="29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27"/>
      <c r="AT529" s="29"/>
      <c r="BD529" s="25"/>
      <c r="BE529" s="13"/>
      <c r="BJ529" s="116"/>
      <c r="BK529" s="123"/>
      <c r="BL529" s="123"/>
      <c r="BM529" s="123"/>
      <c r="BR529" s="115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25"/>
      <c r="CC529" s="13"/>
      <c r="CF529" s="114"/>
    </row>
    <row r="530" spans="1:84" ht="20.100000000000001" customHeight="1" x14ac:dyDescent="0.4">
      <c r="A530" s="117"/>
      <c r="B530" s="123"/>
      <c r="C530" s="123"/>
      <c r="D530" s="123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27"/>
      <c r="AD530" s="29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27"/>
      <c r="AT530" s="29"/>
      <c r="BD530" s="25"/>
      <c r="BE530" s="13"/>
      <c r="BJ530" s="116"/>
      <c r="BK530" s="123"/>
      <c r="BL530" s="123"/>
      <c r="BM530" s="123"/>
      <c r="BR530" s="115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25"/>
      <c r="CC530" s="13"/>
      <c r="CF530" s="114"/>
    </row>
    <row r="531" spans="1:84" ht="20.100000000000001" customHeight="1" x14ac:dyDescent="0.4">
      <c r="A531" s="117"/>
      <c r="B531" s="123"/>
      <c r="C531" s="123"/>
      <c r="D531" s="123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29"/>
      <c r="AD531" s="29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27"/>
      <c r="AT531" s="29"/>
      <c r="BD531" s="25"/>
      <c r="BE531" s="13"/>
      <c r="BJ531" s="116"/>
      <c r="BK531" s="123"/>
      <c r="BL531" s="123"/>
      <c r="BM531" s="123"/>
      <c r="BR531" s="115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25"/>
      <c r="CC531" s="13"/>
      <c r="CF531" s="114"/>
    </row>
    <row r="532" spans="1:84" ht="20.100000000000001" customHeight="1" x14ac:dyDescent="0.4">
      <c r="A532" s="117"/>
      <c r="B532" s="123"/>
      <c r="C532" s="123"/>
      <c r="D532" s="123"/>
      <c r="AC532" s="127"/>
      <c r="AD532" s="29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27"/>
      <c r="AT532" s="29"/>
      <c r="BD532" s="25"/>
      <c r="BE532" s="13"/>
      <c r="BJ532" s="116"/>
      <c r="BK532" s="123"/>
      <c r="BL532" s="123"/>
      <c r="BM532" s="123"/>
      <c r="BR532" s="115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25"/>
      <c r="CC532" s="13"/>
      <c r="CF532" s="114"/>
    </row>
    <row r="533" spans="1:84" ht="20.100000000000001" customHeight="1" x14ac:dyDescent="0.4">
      <c r="A533" s="117"/>
      <c r="B533" s="123"/>
      <c r="C533" s="123"/>
      <c r="D533" s="123"/>
      <c r="AC533" s="127"/>
      <c r="AD533" s="29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27"/>
      <c r="AT533" s="29"/>
      <c r="BD533" s="25"/>
      <c r="BE533" s="13"/>
      <c r="BJ533" s="116"/>
      <c r="BK533" s="123"/>
      <c r="BL533" s="123"/>
      <c r="BM533" s="123"/>
      <c r="BR533" s="115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25"/>
      <c r="CC533" s="13"/>
      <c r="CF533" s="114"/>
    </row>
    <row r="534" spans="1:84" ht="20.100000000000001" customHeight="1" x14ac:dyDescent="0.4">
      <c r="A534" s="117"/>
      <c r="B534" s="123"/>
      <c r="C534" s="123"/>
      <c r="D534" s="123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27"/>
      <c r="AD534" s="29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27"/>
      <c r="AT534" s="29"/>
      <c r="BD534" s="25"/>
      <c r="BE534" s="13"/>
      <c r="BJ534" s="116"/>
      <c r="BK534" s="123"/>
      <c r="BL534" s="123"/>
      <c r="BM534" s="123"/>
      <c r="BR534" s="115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25"/>
      <c r="CC534" s="13"/>
      <c r="CF534" s="114"/>
    </row>
    <row r="535" spans="1:84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29"/>
      <c r="AD535" s="29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27"/>
      <c r="AT535" s="29"/>
      <c r="BD535" s="25"/>
      <c r="BE535" s="13"/>
      <c r="BJ535" s="116"/>
      <c r="BK535" s="123"/>
      <c r="BL535" s="123"/>
      <c r="BM535" s="123"/>
      <c r="BR535" s="115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25"/>
      <c r="CC535" s="13"/>
      <c r="CF535" s="114"/>
    </row>
    <row r="536" spans="1:84" ht="20.100000000000001" customHeight="1" x14ac:dyDescent="0.4">
      <c r="A536" s="117"/>
      <c r="B536" s="123"/>
      <c r="C536" s="123"/>
      <c r="D536" s="123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27"/>
      <c r="AD536" s="29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27"/>
      <c r="AT536" s="29"/>
      <c r="BD536" s="25"/>
      <c r="BE536" s="13"/>
      <c r="BJ536" s="116"/>
      <c r="BK536" s="123"/>
      <c r="BL536" s="123"/>
      <c r="BM536" s="123"/>
      <c r="BR536" s="115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25"/>
      <c r="CC536" s="13"/>
      <c r="CF536" s="114"/>
    </row>
    <row r="537" spans="1:84" ht="20.100000000000001" customHeight="1" x14ac:dyDescent="0.4">
      <c r="A537" s="117"/>
      <c r="B537" s="123"/>
      <c r="C537" s="123"/>
      <c r="D537" s="123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29"/>
      <c r="AD537" s="29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27"/>
      <c r="AT537" s="29"/>
      <c r="BD537" s="25"/>
      <c r="BE537" s="13"/>
      <c r="BJ537" s="116"/>
      <c r="BK537" s="123"/>
      <c r="BL537" s="123"/>
      <c r="BM537" s="123"/>
      <c r="BR537" s="115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25"/>
      <c r="CC537" s="13"/>
      <c r="CF537" s="114"/>
    </row>
    <row r="538" spans="1:84" ht="20.100000000000001" customHeight="1" x14ac:dyDescent="0.4">
      <c r="A538" s="117"/>
      <c r="B538" s="123"/>
      <c r="C538" s="123"/>
      <c r="D538" s="123"/>
      <c r="AC538" s="127"/>
      <c r="AD538" s="29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27"/>
      <c r="AT538" s="29"/>
      <c r="BD538" s="25"/>
      <c r="BE538" s="13"/>
      <c r="BJ538" s="116"/>
      <c r="BK538" s="123"/>
      <c r="BL538" s="123"/>
      <c r="BM538" s="123"/>
      <c r="BR538" s="115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25"/>
      <c r="CC538" s="13"/>
      <c r="CF538" s="114"/>
    </row>
    <row r="539" spans="1:84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29"/>
      <c r="AD539" s="29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27"/>
      <c r="AT539" s="29"/>
      <c r="BD539" s="25"/>
      <c r="BE539" s="13"/>
      <c r="BJ539" s="116"/>
      <c r="BK539" s="123"/>
      <c r="BL539" s="123"/>
      <c r="BM539" s="123"/>
      <c r="BR539" s="115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25"/>
      <c r="CC539" s="13"/>
      <c r="CF539" s="114"/>
    </row>
    <row r="540" spans="1:84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29"/>
      <c r="AD540" s="29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27"/>
      <c r="AT540" s="29"/>
      <c r="BD540" s="25"/>
      <c r="BE540" s="13"/>
      <c r="BJ540" s="116"/>
      <c r="BK540" s="123"/>
      <c r="BL540" s="123"/>
      <c r="BM540" s="123"/>
      <c r="BR540" s="115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25"/>
      <c r="CC540" s="13"/>
      <c r="CF540" s="114"/>
    </row>
    <row r="541" spans="1:84" ht="20.100000000000001" customHeight="1" x14ac:dyDescent="0.4">
      <c r="A541" s="117"/>
      <c r="B541" s="123"/>
      <c r="C541" s="123"/>
      <c r="D541" s="123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27"/>
      <c r="AD541" s="29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27"/>
      <c r="AT541" s="29"/>
      <c r="BD541" s="25"/>
      <c r="BE541" s="13"/>
      <c r="BJ541" s="116"/>
      <c r="BK541" s="123"/>
      <c r="BL541" s="123"/>
      <c r="BM541" s="123"/>
      <c r="BR541" s="115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25"/>
      <c r="CC541" s="13"/>
      <c r="CF541" s="114"/>
    </row>
    <row r="542" spans="1:84" ht="20.100000000000001" customHeight="1" x14ac:dyDescent="0.4">
      <c r="A542" s="117"/>
      <c r="B542" s="123"/>
      <c r="C542" s="123"/>
      <c r="D542" s="123"/>
      <c r="AC542" s="127"/>
      <c r="AD542" s="29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27"/>
      <c r="AT542" s="29"/>
      <c r="BD542" s="25"/>
      <c r="BE542" s="13"/>
      <c r="BJ542" s="116"/>
      <c r="BK542" s="123"/>
      <c r="BL542" s="123"/>
      <c r="BM542" s="123"/>
      <c r="BR542" s="115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25"/>
      <c r="CC542" s="13"/>
      <c r="CF542" s="114"/>
    </row>
    <row r="543" spans="1:84" ht="20.100000000000001" customHeight="1" x14ac:dyDescent="0.4">
      <c r="A543" s="117"/>
      <c r="B543" s="123"/>
      <c r="C543" s="123"/>
      <c r="D543" s="123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27"/>
      <c r="AD543" s="29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27"/>
      <c r="AT543" s="29"/>
      <c r="BD543" s="25"/>
      <c r="BE543" s="13"/>
      <c r="BJ543" s="116"/>
      <c r="BK543" s="123"/>
      <c r="BL543" s="123"/>
      <c r="BM543" s="123"/>
      <c r="BR543" s="115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25"/>
      <c r="CC543" s="13"/>
      <c r="CF543" s="114"/>
    </row>
    <row r="544" spans="1:84" ht="20.100000000000001" customHeight="1" x14ac:dyDescent="0.4">
      <c r="A544" s="117"/>
      <c r="B544" s="123"/>
      <c r="C544" s="123"/>
      <c r="D544" s="123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27"/>
      <c r="AD544" s="29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27"/>
      <c r="AT544" s="29"/>
      <c r="BD544" s="25"/>
      <c r="BE544" s="13"/>
      <c r="BJ544" s="116"/>
      <c r="BK544" s="123"/>
      <c r="BL544" s="123"/>
      <c r="BM544" s="123"/>
      <c r="BR544" s="115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25"/>
      <c r="CC544" s="13"/>
      <c r="CF544" s="114"/>
    </row>
    <row r="545" spans="1:84" ht="20.100000000000001" customHeight="1" x14ac:dyDescent="0.4">
      <c r="A545" s="117"/>
      <c r="B545" s="123"/>
      <c r="C545" s="123"/>
      <c r="D545" s="123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27"/>
      <c r="AD545" s="29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27"/>
      <c r="AT545" s="29"/>
      <c r="BD545" s="25"/>
      <c r="BE545" s="13"/>
      <c r="BJ545" s="116"/>
      <c r="BK545" s="123"/>
      <c r="BL545" s="123"/>
      <c r="BM545" s="123"/>
      <c r="BR545" s="115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25"/>
      <c r="CC545" s="13"/>
      <c r="CF545" s="114"/>
    </row>
    <row r="546" spans="1:84" ht="20.100000000000001" customHeight="1" x14ac:dyDescent="0.4">
      <c r="A546" s="117"/>
      <c r="B546" s="123"/>
      <c r="C546" s="123"/>
      <c r="D546" s="123"/>
      <c r="AC546" s="127"/>
      <c r="AD546" s="29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27"/>
      <c r="AT546" s="29"/>
      <c r="BD546" s="25"/>
      <c r="BE546" s="13"/>
      <c r="BJ546" s="116"/>
      <c r="BK546" s="123"/>
      <c r="BL546" s="123"/>
      <c r="BM546" s="123"/>
      <c r="BR546" s="115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25"/>
      <c r="CC546" s="13"/>
      <c r="CF546" s="114"/>
    </row>
    <row r="547" spans="1:84" ht="20.100000000000001" customHeight="1" x14ac:dyDescent="0.4">
      <c r="A547" s="117"/>
      <c r="B547" s="123"/>
      <c r="C547" s="123"/>
      <c r="D547" s="123"/>
      <c r="AC547" s="127"/>
      <c r="AD547" s="29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29"/>
      <c r="AT547" s="29"/>
      <c r="BD547" s="25"/>
      <c r="BE547" s="13"/>
      <c r="BJ547" s="116"/>
      <c r="BK547" s="123"/>
      <c r="BL547" s="123"/>
      <c r="BM547" s="123"/>
      <c r="BR547" s="115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25"/>
      <c r="CC547" s="13"/>
      <c r="CF547" s="114"/>
    </row>
    <row r="548" spans="1:84" ht="20.100000000000001" customHeight="1" x14ac:dyDescent="0.4">
      <c r="A548" s="117"/>
      <c r="B548" s="123"/>
      <c r="C548" s="123"/>
      <c r="D548" s="123"/>
      <c r="AC548" s="127"/>
      <c r="AD548" s="29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27"/>
      <c r="AT548" s="29"/>
      <c r="BD548" s="25"/>
      <c r="BE548" s="13"/>
      <c r="BJ548" s="116"/>
      <c r="BK548" s="123"/>
      <c r="BL548" s="123"/>
      <c r="BM548" s="123"/>
      <c r="BR548" s="115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25"/>
      <c r="CC548" s="13"/>
      <c r="CF548" s="114"/>
    </row>
    <row r="549" spans="1:84" ht="20.100000000000001" customHeight="1" x14ac:dyDescent="0.4">
      <c r="A549" s="117"/>
      <c r="B549" s="123"/>
      <c r="C549" s="123"/>
      <c r="D549" s="123"/>
      <c r="AC549" s="127"/>
      <c r="AD549" s="29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27"/>
      <c r="AT549" s="29"/>
      <c r="BD549" s="25"/>
      <c r="BE549" s="13"/>
      <c r="BJ549" s="116"/>
      <c r="BK549" s="123"/>
      <c r="BL549" s="123"/>
      <c r="BM549" s="123"/>
      <c r="BR549" s="115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25"/>
      <c r="CC549" s="13"/>
      <c r="CF549" s="114"/>
    </row>
    <row r="550" spans="1:84" ht="20.100000000000001" customHeight="1" x14ac:dyDescent="0.4">
      <c r="A550" s="117"/>
      <c r="B550" s="123"/>
      <c r="C550" s="123"/>
      <c r="D550" s="123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27"/>
      <c r="AD550" s="29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27"/>
      <c r="AT550" s="29"/>
      <c r="BD550" s="25"/>
      <c r="BE550" s="13"/>
      <c r="BJ550" s="116"/>
      <c r="BK550" s="123"/>
      <c r="BL550" s="123"/>
      <c r="BM550" s="123"/>
      <c r="BR550" s="115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25"/>
      <c r="CC550" s="13"/>
      <c r="CF550" s="114"/>
    </row>
    <row r="551" spans="1:84" ht="20.100000000000001" customHeight="1" x14ac:dyDescent="0.4">
      <c r="A551" s="117"/>
      <c r="B551" s="123"/>
      <c r="C551" s="123"/>
      <c r="D551" s="123"/>
      <c r="AC551" s="127"/>
      <c r="AD551" s="29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27"/>
      <c r="AT551" s="29"/>
      <c r="BD551" s="25"/>
      <c r="BE551" s="13"/>
      <c r="BJ551" s="116"/>
      <c r="BK551" s="123"/>
      <c r="BL551" s="123"/>
      <c r="BM551" s="123"/>
      <c r="BR551" s="115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25"/>
      <c r="CC551" s="13"/>
      <c r="CF551" s="114"/>
    </row>
    <row r="552" spans="1:84" ht="20.100000000000001" customHeight="1" x14ac:dyDescent="0.4">
      <c r="A552" s="117"/>
      <c r="B552" s="123"/>
      <c r="C552" s="123"/>
      <c r="D552" s="123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29"/>
      <c r="AD552" s="29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27"/>
      <c r="AT552" s="29"/>
      <c r="BD552" s="25"/>
      <c r="BE552" s="13"/>
      <c r="BJ552" s="116"/>
      <c r="BK552" s="123"/>
      <c r="BL552" s="123"/>
      <c r="BM552" s="123"/>
      <c r="BR552" s="115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25"/>
      <c r="CC552" s="13"/>
      <c r="CF552" s="114"/>
    </row>
    <row r="553" spans="1:84" ht="20.100000000000001" customHeight="1" x14ac:dyDescent="0.4">
      <c r="A553" s="117"/>
      <c r="B553" s="123"/>
      <c r="C553" s="123"/>
      <c r="D553" s="123"/>
      <c r="AC553" s="127"/>
      <c r="AD553" s="29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27"/>
      <c r="AT553" s="29"/>
      <c r="BD553" s="25"/>
      <c r="BE553" s="13"/>
      <c r="BJ553" s="116"/>
      <c r="BK553" s="123"/>
      <c r="BL553" s="123"/>
      <c r="BM553" s="123"/>
      <c r="BR553" s="115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25"/>
      <c r="CC553" s="13"/>
      <c r="CF553" s="114"/>
    </row>
    <row r="554" spans="1:84" ht="20.100000000000001" customHeight="1" x14ac:dyDescent="0.4">
      <c r="A554" s="117"/>
      <c r="B554" s="123"/>
      <c r="C554" s="123"/>
      <c r="D554" s="123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27"/>
      <c r="AD554" s="29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27"/>
      <c r="AT554" s="29"/>
      <c r="BD554" s="25"/>
      <c r="BE554" s="13"/>
      <c r="BJ554" s="116"/>
      <c r="BK554" s="123"/>
      <c r="BL554" s="123"/>
      <c r="BM554" s="123"/>
      <c r="BR554" s="115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25"/>
      <c r="CC554" s="13"/>
      <c r="CF554" s="114"/>
    </row>
    <row r="555" spans="1:84" ht="20.100000000000001" customHeight="1" x14ac:dyDescent="0.4">
      <c r="A555" s="117"/>
      <c r="B555" s="123"/>
      <c r="C555" s="123"/>
      <c r="D555" s="123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27"/>
      <c r="AD555" s="29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27"/>
      <c r="AT555" s="29"/>
      <c r="BD555" s="25"/>
      <c r="BE555" s="13"/>
      <c r="BJ555" s="116"/>
      <c r="BK555" s="123"/>
      <c r="BL555" s="123"/>
      <c r="BM555" s="123"/>
      <c r="BR555" s="115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25"/>
      <c r="CC555" s="13"/>
      <c r="CF555" s="114"/>
    </row>
    <row r="556" spans="1:84" ht="20.100000000000001" customHeight="1" x14ac:dyDescent="0.4">
      <c r="A556" s="117"/>
      <c r="B556" s="123"/>
      <c r="C556" s="123"/>
      <c r="D556" s="123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29"/>
      <c r="AD556" s="29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27"/>
      <c r="AT556" s="29"/>
      <c r="BD556" s="25"/>
      <c r="BE556" s="13"/>
      <c r="BJ556" s="116"/>
      <c r="BK556" s="123"/>
      <c r="BL556" s="123"/>
      <c r="BM556" s="123"/>
      <c r="BR556" s="115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25"/>
      <c r="CC556" s="13"/>
      <c r="CF556" s="114"/>
    </row>
    <row r="557" spans="1:84" ht="20.100000000000001" customHeight="1" x14ac:dyDescent="0.4">
      <c r="A557" s="117"/>
      <c r="B557" s="123"/>
      <c r="C557" s="123"/>
      <c r="D557" s="123"/>
      <c r="AC557" s="127"/>
      <c r="AD557" s="29"/>
      <c r="AS557" s="127"/>
      <c r="AT557" s="29"/>
      <c r="BD557" s="25"/>
      <c r="BE557" s="13"/>
      <c r="BJ557" s="116"/>
      <c r="BK557" s="123"/>
      <c r="BL557" s="123"/>
      <c r="BM557" s="123"/>
      <c r="BR557" s="115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25"/>
      <c r="CC557" s="13"/>
      <c r="CF557" s="114"/>
    </row>
    <row r="558" spans="1:84" ht="20.100000000000001" customHeight="1" x14ac:dyDescent="0.4">
      <c r="A558" s="117"/>
      <c r="B558" s="123"/>
      <c r="C558" s="123"/>
      <c r="D558" s="123"/>
      <c r="AC558" s="127"/>
      <c r="AD558" s="29"/>
      <c r="AQ558" s="115"/>
      <c r="AR558" s="115"/>
      <c r="AS558" s="127"/>
      <c r="AT558" s="29"/>
      <c r="BD558" s="25"/>
      <c r="BE558" s="13"/>
      <c r="BJ558" s="116"/>
      <c r="BK558" s="123"/>
      <c r="BL558" s="123"/>
      <c r="BM558" s="123"/>
      <c r="BR558" s="115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25"/>
      <c r="CC558" s="13"/>
      <c r="CF558" s="114"/>
    </row>
    <row r="559" spans="1:84" ht="20.100000000000001" customHeight="1" x14ac:dyDescent="0.4">
      <c r="A559" s="117"/>
      <c r="B559" s="123"/>
      <c r="C559" s="123"/>
      <c r="D559" s="123"/>
      <c r="AC559" s="127"/>
      <c r="AD559" s="29"/>
      <c r="AL559" s="115"/>
      <c r="AM559" s="115"/>
      <c r="AN559" s="115"/>
      <c r="AO559" s="115"/>
      <c r="AP559" s="115"/>
      <c r="AQ559" s="115"/>
      <c r="AR559" s="115"/>
      <c r="AS559" s="127"/>
      <c r="AT559" s="29"/>
      <c r="BD559" s="25"/>
      <c r="BE559" s="13"/>
      <c r="BJ559" s="116"/>
      <c r="BK559" s="123"/>
      <c r="BL559" s="123"/>
      <c r="BM559" s="123"/>
      <c r="BR559" s="115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25"/>
      <c r="CC559" s="13"/>
      <c r="CF559" s="114"/>
    </row>
    <row r="560" spans="1:84" ht="20.100000000000001" customHeight="1" x14ac:dyDescent="0.4">
      <c r="A560" s="117"/>
      <c r="B560" s="123"/>
      <c r="C560" s="123"/>
      <c r="D560" s="123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29"/>
      <c r="AD560" s="29"/>
      <c r="AL560" s="115"/>
      <c r="AM560" s="115"/>
      <c r="AN560" s="115"/>
      <c r="AO560" s="115"/>
      <c r="AP560" s="115"/>
      <c r="AQ560" s="115"/>
      <c r="AR560" s="115"/>
      <c r="AS560" s="127"/>
      <c r="AT560" s="29"/>
      <c r="BD560" s="25"/>
      <c r="BE560" s="13"/>
      <c r="BJ560" s="116"/>
      <c r="BK560" s="123"/>
      <c r="BL560" s="123"/>
      <c r="BM560" s="123"/>
      <c r="BR560" s="115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25"/>
      <c r="CC560" s="13"/>
      <c r="CF560" s="114"/>
    </row>
    <row r="561" spans="1:84" ht="20.100000000000001" customHeight="1" x14ac:dyDescent="0.4">
      <c r="A561" s="117"/>
      <c r="B561" s="123"/>
      <c r="C561" s="123"/>
      <c r="D561" s="123"/>
      <c r="AC561" s="127"/>
      <c r="AD561" s="29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27"/>
      <c r="AT561" s="29"/>
      <c r="BD561" s="25"/>
      <c r="BE561" s="13"/>
      <c r="BJ561" s="116"/>
      <c r="BK561" s="123"/>
      <c r="BL561" s="123"/>
      <c r="BM561" s="123"/>
      <c r="BR561" s="115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25"/>
      <c r="CC561" s="13"/>
      <c r="CF561" s="114"/>
    </row>
    <row r="562" spans="1:84" ht="20.100000000000001" customHeight="1" x14ac:dyDescent="0.4">
      <c r="A562" s="117"/>
      <c r="B562" s="123"/>
      <c r="C562" s="123"/>
      <c r="D562" s="123"/>
      <c r="AC562" s="127"/>
      <c r="AD562" s="29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27"/>
      <c r="AT562" s="29"/>
      <c r="BD562" s="25"/>
      <c r="BE562" s="13"/>
      <c r="BJ562" s="116"/>
      <c r="BK562" s="123"/>
      <c r="BL562" s="123"/>
      <c r="BM562" s="123"/>
      <c r="BR562" s="115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25"/>
      <c r="CC562" s="13"/>
      <c r="CF562" s="114"/>
    </row>
    <row r="563" spans="1:84" ht="20.100000000000001" customHeight="1" x14ac:dyDescent="0.4">
      <c r="A563" s="117"/>
      <c r="B563" s="123"/>
      <c r="C563" s="123"/>
      <c r="D563" s="123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29"/>
      <c r="AD563" s="29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27"/>
      <c r="AT563" s="29"/>
      <c r="BD563" s="25"/>
      <c r="BE563" s="13"/>
      <c r="BJ563" s="116"/>
      <c r="BK563" s="123"/>
      <c r="BL563" s="123"/>
      <c r="BM563" s="123"/>
      <c r="BR563" s="115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25"/>
      <c r="CC563" s="13"/>
      <c r="CF563" s="114"/>
    </row>
    <row r="564" spans="1:84" ht="20.100000000000001" customHeight="1" x14ac:dyDescent="0.4">
      <c r="A564" s="117"/>
      <c r="B564" s="123"/>
      <c r="C564" s="123"/>
      <c r="D564" s="123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29"/>
      <c r="AD564" s="29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27"/>
      <c r="AT564" s="29"/>
      <c r="BD564" s="25"/>
      <c r="BE564" s="13"/>
      <c r="BJ564" s="116"/>
      <c r="BK564" s="123"/>
      <c r="BL564" s="123"/>
      <c r="BM564" s="123"/>
      <c r="BR564" s="115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25"/>
      <c r="CC564" s="13"/>
      <c r="CF564" s="114"/>
    </row>
    <row r="565" spans="1:84" ht="20.100000000000001" customHeight="1" x14ac:dyDescent="0.4">
      <c r="A565" s="117"/>
      <c r="B565" s="123"/>
      <c r="C565" s="123"/>
      <c r="D565" s="123"/>
      <c r="AC565" s="127"/>
      <c r="AD565" s="29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27"/>
      <c r="AT565" s="29"/>
      <c r="BD565" s="25"/>
      <c r="BE565" s="13"/>
      <c r="BJ565" s="116"/>
      <c r="BK565" s="123"/>
      <c r="BL565" s="123"/>
      <c r="BM565" s="123"/>
      <c r="BR565" s="115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25"/>
      <c r="CC565" s="13"/>
      <c r="CF565" s="114"/>
    </row>
    <row r="566" spans="1:84" ht="20.100000000000001" customHeight="1" x14ac:dyDescent="0.4">
      <c r="A566" s="117"/>
      <c r="B566" s="123"/>
      <c r="C566" s="123"/>
      <c r="D566" s="123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29"/>
      <c r="AD566" s="29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27"/>
      <c r="AT566" s="29"/>
      <c r="BD566" s="25"/>
      <c r="BE566" s="13"/>
      <c r="BJ566" s="116"/>
      <c r="BK566" s="123"/>
      <c r="BL566" s="123"/>
      <c r="BM566" s="123"/>
      <c r="BR566" s="115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25"/>
      <c r="CC566" s="13"/>
      <c r="CF566" s="114"/>
    </row>
    <row r="567" spans="1:84" ht="20.100000000000001" customHeight="1" x14ac:dyDescent="0.4">
      <c r="A567" s="117"/>
      <c r="B567" s="123"/>
      <c r="C567" s="123"/>
      <c r="D567" s="123"/>
      <c r="AC567" s="127"/>
      <c r="AD567" s="29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27"/>
      <c r="AT567" s="29"/>
      <c r="BD567" s="25"/>
      <c r="BE567" s="13"/>
      <c r="BJ567" s="116"/>
      <c r="BK567" s="123"/>
      <c r="BL567" s="123"/>
      <c r="BM567" s="123"/>
      <c r="BR567" s="115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25"/>
      <c r="CC567" s="13"/>
      <c r="CF567" s="114"/>
    </row>
    <row r="568" spans="1:84" ht="20.100000000000001" customHeight="1" x14ac:dyDescent="0.4">
      <c r="A568" s="117"/>
      <c r="B568" s="123"/>
      <c r="C568" s="123"/>
      <c r="D568" s="123"/>
      <c r="AC568" s="127"/>
      <c r="AD568" s="29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27"/>
      <c r="AT568" s="29"/>
      <c r="BD568" s="25"/>
      <c r="BE568" s="13"/>
      <c r="BJ568" s="116"/>
      <c r="BK568" s="123"/>
      <c r="BL568" s="123"/>
      <c r="BM568" s="123"/>
      <c r="BR568" s="115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25"/>
      <c r="CC568" s="13"/>
      <c r="CF568" s="114"/>
    </row>
    <row r="569" spans="1:84" ht="20.100000000000001" customHeight="1" x14ac:dyDescent="0.4">
      <c r="A569" s="117"/>
      <c r="B569" s="123"/>
      <c r="C569" s="123"/>
      <c r="D569" s="123"/>
      <c r="AC569" s="127"/>
      <c r="AD569" s="29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29"/>
      <c r="AT569" s="29"/>
      <c r="BD569" s="25"/>
      <c r="BE569" s="13"/>
      <c r="BJ569" s="116"/>
      <c r="BK569" s="123"/>
      <c r="BL569" s="123"/>
      <c r="BM569" s="123"/>
      <c r="BR569" s="115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25"/>
      <c r="CC569" s="13"/>
      <c r="CF569" s="114"/>
    </row>
    <row r="570" spans="1:84" ht="20.100000000000001" customHeight="1" x14ac:dyDescent="0.4">
      <c r="A570" s="117"/>
      <c r="B570" s="123"/>
      <c r="C570" s="123"/>
      <c r="D570" s="123"/>
      <c r="AC570" s="127"/>
      <c r="AD570" s="29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27"/>
      <c r="AT570" s="29"/>
      <c r="BD570" s="25"/>
      <c r="BE570" s="13"/>
      <c r="BJ570" s="116"/>
      <c r="BK570" s="123"/>
      <c r="BL570" s="123"/>
      <c r="BM570" s="123"/>
      <c r="BR570" s="115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25"/>
      <c r="CC570" s="13"/>
      <c r="CF570" s="114"/>
    </row>
    <row r="571" spans="1:84" ht="20.100000000000001" customHeight="1" x14ac:dyDescent="0.4">
      <c r="A571" s="117"/>
      <c r="B571" s="123"/>
      <c r="C571" s="123"/>
      <c r="D571" s="123"/>
      <c r="AC571" s="127"/>
      <c r="AD571" s="29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29"/>
      <c r="AT571" s="29"/>
      <c r="BD571" s="25"/>
      <c r="BE571" s="13"/>
      <c r="BJ571" s="116"/>
      <c r="BK571" s="123"/>
      <c r="BL571" s="123"/>
      <c r="BM571" s="123"/>
      <c r="BR571" s="115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25"/>
      <c r="CC571" s="13"/>
      <c r="CF571" s="114"/>
    </row>
    <row r="572" spans="1:84" ht="20.100000000000001" customHeight="1" x14ac:dyDescent="0.4">
      <c r="A572" s="117"/>
      <c r="B572" s="123"/>
      <c r="C572" s="123"/>
      <c r="D572" s="123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29"/>
      <c r="AD572" s="29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29"/>
      <c r="AT572" s="29"/>
      <c r="BD572" s="25"/>
      <c r="BE572" s="13"/>
      <c r="BJ572" s="116"/>
      <c r="BK572" s="123"/>
      <c r="BL572" s="123"/>
      <c r="BM572" s="123"/>
      <c r="BR572" s="115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25"/>
      <c r="CC572" s="13"/>
      <c r="CF572" s="114"/>
    </row>
    <row r="573" spans="1:84" ht="20.100000000000001" customHeight="1" x14ac:dyDescent="0.4">
      <c r="A573" s="117"/>
      <c r="B573" s="123"/>
      <c r="C573" s="123"/>
      <c r="D573" s="123"/>
      <c r="AC573" s="127"/>
      <c r="AD573" s="29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27"/>
      <c r="AT573" s="29"/>
      <c r="BD573" s="25"/>
      <c r="BE573" s="13"/>
      <c r="BJ573" s="116"/>
      <c r="BK573" s="123"/>
      <c r="BL573" s="123"/>
      <c r="BM573" s="123"/>
      <c r="BR573" s="115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25"/>
      <c r="CC573" s="13"/>
      <c r="CF573" s="114"/>
    </row>
    <row r="574" spans="1:84" ht="20.100000000000001" customHeight="1" x14ac:dyDescent="0.4">
      <c r="A574" s="117"/>
      <c r="B574" s="123"/>
      <c r="C574" s="123"/>
      <c r="D574" s="123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29"/>
      <c r="AD574" s="29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27"/>
      <c r="AT574" s="29"/>
      <c r="BD574" s="25"/>
      <c r="BE574" s="13"/>
      <c r="BJ574" s="116"/>
      <c r="BK574" s="123"/>
      <c r="BL574" s="123"/>
      <c r="BM574" s="123"/>
      <c r="BR574" s="115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25"/>
      <c r="CC574" s="13"/>
      <c r="CF574" s="114"/>
    </row>
    <row r="575" spans="1:84" ht="20.100000000000001" customHeight="1" x14ac:dyDescent="0.4">
      <c r="A575" s="117"/>
      <c r="B575" s="123"/>
      <c r="C575" s="123"/>
      <c r="D575" s="123"/>
      <c r="AC575" s="127"/>
      <c r="AD575" s="29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29"/>
      <c r="AT575" s="29"/>
      <c r="BD575" s="25"/>
      <c r="BE575" s="13"/>
      <c r="BJ575" s="116"/>
      <c r="BK575" s="123"/>
      <c r="BL575" s="123"/>
      <c r="BM575" s="123"/>
      <c r="BR575" s="115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25"/>
      <c r="CC575" s="13"/>
      <c r="CF575" s="114"/>
    </row>
    <row r="576" spans="1:84" ht="20.100000000000001" customHeight="1" x14ac:dyDescent="0.4">
      <c r="A576" s="117"/>
      <c r="B576" s="123"/>
      <c r="C576" s="123"/>
      <c r="D576" s="123"/>
      <c r="AC576" s="127"/>
      <c r="AD576" s="29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27"/>
      <c r="AT576" s="29"/>
      <c r="BD576" s="25"/>
      <c r="BE576" s="13"/>
      <c r="BJ576" s="116"/>
      <c r="BK576" s="123"/>
      <c r="BL576" s="123"/>
      <c r="BM576" s="123"/>
      <c r="BR576" s="115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25"/>
      <c r="CC576" s="13"/>
      <c r="CF576" s="114"/>
    </row>
    <row r="577" spans="1:84" ht="20.100000000000001" customHeight="1" x14ac:dyDescent="0.4">
      <c r="A577" s="117"/>
      <c r="B577" s="123"/>
      <c r="C577" s="123"/>
      <c r="D577" s="123"/>
      <c r="AC577" s="127"/>
      <c r="AD577" s="29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29"/>
      <c r="AT577" s="29"/>
      <c r="BD577" s="25"/>
      <c r="BE577" s="13"/>
      <c r="BJ577" s="116"/>
      <c r="BK577" s="123"/>
      <c r="BL577" s="123"/>
      <c r="BM577" s="123"/>
      <c r="BR577" s="115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25"/>
      <c r="CC577" s="13"/>
      <c r="CF577" s="114"/>
    </row>
    <row r="578" spans="1:84" ht="20.100000000000001" customHeight="1" x14ac:dyDescent="0.4">
      <c r="A578" s="117"/>
      <c r="B578" s="123"/>
      <c r="C578" s="123"/>
      <c r="D578" s="123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29"/>
      <c r="AD578" s="29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29"/>
      <c r="AT578" s="29"/>
      <c r="BD578" s="25"/>
      <c r="BE578" s="13"/>
      <c r="BJ578" s="116"/>
      <c r="BK578" s="123"/>
      <c r="BL578" s="123"/>
      <c r="BM578" s="123"/>
      <c r="BR578" s="115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25"/>
      <c r="CC578" s="13"/>
      <c r="CF578" s="114"/>
    </row>
    <row r="579" spans="1:84" ht="20.100000000000001" customHeight="1" x14ac:dyDescent="0.4">
      <c r="A579" s="117"/>
      <c r="B579" s="123"/>
      <c r="C579" s="123"/>
      <c r="D579" s="123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27"/>
      <c r="AD579" s="29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29"/>
      <c r="AT579" s="29"/>
      <c r="BD579" s="25"/>
      <c r="BE579" s="13"/>
      <c r="BJ579" s="116"/>
      <c r="BK579" s="123"/>
      <c r="BL579" s="123"/>
      <c r="BM579" s="123"/>
      <c r="BR579" s="115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25"/>
      <c r="CC579" s="13"/>
      <c r="CF579" s="114"/>
    </row>
    <row r="580" spans="1:84" ht="20.100000000000001" customHeight="1" x14ac:dyDescent="0.4">
      <c r="A580" s="117"/>
      <c r="B580" s="123"/>
      <c r="C580" s="123"/>
      <c r="D580" s="123"/>
      <c r="AC580" s="127"/>
      <c r="AD580" s="134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27"/>
      <c r="AT580" s="29"/>
      <c r="BD580" s="25"/>
      <c r="BE580" s="13"/>
      <c r="BJ580" s="116"/>
      <c r="BK580" s="123"/>
      <c r="BL580" s="123"/>
      <c r="BM580" s="123"/>
      <c r="BR580" s="115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25"/>
      <c r="CC580" s="13"/>
      <c r="CF580" s="114"/>
    </row>
    <row r="581" spans="1:84" ht="20.100000000000001" customHeight="1" x14ac:dyDescent="0.4">
      <c r="A581" s="117"/>
      <c r="B581" s="123"/>
      <c r="C581" s="123"/>
      <c r="D581" s="123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27"/>
      <c r="AD581" s="29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27"/>
      <c r="AT581" s="29"/>
      <c r="BD581" s="25"/>
      <c r="BE581" s="13"/>
      <c r="BJ581" s="116"/>
      <c r="BK581" s="123"/>
      <c r="BL581" s="123"/>
      <c r="BM581" s="123"/>
      <c r="BR581" s="115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25"/>
      <c r="CC581" s="13"/>
      <c r="CF581" s="114"/>
    </row>
    <row r="582" spans="1:84" ht="20.100000000000001" customHeight="1" x14ac:dyDescent="0.4">
      <c r="A582" s="117"/>
      <c r="B582" s="123"/>
      <c r="C582" s="123"/>
      <c r="D582" s="123"/>
      <c r="AC582" s="127"/>
      <c r="AD582" s="29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27"/>
      <c r="AT582" s="29"/>
      <c r="BD582" s="25"/>
      <c r="BE582" s="13"/>
      <c r="BJ582" s="116"/>
      <c r="BK582" s="123"/>
      <c r="BL582" s="123"/>
      <c r="BM582" s="123"/>
      <c r="BR582" s="115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25"/>
      <c r="CC582" s="13"/>
      <c r="CF582" s="114"/>
    </row>
    <row r="583" spans="1:84" ht="20.100000000000001" customHeight="1" x14ac:dyDescent="0.4">
      <c r="A583" s="117"/>
      <c r="B583" s="123"/>
      <c r="C583" s="123"/>
      <c r="D583" s="123"/>
      <c r="AC583" s="127"/>
      <c r="AD583" s="29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29"/>
      <c r="AT583" s="29"/>
      <c r="BD583" s="25"/>
      <c r="BE583" s="13"/>
      <c r="BJ583" s="116"/>
      <c r="BK583" s="123"/>
      <c r="BL583" s="123"/>
      <c r="BM583" s="123"/>
      <c r="BR583" s="115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25"/>
      <c r="CC583" s="13"/>
      <c r="CF583" s="114"/>
    </row>
    <row r="584" spans="1:84" ht="20.100000000000001" customHeight="1" x14ac:dyDescent="0.4">
      <c r="A584" s="117"/>
      <c r="B584" s="123"/>
      <c r="C584" s="123"/>
      <c r="D584" s="123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29"/>
      <c r="AD584" s="29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29"/>
      <c r="AT584" s="29"/>
      <c r="BD584" s="25"/>
      <c r="BE584" s="13"/>
      <c r="BJ584" s="116"/>
      <c r="BK584" s="123"/>
      <c r="BL584" s="123"/>
      <c r="BM584" s="123"/>
      <c r="BR584" s="115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25"/>
      <c r="CC584" s="13"/>
      <c r="CF584" s="114"/>
    </row>
    <row r="585" spans="1:84" ht="20.100000000000001" customHeight="1" x14ac:dyDescent="0.4">
      <c r="A585" s="117"/>
      <c r="B585" s="123"/>
      <c r="C585" s="123"/>
      <c r="D585" s="123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29"/>
      <c r="AD585" s="29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29"/>
      <c r="AT585" s="29"/>
      <c r="BD585" s="25"/>
      <c r="BE585" s="13"/>
      <c r="BJ585" s="116"/>
      <c r="BK585" s="123"/>
      <c r="BL585" s="123"/>
      <c r="BM585" s="123"/>
      <c r="BR585" s="115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25"/>
      <c r="CC585" s="13"/>
      <c r="CF585" s="114"/>
    </row>
    <row r="586" spans="1:84" ht="20.100000000000001" customHeight="1" x14ac:dyDescent="0.4">
      <c r="A586" s="117"/>
      <c r="B586" s="123"/>
      <c r="C586" s="123"/>
      <c r="D586" s="123"/>
      <c r="AC586" s="127"/>
      <c r="AD586" s="29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27"/>
      <c r="AT586" s="29"/>
      <c r="BD586" s="25"/>
      <c r="BE586" s="13"/>
      <c r="BJ586" s="116"/>
      <c r="BK586" s="123"/>
      <c r="BL586" s="123"/>
      <c r="BM586" s="123"/>
      <c r="BR586" s="115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25"/>
      <c r="CC586" s="13"/>
      <c r="CF586" s="114"/>
    </row>
    <row r="587" spans="1:84" ht="20.100000000000001" customHeight="1" x14ac:dyDescent="0.4">
      <c r="A587" s="117"/>
      <c r="B587" s="123"/>
      <c r="C587" s="123"/>
      <c r="D587" s="123"/>
      <c r="AC587" s="127"/>
      <c r="AD587" s="29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27"/>
      <c r="AT587" s="29"/>
      <c r="BD587" s="25"/>
      <c r="BE587" s="13"/>
      <c r="BJ587" s="116"/>
      <c r="BK587" s="123"/>
      <c r="BL587" s="123"/>
      <c r="BM587" s="123"/>
      <c r="BR587" s="115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25"/>
      <c r="CC587" s="13"/>
      <c r="CF587" s="114"/>
    </row>
    <row r="588" spans="1:84" ht="20.100000000000001" customHeight="1" x14ac:dyDescent="0.4">
      <c r="A588" s="117"/>
      <c r="B588" s="123"/>
      <c r="C588" s="123"/>
      <c r="D588" s="123"/>
      <c r="AC588" s="127"/>
      <c r="AD588" s="29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29"/>
      <c r="AT588" s="29"/>
      <c r="BD588" s="25"/>
      <c r="BE588" s="13"/>
      <c r="BJ588" s="116"/>
      <c r="BK588" s="123"/>
      <c r="BL588" s="123"/>
      <c r="BM588" s="123"/>
      <c r="BR588" s="115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25"/>
      <c r="CC588" s="13"/>
      <c r="CF588" s="114"/>
    </row>
    <row r="589" spans="1:84" ht="20.100000000000001" customHeight="1" x14ac:dyDescent="0.4">
      <c r="A589" s="117"/>
      <c r="B589" s="123"/>
      <c r="C589" s="123"/>
      <c r="D589" s="123"/>
      <c r="AC589" s="127"/>
      <c r="AD589" s="29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27"/>
      <c r="AT589" s="29"/>
      <c r="BD589" s="25"/>
      <c r="BE589" s="13"/>
      <c r="BJ589" s="116"/>
      <c r="BK589" s="123"/>
      <c r="BL589" s="123"/>
      <c r="BM589" s="123"/>
      <c r="BR589" s="115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25"/>
      <c r="CC589" s="13"/>
      <c r="CF589" s="114"/>
    </row>
    <row r="590" spans="1:84" ht="20.100000000000001" customHeight="1" x14ac:dyDescent="0.4">
      <c r="A590" s="117"/>
      <c r="B590" s="123"/>
      <c r="C590" s="123"/>
      <c r="D590" s="123"/>
      <c r="AC590" s="127"/>
      <c r="AD590" s="29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27"/>
      <c r="AT590" s="29"/>
      <c r="BD590" s="25"/>
      <c r="BE590" s="13"/>
      <c r="BJ590" s="116"/>
      <c r="BK590" s="123"/>
      <c r="BL590" s="123"/>
      <c r="BM590" s="123"/>
      <c r="BR590" s="115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25"/>
      <c r="CC590" s="13"/>
      <c r="CF590" s="114"/>
    </row>
    <row r="591" spans="1:84" ht="20.100000000000001" customHeight="1" x14ac:dyDescent="0.4">
      <c r="A591" s="117"/>
      <c r="B591" s="123"/>
      <c r="C591" s="123"/>
      <c r="D591" s="123"/>
      <c r="AC591" s="127"/>
      <c r="AD591" s="29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27"/>
      <c r="AT591" s="29"/>
      <c r="BD591" s="25"/>
      <c r="BE591" s="13"/>
      <c r="BJ591" s="116"/>
      <c r="BK591" s="123"/>
      <c r="BL591" s="123"/>
      <c r="BM591" s="123"/>
      <c r="BR591" s="115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25"/>
      <c r="CC591" s="13"/>
      <c r="CF591" s="114"/>
    </row>
    <row r="592" spans="1:84" ht="20.100000000000001" customHeight="1" x14ac:dyDescent="0.4">
      <c r="A592" s="117"/>
      <c r="B592" s="123"/>
      <c r="C592" s="123"/>
      <c r="D592" s="123"/>
      <c r="AC592" s="127"/>
      <c r="AD592" s="134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29"/>
      <c r="AT592" s="29"/>
      <c r="BD592" s="25"/>
      <c r="BE592" s="13"/>
      <c r="BJ592" s="116"/>
      <c r="BK592" s="123"/>
      <c r="BL592" s="123"/>
      <c r="BM592" s="123"/>
      <c r="BR592" s="115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25"/>
      <c r="CC592" s="13"/>
      <c r="CF592" s="114"/>
    </row>
    <row r="593" spans="1:84" ht="20.100000000000001" customHeight="1" x14ac:dyDescent="0.4">
      <c r="A593" s="117"/>
      <c r="B593" s="123"/>
      <c r="C593" s="123"/>
      <c r="D593" s="123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27"/>
      <c r="AD593" s="29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29"/>
      <c r="AT593" s="29"/>
      <c r="BD593" s="25"/>
      <c r="BE593" s="13"/>
      <c r="BJ593" s="116"/>
      <c r="BK593" s="123"/>
      <c r="BL593" s="123"/>
      <c r="BM593" s="123"/>
      <c r="BR593" s="115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25"/>
      <c r="CC593" s="13"/>
      <c r="CF593" s="114"/>
    </row>
    <row r="594" spans="1:84" ht="20.100000000000001" customHeight="1" x14ac:dyDescent="0.4">
      <c r="A594" s="117"/>
      <c r="B594" s="123"/>
      <c r="C594" s="123"/>
      <c r="D594" s="123"/>
      <c r="AC594" s="127"/>
      <c r="AD594" s="29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27"/>
      <c r="AT594" s="29"/>
      <c r="BD594" s="25"/>
      <c r="BE594" s="13"/>
      <c r="BJ594" s="116"/>
      <c r="BK594" s="123"/>
      <c r="BL594" s="123"/>
      <c r="BM594" s="123"/>
      <c r="BR594" s="115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25"/>
      <c r="CC594" s="13"/>
      <c r="CF594" s="114"/>
    </row>
    <row r="595" spans="1:84" ht="20.100000000000001" customHeight="1" x14ac:dyDescent="0.4">
      <c r="A595" s="117"/>
      <c r="B595" s="123"/>
      <c r="C595" s="123"/>
      <c r="D595" s="123"/>
      <c r="AC595" s="127"/>
      <c r="AD595" s="29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29"/>
      <c r="AT595" s="29"/>
      <c r="BD595" s="25"/>
      <c r="BE595" s="13"/>
      <c r="BJ595" s="116"/>
      <c r="BK595" s="123"/>
      <c r="BL595" s="123"/>
      <c r="BM595" s="123"/>
      <c r="BR595" s="115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25"/>
      <c r="CC595" s="13"/>
      <c r="CF595" s="114"/>
    </row>
    <row r="596" spans="1:84" ht="20.100000000000001" customHeight="1" x14ac:dyDescent="0.4">
      <c r="A596" s="117"/>
      <c r="B596" s="123"/>
      <c r="C596" s="123"/>
      <c r="D596" s="123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27"/>
      <c r="AD596" s="29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29"/>
      <c r="AT596" s="29"/>
      <c r="BD596" s="25"/>
      <c r="BE596" s="13"/>
      <c r="BJ596" s="116"/>
      <c r="BK596" s="123"/>
      <c r="BL596" s="123"/>
      <c r="BM596" s="123"/>
      <c r="BR596" s="115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25"/>
      <c r="CC596" s="13"/>
      <c r="CF596" s="114"/>
    </row>
    <row r="597" spans="1:84" ht="20.100000000000001" customHeight="1" x14ac:dyDescent="0.4">
      <c r="A597" s="117"/>
      <c r="B597" s="123"/>
      <c r="C597" s="123"/>
      <c r="D597" s="123"/>
      <c r="AC597" s="127"/>
      <c r="AD597" s="29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27"/>
      <c r="AT597" s="29"/>
      <c r="BD597" s="25"/>
      <c r="BE597" s="13"/>
      <c r="BJ597" s="116"/>
      <c r="BK597" s="123"/>
      <c r="BL597" s="123"/>
      <c r="BM597" s="123"/>
      <c r="BR597" s="115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25"/>
      <c r="CC597" s="13"/>
      <c r="CF597" s="114"/>
    </row>
    <row r="598" spans="1:84" ht="20.100000000000001" customHeight="1" x14ac:dyDescent="0.4">
      <c r="A598" s="117"/>
      <c r="B598" s="123"/>
      <c r="C598" s="123"/>
      <c r="D598" s="123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29"/>
      <c r="AD598" s="29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27"/>
      <c r="AT598" s="29"/>
      <c r="BD598" s="25"/>
      <c r="BE598" s="13"/>
      <c r="BJ598" s="116"/>
      <c r="BK598" s="123"/>
      <c r="BL598" s="123"/>
      <c r="BM598" s="123"/>
      <c r="BR598" s="115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25"/>
      <c r="CC598" s="13"/>
      <c r="CF598" s="114"/>
    </row>
    <row r="599" spans="1:84" ht="20.100000000000001" customHeight="1" x14ac:dyDescent="0.4">
      <c r="A599" s="117"/>
      <c r="B599" s="123"/>
      <c r="C599" s="123"/>
      <c r="D599" s="123"/>
      <c r="AC599" s="127"/>
      <c r="AD599" s="29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29"/>
      <c r="AT599" s="29"/>
      <c r="BD599" s="25"/>
      <c r="BE599" s="13"/>
      <c r="BJ599" s="116"/>
      <c r="BK599" s="123"/>
      <c r="BL599" s="123"/>
      <c r="BM599" s="123"/>
      <c r="BR599" s="115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25"/>
      <c r="CC599" s="13"/>
      <c r="CF599" s="114"/>
    </row>
    <row r="600" spans="1:84" ht="20.100000000000001" customHeight="1" x14ac:dyDescent="0.4">
      <c r="A600" s="117"/>
      <c r="B600" s="123"/>
      <c r="C600" s="123"/>
      <c r="D600" s="123"/>
      <c r="AC600" s="127"/>
      <c r="AD600" s="29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27"/>
      <c r="AT600" s="29"/>
      <c r="BD600" s="25"/>
      <c r="BE600" s="13"/>
      <c r="BJ600" s="116"/>
      <c r="BK600" s="123"/>
      <c r="BL600" s="123"/>
      <c r="BM600" s="123"/>
      <c r="BR600" s="115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25"/>
      <c r="CC600" s="13"/>
      <c r="CF600" s="114"/>
    </row>
    <row r="601" spans="1:84" ht="20.100000000000001" customHeight="1" x14ac:dyDescent="0.4">
      <c r="A601" s="117"/>
      <c r="B601" s="123"/>
      <c r="C601" s="123"/>
      <c r="D601" s="123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29"/>
      <c r="AD601" s="29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27"/>
      <c r="AT601" s="29"/>
      <c r="BD601" s="25"/>
      <c r="BE601" s="13"/>
      <c r="BJ601" s="116"/>
      <c r="BK601" s="123"/>
      <c r="BL601" s="123"/>
      <c r="BM601" s="123"/>
      <c r="BR601" s="115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25"/>
      <c r="CC601" s="13"/>
      <c r="CF601" s="114"/>
    </row>
    <row r="602" spans="1:84" ht="20.100000000000001" customHeight="1" x14ac:dyDescent="0.4">
      <c r="A602" s="117"/>
      <c r="B602" s="123"/>
      <c r="C602" s="123"/>
      <c r="D602" s="123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27"/>
      <c r="AD602" s="29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27"/>
      <c r="AT602" s="29"/>
      <c r="BD602" s="25"/>
      <c r="BE602" s="13"/>
      <c r="BJ602" s="116"/>
      <c r="BK602" s="123"/>
      <c r="BL602" s="123"/>
      <c r="BM602" s="123"/>
      <c r="BR602" s="115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25"/>
      <c r="CC602" s="13"/>
      <c r="CF602" s="114"/>
    </row>
    <row r="603" spans="1:84" ht="20.100000000000001" customHeight="1" x14ac:dyDescent="0.4">
      <c r="A603" s="117"/>
      <c r="B603" s="123"/>
      <c r="C603" s="123"/>
      <c r="D603" s="123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29"/>
      <c r="AD603" s="29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27"/>
      <c r="AT603" s="29"/>
      <c r="BD603" s="25"/>
      <c r="BE603" s="13"/>
      <c r="BJ603" s="116"/>
      <c r="BK603" s="123"/>
      <c r="BL603" s="123"/>
      <c r="BM603" s="123"/>
      <c r="BR603" s="115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25"/>
      <c r="CC603" s="13"/>
      <c r="CF603" s="114"/>
    </row>
    <row r="604" spans="1:84" ht="20.100000000000001" customHeight="1" x14ac:dyDescent="0.4">
      <c r="A604" s="117"/>
      <c r="B604" s="123"/>
      <c r="C604" s="123"/>
      <c r="D604" s="123"/>
      <c r="AC604" s="127"/>
      <c r="AD604" s="29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29"/>
      <c r="AT604" s="29"/>
      <c r="BD604" s="25"/>
      <c r="BE604" s="13"/>
      <c r="BJ604" s="116"/>
      <c r="BK604" s="123"/>
      <c r="BL604" s="123"/>
      <c r="BM604" s="123"/>
      <c r="BR604" s="115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25"/>
      <c r="CC604" s="13"/>
      <c r="CF604" s="114"/>
    </row>
    <row r="605" spans="1:84" ht="20.100000000000001" customHeight="1" x14ac:dyDescent="0.4">
      <c r="A605" s="117"/>
      <c r="B605" s="123"/>
      <c r="C605" s="123"/>
      <c r="D605" s="123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29"/>
      <c r="AD605" s="29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29"/>
      <c r="AT605" s="29"/>
      <c r="BD605" s="25"/>
      <c r="BE605" s="13"/>
      <c r="BJ605" s="116"/>
      <c r="BK605" s="123"/>
      <c r="BL605" s="123"/>
      <c r="BM605" s="123"/>
      <c r="BR605" s="115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25"/>
      <c r="CC605" s="13"/>
      <c r="CF605" s="114"/>
    </row>
    <row r="606" spans="1:84" ht="20.100000000000001" customHeight="1" x14ac:dyDescent="0.4">
      <c r="A606" s="117"/>
      <c r="B606" s="123"/>
      <c r="C606" s="123"/>
      <c r="D606" s="123"/>
      <c r="AC606" s="127"/>
      <c r="AD606" s="29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29"/>
      <c r="AT606" s="29"/>
      <c r="BD606" s="25"/>
      <c r="BE606" s="13"/>
      <c r="BJ606" s="116"/>
      <c r="BK606" s="123"/>
      <c r="BL606" s="123"/>
      <c r="BM606" s="123"/>
      <c r="BR606" s="115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25"/>
      <c r="CC606" s="13"/>
      <c r="CF606" s="114"/>
    </row>
    <row r="607" spans="1:84" ht="20.100000000000001" customHeight="1" x14ac:dyDescent="0.4">
      <c r="A607" s="117"/>
      <c r="B607" s="123"/>
      <c r="C607" s="123"/>
      <c r="D607" s="123"/>
      <c r="AC607" s="127"/>
      <c r="AD607" s="29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27"/>
      <c r="AT607" s="29"/>
      <c r="BD607" s="25"/>
      <c r="BE607" s="13"/>
      <c r="BJ607" s="116"/>
      <c r="BK607" s="123"/>
      <c r="BL607" s="123"/>
      <c r="BM607" s="123"/>
      <c r="BR607" s="115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25"/>
      <c r="CC607" s="13"/>
      <c r="CF607" s="114"/>
    </row>
    <row r="608" spans="1:84" ht="20.100000000000001" customHeight="1" x14ac:dyDescent="0.4">
      <c r="A608" s="117"/>
      <c r="B608" s="123"/>
      <c r="C608" s="123"/>
      <c r="D608" s="123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29"/>
      <c r="AD608" s="29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27"/>
      <c r="AT608" s="29"/>
      <c r="BD608" s="25"/>
      <c r="BE608" s="13"/>
      <c r="BJ608" s="116"/>
      <c r="BK608" s="123"/>
      <c r="BL608" s="123"/>
      <c r="BM608" s="123"/>
      <c r="BR608" s="115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25"/>
      <c r="CC608" s="13"/>
      <c r="CF608" s="114"/>
    </row>
    <row r="609" spans="1:84" ht="20.100000000000001" customHeight="1" x14ac:dyDescent="0.4">
      <c r="A609" s="117"/>
      <c r="B609" s="123"/>
      <c r="C609" s="123"/>
      <c r="D609" s="123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29"/>
      <c r="AD609" s="29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27"/>
      <c r="AT609" s="29"/>
      <c r="BD609" s="25"/>
      <c r="BE609" s="13"/>
      <c r="BJ609" s="116"/>
      <c r="BK609" s="123"/>
      <c r="BL609" s="123"/>
      <c r="BM609" s="123"/>
      <c r="BR609" s="115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25"/>
      <c r="CC609" s="13"/>
      <c r="CF609" s="114"/>
    </row>
    <row r="610" spans="1:84" ht="20.100000000000001" customHeight="1" x14ac:dyDescent="0.4">
      <c r="A610" s="117"/>
      <c r="B610" s="123"/>
      <c r="C610" s="123"/>
      <c r="D610" s="123"/>
      <c r="AC610" s="127"/>
      <c r="AD610" s="29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27"/>
      <c r="AT610" s="29"/>
      <c r="BD610" s="25"/>
      <c r="BE610" s="13"/>
      <c r="BJ610" s="116"/>
      <c r="BK610" s="123"/>
      <c r="BL610" s="123"/>
      <c r="BM610" s="123"/>
      <c r="BR610" s="115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25"/>
      <c r="CC610" s="13"/>
      <c r="CF610" s="114"/>
    </row>
    <row r="611" spans="1:84" ht="20.100000000000001" customHeight="1" x14ac:dyDescent="0.4">
      <c r="A611" s="117"/>
      <c r="B611" s="123"/>
      <c r="C611" s="123"/>
      <c r="D611" s="123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29"/>
      <c r="AD611" s="29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27"/>
      <c r="AT611" s="29"/>
      <c r="BD611" s="25"/>
      <c r="BE611" s="13"/>
      <c r="BJ611" s="116"/>
      <c r="BK611" s="123"/>
      <c r="BL611" s="123"/>
      <c r="BM611" s="123"/>
      <c r="BR611" s="115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25"/>
      <c r="CC611" s="13"/>
      <c r="CF611" s="114"/>
    </row>
    <row r="612" spans="1:84" ht="20.100000000000001" customHeight="1" x14ac:dyDescent="0.4">
      <c r="A612" s="117"/>
      <c r="B612" s="123"/>
      <c r="C612" s="123"/>
      <c r="D612" s="123"/>
      <c r="AC612" s="127"/>
      <c r="AD612" s="29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27"/>
      <c r="AT612" s="29"/>
      <c r="BD612" s="25"/>
      <c r="BE612" s="13"/>
      <c r="BJ612" s="116"/>
      <c r="BK612" s="123"/>
      <c r="BL612" s="123"/>
      <c r="BM612" s="123"/>
      <c r="BR612" s="115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25"/>
      <c r="CC612" s="13"/>
      <c r="CF612" s="114"/>
    </row>
    <row r="613" spans="1:84" ht="20.100000000000001" customHeight="1" x14ac:dyDescent="0.4">
      <c r="A613" s="117"/>
      <c r="B613" s="123"/>
      <c r="C613" s="123"/>
      <c r="D613" s="123"/>
      <c r="AC613" s="127"/>
      <c r="AD613" s="29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27"/>
      <c r="AT613" s="29"/>
      <c r="BD613" s="25"/>
      <c r="BE613" s="13"/>
      <c r="BJ613" s="116"/>
      <c r="BK613" s="123"/>
      <c r="BL613" s="123"/>
      <c r="BM613" s="123"/>
      <c r="BR613" s="115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25"/>
      <c r="CC613" s="13"/>
      <c r="CF613" s="114"/>
    </row>
    <row r="614" spans="1:84" ht="20.100000000000001" customHeight="1" x14ac:dyDescent="0.4">
      <c r="A614" s="117"/>
      <c r="B614" s="123"/>
      <c r="C614" s="123"/>
      <c r="D614" s="123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7"/>
      <c r="AD614" s="29"/>
      <c r="AS614" s="127"/>
      <c r="AT614" s="29"/>
      <c r="BD614" s="25"/>
      <c r="BE614" s="13"/>
      <c r="BJ614" s="116"/>
      <c r="BK614" s="123"/>
      <c r="BL614" s="123"/>
      <c r="BM614" s="123"/>
      <c r="BR614" s="115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25"/>
      <c r="CC614" s="13"/>
      <c r="CF614" s="114"/>
    </row>
    <row r="615" spans="1:84" ht="20.100000000000001" customHeight="1" x14ac:dyDescent="0.4">
      <c r="A615" s="117"/>
      <c r="B615" s="123"/>
      <c r="C615" s="123"/>
      <c r="D615" s="123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7"/>
      <c r="AD615" s="29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27"/>
      <c r="AT615" s="29"/>
      <c r="BD615" s="25"/>
      <c r="BE615" s="13"/>
      <c r="BJ615" s="116"/>
      <c r="BK615" s="123"/>
      <c r="BL615" s="123"/>
      <c r="BM615" s="123"/>
      <c r="BR615" s="115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25"/>
      <c r="CC615" s="13"/>
      <c r="CF615" s="114"/>
    </row>
    <row r="616" spans="1:84" ht="20.100000000000001" customHeight="1" x14ac:dyDescent="0.4">
      <c r="A616" s="117"/>
      <c r="B616" s="123"/>
      <c r="C616" s="123"/>
      <c r="D616" s="123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7"/>
      <c r="AD616" s="29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29"/>
      <c r="AT616" s="29"/>
      <c r="BD616" s="25"/>
      <c r="BE616" s="13"/>
      <c r="BJ616" s="116"/>
      <c r="BK616" s="123"/>
      <c r="BL616" s="123"/>
      <c r="BM616" s="123"/>
      <c r="BR616" s="115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25"/>
      <c r="CC616" s="13"/>
      <c r="CF616" s="114"/>
    </row>
    <row r="617" spans="1:84" ht="20.100000000000001" customHeight="1" x14ac:dyDescent="0.4">
      <c r="A617" s="117"/>
      <c r="B617" s="123"/>
      <c r="C617" s="123"/>
      <c r="D617" s="123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7"/>
      <c r="AD617" s="29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27"/>
      <c r="AT617" s="29"/>
      <c r="BD617" s="25"/>
      <c r="BE617" s="13"/>
      <c r="BJ617" s="116"/>
      <c r="BK617" s="123"/>
      <c r="BL617" s="123"/>
      <c r="BM617" s="123"/>
      <c r="BR617" s="115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25"/>
      <c r="CC617" s="13"/>
      <c r="CF617" s="114"/>
    </row>
    <row r="618" spans="1:84" ht="20.100000000000001" customHeight="1" x14ac:dyDescent="0.4">
      <c r="A618" s="117"/>
      <c r="B618" s="123"/>
      <c r="C618" s="123"/>
      <c r="D618" s="123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7"/>
      <c r="AD618" s="29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27"/>
      <c r="AT618" s="29"/>
      <c r="BD618" s="25"/>
      <c r="BE618" s="13"/>
      <c r="BJ618" s="116"/>
      <c r="BK618" s="123"/>
      <c r="BL618" s="123"/>
      <c r="BM618" s="123"/>
      <c r="BR618" s="115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25"/>
      <c r="CC618" s="13"/>
      <c r="CF618" s="114"/>
    </row>
    <row r="619" spans="1:84" ht="20.100000000000001" customHeight="1" x14ac:dyDescent="0.4">
      <c r="A619" s="117"/>
      <c r="B619" s="123"/>
      <c r="C619" s="123"/>
      <c r="D619" s="123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7"/>
      <c r="AD619" s="29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27"/>
      <c r="AT619" s="29"/>
      <c r="BD619" s="25"/>
      <c r="BE619" s="13"/>
      <c r="BJ619" s="116"/>
      <c r="BK619" s="123"/>
      <c r="BL619" s="123"/>
      <c r="BM619" s="123"/>
      <c r="BR619" s="115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25"/>
      <c r="CC619" s="13"/>
      <c r="CF619" s="114"/>
    </row>
    <row r="620" spans="1:84" ht="20.100000000000001" customHeight="1" x14ac:dyDescent="0.4">
      <c r="A620" s="117"/>
      <c r="B620" s="123"/>
      <c r="C620" s="123"/>
      <c r="D620" s="123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29"/>
      <c r="AD620" s="29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27"/>
      <c r="AT620" s="29"/>
      <c r="BD620" s="25"/>
      <c r="BE620" s="13"/>
      <c r="BJ620" s="116"/>
      <c r="BK620" s="123"/>
      <c r="BL620" s="123"/>
      <c r="BM620" s="123"/>
      <c r="BR620" s="115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25"/>
      <c r="CC620" s="13"/>
      <c r="CF620" s="114"/>
    </row>
    <row r="621" spans="1:84" ht="20.100000000000001" customHeight="1" x14ac:dyDescent="0.4">
      <c r="A621" s="117"/>
      <c r="B621" s="123"/>
      <c r="C621" s="123"/>
      <c r="D621" s="123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7"/>
      <c r="AD621" s="29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27"/>
      <c r="AT621" s="29"/>
      <c r="BD621" s="25"/>
      <c r="BE621" s="13"/>
      <c r="BJ621" s="116"/>
      <c r="BK621" s="123"/>
      <c r="BL621" s="123"/>
      <c r="BM621" s="123"/>
      <c r="BR621" s="115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25"/>
      <c r="CC621" s="13"/>
      <c r="CF621" s="114"/>
    </row>
    <row r="622" spans="1:84" ht="20.100000000000001" customHeight="1" x14ac:dyDescent="0.4">
      <c r="A622" s="117"/>
      <c r="B622" s="123"/>
      <c r="C622" s="123"/>
      <c r="D622" s="123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7"/>
      <c r="AD622" s="29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27"/>
      <c r="AT622" s="29"/>
      <c r="BD622" s="25"/>
      <c r="BE622" s="13"/>
      <c r="BJ622" s="116"/>
      <c r="BK622" s="123"/>
      <c r="BL622" s="123"/>
      <c r="BM622" s="123"/>
      <c r="BR622" s="115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25"/>
      <c r="CC622" s="13"/>
      <c r="CF622" s="114"/>
    </row>
    <row r="623" spans="1:84" ht="20.100000000000001" customHeight="1" x14ac:dyDescent="0.4">
      <c r="A623" s="117"/>
      <c r="B623" s="123"/>
      <c r="C623" s="123"/>
      <c r="D623" s="123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29"/>
      <c r="AD623" s="29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27"/>
      <c r="AT623" s="29"/>
      <c r="BD623" s="25"/>
      <c r="BE623" s="13"/>
      <c r="BJ623" s="116"/>
      <c r="BK623" s="123"/>
      <c r="BL623" s="123"/>
      <c r="BM623" s="123"/>
      <c r="BR623" s="115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25"/>
      <c r="CC623" s="13"/>
      <c r="CF623" s="114"/>
    </row>
    <row r="624" spans="1:84" ht="20.100000000000001" customHeight="1" x14ac:dyDescent="0.4">
      <c r="A624" s="117"/>
      <c r="B624" s="123"/>
      <c r="C624" s="123"/>
      <c r="D624" s="123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7"/>
      <c r="AD624" s="29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27"/>
      <c r="AT624" s="134"/>
      <c r="BD624" s="25"/>
      <c r="BE624" s="13"/>
      <c r="BJ624" s="116"/>
      <c r="BK624" s="123"/>
      <c r="BL624" s="123"/>
      <c r="BM624" s="123"/>
      <c r="BR624" s="115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25"/>
      <c r="CC624" s="13"/>
      <c r="CF624" s="114"/>
    </row>
    <row r="625" spans="1:84" ht="20.100000000000001" customHeight="1" x14ac:dyDescent="0.4">
      <c r="A625" s="117"/>
      <c r="B625" s="123"/>
      <c r="C625" s="123"/>
      <c r="D625" s="123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7"/>
      <c r="AD625" s="29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27"/>
      <c r="AT625" s="29"/>
      <c r="BD625" s="25"/>
      <c r="BE625" s="13"/>
      <c r="BJ625" s="116"/>
      <c r="BK625" s="123"/>
      <c r="BL625" s="123"/>
      <c r="BM625" s="123"/>
      <c r="BR625" s="115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25"/>
      <c r="CC625" s="13"/>
      <c r="CF625" s="114"/>
    </row>
    <row r="626" spans="1:84" ht="20.100000000000001" customHeight="1" x14ac:dyDescent="0.4">
      <c r="A626" s="117"/>
      <c r="B626" s="123"/>
      <c r="C626" s="123"/>
      <c r="D626" s="123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7"/>
      <c r="AD626" s="29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27"/>
      <c r="AT626" s="29"/>
      <c r="BD626" s="25"/>
      <c r="BE626" s="13"/>
      <c r="BJ626" s="116"/>
      <c r="BK626" s="123"/>
      <c r="BL626" s="123"/>
      <c r="BM626" s="123"/>
      <c r="BR626" s="115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25"/>
      <c r="CC626" s="13"/>
      <c r="CF626" s="114"/>
    </row>
    <row r="627" spans="1:84" ht="20.100000000000001" customHeight="1" x14ac:dyDescent="0.4">
      <c r="A627" s="117"/>
      <c r="B627" s="123"/>
      <c r="C627" s="123"/>
      <c r="D627" s="123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7"/>
      <c r="AD627" s="29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27"/>
      <c r="AT627" s="29"/>
      <c r="BD627" s="25"/>
      <c r="BE627" s="13"/>
      <c r="BJ627" s="116"/>
      <c r="BK627" s="123"/>
      <c r="BL627" s="123"/>
      <c r="BM627" s="123"/>
      <c r="BR627" s="115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25"/>
      <c r="CC627" s="13"/>
      <c r="CF627" s="114"/>
    </row>
    <row r="628" spans="1:84" ht="20.100000000000001" customHeight="1" x14ac:dyDescent="0.4">
      <c r="A628" s="117"/>
      <c r="B628" s="123"/>
      <c r="C628" s="123"/>
      <c r="D628" s="123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7"/>
      <c r="AD628" s="29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27"/>
      <c r="AT628" s="29"/>
      <c r="BD628" s="25"/>
      <c r="BE628" s="13"/>
      <c r="BJ628" s="116"/>
      <c r="BK628" s="123"/>
      <c r="BL628" s="123"/>
      <c r="BM628" s="123"/>
      <c r="BR628" s="115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25"/>
      <c r="CC628" s="13"/>
      <c r="CF628" s="114"/>
    </row>
    <row r="629" spans="1:84" ht="20.100000000000001" customHeight="1" x14ac:dyDescent="0.4">
      <c r="A629" s="117"/>
      <c r="B629" s="123"/>
      <c r="C629" s="123"/>
      <c r="D629" s="123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7"/>
      <c r="AD629" s="29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27"/>
      <c r="AT629" s="29"/>
      <c r="BD629" s="25"/>
      <c r="BE629" s="13"/>
      <c r="BJ629" s="116"/>
      <c r="BK629" s="123"/>
      <c r="BL629" s="123"/>
      <c r="BM629" s="123"/>
      <c r="BR629" s="115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25"/>
      <c r="CC629" s="13"/>
      <c r="CF629" s="114"/>
    </row>
    <row r="630" spans="1:84" ht="20.100000000000001" customHeight="1" x14ac:dyDescent="0.4">
      <c r="A630" s="117"/>
      <c r="B630" s="123"/>
      <c r="C630" s="123"/>
      <c r="D630" s="123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7"/>
      <c r="AD630" s="29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27"/>
      <c r="AT630" s="29"/>
      <c r="BD630" s="25"/>
      <c r="BE630" s="13"/>
      <c r="BJ630" s="116"/>
      <c r="BK630" s="123"/>
      <c r="BL630" s="123"/>
      <c r="BM630" s="123"/>
      <c r="BR630" s="115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25"/>
      <c r="CC630" s="13"/>
      <c r="CF630" s="114"/>
    </row>
    <row r="631" spans="1:84" ht="20.100000000000001" customHeight="1" x14ac:dyDescent="0.4">
      <c r="A631" s="117"/>
      <c r="B631" s="123"/>
      <c r="C631" s="123"/>
      <c r="D631" s="123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29"/>
      <c r="AD631" s="29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27"/>
      <c r="AT631" s="29"/>
      <c r="BD631" s="25"/>
      <c r="BE631" s="13"/>
      <c r="BJ631" s="116"/>
      <c r="BK631" s="123"/>
      <c r="BL631" s="123"/>
      <c r="BM631" s="123"/>
      <c r="BR631" s="115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25"/>
      <c r="CC631" s="13"/>
      <c r="CF631" s="114"/>
    </row>
    <row r="632" spans="1:84" ht="20.100000000000001" customHeight="1" x14ac:dyDescent="0.4">
      <c r="A632" s="117"/>
      <c r="B632" s="123"/>
      <c r="C632" s="123"/>
      <c r="D632" s="123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7"/>
      <c r="AD632" s="29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27"/>
      <c r="AT632" s="29"/>
      <c r="BD632" s="25"/>
      <c r="BE632" s="13"/>
      <c r="BJ632" s="116"/>
      <c r="BK632" s="123"/>
      <c r="BL632" s="123"/>
      <c r="BM632" s="123"/>
      <c r="BR632" s="115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25"/>
      <c r="CC632" s="13"/>
      <c r="CF632" s="114"/>
    </row>
    <row r="633" spans="1:84" ht="20.100000000000001" customHeight="1" x14ac:dyDescent="0.4">
      <c r="A633" s="117"/>
      <c r="B633" s="123"/>
      <c r="C633" s="123"/>
      <c r="D633" s="123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7"/>
      <c r="AD633" s="29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27"/>
      <c r="AT633" s="29"/>
      <c r="BD633" s="25"/>
      <c r="BE633" s="13"/>
      <c r="BJ633" s="116"/>
      <c r="BK633" s="123"/>
      <c r="BL633" s="123"/>
      <c r="BM633" s="123"/>
      <c r="BR633" s="115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25"/>
      <c r="CC633" s="13"/>
      <c r="CF633" s="114"/>
    </row>
    <row r="634" spans="1:84" ht="20.100000000000001" customHeight="1" x14ac:dyDescent="0.4">
      <c r="A634" s="117"/>
      <c r="B634" s="123"/>
      <c r="C634" s="123"/>
      <c r="D634" s="123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29"/>
      <c r="AD634" s="29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27"/>
      <c r="AT634" s="29"/>
      <c r="BD634" s="25"/>
      <c r="BE634" s="13"/>
      <c r="BJ634" s="116"/>
      <c r="BK634" s="123"/>
      <c r="BL634" s="123"/>
      <c r="BM634" s="123"/>
      <c r="BR634" s="115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25"/>
      <c r="CC634" s="13"/>
      <c r="CF634" s="114"/>
    </row>
    <row r="635" spans="1:84" ht="20.100000000000001" customHeight="1" x14ac:dyDescent="0.4">
      <c r="A635" s="117"/>
      <c r="B635" s="123"/>
      <c r="C635" s="123"/>
      <c r="D635" s="123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7"/>
      <c r="AD635" s="29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27"/>
      <c r="AT635" s="134"/>
      <c r="BD635" s="25"/>
      <c r="BE635" s="13"/>
      <c r="BJ635" s="116"/>
      <c r="BK635" s="123"/>
      <c r="BL635" s="123"/>
      <c r="BM635" s="123"/>
      <c r="BR635" s="115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25"/>
      <c r="CC635" s="13"/>
      <c r="CF635" s="114"/>
    </row>
    <row r="636" spans="1:84" ht="20.100000000000001" customHeight="1" x14ac:dyDescent="0.4">
      <c r="A636" s="117"/>
      <c r="B636" s="123"/>
      <c r="C636" s="123"/>
      <c r="D636" s="123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7"/>
      <c r="AD636" s="29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27"/>
      <c r="AT636" s="29"/>
      <c r="BD636" s="25"/>
      <c r="BE636" s="13"/>
      <c r="BJ636" s="116"/>
      <c r="BK636" s="123"/>
      <c r="BL636" s="123"/>
      <c r="BM636" s="123"/>
      <c r="BR636" s="115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25"/>
      <c r="CC636" s="13"/>
      <c r="CF636" s="114"/>
    </row>
    <row r="637" spans="1:84" ht="20.100000000000001" customHeight="1" x14ac:dyDescent="0.4">
      <c r="A637" s="117"/>
      <c r="B637" s="123"/>
      <c r="C637" s="123"/>
      <c r="D637" s="123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7"/>
      <c r="AD637" s="29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27"/>
      <c r="AT637" s="29"/>
      <c r="BD637" s="25"/>
      <c r="BE637" s="13"/>
      <c r="BJ637" s="116"/>
      <c r="BK637" s="123"/>
      <c r="BL637" s="123"/>
      <c r="BM637" s="123"/>
      <c r="BR637" s="115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25"/>
      <c r="CC637" s="13"/>
      <c r="CF637" s="114"/>
    </row>
    <row r="638" spans="1:84" ht="20.100000000000001" customHeight="1" x14ac:dyDescent="0.4">
      <c r="A638" s="117"/>
      <c r="B638" s="123"/>
      <c r="C638" s="123"/>
      <c r="D638" s="123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7"/>
      <c r="AD638" s="29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27"/>
      <c r="AT638" s="29"/>
      <c r="BD638" s="25"/>
      <c r="BE638" s="13"/>
      <c r="BJ638" s="116"/>
      <c r="BK638" s="123"/>
      <c r="BL638" s="123"/>
      <c r="BM638" s="123"/>
      <c r="BR638" s="115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25"/>
      <c r="CC638" s="13"/>
      <c r="CF638" s="114"/>
    </row>
    <row r="639" spans="1:84" ht="20.100000000000001" customHeight="1" x14ac:dyDescent="0.4">
      <c r="A639" s="117"/>
      <c r="B639" s="123"/>
      <c r="C639" s="123"/>
      <c r="D639" s="123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7"/>
      <c r="AD639" s="29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29"/>
      <c r="AT639" s="29"/>
      <c r="BD639" s="25"/>
      <c r="BE639" s="13"/>
      <c r="BJ639" s="116"/>
      <c r="BK639" s="123"/>
      <c r="BL639" s="123"/>
      <c r="BM639" s="123"/>
      <c r="BR639" s="115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25"/>
      <c r="CC639" s="13"/>
      <c r="CF639" s="114"/>
    </row>
    <row r="640" spans="1:84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7"/>
      <c r="AD640" s="29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27"/>
      <c r="AT640" s="29"/>
      <c r="BD640" s="25"/>
      <c r="BE640" s="13"/>
      <c r="BJ640" s="116"/>
      <c r="BK640" s="123"/>
      <c r="BL640" s="123"/>
      <c r="BM640" s="123"/>
      <c r="BR640" s="115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25"/>
      <c r="CC640" s="13"/>
      <c r="CF640" s="114"/>
    </row>
    <row r="641" spans="1:84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7"/>
      <c r="AD641" s="29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27"/>
      <c r="AT641" s="29"/>
      <c r="BD641" s="25"/>
      <c r="BE641" s="13"/>
      <c r="BJ641" s="116"/>
      <c r="BK641" s="123"/>
      <c r="BL641" s="123"/>
      <c r="BM641" s="123"/>
      <c r="BR641" s="115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25"/>
      <c r="CC641" s="13"/>
      <c r="CF641" s="114"/>
    </row>
    <row r="642" spans="1:84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7"/>
      <c r="AD642" s="29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27"/>
      <c r="AT642" s="29"/>
      <c r="BD642" s="25"/>
      <c r="BE642" s="13"/>
      <c r="BJ642" s="116"/>
      <c r="BK642" s="123"/>
      <c r="BL642" s="123"/>
      <c r="BM642" s="123"/>
      <c r="BR642" s="115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25"/>
      <c r="CC642" s="13"/>
      <c r="CF642" s="114"/>
    </row>
    <row r="643" spans="1:84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7"/>
      <c r="AD643" s="29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27"/>
      <c r="AT643" s="29"/>
      <c r="BD643" s="25"/>
      <c r="BE643" s="13"/>
      <c r="BJ643" s="116"/>
      <c r="BK643" s="123"/>
      <c r="BL643" s="123"/>
      <c r="BM643" s="123"/>
      <c r="BR643" s="115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25"/>
      <c r="CC643" s="13"/>
      <c r="CF643" s="114"/>
    </row>
    <row r="644" spans="1:84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7"/>
      <c r="AD644" s="29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29"/>
      <c r="AT644" s="29"/>
      <c r="BD644" s="25"/>
      <c r="BE644" s="13"/>
      <c r="BJ644" s="116"/>
      <c r="BK644" s="123"/>
      <c r="BL644" s="123"/>
      <c r="BM644" s="123"/>
      <c r="BR644" s="115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25"/>
      <c r="CC644" s="13"/>
      <c r="CF644" s="114"/>
    </row>
    <row r="645" spans="1:84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7"/>
      <c r="AD645" s="29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27"/>
      <c r="AT645" s="29"/>
      <c r="BD645" s="25"/>
      <c r="BE645" s="13"/>
      <c r="BJ645" s="116"/>
      <c r="BK645" s="123"/>
      <c r="BL645" s="123"/>
      <c r="BM645" s="123"/>
      <c r="BR645" s="115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25"/>
      <c r="CC645" s="13"/>
      <c r="CF645" s="114"/>
    </row>
    <row r="646" spans="1:84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7"/>
      <c r="AD646" s="29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27"/>
      <c r="AT646" s="29"/>
      <c r="BD646" s="25"/>
      <c r="BE646" s="13"/>
      <c r="BJ646" s="116"/>
      <c r="BK646" s="123"/>
      <c r="BL646" s="123"/>
      <c r="BM646" s="123"/>
      <c r="BR646" s="115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25"/>
      <c r="CC646" s="13"/>
      <c r="CF646" s="114"/>
    </row>
    <row r="647" spans="1:84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7"/>
      <c r="AD647" s="29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27"/>
      <c r="AT647" s="29"/>
      <c r="BD647" s="25"/>
      <c r="BE647" s="13"/>
      <c r="BJ647" s="116"/>
      <c r="BK647" s="123"/>
      <c r="BL647" s="123"/>
      <c r="BM647" s="123"/>
      <c r="BR647" s="115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25"/>
      <c r="CC647" s="13"/>
      <c r="CF647" s="114"/>
    </row>
    <row r="648" spans="1:84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7"/>
      <c r="AD648" s="29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27"/>
      <c r="AT648" s="29"/>
      <c r="BD648" s="25"/>
      <c r="BE648" s="13"/>
      <c r="BJ648" s="116"/>
      <c r="BK648" s="123"/>
      <c r="BL648" s="123"/>
      <c r="BM648" s="123"/>
      <c r="BR648" s="115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25"/>
      <c r="CC648" s="13"/>
      <c r="CF648" s="114"/>
    </row>
    <row r="649" spans="1:84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29"/>
      <c r="AD649" s="29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27"/>
      <c r="AT649" s="29"/>
      <c r="BD649" s="25"/>
      <c r="BE649" s="13"/>
      <c r="BJ649" s="116"/>
      <c r="BK649" s="123"/>
      <c r="BL649" s="123"/>
      <c r="BM649" s="123"/>
      <c r="BR649" s="115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25"/>
      <c r="CC649" s="13"/>
      <c r="CF649" s="114"/>
    </row>
    <row r="650" spans="1:84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7"/>
      <c r="AD650" s="29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27"/>
      <c r="AT650" s="29"/>
      <c r="BD650" s="25"/>
      <c r="BE650" s="13"/>
      <c r="BJ650" s="116"/>
      <c r="BK650" s="123"/>
      <c r="BL650" s="123"/>
      <c r="BM650" s="123"/>
      <c r="BR650" s="115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25"/>
      <c r="CC650" s="13"/>
      <c r="CF650" s="114"/>
    </row>
    <row r="651" spans="1:84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7"/>
      <c r="AD651" s="29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27"/>
      <c r="AT651" s="29"/>
      <c r="BD651" s="25"/>
      <c r="BE651" s="13"/>
      <c r="BJ651" s="116"/>
      <c r="BK651" s="123"/>
      <c r="BL651" s="123"/>
      <c r="BM651" s="123"/>
      <c r="BR651" s="115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25"/>
      <c r="CC651" s="13"/>
      <c r="CF651" s="114"/>
    </row>
    <row r="652" spans="1:84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7"/>
      <c r="AD652" s="29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29"/>
      <c r="AT652" s="29"/>
      <c r="BD652" s="25"/>
      <c r="BE652" s="13"/>
      <c r="BJ652" s="116"/>
      <c r="BK652" s="123"/>
      <c r="BL652" s="123"/>
      <c r="BM652" s="123"/>
      <c r="BR652" s="115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25"/>
      <c r="CC652" s="13"/>
      <c r="CF652" s="114"/>
    </row>
    <row r="653" spans="1:84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7"/>
      <c r="AD653" s="29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27"/>
      <c r="AT653" s="29"/>
      <c r="BD653" s="25"/>
      <c r="BE653" s="13"/>
      <c r="BJ653" s="116"/>
      <c r="BK653" s="123"/>
      <c r="BL653" s="123"/>
      <c r="BM653" s="123"/>
      <c r="BR653" s="115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25"/>
      <c r="CC653" s="13"/>
      <c r="CF653" s="114"/>
    </row>
    <row r="654" spans="1:84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7"/>
      <c r="AD654" s="29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27"/>
      <c r="AT654" s="29"/>
      <c r="BD654" s="25"/>
      <c r="BE654" s="13"/>
      <c r="BJ654" s="116"/>
      <c r="BK654" s="123"/>
      <c r="BL654" s="123"/>
      <c r="BM654" s="123"/>
      <c r="BR654" s="115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25"/>
      <c r="CC654" s="13"/>
      <c r="CF654" s="114"/>
    </row>
    <row r="655" spans="1:84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7"/>
      <c r="AD655" s="29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27"/>
      <c r="AT655" s="29"/>
      <c r="BD655" s="25"/>
      <c r="BE655" s="13"/>
      <c r="BJ655" s="116"/>
      <c r="BK655" s="123"/>
      <c r="BL655" s="123"/>
      <c r="BM655" s="123"/>
      <c r="BR655" s="115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25"/>
      <c r="CC655" s="13"/>
      <c r="CF655" s="114"/>
    </row>
    <row r="656" spans="1:84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29"/>
      <c r="AD656" s="29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27"/>
      <c r="AT656" s="29"/>
      <c r="BD656" s="25"/>
      <c r="BE656" s="13"/>
      <c r="BJ656" s="116"/>
      <c r="BK656" s="123"/>
      <c r="BL656" s="123"/>
      <c r="BM656" s="123"/>
      <c r="BR656" s="115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25"/>
      <c r="CC656" s="13"/>
      <c r="CF656" s="114"/>
    </row>
    <row r="657" spans="1:84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7"/>
      <c r="AD657" s="29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29"/>
      <c r="AT657" s="29"/>
      <c r="BD657" s="25"/>
      <c r="BE657" s="13"/>
      <c r="BJ657" s="116"/>
      <c r="BK657" s="123"/>
      <c r="BL657" s="123"/>
      <c r="BM657" s="123"/>
      <c r="BR657" s="115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25"/>
      <c r="CC657" s="13"/>
      <c r="CF657" s="114"/>
    </row>
    <row r="658" spans="1:84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29"/>
      <c r="AD658" s="29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29"/>
      <c r="AT658" s="29"/>
      <c r="BD658" s="25"/>
      <c r="BE658" s="13"/>
      <c r="BJ658" s="116"/>
      <c r="BK658" s="123"/>
      <c r="BL658" s="123"/>
      <c r="BM658" s="123"/>
      <c r="BR658" s="115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25"/>
      <c r="CC658" s="13"/>
      <c r="CF658" s="114"/>
    </row>
    <row r="659" spans="1:84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7"/>
      <c r="AD659" s="29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27"/>
      <c r="AT659" s="29"/>
      <c r="BD659" s="25"/>
      <c r="BE659" s="13"/>
      <c r="BJ659" s="116"/>
      <c r="BK659" s="123"/>
      <c r="BL659" s="123"/>
      <c r="BM659" s="123"/>
      <c r="BR659" s="115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25"/>
      <c r="CC659" s="13"/>
      <c r="CF659" s="114"/>
    </row>
    <row r="660" spans="1:84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29"/>
      <c r="AD660" s="29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27"/>
      <c r="AT660" s="29"/>
      <c r="BD660" s="25"/>
      <c r="BE660" s="13"/>
      <c r="BJ660" s="116"/>
      <c r="BK660" s="123"/>
      <c r="BL660" s="123"/>
      <c r="BM660" s="123"/>
      <c r="BR660" s="115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25"/>
      <c r="CC660" s="13"/>
      <c r="CF660" s="114"/>
    </row>
    <row r="661" spans="1:84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7"/>
      <c r="AD661" s="29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27"/>
      <c r="AT661" s="29"/>
      <c r="BD661" s="25"/>
      <c r="BE661" s="13"/>
      <c r="BJ661" s="116"/>
      <c r="BK661" s="123"/>
      <c r="BL661" s="123"/>
      <c r="BM661" s="123"/>
      <c r="BR661" s="115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25"/>
      <c r="CC661" s="13"/>
      <c r="CF661" s="114"/>
    </row>
    <row r="662" spans="1:84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29"/>
      <c r="AD662" s="29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27"/>
      <c r="AT662" s="29"/>
      <c r="BD662" s="25"/>
      <c r="BE662" s="13"/>
      <c r="BJ662" s="116"/>
      <c r="BK662" s="123"/>
      <c r="BL662" s="123"/>
      <c r="BM662" s="123"/>
      <c r="BR662" s="115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25"/>
      <c r="CC662" s="13"/>
      <c r="CF662" s="114"/>
    </row>
    <row r="663" spans="1:84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7"/>
      <c r="AD663" s="29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27"/>
      <c r="AT663" s="29"/>
      <c r="BD663" s="25"/>
      <c r="BE663" s="13"/>
      <c r="BJ663" s="116"/>
      <c r="BK663" s="123"/>
      <c r="BL663" s="123"/>
      <c r="BM663" s="123"/>
      <c r="BR663" s="115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25"/>
      <c r="CC663" s="13"/>
      <c r="CF663" s="114"/>
    </row>
    <row r="664" spans="1:84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7"/>
      <c r="AD664" s="134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29"/>
      <c r="AT664" s="29"/>
      <c r="BD664" s="25"/>
      <c r="BE664" s="13"/>
      <c r="BJ664" s="116"/>
      <c r="BK664" s="123"/>
      <c r="BL664" s="123"/>
      <c r="BM664" s="123"/>
      <c r="BR664" s="115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25"/>
      <c r="CC664" s="13"/>
      <c r="CF664" s="114"/>
    </row>
    <row r="665" spans="1:84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29"/>
      <c r="AD665" s="29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29"/>
      <c r="AT665" s="29"/>
      <c r="BD665" s="25"/>
      <c r="BE665" s="13"/>
      <c r="BJ665" s="116"/>
      <c r="BK665" s="123"/>
      <c r="BL665" s="123"/>
      <c r="BM665" s="123"/>
      <c r="BR665" s="115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25"/>
      <c r="CC665" s="13"/>
      <c r="CF665" s="114"/>
    </row>
    <row r="666" spans="1:84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7"/>
      <c r="AD666" s="29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27"/>
      <c r="AT666" s="29"/>
      <c r="BD666" s="25"/>
      <c r="BE666" s="13"/>
      <c r="BJ666" s="116"/>
      <c r="BK666" s="123"/>
      <c r="BL666" s="123"/>
      <c r="BM666" s="123"/>
      <c r="BR666" s="115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25"/>
      <c r="CC666" s="13"/>
      <c r="CF666" s="114"/>
    </row>
    <row r="667" spans="1:84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29"/>
      <c r="AD667" s="29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27"/>
      <c r="AT667" s="29"/>
      <c r="BD667" s="25"/>
      <c r="BE667" s="13"/>
      <c r="BJ667" s="116"/>
      <c r="BK667" s="123"/>
      <c r="BL667" s="123"/>
      <c r="BM667" s="123"/>
      <c r="BR667" s="115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25"/>
      <c r="CC667" s="13"/>
      <c r="CF667" s="114"/>
    </row>
    <row r="668" spans="1:84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29"/>
      <c r="AD668" s="29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27"/>
      <c r="AT668" s="29"/>
      <c r="BD668" s="25"/>
      <c r="BE668" s="13"/>
      <c r="BJ668" s="116"/>
      <c r="BK668" s="123"/>
      <c r="BL668" s="123"/>
      <c r="BM668" s="123"/>
      <c r="BR668" s="115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25"/>
      <c r="CC668" s="13"/>
      <c r="CF668" s="114"/>
    </row>
    <row r="669" spans="1:84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27"/>
      <c r="AT669" s="29"/>
      <c r="BD669" s="25"/>
      <c r="BE669" s="13"/>
      <c r="BJ669" s="116"/>
      <c r="BK669" s="123"/>
      <c r="BL669" s="123"/>
      <c r="BM669" s="123"/>
      <c r="BR669" s="115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25"/>
      <c r="CC669" s="13"/>
      <c r="CF669" s="114"/>
    </row>
    <row r="670" spans="1:84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27"/>
      <c r="AT670" s="29"/>
      <c r="BD670" s="25"/>
      <c r="BE670" s="13"/>
      <c r="BJ670" s="116"/>
      <c r="BK670" s="123"/>
      <c r="BL670" s="123"/>
      <c r="BM670" s="123"/>
      <c r="BR670" s="115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25"/>
      <c r="CC670" s="13"/>
      <c r="CF670" s="114"/>
    </row>
    <row r="671" spans="1:84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27"/>
      <c r="AT671" s="29"/>
      <c r="BD671" s="25"/>
      <c r="BE671" s="13"/>
      <c r="BJ671" s="116"/>
      <c r="BK671" s="123"/>
      <c r="BL671" s="123"/>
      <c r="BM671" s="123"/>
      <c r="BR671" s="115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25"/>
      <c r="CC671" s="13"/>
      <c r="CF671" s="114"/>
    </row>
    <row r="672" spans="1:84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29"/>
      <c r="AT672" s="29"/>
      <c r="BD672" s="25"/>
      <c r="BE672" s="13"/>
      <c r="BJ672" s="116"/>
      <c r="BK672" s="123"/>
      <c r="BL672" s="123"/>
      <c r="BM672" s="123"/>
      <c r="BR672" s="115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25"/>
      <c r="CC672" s="13"/>
      <c r="CF672" s="114"/>
    </row>
    <row r="673" spans="1:84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S673" s="127"/>
      <c r="AT673" s="29"/>
      <c r="AZ673" s="115"/>
      <c r="BA673" s="115"/>
      <c r="BB673" s="115"/>
      <c r="BC673" s="115"/>
      <c r="BD673" s="25">
        <v>45669</v>
      </c>
      <c r="BE673" s="13" t="s">
        <v>147</v>
      </c>
      <c r="BJ673" s="116"/>
      <c r="BK673" s="123"/>
      <c r="BL673" s="123"/>
      <c r="BM673" s="123"/>
      <c r="BR673" s="115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25"/>
      <c r="CC673" s="13"/>
      <c r="CF673" s="114"/>
    </row>
    <row r="674" spans="1:84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Q674" s="115"/>
      <c r="AR674" s="115"/>
      <c r="AS674" s="29"/>
      <c r="AT674" s="29"/>
      <c r="AZ674" s="115"/>
      <c r="BA674" s="115"/>
      <c r="BB674" s="115"/>
      <c r="BC674" s="115"/>
      <c r="BD674" s="25"/>
      <c r="BE674" s="13"/>
      <c r="BJ674" s="116"/>
      <c r="BK674" s="123"/>
      <c r="BL674" s="123"/>
      <c r="BM674" s="123"/>
      <c r="BR674" s="115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25"/>
      <c r="CC674" s="13"/>
      <c r="CF674" s="114"/>
    </row>
    <row r="675" spans="1:84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27"/>
      <c r="AT675" s="29"/>
      <c r="AZ675" s="115"/>
      <c r="BA675" s="115"/>
      <c r="BB675" s="115"/>
      <c r="BC675" s="115"/>
      <c r="BD675" s="25"/>
      <c r="BE675" s="13"/>
      <c r="BJ675" s="116"/>
      <c r="BK675" s="123"/>
      <c r="BL675" s="123"/>
      <c r="BM675" s="123"/>
      <c r="BR675" s="115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25"/>
      <c r="CC675" s="13"/>
      <c r="CF675" s="114"/>
    </row>
    <row r="676" spans="1:84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S676" s="127"/>
      <c r="AT676" s="29"/>
      <c r="AZ676" s="115"/>
      <c r="BA676" s="115"/>
      <c r="BB676" s="115"/>
      <c r="BC676" s="115"/>
      <c r="BD676" s="25"/>
      <c r="BE676" s="13"/>
      <c r="BJ676" s="116"/>
      <c r="BK676" s="123"/>
      <c r="BL676" s="123"/>
      <c r="BM676" s="123"/>
      <c r="BR676" s="115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25"/>
      <c r="CC676" s="13"/>
      <c r="CF676" s="114"/>
    </row>
    <row r="677" spans="1:84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Q677" s="115"/>
      <c r="AR677" s="115"/>
      <c r="AS677" s="29"/>
      <c r="AT677" s="29"/>
      <c r="AZ677" s="115"/>
      <c r="BA677" s="115"/>
      <c r="BB677" s="115"/>
      <c r="BC677" s="115"/>
      <c r="BD677" s="25"/>
      <c r="BE677" s="13"/>
      <c r="BJ677" s="116"/>
      <c r="BK677" s="123"/>
      <c r="BL677" s="123"/>
      <c r="BM677" s="123"/>
      <c r="BR677" s="115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25"/>
      <c r="CC677" s="13"/>
      <c r="CF677" s="114"/>
    </row>
    <row r="678" spans="1:84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27"/>
      <c r="AT678" s="29"/>
      <c r="AZ678" s="115"/>
      <c r="BA678" s="115"/>
      <c r="BB678" s="115"/>
      <c r="BC678" s="115"/>
      <c r="BD678" s="25"/>
      <c r="BE678" s="13"/>
      <c r="BJ678" s="116"/>
      <c r="BK678" s="123"/>
      <c r="BL678" s="123"/>
      <c r="BM678" s="123"/>
      <c r="BR678" s="115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25"/>
      <c r="CC678" s="13"/>
      <c r="CF678" s="114"/>
    </row>
    <row r="679" spans="1:84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27"/>
      <c r="AT679" s="29"/>
      <c r="AZ679" s="115"/>
      <c r="BA679" s="115"/>
      <c r="BB679" s="115"/>
      <c r="BC679" s="115"/>
      <c r="BD679" s="25"/>
      <c r="BE679" s="13"/>
      <c r="BJ679" s="116"/>
      <c r="BK679" s="123"/>
      <c r="BL679" s="123"/>
      <c r="BM679" s="123"/>
      <c r="BR679" s="115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25"/>
      <c r="CC679" s="13"/>
      <c r="CF679" s="114"/>
    </row>
    <row r="680" spans="1:84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27"/>
      <c r="AT680" s="29"/>
      <c r="AZ680" s="115"/>
      <c r="BA680" s="115"/>
      <c r="BB680" s="115"/>
      <c r="BC680" s="115"/>
      <c r="BD680" s="25"/>
      <c r="BE680" s="13"/>
      <c r="BJ680" s="116"/>
      <c r="BK680" s="123"/>
      <c r="BL680" s="123"/>
      <c r="BM680" s="123"/>
      <c r="BR680" s="115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25"/>
      <c r="CC680" s="13"/>
      <c r="CF680" s="114"/>
    </row>
    <row r="681" spans="1:84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27"/>
      <c r="AT681" s="29"/>
      <c r="AZ681" s="115"/>
      <c r="BA681" s="115"/>
      <c r="BB681" s="115"/>
      <c r="BC681" s="115"/>
      <c r="BD681" s="25"/>
      <c r="BE681" s="13"/>
      <c r="BJ681" s="116"/>
      <c r="BK681" s="123"/>
      <c r="BL681" s="123"/>
      <c r="BM681" s="123"/>
      <c r="BR681" s="115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25"/>
      <c r="CC681" s="13"/>
      <c r="CF681" s="114"/>
    </row>
    <row r="682" spans="1:84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27"/>
      <c r="AT682" s="29"/>
      <c r="AZ682" s="115"/>
      <c r="BA682" s="115"/>
      <c r="BB682" s="115"/>
      <c r="BC682" s="115"/>
      <c r="BD682" s="25"/>
      <c r="BE682" s="13"/>
      <c r="BJ682" s="116"/>
      <c r="BK682" s="123"/>
      <c r="BL682" s="123"/>
      <c r="BM682" s="123"/>
      <c r="BR682" s="115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25"/>
      <c r="CC682" s="13"/>
      <c r="CF682" s="114"/>
    </row>
    <row r="683" spans="1:84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29"/>
      <c r="AT683" s="29"/>
      <c r="AZ683" s="115"/>
      <c r="BA683" s="115"/>
      <c r="BB683" s="115"/>
      <c r="BC683" s="115"/>
      <c r="BD683" s="25"/>
      <c r="BE683" s="13"/>
      <c r="BJ683" s="116"/>
      <c r="BK683" s="123"/>
      <c r="BL683" s="123"/>
      <c r="BM683" s="123"/>
      <c r="BR683" s="115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25"/>
      <c r="CC683" s="13"/>
      <c r="CF683" s="114"/>
    </row>
    <row r="684" spans="1:84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27"/>
      <c r="AT684" s="29"/>
      <c r="AZ684" s="115"/>
      <c r="BA684" s="115"/>
      <c r="BB684" s="115"/>
      <c r="BC684" s="115"/>
      <c r="BD684" s="25"/>
      <c r="BE684" s="13"/>
      <c r="BJ684" s="116"/>
      <c r="BK684" s="123"/>
      <c r="BL684" s="123"/>
      <c r="BM684" s="123"/>
      <c r="BR684" s="115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25"/>
      <c r="CC684" s="13"/>
      <c r="CF684" s="114"/>
    </row>
    <row r="685" spans="1:84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27"/>
      <c r="AT685" s="29"/>
      <c r="AZ685" s="115"/>
      <c r="BA685" s="115"/>
      <c r="BB685" s="115"/>
      <c r="BC685" s="115"/>
      <c r="BD685" s="25"/>
      <c r="BE685" s="13"/>
      <c r="BJ685" s="116"/>
      <c r="BK685" s="123"/>
      <c r="BL685" s="123"/>
      <c r="BM685" s="123"/>
      <c r="BR685" s="115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25"/>
      <c r="CC685" s="13"/>
      <c r="CF685" s="114"/>
    </row>
    <row r="686" spans="1:84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27"/>
      <c r="AT686" s="29"/>
      <c r="AZ686" s="115"/>
      <c r="BA686" s="115"/>
      <c r="BB686" s="115"/>
      <c r="BC686" s="115"/>
      <c r="BD686" s="25"/>
      <c r="BE686" s="13"/>
      <c r="BJ686" s="116"/>
      <c r="BK686" s="123"/>
      <c r="BL686" s="123"/>
      <c r="BM686" s="123"/>
      <c r="BR686" s="115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25"/>
      <c r="CC686" s="13"/>
      <c r="CF686" s="114"/>
    </row>
    <row r="687" spans="1:84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27"/>
      <c r="AT687" s="29"/>
      <c r="AZ687" s="115"/>
      <c r="BA687" s="115"/>
      <c r="BB687" s="115"/>
      <c r="BC687" s="115"/>
      <c r="BD687" s="25"/>
      <c r="BE687" s="13"/>
      <c r="BJ687" s="116"/>
      <c r="BK687" s="123"/>
      <c r="BL687" s="123"/>
      <c r="BM687" s="123"/>
      <c r="BR687" s="115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25"/>
      <c r="CC687" s="13"/>
      <c r="CF687" s="114"/>
    </row>
    <row r="688" spans="1:84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27"/>
      <c r="AT688" s="29"/>
      <c r="AZ688" s="115"/>
      <c r="BA688" s="115"/>
      <c r="BB688" s="115"/>
      <c r="BC688" s="115"/>
      <c r="BD688" s="25"/>
      <c r="BE688" s="13"/>
      <c r="BJ688" s="116"/>
      <c r="BK688" s="123"/>
      <c r="BL688" s="123"/>
      <c r="BM688" s="123"/>
      <c r="BR688" s="115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25"/>
      <c r="CC688" s="13"/>
      <c r="CF688" s="114"/>
    </row>
    <row r="689" spans="1:84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27"/>
      <c r="AT689" s="29"/>
      <c r="AZ689" s="115"/>
      <c r="BA689" s="115"/>
      <c r="BB689" s="115"/>
      <c r="BC689" s="115"/>
      <c r="BD689" s="25"/>
      <c r="BE689" s="13"/>
      <c r="BJ689" s="116"/>
      <c r="BK689" s="123"/>
      <c r="BL689" s="123"/>
      <c r="BM689" s="123"/>
      <c r="BR689" s="115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25"/>
      <c r="CC689" s="13"/>
      <c r="CF689" s="114"/>
    </row>
    <row r="690" spans="1:84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27"/>
      <c r="AT690" s="29"/>
      <c r="AZ690" s="115"/>
      <c r="BA690" s="115"/>
      <c r="BB690" s="115"/>
      <c r="BC690" s="115"/>
      <c r="BD690" s="25"/>
      <c r="BE690" s="13"/>
      <c r="BJ690" s="116"/>
      <c r="BK690" s="123"/>
      <c r="BL690" s="123"/>
      <c r="BM690" s="123"/>
      <c r="BR690" s="115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25"/>
      <c r="CC690" s="13"/>
      <c r="CF690" s="114"/>
    </row>
    <row r="691" spans="1:84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27"/>
      <c r="AT691" s="29"/>
      <c r="AZ691" s="115"/>
      <c r="BA691" s="115"/>
      <c r="BB691" s="115"/>
      <c r="BC691" s="115"/>
      <c r="BD691" s="25"/>
      <c r="BE691" s="13"/>
      <c r="BJ691" s="116"/>
      <c r="BK691" s="123"/>
      <c r="BL691" s="123"/>
      <c r="BM691" s="123"/>
      <c r="BR691" s="115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25"/>
      <c r="CC691" s="13"/>
      <c r="CF691" s="114"/>
    </row>
    <row r="692" spans="1:84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27"/>
      <c r="AT692" s="29"/>
      <c r="AZ692" s="115"/>
      <c r="BA692" s="115"/>
      <c r="BB692" s="115"/>
      <c r="BC692" s="115"/>
      <c r="BD692" s="25"/>
      <c r="BE692" s="13"/>
      <c r="BJ692" s="116"/>
      <c r="BK692" s="123"/>
      <c r="BL692" s="123"/>
      <c r="BM692" s="123"/>
      <c r="BR692" s="115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25"/>
      <c r="CC692" s="13"/>
      <c r="CF692" s="114"/>
    </row>
    <row r="693" spans="1:84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27"/>
      <c r="AT693" s="29"/>
      <c r="AZ693" s="115"/>
      <c r="BA693" s="115"/>
      <c r="BB693" s="115"/>
      <c r="BC693" s="115"/>
      <c r="BD693" s="25"/>
      <c r="BE693" s="13"/>
      <c r="BJ693" s="116"/>
      <c r="BK693" s="123"/>
      <c r="BL693" s="123"/>
      <c r="BM693" s="123"/>
      <c r="BR693" s="115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25"/>
      <c r="CC693" s="13"/>
      <c r="CF693" s="114"/>
    </row>
    <row r="694" spans="1:84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27"/>
      <c r="AT694" s="29"/>
      <c r="AZ694" s="115"/>
      <c r="BA694" s="115"/>
      <c r="BB694" s="115"/>
      <c r="BC694" s="115"/>
      <c r="BD694" s="25"/>
      <c r="BE694" s="13"/>
      <c r="BJ694" s="116"/>
      <c r="BK694" s="123"/>
      <c r="BL694" s="123"/>
      <c r="BM694" s="123"/>
      <c r="BR694" s="115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25"/>
      <c r="CC694" s="13"/>
      <c r="CF694" s="114"/>
    </row>
    <row r="695" spans="1:84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29"/>
      <c r="AT695" s="29"/>
      <c r="AZ695" s="115"/>
      <c r="BA695" s="115"/>
      <c r="BB695" s="115"/>
      <c r="BC695" s="115"/>
      <c r="BD695" s="25"/>
      <c r="BE695" s="13"/>
      <c r="BJ695" s="116"/>
      <c r="BK695" s="123"/>
      <c r="BL695" s="123"/>
      <c r="BM695" s="123"/>
      <c r="BR695" s="115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25"/>
      <c r="CC695" s="13"/>
      <c r="CF695" s="114"/>
    </row>
    <row r="696" spans="1:84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27"/>
      <c r="AT696" s="29"/>
      <c r="AZ696" s="115"/>
      <c r="BA696" s="115"/>
      <c r="BB696" s="115"/>
      <c r="BC696" s="115"/>
      <c r="BD696" s="25"/>
      <c r="BE696" s="13"/>
      <c r="BJ696" s="116"/>
      <c r="BK696" s="123"/>
      <c r="BL696" s="123"/>
      <c r="BM696" s="123"/>
      <c r="BR696" s="115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25"/>
      <c r="CC696" s="13"/>
      <c r="CF696" s="114"/>
    </row>
    <row r="697" spans="1:84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27"/>
      <c r="AT697" s="29"/>
      <c r="AZ697" s="115"/>
      <c r="BA697" s="115"/>
      <c r="BB697" s="115"/>
      <c r="BC697" s="115"/>
      <c r="BD697" s="25"/>
      <c r="BE697" s="13"/>
      <c r="BJ697" s="116"/>
      <c r="BK697" s="123"/>
      <c r="BL697" s="123"/>
      <c r="BM697" s="123"/>
      <c r="BR697" s="115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25"/>
      <c r="CC697" s="13"/>
      <c r="CF697" s="114"/>
    </row>
    <row r="698" spans="1:84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29"/>
      <c r="AT698" s="29"/>
      <c r="AZ698" s="115"/>
      <c r="BA698" s="115"/>
      <c r="BB698" s="115"/>
      <c r="BC698" s="115"/>
      <c r="BD698" s="25"/>
      <c r="BE698" s="13"/>
      <c r="BJ698" s="116"/>
      <c r="BK698" s="123"/>
      <c r="BL698" s="123"/>
      <c r="BM698" s="123"/>
      <c r="BR698" s="115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25"/>
      <c r="CC698" s="13"/>
      <c r="CF698" s="114"/>
    </row>
    <row r="699" spans="1:84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127"/>
      <c r="AT699" s="29"/>
      <c r="AZ699" s="115"/>
      <c r="BA699" s="115"/>
      <c r="BB699" s="115"/>
      <c r="BC699" s="115"/>
      <c r="BD699" s="25"/>
      <c r="BE699" s="13"/>
      <c r="BJ699" s="116"/>
      <c r="BK699" s="123"/>
      <c r="BL699" s="123"/>
      <c r="BM699" s="123"/>
      <c r="BR699" s="115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25"/>
      <c r="CC699" s="13"/>
      <c r="CF699" s="114"/>
    </row>
    <row r="700" spans="1:84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127"/>
      <c r="AT700" s="29"/>
      <c r="AZ700" s="115"/>
      <c r="BA700" s="115"/>
      <c r="BB700" s="115"/>
      <c r="BC700" s="115"/>
      <c r="BD700" s="25"/>
      <c r="BE700" s="13"/>
      <c r="BJ700" s="116"/>
      <c r="BK700" s="123"/>
      <c r="BL700" s="123"/>
      <c r="BM700" s="123"/>
      <c r="BR700" s="115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25"/>
      <c r="CC700" s="13"/>
      <c r="CF700" s="114"/>
    </row>
    <row r="701" spans="1:84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S701" s="127"/>
      <c r="AT701" s="29"/>
      <c r="AZ701" s="115"/>
      <c r="BA701" s="115"/>
      <c r="BB701" s="115"/>
      <c r="BC701" s="115"/>
      <c r="BD701" s="25">
        <v>45671</v>
      </c>
      <c r="BE701" s="13" t="s">
        <v>146</v>
      </c>
      <c r="BJ701" s="116"/>
      <c r="BK701" s="123"/>
      <c r="BL701" s="123"/>
      <c r="BM701" s="123"/>
      <c r="BR701" s="115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25"/>
      <c r="CC701" s="13"/>
      <c r="CF701" s="114"/>
    </row>
    <row r="702" spans="1:84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127"/>
      <c r="AT702" s="29"/>
      <c r="AZ702" s="115"/>
      <c r="BA702" s="115"/>
      <c r="BB702" s="115"/>
      <c r="BC702" s="115"/>
      <c r="BD702" s="25"/>
      <c r="BE702" s="13"/>
      <c r="BJ702" s="116"/>
      <c r="BK702" s="123"/>
      <c r="BL702" s="123"/>
      <c r="BM702" s="123"/>
      <c r="BR702" s="115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25"/>
      <c r="CC702" s="13"/>
      <c r="CF702" s="114"/>
    </row>
    <row r="703" spans="1:84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29"/>
      <c r="AT703" s="29"/>
      <c r="AZ703" s="115"/>
      <c r="BA703" s="115"/>
      <c r="BB703" s="115"/>
      <c r="BC703" s="115"/>
      <c r="BD703" s="25"/>
      <c r="BE703" s="13"/>
      <c r="BJ703" s="116"/>
      <c r="BK703" s="123"/>
      <c r="BL703" s="123"/>
      <c r="BM703" s="123"/>
      <c r="BR703" s="115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25"/>
      <c r="CC703" s="13"/>
      <c r="CF703" s="114"/>
    </row>
    <row r="704" spans="1:84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27"/>
      <c r="AT704" s="29"/>
      <c r="AZ704" s="115"/>
      <c r="BA704" s="115"/>
      <c r="BB704" s="115"/>
      <c r="BC704" s="115"/>
      <c r="BD704" s="25"/>
      <c r="BE704" s="13"/>
      <c r="BJ704" s="116"/>
      <c r="BK704" s="123"/>
      <c r="BL704" s="123"/>
      <c r="BM704" s="123"/>
      <c r="BR704" s="115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25"/>
      <c r="CC704" s="13"/>
      <c r="CF704" s="114"/>
    </row>
    <row r="705" spans="1:84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29"/>
      <c r="AT705" s="29"/>
      <c r="AZ705" s="115"/>
      <c r="BA705" s="115"/>
      <c r="BB705" s="115"/>
      <c r="BC705" s="115"/>
      <c r="BD705" s="25"/>
      <c r="BE705" s="13"/>
      <c r="BJ705" s="116"/>
      <c r="BK705" s="123"/>
      <c r="BL705" s="123"/>
      <c r="BM705" s="123"/>
      <c r="BR705" s="115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25"/>
      <c r="CC705" s="13"/>
      <c r="CF705" s="114"/>
    </row>
    <row r="706" spans="1:84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S706" s="127"/>
      <c r="AT706" s="29"/>
      <c r="AX706" s="115"/>
      <c r="AY706" s="115"/>
      <c r="AZ706" s="115"/>
      <c r="BA706" s="115"/>
      <c r="BB706" s="115"/>
      <c r="BC706" s="115"/>
      <c r="BD706" s="25">
        <v>45671</v>
      </c>
      <c r="BE706" s="13" t="s">
        <v>148</v>
      </c>
      <c r="BJ706" s="116"/>
      <c r="BK706" s="123"/>
      <c r="BL706" s="123"/>
      <c r="BM706" s="123"/>
      <c r="BR706" s="115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25"/>
      <c r="CC706" s="13"/>
      <c r="CF706" s="114"/>
    </row>
    <row r="707" spans="1:84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Q707" s="115"/>
      <c r="AR707" s="115"/>
      <c r="AS707" s="29"/>
      <c r="AT707" s="29"/>
      <c r="AX707" s="115"/>
      <c r="AY707" s="115"/>
      <c r="AZ707" s="115"/>
      <c r="BA707" s="115"/>
      <c r="BB707" s="115"/>
      <c r="BC707" s="115"/>
      <c r="BD707" s="25"/>
      <c r="BE707" s="13"/>
      <c r="BJ707" s="116"/>
      <c r="BK707" s="123"/>
      <c r="BL707" s="123"/>
      <c r="BM707" s="123"/>
      <c r="BR707" s="115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25"/>
      <c r="CC707" s="13"/>
      <c r="CF707" s="114"/>
    </row>
    <row r="708" spans="1:84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M708" s="115"/>
      <c r="AN708" s="115"/>
      <c r="AO708" s="115"/>
      <c r="AP708" s="115"/>
      <c r="AQ708" s="115"/>
      <c r="AR708" s="115"/>
      <c r="AS708" s="127"/>
      <c r="AT708" s="29"/>
      <c r="AX708" s="115"/>
      <c r="AY708" s="115"/>
      <c r="AZ708" s="115"/>
      <c r="BA708" s="115"/>
      <c r="BB708" s="115"/>
      <c r="BC708" s="115"/>
      <c r="BD708" s="25"/>
      <c r="BE708" s="13"/>
      <c r="BJ708" s="116"/>
      <c r="BK708" s="123"/>
      <c r="BL708" s="123"/>
      <c r="BM708" s="123"/>
      <c r="BR708" s="115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25"/>
      <c r="CC708" s="13"/>
      <c r="CF708" s="114"/>
    </row>
    <row r="709" spans="1:84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M709" s="115"/>
      <c r="AN709" s="115"/>
      <c r="AO709" s="115"/>
      <c r="AP709" s="115"/>
      <c r="AQ709" s="115"/>
      <c r="AR709" s="115"/>
      <c r="AS709" s="29"/>
      <c r="AT709" s="29"/>
      <c r="AX709" s="115"/>
      <c r="AY709" s="115"/>
      <c r="AZ709" s="115"/>
      <c r="BA709" s="115"/>
      <c r="BB709" s="115"/>
      <c r="BC709" s="115"/>
      <c r="BD709" s="25"/>
      <c r="BE709" s="13"/>
      <c r="BJ709" s="116"/>
      <c r="BK709" s="123"/>
      <c r="BL709" s="123"/>
      <c r="BM709" s="123"/>
      <c r="BR709" s="115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25"/>
      <c r="CC709" s="13"/>
      <c r="CF709" s="114"/>
    </row>
    <row r="710" spans="1:84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M710" s="115"/>
      <c r="AN710" s="115"/>
      <c r="AO710" s="115"/>
      <c r="AP710" s="115"/>
      <c r="AQ710" s="115"/>
      <c r="AR710" s="115"/>
      <c r="AS710" s="29"/>
      <c r="AT710" s="29"/>
      <c r="AX710" s="115"/>
      <c r="AY710" s="115"/>
      <c r="AZ710" s="115"/>
      <c r="BA710" s="115"/>
      <c r="BB710" s="115"/>
      <c r="BC710" s="115"/>
      <c r="BD710" s="25"/>
      <c r="BE710" s="13"/>
      <c r="BJ710" s="116"/>
      <c r="BK710" s="123"/>
      <c r="BL710" s="123"/>
      <c r="BM710" s="123"/>
      <c r="BR710" s="115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25"/>
      <c r="CC710" s="13"/>
      <c r="CF710" s="114"/>
    </row>
    <row r="711" spans="1:84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L711" s="115"/>
      <c r="AM711" s="115"/>
      <c r="AN711" s="115"/>
      <c r="AO711" s="115"/>
      <c r="AP711" s="115"/>
      <c r="AQ711" s="115"/>
      <c r="AR711" s="115"/>
      <c r="AS711" s="127"/>
      <c r="AT711" s="29"/>
      <c r="AX711" s="115"/>
      <c r="AY711" s="115"/>
      <c r="AZ711" s="115"/>
      <c r="BA711" s="115"/>
      <c r="BB711" s="115"/>
      <c r="BC711" s="115"/>
      <c r="BD711" s="25"/>
      <c r="BE711" s="13"/>
      <c r="BJ711" s="116"/>
      <c r="BK711" s="123"/>
      <c r="BL711" s="123"/>
      <c r="BM711" s="123"/>
      <c r="BR711" s="115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25"/>
      <c r="CC711" s="13"/>
      <c r="CF711" s="114"/>
    </row>
    <row r="712" spans="1:84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L712" s="115"/>
      <c r="AM712" s="115"/>
      <c r="AN712" s="115"/>
      <c r="AO712" s="115"/>
      <c r="AP712" s="115"/>
      <c r="AQ712" s="115"/>
      <c r="AR712" s="115"/>
      <c r="AS712" s="127"/>
      <c r="AT712" s="29"/>
      <c r="AX712" s="115"/>
      <c r="AY712" s="115"/>
      <c r="AZ712" s="115"/>
      <c r="BA712" s="115"/>
      <c r="BB712" s="115"/>
      <c r="BC712" s="115"/>
      <c r="BD712" s="25"/>
      <c r="BE712" s="13"/>
      <c r="BJ712" s="116"/>
      <c r="BK712" s="123"/>
      <c r="BL712" s="123"/>
      <c r="BM712" s="123"/>
      <c r="BR712" s="115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25"/>
      <c r="CC712" s="13"/>
      <c r="CF712" s="114"/>
    </row>
    <row r="713" spans="1:84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L713" s="115"/>
      <c r="AM713" s="115"/>
      <c r="AN713" s="115"/>
      <c r="AO713" s="115"/>
      <c r="AP713" s="115"/>
      <c r="AQ713" s="115"/>
      <c r="AR713" s="115"/>
      <c r="AS713" s="127"/>
      <c r="AT713" s="29"/>
      <c r="AX713" s="115"/>
      <c r="AY713" s="115"/>
      <c r="AZ713" s="115"/>
      <c r="BA713" s="115"/>
      <c r="BB713" s="115"/>
      <c r="BC713" s="115"/>
      <c r="BD713" s="25"/>
      <c r="BE713" s="13"/>
      <c r="BJ713" s="116"/>
      <c r="BK713" s="123"/>
      <c r="BL713" s="123"/>
      <c r="BM713" s="123"/>
      <c r="BR713" s="115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25"/>
      <c r="CC713" s="13"/>
      <c r="CF713" s="114"/>
    </row>
    <row r="714" spans="1:84" ht="20.100000000000001" customHeight="1" x14ac:dyDescent="0.4">
      <c r="A714" s="117"/>
      <c r="B714" s="123"/>
      <c r="C714" s="123"/>
      <c r="D714" s="123"/>
      <c r="AS714" s="127"/>
      <c r="AT714" s="29"/>
      <c r="AX714" s="115"/>
      <c r="AY714" s="115"/>
      <c r="AZ714" s="115"/>
      <c r="BA714" s="115"/>
      <c r="BB714" s="115"/>
      <c r="BC714" s="115"/>
      <c r="BD714" s="25"/>
      <c r="BE714" s="13"/>
      <c r="BJ714" s="116"/>
      <c r="BK714" s="123"/>
      <c r="BL714" s="123"/>
      <c r="BM714" s="123"/>
      <c r="BR714" s="115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25"/>
      <c r="CC714" s="13"/>
      <c r="CF714" s="114"/>
    </row>
    <row r="715" spans="1:84" ht="20.100000000000001" customHeight="1" x14ac:dyDescent="0.4">
      <c r="A715" s="117"/>
      <c r="B715" s="123"/>
      <c r="C715" s="123"/>
      <c r="D715" s="123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27"/>
      <c r="AT715" s="29"/>
      <c r="AX715" s="115"/>
      <c r="AY715" s="115"/>
      <c r="AZ715" s="115"/>
      <c r="BA715" s="115"/>
      <c r="BB715" s="115"/>
      <c r="BC715" s="115"/>
      <c r="BD715" s="25"/>
      <c r="BE715" s="13"/>
      <c r="BJ715" s="116"/>
      <c r="BK715" s="123"/>
      <c r="BL715" s="123"/>
      <c r="BM715" s="123"/>
      <c r="BR715" s="115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25"/>
      <c r="CC715" s="13"/>
      <c r="CF715" s="114"/>
    </row>
    <row r="716" spans="1:84" ht="20.100000000000001" customHeight="1" x14ac:dyDescent="0.4">
      <c r="A716" s="117"/>
      <c r="B716" s="123"/>
      <c r="C716" s="123"/>
      <c r="D716" s="123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27"/>
      <c r="AT716" s="29"/>
      <c r="AX716" s="115"/>
      <c r="AY716" s="115"/>
      <c r="AZ716" s="115"/>
      <c r="BA716" s="115"/>
      <c r="BB716" s="115"/>
      <c r="BC716" s="115"/>
      <c r="BD716" s="25"/>
      <c r="BE716" s="13"/>
      <c r="BJ716" s="116"/>
      <c r="BK716" s="123"/>
      <c r="BL716" s="123"/>
      <c r="BM716" s="123"/>
      <c r="BR716" s="115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25"/>
      <c r="CC716" s="13"/>
      <c r="CF716" s="114"/>
    </row>
    <row r="717" spans="1:84" ht="20.100000000000001" customHeight="1" x14ac:dyDescent="0.4">
      <c r="A717" s="117"/>
      <c r="B717" s="123"/>
      <c r="C717" s="123"/>
      <c r="D717" s="123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27"/>
      <c r="AT717" s="29"/>
      <c r="AX717" s="115"/>
      <c r="AY717" s="115"/>
      <c r="AZ717" s="115"/>
      <c r="BA717" s="115"/>
      <c r="BB717" s="115"/>
      <c r="BC717" s="115"/>
      <c r="BD717" s="25"/>
      <c r="BE717" s="13"/>
      <c r="BJ717" s="116"/>
      <c r="BK717" s="123"/>
      <c r="BL717" s="123"/>
      <c r="BM717" s="123"/>
      <c r="BR717" s="115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25"/>
      <c r="CC717" s="13"/>
      <c r="CF717" s="114"/>
    </row>
    <row r="718" spans="1:84" ht="20.100000000000001" customHeight="1" x14ac:dyDescent="0.4">
      <c r="A718" s="117"/>
      <c r="B718" s="123"/>
      <c r="C718" s="123"/>
      <c r="D718" s="123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29"/>
      <c r="AT718" s="29"/>
      <c r="AX718" s="115"/>
      <c r="AY718" s="115"/>
      <c r="AZ718" s="115"/>
      <c r="BA718" s="115"/>
      <c r="BB718" s="115"/>
      <c r="BC718" s="115"/>
      <c r="BD718" s="25"/>
      <c r="BE718" s="13"/>
      <c r="BJ718" s="116"/>
      <c r="BK718" s="123"/>
      <c r="BL718" s="123"/>
      <c r="BM718" s="123"/>
      <c r="BR718" s="115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25"/>
      <c r="CC718" s="13"/>
      <c r="CF718" s="114"/>
    </row>
    <row r="719" spans="1:84" ht="20.100000000000001" customHeight="1" x14ac:dyDescent="0.4">
      <c r="A719" s="117"/>
      <c r="B719" s="123"/>
      <c r="C719" s="123"/>
      <c r="D719" s="123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27"/>
      <c r="AT719" s="29"/>
      <c r="AX719" s="115"/>
      <c r="AY719" s="115"/>
      <c r="AZ719" s="115"/>
      <c r="BA719" s="115"/>
      <c r="BB719" s="115"/>
      <c r="BC719" s="115"/>
      <c r="BD719" s="25"/>
      <c r="BE719" s="13"/>
      <c r="BJ719" s="116"/>
      <c r="BK719" s="123"/>
      <c r="BL719" s="123"/>
      <c r="BM719" s="123"/>
      <c r="BR719" s="115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25"/>
      <c r="CC719" s="13"/>
      <c r="CF719" s="114"/>
    </row>
    <row r="720" spans="1:84" ht="20.100000000000001" customHeight="1" x14ac:dyDescent="0.4">
      <c r="A720" s="117"/>
      <c r="B720" s="123"/>
      <c r="C720" s="123"/>
      <c r="D720" s="123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27"/>
      <c r="AT720" s="29"/>
      <c r="AX720" s="115"/>
      <c r="AY720" s="115"/>
      <c r="AZ720" s="115"/>
      <c r="BA720" s="115"/>
      <c r="BB720" s="115"/>
      <c r="BC720" s="115"/>
      <c r="BD720" s="25"/>
      <c r="BE720" s="13"/>
      <c r="BJ720" s="116"/>
      <c r="BK720" s="123"/>
      <c r="BL720" s="123"/>
      <c r="BM720" s="123"/>
      <c r="BR720" s="115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25"/>
      <c r="CC720" s="13"/>
      <c r="CF720" s="114"/>
    </row>
    <row r="721" spans="1:84" ht="20.100000000000001" customHeight="1" x14ac:dyDescent="0.4">
      <c r="A721" s="117"/>
      <c r="B721" s="123"/>
      <c r="C721" s="123"/>
      <c r="D721" s="123"/>
      <c r="AS721" s="127"/>
      <c r="AT721" s="29"/>
      <c r="AX721" s="115"/>
      <c r="AY721" s="115"/>
      <c r="AZ721" s="115"/>
      <c r="BA721" s="115"/>
      <c r="BB721" s="115"/>
      <c r="BC721" s="115"/>
      <c r="BD721" s="25"/>
      <c r="BE721" s="13"/>
      <c r="BJ721" s="116"/>
      <c r="BK721" s="123"/>
      <c r="BL721" s="123"/>
      <c r="BM721" s="123"/>
      <c r="BR721" s="115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25"/>
      <c r="CC721" s="13"/>
      <c r="CF721" s="114"/>
    </row>
    <row r="722" spans="1:84" ht="20.100000000000001" customHeight="1" x14ac:dyDescent="0.4">
      <c r="A722" s="117"/>
      <c r="B722" s="123"/>
      <c r="C722" s="123"/>
      <c r="D722" s="123"/>
      <c r="AO722" s="115"/>
      <c r="AP722" s="115"/>
      <c r="AQ722" s="115"/>
      <c r="AR722" s="115"/>
      <c r="AS722" s="127"/>
      <c r="AT722" s="29"/>
      <c r="AX722" s="115"/>
      <c r="AY722" s="115"/>
      <c r="AZ722" s="115"/>
      <c r="BA722" s="115"/>
      <c r="BB722" s="115"/>
      <c r="BC722" s="115"/>
      <c r="BD722" s="25"/>
      <c r="BE722" s="13"/>
      <c r="BJ722" s="116"/>
      <c r="BK722" s="123"/>
      <c r="BL722" s="123"/>
      <c r="BM722" s="123"/>
      <c r="BR722" s="115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25"/>
      <c r="CC722" s="13"/>
      <c r="CF722" s="114"/>
    </row>
    <row r="723" spans="1:84" ht="20.100000000000001" customHeight="1" x14ac:dyDescent="0.4">
      <c r="A723" s="117"/>
      <c r="B723" s="123"/>
      <c r="C723" s="123"/>
      <c r="D723" s="123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27"/>
      <c r="AT723" s="29"/>
      <c r="AX723" s="115"/>
      <c r="AY723" s="115"/>
      <c r="AZ723" s="115"/>
      <c r="BA723" s="115"/>
      <c r="BB723" s="115"/>
      <c r="BC723" s="115"/>
      <c r="BD723" s="25"/>
      <c r="BE723" s="13"/>
      <c r="BJ723" s="116"/>
      <c r="BK723" s="123"/>
      <c r="BL723" s="123"/>
      <c r="BM723" s="123"/>
      <c r="BR723" s="115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25"/>
      <c r="CC723" s="13"/>
      <c r="CF723" s="114"/>
    </row>
    <row r="724" spans="1:84" ht="20.100000000000001" customHeight="1" x14ac:dyDescent="0.4">
      <c r="A724" s="117"/>
      <c r="B724" s="123"/>
      <c r="C724" s="123"/>
      <c r="D724" s="123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27"/>
      <c r="AT724" s="29"/>
      <c r="AX724" s="115"/>
      <c r="AY724" s="115"/>
      <c r="AZ724" s="115"/>
      <c r="BA724" s="115"/>
      <c r="BB724" s="115"/>
      <c r="BC724" s="115"/>
      <c r="BD724" s="25"/>
      <c r="BE724" s="13"/>
      <c r="BJ724" s="116"/>
      <c r="BK724" s="123"/>
      <c r="BL724" s="123"/>
      <c r="BM724" s="123"/>
      <c r="BR724" s="115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25"/>
      <c r="CC724" s="13"/>
      <c r="CF724" s="114"/>
    </row>
    <row r="725" spans="1:84" ht="20.100000000000001" customHeight="1" x14ac:dyDescent="0.4">
      <c r="A725" s="117"/>
      <c r="B725" s="123"/>
      <c r="C725" s="123"/>
      <c r="D725" s="123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27"/>
      <c r="AT725" s="29"/>
      <c r="AX725" s="115"/>
      <c r="AY725" s="115"/>
      <c r="AZ725" s="115"/>
      <c r="BA725" s="115"/>
      <c r="BB725" s="115"/>
      <c r="BC725" s="115"/>
      <c r="BD725" s="25"/>
      <c r="BE725" s="13"/>
      <c r="BJ725" s="116"/>
      <c r="BK725" s="123"/>
      <c r="BL725" s="123"/>
      <c r="BM725" s="123"/>
      <c r="BR725" s="115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25"/>
      <c r="CC725" s="13"/>
      <c r="CF725" s="114"/>
    </row>
    <row r="726" spans="1:84" ht="20.100000000000001" customHeight="1" x14ac:dyDescent="0.4">
      <c r="A726" s="117"/>
      <c r="B726" s="123"/>
      <c r="C726" s="123"/>
      <c r="D726" s="123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27"/>
      <c r="AT726" s="29"/>
      <c r="AX726" s="115"/>
      <c r="AY726" s="115"/>
      <c r="AZ726" s="115"/>
      <c r="BA726" s="115"/>
      <c r="BB726" s="115"/>
      <c r="BC726" s="115"/>
      <c r="BD726" s="25"/>
      <c r="BE726" s="13"/>
      <c r="BJ726" s="116"/>
      <c r="BK726" s="123"/>
      <c r="BL726" s="123"/>
      <c r="BM726" s="123"/>
      <c r="BR726" s="115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25"/>
      <c r="CC726" s="13"/>
      <c r="CF726" s="114"/>
    </row>
    <row r="727" spans="1:84" ht="20.100000000000001" customHeight="1" x14ac:dyDescent="0.4">
      <c r="A727" s="117"/>
      <c r="B727" s="123"/>
      <c r="C727" s="123"/>
      <c r="D727" s="123"/>
      <c r="AS727" s="127"/>
      <c r="AT727" s="29"/>
      <c r="AX727" s="115"/>
      <c r="AY727" s="115"/>
      <c r="AZ727" s="115"/>
      <c r="BA727" s="115"/>
      <c r="BB727" s="115"/>
      <c r="BC727" s="115"/>
      <c r="BD727" s="25"/>
      <c r="BE727" s="13"/>
      <c r="BJ727" s="116"/>
      <c r="BK727" s="123"/>
      <c r="BL727" s="123"/>
      <c r="BM727" s="123"/>
      <c r="BR727" s="115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25"/>
      <c r="CC727" s="13"/>
      <c r="CF727" s="114"/>
    </row>
    <row r="728" spans="1:84" ht="20.100000000000001" customHeight="1" x14ac:dyDescent="0.4">
      <c r="A728" s="117"/>
      <c r="B728" s="123"/>
      <c r="C728" s="123"/>
      <c r="D728" s="123"/>
      <c r="AO728" s="115"/>
      <c r="AP728" s="115"/>
      <c r="AQ728" s="115"/>
      <c r="AR728" s="115"/>
      <c r="AS728" s="127"/>
      <c r="AT728" s="29"/>
      <c r="AX728" s="115"/>
      <c r="AY728" s="115"/>
      <c r="AZ728" s="115"/>
      <c r="BA728" s="115"/>
      <c r="BB728" s="115"/>
      <c r="BC728" s="115"/>
      <c r="BD728" s="25"/>
      <c r="BE728" s="13"/>
      <c r="BJ728" s="116"/>
      <c r="BK728" s="123"/>
      <c r="BL728" s="123"/>
      <c r="BM728" s="123"/>
      <c r="BR728" s="115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25"/>
      <c r="CC728" s="13"/>
      <c r="CF728" s="114"/>
    </row>
    <row r="729" spans="1:84" ht="20.100000000000001" customHeight="1" x14ac:dyDescent="0.4">
      <c r="A729" s="117"/>
      <c r="B729" s="123"/>
      <c r="C729" s="123"/>
      <c r="D729" s="123"/>
      <c r="AO729" s="115"/>
      <c r="AP729" s="115"/>
      <c r="AQ729" s="115"/>
      <c r="AR729" s="115"/>
      <c r="AS729" s="29"/>
      <c r="AT729" s="29"/>
      <c r="AX729" s="115"/>
      <c r="AY729" s="115"/>
      <c r="AZ729" s="115"/>
      <c r="BA729" s="115"/>
      <c r="BB729" s="115"/>
      <c r="BC729" s="115"/>
      <c r="BD729" s="25"/>
      <c r="BE729" s="13"/>
      <c r="BJ729" s="116"/>
      <c r="BK729" s="123"/>
      <c r="BL729" s="123"/>
      <c r="BM729" s="123"/>
      <c r="BR729" s="115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25"/>
      <c r="CC729" s="13"/>
      <c r="CF729" s="114"/>
    </row>
    <row r="730" spans="1:84" ht="20.100000000000001" customHeight="1" x14ac:dyDescent="0.4">
      <c r="A730" s="117"/>
      <c r="B730" s="123"/>
      <c r="C730" s="123"/>
      <c r="D730" s="123"/>
      <c r="AO730" s="115"/>
      <c r="AP730" s="115"/>
      <c r="AQ730" s="115"/>
      <c r="AR730" s="115"/>
      <c r="AS730" s="127"/>
      <c r="AT730" s="29"/>
      <c r="AX730" s="115"/>
      <c r="AY730" s="115"/>
      <c r="AZ730" s="115"/>
      <c r="BA730" s="115"/>
      <c r="BB730" s="115"/>
      <c r="BC730" s="115"/>
      <c r="BD730" s="25"/>
      <c r="BE730" s="13"/>
      <c r="BJ730" s="116"/>
      <c r="BK730" s="123"/>
      <c r="BL730" s="123"/>
      <c r="BM730" s="123"/>
      <c r="BR730" s="115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25"/>
      <c r="CC730" s="13"/>
      <c r="CF730" s="114"/>
    </row>
    <row r="731" spans="1:84" ht="20.100000000000001" customHeight="1" x14ac:dyDescent="0.4">
      <c r="A731" s="117"/>
      <c r="B731" s="123"/>
      <c r="C731" s="123"/>
      <c r="D731" s="123"/>
      <c r="AO731" s="115"/>
      <c r="AP731" s="115"/>
      <c r="AQ731" s="115"/>
      <c r="AR731" s="115"/>
      <c r="AS731" s="29"/>
      <c r="AT731" s="29"/>
      <c r="AX731" s="115"/>
      <c r="AY731" s="115"/>
      <c r="AZ731" s="115"/>
      <c r="BA731" s="115"/>
      <c r="BB731" s="115"/>
      <c r="BC731" s="115"/>
      <c r="BD731" s="25"/>
      <c r="BE731" s="13"/>
      <c r="BJ731" s="116"/>
      <c r="BK731" s="123"/>
      <c r="BL731" s="123"/>
      <c r="BM731" s="123"/>
      <c r="BR731" s="115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25"/>
      <c r="CC731" s="13"/>
      <c r="CF731" s="114"/>
    </row>
    <row r="732" spans="1:84" ht="20.100000000000001" customHeight="1" x14ac:dyDescent="0.4">
      <c r="A732" s="117"/>
      <c r="B732" s="123"/>
      <c r="C732" s="123"/>
      <c r="D732" s="123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127"/>
      <c r="AT732" s="29"/>
      <c r="AX732" s="115"/>
      <c r="AY732" s="115"/>
      <c r="AZ732" s="115"/>
      <c r="BA732" s="115"/>
      <c r="BB732" s="115"/>
      <c r="BC732" s="115"/>
      <c r="BD732" s="25"/>
      <c r="BE732" s="13"/>
      <c r="BJ732" s="116"/>
      <c r="BK732" s="123"/>
      <c r="BL732" s="123"/>
      <c r="BM732" s="123"/>
      <c r="BR732" s="115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25"/>
      <c r="CC732" s="13"/>
      <c r="CF732" s="114"/>
    </row>
    <row r="733" spans="1:84" ht="20.100000000000001" customHeight="1" x14ac:dyDescent="0.4">
      <c r="A733" s="117"/>
      <c r="B733" s="123"/>
      <c r="C733" s="123"/>
      <c r="D733" s="123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127"/>
      <c r="AT733" s="29"/>
      <c r="AX733" s="115"/>
      <c r="AY733" s="115"/>
      <c r="AZ733" s="115"/>
      <c r="BA733" s="115"/>
      <c r="BB733" s="115"/>
      <c r="BC733" s="115"/>
      <c r="BD733" s="25"/>
      <c r="BE733" s="13"/>
      <c r="BJ733" s="116"/>
      <c r="BK733" s="123"/>
      <c r="BL733" s="123"/>
      <c r="BM733" s="123"/>
      <c r="BR733" s="115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25"/>
      <c r="CC733" s="13"/>
      <c r="CF733" s="114"/>
    </row>
    <row r="734" spans="1:84" ht="20.100000000000001" customHeight="1" x14ac:dyDescent="0.4">
      <c r="A734" s="117"/>
      <c r="B734" s="123"/>
      <c r="C734" s="123"/>
      <c r="D734" s="123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127"/>
      <c r="AT734" s="29"/>
      <c r="AX734" s="115"/>
      <c r="AY734" s="115"/>
      <c r="AZ734" s="115"/>
      <c r="BA734" s="115"/>
      <c r="BB734" s="115"/>
      <c r="BC734" s="115"/>
      <c r="BD734" s="25"/>
      <c r="BE734" s="13"/>
      <c r="BJ734" s="116"/>
      <c r="BK734" s="123"/>
      <c r="BL734" s="123"/>
      <c r="BM734" s="123"/>
      <c r="BR734" s="115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25"/>
      <c r="CC734" s="13"/>
      <c r="CF734" s="114"/>
    </row>
    <row r="735" spans="1:84" ht="20.100000000000001" customHeight="1" x14ac:dyDescent="0.4">
      <c r="A735" s="117"/>
      <c r="B735" s="123"/>
      <c r="C735" s="123"/>
      <c r="D735" s="123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127"/>
      <c r="AT735" s="29"/>
      <c r="AX735" s="115"/>
      <c r="AY735" s="115"/>
      <c r="AZ735" s="115"/>
      <c r="BA735" s="115"/>
      <c r="BB735" s="115"/>
      <c r="BC735" s="115"/>
      <c r="BD735" s="25"/>
      <c r="BE735" s="13"/>
      <c r="BJ735" s="116"/>
      <c r="BK735" s="123"/>
      <c r="BL735" s="123"/>
      <c r="BM735" s="123"/>
      <c r="BR735" s="115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25"/>
      <c r="CC735" s="13"/>
      <c r="CF735" s="114"/>
    </row>
    <row r="736" spans="1:84" ht="20.100000000000001" customHeight="1" x14ac:dyDescent="0.4">
      <c r="A736" s="117"/>
      <c r="B736" s="123"/>
      <c r="C736" s="123"/>
      <c r="D736" s="123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29"/>
      <c r="AT736" s="29"/>
      <c r="AX736" s="115"/>
      <c r="AY736" s="115"/>
      <c r="AZ736" s="115"/>
      <c r="BA736" s="115"/>
      <c r="BB736" s="115"/>
      <c r="BC736" s="115"/>
      <c r="BD736" s="25"/>
      <c r="BE736" s="13"/>
      <c r="BJ736" s="116"/>
      <c r="BK736" s="123"/>
      <c r="BL736" s="123"/>
      <c r="BM736" s="123"/>
      <c r="BR736" s="115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25"/>
      <c r="CC736" s="13"/>
      <c r="CF736" s="114"/>
    </row>
    <row r="737" spans="1:84" ht="20.100000000000001" customHeight="1" x14ac:dyDescent="0.4">
      <c r="A737" s="117"/>
      <c r="B737" s="123"/>
      <c r="C737" s="123"/>
      <c r="D737" s="123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127"/>
      <c r="AT737" s="29"/>
      <c r="AX737" s="115"/>
      <c r="AY737" s="115"/>
      <c r="AZ737" s="115"/>
      <c r="BA737" s="115"/>
      <c r="BB737" s="115"/>
      <c r="BC737" s="115"/>
      <c r="BD737" s="25"/>
      <c r="BE737" s="13"/>
      <c r="BJ737" s="116"/>
      <c r="BK737" s="123"/>
      <c r="BL737" s="123"/>
      <c r="BM737" s="123"/>
      <c r="BR737" s="115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25"/>
      <c r="CC737" s="13"/>
      <c r="CF737" s="114"/>
    </row>
    <row r="738" spans="1:84" ht="20.100000000000001" customHeight="1" x14ac:dyDescent="0.4">
      <c r="A738" s="117"/>
      <c r="B738" s="123"/>
      <c r="C738" s="123"/>
      <c r="D738" s="123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127"/>
      <c r="AT738" s="29"/>
      <c r="AX738" s="115"/>
      <c r="AY738" s="115"/>
      <c r="AZ738" s="115"/>
      <c r="BA738" s="115"/>
      <c r="BB738" s="115"/>
      <c r="BC738" s="115"/>
      <c r="BD738" s="25"/>
      <c r="BE738" s="13"/>
      <c r="BJ738" s="116"/>
      <c r="BK738" s="123"/>
      <c r="BL738" s="123"/>
      <c r="BM738" s="123"/>
      <c r="BR738" s="115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25"/>
      <c r="CC738" s="13"/>
      <c r="CF738" s="114"/>
    </row>
    <row r="739" spans="1:84" ht="20.100000000000001" customHeight="1" x14ac:dyDescent="0.4">
      <c r="A739" s="117"/>
      <c r="B739" s="123"/>
      <c r="C739" s="123"/>
      <c r="D739" s="123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29"/>
      <c r="AT739" s="29"/>
      <c r="AX739" s="115"/>
      <c r="AY739" s="115"/>
      <c r="AZ739" s="115"/>
      <c r="BA739" s="115"/>
      <c r="BB739" s="115"/>
      <c r="BC739" s="115"/>
      <c r="BD739" s="25"/>
      <c r="BE739" s="13"/>
      <c r="BJ739" s="116"/>
      <c r="BK739" s="123"/>
      <c r="BL739" s="123"/>
      <c r="BM739" s="123"/>
      <c r="BR739" s="115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25"/>
      <c r="CC739" s="13"/>
      <c r="CF739" s="114"/>
    </row>
    <row r="740" spans="1:84" ht="20.100000000000001" customHeight="1" x14ac:dyDescent="0.4">
      <c r="A740" s="117"/>
      <c r="B740" s="123"/>
      <c r="C740" s="123"/>
      <c r="D740" s="123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127"/>
      <c r="AT740" s="29"/>
      <c r="AX740" s="115"/>
      <c r="AY740" s="115"/>
      <c r="AZ740" s="115"/>
      <c r="BA740" s="115"/>
      <c r="BB740" s="115"/>
      <c r="BC740" s="115"/>
      <c r="BD740" s="25"/>
      <c r="BE740" s="13"/>
      <c r="BJ740" s="116"/>
      <c r="BK740" s="123"/>
      <c r="BL740" s="123"/>
      <c r="BM740" s="123"/>
      <c r="BR740" s="115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25"/>
      <c r="CC740" s="13"/>
      <c r="CF740" s="114"/>
    </row>
    <row r="741" spans="1:84" ht="20.100000000000001" customHeight="1" x14ac:dyDescent="0.4">
      <c r="A741" s="117"/>
      <c r="B741" s="123"/>
      <c r="C741" s="123"/>
      <c r="D741" s="123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29"/>
      <c r="AT741" s="29"/>
      <c r="AX741" s="115"/>
      <c r="AY741" s="115"/>
      <c r="AZ741" s="115"/>
      <c r="BA741" s="115"/>
      <c r="BB741" s="115"/>
      <c r="BC741" s="115"/>
      <c r="BD741" s="25"/>
      <c r="BE741" s="13"/>
      <c r="BJ741" s="116"/>
      <c r="BK741" s="123"/>
      <c r="BL741" s="123"/>
      <c r="BM741" s="123"/>
      <c r="BR741" s="115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25"/>
      <c r="CC741" s="13"/>
      <c r="CF741" s="114"/>
    </row>
    <row r="742" spans="1:84" ht="20.100000000000001" customHeight="1" x14ac:dyDescent="0.4">
      <c r="A742" s="117"/>
      <c r="B742" s="123"/>
      <c r="C742" s="123"/>
      <c r="D742" s="123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29"/>
      <c r="AT742" s="29"/>
      <c r="AX742" s="115"/>
      <c r="AY742" s="115"/>
      <c r="AZ742" s="115"/>
      <c r="BA742" s="115"/>
      <c r="BB742" s="115"/>
      <c r="BC742" s="115"/>
      <c r="BD742" s="25"/>
      <c r="BE742" s="13"/>
      <c r="BJ742" s="116"/>
      <c r="BK742" s="123"/>
      <c r="BL742" s="123"/>
      <c r="BM742" s="123"/>
      <c r="BR742" s="115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25"/>
      <c r="CC742" s="13"/>
      <c r="CF742" s="114"/>
    </row>
    <row r="743" spans="1:84" ht="20.100000000000001" customHeight="1" x14ac:dyDescent="0.4">
      <c r="A743" s="117"/>
      <c r="B743" s="123"/>
      <c r="C743" s="123"/>
      <c r="D743" s="123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127"/>
      <c r="AT743" s="29"/>
      <c r="AX743" s="115"/>
      <c r="AY743" s="115"/>
      <c r="AZ743" s="115"/>
      <c r="BA743" s="115"/>
      <c r="BB743" s="115"/>
      <c r="BC743" s="115"/>
      <c r="BD743" s="25"/>
      <c r="BE743" s="13"/>
      <c r="BJ743" s="116"/>
      <c r="BK743" s="123"/>
      <c r="BL743" s="123"/>
      <c r="BM743" s="123"/>
      <c r="BR743" s="115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25"/>
      <c r="CC743" s="13"/>
      <c r="CF743" s="114"/>
    </row>
    <row r="744" spans="1:84" ht="20.100000000000001" customHeight="1" x14ac:dyDescent="0.4">
      <c r="A744" s="117"/>
      <c r="B744" s="123"/>
      <c r="C744" s="123"/>
      <c r="D744" s="123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29"/>
      <c r="AT744" s="29"/>
      <c r="AX744" s="115"/>
      <c r="AY744" s="115"/>
      <c r="AZ744" s="115"/>
      <c r="BA744" s="115"/>
      <c r="BB744" s="115"/>
      <c r="BC744" s="115"/>
      <c r="BD744" s="25"/>
      <c r="BE744" s="13"/>
      <c r="BJ744" s="116"/>
      <c r="BK744" s="123"/>
      <c r="BL744" s="123"/>
      <c r="BM744" s="123"/>
      <c r="BR744" s="115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25"/>
      <c r="CC744" s="13"/>
      <c r="CF744" s="114"/>
    </row>
    <row r="745" spans="1:84" ht="20.100000000000001" customHeight="1" x14ac:dyDescent="0.4">
      <c r="A745" s="117"/>
      <c r="B745" s="123"/>
      <c r="C745" s="123"/>
      <c r="D745" s="123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127"/>
      <c r="AT745" s="29"/>
      <c r="AX745" s="115"/>
      <c r="AY745" s="115"/>
      <c r="AZ745" s="115"/>
      <c r="BA745" s="115"/>
      <c r="BB745" s="115"/>
      <c r="BC745" s="115"/>
      <c r="BD745" s="25"/>
      <c r="BE745" s="13"/>
      <c r="BJ745" s="116"/>
      <c r="BK745" s="123"/>
      <c r="BL745" s="123"/>
      <c r="BM745" s="123"/>
      <c r="BR745" s="115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25"/>
      <c r="CC745" s="13"/>
      <c r="CF745" s="114"/>
    </row>
    <row r="746" spans="1:84" ht="20.100000000000001" customHeight="1" x14ac:dyDescent="0.4">
      <c r="A746" s="117"/>
      <c r="B746" s="123"/>
      <c r="C746" s="123"/>
      <c r="D746" s="123"/>
      <c r="AS746" s="127"/>
      <c r="AT746" s="127"/>
      <c r="AX746" s="115"/>
      <c r="AY746" s="115"/>
      <c r="AZ746" s="115"/>
      <c r="BA746" s="115"/>
      <c r="BB746" s="115"/>
      <c r="BC746" s="115"/>
      <c r="BD746" s="25">
        <v>45672</v>
      </c>
      <c r="BE746" s="13" t="s">
        <v>146</v>
      </c>
      <c r="BJ746" s="116"/>
      <c r="BK746" s="123"/>
      <c r="BL746" s="123"/>
      <c r="BM746" s="123"/>
      <c r="BR746" s="115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25"/>
      <c r="CC746" s="13"/>
      <c r="CF746" s="114"/>
    </row>
    <row r="747" spans="1:84" ht="20.100000000000001" customHeight="1" x14ac:dyDescent="0.4">
      <c r="A747" s="117"/>
      <c r="B747" s="123"/>
      <c r="C747" s="123"/>
      <c r="D747" s="123"/>
      <c r="AN747" s="115"/>
      <c r="AO747" s="115"/>
      <c r="AP747" s="115"/>
      <c r="AQ747" s="115"/>
      <c r="AR747" s="115"/>
      <c r="AS747" s="29"/>
      <c r="AT747" s="29"/>
      <c r="AX747" s="115"/>
      <c r="AY747" s="115"/>
      <c r="AZ747" s="115"/>
      <c r="BA747" s="115"/>
      <c r="BB747" s="115"/>
      <c r="BC747" s="115"/>
      <c r="BD747" s="25"/>
      <c r="BE747" s="13"/>
      <c r="BJ747" s="116"/>
      <c r="BK747" s="123"/>
      <c r="BL747" s="123"/>
      <c r="BM747" s="123"/>
      <c r="BR747" s="115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25"/>
      <c r="CC747" s="13"/>
      <c r="CF747" s="114"/>
    </row>
    <row r="748" spans="1:84" ht="20.100000000000001" customHeight="1" x14ac:dyDescent="0.4">
      <c r="A748" s="117"/>
      <c r="B748" s="123"/>
      <c r="C748" s="123"/>
      <c r="D748" s="123"/>
      <c r="AK748" s="115"/>
      <c r="AL748" s="115"/>
      <c r="AM748" s="115"/>
      <c r="AN748" s="115"/>
      <c r="AO748" s="115"/>
      <c r="AP748" s="115"/>
      <c r="AQ748" s="115"/>
      <c r="AR748" s="115"/>
      <c r="AS748" s="127"/>
      <c r="AT748" s="29"/>
      <c r="AX748" s="115"/>
      <c r="AY748" s="115"/>
      <c r="AZ748" s="115"/>
      <c r="BA748" s="115"/>
      <c r="BB748" s="115"/>
      <c r="BC748" s="115"/>
      <c r="BD748" s="25"/>
      <c r="BE748" s="13"/>
      <c r="BJ748" s="116"/>
      <c r="BK748" s="123"/>
      <c r="BL748" s="123"/>
      <c r="BM748" s="123"/>
      <c r="BR748" s="115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25"/>
      <c r="CC748" s="13"/>
      <c r="CF748" s="114"/>
    </row>
    <row r="749" spans="1:84" ht="20.100000000000001" customHeight="1" x14ac:dyDescent="0.4">
      <c r="A749" s="117"/>
      <c r="B749" s="123"/>
      <c r="C749" s="123"/>
      <c r="D749" s="123"/>
      <c r="AK749" s="115"/>
      <c r="AL749" s="115"/>
      <c r="AM749" s="115"/>
      <c r="AN749" s="115"/>
      <c r="AO749" s="115"/>
      <c r="AP749" s="115"/>
      <c r="AQ749" s="115"/>
      <c r="AR749" s="115"/>
      <c r="AS749" s="29"/>
      <c r="AT749" s="29"/>
      <c r="AX749" s="115"/>
      <c r="AY749" s="115"/>
      <c r="AZ749" s="115"/>
      <c r="BA749" s="115"/>
      <c r="BB749" s="115"/>
      <c r="BC749" s="115"/>
      <c r="BD749" s="25"/>
      <c r="BE749" s="13"/>
      <c r="BJ749" s="116"/>
      <c r="BK749" s="123"/>
      <c r="BL749" s="123"/>
      <c r="BM749" s="123"/>
      <c r="BR749" s="115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25"/>
      <c r="CC749" s="13"/>
      <c r="CF749" s="114"/>
    </row>
    <row r="750" spans="1:84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27"/>
      <c r="AT750" s="29"/>
      <c r="AX750" s="115"/>
      <c r="AY750" s="115"/>
      <c r="AZ750" s="115"/>
      <c r="BA750" s="115"/>
      <c r="BB750" s="115"/>
      <c r="BC750" s="115"/>
      <c r="BD750" s="25"/>
      <c r="BE750" s="13"/>
      <c r="BJ750" s="116"/>
      <c r="BK750" s="123"/>
      <c r="BL750" s="123"/>
      <c r="BM750" s="123"/>
      <c r="BR750" s="115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25"/>
      <c r="CC750" s="13"/>
      <c r="CF750" s="114"/>
    </row>
    <row r="751" spans="1:84" ht="20.100000000000001" customHeight="1" x14ac:dyDescent="0.4">
      <c r="A751" s="117"/>
      <c r="B751" s="123"/>
      <c r="C751" s="123"/>
      <c r="D751" s="123"/>
      <c r="AS751" s="127"/>
      <c r="AT751" s="29"/>
      <c r="AX751" s="115"/>
      <c r="AY751" s="115"/>
      <c r="AZ751" s="115"/>
      <c r="BA751" s="115"/>
      <c r="BB751" s="115"/>
      <c r="BC751" s="115"/>
      <c r="BD751" s="25">
        <v>45672</v>
      </c>
      <c r="BE751" s="13" t="s">
        <v>146</v>
      </c>
      <c r="BJ751" s="116"/>
      <c r="BK751" s="123"/>
      <c r="BL751" s="123"/>
      <c r="BM751" s="123"/>
      <c r="BR751" s="115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25"/>
      <c r="CC751" s="13"/>
      <c r="CF751" s="114"/>
    </row>
    <row r="752" spans="1:84" ht="20.100000000000001" customHeight="1" x14ac:dyDescent="0.4">
      <c r="A752" s="117"/>
      <c r="B752" s="123"/>
      <c r="C752" s="123"/>
      <c r="D752" s="123"/>
      <c r="AS752" s="127"/>
      <c r="AT752" s="29"/>
      <c r="AX752" s="115"/>
      <c r="AY752" s="115"/>
      <c r="AZ752" s="115"/>
      <c r="BA752" s="115"/>
      <c r="BB752" s="115"/>
      <c r="BC752" s="115"/>
      <c r="BD752" s="25"/>
      <c r="BE752" s="13"/>
      <c r="BJ752" s="116"/>
      <c r="BK752" s="123"/>
      <c r="BL752" s="123"/>
      <c r="BM752" s="123"/>
      <c r="BR752" s="115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25"/>
      <c r="CC752" s="13"/>
      <c r="CF752" s="114"/>
    </row>
    <row r="753" spans="1:84" ht="20.100000000000001" customHeight="1" x14ac:dyDescent="0.4">
      <c r="A753" s="117"/>
      <c r="B753" s="123"/>
      <c r="C753" s="123"/>
      <c r="D753" s="123"/>
      <c r="AN753" s="115"/>
      <c r="AO753" s="115"/>
      <c r="AP753" s="115"/>
      <c r="AQ753" s="115"/>
      <c r="AR753" s="115"/>
      <c r="AS753" s="29"/>
      <c r="AT753" s="29"/>
      <c r="AX753" s="115"/>
      <c r="AY753" s="115"/>
      <c r="AZ753" s="115"/>
      <c r="BA753" s="115"/>
      <c r="BB753" s="115"/>
      <c r="BC753" s="115"/>
      <c r="BD753" s="25"/>
      <c r="BE753" s="13"/>
      <c r="BJ753" s="116"/>
      <c r="BK753" s="123"/>
      <c r="BL753" s="123"/>
      <c r="BM753" s="123"/>
      <c r="BR753" s="115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25"/>
      <c r="CC753" s="13"/>
      <c r="CF753" s="114"/>
    </row>
    <row r="754" spans="1:84" ht="20.100000000000001" customHeight="1" x14ac:dyDescent="0.4">
      <c r="A754" s="117"/>
      <c r="B754" s="123"/>
      <c r="C754" s="123"/>
      <c r="D754" s="123"/>
      <c r="AS754" s="127"/>
      <c r="AT754" s="29"/>
      <c r="AX754" s="115"/>
      <c r="AY754" s="115"/>
      <c r="AZ754" s="115"/>
      <c r="BA754" s="115"/>
      <c r="BB754" s="115"/>
      <c r="BC754" s="115"/>
      <c r="BD754" s="25">
        <v>45672</v>
      </c>
      <c r="BE754" s="25" t="s">
        <v>147</v>
      </c>
      <c r="BJ754" s="116"/>
      <c r="BK754" s="123"/>
      <c r="BL754" s="123"/>
      <c r="BM754" s="123"/>
      <c r="BR754" s="115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25"/>
      <c r="CC754" s="13"/>
      <c r="CF754" s="114"/>
    </row>
    <row r="755" spans="1:84" ht="20.100000000000001" customHeight="1" x14ac:dyDescent="0.4">
      <c r="A755" s="117"/>
      <c r="B755" s="123"/>
      <c r="C755" s="123"/>
      <c r="D755" s="123"/>
      <c r="AS755" s="127"/>
      <c r="AT755" s="29"/>
      <c r="AX755" s="115"/>
      <c r="AY755" s="115"/>
      <c r="AZ755" s="115"/>
      <c r="BA755" s="115"/>
      <c r="BB755" s="115"/>
      <c r="BC755" s="115"/>
      <c r="BD755" s="25"/>
      <c r="BE755" s="25"/>
      <c r="BJ755" s="116"/>
      <c r="BK755" s="123"/>
      <c r="BL755" s="123"/>
      <c r="BM755" s="123"/>
      <c r="BR755" s="115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25"/>
      <c r="CC755" s="13"/>
      <c r="CF755" s="114"/>
    </row>
    <row r="756" spans="1:84" ht="20.100000000000001" customHeight="1" x14ac:dyDescent="0.4">
      <c r="A756" s="117"/>
      <c r="B756" s="123"/>
      <c r="C756" s="123"/>
      <c r="D756" s="123"/>
      <c r="AN756" s="115"/>
      <c r="AO756" s="115"/>
      <c r="AP756" s="115"/>
      <c r="AQ756" s="115"/>
      <c r="AR756" s="115"/>
      <c r="AS756" s="29"/>
      <c r="AT756" s="29"/>
      <c r="AX756" s="115"/>
      <c r="AY756" s="115"/>
      <c r="AZ756" s="115"/>
      <c r="BA756" s="115"/>
      <c r="BB756" s="115"/>
      <c r="BC756" s="115"/>
      <c r="BD756" s="25"/>
      <c r="BE756" s="25"/>
      <c r="BJ756" s="116"/>
      <c r="BK756" s="123"/>
      <c r="BL756" s="123"/>
      <c r="BM756" s="123"/>
      <c r="BR756" s="115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25"/>
      <c r="CC756" s="13"/>
      <c r="CF756" s="114"/>
    </row>
    <row r="757" spans="1:84" ht="20.100000000000001" customHeight="1" x14ac:dyDescent="0.4">
      <c r="A757" s="117"/>
      <c r="B757" s="123"/>
      <c r="C757" s="123"/>
      <c r="D757" s="123"/>
      <c r="AN757" s="115"/>
      <c r="AO757" s="115"/>
      <c r="AP757" s="115"/>
      <c r="AQ757" s="115"/>
      <c r="AR757" s="115"/>
      <c r="AS757" s="29"/>
      <c r="AT757" s="29"/>
      <c r="AX757" s="115"/>
      <c r="AY757" s="115"/>
      <c r="AZ757" s="115"/>
      <c r="BA757" s="115"/>
      <c r="BB757" s="115"/>
      <c r="BC757" s="115"/>
      <c r="BD757" s="25"/>
      <c r="BE757" s="25"/>
      <c r="BJ757" s="116"/>
      <c r="BK757" s="123"/>
      <c r="BL757" s="123"/>
      <c r="BM757" s="123"/>
      <c r="BR757" s="115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25"/>
      <c r="CC757" s="13"/>
      <c r="CF757" s="114"/>
    </row>
    <row r="758" spans="1:84" ht="20.100000000000001" customHeight="1" x14ac:dyDescent="0.4">
      <c r="A758" s="117"/>
      <c r="B758" s="123"/>
      <c r="C758" s="123"/>
      <c r="D758" s="123"/>
      <c r="AK758" s="115"/>
      <c r="AL758" s="115"/>
      <c r="AM758" s="115"/>
      <c r="AN758" s="115"/>
      <c r="AO758" s="115"/>
      <c r="AP758" s="115"/>
      <c r="AQ758" s="115"/>
      <c r="AR758" s="115"/>
      <c r="AS758" s="127"/>
      <c r="AT758" s="29"/>
      <c r="AX758" s="115"/>
      <c r="AY758" s="115"/>
      <c r="AZ758" s="115"/>
      <c r="BA758" s="115"/>
      <c r="BB758" s="115"/>
      <c r="BC758" s="115"/>
      <c r="BD758" s="25"/>
      <c r="BE758" s="25"/>
      <c r="BJ758" s="116"/>
      <c r="BK758" s="123"/>
      <c r="BL758" s="123"/>
      <c r="BM758" s="123"/>
      <c r="BR758" s="115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25"/>
      <c r="CC758" s="13"/>
      <c r="CF758" s="114"/>
    </row>
    <row r="759" spans="1:84" ht="20.100000000000001" customHeight="1" x14ac:dyDescent="0.4">
      <c r="A759" s="117"/>
      <c r="B759" s="123"/>
      <c r="C759" s="123"/>
      <c r="D759" s="123"/>
      <c r="AK759" s="115"/>
      <c r="AL759" s="115"/>
      <c r="AM759" s="115"/>
      <c r="AN759" s="115"/>
      <c r="AO759" s="115"/>
      <c r="AP759" s="115"/>
      <c r="AQ759" s="115"/>
      <c r="AR759" s="115"/>
      <c r="AS759" s="29"/>
      <c r="AT759" s="29"/>
      <c r="AX759" s="115"/>
      <c r="AY759" s="115"/>
      <c r="AZ759" s="115"/>
      <c r="BA759" s="115"/>
      <c r="BB759" s="115"/>
      <c r="BC759" s="115"/>
      <c r="BD759" s="25"/>
      <c r="BE759" s="25"/>
      <c r="BJ759" s="116"/>
      <c r="BK759" s="123"/>
      <c r="BL759" s="123"/>
      <c r="BM759" s="123"/>
      <c r="BR759" s="115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25"/>
      <c r="CC759" s="13"/>
      <c r="CF759" s="114"/>
    </row>
    <row r="760" spans="1:84" ht="20.100000000000001" customHeight="1" x14ac:dyDescent="0.4">
      <c r="A760" s="117"/>
      <c r="B760" s="123"/>
      <c r="C760" s="123"/>
      <c r="D760" s="123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27"/>
      <c r="AT760" s="29"/>
      <c r="AX760" s="115"/>
      <c r="AY760" s="115"/>
      <c r="AZ760" s="115"/>
      <c r="BA760" s="115"/>
      <c r="BB760" s="115"/>
      <c r="BC760" s="115"/>
      <c r="BD760" s="25"/>
      <c r="BE760" s="25"/>
      <c r="BJ760" s="116"/>
      <c r="BK760" s="123"/>
      <c r="BL760" s="123"/>
      <c r="BM760" s="123"/>
      <c r="BR760" s="115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25"/>
      <c r="CC760" s="13"/>
      <c r="CF760" s="114"/>
    </row>
    <row r="761" spans="1:84" ht="20.100000000000001" customHeight="1" x14ac:dyDescent="0.4">
      <c r="A761" s="117"/>
      <c r="B761" s="123"/>
      <c r="C761" s="123"/>
      <c r="D761" s="123"/>
      <c r="AS761" s="127"/>
      <c r="AT761" s="29"/>
      <c r="AX761" s="115"/>
      <c r="AY761" s="115"/>
      <c r="AZ761" s="115"/>
      <c r="BA761" s="115"/>
      <c r="BB761" s="115"/>
      <c r="BC761" s="115"/>
      <c r="BD761" s="25">
        <v>45673</v>
      </c>
      <c r="BE761" s="13" t="s">
        <v>147</v>
      </c>
      <c r="BJ761" s="116"/>
      <c r="BK761" s="123"/>
      <c r="BL761" s="123"/>
      <c r="BM761" s="123"/>
      <c r="BR761" s="115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25"/>
      <c r="CC761" s="13"/>
      <c r="CF761" s="114"/>
    </row>
    <row r="762" spans="1:84" ht="20.100000000000001" customHeight="1" x14ac:dyDescent="0.4">
      <c r="A762" s="117"/>
      <c r="B762" s="123"/>
      <c r="C762" s="123"/>
      <c r="D762" s="123"/>
      <c r="AL762" s="115"/>
      <c r="AM762" s="115"/>
      <c r="AN762" s="115"/>
      <c r="AO762" s="115"/>
      <c r="AP762" s="115"/>
      <c r="AQ762" s="115"/>
      <c r="AR762" s="115"/>
      <c r="AS762" s="127"/>
      <c r="AT762" s="29"/>
      <c r="AX762" s="115"/>
      <c r="AY762" s="115"/>
      <c r="AZ762" s="115"/>
      <c r="BA762" s="115"/>
      <c r="BB762" s="115"/>
      <c r="BC762" s="115"/>
      <c r="BD762" s="25"/>
      <c r="BE762" s="13"/>
      <c r="BJ762" s="116"/>
      <c r="BK762" s="123"/>
      <c r="BL762" s="123"/>
      <c r="BM762" s="123"/>
      <c r="BR762" s="115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25"/>
      <c r="CC762" s="13"/>
      <c r="CF762" s="114"/>
    </row>
    <row r="763" spans="1:84" ht="20.100000000000001" customHeight="1" x14ac:dyDescent="0.4">
      <c r="A763" s="117"/>
      <c r="B763" s="123"/>
      <c r="C763" s="123"/>
      <c r="D763" s="123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27"/>
      <c r="AT763" s="29"/>
      <c r="AX763" s="115"/>
      <c r="AY763" s="115"/>
      <c r="AZ763" s="115"/>
      <c r="BA763" s="115"/>
      <c r="BB763" s="115"/>
      <c r="BC763" s="115"/>
      <c r="BD763" s="25"/>
      <c r="BE763" s="13"/>
      <c r="BJ763" s="116"/>
      <c r="BK763" s="123"/>
      <c r="BL763" s="123"/>
      <c r="BM763" s="123"/>
      <c r="BR763" s="115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25"/>
      <c r="CC763" s="13"/>
      <c r="CF763" s="114"/>
    </row>
    <row r="764" spans="1:84" ht="20.100000000000001" customHeight="1" x14ac:dyDescent="0.4">
      <c r="A764" s="117"/>
      <c r="B764" s="123"/>
      <c r="C764" s="123"/>
      <c r="D764" s="123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29"/>
      <c r="AT764" s="29"/>
      <c r="AX764" s="115"/>
      <c r="AY764" s="115"/>
      <c r="AZ764" s="115"/>
      <c r="BA764" s="115"/>
      <c r="BB764" s="115"/>
      <c r="BC764" s="115"/>
      <c r="BD764" s="25"/>
      <c r="BE764" s="13"/>
      <c r="BJ764" s="116"/>
      <c r="BK764" s="123"/>
      <c r="BL764" s="123"/>
      <c r="BM764" s="123"/>
      <c r="BR764" s="115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25"/>
      <c r="CC764" s="13"/>
      <c r="CF764" s="114"/>
    </row>
    <row r="765" spans="1:84" ht="20.100000000000001" customHeight="1" x14ac:dyDescent="0.4">
      <c r="A765" s="117"/>
      <c r="B765" s="123"/>
      <c r="C765" s="123"/>
      <c r="D765" s="123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27"/>
      <c r="AT765" s="29"/>
      <c r="AX765" s="115"/>
      <c r="AY765" s="115"/>
      <c r="AZ765" s="115"/>
      <c r="BA765" s="115"/>
      <c r="BB765" s="115"/>
      <c r="BC765" s="115"/>
      <c r="BD765" s="25"/>
      <c r="BE765" s="13"/>
      <c r="BJ765" s="116"/>
      <c r="BK765" s="123"/>
      <c r="BL765" s="123"/>
      <c r="BM765" s="123"/>
      <c r="BR765" s="115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25"/>
      <c r="CC765" s="13"/>
      <c r="CF765" s="114"/>
    </row>
    <row r="766" spans="1:84" ht="20.100000000000001" customHeight="1" x14ac:dyDescent="0.4">
      <c r="A766" s="117"/>
      <c r="B766" s="123"/>
      <c r="C766" s="123"/>
      <c r="D766" s="123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29"/>
      <c r="AT766" s="29"/>
      <c r="AX766" s="115"/>
      <c r="AY766" s="115"/>
      <c r="AZ766" s="115"/>
      <c r="BA766" s="115"/>
      <c r="BB766" s="115"/>
      <c r="BC766" s="115"/>
      <c r="BD766" s="25"/>
      <c r="BE766" s="13"/>
      <c r="BJ766" s="116"/>
      <c r="BK766" s="123"/>
      <c r="BL766" s="123"/>
      <c r="BM766" s="123"/>
      <c r="BR766" s="115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25"/>
      <c r="CC766" s="13"/>
      <c r="CF766" s="114"/>
    </row>
    <row r="767" spans="1:84" ht="20.100000000000001" customHeight="1" x14ac:dyDescent="0.4">
      <c r="A767" s="117"/>
      <c r="B767" s="123"/>
      <c r="C767" s="123"/>
      <c r="D767" s="123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27"/>
      <c r="AT767" s="29"/>
      <c r="AX767" s="115"/>
      <c r="AY767" s="115"/>
      <c r="AZ767" s="115"/>
      <c r="BA767" s="115"/>
      <c r="BB767" s="115"/>
      <c r="BC767" s="115"/>
      <c r="BD767" s="25"/>
      <c r="BE767" s="13"/>
      <c r="BJ767" s="116"/>
      <c r="BK767" s="123"/>
      <c r="BL767" s="123"/>
      <c r="BM767" s="123"/>
      <c r="BR767" s="115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25"/>
      <c r="CC767" s="13"/>
      <c r="CF767" s="114"/>
    </row>
    <row r="768" spans="1:84" ht="20.100000000000001" customHeight="1" x14ac:dyDescent="0.4">
      <c r="A768" s="117"/>
      <c r="B768" s="123"/>
      <c r="C768" s="123"/>
      <c r="D768" s="123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29"/>
      <c r="AT768" s="29"/>
      <c r="AX768" s="115"/>
      <c r="AY768" s="115"/>
      <c r="AZ768" s="115"/>
      <c r="BA768" s="115"/>
      <c r="BB768" s="115"/>
      <c r="BC768" s="115"/>
      <c r="BD768" s="25"/>
      <c r="BE768" s="13"/>
      <c r="BJ768" s="116"/>
      <c r="BK768" s="123"/>
      <c r="BL768" s="123"/>
      <c r="BM768" s="123"/>
      <c r="BR768" s="115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25"/>
      <c r="CC768" s="13"/>
      <c r="CF768" s="114"/>
    </row>
    <row r="769" spans="1:84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27"/>
      <c r="AT769" s="127"/>
      <c r="AX769" s="115"/>
      <c r="AY769" s="115"/>
      <c r="AZ769" s="115"/>
      <c r="BA769" s="115"/>
      <c r="BB769" s="115"/>
      <c r="BC769" s="115"/>
      <c r="BD769" s="25"/>
      <c r="BE769" s="13"/>
      <c r="BJ769" s="116"/>
      <c r="BK769" s="123"/>
      <c r="BL769" s="123"/>
      <c r="BM769" s="123"/>
      <c r="BR769" s="115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25"/>
      <c r="CC769" s="13"/>
      <c r="CF769" s="114"/>
    </row>
    <row r="770" spans="1:84" ht="20.100000000000001" customHeight="1" x14ac:dyDescent="0.4">
      <c r="A770" s="117"/>
      <c r="B770" s="123"/>
      <c r="C770" s="123"/>
      <c r="D770" s="123"/>
      <c r="AS770" s="127"/>
      <c r="AT770" s="127"/>
      <c r="AX770" s="115"/>
      <c r="AY770" s="115"/>
      <c r="AZ770" s="115"/>
      <c r="BA770" s="115"/>
      <c r="BB770" s="115"/>
      <c r="BC770" s="115"/>
      <c r="BD770" s="25">
        <v>45673</v>
      </c>
      <c r="BE770" s="13" t="s">
        <v>147</v>
      </c>
      <c r="BJ770" s="116"/>
      <c r="BK770" s="123"/>
      <c r="BL770" s="123"/>
      <c r="BM770" s="123"/>
      <c r="BR770" s="115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25"/>
      <c r="CC770" s="13"/>
      <c r="CF770" s="114"/>
    </row>
    <row r="771" spans="1:84" ht="20.100000000000001" customHeight="1" x14ac:dyDescent="0.4">
      <c r="A771" s="117"/>
      <c r="B771" s="123"/>
      <c r="C771" s="123"/>
      <c r="D771" s="123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27"/>
      <c r="AT771" s="29"/>
      <c r="AX771" s="115"/>
      <c r="AY771" s="115"/>
      <c r="AZ771" s="115"/>
      <c r="BA771" s="115"/>
      <c r="BB771" s="115"/>
      <c r="BC771" s="115"/>
      <c r="BD771" s="25"/>
      <c r="BE771" s="13"/>
      <c r="BJ771" s="116"/>
      <c r="BK771" s="123"/>
      <c r="BL771" s="123"/>
      <c r="BM771" s="123"/>
      <c r="BR771" s="115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25"/>
      <c r="CC771" s="13"/>
      <c r="CF771" s="114"/>
    </row>
    <row r="772" spans="1:84" ht="20.100000000000001" customHeight="1" x14ac:dyDescent="0.4">
      <c r="A772" s="117"/>
      <c r="B772" s="123"/>
      <c r="C772" s="123"/>
      <c r="D772" s="123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127"/>
      <c r="AT772" s="29"/>
      <c r="AX772" s="115"/>
      <c r="AY772" s="115"/>
      <c r="AZ772" s="115"/>
      <c r="BA772" s="115"/>
      <c r="BB772" s="115"/>
      <c r="BC772" s="115"/>
      <c r="BD772" s="25"/>
      <c r="BE772" s="13"/>
      <c r="BJ772" s="116"/>
      <c r="BK772" s="123"/>
      <c r="BL772" s="123"/>
      <c r="BM772" s="123"/>
      <c r="BR772" s="115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25"/>
      <c r="CC772" s="13"/>
      <c r="CF772" s="114"/>
    </row>
    <row r="773" spans="1:84" ht="20.100000000000001" customHeight="1" x14ac:dyDescent="0.4">
      <c r="A773" s="117"/>
      <c r="B773" s="123"/>
      <c r="C773" s="123"/>
      <c r="D773" s="123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127"/>
      <c r="AT773" s="29"/>
      <c r="AX773" s="115"/>
      <c r="AY773" s="115"/>
      <c r="AZ773" s="115"/>
      <c r="BA773" s="115"/>
      <c r="BB773" s="115"/>
      <c r="BC773" s="115"/>
      <c r="BD773" s="25"/>
      <c r="BE773" s="13"/>
      <c r="BJ773" s="116"/>
      <c r="BK773" s="123"/>
      <c r="BL773" s="123"/>
      <c r="BM773" s="123"/>
      <c r="BR773" s="115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25"/>
      <c r="CC773" s="13"/>
      <c r="CF773" s="114"/>
    </row>
    <row r="774" spans="1:84" ht="20.100000000000001" customHeight="1" x14ac:dyDescent="0.4">
      <c r="A774" s="117"/>
      <c r="B774" s="123"/>
      <c r="C774" s="123"/>
      <c r="D774" s="123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127"/>
      <c r="AT774" s="29"/>
      <c r="AX774" s="115"/>
      <c r="AY774" s="115"/>
      <c r="AZ774" s="115"/>
      <c r="BA774" s="115"/>
      <c r="BB774" s="115"/>
      <c r="BC774" s="115"/>
      <c r="BD774" s="25"/>
      <c r="BE774" s="13"/>
      <c r="BJ774" s="116"/>
      <c r="BK774" s="123"/>
      <c r="BL774" s="123"/>
      <c r="BM774" s="123"/>
      <c r="BR774" s="115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25"/>
      <c r="CC774" s="13"/>
      <c r="CF774" s="114"/>
    </row>
    <row r="775" spans="1:84" ht="20.100000000000001" customHeight="1" x14ac:dyDescent="0.4">
      <c r="A775" s="117"/>
      <c r="B775" s="123"/>
      <c r="C775" s="123"/>
      <c r="D775" s="123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29"/>
      <c r="AT775" s="29"/>
      <c r="AX775" s="115"/>
      <c r="AY775" s="115"/>
      <c r="AZ775" s="115"/>
      <c r="BA775" s="115"/>
      <c r="BB775" s="115"/>
      <c r="BC775" s="115"/>
      <c r="BD775" s="25"/>
      <c r="BE775" s="13"/>
      <c r="BJ775" s="116"/>
      <c r="BK775" s="123"/>
      <c r="BL775" s="123"/>
      <c r="BM775" s="123"/>
      <c r="BR775" s="115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25"/>
      <c r="CC775" s="13"/>
      <c r="CF775" s="114"/>
    </row>
    <row r="776" spans="1:84" ht="20.100000000000001" customHeight="1" x14ac:dyDescent="0.4">
      <c r="A776" s="117"/>
      <c r="B776" s="123"/>
      <c r="C776" s="123"/>
      <c r="D776" s="123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29"/>
      <c r="AT776" s="29"/>
      <c r="AX776" s="115"/>
      <c r="AY776" s="115"/>
      <c r="AZ776" s="115"/>
      <c r="BA776" s="115"/>
      <c r="BB776" s="115"/>
      <c r="BC776" s="115"/>
      <c r="BD776" s="25"/>
      <c r="BE776" s="13"/>
      <c r="BJ776" s="116"/>
      <c r="BK776" s="123"/>
      <c r="BL776" s="123"/>
      <c r="BM776" s="123"/>
      <c r="BR776" s="115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25"/>
      <c r="CC776" s="13"/>
      <c r="CF776" s="114"/>
    </row>
    <row r="777" spans="1:84" ht="20.100000000000001" customHeight="1" x14ac:dyDescent="0.4">
      <c r="A777" s="117"/>
      <c r="B777" s="123"/>
      <c r="C777" s="123"/>
      <c r="D777" s="123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127"/>
      <c r="AT777" s="29"/>
      <c r="AX777" s="115"/>
      <c r="AY777" s="115"/>
      <c r="AZ777" s="115"/>
      <c r="BA777" s="115"/>
      <c r="BB777" s="115"/>
      <c r="BC777" s="115"/>
      <c r="BD777" s="25"/>
      <c r="BE777" s="13"/>
      <c r="BJ777" s="116"/>
      <c r="BK777" s="123"/>
      <c r="BL777" s="123"/>
      <c r="BM777" s="123"/>
      <c r="BR777" s="115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25"/>
      <c r="CC777" s="13"/>
      <c r="CF777" s="114"/>
    </row>
    <row r="778" spans="1:84" ht="20.100000000000001" customHeight="1" x14ac:dyDescent="0.4">
      <c r="A778" s="117"/>
      <c r="B778" s="123"/>
      <c r="C778" s="123"/>
      <c r="D778" s="123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127"/>
      <c r="AT778" s="29"/>
      <c r="AX778" s="115"/>
      <c r="AY778" s="115"/>
      <c r="AZ778" s="115"/>
      <c r="BA778" s="115"/>
      <c r="BB778" s="115"/>
      <c r="BC778" s="115"/>
      <c r="BD778" s="25"/>
      <c r="BE778" s="13"/>
      <c r="BJ778" s="116"/>
      <c r="BK778" s="123"/>
      <c r="BL778" s="123"/>
      <c r="BM778" s="123"/>
      <c r="BR778" s="115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25"/>
      <c r="CC778" s="13"/>
      <c r="CF778" s="114"/>
    </row>
    <row r="779" spans="1:84" ht="20.100000000000001" customHeight="1" x14ac:dyDescent="0.4">
      <c r="A779" s="117"/>
      <c r="B779" s="123"/>
      <c r="C779" s="123"/>
      <c r="D779" s="123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127"/>
      <c r="AT779" s="29"/>
      <c r="AX779" s="115"/>
      <c r="AY779" s="115"/>
      <c r="AZ779" s="115"/>
      <c r="BA779" s="115"/>
      <c r="BB779" s="115"/>
      <c r="BC779" s="115"/>
      <c r="BD779" s="25"/>
      <c r="BE779" s="13"/>
      <c r="BJ779" s="116"/>
      <c r="BK779" s="123"/>
      <c r="BL779" s="123"/>
      <c r="BM779" s="123"/>
      <c r="BR779" s="115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25"/>
      <c r="CC779" s="13"/>
      <c r="CF779" s="114"/>
    </row>
    <row r="780" spans="1:84" ht="20.100000000000001" customHeight="1" x14ac:dyDescent="0.4">
      <c r="A780" s="117"/>
      <c r="B780" s="123"/>
      <c r="C780" s="123"/>
      <c r="D780" s="123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127"/>
      <c r="AT780" s="29"/>
      <c r="AX780" s="115"/>
      <c r="AY780" s="115"/>
      <c r="AZ780" s="115"/>
      <c r="BA780" s="115"/>
      <c r="BB780" s="115"/>
      <c r="BC780" s="115"/>
      <c r="BD780" s="25"/>
      <c r="BE780" s="13"/>
      <c r="BJ780" s="116"/>
      <c r="BK780" s="123"/>
      <c r="BL780" s="123"/>
      <c r="BM780" s="123"/>
      <c r="BR780" s="115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25"/>
      <c r="CC780" s="13"/>
      <c r="CF780" s="114"/>
    </row>
    <row r="781" spans="1:84" ht="20.100000000000001" customHeight="1" x14ac:dyDescent="0.4">
      <c r="A781" s="117"/>
      <c r="B781" s="123"/>
      <c r="C781" s="123"/>
      <c r="D781" s="123"/>
      <c r="AS781" s="127"/>
      <c r="AT781" s="29"/>
      <c r="AV781" s="115"/>
      <c r="AW781" s="115"/>
      <c r="AX781" s="115"/>
      <c r="AY781" s="115"/>
      <c r="AZ781" s="115"/>
      <c r="BA781" s="115"/>
      <c r="BB781" s="115"/>
      <c r="BC781" s="115"/>
      <c r="BD781" s="25">
        <v>45673</v>
      </c>
      <c r="BE781" s="13" t="s">
        <v>148</v>
      </c>
      <c r="BJ781" s="116"/>
      <c r="BK781" s="123"/>
      <c r="BL781" s="123"/>
      <c r="BM781" s="123"/>
      <c r="BR781" s="115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25"/>
      <c r="CC781" s="13"/>
      <c r="CF781" s="114"/>
    </row>
    <row r="782" spans="1:84" ht="20.100000000000001" customHeight="1" x14ac:dyDescent="0.4">
      <c r="A782" s="117"/>
      <c r="B782" s="123"/>
      <c r="C782" s="123"/>
      <c r="D782" s="123"/>
      <c r="AL782" s="115"/>
      <c r="AM782" s="115"/>
      <c r="AN782" s="115"/>
      <c r="AO782" s="115"/>
      <c r="AP782" s="115"/>
      <c r="AQ782" s="115"/>
      <c r="AR782" s="115"/>
      <c r="AS782" s="29"/>
      <c r="AT782" s="29"/>
      <c r="AV782" s="115"/>
      <c r="AW782" s="115"/>
      <c r="AX782" s="115"/>
      <c r="AY782" s="115"/>
      <c r="AZ782" s="115"/>
      <c r="BA782" s="115"/>
      <c r="BB782" s="115"/>
      <c r="BC782" s="115"/>
      <c r="BD782" s="25"/>
      <c r="BE782" s="13"/>
      <c r="BJ782" s="116"/>
      <c r="BK782" s="123"/>
      <c r="BL782" s="123"/>
      <c r="BM782" s="123"/>
      <c r="BR782" s="115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25"/>
      <c r="CC782" s="13"/>
      <c r="CF782" s="114"/>
    </row>
    <row r="783" spans="1:84" ht="20.100000000000001" customHeight="1" x14ac:dyDescent="0.4">
      <c r="A783" s="117"/>
      <c r="B783" s="123"/>
      <c r="C783" s="123"/>
      <c r="D783" s="123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127"/>
      <c r="AT783" s="29"/>
      <c r="AV783" s="115"/>
      <c r="AW783" s="115"/>
      <c r="AX783" s="115"/>
      <c r="AY783" s="115"/>
      <c r="AZ783" s="115"/>
      <c r="BA783" s="115"/>
      <c r="BB783" s="115"/>
      <c r="BC783" s="115"/>
      <c r="BD783" s="25"/>
      <c r="BE783" s="13"/>
      <c r="BJ783" s="116"/>
      <c r="BK783" s="123"/>
      <c r="BL783" s="123"/>
      <c r="BM783" s="123"/>
      <c r="BR783" s="115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25"/>
      <c r="CC783" s="13"/>
      <c r="CF783" s="114"/>
    </row>
    <row r="784" spans="1:84" ht="20.100000000000001" customHeight="1" x14ac:dyDescent="0.4">
      <c r="A784" s="117"/>
      <c r="B784" s="123"/>
      <c r="C784" s="123"/>
      <c r="D784" s="123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127"/>
      <c r="AT784" s="29"/>
      <c r="AV784" s="115"/>
      <c r="AW784" s="115"/>
      <c r="AX784" s="115"/>
      <c r="AY784" s="115"/>
      <c r="AZ784" s="115"/>
      <c r="BA784" s="115"/>
      <c r="BB784" s="115"/>
      <c r="BC784" s="115"/>
      <c r="BD784" s="25"/>
      <c r="BE784" s="13"/>
      <c r="BJ784" s="116"/>
      <c r="BK784" s="123"/>
      <c r="BL784" s="123"/>
      <c r="BM784" s="123"/>
      <c r="BR784" s="115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25"/>
      <c r="CC784" s="13"/>
      <c r="CF784" s="114"/>
    </row>
    <row r="785" spans="1:84" ht="20.100000000000001" customHeight="1" x14ac:dyDescent="0.4">
      <c r="A785" s="117"/>
      <c r="B785" s="123"/>
      <c r="C785" s="123"/>
      <c r="D785" s="123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127"/>
      <c r="AT785" s="29"/>
      <c r="AV785" s="115"/>
      <c r="AW785" s="115"/>
      <c r="AX785" s="115"/>
      <c r="AY785" s="115"/>
      <c r="AZ785" s="115"/>
      <c r="BA785" s="115"/>
      <c r="BB785" s="115"/>
      <c r="BC785" s="115"/>
      <c r="BD785" s="25"/>
      <c r="BE785" s="13"/>
      <c r="BJ785" s="116"/>
      <c r="BK785" s="123"/>
      <c r="BL785" s="123"/>
      <c r="BM785" s="123"/>
      <c r="BR785" s="115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25"/>
      <c r="CC785" s="13"/>
      <c r="CF785" s="114"/>
    </row>
    <row r="786" spans="1:84" ht="20.100000000000001" customHeight="1" x14ac:dyDescent="0.4">
      <c r="A786" s="117"/>
      <c r="B786" s="123"/>
      <c r="C786" s="123"/>
      <c r="D786" s="123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127"/>
      <c r="AT786" s="29"/>
      <c r="AV786" s="115"/>
      <c r="AW786" s="115"/>
      <c r="AX786" s="115"/>
      <c r="AY786" s="115"/>
      <c r="AZ786" s="115"/>
      <c r="BA786" s="115"/>
      <c r="BB786" s="115"/>
      <c r="BC786" s="115"/>
      <c r="BD786" s="25"/>
      <c r="BE786" s="13"/>
      <c r="BJ786" s="116"/>
      <c r="BK786" s="123"/>
      <c r="BL786" s="123"/>
      <c r="BM786" s="123"/>
      <c r="BR786" s="115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25"/>
      <c r="CC786" s="13"/>
      <c r="CF786" s="114"/>
    </row>
    <row r="787" spans="1:84" ht="20.100000000000001" customHeight="1" x14ac:dyDescent="0.4">
      <c r="A787" s="117"/>
      <c r="B787" s="123"/>
      <c r="C787" s="123"/>
      <c r="D787" s="123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29"/>
      <c r="AT787" s="29"/>
      <c r="AV787" s="115"/>
      <c r="AW787" s="115"/>
      <c r="AX787" s="115"/>
      <c r="AY787" s="115"/>
      <c r="AZ787" s="115"/>
      <c r="BA787" s="115"/>
      <c r="BB787" s="115"/>
      <c r="BC787" s="115"/>
      <c r="BD787" s="25"/>
      <c r="BE787" s="13"/>
      <c r="BJ787" s="116"/>
      <c r="BK787" s="123"/>
      <c r="BL787" s="123"/>
      <c r="BM787" s="123"/>
      <c r="BR787" s="115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25"/>
      <c r="CC787" s="13"/>
      <c r="CF787" s="114"/>
    </row>
    <row r="788" spans="1:84" ht="20.100000000000001" customHeight="1" x14ac:dyDescent="0.4">
      <c r="A788" s="117"/>
      <c r="B788" s="123"/>
      <c r="C788" s="123"/>
      <c r="D788" s="123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127"/>
      <c r="AT788" s="29"/>
      <c r="AV788" s="115"/>
      <c r="AW788" s="115"/>
      <c r="AX788" s="115"/>
      <c r="AY788" s="115"/>
      <c r="AZ788" s="115"/>
      <c r="BA788" s="115"/>
      <c r="BB788" s="115"/>
      <c r="BC788" s="115"/>
      <c r="BD788" s="25"/>
      <c r="BE788" s="13"/>
      <c r="BJ788" s="116"/>
      <c r="BK788" s="123"/>
      <c r="BL788" s="123"/>
      <c r="BM788" s="123"/>
      <c r="BR788" s="115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25"/>
      <c r="CC788" s="13"/>
      <c r="CF788" s="114"/>
    </row>
    <row r="789" spans="1:84" ht="20.100000000000001" customHeight="1" x14ac:dyDescent="0.4">
      <c r="A789" s="117"/>
      <c r="B789" s="123"/>
      <c r="C789" s="123"/>
      <c r="D789" s="123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27"/>
      <c r="AT789" s="29"/>
      <c r="AV789" s="115"/>
      <c r="AW789" s="115"/>
      <c r="AX789" s="115"/>
      <c r="AY789" s="115"/>
      <c r="AZ789" s="115"/>
      <c r="BA789" s="115"/>
      <c r="BB789" s="115"/>
      <c r="BC789" s="115"/>
      <c r="BD789" s="25"/>
      <c r="BE789" s="13"/>
      <c r="BJ789" s="116"/>
      <c r="BK789" s="123"/>
      <c r="BL789" s="123"/>
      <c r="BM789" s="123"/>
      <c r="BR789" s="115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25"/>
      <c r="CC789" s="13"/>
      <c r="CF789" s="114"/>
    </row>
    <row r="790" spans="1:84" ht="20.100000000000001" customHeight="1" x14ac:dyDescent="0.4">
      <c r="A790" s="117"/>
      <c r="B790" s="123"/>
      <c r="C790" s="123"/>
      <c r="D790" s="123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27"/>
      <c r="AT790" s="29"/>
      <c r="AV790" s="115"/>
      <c r="AW790" s="115"/>
      <c r="AX790" s="115"/>
      <c r="AY790" s="115"/>
      <c r="AZ790" s="115"/>
      <c r="BA790" s="115"/>
      <c r="BB790" s="115"/>
      <c r="BC790" s="115"/>
      <c r="BD790" s="25"/>
      <c r="BE790" s="13"/>
      <c r="BJ790" s="116"/>
      <c r="BK790" s="123"/>
      <c r="BL790" s="123"/>
      <c r="BM790" s="123"/>
      <c r="BR790" s="115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25"/>
      <c r="CC790" s="13"/>
      <c r="CF790" s="114"/>
    </row>
    <row r="791" spans="1:84" ht="20.100000000000001" customHeight="1" x14ac:dyDescent="0.4">
      <c r="A791" s="117"/>
      <c r="B791" s="123"/>
      <c r="C791" s="123"/>
      <c r="D791" s="123"/>
      <c r="AS791" s="127"/>
      <c r="AT791" s="29"/>
      <c r="AV791" s="115"/>
      <c r="AW791" s="115"/>
      <c r="AX791" s="115"/>
      <c r="AY791" s="115"/>
      <c r="AZ791" s="115"/>
      <c r="BA791" s="115"/>
      <c r="BB791" s="115"/>
      <c r="BC791" s="115"/>
      <c r="BD791" s="25">
        <v>45673</v>
      </c>
      <c r="BE791" s="13" t="s">
        <v>147</v>
      </c>
      <c r="BJ791" s="116"/>
      <c r="BK791" s="123"/>
      <c r="BL791" s="123"/>
      <c r="BM791" s="123"/>
      <c r="BR791" s="115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25"/>
      <c r="CC791" s="13"/>
      <c r="CF791" s="114"/>
    </row>
    <row r="792" spans="1:84" ht="20.100000000000001" customHeight="1" x14ac:dyDescent="0.4">
      <c r="A792" s="117"/>
      <c r="B792" s="123"/>
      <c r="C792" s="123"/>
      <c r="D792" s="123"/>
      <c r="AL792" s="115"/>
      <c r="AM792" s="115"/>
      <c r="AN792" s="115"/>
      <c r="AO792" s="115"/>
      <c r="AP792" s="115"/>
      <c r="AQ792" s="115"/>
      <c r="AR792" s="115"/>
      <c r="AS792" s="29"/>
      <c r="AT792" s="29"/>
      <c r="AV792" s="115"/>
      <c r="AW792" s="115"/>
      <c r="AX792" s="115"/>
      <c r="AY792" s="115"/>
      <c r="AZ792" s="115"/>
      <c r="BA792" s="115"/>
      <c r="BB792" s="115"/>
      <c r="BC792" s="115"/>
      <c r="BD792" s="25"/>
      <c r="BE792" s="13"/>
      <c r="BJ792" s="116"/>
      <c r="BK792" s="123"/>
      <c r="BL792" s="123"/>
      <c r="BM792" s="123"/>
      <c r="BR792" s="115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25"/>
      <c r="CC792" s="13"/>
      <c r="CF792" s="114"/>
    </row>
    <row r="793" spans="1:84" ht="20.100000000000001" customHeight="1" x14ac:dyDescent="0.4">
      <c r="A793" s="117"/>
      <c r="B793" s="123"/>
      <c r="C793" s="123"/>
      <c r="D793" s="123"/>
      <c r="AS793" s="127"/>
      <c r="AT793" s="29"/>
      <c r="AV793" s="115"/>
      <c r="AW793" s="115"/>
      <c r="AX793" s="115"/>
      <c r="AY793" s="115"/>
      <c r="AZ793" s="115"/>
      <c r="BA793" s="115"/>
      <c r="BB793" s="115"/>
      <c r="BC793" s="115"/>
      <c r="BD793" s="25"/>
      <c r="BE793" s="13"/>
      <c r="BJ793" s="116"/>
      <c r="BK793" s="123"/>
      <c r="BL793" s="123"/>
      <c r="BM793" s="123"/>
      <c r="BR793" s="115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25"/>
      <c r="CC793" s="13"/>
      <c r="CF793" s="114"/>
    </row>
    <row r="794" spans="1:84" ht="20.100000000000001" customHeight="1" x14ac:dyDescent="0.4">
      <c r="A794" s="117"/>
      <c r="B794" s="123"/>
      <c r="C794" s="123"/>
      <c r="D794" s="123"/>
      <c r="AL794" s="115"/>
      <c r="AM794" s="115"/>
      <c r="AN794" s="115"/>
      <c r="AO794" s="115"/>
      <c r="AP794" s="115"/>
      <c r="AQ794" s="115"/>
      <c r="AR794" s="115"/>
      <c r="AS794" s="29"/>
      <c r="AT794" s="29"/>
      <c r="AV794" s="115"/>
      <c r="AW794" s="115"/>
      <c r="AX794" s="115"/>
      <c r="AY794" s="115"/>
      <c r="AZ794" s="115"/>
      <c r="BA794" s="115"/>
      <c r="BB794" s="115"/>
      <c r="BC794" s="115"/>
      <c r="BD794" s="25"/>
      <c r="BE794" s="13"/>
      <c r="BJ794" s="116"/>
      <c r="BK794" s="123"/>
      <c r="BL794" s="123"/>
      <c r="BM794" s="123"/>
      <c r="BR794" s="115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25"/>
      <c r="CC794" s="13"/>
      <c r="CF794" s="114"/>
    </row>
    <row r="795" spans="1:84" ht="20.100000000000001" customHeight="1" x14ac:dyDescent="0.4">
      <c r="A795" s="117"/>
      <c r="B795" s="123"/>
      <c r="C795" s="123"/>
      <c r="D795" s="123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27"/>
      <c r="AT795" s="29"/>
      <c r="AV795" s="115"/>
      <c r="AW795" s="115"/>
      <c r="AX795" s="115"/>
      <c r="AY795" s="115"/>
      <c r="AZ795" s="115"/>
      <c r="BA795" s="115"/>
      <c r="BB795" s="115"/>
      <c r="BC795" s="115"/>
      <c r="BD795" s="25"/>
      <c r="BE795" s="13"/>
      <c r="BJ795" s="116"/>
      <c r="BK795" s="123"/>
      <c r="BL795" s="123"/>
      <c r="BM795" s="123"/>
      <c r="BR795" s="115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25"/>
      <c r="CC795" s="13"/>
      <c r="CF795" s="114"/>
    </row>
    <row r="796" spans="1:84" ht="20.100000000000001" customHeight="1" x14ac:dyDescent="0.4">
      <c r="A796" s="117"/>
      <c r="B796" s="123"/>
      <c r="C796" s="123"/>
      <c r="D796" s="123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29"/>
      <c r="AT796" s="29"/>
      <c r="AV796" s="115"/>
      <c r="AW796" s="115"/>
      <c r="AX796" s="115"/>
      <c r="AY796" s="115"/>
      <c r="AZ796" s="115"/>
      <c r="BA796" s="115"/>
      <c r="BB796" s="115"/>
      <c r="BC796" s="115"/>
      <c r="BD796" s="25"/>
      <c r="BE796" s="13"/>
      <c r="BJ796" s="116"/>
      <c r="BK796" s="123"/>
      <c r="BL796" s="123"/>
      <c r="BM796" s="123"/>
      <c r="BR796" s="115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25"/>
      <c r="CC796" s="13"/>
      <c r="CF796" s="114"/>
    </row>
    <row r="797" spans="1:84" ht="20.100000000000001" customHeight="1" x14ac:dyDescent="0.4">
      <c r="A797" s="117"/>
      <c r="B797" s="123"/>
      <c r="C797" s="123"/>
      <c r="D797" s="123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29"/>
      <c r="AT797" s="29"/>
      <c r="AV797" s="115"/>
      <c r="AW797" s="115"/>
      <c r="AX797" s="115"/>
      <c r="AY797" s="115"/>
      <c r="AZ797" s="115"/>
      <c r="BA797" s="115"/>
      <c r="BB797" s="115"/>
      <c r="BC797" s="115"/>
      <c r="BD797" s="25"/>
      <c r="BE797" s="13"/>
      <c r="BJ797" s="116"/>
      <c r="BK797" s="123"/>
      <c r="BL797" s="123"/>
      <c r="BM797" s="123"/>
      <c r="BR797" s="115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25"/>
      <c r="CC797" s="13"/>
      <c r="CF797" s="114"/>
    </row>
    <row r="798" spans="1:84" ht="20.100000000000001" customHeight="1" x14ac:dyDescent="0.4">
      <c r="A798" s="117"/>
      <c r="B798" s="123"/>
      <c r="C798" s="123"/>
      <c r="D798" s="123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29"/>
      <c r="AT798" s="29"/>
      <c r="AV798" s="115"/>
      <c r="AW798" s="115"/>
      <c r="AX798" s="115"/>
      <c r="AY798" s="115"/>
      <c r="AZ798" s="115"/>
      <c r="BA798" s="115"/>
      <c r="BB798" s="115"/>
      <c r="BC798" s="115"/>
      <c r="BD798" s="25"/>
      <c r="BE798" s="13"/>
      <c r="BJ798" s="116"/>
      <c r="BK798" s="123"/>
      <c r="BL798" s="123"/>
      <c r="BM798" s="123"/>
      <c r="BR798" s="115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25"/>
      <c r="CC798" s="13"/>
      <c r="CF798" s="114"/>
    </row>
    <row r="799" spans="1:84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27"/>
      <c r="AT799" s="29"/>
      <c r="AV799" s="115"/>
      <c r="AW799" s="115"/>
      <c r="AX799" s="115"/>
      <c r="AY799" s="115"/>
      <c r="AZ799" s="115"/>
      <c r="BA799" s="115"/>
      <c r="BB799" s="115"/>
      <c r="BC799" s="115"/>
      <c r="BD799" s="25"/>
      <c r="BE799" s="13"/>
      <c r="BJ799" s="116"/>
      <c r="BK799" s="123"/>
      <c r="BL799" s="123"/>
      <c r="BM799" s="123"/>
      <c r="BR799" s="115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25"/>
      <c r="CC799" s="13"/>
      <c r="CF799" s="114"/>
    </row>
    <row r="800" spans="1:84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29"/>
      <c r="AT800" s="29"/>
      <c r="AV800" s="115"/>
      <c r="AW800" s="115"/>
      <c r="AX800" s="115"/>
      <c r="AY800" s="115"/>
      <c r="AZ800" s="115"/>
      <c r="BA800" s="115"/>
      <c r="BB800" s="115"/>
      <c r="BC800" s="115"/>
      <c r="BD800" s="25"/>
      <c r="BE800" s="13"/>
      <c r="BJ800" s="116"/>
      <c r="BK800" s="123"/>
      <c r="BL800" s="123"/>
      <c r="BM800" s="123"/>
      <c r="BR800" s="115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25"/>
      <c r="CC800" s="13"/>
      <c r="CF800" s="114"/>
    </row>
    <row r="801" spans="1:84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27"/>
      <c r="AT801" s="29"/>
      <c r="AV801" s="115"/>
      <c r="AW801" s="115"/>
      <c r="AX801" s="115"/>
      <c r="AY801" s="115"/>
      <c r="AZ801" s="115"/>
      <c r="BA801" s="115"/>
      <c r="BB801" s="115"/>
      <c r="BC801" s="115"/>
      <c r="BD801" s="25"/>
      <c r="BE801" s="13"/>
      <c r="BJ801" s="116"/>
      <c r="BK801" s="123"/>
      <c r="BL801" s="123"/>
      <c r="BM801" s="123"/>
      <c r="BR801" s="115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25"/>
      <c r="CC801" s="13"/>
      <c r="CF801" s="114"/>
    </row>
    <row r="802" spans="1:84" ht="20.100000000000001" customHeight="1" x14ac:dyDescent="0.4">
      <c r="A802" s="117"/>
      <c r="B802" s="123"/>
      <c r="C802" s="123"/>
      <c r="D802" s="123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27"/>
      <c r="AT802" s="29"/>
      <c r="AV802" s="115"/>
      <c r="AW802" s="115"/>
      <c r="AX802" s="115"/>
      <c r="AY802" s="115"/>
      <c r="AZ802" s="115"/>
      <c r="BA802" s="115"/>
      <c r="BB802" s="115"/>
      <c r="BC802" s="115"/>
      <c r="BD802" s="25"/>
      <c r="BE802" s="13"/>
      <c r="BJ802" s="116"/>
      <c r="BK802" s="123"/>
      <c r="BL802" s="123"/>
      <c r="BM802" s="123"/>
      <c r="BR802" s="115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25"/>
      <c r="CC802" s="13"/>
      <c r="CF802" s="114"/>
    </row>
    <row r="803" spans="1:84" ht="20.100000000000001" customHeight="1" x14ac:dyDescent="0.4">
      <c r="A803" s="117"/>
      <c r="B803" s="123"/>
      <c r="C803" s="123"/>
      <c r="D803" s="123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27"/>
      <c r="AT803" s="29"/>
      <c r="AV803" s="115"/>
      <c r="AW803" s="115"/>
      <c r="AX803" s="115"/>
      <c r="AY803" s="115"/>
      <c r="AZ803" s="115"/>
      <c r="BA803" s="115"/>
      <c r="BB803" s="115"/>
      <c r="BC803" s="115"/>
      <c r="BD803" s="25"/>
      <c r="BE803" s="13"/>
      <c r="BJ803" s="116"/>
      <c r="BK803" s="123"/>
      <c r="BL803" s="123"/>
      <c r="BM803" s="123"/>
      <c r="BR803" s="115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25"/>
      <c r="CC803" s="13"/>
      <c r="CF803" s="114"/>
    </row>
    <row r="804" spans="1:84" ht="20.100000000000001" customHeight="1" x14ac:dyDescent="0.4">
      <c r="A804" s="117"/>
      <c r="B804" s="123"/>
      <c r="C804" s="123"/>
      <c r="D804" s="123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27"/>
      <c r="AT804" s="29"/>
      <c r="AV804" s="115"/>
      <c r="AW804" s="115"/>
      <c r="AX804" s="115"/>
      <c r="AY804" s="115"/>
      <c r="AZ804" s="115"/>
      <c r="BA804" s="115"/>
      <c r="BB804" s="115"/>
      <c r="BC804" s="115"/>
      <c r="BD804" s="25"/>
      <c r="BE804" s="13"/>
      <c r="BJ804" s="116"/>
      <c r="BK804" s="123"/>
      <c r="BL804" s="123"/>
      <c r="BM804" s="123"/>
      <c r="BR804" s="115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25"/>
      <c r="CC804" s="13"/>
      <c r="CF804" s="114"/>
    </row>
    <row r="805" spans="1:84" ht="20.100000000000001" customHeight="1" x14ac:dyDescent="0.4">
      <c r="A805" s="117"/>
      <c r="B805" s="123"/>
      <c r="C805" s="123"/>
      <c r="D805" s="123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27"/>
      <c r="AT805" s="29"/>
      <c r="AV805" s="115"/>
      <c r="AW805" s="115"/>
      <c r="AX805" s="115"/>
      <c r="AY805" s="115"/>
      <c r="AZ805" s="115"/>
      <c r="BA805" s="115"/>
      <c r="BB805" s="115"/>
      <c r="BC805" s="115"/>
      <c r="BD805" s="25"/>
      <c r="BE805" s="13"/>
      <c r="BJ805" s="116"/>
      <c r="BK805" s="123"/>
      <c r="BL805" s="123"/>
      <c r="BM805" s="123"/>
      <c r="BR805" s="115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25"/>
      <c r="CC805" s="13"/>
      <c r="CF805" s="114"/>
    </row>
    <row r="806" spans="1:84" ht="20.100000000000001" customHeight="1" x14ac:dyDescent="0.4">
      <c r="A806" s="117"/>
      <c r="B806" s="123"/>
      <c r="C806" s="123"/>
      <c r="D806" s="123"/>
      <c r="AS806" s="127"/>
      <c r="AT806" s="29"/>
      <c r="AV806" s="115"/>
      <c r="AW806" s="115"/>
      <c r="AX806" s="115"/>
      <c r="AY806" s="115"/>
      <c r="AZ806" s="115"/>
      <c r="BA806" s="115"/>
      <c r="BB806" s="115"/>
      <c r="BC806" s="115"/>
      <c r="BD806" s="25">
        <v>45673</v>
      </c>
      <c r="BE806" s="13" t="s">
        <v>147</v>
      </c>
      <c r="BJ806" s="116"/>
      <c r="BK806" s="123"/>
      <c r="BL806" s="123"/>
      <c r="BM806" s="123"/>
      <c r="BR806" s="115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25"/>
      <c r="CC806" s="13"/>
      <c r="CF806" s="114"/>
    </row>
    <row r="807" spans="1:84" ht="20.100000000000001" customHeight="1" x14ac:dyDescent="0.4">
      <c r="A807" s="117"/>
      <c r="B807" s="123"/>
      <c r="C807" s="123"/>
      <c r="D807" s="123"/>
      <c r="AS807" s="127"/>
      <c r="AT807" s="29"/>
      <c r="AV807" s="115"/>
      <c r="AW807" s="115"/>
      <c r="AX807" s="115"/>
      <c r="AY807" s="115"/>
      <c r="AZ807" s="115"/>
      <c r="BA807" s="115"/>
      <c r="BB807" s="115"/>
      <c r="BC807" s="115"/>
      <c r="BD807" s="25">
        <v>45673</v>
      </c>
      <c r="BE807" s="13" t="s">
        <v>147</v>
      </c>
      <c r="BJ807" s="116"/>
      <c r="BK807" s="123"/>
      <c r="BL807" s="123"/>
      <c r="BM807" s="123"/>
      <c r="BR807" s="115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25"/>
      <c r="CC807" s="13"/>
      <c r="CF807" s="114"/>
    </row>
    <row r="808" spans="1:84" ht="20.100000000000001" customHeight="1" x14ac:dyDescent="0.4">
      <c r="A808" s="117"/>
      <c r="B808" s="123"/>
      <c r="C808" s="123"/>
      <c r="D808" s="123"/>
      <c r="AS808" s="127"/>
      <c r="AT808" s="29"/>
      <c r="AV808" s="115"/>
      <c r="AW808" s="115"/>
      <c r="AX808" s="115"/>
      <c r="AY808" s="115"/>
      <c r="AZ808" s="115"/>
      <c r="BA808" s="115"/>
      <c r="BB808" s="115"/>
      <c r="BC808" s="115"/>
      <c r="BD808" s="25">
        <v>45675</v>
      </c>
      <c r="BE808" s="13" t="s">
        <v>147</v>
      </c>
      <c r="BJ808" s="116"/>
      <c r="BK808" s="123"/>
      <c r="BL808" s="123"/>
      <c r="BM808" s="123"/>
      <c r="BR808" s="115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25"/>
      <c r="CC808" s="13"/>
      <c r="CF808" s="114"/>
    </row>
    <row r="809" spans="1:84" ht="20.100000000000001" customHeight="1" x14ac:dyDescent="0.4">
      <c r="A809" s="117"/>
      <c r="B809" s="123"/>
      <c r="C809" s="123"/>
      <c r="D809" s="123"/>
      <c r="AS809" s="127"/>
      <c r="AT809" s="29"/>
      <c r="AV809" s="115"/>
      <c r="AW809" s="115"/>
      <c r="AX809" s="115"/>
      <c r="AY809" s="115"/>
      <c r="AZ809" s="115"/>
      <c r="BA809" s="115"/>
      <c r="BB809" s="115"/>
      <c r="BC809" s="115"/>
      <c r="BD809" s="25"/>
      <c r="BE809" s="13"/>
      <c r="BJ809" s="116"/>
      <c r="BK809" s="123"/>
      <c r="BL809" s="123"/>
      <c r="BM809" s="123"/>
      <c r="BR809" s="115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25"/>
      <c r="CC809" s="13"/>
      <c r="CF809" s="114"/>
    </row>
    <row r="810" spans="1:84" ht="20.100000000000001" customHeight="1" x14ac:dyDescent="0.4">
      <c r="A810" s="117"/>
      <c r="B810" s="123"/>
      <c r="C810" s="123"/>
      <c r="D810" s="123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27"/>
      <c r="AT810" s="29"/>
      <c r="AV810" s="115"/>
      <c r="AW810" s="115"/>
      <c r="AX810" s="115"/>
      <c r="AY810" s="115"/>
      <c r="AZ810" s="115"/>
      <c r="BA810" s="115"/>
      <c r="BB810" s="115"/>
      <c r="BC810" s="115"/>
      <c r="BD810" s="25"/>
      <c r="BE810" s="13"/>
      <c r="BJ810" s="116"/>
      <c r="BK810" s="123"/>
      <c r="BL810" s="123"/>
      <c r="BM810" s="123"/>
      <c r="BR810" s="115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25"/>
      <c r="CC810" s="13"/>
      <c r="CF810" s="114"/>
    </row>
    <row r="811" spans="1:84" ht="20.100000000000001" customHeight="1" x14ac:dyDescent="0.4">
      <c r="A811" s="117"/>
      <c r="B811" s="123"/>
      <c r="C811" s="123"/>
      <c r="D811" s="123"/>
      <c r="AS811" s="127"/>
      <c r="AT811" s="29"/>
      <c r="AV811" s="115"/>
      <c r="AW811" s="115"/>
      <c r="AX811" s="115"/>
      <c r="AY811" s="115"/>
      <c r="AZ811" s="115"/>
      <c r="BA811" s="115"/>
      <c r="BB811" s="115"/>
      <c r="BC811" s="115"/>
      <c r="BD811" s="25">
        <v>45675</v>
      </c>
      <c r="BE811" s="15" t="s">
        <v>147</v>
      </c>
      <c r="BJ811" s="116"/>
      <c r="BK811" s="123"/>
      <c r="BL811" s="123"/>
      <c r="BM811" s="123"/>
      <c r="BR811" s="115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25"/>
      <c r="CC811" s="13"/>
      <c r="CF811" s="114"/>
    </row>
    <row r="812" spans="1:84" ht="20.100000000000001" customHeight="1" x14ac:dyDescent="0.4">
      <c r="A812" s="117"/>
      <c r="B812" s="123"/>
      <c r="C812" s="123"/>
      <c r="D812" s="123"/>
      <c r="AS812" s="127"/>
      <c r="AT812" s="29"/>
      <c r="AV812" s="115"/>
      <c r="AW812" s="115"/>
      <c r="AX812" s="115"/>
      <c r="AY812" s="115"/>
      <c r="AZ812" s="115"/>
      <c r="BA812" s="115"/>
      <c r="BB812" s="115"/>
      <c r="BC812" s="115"/>
      <c r="BD812" s="25"/>
      <c r="BE812" s="13"/>
      <c r="BJ812" s="116"/>
      <c r="BK812" s="123"/>
      <c r="BL812" s="123"/>
      <c r="BM812" s="123"/>
      <c r="BR812" s="115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25"/>
      <c r="CC812" s="13"/>
      <c r="CF812" s="114"/>
    </row>
    <row r="813" spans="1:84" ht="20.100000000000001" customHeight="1" x14ac:dyDescent="0.4">
      <c r="A813" s="117"/>
      <c r="B813" s="123"/>
      <c r="C813" s="123"/>
      <c r="D813" s="123"/>
      <c r="AS813" s="127"/>
      <c r="AT813" s="29"/>
      <c r="AV813" s="115"/>
      <c r="AW813" s="115"/>
      <c r="AX813" s="115"/>
      <c r="AY813" s="115"/>
      <c r="AZ813" s="115"/>
      <c r="BA813" s="115"/>
      <c r="BB813" s="115"/>
      <c r="BC813" s="115"/>
      <c r="BD813" s="25">
        <v>45675</v>
      </c>
      <c r="BE813" s="13" t="s">
        <v>147</v>
      </c>
      <c r="BJ813" s="116"/>
      <c r="BK813" s="123"/>
      <c r="BL813" s="123"/>
      <c r="BM813" s="123"/>
      <c r="BR813" s="115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25"/>
      <c r="CC813" s="13"/>
      <c r="CF813" s="114"/>
    </row>
    <row r="814" spans="1:84" ht="20.100000000000001" customHeight="1" x14ac:dyDescent="0.4">
      <c r="A814" s="117"/>
      <c r="B814" s="123"/>
      <c r="C814" s="123"/>
      <c r="D814" s="123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27"/>
      <c r="AT814" s="29"/>
      <c r="AV814" s="115"/>
      <c r="AW814" s="115"/>
      <c r="AX814" s="115"/>
      <c r="AY814" s="115"/>
      <c r="AZ814" s="115"/>
      <c r="BA814" s="115"/>
      <c r="BB814" s="115"/>
      <c r="BC814" s="115"/>
      <c r="BD814" s="25"/>
      <c r="BE814" s="13"/>
      <c r="BJ814" s="116"/>
      <c r="BK814" s="123"/>
      <c r="BL814" s="123"/>
      <c r="BM814" s="123"/>
      <c r="BR814" s="115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25"/>
      <c r="CC814" s="13"/>
      <c r="CF814" s="114"/>
    </row>
    <row r="815" spans="1:84" ht="20.100000000000001" customHeight="1" x14ac:dyDescent="0.4">
      <c r="A815" s="117"/>
      <c r="B815" s="123"/>
      <c r="C815" s="123"/>
      <c r="D815" s="123"/>
      <c r="AS815" s="127"/>
      <c r="AT815" s="29"/>
      <c r="AV815" s="115"/>
      <c r="AW815" s="115"/>
      <c r="AX815" s="115"/>
      <c r="AY815" s="115"/>
      <c r="AZ815" s="115"/>
      <c r="BA815" s="115"/>
      <c r="BB815" s="115"/>
      <c r="BC815" s="115"/>
      <c r="BD815" s="25"/>
      <c r="BE815" s="13"/>
      <c r="BJ815" s="116"/>
      <c r="BK815" s="123"/>
      <c r="BL815" s="123"/>
      <c r="BM815" s="123"/>
      <c r="BR815" s="115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25"/>
      <c r="CC815" s="13"/>
      <c r="CF815" s="114"/>
    </row>
    <row r="816" spans="1:84" ht="20.100000000000001" customHeight="1" x14ac:dyDescent="0.4">
      <c r="A816" s="117"/>
      <c r="B816" s="123"/>
      <c r="C816" s="123"/>
      <c r="D816" s="123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27"/>
      <c r="AT816" s="29"/>
      <c r="AV816" s="115"/>
      <c r="AW816" s="115"/>
      <c r="AX816" s="115"/>
      <c r="AY816" s="115"/>
      <c r="AZ816" s="115"/>
      <c r="BA816" s="115"/>
      <c r="BB816" s="115"/>
      <c r="BC816" s="115"/>
      <c r="BD816" s="25"/>
      <c r="BE816" s="13"/>
      <c r="BJ816" s="116"/>
      <c r="BK816" s="123"/>
      <c r="BL816" s="123"/>
      <c r="BM816" s="123"/>
      <c r="BR816" s="115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25"/>
      <c r="CC816" s="13"/>
      <c r="CF816" s="114"/>
    </row>
    <row r="817" spans="1:84" ht="20.100000000000001" customHeight="1" x14ac:dyDescent="0.4">
      <c r="A817" s="117"/>
      <c r="B817" s="123"/>
      <c r="C817" s="123"/>
      <c r="D817" s="123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29"/>
      <c r="AT817" s="29"/>
      <c r="AV817" s="115"/>
      <c r="AW817" s="115"/>
      <c r="AX817" s="115"/>
      <c r="AY817" s="115"/>
      <c r="AZ817" s="115"/>
      <c r="BA817" s="115"/>
      <c r="BB817" s="115"/>
      <c r="BC817" s="115"/>
      <c r="BD817" s="25"/>
      <c r="BE817" s="13"/>
      <c r="BJ817" s="116"/>
      <c r="BK817" s="123"/>
      <c r="BL817" s="123"/>
      <c r="BM817" s="123"/>
      <c r="BR817" s="115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25"/>
      <c r="CC817" s="13"/>
      <c r="CF817" s="114"/>
    </row>
    <row r="818" spans="1:84" ht="20.100000000000001" customHeight="1" x14ac:dyDescent="0.4">
      <c r="A818" s="117"/>
      <c r="B818" s="123"/>
      <c r="C818" s="123"/>
      <c r="D818" s="123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127"/>
      <c r="AT818" s="127"/>
      <c r="AV818" s="115"/>
      <c r="AW818" s="115"/>
      <c r="AX818" s="115"/>
      <c r="AY818" s="115"/>
      <c r="AZ818" s="115"/>
      <c r="BA818" s="115"/>
      <c r="BB818" s="115"/>
      <c r="BC818" s="115"/>
      <c r="BD818" s="25"/>
      <c r="BE818" s="13"/>
      <c r="BJ818" s="116"/>
      <c r="BK818" s="123"/>
      <c r="BL818" s="123"/>
      <c r="BM818" s="123"/>
      <c r="BR818" s="115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25"/>
      <c r="CC818" s="13"/>
      <c r="CF818" s="114"/>
    </row>
    <row r="819" spans="1:84" ht="20.100000000000001" customHeight="1" x14ac:dyDescent="0.4">
      <c r="A819" s="117"/>
      <c r="B819" s="123"/>
      <c r="C819" s="123"/>
      <c r="D819" s="123"/>
      <c r="AS819" s="127"/>
      <c r="AT819" s="127"/>
      <c r="AV819" s="115"/>
      <c r="AW819" s="115"/>
      <c r="AX819" s="115"/>
      <c r="AY819" s="115"/>
      <c r="AZ819" s="115"/>
      <c r="BA819" s="115"/>
      <c r="BB819" s="115"/>
      <c r="BC819" s="115"/>
      <c r="BD819" s="25"/>
      <c r="BE819" s="13"/>
      <c r="BJ819" s="116"/>
      <c r="BK819" s="123"/>
      <c r="BL819" s="123"/>
      <c r="BM819" s="123"/>
      <c r="BR819" s="115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25"/>
      <c r="CC819" s="13"/>
      <c r="CF819" s="114"/>
    </row>
    <row r="820" spans="1:84" ht="20.100000000000001" customHeight="1" x14ac:dyDescent="0.4">
      <c r="A820" s="117"/>
      <c r="B820" s="123"/>
      <c r="C820" s="123"/>
      <c r="D820" s="123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127"/>
      <c r="AT820" s="127"/>
      <c r="AV820" s="115"/>
      <c r="AW820" s="115"/>
      <c r="AX820" s="115"/>
      <c r="AY820" s="115"/>
      <c r="AZ820" s="115"/>
      <c r="BA820" s="115"/>
      <c r="BB820" s="115"/>
      <c r="BC820" s="115"/>
      <c r="BD820" s="25"/>
      <c r="BE820" s="13"/>
      <c r="BJ820" s="116"/>
      <c r="BK820" s="123"/>
      <c r="BL820" s="123"/>
      <c r="BM820" s="123"/>
      <c r="BR820" s="115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25"/>
      <c r="CC820" s="13"/>
      <c r="CF820" s="114"/>
    </row>
    <row r="821" spans="1:84" ht="20.100000000000001" customHeight="1" x14ac:dyDescent="0.4">
      <c r="A821" s="117"/>
      <c r="B821" s="123"/>
      <c r="C821" s="123"/>
      <c r="D821" s="123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27"/>
      <c r="AT821" s="29"/>
      <c r="AV821" s="115"/>
      <c r="AW821" s="115"/>
      <c r="AX821" s="115"/>
      <c r="AY821" s="115"/>
      <c r="AZ821" s="115"/>
      <c r="BA821" s="115"/>
      <c r="BB821" s="115"/>
      <c r="BC821" s="115"/>
      <c r="BD821" s="25"/>
      <c r="BE821" s="13"/>
      <c r="BJ821" s="116"/>
      <c r="BK821" s="123"/>
      <c r="BL821" s="123"/>
      <c r="BM821" s="123"/>
      <c r="BR821" s="115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25"/>
      <c r="CC821" s="13"/>
      <c r="CF821" s="114"/>
    </row>
    <row r="822" spans="1:84" ht="20.100000000000001" customHeight="1" x14ac:dyDescent="0.4">
      <c r="A822" s="117"/>
      <c r="B822" s="123"/>
      <c r="C822" s="123"/>
      <c r="D822" s="123"/>
      <c r="AS822" s="127"/>
      <c r="AT822" s="29"/>
      <c r="AU822" s="115"/>
      <c r="AV822" s="115"/>
      <c r="AW822" s="115"/>
      <c r="AX822" s="115"/>
      <c r="AY822" s="115"/>
      <c r="AZ822" s="115"/>
      <c r="BA822" s="115"/>
      <c r="BB822" s="115"/>
      <c r="BC822" s="115"/>
      <c r="BD822" s="25">
        <v>45675</v>
      </c>
      <c r="BE822" s="13" t="s">
        <v>146</v>
      </c>
      <c r="BJ822" s="116"/>
      <c r="BK822" s="123"/>
      <c r="BL822" s="123"/>
      <c r="BM822" s="123"/>
      <c r="BR822" s="115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25"/>
      <c r="CC822" s="13"/>
      <c r="CF822" s="114"/>
    </row>
    <row r="823" spans="1:84" ht="20.100000000000001" customHeight="1" x14ac:dyDescent="0.4">
      <c r="A823" s="117"/>
      <c r="B823" s="123"/>
      <c r="C823" s="123"/>
      <c r="D823" s="123"/>
      <c r="AK823" s="115"/>
      <c r="AL823" s="115"/>
      <c r="AM823" s="115"/>
      <c r="AN823" s="115"/>
      <c r="AO823" s="115"/>
      <c r="AP823" s="115"/>
      <c r="AQ823" s="115"/>
      <c r="AR823" s="115"/>
      <c r="AS823" s="29"/>
      <c r="AT823" s="29"/>
      <c r="AU823" s="115"/>
      <c r="AV823" s="115"/>
      <c r="AW823" s="115"/>
      <c r="AX823" s="115"/>
      <c r="AY823" s="115"/>
      <c r="AZ823" s="115"/>
      <c r="BA823" s="115"/>
      <c r="BB823" s="115"/>
      <c r="BC823" s="115"/>
      <c r="BD823" s="25"/>
      <c r="BE823" s="13"/>
      <c r="BJ823" s="116"/>
      <c r="BK823" s="123"/>
      <c r="BL823" s="123"/>
      <c r="BM823" s="123"/>
      <c r="BR823" s="115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25"/>
      <c r="CC823" s="13"/>
      <c r="CF823" s="114"/>
    </row>
    <row r="824" spans="1:84" ht="20.100000000000001" customHeight="1" x14ac:dyDescent="0.4">
      <c r="A824" s="117"/>
      <c r="B824" s="123"/>
      <c r="C824" s="123"/>
      <c r="D824" s="123"/>
      <c r="AS824" s="127"/>
      <c r="AT824" s="29"/>
      <c r="AU824" s="115"/>
      <c r="AV824" s="115"/>
      <c r="AW824" s="115"/>
      <c r="AX824" s="115"/>
      <c r="AY824" s="115"/>
      <c r="AZ824" s="115"/>
      <c r="BA824" s="115"/>
      <c r="BB824" s="115"/>
      <c r="BC824" s="115"/>
      <c r="BD824" s="25">
        <v>45676</v>
      </c>
      <c r="BE824" s="13" t="s">
        <v>148</v>
      </c>
      <c r="BJ824" s="116"/>
      <c r="BK824" s="123"/>
      <c r="BL824" s="123"/>
      <c r="BM824" s="123"/>
      <c r="BR824" s="115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25"/>
      <c r="CC824" s="13"/>
      <c r="CF824" s="114"/>
    </row>
    <row r="825" spans="1:84" ht="20.100000000000001" customHeight="1" x14ac:dyDescent="0.4">
      <c r="A825" s="117"/>
      <c r="B825" s="123"/>
      <c r="C825" s="123"/>
      <c r="D825" s="123"/>
      <c r="AK825" s="115"/>
      <c r="AL825" s="115"/>
      <c r="AM825" s="115"/>
      <c r="AN825" s="115"/>
      <c r="AO825" s="115"/>
      <c r="AP825" s="115"/>
      <c r="AQ825" s="115"/>
      <c r="AR825" s="115"/>
      <c r="AS825" s="29"/>
      <c r="AT825" s="29"/>
      <c r="AU825" s="115"/>
      <c r="AV825" s="115"/>
      <c r="AW825" s="115"/>
      <c r="AX825" s="115"/>
      <c r="AY825" s="115"/>
      <c r="AZ825" s="115"/>
      <c r="BA825" s="115"/>
      <c r="BB825" s="115"/>
      <c r="BC825" s="115"/>
      <c r="BD825" s="25"/>
      <c r="BE825" s="13"/>
      <c r="BJ825" s="116"/>
      <c r="BK825" s="123"/>
      <c r="BL825" s="123"/>
      <c r="BM825" s="123"/>
      <c r="BR825" s="115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25"/>
      <c r="CC825" s="13"/>
      <c r="CF825" s="114"/>
    </row>
    <row r="826" spans="1:84" ht="20.100000000000001" customHeight="1" x14ac:dyDescent="0.4">
      <c r="A826" s="117"/>
      <c r="B826" s="123"/>
      <c r="C826" s="123"/>
      <c r="D826" s="123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27"/>
      <c r="AT826" s="29"/>
      <c r="AU826" s="115"/>
      <c r="AV826" s="115"/>
      <c r="AW826" s="115"/>
      <c r="AX826" s="115"/>
      <c r="AY826" s="115"/>
      <c r="AZ826" s="115"/>
      <c r="BA826" s="115"/>
      <c r="BB826" s="115"/>
      <c r="BC826" s="115"/>
      <c r="BD826" s="25"/>
      <c r="BE826" s="13"/>
      <c r="BJ826" s="116"/>
      <c r="BK826" s="123"/>
      <c r="BL826" s="123"/>
      <c r="BM826" s="123"/>
      <c r="BR826" s="115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25"/>
      <c r="CC826" s="13"/>
      <c r="CF826" s="114"/>
    </row>
    <row r="827" spans="1:84" ht="20.100000000000001" customHeight="1" x14ac:dyDescent="0.4">
      <c r="A827" s="117"/>
      <c r="B827" s="123"/>
      <c r="C827" s="123"/>
      <c r="D827" s="123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29"/>
      <c r="AT827" s="29"/>
      <c r="AU827" s="115"/>
      <c r="AV827" s="115"/>
      <c r="AW827" s="115"/>
      <c r="AX827" s="115"/>
      <c r="AY827" s="115"/>
      <c r="AZ827" s="115"/>
      <c r="BA827" s="115"/>
      <c r="BB827" s="115"/>
      <c r="BC827" s="115"/>
      <c r="BD827" s="25"/>
      <c r="BE827" s="13"/>
      <c r="BJ827" s="116"/>
      <c r="BK827" s="123"/>
      <c r="BL827" s="123"/>
      <c r="BM827" s="123"/>
      <c r="BR827" s="115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25"/>
      <c r="CC827" s="13"/>
      <c r="CF827" s="114"/>
    </row>
    <row r="828" spans="1:84" ht="20.100000000000001" customHeight="1" x14ac:dyDescent="0.4">
      <c r="A828" s="117"/>
      <c r="B828" s="123"/>
      <c r="C828" s="123"/>
      <c r="D828" s="123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27"/>
      <c r="AT828" s="29"/>
      <c r="AU828" s="115"/>
      <c r="AV828" s="115"/>
      <c r="AW828" s="115"/>
      <c r="AX828" s="115"/>
      <c r="AY828" s="115"/>
      <c r="AZ828" s="115"/>
      <c r="BA828" s="115"/>
      <c r="BB828" s="115"/>
      <c r="BC828" s="115"/>
      <c r="BD828" s="25"/>
      <c r="BE828" s="13"/>
      <c r="BJ828" s="116"/>
      <c r="BK828" s="123"/>
      <c r="BL828" s="123"/>
      <c r="BM828" s="123"/>
      <c r="BR828" s="115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25"/>
      <c r="CC828" s="13"/>
      <c r="CF828" s="114"/>
    </row>
    <row r="829" spans="1:84" ht="20.100000000000001" customHeight="1" x14ac:dyDescent="0.4">
      <c r="A829" s="117"/>
      <c r="B829" s="123"/>
      <c r="C829" s="123"/>
      <c r="D829" s="123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27"/>
      <c r="AT829" s="29"/>
      <c r="AU829" s="115"/>
      <c r="AV829" s="115"/>
      <c r="AW829" s="115"/>
      <c r="AX829" s="115"/>
      <c r="AY829" s="115"/>
      <c r="AZ829" s="115"/>
      <c r="BA829" s="115"/>
      <c r="BB829" s="115"/>
      <c r="BC829" s="115"/>
      <c r="BD829" s="25"/>
      <c r="BE829" s="13"/>
      <c r="BJ829" s="116"/>
      <c r="BK829" s="123"/>
      <c r="BL829" s="123"/>
      <c r="BM829" s="123"/>
      <c r="BR829" s="115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25"/>
      <c r="CC829" s="13"/>
      <c r="CF829" s="114"/>
    </row>
    <row r="830" spans="1:84" ht="20.100000000000001" customHeight="1" x14ac:dyDescent="0.4">
      <c r="A830" s="117"/>
      <c r="B830" s="123"/>
      <c r="C830" s="123"/>
      <c r="D830" s="123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27"/>
      <c r="AT830" s="29"/>
      <c r="AU830" s="115"/>
      <c r="AV830" s="115"/>
      <c r="AW830" s="115"/>
      <c r="AX830" s="115"/>
      <c r="AY830" s="115"/>
      <c r="AZ830" s="115"/>
      <c r="BA830" s="115"/>
      <c r="BB830" s="115"/>
      <c r="BC830" s="115"/>
      <c r="BD830" s="25"/>
      <c r="BE830" s="13"/>
      <c r="BJ830" s="116"/>
      <c r="BK830" s="123"/>
      <c r="BL830" s="123"/>
      <c r="BM830" s="123"/>
      <c r="BR830" s="115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25"/>
      <c r="CC830" s="13"/>
      <c r="CF830" s="114"/>
    </row>
    <row r="831" spans="1:84" ht="20.100000000000001" customHeight="1" x14ac:dyDescent="0.4">
      <c r="A831" s="117"/>
      <c r="B831" s="123"/>
      <c r="C831" s="123"/>
      <c r="D831" s="123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27"/>
      <c r="AT831" s="29"/>
      <c r="AU831" s="115"/>
      <c r="AV831" s="115"/>
      <c r="AW831" s="115"/>
      <c r="AX831" s="115"/>
      <c r="AY831" s="115"/>
      <c r="AZ831" s="115"/>
      <c r="BA831" s="115"/>
      <c r="BB831" s="115"/>
      <c r="BC831" s="115"/>
      <c r="BD831" s="25"/>
      <c r="BE831" s="13"/>
      <c r="BJ831" s="116"/>
      <c r="BK831" s="123"/>
      <c r="BL831" s="123"/>
      <c r="BM831" s="123"/>
      <c r="BR831" s="115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25"/>
      <c r="CC831" s="13"/>
      <c r="CF831" s="114"/>
    </row>
    <row r="832" spans="1:84" ht="20.100000000000001" customHeight="1" x14ac:dyDescent="0.4">
      <c r="A832" s="117"/>
      <c r="B832" s="123"/>
      <c r="C832" s="123"/>
      <c r="D832" s="123"/>
      <c r="AS832" s="127"/>
      <c r="AT832" s="29"/>
      <c r="AU832" s="115"/>
      <c r="AV832" s="115"/>
      <c r="AW832" s="115"/>
      <c r="AX832" s="115"/>
      <c r="AY832" s="115"/>
      <c r="AZ832" s="115"/>
      <c r="BA832" s="115"/>
      <c r="BB832" s="115"/>
      <c r="BC832" s="115"/>
      <c r="BD832" s="25">
        <v>45677</v>
      </c>
      <c r="BE832" s="13" t="s">
        <v>146</v>
      </c>
      <c r="BJ832" s="116"/>
      <c r="BK832" s="123"/>
      <c r="BL832" s="123"/>
      <c r="BM832" s="123"/>
      <c r="BR832" s="115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25"/>
      <c r="CC832" s="13"/>
      <c r="CF832" s="114"/>
    </row>
    <row r="833" spans="1:84" ht="20.100000000000001" customHeight="1" x14ac:dyDescent="0.4">
      <c r="A833" s="117"/>
      <c r="B833" s="123"/>
      <c r="C833" s="123"/>
      <c r="D833" s="123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127"/>
      <c r="AT833" s="29"/>
      <c r="AU833" s="115"/>
      <c r="AV833" s="115"/>
      <c r="AW833" s="115"/>
      <c r="AX833" s="115"/>
      <c r="AY833" s="115"/>
      <c r="AZ833" s="115"/>
      <c r="BA833" s="115"/>
      <c r="BB833" s="115"/>
      <c r="BC833" s="115"/>
      <c r="BD833" s="25"/>
      <c r="BE833" s="13"/>
      <c r="BJ833" s="116"/>
      <c r="BK833" s="123"/>
      <c r="BL833" s="123"/>
      <c r="BM833" s="123"/>
      <c r="BR833" s="115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25"/>
      <c r="CC833" s="13"/>
      <c r="CF833" s="114"/>
    </row>
    <row r="834" spans="1:84" ht="20.100000000000001" customHeight="1" x14ac:dyDescent="0.4">
      <c r="A834" s="117"/>
      <c r="B834" s="123"/>
      <c r="C834" s="123"/>
      <c r="D834" s="123"/>
      <c r="AS834" s="127"/>
      <c r="AT834" s="29"/>
      <c r="AU834" s="115"/>
      <c r="AV834" s="115"/>
      <c r="AW834" s="115"/>
      <c r="AX834" s="115"/>
      <c r="AY834" s="115"/>
      <c r="AZ834" s="115"/>
      <c r="BA834" s="115"/>
      <c r="BB834" s="115"/>
      <c r="BC834" s="115"/>
      <c r="BD834" s="25"/>
      <c r="BE834" s="13"/>
      <c r="BJ834" s="116"/>
      <c r="BK834" s="123"/>
      <c r="BL834" s="123"/>
      <c r="BM834" s="123"/>
      <c r="BR834" s="115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25"/>
      <c r="CC834" s="13"/>
      <c r="CF834" s="114"/>
    </row>
    <row r="835" spans="1:84" ht="20.100000000000001" customHeight="1" x14ac:dyDescent="0.4">
      <c r="A835" s="117"/>
      <c r="B835" s="123"/>
      <c r="C835" s="123"/>
      <c r="D835" s="123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127"/>
      <c r="AT835" s="29"/>
      <c r="AU835" s="115"/>
      <c r="AV835" s="115"/>
      <c r="AW835" s="115"/>
      <c r="AX835" s="115"/>
      <c r="AY835" s="115"/>
      <c r="AZ835" s="115"/>
      <c r="BA835" s="115"/>
      <c r="BB835" s="115"/>
      <c r="BC835" s="115"/>
      <c r="BD835" s="25"/>
      <c r="BE835" s="13"/>
      <c r="BJ835" s="116"/>
      <c r="BK835" s="123"/>
      <c r="BL835" s="123"/>
      <c r="BM835" s="123"/>
      <c r="BR835" s="115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25"/>
      <c r="CC835" s="13"/>
      <c r="CF835" s="114"/>
    </row>
    <row r="836" spans="1:84" ht="20.100000000000001" customHeight="1" x14ac:dyDescent="0.4">
      <c r="A836" s="117"/>
      <c r="B836" s="123"/>
      <c r="C836" s="123"/>
      <c r="D836" s="123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127"/>
      <c r="AT836" s="29"/>
      <c r="AU836" s="115"/>
      <c r="AV836" s="115"/>
      <c r="AW836" s="115"/>
      <c r="AX836" s="115"/>
      <c r="AY836" s="115"/>
      <c r="AZ836" s="115"/>
      <c r="BA836" s="115"/>
      <c r="BB836" s="115"/>
      <c r="BC836" s="115"/>
      <c r="BD836" s="25"/>
      <c r="BE836" s="13"/>
      <c r="BJ836" s="116"/>
      <c r="BK836" s="123"/>
      <c r="BL836" s="123"/>
      <c r="BM836" s="123"/>
      <c r="BR836" s="115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25"/>
      <c r="CC836" s="13"/>
      <c r="CF836" s="114"/>
    </row>
    <row r="837" spans="1:84" ht="20.100000000000001" customHeight="1" x14ac:dyDescent="0.4">
      <c r="A837" s="117"/>
      <c r="B837" s="123"/>
      <c r="C837" s="123"/>
      <c r="D837" s="123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127"/>
      <c r="AT837" s="29"/>
      <c r="AU837" s="115"/>
      <c r="AV837" s="115"/>
      <c r="AW837" s="115"/>
      <c r="AX837" s="115"/>
      <c r="AY837" s="115"/>
      <c r="AZ837" s="115"/>
      <c r="BA837" s="115"/>
      <c r="BB837" s="115"/>
      <c r="BC837" s="115"/>
      <c r="BD837" s="25"/>
      <c r="BE837" s="13"/>
      <c r="BJ837" s="116"/>
      <c r="BK837" s="123"/>
      <c r="BL837" s="123"/>
      <c r="BM837" s="123"/>
      <c r="BR837" s="115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25"/>
      <c r="CC837" s="13"/>
      <c r="CF837" s="114"/>
    </row>
    <row r="838" spans="1:84" ht="20.100000000000001" customHeight="1" x14ac:dyDescent="0.4">
      <c r="A838" s="117"/>
      <c r="B838" s="123"/>
      <c r="C838" s="123"/>
      <c r="D838" s="123"/>
      <c r="AS838" s="127"/>
      <c r="AT838" s="29"/>
      <c r="AU838" s="115"/>
      <c r="AV838" s="115"/>
      <c r="AW838" s="115"/>
      <c r="AX838" s="115"/>
      <c r="AY838" s="115"/>
      <c r="AZ838" s="115"/>
      <c r="BA838" s="115"/>
      <c r="BB838" s="115"/>
      <c r="BC838" s="115"/>
      <c r="BD838" s="25">
        <v>45677</v>
      </c>
      <c r="BE838" s="13" t="s">
        <v>146</v>
      </c>
      <c r="BJ838" s="116"/>
      <c r="BK838" s="123"/>
      <c r="BL838" s="123"/>
      <c r="BM838" s="123"/>
      <c r="BR838" s="115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25"/>
      <c r="CC838" s="13"/>
      <c r="CF838" s="114"/>
    </row>
    <row r="839" spans="1:84" ht="20.100000000000001" customHeight="1" x14ac:dyDescent="0.4">
      <c r="A839" s="117"/>
      <c r="B839" s="123"/>
      <c r="C839" s="123"/>
      <c r="D839" s="123"/>
      <c r="AJ839" s="115"/>
      <c r="AK839" s="115"/>
      <c r="AL839" s="115"/>
      <c r="AM839" s="115"/>
      <c r="AN839" s="115"/>
      <c r="AO839" s="115"/>
      <c r="AP839" s="115"/>
      <c r="AQ839" s="115"/>
      <c r="AR839" s="115"/>
      <c r="AS839" s="127"/>
      <c r="AT839" s="29"/>
      <c r="AU839" s="115"/>
      <c r="AV839" s="115"/>
      <c r="AW839" s="115"/>
      <c r="AX839" s="115"/>
      <c r="AY839" s="115"/>
      <c r="AZ839" s="115"/>
      <c r="BA839" s="115"/>
      <c r="BB839" s="115"/>
      <c r="BC839" s="115"/>
      <c r="BD839" s="25"/>
      <c r="BE839" s="13"/>
      <c r="BJ839" s="116"/>
      <c r="BK839" s="123"/>
      <c r="BL839" s="123"/>
      <c r="BM839" s="123"/>
      <c r="BR839" s="115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25"/>
      <c r="CC839" s="13"/>
      <c r="CF839" s="114"/>
    </row>
    <row r="840" spans="1:84" ht="20.100000000000001" customHeight="1" x14ac:dyDescent="0.4">
      <c r="A840" s="117"/>
      <c r="B840" s="123"/>
      <c r="C840" s="123"/>
      <c r="D840" s="123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27"/>
      <c r="AT840" s="29"/>
      <c r="AU840" s="115"/>
      <c r="AV840" s="115"/>
      <c r="AW840" s="115"/>
      <c r="AX840" s="115"/>
      <c r="AY840" s="115"/>
      <c r="AZ840" s="115"/>
      <c r="BA840" s="115"/>
      <c r="BB840" s="115"/>
      <c r="BC840" s="115"/>
      <c r="BD840" s="25"/>
      <c r="BE840" s="13"/>
      <c r="BJ840" s="116"/>
      <c r="BK840" s="123"/>
      <c r="BL840" s="123"/>
      <c r="BM840" s="123"/>
      <c r="BR840" s="115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25"/>
      <c r="CC840" s="13"/>
      <c r="CF840" s="114"/>
    </row>
    <row r="841" spans="1:84" ht="20.100000000000001" customHeight="1" x14ac:dyDescent="0.4">
      <c r="A841" s="117"/>
      <c r="B841" s="123"/>
      <c r="C841" s="123"/>
      <c r="D841" s="123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29"/>
      <c r="AT841" s="29"/>
      <c r="AU841" s="115"/>
      <c r="AV841" s="115"/>
      <c r="AW841" s="115"/>
      <c r="AX841" s="115"/>
      <c r="AY841" s="115"/>
      <c r="AZ841" s="115"/>
      <c r="BA841" s="115"/>
      <c r="BB841" s="115"/>
      <c r="BC841" s="115"/>
      <c r="BD841" s="25"/>
      <c r="BE841" s="13"/>
      <c r="BJ841" s="116"/>
      <c r="BK841" s="123"/>
      <c r="BL841" s="123"/>
      <c r="BM841" s="123"/>
      <c r="BR841" s="115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25"/>
      <c r="CC841" s="13"/>
      <c r="CF841" s="114"/>
    </row>
    <row r="842" spans="1:84" ht="20.100000000000001" customHeight="1" x14ac:dyDescent="0.4">
      <c r="A842" s="117"/>
      <c r="B842" s="123"/>
      <c r="C842" s="123"/>
      <c r="D842" s="123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27"/>
      <c r="AT842" s="29"/>
      <c r="AU842" s="115"/>
      <c r="AV842" s="115"/>
      <c r="AW842" s="115"/>
      <c r="AX842" s="115"/>
      <c r="AY842" s="115"/>
      <c r="AZ842" s="115"/>
      <c r="BA842" s="115"/>
      <c r="BB842" s="115"/>
      <c r="BC842" s="115"/>
      <c r="BD842" s="25"/>
      <c r="BE842" s="13"/>
      <c r="BJ842" s="116"/>
      <c r="BK842" s="123"/>
      <c r="BL842" s="123"/>
      <c r="BM842" s="123"/>
      <c r="BR842" s="115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25"/>
      <c r="CC842" s="13"/>
      <c r="CF842" s="114"/>
    </row>
    <row r="843" spans="1:84" ht="20.100000000000001" customHeight="1" x14ac:dyDescent="0.4">
      <c r="A843" s="117"/>
      <c r="B843" s="123"/>
      <c r="C843" s="123"/>
      <c r="D843" s="123"/>
      <c r="AS843" s="127"/>
      <c r="AT843" s="29"/>
      <c r="AU843" s="115"/>
      <c r="AV843" s="115"/>
      <c r="AW843" s="115"/>
      <c r="AX843" s="115"/>
      <c r="AY843" s="115"/>
      <c r="AZ843" s="115"/>
      <c r="BA843" s="115"/>
      <c r="BB843" s="115"/>
      <c r="BC843" s="115"/>
      <c r="BD843" s="25">
        <v>45677</v>
      </c>
      <c r="BE843" s="13" t="s">
        <v>148</v>
      </c>
      <c r="BJ843" s="116"/>
      <c r="BK843" s="123"/>
      <c r="BL843" s="123"/>
      <c r="BM843" s="123"/>
      <c r="BR843" s="115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25"/>
      <c r="CC843" s="13"/>
      <c r="CF843" s="114"/>
    </row>
    <row r="844" spans="1:84" ht="19.5" x14ac:dyDescent="0.4">
      <c r="A844" s="117"/>
      <c r="B844" s="123"/>
      <c r="C844" s="123"/>
      <c r="D844" s="123"/>
      <c r="AS844" s="127"/>
      <c r="AT844" s="29"/>
      <c r="AU844" s="115"/>
      <c r="AV844" s="115"/>
      <c r="AW844" s="115"/>
      <c r="AX844" s="115"/>
      <c r="AY844" s="115"/>
      <c r="AZ844" s="115"/>
      <c r="BA844" s="115"/>
      <c r="BB844" s="115"/>
      <c r="BC844" s="115"/>
      <c r="BD844" s="25"/>
      <c r="BE844" s="13"/>
      <c r="BJ844" s="116"/>
      <c r="BK844" s="123"/>
      <c r="BL844" s="123"/>
      <c r="BM844" s="123"/>
      <c r="BR844" s="115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25"/>
      <c r="CC844" s="13"/>
      <c r="CF844" s="114"/>
    </row>
    <row r="845" spans="1:84" ht="19.5" x14ac:dyDescent="0.4">
      <c r="A845" s="117"/>
      <c r="B845" s="123"/>
      <c r="C845" s="123"/>
      <c r="D845" s="123"/>
      <c r="AK845" s="115"/>
      <c r="AL845" s="115"/>
      <c r="AM845" s="115"/>
      <c r="AN845" s="115"/>
      <c r="AO845" s="115"/>
      <c r="AP845" s="115"/>
      <c r="AQ845" s="115"/>
      <c r="AR845" s="115"/>
      <c r="AS845" s="29"/>
      <c r="AT845" s="29"/>
      <c r="AU845" s="115"/>
      <c r="AV845" s="115"/>
      <c r="AW845" s="115"/>
      <c r="AX845" s="115"/>
      <c r="AY845" s="115"/>
      <c r="AZ845" s="115"/>
      <c r="BA845" s="115"/>
      <c r="BB845" s="115"/>
      <c r="BC845" s="115"/>
      <c r="BD845" s="25"/>
      <c r="BE845" s="13"/>
      <c r="BJ845" s="116"/>
      <c r="BK845" s="123"/>
      <c r="BL845" s="123"/>
      <c r="BM845" s="123"/>
      <c r="BR845" s="115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25"/>
      <c r="CC845" s="13"/>
      <c r="CF845" s="114"/>
    </row>
    <row r="846" spans="1:84" ht="19.5" x14ac:dyDescent="0.4">
      <c r="A846" s="117"/>
      <c r="B846" s="123"/>
      <c r="C846" s="123"/>
      <c r="D846" s="123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27"/>
      <c r="AT846" s="29"/>
      <c r="AU846" s="115"/>
      <c r="AV846" s="115"/>
      <c r="AW846" s="115"/>
      <c r="AX846" s="115"/>
      <c r="AY846" s="115"/>
      <c r="AZ846" s="115"/>
      <c r="BA846" s="115"/>
      <c r="BB846" s="115"/>
      <c r="BC846" s="115"/>
      <c r="BD846" s="25"/>
      <c r="BE846" s="13"/>
      <c r="BJ846" s="116"/>
      <c r="BK846" s="123"/>
      <c r="BL846" s="123"/>
      <c r="BM846" s="123"/>
      <c r="BR846" s="115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25"/>
      <c r="CC846" s="13"/>
      <c r="CF846" s="114"/>
    </row>
    <row r="847" spans="1:84" ht="19.5" x14ac:dyDescent="0.4">
      <c r="A847" s="117"/>
      <c r="B847" s="123"/>
      <c r="C847" s="123"/>
      <c r="D847" s="123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29"/>
      <c r="AT847" s="29"/>
      <c r="AU847" s="115"/>
      <c r="AV847" s="115"/>
      <c r="AW847" s="115"/>
      <c r="AX847" s="115"/>
      <c r="AY847" s="115"/>
      <c r="AZ847" s="115"/>
      <c r="BA847" s="115"/>
      <c r="BB847" s="115"/>
      <c r="BC847" s="115"/>
      <c r="BD847" s="25"/>
      <c r="BE847" s="13"/>
      <c r="BJ847" s="116"/>
      <c r="BK847" s="123"/>
      <c r="BL847" s="123"/>
      <c r="BM847" s="123"/>
      <c r="BR847" s="115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25"/>
      <c r="CC847" s="13"/>
      <c r="CF847" s="114"/>
    </row>
    <row r="848" spans="1:84" ht="19.5" x14ac:dyDescent="0.4">
      <c r="A848" s="117"/>
      <c r="B848" s="123"/>
      <c r="C848" s="123"/>
      <c r="D848" s="123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127"/>
      <c r="AT848" s="29"/>
      <c r="AU848" s="115"/>
      <c r="AV848" s="115"/>
      <c r="AW848" s="115"/>
      <c r="AX848" s="115"/>
      <c r="AY848" s="115"/>
      <c r="AZ848" s="115"/>
      <c r="BA848" s="115"/>
      <c r="BB848" s="115"/>
      <c r="BC848" s="115"/>
      <c r="BD848" s="25"/>
      <c r="BE848" s="13"/>
      <c r="BJ848" s="116"/>
      <c r="BK848" s="123"/>
      <c r="BL848" s="123"/>
      <c r="BM848" s="123"/>
      <c r="BR848" s="115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25"/>
      <c r="CC848" s="13"/>
      <c r="CF848" s="114"/>
    </row>
    <row r="849" spans="1:84" ht="19.5" x14ac:dyDescent="0.4">
      <c r="A849" s="117"/>
      <c r="B849" s="123"/>
      <c r="C849" s="123"/>
      <c r="D849" s="123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15"/>
      <c r="AR849" s="115"/>
      <c r="AS849" s="29"/>
      <c r="AT849" s="29"/>
      <c r="AU849" s="115"/>
      <c r="AV849" s="115"/>
      <c r="AW849" s="115"/>
      <c r="AX849" s="115"/>
      <c r="AY849" s="115"/>
      <c r="AZ849" s="115"/>
      <c r="BA849" s="115"/>
      <c r="BB849" s="115"/>
      <c r="BC849" s="115"/>
      <c r="BD849" s="25"/>
      <c r="BE849" s="13"/>
      <c r="BJ849" s="116"/>
      <c r="BK849" s="123"/>
      <c r="BL849" s="123"/>
      <c r="BM849" s="123"/>
      <c r="BR849" s="115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25"/>
      <c r="CC849" s="13"/>
      <c r="CF849" s="114"/>
    </row>
    <row r="850" spans="1:84" ht="19.5" x14ac:dyDescent="0.4">
      <c r="A850" s="117"/>
      <c r="B850" s="123"/>
      <c r="C850" s="123"/>
      <c r="D850" s="123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127"/>
      <c r="AT850" s="29"/>
      <c r="AU850" s="115"/>
      <c r="AV850" s="115"/>
      <c r="AW850" s="115"/>
      <c r="AX850" s="115"/>
      <c r="AY850" s="115"/>
      <c r="AZ850" s="115"/>
      <c r="BA850" s="115"/>
      <c r="BB850" s="115"/>
      <c r="BC850" s="115"/>
      <c r="BD850" s="25"/>
      <c r="BE850" s="13"/>
      <c r="BJ850" s="116"/>
      <c r="BK850" s="123"/>
      <c r="BL850" s="123"/>
      <c r="BM850" s="123"/>
      <c r="BR850" s="115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25"/>
      <c r="CC850" s="13"/>
      <c r="CF850" s="114"/>
    </row>
    <row r="851" spans="1:84" ht="19.5" x14ac:dyDescent="0.4">
      <c r="A851" s="117"/>
      <c r="B851" s="123"/>
      <c r="C851" s="123"/>
      <c r="D851" s="123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127"/>
      <c r="AT851" s="29"/>
      <c r="AU851" s="115"/>
      <c r="AV851" s="115"/>
      <c r="AW851" s="115"/>
      <c r="AX851" s="115"/>
      <c r="AY851" s="115"/>
      <c r="AZ851" s="115"/>
      <c r="BA851" s="115"/>
      <c r="BB851" s="115"/>
      <c r="BC851" s="115"/>
      <c r="BD851" s="25"/>
      <c r="BE851" s="13"/>
      <c r="BJ851" s="116"/>
      <c r="BK851" s="123"/>
      <c r="BL851" s="123"/>
      <c r="BM851" s="123"/>
      <c r="BR851" s="115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25"/>
      <c r="CC851" s="13"/>
      <c r="CF851" s="114"/>
    </row>
    <row r="852" spans="1:84" ht="19.5" x14ac:dyDescent="0.4">
      <c r="A852" s="117"/>
      <c r="B852" s="123"/>
      <c r="C852" s="123"/>
      <c r="D852" s="123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15"/>
      <c r="AS852" s="127"/>
      <c r="AT852" s="29"/>
      <c r="AU852" s="115"/>
      <c r="AV852" s="115"/>
      <c r="AW852" s="115"/>
      <c r="AX852" s="115"/>
      <c r="AY852" s="115"/>
      <c r="AZ852" s="115"/>
      <c r="BA852" s="115"/>
      <c r="BB852" s="115"/>
      <c r="BC852" s="115"/>
      <c r="BD852" s="25"/>
      <c r="BE852" s="13"/>
      <c r="BJ852" s="116"/>
      <c r="BK852" s="123"/>
      <c r="BL852" s="123"/>
      <c r="BM852" s="123"/>
      <c r="BR852" s="115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25"/>
      <c r="CC852" s="13"/>
      <c r="CF852" s="114"/>
    </row>
    <row r="853" spans="1:84" ht="19.5" x14ac:dyDescent="0.4">
      <c r="A853" s="117"/>
      <c r="B853" s="123"/>
      <c r="C853" s="123"/>
      <c r="D853" s="123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29"/>
      <c r="AT853" s="29"/>
      <c r="AU853" s="115"/>
      <c r="AV853" s="115"/>
      <c r="AW853" s="115"/>
      <c r="AX853" s="115"/>
      <c r="AY853" s="115"/>
      <c r="AZ853" s="115"/>
      <c r="BA853" s="115"/>
      <c r="BB853" s="115"/>
      <c r="BC853" s="115"/>
      <c r="BD853" s="25"/>
      <c r="BE853" s="13"/>
      <c r="BJ853" s="116"/>
      <c r="BK853" s="123"/>
      <c r="BL853" s="123"/>
      <c r="BM853" s="123"/>
      <c r="BR853" s="115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25"/>
      <c r="CC853" s="13"/>
      <c r="CF853" s="114"/>
    </row>
    <row r="854" spans="1:84" ht="19.5" x14ac:dyDescent="0.4">
      <c r="A854" s="117"/>
      <c r="B854" s="123"/>
      <c r="C854" s="123"/>
      <c r="D854" s="123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27"/>
      <c r="AT854" s="29"/>
      <c r="AU854" s="115"/>
      <c r="AV854" s="115"/>
      <c r="AW854" s="115"/>
      <c r="AX854" s="115"/>
      <c r="AY854" s="115"/>
      <c r="AZ854" s="115"/>
      <c r="BA854" s="115"/>
      <c r="BB854" s="115"/>
      <c r="BC854" s="115"/>
      <c r="BD854" s="25"/>
      <c r="BE854" s="13"/>
      <c r="BJ854" s="116"/>
      <c r="BK854" s="123"/>
      <c r="BL854" s="123"/>
      <c r="BM854" s="123"/>
      <c r="BR854" s="115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25"/>
      <c r="CC854" s="13"/>
      <c r="CF854" s="114"/>
    </row>
    <row r="855" spans="1:84" ht="19.5" x14ac:dyDescent="0.4">
      <c r="A855" s="117"/>
      <c r="B855" s="123"/>
      <c r="C855" s="123"/>
      <c r="D855" s="123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29"/>
      <c r="AT855" s="29"/>
      <c r="AU855" s="115"/>
      <c r="AV855" s="115"/>
      <c r="AW855" s="115"/>
      <c r="AX855" s="115"/>
      <c r="AY855" s="115"/>
      <c r="AZ855" s="115"/>
      <c r="BA855" s="115"/>
      <c r="BB855" s="115"/>
      <c r="BC855" s="115"/>
      <c r="BD855" s="25"/>
      <c r="BE855" s="13"/>
      <c r="BJ855" s="116"/>
      <c r="BK855" s="123"/>
      <c r="BL855" s="123"/>
      <c r="BM855" s="123"/>
      <c r="BR855" s="115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25"/>
      <c r="CC855" s="13"/>
      <c r="CF855" s="114"/>
    </row>
    <row r="856" spans="1:84" ht="19.5" x14ac:dyDescent="0.4">
      <c r="A856" s="117"/>
      <c r="B856" s="123"/>
      <c r="C856" s="123"/>
      <c r="D856" s="123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27"/>
      <c r="AT856" s="29"/>
      <c r="AU856" s="115"/>
      <c r="AV856" s="115"/>
      <c r="AW856" s="115"/>
      <c r="AX856" s="115"/>
      <c r="AY856" s="115"/>
      <c r="AZ856" s="115"/>
      <c r="BA856" s="115"/>
      <c r="BB856" s="115"/>
      <c r="BC856" s="115"/>
      <c r="BD856" s="25"/>
      <c r="BE856" s="13"/>
      <c r="BJ856" s="116"/>
      <c r="BK856" s="123"/>
      <c r="BL856" s="123"/>
      <c r="BM856" s="123"/>
      <c r="BR856" s="115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25"/>
      <c r="CC856" s="13"/>
      <c r="CF856" s="114"/>
    </row>
    <row r="857" spans="1:84" ht="19.5" x14ac:dyDescent="0.4">
      <c r="A857" s="117"/>
      <c r="B857" s="123"/>
      <c r="C857" s="123"/>
      <c r="D857" s="123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29"/>
      <c r="AT857" s="29"/>
      <c r="AU857" s="115"/>
      <c r="AV857" s="115"/>
      <c r="AW857" s="115"/>
      <c r="AX857" s="115"/>
      <c r="AY857" s="115"/>
      <c r="AZ857" s="115"/>
      <c r="BA857" s="115"/>
      <c r="BB857" s="115"/>
      <c r="BC857" s="115"/>
      <c r="BD857" s="25"/>
      <c r="BE857" s="13"/>
      <c r="BJ857" s="116"/>
      <c r="BK857" s="123"/>
      <c r="BL857" s="123"/>
      <c r="BM857" s="123"/>
      <c r="BR857" s="115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25"/>
      <c r="CC857" s="13"/>
      <c r="CF857" s="114"/>
    </row>
    <row r="858" spans="1:84" ht="19.5" x14ac:dyDescent="0.4">
      <c r="A858" s="117"/>
      <c r="B858" s="123"/>
      <c r="C858" s="123"/>
      <c r="D858" s="123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29"/>
      <c r="AT858" s="29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25"/>
      <c r="BE858" s="13"/>
      <c r="BJ858" s="116"/>
      <c r="BK858" s="123"/>
      <c r="BL858" s="123"/>
      <c r="BM858" s="123"/>
      <c r="BR858" s="115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25"/>
      <c r="CC858" s="13"/>
      <c r="CF858" s="114"/>
    </row>
    <row r="859" spans="1:84" ht="19.5" x14ac:dyDescent="0.4">
      <c r="A859" s="117"/>
      <c r="B859" s="123"/>
      <c r="C859" s="123"/>
      <c r="D859" s="123"/>
      <c r="AS859" s="127"/>
      <c r="AT859" s="29"/>
      <c r="AU859" s="115"/>
      <c r="AV859" s="115"/>
      <c r="AW859" s="115"/>
      <c r="AX859" s="115"/>
      <c r="AY859" s="115"/>
      <c r="AZ859" s="115"/>
      <c r="BA859" s="115"/>
      <c r="BB859" s="115"/>
      <c r="BC859" s="115"/>
      <c r="BD859" s="25">
        <v>45677</v>
      </c>
      <c r="BE859" s="13" t="s">
        <v>146</v>
      </c>
      <c r="BJ859" s="116"/>
      <c r="BK859" s="123"/>
      <c r="BL859" s="123"/>
      <c r="BM859" s="123"/>
      <c r="BR859" s="115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25"/>
      <c r="CC859" s="13"/>
      <c r="CF859" s="114"/>
    </row>
    <row r="860" spans="1:84" ht="19.5" x14ac:dyDescent="0.4">
      <c r="A860" s="117"/>
      <c r="B860" s="123"/>
      <c r="C860" s="123"/>
      <c r="D860" s="123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127"/>
      <c r="AT860" s="29"/>
      <c r="AU860" s="115"/>
      <c r="AV860" s="115"/>
      <c r="AW860" s="115"/>
      <c r="AX860" s="115"/>
      <c r="AY860" s="115"/>
      <c r="AZ860" s="115"/>
      <c r="BA860" s="115"/>
      <c r="BB860" s="115"/>
      <c r="BC860" s="115"/>
      <c r="BD860" s="25"/>
      <c r="BE860" s="13"/>
      <c r="BJ860" s="116"/>
      <c r="BK860" s="123"/>
      <c r="BL860" s="123"/>
      <c r="BM860" s="123"/>
      <c r="BR860" s="115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25"/>
      <c r="CC860" s="13"/>
      <c r="CF860" s="114"/>
    </row>
    <row r="861" spans="1:84" ht="19.5" x14ac:dyDescent="0.4">
      <c r="A861" s="117"/>
      <c r="B861" s="123"/>
      <c r="C861" s="123"/>
      <c r="D861" s="123"/>
      <c r="AS861" s="127"/>
      <c r="AT861" s="29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25"/>
      <c r="BE861" s="13"/>
      <c r="BJ861" s="116"/>
      <c r="BK861" s="123"/>
      <c r="BL861" s="123"/>
      <c r="BM861" s="123"/>
      <c r="BR861" s="115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25"/>
      <c r="CC861" s="13"/>
      <c r="CF861" s="114"/>
    </row>
    <row r="862" spans="1:84" ht="19.5" x14ac:dyDescent="0.4">
      <c r="A862" s="117"/>
      <c r="B862" s="123"/>
      <c r="C862" s="123"/>
      <c r="D862" s="123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27"/>
      <c r="AT862" s="29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25"/>
      <c r="BE862" s="13"/>
      <c r="BJ862" s="116"/>
      <c r="BK862" s="123"/>
      <c r="BL862" s="123"/>
      <c r="BM862" s="123"/>
      <c r="BR862" s="115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25"/>
      <c r="CC862" s="13"/>
      <c r="CF862" s="114"/>
    </row>
    <row r="863" spans="1:84" ht="19.5" x14ac:dyDescent="0.4">
      <c r="A863" s="117"/>
      <c r="B863" s="123"/>
      <c r="C863" s="123"/>
      <c r="D863" s="123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27"/>
      <c r="AT863" s="29"/>
      <c r="AU863" s="115"/>
      <c r="AV863" s="115"/>
      <c r="AW863" s="115"/>
      <c r="AX863" s="115"/>
      <c r="AY863" s="115"/>
      <c r="AZ863" s="115"/>
      <c r="BA863" s="115"/>
      <c r="BB863" s="115"/>
      <c r="BC863" s="115"/>
      <c r="BD863" s="25"/>
      <c r="BE863" s="13"/>
      <c r="BJ863" s="116"/>
      <c r="BK863" s="123"/>
      <c r="BL863" s="123"/>
      <c r="BM863" s="123"/>
      <c r="BR863" s="115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25"/>
      <c r="CC863" s="13"/>
      <c r="CF863" s="114"/>
    </row>
    <row r="864" spans="1:84" ht="19.5" x14ac:dyDescent="0.4">
      <c r="A864" s="117"/>
      <c r="B864" s="123"/>
      <c r="C864" s="123"/>
      <c r="D864" s="123"/>
      <c r="AS864" s="127"/>
      <c r="AT864" s="29"/>
      <c r="AU864" s="115"/>
      <c r="AV864" s="115"/>
      <c r="AW864" s="115"/>
      <c r="AX864" s="115"/>
      <c r="AY864" s="115"/>
      <c r="AZ864" s="115"/>
      <c r="BA864" s="115"/>
      <c r="BB864" s="115"/>
      <c r="BC864" s="115"/>
      <c r="BD864" s="25"/>
      <c r="BE864" s="13"/>
      <c r="BJ864" s="116"/>
      <c r="BK864" s="123"/>
      <c r="BL864" s="123"/>
      <c r="BM864" s="123"/>
      <c r="BR864" s="115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25"/>
      <c r="CC864" s="13"/>
      <c r="CF864" s="114"/>
    </row>
    <row r="865" spans="1:84" ht="19.5" x14ac:dyDescent="0.4">
      <c r="A865" s="117"/>
      <c r="B865" s="123"/>
      <c r="C865" s="123"/>
      <c r="D865" s="123"/>
      <c r="AI865" s="115"/>
      <c r="AJ865" s="115"/>
      <c r="AK865" s="115"/>
      <c r="AL865" s="115"/>
      <c r="AM865" s="115"/>
      <c r="AN865" s="115"/>
      <c r="AO865" s="115"/>
      <c r="AP865" s="115"/>
      <c r="AQ865" s="115"/>
      <c r="AR865" s="115"/>
      <c r="AS865" s="127"/>
      <c r="AT865" s="29"/>
      <c r="AU865" s="115"/>
      <c r="AV865" s="115"/>
      <c r="AW865" s="115"/>
      <c r="AX865" s="115"/>
      <c r="AY865" s="115"/>
      <c r="AZ865" s="115"/>
      <c r="BA865" s="115"/>
      <c r="BB865" s="115"/>
      <c r="BC865" s="115"/>
      <c r="BD865" s="25"/>
      <c r="BE865" s="13"/>
      <c r="BJ865" s="116"/>
      <c r="BK865" s="123"/>
      <c r="BL865" s="123"/>
      <c r="BM865" s="123"/>
      <c r="BR865" s="115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25"/>
      <c r="CC865" s="13"/>
      <c r="CF865" s="114"/>
    </row>
    <row r="866" spans="1:84" ht="19.5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27"/>
      <c r="AT866" s="29"/>
      <c r="AU866" s="115"/>
      <c r="AV866" s="115"/>
      <c r="AW866" s="115"/>
      <c r="AX866" s="115"/>
      <c r="AY866" s="115"/>
      <c r="AZ866" s="115"/>
      <c r="BA866" s="115"/>
      <c r="BB866" s="115"/>
      <c r="BC866" s="115"/>
      <c r="BD866" s="25"/>
      <c r="BE866" s="13"/>
      <c r="BJ866" s="116"/>
      <c r="BK866" s="123"/>
      <c r="BL866" s="123"/>
      <c r="BM866" s="123"/>
      <c r="BR866" s="115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25"/>
      <c r="CC866" s="13"/>
      <c r="CF866" s="114"/>
    </row>
    <row r="867" spans="1:84" ht="19.5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27"/>
      <c r="AT867" s="29"/>
      <c r="AU867" s="115"/>
      <c r="AV867" s="115"/>
      <c r="AW867" s="115"/>
      <c r="AX867" s="115"/>
      <c r="AY867" s="115"/>
      <c r="AZ867" s="115"/>
      <c r="BA867" s="115"/>
      <c r="BB867" s="115"/>
      <c r="BC867" s="115"/>
      <c r="BD867" s="25"/>
      <c r="BE867" s="13"/>
      <c r="BJ867" s="116"/>
      <c r="BK867" s="123"/>
      <c r="BL867" s="123"/>
      <c r="BM867" s="123"/>
      <c r="BR867" s="115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25"/>
      <c r="CC867" s="13"/>
      <c r="CF867" s="114"/>
    </row>
    <row r="868" spans="1:84" ht="19.5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29"/>
      <c r="AT868" s="29"/>
      <c r="AU868" s="115"/>
      <c r="AV868" s="115"/>
      <c r="AW868" s="115"/>
      <c r="AX868" s="115"/>
      <c r="AY868" s="115"/>
      <c r="AZ868" s="115"/>
      <c r="BA868" s="115"/>
      <c r="BB868" s="115"/>
      <c r="BC868" s="115"/>
      <c r="BD868" s="25"/>
      <c r="BE868" s="13"/>
      <c r="BJ868" s="116"/>
      <c r="BK868" s="123"/>
      <c r="BL868" s="123"/>
      <c r="BM868" s="123"/>
      <c r="BR868" s="115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25"/>
      <c r="CC868" s="13"/>
      <c r="CF868" s="114"/>
    </row>
    <row r="869" spans="1:84" ht="19.5" x14ac:dyDescent="0.4">
      <c r="A869" s="117"/>
      <c r="B869" s="123"/>
      <c r="C869" s="123"/>
      <c r="D869" s="123"/>
      <c r="AS869" s="127"/>
      <c r="AT869" s="29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25">
        <v>45677</v>
      </c>
      <c r="BE869" s="13" t="s">
        <v>147</v>
      </c>
      <c r="BJ869" s="116"/>
      <c r="BK869" s="123"/>
      <c r="BL869" s="123"/>
      <c r="BM869" s="123"/>
      <c r="BR869" s="115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25"/>
      <c r="CC869" s="13"/>
      <c r="CF869" s="114"/>
    </row>
    <row r="870" spans="1:84" ht="19.5" x14ac:dyDescent="0.4">
      <c r="A870" s="117"/>
      <c r="B870" s="123"/>
      <c r="C870" s="123"/>
      <c r="D870" s="123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127"/>
      <c r="AT870" s="29"/>
      <c r="AU870" s="115"/>
      <c r="AV870" s="115"/>
      <c r="AW870" s="115"/>
      <c r="AX870" s="115"/>
      <c r="AY870" s="115"/>
      <c r="AZ870" s="115"/>
      <c r="BA870" s="115"/>
      <c r="BB870" s="115"/>
      <c r="BC870" s="115"/>
      <c r="BD870" s="25"/>
      <c r="BE870" s="13"/>
      <c r="BJ870" s="116"/>
      <c r="BK870" s="123"/>
      <c r="BL870" s="123"/>
      <c r="BM870" s="123"/>
      <c r="BR870" s="115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25"/>
      <c r="CC870" s="13"/>
      <c r="CF870" s="114"/>
    </row>
    <row r="871" spans="1:84" ht="19.5" x14ac:dyDescent="0.4">
      <c r="A871" s="117"/>
      <c r="B871" s="123"/>
      <c r="C871" s="123"/>
      <c r="D871" s="123"/>
      <c r="AS871" s="127"/>
      <c r="AT871" s="29"/>
      <c r="AU871" s="115"/>
      <c r="AV871" s="115"/>
      <c r="AW871" s="115"/>
      <c r="AX871" s="115"/>
      <c r="AY871" s="115"/>
      <c r="AZ871" s="115"/>
      <c r="BA871" s="115"/>
      <c r="BB871" s="115"/>
      <c r="BC871" s="115"/>
      <c r="BD871" s="25">
        <v>45677</v>
      </c>
      <c r="BE871" s="25" t="s">
        <v>147</v>
      </c>
      <c r="BJ871" s="116"/>
      <c r="BK871" s="123"/>
      <c r="BL871" s="123"/>
      <c r="BM871" s="123"/>
      <c r="BR871" s="115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25"/>
      <c r="CC871" s="13"/>
      <c r="CF871" s="114"/>
    </row>
    <row r="872" spans="1:84" ht="19.5" x14ac:dyDescent="0.4">
      <c r="A872" s="117"/>
      <c r="B872" s="123"/>
      <c r="C872" s="123"/>
      <c r="D872" s="123"/>
      <c r="AS872" s="127"/>
      <c r="AT872" s="29"/>
      <c r="AU872" s="115"/>
      <c r="AV872" s="115"/>
      <c r="AW872" s="115"/>
      <c r="AX872" s="115"/>
      <c r="AY872" s="115"/>
      <c r="AZ872" s="115"/>
      <c r="BA872" s="115"/>
      <c r="BB872" s="115"/>
      <c r="BC872" s="115"/>
      <c r="BD872" s="25"/>
      <c r="BE872" s="25"/>
      <c r="BJ872" s="116"/>
      <c r="BK872" s="123"/>
      <c r="BL872" s="123"/>
      <c r="BM872" s="123"/>
      <c r="BR872" s="115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25"/>
      <c r="CC872" s="13"/>
      <c r="CF872" s="114"/>
    </row>
    <row r="873" spans="1:84" ht="19.5" x14ac:dyDescent="0.4">
      <c r="A873" s="117"/>
      <c r="B873" s="123"/>
      <c r="C873" s="123"/>
      <c r="D873" s="123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27"/>
      <c r="AT873" s="29"/>
      <c r="AU873" s="115"/>
      <c r="AV873" s="115"/>
      <c r="AW873" s="115"/>
      <c r="AX873" s="115"/>
      <c r="AY873" s="115"/>
      <c r="AZ873" s="115"/>
      <c r="BA873" s="115"/>
      <c r="BB873" s="115"/>
      <c r="BC873" s="115"/>
      <c r="BD873" s="25"/>
      <c r="BE873" s="25"/>
      <c r="BJ873" s="116"/>
      <c r="BK873" s="123"/>
      <c r="BL873" s="123"/>
      <c r="BM873" s="123"/>
      <c r="BR873" s="115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25"/>
      <c r="CC873" s="13"/>
      <c r="CF873" s="114"/>
    </row>
    <row r="874" spans="1:84" ht="19.5" x14ac:dyDescent="0.4">
      <c r="A874" s="117"/>
      <c r="B874" s="123"/>
      <c r="C874" s="123"/>
      <c r="D874" s="123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27"/>
      <c r="AT874" s="29"/>
      <c r="AU874" s="115"/>
      <c r="AV874" s="115"/>
      <c r="AW874" s="115"/>
      <c r="AX874" s="115"/>
      <c r="AY874" s="115"/>
      <c r="AZ874" s="115"/>
      <c r="BA874" s="115"/>
      <c r="BB874" s="115"/>
      <c r="BC874" s="115"/>
      <c r="BD874" s="25"/>
      <c r="BE874" s="25"/>
      <c r="BJ874" s="116"/>
      <c r="BK874" s="123"/>
      <c r="BL874" s="123"/>
      <c r="BM874" s="123"/>
      <c r="BR874" s="115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25"/>
      <c r="CC874" s="13"/>
      <c r="CF874" s="114"/>
    </row>
    <row r="875" spans="1:84" ht="19.5" x14ac:dyDescent="0.4">
      <c r="A875" s="117"/>
      <c r="B875" s="123"/>
      <c r="C875" s="123"/>
      <c r="D875" s="123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27"/>
      <c r="AT875" s="29"/>
      <c r="AU875" s="115"/>
      <c r="AV875" s="115"/>
      <c r="AW875" s="115"/>
      <c r="AX875" s="115"/>
      <c r="AY875" s="115"/>
      <c r="AZ875" s="115"/>
      <c r="BA875" s="115"/>
      <c r="BB875" s="115"/>
      <c r="BC875" s="115"/>
      <c r="BD875" s="25"/>
      <c r="BE875" s="25"/>
      <c r="BJ875" s="116"/>
      <c r="BK875" s="123"/>
      <c r="BL875" s="123"/>
      <c r="BM875" s="123"/>
      <c r="BR875" s="115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25"/>
      <c r="CC875" s="13"/>
      <c r="CF875" s="114"/>
    </row>
    <row r="876" spans="1:84" ht="19.5" x14ac:dyDescent="0.4">
      <c r="A876" s="117"/>
      <c r="B876" s="123"/>
      <c r="C876" s="123"/>
      <c r="D876" s="123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29"/>
      <c r="AT876" s="29"/>
      <c r="AU876" s="115"/>
      <c r="AV876" s="115"/>
      <c r="AW876" s="115"/>
      <c r="AX876" s="115"/>
      <c r="AY876" s="115"/>
      <c r="AZ876" s="115"/>
      <c r="BA876" s="115"/>
      <c r="BB876" s="115"/>
      <c r="BC876" s="115"/>
      <c r="BD876" s="25"/>
      <c r="BE876" s="25"/>
      <c r="BJ876" s="116"/>
      <c r="BK876" s="123"/>
      <c r="BL876" s="123"/>
      <c r="BM876" s="123"/>
      <c r="BR876" s="115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25"/>
      <c r="CC876" s="13"/>
      <c r="CF876" s="114"/>
    </row>
    <row r="877" spans="1:84" ht="19.5" x14ac:dyDescent="0.4">
      <c r="A877" s="117"/>
      <c r="B877" s="123"/>
      <c r="C877" s="123"/>
      <c r="D877" s="123"/>
      <c r="AS877" s="127"/>
      <c r="AT877" s="29"/>
      <c r="AU877" s="115"/>
      <c r="AV877" s="115"/>
      <c r="AW877" s="115"/>
      <c r="AX877" s="115"/>
      <c r="AY877" s="115"/>
      <c r="AZ877" s="115"/>
      <c r="BA877" s="115"/>
      <c r="BB877" s="115"/>
      <c r="BC877" s="115"/>
      <c r="BD877" s="25">
        <v>45678</v>
      </c>
      <c r="BE877" s="13" t="s">
        <v>147</v>
      </c>
      <c r="BJ877" s="116"/>
      <c r="BK877" s="123"/>
      <c r="BL877" s="123"/>
      <c r="BM877" s="123"/>
      <c r="BR877" s="115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25"/>
      <c r="CC877" s="13"/>
      <c r="CF877" s="114"/>
    </row>
    <row r="878" spans="1:84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27"/>
      <c r="AT878" s="29"/>
      <c r="AU878" s="115"/>
      <c r="AV878" s="115"/>
      <c r="AW878" s="115"/>
      <c r="AX878" s="115"/>
      <c r="AY878" s="115"/>
      <c r="AZ878" s="115"/>
      <c r="BA878" s="115"/>
      <c r="BB878" s="115"/>
      <c r="BC878" s="115"/>
      <c r="BD878" s="25"/>
      <c r="BE878" s="13"/>
      <c r="BJ878" s="116"/>
      <c r="BK878" s="123"/>
      <c r="BL878" s="123"/>
      <c r="BM878" s="123"/>
      <c r="BR878" s="115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25"/>
      <c r="CC878" s="13"/>
      <c r="CF878" s="114"/>
    </row>
    <row r="879" spans="1:84" ht="19.5" x14ac:dyDescent="0.4">
      <c r="A879" s="117"/>
      <c r="B879" s="123"/>
      <c r="C879" s="123"/>
      <c r="D879" s="123"/>
      <c r="AS879" s="127"/>
      <c r="AT879" s="29"/>
      <c r="AU879" s="115"/>
      <c r="AV879" s="115"/>
      <c r="AW879" s="115"/>
      <c r="AX879" s="115"/>
      <c r="AY879" s="115"/>
      <c r="AZ879" s="115"/>
      <c r="BA879" s="115"/>
      <c r="BB879" s="115"/>
      <c r="BC879" s="115"/>
      <c r="BD879" s="25">
        <v>45678</v>
      </c>
      <c r="BE879" s="13" t="s">
        <v>146</v>
      </c>
      <c r="BJ879" s="116"/>
      <c r="BK879" s="123"/>
      <c r="BL879" s="123"/>
      <c r="BM879" s="123"/>
      <c r="BR879" s="115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25"/>
      <c r="CC879" s="13"/>
      <c r="CF879" s="114"/>
    </row>
    <row r="880" spans="1:84" ht="19.5" x14ac:dyDescent="0.4">
      <c r="A880" s="117"/>
      <c r="B880" s="123"/>
      <c r="C880" s="123"/>
      <c r="D880" s="123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27"/>
      <c r="AT880" s="29"/>
      <c r="AU880" s="115"/>
      <c r="AV880" s="115"/>
      <c r="AW880" s="115"/>
      <c r="AX880" s="115"/>
      <c r="AY880" s="115"/>
      <c r="AZ880" s="115"/>
      <c r="BA880" s="115"/>
      <c r="BB880" s="115"/>
      <c r="BC880" s="115"/>
      <c r="BD880" s="25"/>
      <c r="BE880" s="13"/>
      <c r="BJ880" s="116"/>
      <c r="BK880" s="123"/>
      <c r="BL880" s="123"/>
      <c r="BM880" s="123"/>
      <c r="BR880" s="115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25"/>
      <c r="CC880" s="13"/>
      <c r="CF880" s="114"/>
    </row>
    <row r="881" spans="1:84" ht="19.5" x14ac:dyDescent="0.4">
      <c r="A881" s="117"/>
      <c r="B881" s="123"/>
      <c r="C881" s="123"/>
      <c r="D881" s="123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27"/>
      <c r="AT881" s="29"/>
      <c r="AU881" s="115"/>
      <c r="AV881" s="115"/>
      <c r="AW881" s="115"/>
      <c r="AX881" s="115"/>
      <c r="AY881" s="115"/>
      <c r="AZ881" s="115"/>
      <c r="BA881" s="115"/>
      <c r="BB881" s="115"/>
      <c r="BC881" s="115"/>
      <c r="BD881" s="25"/>
      <c r="BE881" s="13"/>
      <c r="BJ881" s="116"/>
      <c r="BK881" s="123"/>
      <c r="BL881" s="123"/>
      <c r="BM881" s="123"/>
      <c r="BR881" s="115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25"/>
      <c r="CC881" s="13"/>
      <c r="CF881" s="114"/>
    </row>
    <row r="882" spans="1:84" ht="19.5" x14ac:dyDescent="0.4">
      <c r="A882" s="117"/>
      <c r="B882" s="123"/>
      <c r="C882" s="123"/>
      <c r="D882" s="123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27"/>
      <c r="AT882" s="29"/>
      <c r="AU882" s="115"/>
      <c r="AV882" s="115"/>
      <c r="AW882" s="115"/>
      <c r="AX882" s="115"/>
      <c r="AY882" s="115"/>
      <c r="AZ882" s="115"/>
      <c r="BA882" s="115"/>
      <c r="BB882" s="115"/>
      <c r="BC882" s="115"/>
      <c r="BD882" s="25"/>
      <c r="BE882" s="13"/>
      <c r="BJ882" s="116"/>
      <c r="BK882" s="123"/>
      <c r="BL882" s="123"/>
      <c r="BM882" s="123"/>
      <c r="BR882" s="115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25"/>
      <c r="CC882" s="13"/>
      <c r="CF882" s="114"/>
    </row>
    <row r="883" spans="1:84" ht="19.5" x14ac:dyDescent="0.4">
      <c r="A883" s="117"/>
      <c r="B883" s="123"/>
      <c r="C883" s="123"/>
      <c r="D883" s="123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27"/>
      <c r="AT883" s="29"/>
      <c r="AU883" s="115"/>
      <c r="AV883" s="115"/>
      <c r="AW883" s="115"/>
      <c r="AX883" s="115"/>
      <c r="AY883" s="115"/>
      <c r="AZ883" s="115"/>
      <c r="BA883" s="115"/>
      <c r="BB883" s="115"/>
      <c r="BC883" s="115"/>
      <c r="BD883" s="25"/>
      <c r="BE883" s="13"/>
      <c r="BJ883" s="116"/>
      <c r="BK883" s="123"/>
      <c r="BL883" s="123"/>
      <c r="BM883" s="123"/>
      <c r="BR883" s="115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25"/>
      <c r="CC883" s="13"/>
      <c r="CF883" s="114"/>
    </row>
    <row r="884" spans="1:84" ht="19.5" x14ac:dyDescent="0.4">
      <c r="A884" s="117"/>
      <c r="B884" s="123"/>
      <c r="C884" s="123"/>
      <c r="D884" s="123"/>
      <c r="AS884" s="127"/>
      <c r="AT884" s="29"/>
      <c r="AU884" s="115"/>
      <c r="AV884" s="115"/>
      <c r="AW884" s="115"/>
      <c r="AX884" s="115"/>
      <c r="AY884" s="115"/>
      <c r="AZ884" s="115"/>
      <c r="BA884" s="115"/>
      <c r="BB884" s="115"/>
      <c r="BC884" s="115"/>
      <c r="BD884" s="25">
        <v>45678</v>
      </c>
      <c r="BE884" s="13" t="s">
        <v>148</v>
      </c>
      <c r="BJ884" s="116"/>
      <c r="BK884" s="123"/>
      <c r="BL884" s="123"/>
      <c r="BM884" s="123"/>
      <c r="BR884" s="115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25"/>
      <c r="CC884" s="13"/>
      <c r="CF884" s="114"/>
    </row>
    <row r="885" spans="1:84" ht="19.5" x14ac:dyDescent="0.4">
      <c r="A885" s="117"/>
      <c r="B885" s="123"/>
      <c r="C885" s="123"/>
      <c r="D885" s="123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127"/>
      <c r="AT885" s="29"/>
      <c r="AU885" s="115"/>
      <c r="AV885" s="115"/>
      <c r="AW885" s="115"/>
      <c r="AX885" s="115"/>
      <c r="AY885" s="115"/>
      <c r="AZ885" s="115"/>
      <c r="BA885" s="115"/>
      <c r="BB885" s="115"/>
      <c r="BC885" s="115"/>
      <c r="BD885" s="25"/>
      <c r="BE885" s="13"/>
      <c r="BJ885" s="116"/>
      <c r="BK885" s="123"/>
      <c r="BL885" s="123"/>
      <c r="BM885" s="123"/>
      <c r="BR885" s="115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25"/>
      <c r="CC885" s="13"/>
      <c r="CF885" s="114"/>
    </row>
    <row r="886" spans="1:84" ht="19.5" x14ac:dyDescent="0.4">
      <c r="A886" s="117"/>
      <c r="B886" s="123"/>
      <c r="C886" s="123"/>
      <c r="D886" s="123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29"/>
      <c r="AT886" s="29"/>
      <c r="AU886" s="115"/>
      <c r="AV886" s="115"/>
      <c r="AW886" s="115"/>
      <c r="AX886" s="115"/>
      <c r="AY886" s="115"/>
      <c r="AZ886" s="115"/>
      <c r="BA886" s="115"/>
      <c r="BB886" s="115"/>
      <c r="BC886" s="115"/>
      <c r="BD886" s="25"/>
      <c r="BE886" s="13"/>
      <c r="BJ886" s="116"/>
      <c r="BK886" s="123"/>
      <c r="BL886" s="123"/>
      <c r="BM886" s="123"/>
      <c r="BR886" s="115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25"/>
      <c r="CC886" s="13"/>
      <c r="CF886" s="114"/>
    </row>
    <row r="887" spans="1:84" ht="19.5" x14ac:dyDescent="0.4">
      <c r="A887" s="117"/>
      <c r="B887" s="123"/>
      <c r="C887" s="123"/>
      <c r="D887" s="123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127"/>
      <c r="AT887" s="134"/>
      <c r="AU887" s="115"/>
      <c r="AV887" s="115"/>
      <c r="AW887" s="115"/>
      <c r="AX887" s="115"/>
      <c r="AY887" s="115"/>
      <c r="AZ887" s="115"/>
      <c r="BA887" s="115"/>
      <c r="BB887" s="115"/>
      <c r="BC887" s="115"/>
      <c r="BD887" s="25"/>
      <c r="BE887" s="13"/>
      <c r="BJ887" s="116"/>
      <c r="BK887" s="123"/>
      <c r="BL887" s="123"/>
      <c r="BM887" s="123"/>
      <c r="BR887" s="115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25"/>
      <c r="CC887" s="13"/>
      <c r="CF887" s="114"/>
    </row>
    <row r="888" spans="1:84" ht="19.5" x14ac:dyDescent="0.4">
      <c r="A888" s="117"/>
      <c r="B888" s="123"/>
      <c r="C888" s="123"/>
      <c r="D888" s="123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27"/>
      <c r="AT888" s="29"/>
      <c r="AU888" s="115"/>
      <c r="AV888" s="115"/>
      <c r="AW888" s="115"/>
      <c r="AX888" s="115"/>
      <c r="AY888" s="115"/>
      <c r="AZ888" s="115"/>
      <c r="BA888" s="115"/>
      <c r="BB888" s="115"/>
      <c r="BC888" s="115"/>
      <c r="BD888" s="25"/>
      <c r="BE888" s="13"/>
      <c r="BJ888" s="116"/>
      <c r="BK888" s="123"/>
      <c r="BL888" s="123"/>
      <c r="BM888" s="123"/>
      <c r="BR888" s="115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25"/>
      <c r="CC888" s="13"/>
      <c r="CF888" s="114"/>
    </row>
    <row r="889" spans="1:84" ht="19.5" x14ac:dyDescent="0.4">
      <c r="A889" s="117"/>
      <c r="B889" s="123"/>
      <c r="C889" s="123"/>
      <c r="D889" s="123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27"/>
      <c r="AT889" s="29"/>
      <c r="AU889" s="115"/>
      <c r="AV889" s="115"/>
      <c r="AW889" s="115"/>
      <c r="AX889" s="115"/>
      <c r="AY889" s="115"/>
      <c r="AZ889" s="115"/>
      <c r="BA889" s="115"/>
      <c r="BB889" s="115"/>
      <c r="BC889" s="115"/>
      <c r="BD889" s="25"/>
      <c r="BE889" s="13"/>
      <c r="BJ889" s="116"/>
      <c r="BK889" s="123"/>
      <c r="BL889" s="123"/>
      <c r="BM889" s="123"/>
      <c r="BR889" s="115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25"/>
      <c r="CC889" s="13"/>
      <c r="CF889" s="114"/>
    </row>
    <row r="890" spans="1:84" ht="19.5" x14ac:dyDescent="0.4">
      <c r="A890" s="117"/>
      <c r="B890" s="123"/>
      <c r="C890" s="123"/>
      <c r="D890" s="123"/>
      <c r="AS890" s="127"/>
      <c r="AT890" s="29"/>
      <c r="AU890" s="115"/>
      <c r="AV890" s="115"/>
      <c r="AW890" s="115"/>
      <c r="AX890" s="115"/>
      <c r="AY890" s="115"/>
      <c r="AZ890" s="115"/>
      <c r="BA890" s="115"/>
      <c r="BB890" s="115"/>
      <c r="BC890" s="115"/>
      <c r="BD890" s="25">
        <v>45678</v>
      </c>
      <c r="BE890" s="13" t="s">
        <v>148</v>
      </c>
      <c r="BJ890" s="116"/>
      <c r="BK890" s="123"/>
      <c r="BL890" s="123"/>
      <c r="BM890" s="123"/>
      <c r="BR890" s="115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25"/>
      <c r="CC890" s="13"/>
      <c r="CF890" s="114"/>
    </row>
    <row r="891" spans="1:84" ht="19.5" x14ac:dyDescent="0.4">
      <c r="A891" s="117"/>
      <c r="B891" s="123"/>
      <c r="C891" s="123"/>
      <c r="D891" s="123"/>
      <c r="AS891" s="127"/>
      <c r="AT891" s="29"/>
      <c r="AU891" s="115"/>
      <c r="AV891" s="115"/>
      <c r="AW891" s="115"/>
      <c r="AX891" s="115"/>
      <c r="AY891" s="115"/>
      <c r="AZ891" s="115"/>
      <c r="BA891" s="115"/>
      <c r="BB891" s="115"/>
      <c r="BC891" s="115"/>
      <c r="BD891" s="25">
        <v>45678</v>
      </c>
      <c r="BE891" s="13" t="s">
        <v>148</v>
      </c>
      <c r="BJ891" s="116"/>
      <c r="BK891" s="123"/>
      <c r="BL891" s="123"/>
      <c r="BM891" s="123"/>
      <c r="BR891" s="115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25"/>
      <c r="CC891" s="13"/>
      <c r="CF891" s="114"/>
    </row>
    <row r="892" spans="1:84" ht="19.5" x14ac:dyDescent="0.4">
      <c r="A892" s="117"/>
      <c r="B892" s="123"/>
      <c r="C892" s="123"/>
      <c r="D892" s="123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27"/>
      <c r="AT892" s="29"/>
      <c r="AU892" s="115"/>
      <c r="AV892" s="115"/>
      <c r="AW892" s="115"/>
      <c r="AX892" s="115"/>
      <c r="AY892" s="115"/>
      <c r="AZ892" s="115"/>
      <c r="BA892" s="115"/>
      <c r="BB892" s="115"/>
      <c r="BC892" s="115"/>
      <c r="BD892" s="25"/>
      <c r="BE892" s="13"/>
      <c r="BJ892" s="116"/>
      <c r="BK892" s="123"/>
      <c r="BL892" s="123"/>
      <c r="BM892" s="123"/>
      <c r="BR892" s="115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25"/>
      <c r="CC892" s="13"/>
      <c r="CF892" s="114"/>
    </row>
    <row r="893" spans="1:84" ht="19.5" x14ac:dyDescent="0.4">
      <c r="A893" s="117"/>
      <c r="B893" s="123"/>
      <c r="C893" s="123"/>
      <c r="D893" s="123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27"/>
      <c r="AT893" s="29"/>
      <c r="AU893" s="115"/>
      <c r="AV893" s="115"/>
      <c r="AW893" s="115"/>
      <c r="AX893" s="115"/>
      <c r="AY893" s="115"/>
      <c r="AZ893" s="115"/>
      <c r="BA893" s="115"/>
      <c r="BB893" s="115"/>
      <c r="BC893" s="115"/>
      <c r="BD893" s="25"/>
      <c r="BE893" s="13"/>
      <c r="BJ893" s="116"/>
      <c r="BK893" s="123"/>
      <c r="BL893" s="123"/>
      <c r="BM893" s="123"/>
      <c r="BR893" s="115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25"/>
      <c r="CC893" s="13"/>
      <c r="CF893" s="114"/>
    </row>
    <row r="894" spans="1:84" ht="19.5" x14ac:dyDescent="0.4">
      <c r="A894" s="117"/>
      <c r="B894" s="123"/>
      <c r="C894" s="123"/>
      <c r="D894" s="123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27"/>
      <c r="AT894" s="29"/>
      <c r="AU894" s="115"/>
      <c r="AV894" s="115"/>
      <c r="AW894" s="115"/>
      <c r="AX894" s="115"/>
      <c r="AY894" s="115"/>
      <c r="AZ894" s="115"/>
      <c r="BA894" s="115"/>
      <c r="BB894" s="115"/>
      <c r="BC894" s="115"/>
      <c r="BD894" s="25"/>
      <c r="BE894" s="13"/>
      <c r="BJ894" s="116"/>
      <c r="BK894" s="123"/>
      <c r="BL894" s="123"/>
      <c r="BM894" s="123"/>
      <c r="BR894" s="115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25"/>
      <c r="CC894" s="13"/>
      <c r="CF894" s="114"/>
    </row>
    <row r="895" spans="1:84" ht="19.5" x14ac:dyDescent="0.4">
      <c r="A895" s="117"/>
      <c r="B895" s="123"/>
      <c r="C895" s="123"/>
      <c r="D895" s="123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127"/>
      <c r="AT895" s="29"/>
      <c r="AU895" s="115"/>
      <c r="AV895" s="115"/>
      <c r="AW895" s="115"/>
      <c r="AX895" s="115"/>
      <c r="AY895" s="115"/>
      <c r="AZ895" s="115"/>
      <c r="BA895" s="115"/>
      <c r="BB895" s="115"/>
      <c r="BC895" s="115"/>
      <c r="BD895" s="25"/>
      <c r="BE895" s="13"/>
      <c r="BJ895" s="116"/>
      <c r="BK895" s="123"/>
      <c r="BL895" s="123"/>
      <c r="BM895" s="123"/>
      <c r="BR895" s="115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25"/>
      <c r="CC895" s="13"/>
      <c r="CF895" s="114"/>
    </row>
    <row r="896" spans="1:84" ht="19.5" x14ac:dyDescent="0.4">
      <c r="A896" s="117"/>
      <c r="B896" s="123"/>
      <c r="C896" s="123"/>
      <c r="D896" s="123"/>
      <c r="AS896" s="127"/>
      <c r="AT896" s="29"/>
      <c r="AU896" s="115"/>
      <c r="AV896" s="115"/>
      <c r="AW896" s="115"/>
      <c r="AX896" s="115"/>
      <c r="AY896" s="115"/>
      <c r="AZ896" s="115"/>
      <c r="BA896" s="115"/>
      <c r="BB896" s="115"/>
      <c r="BC896" s="115"/>
      <c r="BD896" s="25">
        <v>45679</v>
      </c>
      <c r="BE896" s="15" t="s">
        <v>146</v>
      </c>
      <c r="BJ896" s="116"/>
      <c r="BK896" s="123"/>
      <c r="BL896" s="123"/>
      <c r="BM896" s="123"/>
      <c r="BR896" s="115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25"/>
      <c r="CC896" s="13"/>
      <c r="CF896" s="114"/>
    </row>
    <row r="897" spans="1:84" ht="19.5" x14ac:dyDescent="0.4">
      <c r="A897" s="117"/>
      <c r="B897" s="123"/>
      <c r="C897" s="123"/>
      <c r="D897" s="123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127"/>
      <c r="AT897" s="29"/>
      <c r="AU897" s="115"/>
      <c r="AV897" s="115"/>
      <c r="AW897" s="115"/>
      <c r="AX897" s="115"/>
      <c r="AY897" s="115"/>
      <c r="AZ897" s="115"/>
      <c r="BA897" s="115"/>
      <c r="BB897" s="115"/>
      <c r="BC897" s="115"/>
      <c r="BD897" s="25"/>
      <c r="BE897" s="15"/>
      <c r="BJ897" s="116"/>
      <c r="BK897" s="123"/>
      <c r="BL897" s="123"/>
      <c r="BM897" s="123"/>
      <c r="BR897" s="115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25"/>
      <c r="CC897" s="13"/>
      <c r="CF897" s="114"/>
    </row>
    <row r="898" spans="1:84" ht="19.5" x14ac:dyDescent="0.4">
      <c r="A898" s="117"/>
      <c r="B898" s="123"/>
      <c r="C898" s="123"/>
      <c r="D898" s="123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29"/>
      <c r="AT898" s="29"/>
      <c r="AU898" s="115"/>
      <c r="AV898" s="115"/>
      <c r="AW898" s="115"/>
      <c r="AX898" s="115"/>
      <c r="AY898" s="115"/>
      <c r="AZ898" s="115"/>
      <c r="BA898" s="115"/>
      <c r="BB898" s="115"/>
      <c r="BC898" s="115"/>
      <c r="BD898" s="25"/>
      <c r="BE898" s="15"/>
      <c r="BJ898" s="116"/>
      <c r="BK898" s="123"/>
      <c r="BL898" s="123"/>
      <c r="BM898" s="123"/>
      <c r="BR898" s="115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25"/>
      <c r="CC898" s="13"/>
      <c r="CF898" s="114"/>
    </row>
    <row r="899" spans="1:84" ht="19.5" x14ac:dyDescent="0.4">
      <c r="A899" s="117"/>
      <c r="B899" s="123"/>
      <c r="C899" s="123"/>
      <c r="D899" s="123"/>
      <c r="AS899" s="127"/>
      <c r="AT899" s="29"/>
      <c r="AU899" s="115"/>
      <c r="AV899" s="115"/>
      <c r="AW899" s="115"/>
      <c r="AX899" s="115"/>
      <c r="AY899" s="115"/>
      <c r="AZ899" s="115"/>
      <c r="BA899" s="115"/>
      <c r="BB899" s="115"/>
      <c r="BC899" s="115"/>
      <c r="BD899" s="25"/>
      <c r="BE899" s="15"/>
      <c r="BJ899" s="116"/>
      <c r="BK899" s="123"/>
      <c r="BL899" s="123"/>
      <c r="BM899" s="123"/>
      <c r="BR899" s="115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25"/>
      <c r="CC899" s="13"/>
      <c r="CF899" s="114"/>
    </row>
    <row r="900" spans="1:84" ht="19.5" x14ac:dyDescent="0.4">
      <c r="A900" s="117"/>
      <c r="B900" s="123"/>
      <c r="C900" s="123"/>
      <c r="D900" s="123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27"/>
      <c r="AT900" s="29"/>
      <c r="AU900" s="115"/>
      <c r="AV900" s="115"/>
      <c r="AW900" s="115"/>
      <c r="AX900" s="115"/>
      <c r="AY900" s="115"/>
      <c r="AZ900" s="115"/>
      <c r="BA900" s="115"/>
      <c r="BB900" s="115"/>
      <c r="BC900" s="115"/>
      <c r="BD900" s="25"/>
      <c r="BE900" s="15"/>
      <c r="BJ900" s="116"/>
      <c r="BK900" s="123"/>
      <c r="BL900" s="123"/>
      <c r="BM900" s="123"/>
      <c r="BR900" s="115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25"/>
      <c r="CC900" s="13"/>
      <c r="CF900" s="114"/>
    </row>
    <row r="901" spans="1:84" ht="19.5" x14ac:dyDescent="0.4">
      <c r="A901" s="117"/>
      <c r="B901" s="123"/>
      <c r="C901" s="123"/>
      <c r="D901" s="123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29"/>
      <c r="AT901" s="29"/>
      <c r="AU901" s="115"/>
      <c r="AV901" s="115"/>
      <c r="AW901" s="115"/>
      <c r="AX901" s="115"/>
      <c r="AY901" s="115"/>
      <c r="AZ901" s="115"/>
      <c r="BA901" s="115"/>
      <c r="BB901" s="115"/>
      <c r="BC901" s="115"/>
      <c r="BD901" s="25"/>
      <c r="BE901" s="15"/>
      <c r="BJ901" s="116"/>
      <c r="BK901" s="123"/>
      <c r="BL901" s="123"/>
      <c r="BM901" s="123"/>
      <c r="BR901" s="115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25"/>
      <c r="CC901" s="13"/>
      <c r="CF901" s="114"/>
    </row>
    <row r="902" spans="1:84" ht="19.5" x14ac:dyDescent="0.4">
      <c r="A902" s="117"/>
      <c r="B902" s="123"/>
      <c r="C902" s="123"/>
      <c r="D902" s="123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27"/>
      <c r="AT902" s="29"/>
      <c r="AU902" s="115"/>
      <c r="AV902" s="115"/>
      <c r="AW902" s="115"/>
      <c r="AX902" s="115"/>
      <c r="AY902" s="115"/>
      <c r="AZ902" s="115"/>
      <c r="BA902" s="115"/>
      <c r="BB902" s="115"/>
      <c r="BC902" s="115"/>
      <c r="BD902" s="25"/>
      <c r="BE902" s="15"/>
      <c r="BJ902" s="116"/>
      <c r="BK902" s="123"/>
      <c r="BL902" s="123"/>
      <c r="BM902" s="123"/>
      <c r="BR902" s="115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25"/>
      <c r="CC902" s="13"/>
      <c r="CF902" s="114"/>
    </row>
    <row r="903" spans="1:84" ht="19.5" x14ac:dyDescent="0.4">
      <c r="A903" s="117"/>
      <c r="B903" s="123"/>
      <c r="C903" s="123"/>
      <c r="D903" s="123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127"/>
      <c r="AT903" s="29"/>
      <c r="AU903" s="115"/>
      <c r="AV903" s="115"/>
      <c r="AW903" s="115"/>
      <c r="AX903" s="115"/>
      <c r="AY903" s="115"/>
      <c r="AZ903" s="115"/>
      <c r="BA903" s="115"/>
      <c r="BB903" s="115"/>
      <c r="BC903" s="115"/>
      <c r="BD903" s="25"/>
      <c r="BE903" s="15"/>
      <c r="BJ903" s="116"/>
      <c r="BK903" s="123"/>
      <c r="BL903" s="123"/>
      <c r="BM903" s="123"/>
      <c r="BR903" s="115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25"/>
      <c r="CC903" s="13"/>
      <c r="CF903" s="114"/>
    </row>
    <row r="904" spans="1:84" ht="19.5" x14ac:dyDescent="0.4">
      <c r="A904" s="117"/>
      <c r="B904" s="123"/>
      <c r="C904" s="123"/>
      <c r="D904" s="123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27"/>
      <c r="AT904" s="29"/>
      <c r="AU904" s="115"/>
      <c r="AV904" s="115"/>
      <c r="AW904" s="115"/>
      <c r="AX904" s="115"/>
      <c r="AY904" s="115"/>
      <c r="AZ904" s="115"/>
      <c r="BA904" s="115"/>
      <c r="BB904" s="115"/>
      <c r="BC904" s="115"/>
      <c r="BD904" s="25"/>
      <c r="BE904" s="15"/>
      <c r="BJ904" s="116"/>
      <c r="BK904" s="123"/>
      <c r="BL904" s="123"/>
      <c r="BM904" s="123"/>
      <c r="BR904" s="115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25"/>
      <c r="CC904" s="13"/>
      <c r="CF904" s="114"/>
    </row>
    <row r="905" spans="1:84" ht="19.5" x14ac:dyDescent="0.4">
      <c r="A905" s="117"/>
      <c r="B905" s="123"/>
      <c r="C905" s="123"/>
      <c r="D905" s="123"/>
      <c r="AS905" s="127"/>
      <c r="AT905" s="29"/>
      <c r="AU905" s="115"/>
      <c r="AV905" s="115"/>
      <c r="AW905" s="115"/>
      <c r="AX905" s="115"/>
      <c r="AY905" s="115"/>
      <c r="AZ905" s="115"/>
      <c r="BA905" s="115"/>
      <c r="BB905" s="115"/>
      <c r="BC905" s="115"/>
      <c r="BD905" s="25">
        <v>45679</v>
      </c>
      <c r="BE905" s="15" t="s">
        <v>148</v>
      </c>
      <c r="BJ905" s="116"/>
      <c r="BK905" s="123"/>
      <c r="BL905" s="123"/>
      <c r="BM905" s="123"/>
      <c r="BR905" s="115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25"/>
      <c r="CC905" s="13"/>
      <c r="CF905" s="114"/>
    </row>
    <row r="906" spans="1:84" ht="19.5" x14ac:dyDescent="0.4">
      <c r="A906" s="117"/>
      <c r="B906" s="123"/>
      <c r="C906" s="123"/>
      <c r="D906" s="123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27"/>
      <c r="AT906" s="29"/>
      <c r="AU906" s="115"/>
      <c r="AV906" s="115"/>
      <c r="AW906" s="115"/>
      <c r="AX906" s="115"/>
      <c r="AY906" s="115"/>
      <c r="AZ906" s="115"/>
      <c r="BA906" s="115"/>
      <c r="BB906" s="115"/>
      <c r="BC906" s="115"/>
      <c r="BD906" s="25"/>
      <c r="BE906" s="13"/>
      <c r="BJ906" s="116"/>
      <c r="BK906" s="123"/>
      <c r="BL906" s="123"/>
      <c r="BM906" s="123"/>
      <c r="BR906" s="115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25"/>
      <c r="CC906" s="13"/>
      <c r="CF906" s="114"/>
    </row>
    <row r="907" spans="1:84" ht="19.5" x14ac:dyDescent="0.4">
      <c r="A907" s="117"/>
      <c r="B907" s="123"/>
      <c r="C907" s="123"/>
      <c r="D907" s="123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27"/>
      <c r="AT907" s="29"/>
      <c r="AU907" s="115"/>
      <c r="AV907" s="115"/>
      <c r="AW907" s="115"/>
      <c r="AX907" s="115"/>
      <c r="AY907" s="115"/>
      <c r="AZ907" s="115"/>
      <c r="BA907" s="115"/>
      <c r="BB907" s="115"/>
      <c r="BC907" s="115"/>
      <c r="BD907" s="25"/>
      <c r="BE907" s="13"/>
      <c r="BJ907" s="116"/>
      <c r="BK907" s="123"/>
      <c r="BL907" s="123"/>
      <c r="BM907" s="123"/>
      <c r="BR907" s="115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25"/>
      <c r="CC907" s="13"/>
      <c r="CF907" s="114"/>
    </row>
    <row r="908" spans="1:84" ht="19.5" x14ac:dyDescent="0.4">
      <c r="A908" s="117"/>
      <c r="B908" s="123"/>
      <c r="C908" s="123"/>
      <c r="D908" s="123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27"/>
      <c r="AT908" s="29"/>
      <c r="AU908" s="115"/>
      <c r="AV908" s="115"/>
      <c r="AW908" s="115"/>
      <c r="AX908" s="115"/>
      <c r="AY908" s="115"/>
      <c r="AZ908" s="115"/>
      <c r="BA908" s="115"/>
      <c r="BB908" s="115"/>
      <c r="BC908" s="115"/>
      <c r="BD908" s="25"/>
      <c r="BE908" s="13"/>
      <c r="BJ908" s="116"/>
      <c r="BK908" s="123"/>
      <c r="BL908" s="123"/>
      <c r="BM908" s="123"/>
      <c r="BR908" s="115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25"/>
      <c r="CC908" s="13"/>
      <c r="CF908" s="114"/>
    </row>
    <row r="909" spans="1:84" ht="19.5" x14ac:dyDescent="0.4">
      <c r="A909" s="117"/>
      <c r="B909" s="123"/>
      <c r="C909" s="123"/>
      <c r="D909" s="123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29"/>
      <c r="AT909" s="29"/>
      <c r="AU909" s="115"/>
      <c r="AV909" s="115"/>
      <c r="AW909" s="115"/>
      <c r="AX909" s="115"/>
      <c r="AY909" s="115"/>
      <c r="AZ909" s="115"/>
      <c r="BA909" s="115"/>
      <c r="BB909" s="115"/>
      <c r="BC909" s="115"/>
      <c r="BD909" s="25"/>
      <c r="BE909" s="13"/>
      <c r="BJ909" s="116"/>
      <c r="BK909" s="123"/>
      <c r="BL909" s="123"/>
      <c r="BM909" s="123"/>
      <c r="BR909" s="115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25"/>
      <c r="CC909" s="13"/>
      <c r="CF909" s="114"/>
    </row>
    <row r="910" spans="1:84" ht="19.5" x14ac:dyDescent="0.4">
      <c r="A910" s="117"/>
      <c r="B910" s="123"/>
      <c r="C910" s="123"/>
      <c r="D910" s="123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127"/>
      <c r="AT910" s="29"/>
      <c r="AU910" s="115"/>
      <c r="AV910" s="115"/>
      <c r="AW910" s="115"/>
      <c r="AX910" s="115"/>
      <c r="AY910" s="115"/>
      <c r="AZ910" s="115"/>
      <c r="BA910" s="115"/>
      <c r="BB910" s="115"/>
      <c r="BC910" s="115"/>
      <c r="BD910" s="25"/>
      <c r="BE910" s="13"/>
      <c r="BJ910" s="116"/>
      <c r="BK910" s="123"/>
      <c r="BL910" s="123"/>
      <c r="BM910" s="123"/>
      <c r="BR910" s="115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25"/>
      <c r="CC910" s="13"/>
      <c r="CF910" s="114"/>
    </row>
    <row r="911" spans="1:84" ht="19.5" x14ac:dyDescent="0.4">
      <c r="A911" s="117"/>
      <c r="B911" s="123"/>
      <c r="C911" s="123"/>
      <c r="D911" s="123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29"/>
      <c r="AT911" s="29"/>
      <c r="AU911" s="115"/>
      <c r="AV911" s="115"/>
      <c r="AW911" s="115"/>
      <c r="AX911" s="115"/>
      <c r="AY911" s="115"/>
      <c r="AZ911" s="115"/>
      <c r="BA911" s="115"/>
      <c r="BB911" s="115"/>
      <c r="BC911" s="115"/>
      <c r="BD911" s="25"/>
      <c r="BE911" s="13"/>
      <c r="BJ911" s="116"/>
      <c r="BK911" s="123"/>
      <c r="BL911" s="123"/>
      <c r="BM911" s="123"/>
      <c r="BR911" s="115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25"/>
      <c r="CC911" s="13"/>
      <c r="CF911" s="114"/>
    </row>
    <row r="912" spans="1:84" ht="19.5" x14ac:dyDescent="0.4">
      <c r="A912" s="117"/>
      <c r="B912" s="123"/>
      <c r="C912" s="123"/>
      <c r="D912" s="123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27"/>
      <c r="AT912" s="29"/>
      <c r="AU912" s="115"/>
      <c r="AV912" s="115"/>
      <c r="AW912" s="115"/>
      <c r="AX912" s="115"/>
      <c r="AY912" s="115"/>
      <c r="AZ912" s="115"/>
      <c r="BA912" s="115"/>
      <c r="BB912" s="115"/>
      <c r="BC912" s="115"/>
      <c r="BD912" s="25"/>
      <c r="BE912" s="13"/>
      <c r="BJ912" s="116"/>
      <c r="BK912" s="123"/>
      <c r="BL912" s="123"/>
      <c r="BM912" s="123"/>
      <c r="BR912" s="115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25"/>
      <c r="CC912" s="13"/>
      <c r="CF912" s="114"/>
    </row>
    <row r="913" spans="1:84" ht="19.5" x14ac:dyDescent="0.4">
      <c r="A913" s="117"/>
      <c r="B913" s="123"/>
      <c r="C913" s="123"/>
      <c r="D913" s="123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29"/>
      <c r="AT913" s="29"/>
      <c r="AU913" s="115"/>
      <c r="AV913" s="115"/>
      <c r="AW913" s="115"/>
      <c r="AX913" s="115"/>
      <c r="AY913" s="115"/>
      <c r="AZ913" s="115"/>
      <c r="BA913" s="115"/>
      <c r="BB913" s="115"/>
      <c r="BC913" s="115"/>
      <c r="BD913" s="25"/>
      <c r="BE913" s="13"/>
      <c r="BJ913" s="116"/>
      <c r="BK913" s="123"/>
      <c r="BL913" s="123"/>
      <c r="BM913" s="123"/>
      <c r="BR913" s="115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25"/>
      <c r="CC913" s="13"/>
      <c r="CF913" s="114"/>
    </row>
    <row r="914" spans="1:84" ht="19.5" x14ac:dyDescent="0.4">
      <c r="A914" s="117"/>
      <c r="B914" s="123"/>
      <c r="C914" s="123"/>
      <c r="D914" s="123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27"/>
      <c r="AT914" s="29"/>
      <c r="AU914" s="115"/>
      <c r="AV914" s="115"/>
      <c r="AW914" s="115"/>
      <c r="AX914" s="115"/>
      <c r="AY914" s="115"/>
      <c r="AZ914" s="115"/>
      <c r="BA914" s="115"/>
      <c r="BB914" s="115"/>
      <c r="BC914" s="115"/>
      <c r="BD914" s="25"/>
      <c r="BE914" s="13"/>
      <c r="BJ914" s="116"/>
      <c r="BK914" s="123"/>
      <c r="BL914" s="123"/>
      <c r="BM914" s="123"/>
      <c r="BR914" s="115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25"/>
      <c r="CC914" s="13"/>
      <c r="CF914" s="114"/>
    </row>
    <row r="915" spans="1:84" ht="19.5" x14ac:dyDescent="0.4">
      <c r="A915" s="117"/>
      <c r="B915" s="123"/>
      <c r="C915" s="123"/>
      <c r="D915" s="123"/>
      <c r="AS915" s="127"/>
      <c r="AT915" s="29"/>
      <c r="AU915" s="115"/>
      <c r="AV915" s="115"/>
      <c r="AW915" s="115"/>
      <c r="AX915" s="115"/>
      <c r="AY915" s="115"/>
      <c r="AZ915" s="115"/>
      <c r="BA915" s="115"/>
      <c r="BB915" s="115"/>
      <c r="BC915" s="115"/>
      <c r="BD915" s="25">
        <v>45679</v>
      </c>
      <c r="BE915" s="13" t="s">
        <v>147</v>
      </c>
      <c r="BJ915" s="116"/>
      <c r="BK915" s="123"/>
      <c r="BL915" s="123"/>
      <c r="BM915" s="123"/>
      <c r="BR915" s="115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25"/>
      <c r="CC915" s="13"/>
      <c r="CF915" s="114"/>
    </row>
    <row r="916" spans="1:84" ht="19.5" x14ac:dyDescent="0.4">
      <c r="A916" s="117"/>
      <c r="B916" s="123"/>
      <c r="C916" s="123"/>
      <c r="D916" s="123"/>
      <c r="AJ916" s="115"/>
      <c r="AK916" s="115"/>
      <c r="AL916" s="115"/>
      <c r="AM916" s="115"/>
      <c r="AN916" s="115"/>
      <c r="AO916" s="115"/>
      <c r="AP916" s="115"/>
      <c r="AQ916" s="115"/>
      <c r="AR916" s="115"/>
      <c r="AS916" s="29"/>
      <c r="AT916" s="29"/>
      <c r="AU916" s="115"/>
      <c r="AV916" s="115"/>
      <c r="AW916" s="115"/>
      <c r="AX916" s="115"/>
      <c r="AY916" s="115"/>
      <c r="AZ916" s="115"/>
      <c r="BA916" s="115"/>
      <c r="BB916" s="115"/>
      <c r="BC916" s="115"/>
      <c r="BD916" s="25"/>
      <c r="BE916" s="13"/>
      <c r="BJ916" s="116"/>
      <c r="BK916" s="123"/>
      <c r="BL916" s="123"/>
      <c r="BM916" s="123"/>
      <c r="BR916" s="115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25"/>
      <c r="CC916" s="13"/>
      <c r="CF916" s="114"/>
    </row>
    <row r="917" spans="1:84" ht="19.5" x14ac:dyDescent="0.4">
      <c r="A917" s="117"/>
      <c r="B917" s="123"/>
      <c r="C917" s="123"/>
      <c r="D917" s="123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15"/>
      <c r="AS917" s="127"/>
      <c r="AT917" s="29"/>
      <c r="AU917" s="115"/>
      <c r="AV917" s="115"/>
      <c r="AW917" s="115"/>
      <c r="AX917" s="115"/>
      <c r="AY917" s="115"/>
      <c r="AZ917" s="115"/>
      <c r="BA917" s="115"/>
      <c r="BB917" s="115"/>
      <c r="BC917" s="115"/>
      <c r="BD917" s="25"/>
      <c r="BE917" s="13"/>
      <c r="BJ917" s="116"/>
      <c r="BK917" s="123"/>
      <c r="BL917" s="123"/>
      <c r="BM917" s="123"/>
      <c r="BR917" s="115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25"/>
      <c r="CC917" s="13"/>
      <c r="CF917" s="114"/>
    </row>
    <row r="918" spans="1:84" ht="19.5" x14ac:dyDescent="0.4">
      <c r="A918" s="117"/>
      <c r="B918" s="123"/>
      <c r="C918" s="123"/>
      <c r="D918" s="123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27"/>
      <c r="AT918" s="29"/>
      <c r="AU918" s="115"/>
      <c r="AV918" s="115"/>
      <c r="AW918" s="115"/>
      <c r="AX918" s="115"/>
      <c r="AY918" s="115"/>
      <c r="AZ918" s="115"/>
      <c r="BA918" s="115"/>
      <c r="BB918" s="115"/>
      <c r="BC918" s="115"/>
      <c r="BD918" s="25"/>
      <c r="BE918" s="13"/>
      <c r="BJ918" s="116"/>
      <c r="BK918" s="123"/>
      <c r="BL918" s="123"/>
      <c r="BM918" s="123"/>
      <c r="BR918" s="115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25"/>
      <c r="CC918" s="13"/>
      <c r="CF918" s="114"/>
    </row>
    <row r="919" spans="1:84" ht="19.5" x14ac:dyDescent="0.4">
      <c r="A919" s="117"/>
      <c r="B919" s="123"/>
      <c r="C919" s="123"/>
      <c r="D919" s="123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29"/>
      <c r="AT919" s="29"/>
      <c r="AU919" s="115"/>
      <c r="AV919" s="115"/>
      <c r="AW919" s="115"/>
      <c r="AX919" s="115"/>
      <c r="AY919" s="115"/>
      <c r="AZ919" s="115"/>
      <c r="BA919" s="115"/>
      <c r="BB919" s="115"/>
      <c r="BC919" s="115"/>
      <c r="BD919" s="25"/>
      <c r="BE919" s="13"/>
      <c r="BJ919" s="116"/>
      <c r="BK919" s="123"/>
      <c r="BL919" s="123"/>
      <c r="BM919" s="123"/>
      <c r="BR919" s="115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25"/>
      <c r="CC919" s="13"/>
      <c r="CF919" s="114"/>
    </row>
    <row r="920" spans="1:84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29"/>
      <c r="AT920" s="29"/>
      <c r="AU920" s="115"/>
      <c r="AV920" s="115"/>
      <c r="AW920" s="115"/>
      <c r="AX920" s="115"/>
      <c r="AY920" s="115"/>
      <c r="AZ920" s="115"/>
      <c r="BA920" s="115"/>
      <c r="BB920" s="115"/>
      <c r="BC920" s="115"/>
      <c r="BD920" s="25"/>
      <c r="BE920" s="13"/>
      <c r="BJ920" s="116"/>
      <c r="BK920" s="123"/>
      <c r="BL920" s="123"/>
      <c r="BM920" s="123"/>
      <c r="BR920" s="115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25"/>
      <c r="CC920" s="13"/>
      <c r="CF920" s="114"/>
    </row>
    <row r="921" spans="1:84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27"/>
      <c r="AT921" s="29"/>
      <c r="AU921" s="115"/>
      <c r="AV921" s="115"/>
      <c r="AW921" s="115"/>
      <c r="AX921" s="115"/>
      <c r="AY921" s="115"/>
      <c r="AZ921" s="115"/>
      <c r="BA921" s="115"/>
      <c r="BB921" s="115"/>
      <c r="BC921" s="115"/>
      <c r="BD921" s="25"/>
      <c r="BE921" s="13"/>
      <c r="BJ921" s="116"/>
      <c r="BK921" s="123"/>
      <c r="BL921" s="123"/>
      <c r="BM921" s="123"/>
      <c r="BR921" s="115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25"/>
      <c r="CC921" s="13"/>
      <c r="CF921" s="114"/>
    </row>
    <row r="922" spans="1:84" ht="19.5" x14ac:dyDescent="0.4">
      <c r="A922" s="117"/>
      <c r="B922" s="123"/>
      <c r="C922" s="123"/>
      <c r="D922" s="123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29"/>
      <c r="AT922" s="29"/>
      <c r="AU922" s="115"/>
      <c r="AV922" s="115"/>
      <c r="AW922" s="115"/>
      <c r="AX922" s="115"/>
      <c r="AY922" s="115"/>
      <c r="AZ922" s="115"/>
      <c r="BA922" s="115"/>
      <c r="BB922" s="115"/>
      <c r="BC922" s="115"/>
      <c r="BD922" s="25"/>
      <c r="BE922" s="13"/>
      <c r="BJ922" s="116"/>
      <c r="BK922" s="123"/>
      <c r="BL922" s="123"/>
      <c r="BM922" s="123"/>
      <c r="BR922" s="115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25"/>
      <c r="CC922" s="13"/>
      <c r="CF922" s="114"/>
    </row>
    <row r="923" spans="1:84" ht="19.5" x14ac:dyDescent="0.4">
      <c r="A923" s="117"/>
      <c r="B923" s="123"/>
      <c r="C923" s="123"/>
      <c r="D923" s="123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27"/>
      <c r="AT923" s="29"/>
      <c r="AU923" s="115"/>
      <c r="AV923" s="115"/>
      <c r="AW923" s="115"/>
      <c r="AX923" s="115"/>
      <c r="AY923" s="115"/>
      <c r="AZ923" s="115"/>
      <c r="BA923" s="115"/>
      <c r="BB923" s="115"/>
      <c r="BC923" s="115"/>
      <c r="BD923" s="25"/>
      <c r="BE923" s="13"/>
      <c r="BJ923" s="116"/>
      <c r="BK923" s="123"/>
      <c r="BL923" s="123"/>
      <c r="BM923" s="123"/>
      <c r="BR923" s="115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25"/>
      <c r="CC923" s="13"/>
      <c r="CF923" s="114"/>
    </row>
    <row r="924" spans="1:84" ht="19.5" x14ac:dyDescent="0.4">
      <c r="A924" s="117"/>
      <c r="B924" s="123"/>
      <c r="C924" s="123"/>
      <c r="D924" s="123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27"/>
      <c r="AT924" s="29"/>
      <c r="AU924" s="115"/>
      <c r="AV924" s="115"/>
      <c r="AW924" s="115"/>
      <c r="AX924" s="115"/>
      <c r="AY924" s="115"/>
      <c r="AZ924" s="115"/>
      <c r="BA924" s="115"/>
      <c r="BB924" s="115"/>
      <c r="BC924" s="115"/>
      <c r="BD924" s="25"/>
      <c r="BE924" s="13"/>
      <c r="BJ924" s="116"/>
      <c r="BK924" s="123"/>
      <c r="BL924" s="123"/>
      <c r="BM924" s="123"/>
      <c r="BR924" s="115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25"/>
      <c r="CC924" s="13"/>
      <c r="CF924" s="114"/>
    </row>
    <row r="925" spans="1:84" ht="19.5" x14ac:dyDescent="0.4">
      <c r="A925" s="117"/>
      <c r="B925" s="123"/>
      <c r="C925" s="123"/>
      <c r="D925" s="123"/>
      <c r="AC925" s="115"/>
      <c r="AD925" s="115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127"/>
      <c r="AT925" s="29"/>
      <c r="AU925" s="115"/>
      <c r="AV925" s="115"/>
      <c r="AW925" s="115"/>
      <c r="AX925" s="115"/>
      <c r="AY925" s="115"/>
      <c r="AZ925" s="115"/>
      <c r="BA925" s="115"/>
      <c r="BB925" s="115"/>
      <c r="BC925" s="115"/>
      <c r="BD925" s="25"/>
      <c r="BE925" s="13"/>
      <c r="BJ925" s="116"/>
      <c r="BK925" s="123"/>
      <c r="BL925" s="123"/>
      <c r="BM925" s="123"/>
      <c r="BR925" s="115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25"/>
      <c r="CC925" s="13"/>
      <c r="CF925" s="114"/>
    </row>
    <row r="926" spans="1:84" ht="19.5" x14ac:dyDescent="0.4">
      <c r="A926" s="117"/>
      <c r="B926" s="123"/>
      <c r="C926" s="123"/>
      <c r="D926" s="123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27"/>
      <c r="AT926" s="29"/>
      <c r="AU926" s="115"/>
      <c r="AV926" s="115"/>
      <c r="AW926" s="115"/>
      <c r="AX926" s="115"/>
      <c r="AY926" s="115"/>
      <c r="AZ926" s="115"/>
      <c r="BA926" s="115"/>
      <c r="BB926" s="115"/>
      <c r="BC926" s="115"/>
      <c r="BD926" s="25"/>
      <c r="BE926" s="13"/>
      <c r="BJ926" s="116"/>
      <c r="BK926" s="123"/>
      <c r="BL926" s="123"/>
      <c r="BM926" s="123"/>
      <c r="BR926" s="115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25"/>
      <c r="CC926" s="13"/>
      <c r="CF926" s="114"/>
    </row>
    <row r="927" spans="1:84" ht="19.5" x14ac:dyDescent="0.4">
      <c r="A927" s="117"/>
      <c r="B927" s="123"/>
      <c r="C927" s="123"/>
      <c r="D927" s="123"/>
      <c r="AS927" s="127"/>
      <c r="AT927" s="29"/>
      <c r="BD927" s="25">
        <v>45679</v>
      </c>
      <c r="BE927" s="13" t="s">
        <v>147</v>
      </c>
      <c r="BJ927" s="116"/>
      <c r="BK927" s="123"/>
      <c r="BL927" s="123"/>
      <c r="BM927" s="123"/>
      <c r="BR927" s="115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25"/>
      <c r="CC927" s="13"/>
      <c r="CF927" s="114"/>
    </row>
    <row r="928" spans="1:84" ht="19.5" x14ac:dyDescent="0.4">
      <c r="A928" s="117"/>
      <c r="B928" s="123"/>
      <c r="C928" s="123"/>
      <c r="D928" s="123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27"/>
      <c r="AT928" s="29"/>
      <c r="BD928" s="25"/>
      <c r="BE928" s="13"/>
      <c r="BJ928" s="116"/>
      <c r="BK928" s="123"/>
      <c r="BL928" s="123"/>
      <c r="BM928" s="123"/>
      <c r="BR928" s="115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25"/>
      <c r="CC928" s="13"/>
      <c r="CF928" s="114"/>
    </row>
    <row r="929" spans="1:84" ht="19.5" x14ac:dyDescent="0.4">
      <c r="A929" s="117"/>
      <c r="B929" s="123"/>
      <c r="C929" s="123"/>
      <c r="D929" s="123"/>
      <c r="AS929" s="127"/>
      <c r="AT929" s="29"/>
      <c r="BD929" s="25"/>
      <c r="BE929" s="13"/>
      <c r="BJ929" s="116"/>
      <c r="BK929" s="123"/>
      <c r="BL929" s="123"/>
      <c r="BM929" s="123"/>
      <c r="BR929" s="115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25"/>
      <c r="CC929" s="13"/>
      <c r="CF929" s="114"/>
    </row>
    <row r="930" spans="1:84" ht="19.5" x14ac:dyDescent="0.4">
      <c r="A930" s="117"/>
      <c r="B930" s="123"/>
      <c r="C930" s="123"/>
      <c r="D930" s="123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27"/>
      <c r="AT930" s="29"/>
      <c r="BD930" s="25"/>
      <c r="BE930" s="13"/>
      <c r="BJ930" s="116"/>
      <c r="BK930" s="123"/>
      <c r="BL930" s="123"/>
      <c r="BM930" s="123"/>
      <c r="BR930" s="115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25"/>
      <c r="CC930" s="13"/>
      <c r="CF930" s="114"/>
    </row>
    <row r="931" spans="1:84" ht="19.5" x14ac:dyDescent="0.4">
      <c r="A931" s="117"/>
      <c r="B931" s="123"/>
      <c r="C931" s="123"/>
      <c r="D931" s="123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15"/>
      <c r="AS931" s="29"/>
      <c r="AT931" s="29"/>
      <c r="BD931" s="25"/>
      <c r="BE931" s="13"/>
      <c r="BJ931" s="116"/>
      <c r="BK931" s="123"/>
      <c r="BL931" s="123"/>
      <c r="BM931" s="123"/>
      <c r="BR931" s="115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25"/>
      <c r="CC931" s="13"/>
      <c r="CF931" s="114"/>
    </row>
    <row r="932" spans="1:84" ht="19.5" x14ac:dyDescent="0.4">
      <c r="A932" s="117"/>
      <c r="B932" s="123"/>
      <c r="C932" s="123"/>
      <c r="D932" s="123"/>
      <c r="AS932" s="127"/>
      <c r="AT932" s="29"/>
      <c r="AU932" s="115"/>
      <c r="AV932" s="115"/>
      <c r="AW932" s="115"/>
      <c r="AX932" s="115"/>
      <c r="AY932" s="115"/>
      <c r="AZ932" s="115"/>
      <c r="BA932" s="115"/>
      <c r="BB932" s="115"/>
      <c r="BC932" s="115"/>
      <c r="BD932" s="25">
        <v>45679</v>
      </c>
      <c r="BE932" s="13" t="s">
        <v>146</v>
      </c>
      <c r="BJ932" s="116"/>
      <c r="BK932" s="123"/>
      <c r="BL932" s="123"/>
      <c r="BM932" s="123"/>
      <c r="BR932" s="115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25"/>
      <c r="CC932" s="13"/>
      <c r="CF932" s="114"/>
    </row>
    <row r="933" spans="1:84" ht="19.5" x14ac:dyDescent="0.4">
      <c r="A933" s="117"/>
      <c r="B933" s="123"/>
      <c r="C933" s="123"/>
      <c r="D933" s="123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27"/>
      <c r="AT933" s="29"/>
      <c r="AU933" s="115"/>
      <c r="AV933" s="115"/>
      <c r="AW933" s="115"/>
      <c r="AX933" s="115"/>
      <c r="AY933" s="115"/>
      <c r="AZ933" s="115"/>
      <c r="BA933" s="115"/>
      <c r="BB933" s="115"/>
      <c r="BC933" s="115"/>
      <c r="BD933" s="25"/>
      <c r="BE933" s="13"/>
      <c r="BJ933" s="116"/>
      <c r="BK933" s="123"/>
      <c r="BL933" s="123"/>
      <c r="BM933" s="123"/>
      <c r="BR933" s="115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25"/>
      <c r="CC933" s="13"/>
      <c r="CF933" s="114"/>
    </row>
    <row r="934" spans="1:84" ht="19.5" x14ac:dyDescent="0.4">
      <c r="A934" s="117"/>
      <c r="B934" s="123"/>
      <c r="C934" s="123"/>
      <c r="D934" s="123"/>
      <c r="AS934" s="127"/>
      <c r="AT934" s="29"/>
      <c r="AU934" s="115"/>
      <c r="AV934" s="115"/>
      <c r="AW934" s="115"/>
      <c r="AX934" s="115"/>
      <c r="AY934" s="115"/>
      <c r="AZ934" s="115"/>
      <c r="BA934" s="115"/>
      <c r="BB934" s="115"/>
      <c r="BC934" s="115"/>
      <c r="BD934" s="25"/>
      <c r="BE934" s="13"/>
      <c r="BJ934" s="116"/>
      <c r="BK934" s="123"/>
      <c r="BL934" s="123"/>
      <c r="BM934" s="123"/>
      <c r="BR934" s="115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25"/>
      <c r="CC934" s="13"/>
      <c r="CF934" s="114"/>
    </row>
    <row r="935" spans="1:84" ht="19.5" x14ac:dyDescent="0.4">
      <c r="A935" s="117"/>
      <c r="B935" s="123"/>
      <c r="C935" s="123"/>
      <c r="D935" s="123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27"/>
      <c r="AT935" s="29"/>
      <c r="AU935" s="115"/>
      <c r="AV935" s="115"/>
      <c r="AW935" s="115"/>
      <c r="AX935" s="115"/>
      <c r="AY935" s="115"/>
      <c r="AZ935" s="115"/>
      <c r="BA935" s="115"/>
      <c r="BB935" s="115"/>
      <c r="BC935" s="115"/>
      <c r="BD935" s="25"/>
      <c r="BE935" s="13"/>
      <c r="BJ935" s="116"/>
      <c r="BK935" s="123"/>
      <c r="BL935" s="123"/>
      <c r="BM935" s="123"/>
      <c r="BR935" s="115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25"/>
      <c r="CC935" s="13"/>
      <c r="CF935" s="114"/>
    </row>
    <row r="936" spans="1:84" ht="19.5" x14ac:dyDescent="0.4">
      <c r="A936" s="117"/>
      <c r="B936" s="123"/>
      <c r="C936" s="123"/>
      <c r="D936" s="123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27"/>
      <c r="AT936" s="29"/>
      <c r="AU936" s="115"/>
      <c r="AV936" s="115"/>
      <c r="AW936" s="115"/>
      <c r="AX936" s="115"/>
      <c r="AY936" s="115"/>
      <c r="AZ936" s="115"/>
      <c r="BA936" s="115"/>
      <c r="BB936" s="115"/>
      <c r="BC936" s="115"/>
      <c r="BD936" s="25"/>
      <c r="BE936" s="13"/>
      <c r="BJ936" s="116"/>
      <c r="BK936" s="123"/>
      <c r="BL936" s="123"/>
      <c r="BM936" s="123"/>
      <c r="BR936" s="115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25"/>
      <c r="CC936" s="13"/>
      <c r="CF936" s="114"/>
    </row>
    <row r="937" spans="1:84" ht="19.5" x14ac:dyDescent="0.4">
      <c r="A937" s="117"/>
      <c r="B937" s="123"/>
      <c r="C937" s="123"/>
      <c r="D937" s="123"/>
      <c r="AS937" s="127"/>
      <c r="AT937" s="29"/>
      <c r="AU937" s="115"/>
      <c r="AV937" s="115"/>
      <c r="AW937" s="115"/>
      <c r="AX937" s="115"/>
      <c r="AY937" s="115"/>
      <c r="AZ937" s="115"/>
      <c r="BA937" s="115"/>
      <c r="BB937" s="115"/>
      <c r="BC937" s="115"/>
      <c r="BD937" s="25">
        <v>45679</v>
      </c>
      <c r="BE937" s="13" t="s">
        <v>147</v>
      </c>
      <c r="BJ937" s="116"/>
      <c r="BK937" s="123"/>
      <c r="BL937" s="123"/>
      <c r="BM937" s="123"/>
      <c r="BR937" s="115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25"/>
      <c r="CC937" s="13"/>
      <c r="CF937" s="114"/>
    </row>
    <row r="938" spans="1:84" ht="19.5" x14ac:dyDescent="0.4">
      <c r="A938" s="117"/>
      <c r="B938" s="123"/>
      <c r="C938" s="123"/>
      <c r="D938" s="123"/>
      <c r="AS938" s="127"/>
      <c r="AT938" s="29"/>
      <c r="AU938" s="115"/>
      <c r="AV938" s="115"/>
      <c r="AW938" s="115"/>
      <c r="AX938" s="115"/>
      <c r="AY938" s="115"/>
      <c r="AZ938" s="115"/>
      <c r="BA938" s="115"/>
      <c r="BB938" s="115"/>
      <c r="BC938" s="115"/>
      <c r="BD938" s="25">
        <v>45680</v>
      </c>
      <c r="BE938" s="13" t="s">
        <v>148</v>
      </c>
      <c r="BJ938" s="116"/>
      <c r="BK938" s="123"/>
      <c r="BL938" s="123"/>
      <c r="BM938" s="123"/>
      <c r="BR938" s="115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25"/>
      <c r="CC938" s="13"/>
      <c r="CF938" s="114"/>
    </row>
    <row r="939" spans="1:84" ht="19.5" x14ac:dyDescent="0.4">
      <c r="A939" s="117"/>
      <c r="B939" s="123"/>
      <c r="C939" s="123"/>
      <c r="D939" s="123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29"/>
      <c r="AT939" s="29"/>
      <c r="AU939" s="115"/>
      <c r="AV939" s="115"/>
      <c r="AW939" s="115"/>
      <c r="AX939" s="115"/>
      <c r="AY939" s="115"/>
      <c r="AZ939" s="115"/>
      <c r="BA939" s="115"/>
      <c r="BB939" s="115"/>
      <c r="BC939" s="115"/>
      <c r="BD939" s="25"/>
      <c r="BE939" s="13"/>
      <c r="BJ939" s="116"/>
      <c r="BK939" s="123"/>
      <c r="BL939" s="123"/>
      <c r="BM939" s="123"/>
      <c r="BR939" s="115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25"/>
      <c r="CC939" s="13"/>
      <c r="CF939" s="114"/>
    </row>
    <row r="940" spans="1:84" ht="19.5" x14ac:dyDescent="0.4">
      <c r="A940" s="117"/>
      <c r="B940" s="123"/>
      <c r="C940" s="123"/>
      <c r="D940" s="123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27"/>
      <c r="AT940" s="29"/>
      <c r="AU940" s="115"/>
      <c r="AV940" s="115"/>
      <c r="AW940" s="115"/>
      <c r="AX940" s="115"/>
      <c r="AY940" s="115"/>
      <c r="AZ940" s="115"/>
      <c r="BA940" s="115"/>
      <c r="BB940" s="115"/>
      <c r="BC940" s="115"/>
      <c r="BD940" s="25"/>
      <c r="BE940" s="13"/>
      <c r="BJ940" s="116"/>
      <c r="BK940" s="123"/>
      <c r="BL940" s="123"/>
      <c r="BM940" s="123"/>
      <c r="BR940" s="115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25"/>
      <c r="CC940" s="13"/>
      <c r="CF940" s="114"/>
    </row>
    <row r="941" spans="1:84" ht="19.5" x14ac:dyDescent="0.4">
      <c r="A941" s="117"/>
      <c r="B941" s="123"/>
      <c r="C941" s="123"/>
      <c r="D941" s="123"/>
      <c r="AS941" s="127"/>
      <c r="AT941" s="29"/>
      <c r="AU941" s="115"/>
      <c r="AV941" s="115"/>
      <c r="AW941" s="115"/>
      <c r="AX941" s="115"/>
      <c r="AY941" s="115"/>
      <c r="AZ941" s="115"/>
      <c r="BA941" s="115"/>
      <c r="BB941" s="115"/>
      <c r="BC941" s="115"/>
      <c r="BD941" s="25">
        <v>45680</v>
      </c>
      <c r="BE941" s="13" t="s">
        <v>147</v>
      </c>
      <c r="BJ941" s="116"/>
      <c r="BK941" s="123"/>
      <c r="BL941" s="123"/>
      <c r="BM941" s="123"/>
      <c r="BR941" s="115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25"/>
      <c r="CC941" s="13"/>
      <c r="CF941" s="114"/>
    </row>
    <row r="942" spans="1:84" ht="19.5" x14ac:dyDescent="0.4">
      <c r="A942" s="117"/>
      <c r="B942" s="123"/>
      <c r="C942" s="123"/>
      <c r="D942" s="123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127"/>
      <c r="AT942" s="29"/>
      <c r="AU942" s="115"/>
      <c r="AV942" s="115"/>
      <c r="AW942" s="115"/>
      <c r="AX942" s="115"/>
      <c r="AY942" s="115"/>
      <c r="AZ942" s="115"/>
      <c r="BA942" s="115"/>
      <c r="BB942" s="115"/>
      <c r="BC942" s="115"/>
      <c r="BD942" s="25"/>
      <c r="BE942" s="13"/>
      <c r="BJ942" s="116"/>
      <c r="BK942" s="123"/>
      <c r="BL942" s="123"/>
      <c r="BM942" s="123"/>
      <c r="BR942" s="115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25"/>
      <c r="CC942" s="13"/>
      <c r="CF942" s="114"/>
    </row>
    <row r="943" spans="1:84" ht="19.5" x14ac:dyDescent="0.4">
      <c r="A943" s="117"/>
      <c r="B943" s="123"/>
      <c r="C943" s="123"/>
      <c r="D943" s="123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27"/>
      <c r="AT943" s="29"/>
      <c r="AU943" s="115"/>
      <c r="AV943" s="115"/>
      <c r="AW943" s="115"/>
      <c r="AX943" s="115"/>
      <c r="AY943" s="115"/>
      <c r="AZ943" s="115"/>
      <c r="BA943" s="115"/>
      <c r="BB943" s="115"/>
      <c r="BC943" s="115"/>
      <c r="BD943" s="25"/>
      <c r="BE943" s="13"/>
      <c r="BJ943" s="116"/>
      <c r="BK943" s="123"/>
      <c r="BL943" s="123"/>
      <c r="BM943" s="123"/>
      <c r="BR943" s="115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25"/>
      <c r="CC943" s="13"/>
      <c r="CF943" s="114"/>
    </row>
    <row r="944" spans="1:84" ht="19.5" x14ac:dyDescent="0.4">
      <c r="A944" s="117"/>
      <c r="B944" s="123"/>
      <c r="C944" s="123"/>
      <c r="D944" s="123"/>
      <c r="AS944" s="127"/>
      <c r="AT944" s="29"/>
      <c r="AU944" s="115"/>
      <c r="AV944" s="115"/>
      <c r="AW944" s="115"/>
      <c r="AX944" s="115"/>
      <c r="AY944" s="115"/>
      <c r="AZ944" s="115"/>
      <c r="BA944" s="115"/>
      <c r="BB944" s="115"/>
      <c r="BC944" s="115"/>
      <c r="BD944" s="25">
        <v>45680</v>
      </c>
      <c r="BE944" s="13" t="s">
        <v>147</v>
      </c>
      <c r="BJ944" s="116"/>
      <c r="BK944" s="123"/>
      <c r="BL944" s="123"/>
      <c r="BM944" s="123"/>
      <c r="BR944" s="115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25"/>
      <c r="CC944" s="13"/>
      <c r="CF944" s="114"/>
    </row>
    <row r="945" spans="1:84" ht="19.5" x14ac:dyDescent="0.4">
      <c r="A945" s="117"/>
      <c r="B945" s="123"/>
      <c r="C945" s="123"/>
      <c r="D945" s="123"/>
      <c r="AS945" s="127"/>
      <c r="AT945" s="29"/>
      <c r="AU945" s="115"/>
      <c r="AV945" s="115"/>
      <c r="AW945" s="115"/>
      <c r="AX945" s="115"/>
      <c r="AY945" s="115"/>
      <c r="AZ945" s="115"/>
      <c r="BA945" s="115"/>
      <c r="BB945" s="115"/>
      <c r="BC945" s="115"/>
      <c r="BD945" s="25"/>
      <c r="BE945" s="13"/>
      <c r="BJ945" s="116"/>
      <c r="BK945" s="123"/>
      <c r="BL945" s="123"/>
      <c r="BM945" s="123"/>
      <c r="BR945" s="115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25"/>
      <c r="CC945" s="13"/>
      <c r="CF945" s="114"/>
    </row>
    <row r="946" spans="1:84" ht="19.5" x14ac:dyDescent="0.4">
      <c r="A946" s="117"/>
      <c r="B946" s="123"/>
      <c r="C946" s="123"/>
      <c r="D946" s="123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27"/>
      <c r="AT946" s="29"/>
      <c r="AU946" s="115"/>
      <c r="AV946" s="115"/>
      <c r="AW946" s="115"/>
      <c r="AX946" s="115"/>
      <c r="AY946" s="115"/>
      <c r="AZ946" s="115"/>
      <c r="BA946" s="115"/>
      <c r="BB946" s="115"/>
      <c r="BC946" s="115"/>
      <c r="BD946" s="25"/>
      <c r="BE946" s="13"/>
      <c r="BJ946" s="116"/>
      <c r="BK946" s="123"/>
      <c r="BL946" s="123"/>
      <c r="BM946" s="123"/>
      <c r="BR946" s="115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25"/>
      <c r="CC946" s="13"/>
      <c r="CF946" s="114"/>
    </row>
    <row r="947" spans="1:84" ht="19.5" x14ac:dyDescent="0.4">
      <c r="A947" s="117"/>
      <c r="B947" s="123"/>
      <c r="C947" s="123"/>
      <c r="D947" s="123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27"/>
      <c r="AT947" s="29"/>
      <c r="AU947" s="115"/>
      <c r="AV947" s="115"/>
      <c r="AW947" s="115"/>
      <c r="AX947" s="115"/>
      <c r="AY947" s="115"/>
      <c r="AZ947" s="115"/>
      <c r="BA947" s="115"/>
      <c r="BB947" s="115"/>
      <c r="BC947" s="115"/>
      <c r="BD947" s="25"/>
      <c r="BE947" s="13"/>
      <c r="BJ947" s="116"/>
      <c r="BK947" s="123"/>
      <c r="BL947" s="123"/>
      <c r="BM947" s="123"/>
      <c r="BR947" s="115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25"/>
      <c r="CC947" s="13"/>
      <c r="CF947" s="114"/>
    </row>
    <row r="948" spans="1:84" ht="19.5" x14ac:dyDescent="0.4">
      <c r="A948" s="117"/>
      <c r="B948" s="123"/>
      <c r="C948" s="123"/>
      <c r="D948" s="123"/>
      <c r="AS948" s="127"/>
      <c r="AT948" s="29"/>
      <c r="AU948" s="115"/>
      <c r="AV948" s="115"/>
      <c r="AW948" s="115"/>
      <c r="AX948" s="115"/>
      <c r="AY948" s="115"/>
      <c r="AZ948" s="115"/>
      <c r="BA948" s="115"/>
      <c r="BB948" s="115"/>
      <c r="BC948" s="115"/>
      <c r="BD948" s="25">
        <v>45680</v>
      </c>
      <c r="BE948" s="13" t="s">
        <v>146</v>
      </c>
      <c r="BJ948" s="116"/>
      <c r="BK948" s="123"/>
      <c r="BL948" s="123"/>
      <c r="BM948" s="123"/>
      <c r="BR948" s="115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25"/>
      <c r="CC948" s="13"/>
      <c r="CF948" s="114"/>
    </row>
    <row r="949" spans="1:84" ht="19.5" x14ac:dyDescent="0.4">
      <c r="A949" s="117"/>
      <c r="B949" s="123"/>
      <c r="C949" s="123"/>
      <c r="D949" s="123"/>
      <c r="AS949" s="127"/>
      <c r="AT949" s="29"/>
      <c r="AU949" s="115"/>
      <c r="AV949" s="115"/>
      <c r="AW949" s="115"/>
      <c r="AX949" s="115"/>
      <c r="AY949" s="115"/>
      <c r="AZ949" s="115"/>
      <c r="BA949" s="115"/>
      <c r="BB949" s="115"/>
      <c r="BC949" s="115"/>
      <c r="BD949" s="25">
        <v>45680</v>
      </c>
      <c r="BE949" s="13" t="s">
        <v>146</v>
      </c>
      <c r="BJ949" s="116"/>
      <c r="BK949" s="123"/>
      <c r="BL949" s="123"/>
      <c r="BM949" s="123"/>
      <c r="BR949" s="115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25"/>
      <c r="CC949" s="13"/>
      <c r="CF949" s="114"/>
    </row>
    <row r="950" spans="1:84" ht="19.5" x14ac:dyDescent="0.4">
      <c r="A950" s="117"/>
      <c r="B950" s="123"/>
      <c r="C950" s="123"/>
      <c r="D950" s="123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27"/>
      <c r="AT950" s="29"/>
      <c r="AU950" s="115"/>
      <c r="AV950" s="115"/>
      <c r="AW950" s="115"/>
      <c r="AX950" s="115"/>
      <c r="AY950" s="115"/>
      <c r="AZ950" s="115"/>
      <c r="BA950" s="115"/>
      <c r="BB950" s="115"/>
      <c r="BC950" s="115"/>
      <c r="BD950" s="25">
        <v>45680</v>
      </c>
      <c r="BE950" s="13" t="s">
        <v>147</v>
      </c>
      <c r="BJ950" s="116"/>
      <c r="BK950" s="123"/>
      <c r="BL950" s="123"/>
      <c r="BM950" s="123"/>
      <c r="BR950" s="115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25"/>
      <c r="CC950" s="13"/>
      <c r="CF950" s="114"/>
    </row>
    <row r="951" spans="1:84" ht="19.5" x14ac:dyDescent="0.4">
      <c r="A951" s="117"/>
      <c r="B951" s="123"/>
      <c r="C951" s="123"/>
      <c r="D951" s="123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27"/>
      <c r="AT951" s="29"/>
      <c r="AU951" s="115"/>
      <c r="AV951" s="115"/>
      <c r="AW951" s="115"/>
      <c r="AX951" s="115"/>
      <c r="AY951" s="115"/>
      <c r="AZ951" s="115"/>
      <c r="BA951" s="115"/>
      <c r="BB951" s="115"/>
      <c r="BC951" s="115"/>
      <c r="BD951" s="25"/>
      <c r="BE951" s="13"/>
      <c r="BJ951" s="116"/>
      <c r="BK951" s="123"/>
      <c r="BL951" s="123"/>
      <c r="BM951" s="123"/>
      <c r="BR951" s="115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25"/>
      <c r="CC951" s="13"/>
      <c r="CF951" s="114"/>
    </row>
    <row r="952" spans="1:84" ht="19.5" x14ac:dyDescent="0.4">
      <c r="A952" s="117"/>
      <c r="B952" s="123"/>
      <c r="C952" s="123"/>
      <c r="D952" s="123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29"/>
      <c r="AT952" s="29"/>
      <c r="AU952" s="115"/>
      <c r="AV952" s="115"/>
      <c r="AW952" s="115"/>
      <c r="AX952" s="115"/>
      <c r="AY952" s="115"/>
      <c r="AZ952" s="115"/>
      <c r="BA952" s="115"/>
      <c r="BB952" s="115"/>
      <c r="BC952" s="115"/>
      <c r="BD952" s="25"/>
      <c r="BE952" s="13"/>
      <c r="BJ952" s="116"/>
      <c r="BK952" s="123"/>
      <c r="BL952" s="123"/>
      <c r="BM952" s="123"/>
      <c r="BR952" s="115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25"/>
      <c r="CC952" s="13"/>
      <c r="CF952" s="114"/>
    </row>
    <row r="953" spans="1:84" ht="19.5" x14ac:dyDescent="0.4">
      <c r="A953" s="117"/>
      <c r="B953" s="123"/>
      <c r="C953" s="123"/>
      <c r="D953" s="123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127"/>
      <c r="AT953" s="29"/>
      <c r="AU953" s="115"/>
      <c r="AV953" s="115"/>
      <c r="AW953" s="115"/>
      <c r="AX953" s="115"/>
      <c r="AY953" s="115"/>
      <c r="AZ953" s="115"/>
      <c r="BA953" s="115"/>
      <c r="BB953" s="115"/>
      <c r="BC953" s="115"/>
      <c r="BD953" s="25"/>
      <c r="BE953" s="13"/>
      <c r="BJ953" s="116"/>
      <c r="BK953" s="123"/>
      <c r="BL953" s="123"/>
      <c r="BM953" s="123"/>
      <c r="BR953" s="115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25"/>
      <c r="CC953" s="13"/>
      <c r="CF953" s="114"/>
    </row>
    <row r="954" spans="1:84" ht="19.5" x14ac:dyDescent="0.4">
      <c r="A954" s="117"/>
      <c r="B954" s="123"/>
      <c r="C954" s="123"/>
      <c r="D954" s="123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29"/>
      <c r="AT954" s="29"/>
      <c r="AU954" s="115"/>
      <c r="AV954" s="115"/>
      <c r="AW954" s="115"/>
      <c r="AX954" s="115"/>
      <c r="AY954" s="115"/>
      <c r="AZ954" s="115"/>
      <c r="BA954" s="115"/>
      <c r="BB954" s="115"/>
      <c r="BC954" s="115"/>
      <c r="BD954" s="25"/>
      <c r="BE954" s="13"/>
      <c r="BJ954" s="116"/>
      <c r="BK954" s="123"/>
      <c r="BL954" s="123"/>
      <c r="BM954" s="123"/>
      <c r="BR954" s="115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25"/>
      <c r="CC954" s="13"/>
      <c r="CF954" s="114"/>
    </row>
    <row r="955" spans="1:84" ht="19.5" x14ac:dyDescent="0.4">
      <c r="A955" s="117"/>
      <c r="B955" s="123"/>
      <c r="C955" s="123"/>
      <c r="D955" s="123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27"/>
      <c r="AT955" s="29"/>
      <c r="AU955" s="115"/>
      <c r="AV955" s="115"/>
      <c r="AW955" s="115"/>
      <c r="AX955" s="115"/>
      <c r="AY955" s="115"/>
      <c r="AZ955" s="115"/>
      <c r="BA955" s="115"/>
      <c r="BB955" s="115"/>
      <c r="BC955" s="115"/>
      <c r="BD955" s="25">
        <v>45680</v>
      </c>
      <c r="BE955" s="15" t="s">
        <v>142</v>
      </c>
      <c r="BJ955" s="116"/>
      <c r="BK955" s="123"/>
      <c r="BL955" s="123"/>
      <c r="BM955" s="123"/>
      <c r="BR955" s="115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25"/>
      <c r="CC955" s="13"/>
      <c r="CF955" s="114"/>
    </row>
    <row r="956" spans="1:84" ht="19.5" x14ac:dyDescent="0.4">
      <c r="A956" s="117"/>
      <c r="B956" s="123"/>
      <c r="C956" s="123"/>
      <c r="D956" s="123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29"/>
      <c r="AT956" s="29"/>
      <c r="AU956" s="115"/>
      <c r="AV956" s="115"/>
      <c r="AW956" s="115"/>
      <c r="AX956" s="115"/>
      <c r="AY956" s="115"/>
      <c r="AZ956" s="115"/>
      <c r="BA956" s="115"/>
      <c r="BB956" s="115"/>
      <c r="BC956" s="115"/>
      <c r="BD956" s="25"/>
      <c r="BE956" s="15"/>
      <c r="BJ956" s="116"/>
      <c r="BK956" s="123"/>
      <c r="BL956" s="123"/>
      <c r="BM956" s="123"/>
      <c r="BR956" s="115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25"/>
      <c r="CC956" s="13"/>
      <c r="CF956" s="114"/>
    </row>
    <row r="957" spans="1:84" ht="19.5" x14ac:dyDescent="0.4">
      <c r="A957" s="117"/>
      <c r="B957" s="123"/>
      <c r="C957" s="123"/>
      <c r="D957" s="123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27"/>
      <c r="AT957" s="29"/>
      <c r="AU957" s="115"/>
      <c r="AV957" s="115"/>
      <c r="AW957" s="115"/>
      <c r="AX957" s="115"/>
      <c r="AY957" s="115"/>
      <c r="AZ957" s="115"/>
      <c r="BA957" s="115"/>
      <c r="BB957" s="115"/>
      <c r="BC957" s="115"/>
      <c r="BD957" s="25"/>
      <c r="BE957" s="15"/>
      <c r="BJ957" s="116"/>
      <c r="BK957" s="123"/>
      <c r="BL957" s="123"/>
      <c r="BM957" s="123"/>
      <c r="BR957" s="115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25"/>
      <c r="CC957" s="13"/>
      <c r="CF957" s="114"/>
    </row>
    <row r="958" spans="1:84" ht="19.5" x14ac:dyDescent="0.4">
      <c r="A958" s="117"/>
      <c r="B958" s="123"/>
      <c r="C958" s="123"/>
      <c r="D958" s="123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115"/>
      <c r="AR958" s="115"/>
      <c r="AS958" s="127"/>
      <c r="AT958" s="29"/>
      <c r="AU958" s="115"/>
      <c r="AV958" s="115"/>
      <c r="AW958" s="115"/>
      <c r="AX958" s="115"/>
      <c r="AY958" s="115"/>
      <c r="AZ958" s="115"/>
      <c r="BA958" s="115"/>
      <c r="BB958" s="115"/>
      <c r="BC958" s="115"/>
      <c r="BD958" s="25">
        <v>45680</v>
      </c>
      <c r="BE958" s="15" t="s">
        <v>146</v>
      </c>
      <c r="BJ958" s="116"/>
      <c r="BK958" s="123"/>
      <c r="BL958" s="123"/>
      <c r="BM958" s="123"/>
      <c r="BR958" s="115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25"/>
      <c r="CC958" s="13"/>
      <c r="CF958" s="114"/>
    </row>
    <row r="959" spans="1:84" ht="19.5" x14ac:dyDescent="0.4">
      <c r="A959" s="117"/>
      <c r="B959" s="123"/>
      <c r="C959" s="123"/>
      <c r="D959" s="123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27"/>
      <c r="AT959" s="29"/>
      <c r="AU959" s="115"/>
      <c r="AV959" s="115"/>
      <c r="AW959" s="115"/>
      <c r="AX959" s="115"/>
      <c r="AY959" s="115"/>
      <c r="AZ959" s="115"/>
      <c r="BA959" s="115"/>
      <c r="BB959" s="115"/>
      <c r="BC959" s="115"/>
      <c r="BD959" s="25"/>
      <c r="BE959" s="15"/>
      <c r="BJ959" s="116"/>
      <c r="BK959" s="123"/>
      <c r="BL959" s="123"/>
      <c r="BM959" s="123"/>
      <c r="BR959" s="115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25"/>
      <c r="CC959" s="13"/>
      <c r="CF959" s="114"/>
    </row>
    <row r="960" spans="1:84" ht="19.5" x14ac:dyDescent="0.4">
      <c r="A960" s="117"/>
      <c r="B960" s="123"/>
      <c r="C960" s="123"/>
      <c r="D960" s="123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5"/>
      <c r="AR960" s="115"/>
      <c r="AS960" s="127"/>
      <c r="AT960" s="29"/>
      <c r="AU960" s="115"/>
      <c r="AV960" s="115"/>
      <c r="AW960" s="115"/>
      <c r="AX960" s="115"/>
      <c r="AY960" s="115"/>
      <c r="AZ960" s="115"/>
      <c r="BA960" s="115"/>
      <c r="BB960" s="115"/>
      <c r="BC960" s="115"/>
      <c r="BD960" s="25">
        <v>45680</v>
      </c>
      <c r="BE960" s="15" t="s">
        <v>146</v>
      </c>
      <c r="BJ960" s="116"/>
      <c r="BK960" s="123"/>
      <c r="BL960" s="123"/>
      <c r="BM960" s="123"/>
      <c r="BR960" s="115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25"/>
      <c r="CC960" s="13"/>
      <c r="CF960" s="114"/>
    </row>
    <row r="961" spans="1:84" ht="19.5" x14ac:dyDescent="0.4">
      <c r="A961" s="117"/>
      <c r="B961" s="123"/>
      <c r="C961" s="123"/>
      <c r="D961" s="123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27"/>
      <c r="AT961" s="29"/>
      <c r="AU961" s="115"/>
      <c r="AV961" s="115"/>
      <c r="AW961" s="115"/>
      <c r="AX961" s="115"/>
      <c r="AY961" s="115"/>
      <c r="AZ961" s="115"/>
      <c r="BA961" s="115"/>
      <c r="BB961" s="115"/>
      <c r="BC961" s="115"/>
      <c r="BD961" s="25"/>
      <c r="BE961" s="15"/>
      <c r="BJ961" s="116"/>
      <c r="BK961" s="123"/>
      <c r="BL961" s="123"/>
      <c r="BM961" s="123"/>
      <c r="BR961" s="115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25"/>
      <c r="CC961" s="13"/>
      <c r="CF961" s="114"/>
    </row>
    <row r="962" spans="1:84" ht="19.5" x14ac:dyDescent="0.4">
      <c r="A962" s="117"/>
      <c r="B962" s="123"/>
      <c r="C962" s="123"/>
      <c r="D962" s="123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27"/>
      <c r="AT962" s="29"/>
      <c r="AU962" s="115"/>
      <c r="AV962" s="115"/>
      <c r="AW962" s="115"/>
      <c r="AX962" s="115"/>
      <c r="AY962" s="115"/>
      <c r="AZ962" s="115"/>
      <c r="BA962" s="115"/>
      <c r="BB962" s="115"/>
      <c r="BC962" s="115"/>
      <c r="BD962" s="25"/>
      <c r="BE962" s="15"/>
      <c r="BJ962" s="116"/>
      <c r="BK962" s="123"/>
      <c r="BL962" s="123"/>
      <c r="BM962" s="123"/>
      <c r="BR962" s="115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25"/>
      <c r="CC962" s="13"/>
      <c r="CF962" s="114"/>
    </row>
    <row r="963" spans="1:84" ht="19.5" x14ac:dyDescent="0.4">
      <c r="A963" s="117"/>
      <c r="B963" s="123"/>
      <c r="C963" s="123"/>
      <c r="D963" s="123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127"/>
      <c r="AT963" s="29"/>
      <c r="AU963" s="115"/>
      <c r="AV963" s="115"/>
      <c r="AW963" s="115"/>
      <c r="AX963" s="115"/>
      <c r="AY963" s="115"/>
      <c r="AZ963" s="115"/>
      <c r="BA963" s="115"/>
      <c r="BB963" s="115"/>
      <c r="BC963" s="115"/>
      <c r="BD963" s="25"/>
      <c r="BE963" s="15"/>
      <c r="BJ963" s="116"/>
      <c r="BK963" s="123"/>
      <c r="BL963" s="123"/>
      <c r="BM963" s="123"/>
      <c r="BR963" s="115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25"/>
      <c r="CC963" s="13"/>
      <c r="CF963" s="114"/>
    </row>
    <row r="964" spans="1:84" ht="19.5" x14ac:dyDescent="0.4">
      <c r="A964" s="117"/>
      <c r="B964" s="123"/>
      <c r="C964" s="123"/>
      <c r="D964" s="123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127"/>
      <c r="AT964" s="29"/>
      <c r="AU964" s="115"/>
      <c r="AV964" s="115"/>
      <c r="AW964" s="115"/>
      <c r="AX964" s="115"/>
      <c r="AY964" s="115"/>
      <c r="AZ964" s="115"/>
      <c r="BA964" s="115"/>
      <c r="BB964" s="115"/>
      <c r="BC964" s="115"/>
      <c r="BD964" s="25">
        <v>45680</v>
      </c>
      <c r="BE964" s="15" t="s">
        <v>146</v>
      </c>
      <c r="BJ964" s="116"/>
      <c r="BK964" s="123"/>
      <c r="BL964" s="123"/>
      <c r="BM964" s="123"/>
      <c r="BR964" s="115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25"/>
      <c r="CC964" s="13"/>
      <c r="CF964" s="114"/>
    </row>
    <row r="965" spans="1:84" ht="19.5" x14ac:dyDescent="0.4">
      <c r="A965" s="117"/>
      <c r="B965" s="123"/>
      <c r="C965" s="123"/>
      <c r="D965" s="123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27"/>
      <c r="AT965" s="29"/>
      <c r="AU965" s="115"/>
      <c r="AV965" s="115"/>
      <c r="AW965" s="115"/>
      <c r="AX965" s="115"/>
      <c r="AY965" s="115"/>
      <c r="AZ965" s="115"/>
      <c r="BA965" s="115"/>
      <c r="BB965" s="115"/>
      <c r="BC965" s="115"/>
      <c r="BD965" s="25"/>
      <c r="BE965" s="15"/>
      <c r="BJ965" s="116"/>
      <c r="BK965" s="123"/>
      <c r="BL965" s="123"/>
      <c r="BM965" s="123"/>
      <c r="BR965" s="115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25"/>
      <c r="CC965" s="13"/>
      <c r="CF965" s="114"/>
    </row>
    <row r="966" spans="1:84" ht="19.5" x14ac:dyDescent="0.4">
      <c r="A966" s="117"/>
      <c r="B966" s="123"/>
      <c r="C966" s="123"/>
      <c r="D966" s="123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29"/>
      <c r="AT966" s="29"/>
      <c r="AU966" s="115"/>
      <c r="AV966" s="115"/>
      <c r="AW966" s="115"/>
      <c r="AX966" s="115"/>
      <c r="AY966" s="115"/>
      <c r="AZ966" s="115"/>
      <c r="BA966" s="115"/>
      <c r="BB966" s="115"/>
      <c r="BC966" s="115"/>
      <c r="BD966" s="25"/>
      <c r="BE966" s="15"/>
      <c r="BJ966" s="116"/>
      <c r="BK966" s="123"/>
      <c r="BL966" s="123"/>
      <c r="BM966" s="123"/>
      <c r="BR966" s="115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25"/>
      <c r="CC966" s="13"/>
      <c r="CF966" s="114"/>
    </row>
    <row r="967" spans="1:84" ht="19.5" x14ac:dyDescent="0.4">
      <c r="A967" s="117"/>
      <c r="B967" s="123"/>
      <c r="C967" s="123"/>
      <c r="D967" s="123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15"/>
      <c r="AR967" s="115"/>
      <c r="AS967" s="127"/>
      <c r="AT967" s="29"/>
      <c r="AU967" s="115"/>
      <c r="AV967" s="115"/>
      <c r="AW967" s="115"/>
      <c r="AX967" s="115"/>
      <c r="AY967" s="115"/>
      <c r="AZ967" s="115"/>
      <c r="BA967" s="115"/>
      <c r="BB967" s="115"/>
      <c r="BC967" s="115"/>
      <c r="BD967" s="25">
        <v>45680</v>
      </c>
      <c r="BE967" s="15" t="s">
        <v>147</v>
      </c>
      <c r="BJ967" s="116"/>
      <c r="BK967" s="123"/>
      <c r="BL967" s="123"/>
      <c r="BM967" s="123"/>
      <c r="BR967" s="115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25"/>
      <c r="CC967" s="13"/>
      <c r="CF967" s="114"/>
    </row>
    <row r="968" spans="1:84" ht="19.5" x14ac:dyDescent="0.4">
      <c r="A968" s="117"/>
      <c r="B968" s="123"/>
      <c r="C968" s="123"/>
      <c r="D968" s="123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29"/>
      <c r="AT968" s="29"/>
      <c r="AU968" s="115"/>
      <c r="AV968" s="115"/>
      <c r="AW968" s="115"/>
      <c r="AX968" s="115"/>
      <c r="AY968" s="115"/>
      <c r="AZ968" s="115"/>
      <c r="BA968" s="115"/>
      <c r="BB968" s="115"/>
      <c r="BC968" s="115"/>
      <c r="BD968" s="25"/>
      <c r="BE968" s="13"/>
      <c r="BJ968" s="116"/>
      <c r="BK968" s="123"/>
      <c r="BL968" s="123"/>
      <c r="BM968" s="123"/>
      <c r="BR968" s="115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25"/>
      <c r="CC968" s="13"/>
      <c r="CF968" s="114"/>
    </row>
    <row r="969" spans="1:84" ht="19.5" x14ac:dyDescent="0.4">
      <c r="A969" s="117"/>
      <c r="B969" s="123"/>
      <c r="C969" s="123"/>
      <c r="D969" s="123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27"/>
      <c r="AT969" s="29"/>
      <c r="AU969" s="115"/>
      <c r="AV969" s="115"/>
      <c r="AW969" s="115"/>
      <c r="AX969" s="115"/>
      <c r="AY969" s="115"/>
      <c r="AZ969" s="115"/>
      <c r="BA969" s="115"/>
      <c r="BB969" s="115"/>
      <c r="BC969" s="115"/>
      <c r="BD969" s="25"/>
      <c r="BE969" s="13"/>
      <c r="BJ969" s="116"/>
      <c r="BK969" s="123"/>
      <c r="BL969" s="123"/>
      <c r="BM969" s="123"/>
      <c r="BR969" s="115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25"/>
      <c r="CC969" s="13"/>
      <c r="CF969" s="114"/>
    </row>
    <row r="970" spans="1:84" ht="19.5" x14ac:dyDescent="0.4">
      <c r="A970" s="117"/>
      <c r="B970" s="123"/>
      <c r="C970" s="123"/>
      <c r="D970" s="123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127"/>
      <c r="AT970" s="29"/>
      <c r="AU970" s="115"/>
      <c r="AV970" s="115"/>
      <c r="AW970" s="115"/>
      <c r="AX970" s="115"/>
      <c r="AY970" s="115"/>
      <c r="AZ970" s="115"/>
      <c r="BA970" s="115"/>
      <c r="BB970" s="115"/>
      <c r="BC970" s="115"/>
      <c r="BD970" s="25"/>
      <c r="BE970" s="13"/>
      <c r="BJ970" s="116"/>
      <c r="BK970" s="123"/>
      <c r="BL970" s="123"/>
      <c r="BM970" s="123"/>
      <c r="BR970" s="115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25"/>
      <c r="CC970" s="13"/>
      <c r="CF970" s="114"/>
    </row>
    <row r="971" spans="1:84" ht="19.5" x14ac:dyDescent="0.4">
      <c r="A971" s="117"/>
      <c r="B971" s="123"/>
      <c r="C971" s="123"/>
      <c r="D971" s="123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29"/>
      <c r="AT971" s="29"/>
      <c r="AU971" s="115"/>
      <c r="AV971" s="115"/>
      <c r="AW971" s="115"/>
      <c r="AX971" s="115"/>
      <c r="AY971" s="115"/>
      <c r="AZ971" s="115"/>
      <c r="BA971" s="115"/>
      <c r="BB971" s="115"/>
      <c r="BC971" s="115"/>
      <c r="BD971" s="25"/>
      <c r="BE971" s="13"/>
      <c r="BJ971" s="116"/>
      <c r="BK971" s="123"/>
      <c r="BL971" s="123"/>
      <c r="BM971" s="123"/>
      <c r="BR971" s="115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25"/>
      <c r="CC971" s="13"/>
      <c r="CF971" s="114"/>
    </row>
    <row r="972" spans="1:84" ht="19.5" x14ac:dyDescent="0.4">
      <c r="A972" s="117"/>
      <c r="B972" s="123"/>
      <c r="C972" s="123"/>
      <c r="D972" s="123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29"/>
      <c r="AT972" s="29"/>
      <c r="AU972" s="115"/>
      <c r="AV972" s="115"/>
      <c r="AW972" s="115"/>
      <c r="AX972" s="115"/>
      <c r="AY972" s="115"/>
      <c r="AZ972" s="115"/>
      <c r="BA972" s="115"/>
      <c r="BB972" s="115"/>
      <c r="BC972" s="115"/>
      <c r="BD972" s="25"/>
      <c r="BE972" s="13"/>
      <c r="BJ972" s="116"/>
      <c r="BK972" s="123"/>
      <c r="BL972" s="123"/>
      <c r="BM972" s="123"/>
      <c r="BR972" s="115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25"/>
      <c r="CC972" s="13"/>
      <c r="CF972" s="114"/>
    </row>
    <row r="973" spans="1:84" ht="19.5" x14ac:dyDescent="0.4">
      <c r="A973" s="117"/>
      <c r="B973" s="123"/>
      <c r="C973" s="123"/>
      <c r="D973" s="123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27"/>
      <c r="AT973" s="29"/>
      <c r="AU973" s="115"/>
      <c r="AV973" s="115"/>
      <c r="AW973" s="115"/>
      <c r="AX973" s="115"/>
      <c r="AY973" s="115"/>
      <c r="AZ973" s="115"/>
      <c r="BA973" s="115"/>
      <c r="BB973" s="115"/>
      <c r="BC973" s="115"/>
      <c r="BD973" s="25"/>
      <c r="BE973" s="13"/>
      <c r="BJ973" s="116"/>
      <c r="BK973" s="123"/>
      <c r="BL973" s="123"/>
      <c r="BM973" s="123"/>
      <c r="BR973" s="115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25"/>
      <c r="CC973" s="13"/>
      <c r="CF973" s="114"/>
    </row>
    <row r="974" spans="1:84" ht="19.5" x14ac:dyDescent="0.4">
      <c r="A974" s="117"/>
      <c r="B974" s="123"/>
      <c r="C974" s="123"/>
      <c r="D974" s="123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15"/>
      <c r="AR974" s="115"/>
      <c r="AS974" s="127"/>
      <c r="AT974" s="29"/>
      <c r="AU974" s="115"/>
      <c r="AV974" s="115"/>
      <c r="AW974" s="115"/>
      <c r="AX974" s="115"/>
      <c r="AY974" s="115"/>
      <c r="AZ974" s="115"/>
      <c r="BA974" s="115"/>
      <c r="BB974" s="115"/>
      <c r="BC974" s="115"/>
      <c r="BD974" s="25"/>
      <c r="BE974" s="13"/>
      <c r="BJ974" s="116"/>
      <c r="BK974" s="123"/>
      <c r="BL974" s="123"/>
      <c r="BM974" s="123"/>
      <c r="BR974" s="115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25"/>
      <c r="CC974" s="13"/>
      <c r="CF974" s="114"/>
    </row>
    <row r="975" spans="1:84" ht="19.5" x14ac:dyDescent="0.4">
      <c r="A975" s="117"/>
      <c r="B975" s="123"/>
      <c r="C975" s="123"/>
      <c r="D975" s="123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127"/>
      <c r="AT975" s="29"/>
      <c r="AU975" s="115"/>
      <c r="AV975" s="115"/>
      <c r="AW975" s="115"/>
      <c r="AX975" s="115"/>
      <c r="AY975" s="115"/>
      <c r="AZ975" s="115"/>
      <c r="BA975" s="115"/>
      <c r="BB975" s="115"/>
      <c r="BC975" s="115"/>
      <c r="BD975" s="25"/>
      <c r="BE975" s="13"/>
      <c r="BJ975" s="116"/>
      <c r="BK975" s="123"/>
      <c r="BL975" s="123"/>
      <c r="BM975" s="123"/>
      <c r="BR975" s="115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25"/>
      <c r="CC975" s="13"/>
      <c r="CF975" s="114"/>
    </row>
    <row r="976" spans="1:84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27"/>
      <c r="AT976" s="29"/>
      <c r="AU976" s="115"/>
      <c r="AV976" s="115"/>
      <c r="AW976" s="115"/>
      <c r="AX976" s="115"/>
      <c r="AY976" s="115"/>
      <c r="AZ976" s="115"/>
      <c r="BA976" s="115"/>
      <c r="BB976" s="115"/>
      <c r="BC976" s="115"/>
      <c r="BD976" s="25"/>
      <c r="BE976" s="13"/>
      <c r="BJ976" s="116"/>
      <c r="BK976" s="123"/>
      <c r="BL976" s="123"/>
      <c r="BM976" s="123"/>
      <c r="BR976" s="115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25"/>
      <c r="CC976" s="13"/>
      <c r="CF976" s="114"/>
    </row>
    <row r="977" spans="1:84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27"/>
      <c r="AT977" s="29"/>
      <c r="AU977" s="115"/>
      <c r="AV977" s="115"/>
      <c r="AW977" s="115"/>
      <c r="AX977" s="115"/>
      <c r="AY977" s="115"/>
      <c r="AZ977" s="115"/>
      <c r="BA977" s="115"/>
      <c r="BB977" s="115"/>
      <c r="BC977" s="115"/>
      <c r="BD977" s="25">
        <v>45680</v>
      </c>
      <c r="BE977" s="13" t="s">
        <v>146</v>
      </c>
      <c r="BJ977" s="116"/>
      <c r="BK977" s="123"/>
      <c r="BL977" s="123"/>
      <c r="BM977" s="123"/>
      <c r="BR977" s="115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25"/>
      <c r="CC977" s="13"/>
      <c r="CF977" s="114"/>
    </row>
    <row r="978" spans="1:84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29"/>
      <c r="AT978" s="29"/>
      <c r="AU978" s="115"/>
      <c r="AV978" s="115"/>
      <c r="AW978" s="115"/>
      <c r="AX978" s="115"/>
      <c r="AY978" s="115"/>
      <c r="AZ978" s="115"/>
      <c r="BA978" s="115"/>
      <c r="BB978" s="115"/>
      <c r="BC978" s="115"/>
      <c r="BD978" s="25"/>
      <c r="BE978" s="13"/>
      <c r="BJ978" s="116"/>
      <c r="BK978" s="123"/>
      <c r="BL978" s="123"/>
      <c r="BM978" s="123"/>
      <c r="BR978" s="115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25"/>
      <c r="CC978" s="13"/>
      <c r="CF978" s="114"/>
    </row>
    <row r="979" spans="1:84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27"/>
      <c r="AT979" s="29"/>
      <c r="AU979" s="115"/>
      <c r="AV979" s="115"/>
      <c r="AW979" s="115"/>
      <c r="AX979" s="115"/>
      <c r="AY979" s="115"/>
      <c r="AZ979" s="115"/>
      <c r="BA979" s="115"/>
      <c r="BB979" s="115"/>
      <c r="BC979" s="115"/>
      <c r="BD979" s="25">
        <v>45680</v>
      </c>
      <c r="BE979" s="13" t="s">
        <v>147</v>
      </c>
      <c r="BJ979" s="116"/>
      <c r="BK979" s="123"/>
      <c r="BL979" s="123"/>
      <c r="BM979" s="123"/>
      <c r="BR979" s="115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25"/>
      <c r="CC979" s="13"/>
      <c r="CF979" s="114"/>
    </row>
    <row r="980" spans="1:84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27"/>
      <c r="AT980" s="29"/>
      <c r="AU980" s="115"/>
      <c r="AV980" s="115"/>
      <c r="AW980" s="115"/>
      <c r="AX980" s="115"/>
      <c r="AY980" s="115"/>
      <c r="AZ980" s="115"/>
      <c r="BA980" s="115"/>
      <c r="BB980" s="115"/>
      <c r="BC980" s="115"/>
      <c r="BD980" s="25">
        <v>45680</v>
      </c>
      <c r="BE980" s="13" t="s">
        <v>146</v>
      </c>
      <c r="BJ980" s="116"/>
      <c r="BK980" s="123"/>
      <c r="BL980" s="123"/>
      <c r="BM980" s="123"/>
      <c r="BR980" s="115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25"/>
      <c r="CC980" s="13"/>
      <c r="CF980" s="114"/>
    </row>
    <row r="981" spans="1:84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29"/>
      <c r="AT981" s="29"/>
      <c r="AU981" s="115"/>
      <c r="AV981" s="115"/>
      <c r="AW981" s="115"/>
      <c r="AX981" s="115"/>
      <c r="AY981" s="115"/>
      <c r="AZ981" s="115"/>
      <c r="BA981" s="115"/>
      <c r="BB981" s="115"/>
      <c r="BC981" s="115"/>
      <c r="BD981" s="25"/>
      <c r="BE981" s="13"/>
      <c r="BJ981" s="116"/>
      <c r="BK981" s="123"/>
      <c r="BL981" s="123"/>
      <c r="BM981" s="123"/>
      <c r="BR981" s="115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25"/>
      <c r="CC981" s="13"/>
      <c r="CF981" s="114"/>
    </row>
    <row r="982" spans="1:84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27"/>
      <c r="AT982" s="29"/>
      <c r="AU982" s="115"/>
      <c r="AV982" s="115"/>
      <c r="AW982" s="115"/>
      <c r="AX982" s="115"/>
      <c r="AY982" s="115"/>
      <c r="AZ982" s="115"/>
      <c r="BA982" s="115"/>
      <c r="BB982" s="115"/>
      <c r="BC982" s="115"/>
      <c r="BD982" s="25"/>
      <c r="BE982" s="13"/>
      <c r="BJ982" s="116"/>
      <c r="BK982" s="123"/>
      <c r="BL982" s="123"/>
      <c r="BM982" s="123"/>
      <c r="BR982" s="115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25"/>
      <c r="CC982" s="13"/>
      <c r="CF982" s="114"/>
    </row>
    <row r="983" spans="1:84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29"/>
      <c r="AT983" s="29"/>
      <c r="AU983" s="115"/>
      <c r="AV983" s="115"/>
      <c r="AW983" s="115"/>
      <c r="AX983" s="115"/>
      <c r="AY983" s="115"/>
      <c r="AZ983" s="115"/>
      <c r="BA983" s="115"/>
      <c r="BB983" s="115"/>
      <c r="BC983" s="115"/>
      <c r="BD983" s="25"/>
      <c r="BE983" s="13"/>
      <c r="BJ983" s="116"/>
      <c r="BK983" s="123"/>
      <c r="BL983" s="123"/>
      <c r="BM983" s="123"/>
      <c r="BR983" s="115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25"/>
      <c r="CC983" s="13"/>
      <c r="CF983" s="114"/>
    </row>
    <row r="984" spans="1:84" ht="19.5" x14ac:dyDescent="0.4">
      <c r="A984" s="117"/>
      <c r="B984" s="123"/>
      <c r="C984" s="123"/>
      <c r="D984" s="123"/>
      <c r="AS984" s="127"/>
      <c r="AT984" s="29"/>
      <c r="BD984" s="25">
        <v>45680</v>
      </c>
      <c r="BE984" s="13" t="s">
        <v>146</v>
      </c>
      <c r="BJ984" s="117"/>
      <c r="BK984" s="123"/>
      <c r="BL984" s="123"/>
      <c r="BM984" s="123"/>
      <c r="BR984" s="115"/>
      <c r="BS984" s="115"/>
      <c r="BT984" s="115"/>
      <c r="BU984" s="115"/>
      <c r="BV984" s="115"/>
      <c r="BW984" s="115"/>
      <c r="BX984" s="115"/>
      <c r="BY984" s="115"/>
      <c r="BZ984" s="115"/>
      <c r="CA984" s="115" t="s">
        <v>149</v>
      </c>
      <c r="CB984" s="13">
        <f>SUBTOTAL(3,CB2:CB2)</f>
        <v>1</v>
      </c>
      <c r="CC984" s="13">
        <f>SUBTOTAL(3,CC2:CC2)</f>
        <v>1</v>
      </c>
      <c r="CF984" s="114"/>
    </row>
    <row r="985" spans="1:84" ht="19.5" x14ac:dyDescent="0.4">
      <c r="A985" s="117"/>
      <c r="B985" s="123"/>
      <c r="C985" s="123"/>
      <c r="D985" s="123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29"/>
      <c r="AT985" s="29"/>
      <c r="BD985" s="25"/>
      <c r="BE985" s="13"/>
      <c r="BJ985" s="117"/>
      <c r="BK985" s="123"/>
      <c r="BL985" s="123"/>
      <c r="BM985" s="123"/>
      <c r="BR985" s="115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3"/>
      <c r="CC985" s="13"/>
      <c r="CF985" s="114"/>
    </row>
    <row r="986" spans="1:84" ht="19.5" x14ac:dyDescent="0.4">
      <c r="A986" s="117"/>
      <c r="B986" s="123"/>
      <c r="C986" s="123"/>
      <c r="D986" s="123"/>
      <c r="AS986" s="127"/>
      <c r="AT986" s="29"/>
      <c r="BD986" s="25"/>
      <c r="BE986" s="13"/>
      <c r="BJ986" s="117"/>
      <c r="BK986" s="123"/>
      <c r="BL986" s="123"/>
      <c r="BM986" s="123"/>
      <c r="BR986" s="115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3"/>
      <c r="CC986" s="13"/>
      <c r="CF986" s="114"/>
    </row>
    <row r="987" spans="1:84" ht="19.5" x14ac:dyDescent="0.4">
      <c r="A987" s="117"/>
      <c r="B987" s="123"/>
      <c r="C987" s="123"/>
      <c r="D987" s="123"/>
      <c r="AS987" s="127"/>
      <c r="AT987" s="29"/>
      <c r="AU987" s="115"/>
      <c r="AV987" s="115"/>
      <c r="AW987" s="115"/>
      <c r="AX987" s="115"/>
      <c r="AY987" s="115"/>
      <c r="AZ987" s="115"/>
      <c r="BA987" s="115"/>
      <c r="BB987" s="115"/>
      <c r="BC987" s="115"/>
      <c r="BD987" s="25">
        <v>45682</v>
      </c>
      <c r="BE987" s="13" t="s">
        <v>147</v>
      </c>
      <c r="BJ987" s="117"/>
      <c r="BK987" s="123"/>
      <c r="BL987" s="123"/>
      <c r="BM987" s="123"/>
      <c r="BR987" s="115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3"/>
      <c r="CC987" s="13"/>
      <c r="CF987" s="114"/>
    </row>
    <row r="988" spans="1:84" ht="19.5" x14ac:dyDescent="0.4">
      <c r="A988" s="117"/>
      <c r="B988" s="123"/>
      <c r="C988" s="123"/>
      <c r="D988" s="123"/>
      <c r="AS988" s="127"/>
      <c r="AT988" s="29"/>
      <c r="AU988" s="115"/>
      <c r="AV988" s="115"/>
      <c r="AW988" s="115"/>
      <c r="AX988" s="115"/>
      <c r="AY988" s="115"/>
      <c r="AZ988" s="115"/>
      <c r="BA988" s="115"/>
      <c r="BB988" s="115"/>
      <c r="BC988" s="115"/>
      <c r="BD988" s="25">
        <v>45682</v>
      </c>
      <c r="BE988" s="13" t="s">
        <v>146</v>
      </c>
      <c r="BJ988" s="117"/>
      <c r="BK988" s="123"/>
      <c r="BL988" s="123"/>
      <c r="BM988" s="123"/>
      <c r="BR988" s="115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3"/>
      <c r="CC988" s="13"/>
      <c r="CF988" s="114"/>
    </row>
    <row r="989" spans="1:84" ht="19.5" x14ac:dyDescent="0.4">
      <c r="A989" s="117"/>
      <c r="B989" s="123"/>
      <c r="C989" s="123"/>
      <c r="D989" s="123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27"/>
      <c r="AT989" s="29"/>
      <c r="AU989" s="115"/>
      <c r="AV989" s="115"/>
      <c r="AW989" s="115"/>
      <c r="AX989" s="115"/>
      <c r="AY989" s="115"/>
      <c r="AZ989" s="115"/>
      <c r="BA989" s="115"/>
      <c r="BB989" s="115"/>
      <c r="BC989" s="115"/>
      <c r="BD989" s="25"/>
      <c r="BE989" s="13"/>
      <c r="BJ989" s="117"/>
      <c r="BK989" s="123"/>
      <c r="BL989" s="123"/>
      <c r="BM989" s="123"/>
      <c r="BR989" s="115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3"/>
      <c r="CC989" s="13"/>
      <c r="CF989" s="114"/>
    </row>
    <row r="990" spans="1:84" ht="19.5" x14ac:dyDescent="0.4">
      <c r="A990" s="117"/>
      <c r="B990" s="123"/>
      <c r="C990" s="123"/>
      <c r="D990" s="123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27"/>
      <c r="AT990" s="29"/>
      <c r="AU990" s="115"/>
      <c r="AV990" s="115"/>
      <c r="AW990" s="115"/>
      <c r="AX990" s="115"/>
      <c r="AY990" s="115"/>
      <c r="AZ990" s="115"/>
      <c r="BA990" s="115"/>
      <c r="BB990" s="115"/>
      <c r="BC990" s="115"/>
      <c r="BD990" s="25"/>
      <c r="BE990" s="13"/>
      <c r="BJ990" s="117"/>
      <c r="BK990" s="123"/>
      <c r="BL990" s="123"/>
      <c r="BM990" s="123"/>
      <c r="BR990" s="115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3"/>
      <c r="CC990" s="13"/>
      <c r="CF990" s="114"/>
    </row>
    <row r="991" spans="1:84" ht="19.5" x14ac:dyDescent="0.4">
      <c r="A991" s="117"/>
      <c r="B991" s="123"/>
      <c r="C991" s="123"/>
      <c r="D991" s="123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29"/>
      <c r="AT991" s="29"/>
      <c r="AU991" s="115"/>
      <c r="AV991" s="115"/>
      <c r="AW991" s="115"/>
      <c r="AX991" s="115"/>
      <c r="AY991" s="115"/>
      <c r="AZ991" s="115"/>
      <c r="BA991" s="115"/>
      <c r="BB991" s="115"/>
      <c r="BC991" s="115"/>
      <c r="BD991" s="25"/>
      <c r="BE991" s="13"/>
      <c r="BJ991" s="117"/>
      <c r="BK991" s="123"/>
      <c r="BL991" s="123"/>
      <c r="BM991" s="123"/>
      <c r="BR991" s="115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3"/>
      <c r="CC991" s="13"/>
      <c r="CF991" s="114"/>
    </row>
    <row r="992" spans="1:84" ht="19.5" x14ac:dyDescent="0.4">
      <c r="A992" s="117"/>
      <c r="B992" s="123"/>
      <c r="C992" s="123"/>
      <c r="D992" s="123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27"/>
      <c r="AT992" s="29"/>
      <c r="AU992" s="115"/>
      <c r="AV992" s="115"/>
      <c r="AW992" s="115"/>
      <c r="AX992" s="115"/>
      <c r="AY992" s="115"/>
      <c r="AZ992" s="115"/>
      <c r="BA992" s="115"/>
      <c r="BB992" s="115"/>
      <c r="BC992" s="115"/>
      <c r="BD992" s="25"/>
      <c r="BE992" s="13"/>
      <c r="BJ992" s="117"/>
      <c r="BK992" s="123"/>
      <c r="BL992" s="123"/>
      <c r="BM992" s="123"/>
      <c r="BR992" s="115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3"/>
      <c r="CC992" s="13"/>
      <c r="CF992" s="114"/>
    </row>
    <row r="993" spans="1:84" ht="19.5" x14ac:dyDescent="0.4">
      <c r="A993" s="117"/>
      <c r="B993" s="123"/>
      <c r="C993" s="123"/>
      <c r="D993" s="123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29"/>
      <c r="AT993" s="29"/>
      <c r="AU993" s="115"/>
      <c r="AV993" s="115"/>
      <c r="AW993" s="115"/>
      <c r="AX993" s="115"/>
      <c r="AY993" s="115"/>
      <c r="AZ993" s="115"/>
      <c r="BA993" s="115"/>
      <c r="BB993" s="115"/>
      <c r="BC993" s="115"/>
      <c r="BD993" s="25"/>
      <c r="BE993" s="13"/>
      <c r="BJ993" s="117"/>
      <c r="BK993" s="123"/>
      <c r="BL993" s="123"/>
      <c r="BM993" s="123"/>
      <c r="BR993" s="115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3"/>
      <c r="CC993" s="13"/>
      <c r="CF993" s="114"/>
    </row>
    <row r="994" spans="1:84" ht="19.5" x14ac:dyDescent="0.4">
      <c r="A994" s="117"/>
      <c r="B994" s="123"/>
      <c r="C994" s="123"/>
      <c r="D994" s="123"/>
      <c r="AS994" s="127"/>
      <c r="AT994" s="29"/>
      <c r="AU994" s="115"/>
      <c r="AV994" s="115"/>
      <c r="AW994" s="115"/>
      <c r="AX994" s="115"/>
      <c r="AY994" s="115"/>
      <c r="AZ994" s="115"/>
      <c r="BA994" s="115"/>
      <c r="BB994" s="115"/>
      <c r="BC994" s="115"/>
      <c r="BD994" s="25">
        <v>45682</v>
      </c>
      <c r="BE994" s="13" t="s">
        <v>147</v>
      </c>
      <c r="BJ994" s="117"/>
      <c r="BK994" s="123"/>
      <c r="BL994" s="123"/>
      <c r="BM994" s="123"/>
      <c r="BR994" s="115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3"/>
      <c r="CC994" s="13"/>
      <c r="CF994" s="114"/>
    </row>
    <row r="995" spans="1:84" ht="19.5" x14ac:dyDescent="0.4">
      <c r="A995" s="117"/>
      <c r="B995" s="123"/>
      <c r="C995" s="123"/>
      <c r="D995" s="123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29"/>
      <c r="AT995" s="29"/>
      <c r="AU995" s="115"/>
      <c r="AV995" s="115"/>
      <c r="AW995" s="115"/>
      <c r="AX995" s="115"/>
      <c r="AY995" s="115"/>
      <c r="AZ995" s="115"/>
      <c r="BA995" s="115"/>
      <c r="BB995" s="115"/>
      <c r="BC995" s="115"/>
      <c r="BD995" s="25"/>
      <c r="BE995" s="13"/>
      <c r="BJ995" s="117"/>
      <c r="BK995" s="123"/>
      <c r="BL995" s="123"/>
      <c r="BM995" s="123"/>
      <c r="BR995" s="115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3"/>
      <c r="CC995" s="13"/>
      <c r="CF995" s="114"/>
    </row>
    <row r="996" spans="1:84" ht="19.5" x14ac:dyDescent="0.4">
      <c r="A996" s="117"/>
      <c r="B996" s="123"/>
      <c r="C996" s="123"/>
      <c r="D996" s="123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29"/>
      <c r="AT996" s="29"/>
      <c r="AU996" s="115"/>
      <c r="AV996" s="115"/>
      <c r="AW996" s="115"/>
      <c r="AX996" s="115"/>
      <c r="AY996" s="115"/>
      <c r="AZ996" s="115"/>
      <c r="BA996" s="115"/>
      <c r="BB996" s="115"/>
      <c r="BC996" s="115"/>
      <c r="BD996" s="25"/>
      <c r="BE996" s="13"/>
      <c r="BJ996" s="117"/>
      <c r="BK996" s="123"/>
      <c r="BL996" s="123"/>
      <c r="BM996" s="123"/>
      <c r="BR996" s="115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3"/>
      <c r="CC996" s="13"/>
      <c r="CF996" s="114"/>
    </row>
    <row r="997" spans="1:84" ht="19.5" x14ac:dyDescent="0.4">
      <c r="A997" s="117"/>
      <c r="B997" s="123"/>
      <c r="C997" s="123"/>
      <c r="D997" s="123"/>
      <c r="AS997" s="128"/>
      <c r="AT997" s="29"/>
      <c r="AU997" s="115"/>
      <c r="AV997" s="115"/>
      <c r="AW997" s="115"/>
      <c r="AX997" s="115"/>
      <c r="AY997" s="115"/>
      <c r="AZ997" s="115"/>
      <c r="BA997" s="115"/>
      <c r="BB997" s="115"/>
      <c r="BC997" s="115"/>
      <c r="BD997" s="25"/>
      <c r="BE997" s="13"/>
      <c r="BJ997" s="117"/>
      <c r="BK997" s="123"/>
      <c r="BL997" s="123"/>
      <c r="BM997" s="123"/>
      <c r="BR997" s="115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3"/>
      <c r="CC997" s="13"/>
      <c r="CF997" s="114"/>
    </row>
    <row r="998" spans="1:84" ht="19.5" x14ac:dyDescent="0.4">
      <c r="A998" s="117"/>
      <c r="B998" s="123"/>
      <c r="C998" s="123"/>
      <c r="D998" s="123"/>
      <c r="AS998" s="127"/>
      <c r="AT998" s="29"/>
      <c r="AU998" s="115"/>
      <c r="AV998" s="115"/>
      <c r="AW998" s="115"/>
      <c r="AX998" s="115"/>
      <c r="AY998" s="115"/>
      <c r="AZ998" s="115"/>
      <c r="BA998" s="115"/>
      <c r="BB998" s="115"/>
      <c r="BC998" s="115"/>
      <c r="BD998" s="25"/>
      <c r="BE998" s="13"/>
      <c r="BJ998" s="117"/>
      <c r="BK998" s="123"/>
      <c r="BL998" s="123"/>
      <c r="BM998" s="123"/>
      <c r="BR998" s="115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3"/>
      <c r="CC998" s="13"/>
      <c r="CF998" s="114"/>
    </row>
    <row r="999" spans="1:84" ht="19.5" x14ac:dyDescent="0.4">
      <c r="A999" s="117"/>
      <c r="B999" s="123"/>
      <c r="C999" s="123"/>
      <c r="D999" s="123"/>
      <c r="AS999" s="127"/>
      <c r="AT999" s="29"/>
      <c r="BD999" s="25">
        <v>45682</v>
      </c>
      <c r="BE999" s="15" t="s">
        <v>146</v>
      </c>
      <c r="BJ999" s="117"/>
      <c r="BK999" s="123"/>
      <c r="BL999" s="123"/>
      <c r="BM999" s="123"/>
      <c r="BR999" s="115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3"/>
      <c r="CC999" s="13"/>
      <c r="CF999" s="114"/>
    </row>
    <row r="1000" spans="1:84" ht="19.5" x14ac:dyDescent="0.4">
      <c r="A1000" s="117"/>
      <c r="B1000" s="123"/>
      <c r="C1000" s="123"/>
      <c r="D1000" s="123"/>
      <c r="AS1000" s="128"/>
      <c r="AT1000" s="29"/>
      <c r="BD1000" s="25"/>
      <c r="BE1000" s="15"/>
      <c r="BJ1000" s="117"/>
      <c r="BK1000" s="123"/>
      <c r="BL1000" s="123"/>
      <c r="BM1000" s="123"/>
      <c r="BR1000" s="115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3"/>
      <c r="CC1000" s="13"/>
      <c r="CF1000" s="114"/>
    </row>
    <row r="1001" spans="1:84" ht="19.5" x14ac:dyDescent="0.4">
      <c r="A1001" s="117"/>
      <c r="B1001" s="123"/>
      <c r="C1001" s="123"/>
      <c r="D1001" s="123"/>
      <c r="AS1001" s="127"/>
      <c r="AT1001" s="29"/>
      <c r="BD1001" s="25"/>
      <c r="BE1001" s="15"/>
      <c r="BJ1001" s="117"/>
      <c r="BK1001" s="123"/>
      <c r="BL1001" s="123"/>
      <c r="BM1001" s="123"/>
      <c r="BR1001" s="115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3"/>
      <c r="CC1001" s="13"/>
      <c r="CF1001" s="114"/>
    </row>
    <row r="1002" spans="1:84" ht="19.5" x14ac:dyDescent="0.4">
      <c r="A1002" s="117"/>
      <c r="B1002" s="123"/>
      <c r="C1002" s="123"/>
      <c r="D1002" s="123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27"/>
      <c r="AT1002" s="29"/>
      <c r="BD1002" s="25"/>
      <c r="BE1002" s="15"/>
      <c r="BJ1002" s="117"/>
      <c r="BK1002" s="123"/>
      <c r="BL1002" s="123"/>
      <c r="BM1002" s="123"/>
      <c r="BR1002" s="115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3"/>
      <c r="CC1002" s="13"/>
      <c r="CF1002" s="114"/>
    </row>
    <row r="1003" spans="1:84" ht="19.5" x14ac:dyDescent="0.4">
      <c r="A1003" s="117"/>
      <c r="B1003" s="123"/>
      <c r="C1003" s="123"/>
      <c r="D1003" s="123"/>
      <c r="AS1003" s="127"/>
      <c r="AT1003" s="29"/>
      <c r="AU1003" s="115"/>
      <c r="AV1003" s="115"/>
      <c r="AW1003" s="115"/>
      <c r="AX1003" s="115"/>
      <c r="AY1003" s="115"/>
      <c r="AZ1003" s="115"/>
      <c r="BA1003" s="115"/>
      <c r="BB1003" s="115"/>
      <c r="BC1003" s="115"/>
      <c r="BD1003" s="25">
        <v>45682</v>
      </c>
      <c r="BE1003" s="15" t="s">
        <v>146</v>
      </c>
      <c r="BJ1003" s="117"/>
      <c r="BK1003" s="123"/>
      <c r="BL1003" s="123"/>
      <c r="BM1003" s="123"/>
      <c r="BR1003" s="115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3"/>
      <c r="CC1003" s="13"/>
      <c r="CF1003" s="114"/>
    </row>
    <row r="1004" spans="1:84" ht="19.5" x14ac:dyDescent="0.4">
      <c r="A1004" s="117"/>
      <c r="B1004" s="123"/>
      <c r="C1004" s="123"/>
      <c r="D1004" s="123"/>
      <c r="AS1004" s="128"/>
      <c r="AT1004" s="29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25"/>
      <c r="BE1004" s="15"/>
      <c r="BJ1004" s="117"/>
      <c r="BK1004" s="123"/>
      <c r="BL1004" s="123"/>
      <c r="BM1004" s="123"/>
      <c r="BR1004" s="115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3"/>
      <c r="CC1004" s="13"/>
      <c r="CF1004" s="114"/>
    </row>
    <row r="1005" spans="1:84" ht="19.5" x14ac:dyDescent="0.4">
      <c r="A1005" s="117"/>
      <c r="B1005" s="123"/>
      <c r="C1005" s="123"/>
      <c r="D1005" s="123"/>
      <c r="AS1005" s="127"/>
      <c r="AT1005" s="29"/>
      <c r="AU1005" s="115"/>
      <c r="AV1005" s="115"/>
      <c r="AW1005" s="115"/>
      <c r="AX1005" s="115"/>
      <c r="AY1005" s="115"/>
      <c r="AZ1005" s="115"/>
      <c r="BA1005" s="115"/>
      <c r="BB1005" s="115"/>
      <c r="BC1005" s="115"/>
      <c r="BD1005" s="25">
        <v>45682</v>
      </c>
      <c r="BE1005" s="15" t="s">
        <v>148</v>
      </c>
      <c r="BJ1005" s="117"/>
      <c r="BK1005" s="123"/>
      <c r="BL1005" s="123"/>
      <c r="BM1005" s="123"/>
      <c r="BR1005" s="115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3"/>
      <c r="CC1005" s="13"/>
      <c r="CF1005" s="114"/>
    </row>
    <row r="1006" spans="1:84" ht="19.5" x14ac:dyDescent="0.4">
      <c r="A1006" s="117"/>
      <c r="B1006" s="123"/>
      <c r="C1006" s="123"/>
      <c r="D1006" s="123"/>
      <c r="AS1006" s="127"/>
      <c r="AT1006" s="29"/>
      <c r="AU1006" s="115"/>
      <c r="AV1006" s="115"/>
      <c r="AW1006" s="115"/>
      <c r="AX1006" s="115"/>
      <c r="AY1006" s="115"/>
      <c r="AZ1006" s="115"/>
      <c r="BA1006" s="115"/>
      <c r="BB1006" s="115"/>
      <c r="BC1006" s="115"/>
      <c r="BD1006" s="25">
        <v>45682</v>
      </c>
      <c r="BE1006" s="15" t="s">
        <v>146</v>
      </c>
      <c r="BJ1006" s="117"/>
      <c r="BK1006" s="123"/>
      <c r="BL1006" s="123"/>
      <c r="BM1006" s="123"/>
      <c r="BR1006" s="115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3"/>
      <c r="CC1006" s="13"/>
      <c r="CF1006" s="114"/>
    </row>
    <row r="1007" spans="1:84" ht="19.5" x14ac:dyDescent="0.4">
      <c r="A1007" s="117"/>
      <c r="B1007" s="123"/>
      <c r="C1007" s="123"/>
      <c r="D1007" s="123"/>
      <c r="AS1007" s="127"/>
      <c r="AT1007" s="29"/>
      <c r="AU1007" s="115"/>
      <c r="AV1007" s="115"/>
      <c r="AW1007" s="115"/>
      <c r="AX1007" s="115"/>
      <c r="AY1007" s="115"/>
      <c r="AZ1007" s="115"/>
      <c r="BA1007" s="115"/>
      <c r="BB1007" s="115"/>
      <c r="BC1007" s="115"/>
      <c r="BD1007" s="25">
        <v>45682</v>
      </c>
      <c r="BE1007" s="15" t="s">
        <v>148</v>
      </c>
      <c r="BJ1007" s="117"/>
      <c r="BK1007" s="123"/>
      <c r="BL1007" s="123"/>
      <c r="BM1007" s="123"/>
      <c r="BR1007" s="115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3"/>
      <c r="CC1007" s="13"/>
      <c r="CF1007" s="114"/>
    </row>
    <row r="1008" spans="1:84" ht="19.5" x14ac:dyDescent="0.4">
      <c r="A1008" s="117"/>
      <c r="B1008" s="123"/>
      <c r="C1008" s="123"/>
      <c r="D1008" s="123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27"/>
      <c r="AT1008" s="29"/>
      <c r="AU1008" s="115"/>
      <c r="AV1008" s="115"/>
      <c r="AW1008" s="115"/>
      <c r="AX1008" s="115"/>
      <c r="AY1008" s="115"/>
      <c r="AZ1008" s="115"/>
      <c r="BA1008" s="115"/>
      <c r="BB1008" s="115"/>
      <c r="BC1008" s="115"/>
      <c r="BD1008" s="25"/>
      <c r="BE1008" s="15"/>
      <c r="BJ1008" s="117"/>
      <c r="BK1008" s="123"/>
      <c r="BL1008" s="123"/>
      <c r="BM1008" s="123"/>
      <c r="BR1008" s="115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3"/>
      <c r="CC1008" s="13"/>
      <c r="CF1008" s="114"/>
    </row>
    <row r="1009" spans="1:84" ht="19.5" x14ac:dyDescent="0.4">
      <c r="A1009" s="117"/>
      <c r="B1009" s="123"/>
      <c r="C1009" s="123"/>
      <c r="D1009" s="123"/>
      <c r="AS1009" s="127"/>
      <c r="AT1009" s="29"/>
      <c r="AU1009" s="115"/>
      <c r="AV1009" s="115"/>
      <c r="AW1009" s="115"/>
      <c r="AX1009" s="115"/>
      <c r="AY1009" s="115"/>
      <c r="AZ1009" s="115"/>
      <c r="BA1009" s="115"/>
      <c r="BB1009" s="115"/>
      <c r="BC1009" s="115"/>
      <c r="BD1009" s="25">
        <v>45682</v>
      </c>
      <c r="BE1009" s="15" t="s">
        <v>148</v>
      </c>
      <c r="BJ1009" s="117"/>
      <c r="BK1009" s="123"/>
      <c r="BL1009" s="123"/>
      <c r="BM1009" s="123"/>
      <c r="BR1009" s="115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3"/>
      <c r="CC1009" s="13"/>
      <c r="CF1009" s="114"/>
    </row>
    <row r="1010" spans="1:84" ht="19.5" x14ac:dyDescent="0.4">
      <c r="A1010" s="117"/>
      <c r="B1010" s="123"/>
      <c r="C1010" s="123"/>
      <c r="D1010" s="123"/>
      <c r="AS1010" s="127"/>
      <c r="AT1010" s="29"/>
      <c r="AU1010" s="115"/>
      <c r="AV1010" s="115"/>
      <c r="AW1010" s="115"/>
      <c r="AX1010" s="115"/>
      <c r="AY1010" s="115"/>
      <c r="AZ1010" s="115"/>
      <c r="BA1010" s="115"/>
      <c r="BB1010" s="115"/>
      <c r="BC1010" s="115"/>
      <c r="BD1010" s="25">
        <v>45682</v>
      </c>
      <c r="BE1010" s="105" t="s">
        <v>148</v>
      </c>
      <c r="BJ1010" s="117"/>
      <c r="BK1010" s="123"/>
      <c r="BL1010" s="123"/>
      <c r="BM1010" s="123"/>
      <c r="BR1010" s="115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3"/>
      <c r="CC1010" s="13"/>
      <c r="CF1010" s="114"/>
    </row>
    <row r="1011" spans="1:84" ht="19.5" x14ac:dyDescent="0.4">
      <c r="A1011" s="117"/>
      <c r="B1011" s="123"/>
      <c r="C1011" s="123"/>
      <c r="D1011" s="123"/>
      <c r="AS1011" s="127"/>
      <c r="AT1011" s="29"/>
      <c r="AU1011" s="115"/>
      <c r="AV1011" s="115"/>
      <c r="AW1011" s="115"/>
      <c r="AX1011" s="115"/>
      <c r="AY1011" s="115"/>
      <c r="AZ1011" s="115"/>
      <c r="BA1011" s="115"/>
      <c r="BB1011" s="115"/>
      <c r="BC1011" s="115"/>
      <c r="BD1011" s="25">
        <v>45682</v>
      </c>
      <c r="BE1011" s="105" t="s">
        <v>146</v>
      </c>
      <c r="BJ1011" s="117"/>
      <c r="BK1011" s="123"/>
      <c r="BL1011" s="123"/>
      <c r="BM1011" s="123"/>
      <c r="BR1011" s="115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3"/>
      <c r="CC1011" s="13"/>
      <c r="CF1011" s="114"/>
    </row>
    <row r="1012" spans="1:84" ht="19.5" x14ac:dyDescent="0.4">
      <c r="A1012" s="117"/>
      <c r="B1012" s="123"/>
      <c r="C1012" s="123"/>
      <c r="D1012" s="123"/>
      <c r="AS1012" s="128"/>
      <c r="AT1012" s="29"/>
      <c r="AU1012" s="115"/>
      <c r="AV1012" s="115"/>
      <c r="AW1012" s="115"/>
      <c r="AX1012" s="115"/>
      <c r="AY1012" s="115"/>
      <c r="AZ1012" s="115"/>
      <c r="BA1012" s="115"/>
      <c r="BB1012" s="115"/>
      <c r="BC1012" s="115"/>
      <c r="BD1012" s="25"/>
      <c r="BE1012" s="105"/>
      <c r="BJ1012" s="117"/>
      <c r="BK1012" s="123"/>
      <c r="BL1012" s="123"/>
      <c r="BM1012" s="123"/>
      <c r="BR1012" s="115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3"/>
      <c r="CC1012" s="13"/>
      <c r="CF1012" s="114"/>
    </row>
    <row r="1013" spans="1:84" ht="19.5" x14ac:dyDescent="0.4">
      <c r="A1013" s="117"/>
      <c r="B1013" s="123"/>
      <c r="C1013" s="123"/>
      <c r="D1013" s="123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127"/>
      <c r="AT1013" s="29"/>
      <c r="AU1013" s="115"/>
      <c r="AV1013" s="115"/>
      <c r="AW1013" s="115"/>
      <c r="AX1013" s="115"/>
      <c r="AY1013" s="115"/>
      <c r="AZ1013" s="115"/>
      <c r="BA1013" s="115"/>
      <c r="BB1013" s="115"/>
      <c r="BC1013" s="115"/>
      <c r="BD1013" s="25">
        <v>45682</v>
      </c>
      <c r="BE1013" s="15" t="s">
        <v>146</v>
      </c>
      <c r="BJ1013" s="117"/>
      <c r="BK1013" s="123"/>
      <c r="BL1013" s="123"/>
      <c r="BM1013" s="123"/>
      <c r="BR1013" s="115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3"/>
      <c r="CC1013" s="13"/>
      <c r="CF1013" s="114"/>
    </row>
    <row r="1014" spans="1:84" ht="19.5" x14ac:dyDescent="0.4">
      <c r="A1014" s="117"/>
      <c r="B1014" s="123"/>
      <c r="C1014" s="123"/>
      <c r="D1014" s="123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127"/>
      <c r="AT1014" s="29"/>
      <c r="AU1014" s="115"/>
      <c r="AV1014" s="115"/>
      <c r="AW1014" s="115"/>
      <c r="AX1014" s="115"/>
      <c r="AY1014" s="115"/>
      <c r="AZ1014" s="115"/>
      <c r="BA1014" s="115"/>
      <c r="BB1014" s="115"/>
      <c r="BC1014" s="115"/>
      <c r="BD1014" s="25">
        <v>45683</v>
      </c>
      <c r="BE1014" s="13" t="s">
        <v>147</v>
      </c>
      <c r="BJ1014" s="117"/>
      <c r="BK1014" s="123"/>
      <c r="BL1014" s="123"/>
      <c r="BM1014" s="123"/>
      <c r="BR1014" s="115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3"/>
      <c r="CC1014" s="13"/>
      <c r="CF1014" s="114"/>
    </row>
    <row r="1015" spans="1:84" ht="19.5" x14ac:dyDescent="0.4">
      <c r="A1015" s="117"/>
      <c r="B1015" s="123"/>
      <c r="C1015" s="123"/>
      <c r="D1015" s="123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27"/>
      <c r="AT1015" s="29"/>
      <c r="AU1015" s="115"/>
      <c r="AV1015" s="115"/>
      <c r="AW1015" s="115"/>
      <c r="AX1015" s="115"/>
      <c r="AY1015" s="115"/>
      <c r="AZ1015" s="115"/>
      <c r="BA1015" s="115"/>
      <c r="BB1015" s="115"/>
      <c r="BC1015" s="115"/>
      <c r="BD1015" s="25">
        <v>45683</v>
      </c>
      <c r="BE1015" s="13" t="s">
        <v>147</v>
      </c>
      <c r="BJ1015" s="117"/>
      <c r="BK1015" s="123"/>
      <c r="BL1015" s="123"/>
      <c r="BM1015" s="123"/>
      <c r="BR1015" s="115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3"/>
      <c r="CC1015" s="13"/>
      <c r="CF1015" s="114"/>
    </row>
    <row r="1016" spans="1:84" ht="19.5" x14ac:dyDescent="0.4">
      <c r="A1016" s="117"/>
      <c r="B1016" s="123"/>
      <c r="C1016" s="123"/>
      <c r="D1016" s="123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27"/>
      <c r="AT1016" s="29"/>
      <c r="AU1016" s="115"/>
      <c r="AV1016" s="115"/>
      <c r="AW1016" s="115"/>
      <c r="AX1016" s="115"/>
      <c r="AY1016" s="115"/>
      <c r="AZ1016" s="115"/>
      <c r="BA1016" s="115"/>
      <c r="BB1016" s="115"/>
      <c r="BC1016" s="115"/>
      <c r="BD1016" s="25"/>
      <c r="BE1016" s="13"/>
      <c r="BJ1016" s="117"/>
      <c r="BK1016" s="123"/>
      <c r="BL1016" s="123"/>
      <c r="BM1016" s="123"/>
      <c r="BR1016" s="115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3"/>
      <c r="CC1016" s="13"/>
      <c r="CF1016" s="114"/>
    </row>
    <row r="1017" spans="1:84" ht="19.5" x14ac:dyDescent="0.4">
      <c r="A1017" s="117"/>
      <c r="B1017" s="123"/>
      <c r="C1017" s="123"/>
      <c r="D1017" s="123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27"/>
      <c r="AT1017" s="29"/>
      <c r="AU1017" s="115"/>
      <c r="AV1017" s="115"/>
      <c r="AW1017" s="115"/>
      <c r="AX1017" s="115"/>
      <c r="AY1017" s="115"/>
      <c r="AZ1017" s="115"/>
      <c r="BA1017" s="115"/>
      <c r="BB1017" s="115"/>
      <c r="BC1017" s="115"/>
      <c r="BD1017" s="25">
        <v>45684</v>
      </c>
      <c r="BE1017" s="13" t="s">
        <v>146</v>
      </c>
      <c r="BJ1017" s="117"/>
      <c r="BK1017" s="123"/>
      <c r="BL1017" s="123"/>
      <c r="BM1017" s="123"/>
      <c r="BR1017" s="115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3"/>
      <c r="CC1017" s="13"/>
      <c r="CF1017" s="114"/>
    </row>
    <row r="1018" spans="1:84" ht="19.5" x14ac:dyDescent="0.4">
      <c r="A1018" s="117"/>
      <c r="B1018" s="123"/>
      <c r="C1018" s="123"/>
      <c r="D1018" s="123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27"/>
      <c r="AT1018" s="29"/>
      <c r="AU1018" s="115"/>
      <c r="AV1018" s="115"/>
      <c r="AW1018" s="115"/>
      <c r="AX1018" s="115"/>
      <c r="AY1018" s="115"/>
      <c r="AZ1018" s="115"/>
      <c r="BA1018" s="115"/>
      <c r="BB1018" s="115"/>
      <c r="BC1018" s="115"/>
      <c r="BD1018" s="25"/>
      <c r="BE1018" s="13"/>
      <c r="BJ1018" s="117"/>
      <c r="BK1018" s="123"/>
      <c r="BL1018" s="123"/>
      <c r="BM1018" s="123"/>
      <c r="BR1018" s="115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3"/>
      <c r="CC1018" s="13"/>
      <c r="CF1018" s="114"/>
    </row>
    <row r="1019" spans="1:84" ht="19.5" x14ac:dyDescent="0.4">
      <c r="A1019" s="117"/>
      <c r="B1019" s="123"/>
      <c r="C1019" s="123"/>
      <c r="D1019" s="123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28"/>
      <c r="AT1019" s="29"/>
      <c r="AU1019" s="115"/>
      <c r="AV1019" s="115"/>
      <c r="AW1019" s="115"/>
      <c r="AX1019" s="115"/>
      <c r="AY1019" s="115"/>
      <c r="AZ1019" s="115"/>
      <c r="BA1019" s="115"/>
      <c r="BB1019" s="115"/>
      <c r="BC1019" s="115"/>
      <c r="BD1019" s="25"/>
      <c r="BE1019" s="13"/>
      <c r="BJ1019" s="117"/>
      <c r="BK1019" s="123"/>
      <c r="BL1019" s="123"/>
      <c r="BM1019" s="123"/>
      <c r="BR1019" s="115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3"/>
      <c r="CC1019" s="13"/>
      <c r="CF1019" s="114"/>
    </row>
    <row r="1020" spans="1:84" ht="19.5" x14ac:dyDescent="0.4">
      <c r="A1020" s="117"/>
      <c r="B1020" s="123"/>
      <c r="C1020" s="123"/>
      <c r="D1020" s="123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127"/>
      <c r="AT1020" s="29"/>
      <c r="AU1020" s="115"/>
      <c r="AV1020" s="115"/>
      <c r="AW1020" s="115"/>
      <c r="AX1020" s="115"/>
      <c r="AY1020" s="115"/>
      <c r="AZ1020" s="115"/>
      <c r="BA1020" s="115"/>
      <c r="BB1020" s="115"/>
      <c r="BC1020" s="115"/>
      <c r="BD1020" s="25">
        <v>45684</v>
      </c>
      <c r="BE1020" s="13" t="s">
        <v>148</v>
      </c>
      <c r="BJ1020" s="117"/>
      <c r="BK1020" s="123"/>
      <c r="BL1020" s="123"/>
      <c r="BM1020" s="123"/>
      <c r="BR1020" s="115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3"/>
      <c r="CC1020" s="13"/>
      <c r="CF1020" s="114"/>
    </row>
    <row r="1021" spans="1:84" ht="19.5" x14ac:dyDescent="0.4">
      <c r="A1021" s="117"/>
      <c r="B1021" s="123"/>
      <c r="C1021" s="123"/>
      <c r="D1021" s="123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27"/>
      <c r="AT1021" s="29"/>
      <c r="AU1021" s="115"/>
      <c r="AV1021" s="115"/>
      <c r="AW1021" s="115"/>
      <c r="AX1021" s="115"/>
      <c r="AY1021" s="115"/>
      <c r="AZ1021" s="115"/>
      <c r="BA1021" s="115"/>
      <c r="BB1021" s="115"/>
      <c r="BC1021" s="115"/>
      <c r="BD1021" s="25"/>
      <c r="BE1021" s="13"/>
      <c r="BJ1021" s="117"/>
      <c r="BK1021" s="123"/>
      <c r="BL1021" s="123"/>
      <c r="BM1021" s="123"/>
      <c r="BR1021" s="115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3"/>
      <c r="CC1021" s="13"/>
      <c r="CF1021" s="114"/>
    </row>
    <row r="1022" spans="1:84" ht="19.5" x14ac:dyDescent="0.4">
      <c r="A1022" s="117"/>
      <c r="B1022" s="123"/>
      <c r="C1022" s="123"/>
      <c r="D1022" s="123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27"/>
      <c r="AT1022" s="29"/>
      <c r="AU1022" s="115"/>
      <c r="AV1022" s="115"/>
      <c r="AW1022" s="115"/>
      <c r="AX1022" s="115"/>
      <c r="AY1022" s="115"/>
      <c r="AZ1022" s="115"/>
      <c r="BA1022" s="115"/>
      <c r="BB1022" s="115"/>
      <c r="BC1022" s="115"/>
      <c r="BD1022" s="25"/>
      <c r="BE1022" s="13"/>
      <c r="BJ1022" s="117"/>
      <c r="BK1022" s="123"/>
      <c r="BL1022" s="123"/>
      <c r="BM1022" s="123"/>
      <c r="BR1022" s="115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3"/>
      <c r="CC1022" s="13"/>
      <c r="CF1022" s="114"/>
    </row>
    <row r="1023" spans="1:84" ht="19.5" x14ac:dyDescent="0.4">
      <c r="A1023" s="117"/>
      <c r="B1023" s="123"/>
      <c r="C1023" s="123"/>
      <c r="D1023" s="123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15"/>
      <c r="AS1023" s="128"/>
      <c r="AT1023" s="29"/>
      <c r="AU1023" s="115"/>
      <c r="AV1023" s="115"/>
      <c r="AW1023" s="115"/>
      <c r="AX1023" s="115"/>
      <c r="AY1023" s="115"/>
      <c r="AZ1023" s="115"/>
      <c r="BA1023" s="115"/>
      <c r="BB1023" s="115"/>
      <c r="BC1023" s="115"/>
      <c r="BD1023" s="25"/>
      <c r="BE1023" s="13"/>
      <c r="BJ1023" s="117"/>
      <c r="BK1023" s="123"/>
      <c r="BL1023" s="123"/>
      <c r="BM1023" s="123"/>
      <c r="BR1023" s="115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3"/>
      <c r="CC1023" s="13"/>
      <c r="CF1023" s="114"/>
    </row>
    <row r="1024" spans="1:84" ht="19.5" x14ac:dyDescent="0.4">
      <c r="A1024" s="117"/>
      <c r="B1024" s="123"/>
      <c r="C1024" s="123"/>
      <c r="D1024" s="123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127"/>
      <c r="AT1024" s="127"/>
      <c r="AU1024" s="115"/>
      <c r="AV1024" s="115"/>
      <c r="AW1024" s="115"/>
      <c r="AX1024" s="115"/>
      <c r="AY1024" s="115"/>
      <c r="AZ1024" s="115"/>
      <c r="BA1024" s="115"/>
      <c r="BB1024" s="115"/>
      <c r="BC1024" s="115"/>
      <c r="BD1024" s="25"/>
      <c r="BE1024" s="13"/>
      <c r="BJ1024" s="117"/>
      <c r="BK1024" s="123"/>
      <c r="BL1024" s="123"/>
      <c r="BM1024" s="123"/>
      <c r="BR1024" s="115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3"/>
      <c r="CC1024" s="13"/>
      <c r="CF1024" s="114"/>
    </row>
    <row r="1025" spans="1:84" ht="19.5" x14ac:dyDescent="0.4">
      <c r="A1025" s="117"/>
      <c r="B1025" s="123"/>
      <c r="C1025" s="123"/>
      <c r="D1025" s="123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127"/>
      <c r="AT1025" s="29"/>
      <c r="AU1025" s="115"/>
      <c r="AV1025" s="115"/>
      <c r="AW1025" s="115"/>
      <c r="AX1025" s="115"/>
      <c r="AY1025" s="115"/>
      <c r="AZ1025" s="115"/>
      <c r="BA1025" s="115"/>
      <c r="BB1025" s="115"/>
      <c r="BC1025" s="115"/>
      <c r="BD1025" s="25"/>
      <c r="BE1025" s="13"/>
      <c r="BJ1025" s="117"/>
      <c r="BK1025" s="123"/>
      <c r="BL1025" s="123"/>
      <c r="BM1025" s="123"/>
      <c r="BR1025" s="115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3"/>
      <c r="CC1025" s="13"/>
      <c r="CF1025" s="114"/>
    </row>
    <row r="1026" spans="1:84" ht="19.5" x14ac:dyDescent="0.4">
      <c r="A1026" s="117"/>
      <c r="B1026" s="123"/>
      <c r="C1026" s="123"/>
      <c r="D1026" s="123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15"/>
      <c r="AR1026" s="115"/>
      <c r="AS1026" s="127"/>
      <c r="AT1026" s="29"/>
      <c r="AU1026" s="115"/>
      <c r="AV1026" s="115"/>
      <c r="AW1026" s="115"/>
      <c r="AX1026" s="115"/>
      <c r="AY1026" s="115"/>
      <c r="AZ1026" s="115"/>
      <c r="BA1026" s="115"/>
      <c r="BB1026" s="115"/>
      <c r="BC1026" s="115"/>
      <c r="BD1026" s="25"/>
      <c r="BE1026" s="13"/>
      <c r="BJ1026" s="117"/>
      <c r="BK1026" s="123"/>
      <c r="BL1026" s="123"/>
      <c r="BM1026" s="123"/>
      <c r="BR1026" s="115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3"/>
      <c r="CC1026" s="13"/>
      <c r="CF1026" s="114"/>
    </row>
    <row r="1027" spans="1:84" ht="19.5" x14ac:dyDescent="0.4">
      <c r="A1027" s="117"/>
      <c r="B1027" s="123"/>
      <c r="C1027" s="123"/>
      <c r="D1027" s="123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128"/>
      <c r="AT1027" s="29"/>
      <c r="AU1027" s="115"/>
      <c r="AV1027" s="115"/>
      <c r="AW1027" s="115"/>
      <c r="AX1027" s="115"/>
      <c r="AY1027" s="115"/>
      <c r="AZ1027" s="115"/>
      <c r="BA1027" s="115"/>
      <c r="BB1027" s="115"/>
      <c r="BC1027" s="115"/>
      <c r="BD1027" s="25"/>
      <c r="BE1027" s="13"/>
      <c r="BJ1027" s="117"/>
      <c r="BK1027" s="123"/>
      <c r="BL1027" s="123"/>
      <c r="BM1027" s="123"/>
      <c r="BR1027" s="115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3"/>
      <c r="CC1027" s="13"/>
      <c r="CF1027" s="114"/>
    </row>
    <row r="1028" spans="1:84" ht="19.5" x14ac:dyDescent="0.4">
      <c r="A1028" s="117"/>
      <c r="B1028" s="123"/>
      <c r="C1028" s="123"/>
      <c r="D1028" s="123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27"/>
      <c r="AT1028" s="134"/>
      <c r="AU1028" s="115"/>
      <c r="AV1028" s="115"/>
      <c r="AW1028" s="115"/>
      <c r="AX1028" s="115"/>
      <c r="AY1028" s="115"/>
      <c r="AZ1028" s="115"/>
      <c r="BA1028" s="115"/>
      <c r="BB1028" s="115"/>
      <c r="BC1028" s="115"/>
      <c r="BD1028" s="25"/>
      <c r="BE1028" s="13"/>
      <c r="BJ1028" s="117"/>
      <c r="BK1028" s="123"/>
      <c r="BL1028" s="123"/>
      <c r="BM1028" s="123"/>
      <c r="BR1028" s="115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3"/>
      <c r="CC1028" s="13"/>
      <c r="CF1028" s="114"/>
    </row>
    <row r="1029" spans="1:84" ht="19.5" x14ac:dyDescent="0.4">
      <c r="A1029" s="117"/>
      <c r="B1029" s="123"/>
      <c r="C1029" s="123"/>
      <c r="D1029" s="123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127"/>
      <c r="AT1029" s="29"/>
      <c r="AU1029" s="115"/>
      <c r="AV1029" s="115"/>
      <c r="AW1029" s="115"/>
      <c r="AX1029" s="115"/>
      <c r="AY1029" s="115"/>
      <c r="AZ1029" s="115"/>
      <c r="BA1029" s="115"/>
      <c r="BB1029" s="115"/>
      <c r="BC1029" s="115"/>
      <c r="BD1029" s="25">
        <v>45684</v>
      </c>
      <c r="BE1029" s="13" t="s">
        <v>147</v>
      </c>
      <c r="BJ1029" s="117"/>
      <c r="BK1029" s="123"/>
      <c r="BL1029" s="123"/>
      <c r="BM1029" s="123"/>
      <c r="BR1029" s="115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3"/>
      <c r="CC1029" s="13"/>
      <c r="CF1029" s="114"/>
    </row>
    <row r="1030" spans="1:84" ht="19.5" x14ac:dyDescent="0.4">
      <c r="A1030" s="117"/>
      <c r="B1030" s="123"/>
      <c r="C1030" s="123"/>
      <c r="D1030" s="123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128"/>
      <c r="AT1030" s="29"/>
      <c r="AU1030" s="115"/>
      <c r="AV1030" s="115"/>
      <c r="AW1030" s="115"/>
      <c r="AX1030" s="115"/>
      <c r="AY1030" s="115"/>
      <c r="AZ1030" s="115"/>
      <c r="BA1030" s="115"/>
      <c r="BB1030" s="115"/>
      <c r="BC1030" s="115"/>
      <c r="BD1030" s="25"/>
      <c r="BE1030" s="13"/>
      <c r="BJ1030" s="117"/>
      <c r="BK1030" s="123"/>
      <c r="BL1030" s="123"/>
      <c r="BM1030" s="123"/>
      <c r="BR1030" s="115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3"/>
      <c r="CC1030" s="13"/>
      <c r="CF1030" s="114"/>
    </row>
    <row r="1031" spans="1:84" ht="19.5" x14ac:dyDescent="0.4">
      <c r="A1031" s="117"/>
      <c r="B1031" s="123"/>
      <c r="C1031" s="123"/>
      <c r="D1031" s="123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15"/>
      <c r="AP1031" s="115"/>
      <c r="AQ1031" s="115"/>
      <c r="AR1031" s="115"/>
      <c r="AS1031" s="127"/>
      <c r="AT1031" s="29"/>
      <c r="AU1031" s="115"/>
      <c r="AV1031" s="115"/>
      <c r="AW1031" s="115"/>
      <c r="AX1031" s="115"/>
      <c r="AY1031" s="115"/>
      <c r="AZ1031" s="115"/>
      <c r="BA1031" s="115"/>
      <c r="BB1031" s="115"/>
      <c r="BC1031" s="115"/>
      <c r="BD1031" s="25"/>
      <c r="BE1031" s="13"/>
      <c r="BJ1031" s="117"/>
      <c r="BK1031" s="123"/>
      <c r="BL1031" s="123"/>
      <c r="BM1031" s="123"/>
      <c r="BR1031" s="115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3"/>
      <c r="CC1031" s="13"/>
      <c r="CF1031" s="114"/>
    </row>
    <row r="1032" spans="1:84" ht="19.5" x14ac:dyDescent="0.4">
      <c r="A1032" s="117"/>
      <c r="B1032" s="123"/>
      <c r="C1032" s="123"/>
      <c r="D1032" s="123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127"/>
      <c r="AT1032" s="29"/>
      <c r="AU1032" s="115"/>
      <c r="AV1032" s="115"/>
      <c r="AW1032" s="115"/>
      <c r="AX1032" s="115"/>
      <c r="AY1032" s="115"/>
      <c r="AZ1032" s="115"/>
      <c r="BA1032" s="115"/>
      <c r="BB1032" s="115"/>
      <c r="BC1032" s="115"/>
      <c r="BD1032" s="25">
        <v>45684</v>
      </c>
      <c r="BE1032" s="13" t="s">
        <v>146</v>
      </c>
      <c r="BJ1032" s="117"/>
      <c r="BK1032" s="123"/>
      <c r="BL1032" s="123"/>
      <c r="BM1032" s="123"/>
      <c r="BR1032" s="115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3"/>
      <c r="CC1032" s="13"/>
      <c r="CF1032" s="114"/>
    </row>
    <row r="1033" spans="1:84" ht="19.5" x14ac:dyDescent="0.4">
      <c r="A1033" s="117"/>
      <c r="B1033" s="123"/>
      <c r="C1033" s="123"/>
      <c r="D1033" s="123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15"/>
      <c r="AP1033" s="115"/>
      <c r="AQ1033" s="115"/>
      <c r="AR1033" s="115"/>
      <c r="AS1033" s="128"/>
      <c r="AT1033" s="29"/>
      <c r="AU1033" s="115"/>
      <c r="AV1033" s="115"/>
      <c r="AW1033" s="115"/>
      <c r="AX1033" s="115"/>
      <c r="AY1033" s="115"/>
      <c r="AZ1033" s="115"/>
      <c r="BA1033" s="115"/>
      <c r="BB1033" s="115"/>
      <c r="BC1033" s="115"/>
      <c r="BD1033" s="25"/>
      <c r="BE1033" s="13"/>
      <c r="BJ1033" s="117"/>
      <c r="BK1033" s="123"/>
      <c r="BL1033" s="123"/>
      <c r="BM1033" s="123"/>
      <c r="BR1033" s="115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3"/>
      <c r="CC1033" s="13"/>
      <c r="CF1033" s="114"/>
    </row>
    <row r="1034" spans="1:84" ht="19.5" x14ac:dyDescent="0.4">
      <c r="A1034" s="117"/>
      <c r="B1034" s="123"/>
      <c r="C1034" s="123"/>
      <c r="D1034" s="123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27"/>
      <c r="AT1034" s="29"/>
      <c r="AU1034" s="115"/>
      <c r="AV1034" s="115"/>
      <c r="AW1034" s="115"/>
      <c r="AX1034" s="115"/>
      <c r="AY1034" s="115"/>
      <c r="AZ1034" s="115"/>
      <c r="BA1034" s="115"/>
      <c r="BB1034" s="115"/>
      <c r="BC1034" s="115"/>
      <c r="BD1034" s="25"/>
      <c r="BE1034" s="13"/>
      <c r="BJ1034" s="117"/>
      <c r="BK1034" s="123"/>
      <c r="BL1034" s="123"/>
      <c r="BM1034" s="123"/>
      <c r="BR1034" s="115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3"/>
      <c r="CC1034" s="13"/>
      <c r="CF1034" s="114"/>
    </row>
    <row r="1035" spans="1:84" ht="19.5" x14ac:dyDescent="0.4">
      <c r="A1035" s="117"/>
      <c r="B1035" s="123"/>
      <c r="C1035" s="123"/>
      <c r="D1035" s="123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115"/>
      <c r="AS1035" s="128"/>
      <c r="AT1035" s="29"/>
      <c r="AU1035" s="115"/>
      <c r="AV1035" s="115"/>
      <c r="AW1035" s="115"/>
      <c r="AX1035" s="115"/>
      <c r="AY1035" s="115"/>
      <c r="AZ1035" s="115"/>
      <c r="BA1035" s="115"/>
      <c r="BB1035" s="115"/>
      <c r="BC1035" s="115"/>
      <c r="BD1035" s="25"/>
      <c r="BE1035" s="13"/>
      <c r="BJ1035" s="117"/>
      <c r="BK1035" s="123"/>
      <c r="BL1035" s="123"/>
      <c r="BM1035" s="123"/>
      <c r="BR1035" s="115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3"/>
      <c r="CC1035" s="13"/>
      <c r="CF1035" s="114"/>
    </row>
    <row r="1036" spans="1:84" ht="19.5" x14ac:dyDescent="0.4">
      <c r="A1036" s="117"/>
      <c r="B1036" s="123"/>
      <c r="C1036" s="123"/>
      <c r="D1036" s="123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27"/>
      <c r="AT1036" s="29"/>
      <c r="AU1036" s="115"/>
      <c r="AV1036" s="115"/>
      <c r="AW1036" s="115"/>
      <c r="AX1036" s="115"/>
      <c r="AY1036" s="115"/>
      <c r="AZ1036" s="115"/>
      <c r="BA1036" s="115"/>
      <c r="BB1036" s="115"/>
      <c r="BC1036" s="115"/>
      <c r="BD1036" s="25"/>
      <c r="BE1036" s="13"/>
      <c r="BJ1036" s="117"/>
      <c r="BK1036" s="123"/>
      <c r="BL1036" s="123"/>
      <c r="BM1036" s="123"/>
      <c r="BR1036" s="115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3"/>
      <c r="CC1036" s="13"/>
      <c r="CF1036" s="114"/>
    </row>
    <row r="1037" spans="1:84" ht="19.5" x14ac:dyDescent="0.4">
      <c r="A1037" s="117"/>
      <c r="B1037" s="123"/>
      <c r="C1037" s="123"/>
      <c r="D1037" s="123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128"/>
      <c r="AT1037" s="29"/>
      <c r="AU1037" s="115"/>
      <c r="AV1037" s="115"/>
      <c r="AW1037" s="115"/>
      <c r="AX1037" s="115"/>
      <c r="AY1037" s="115"/>
      <c r="AZ1037" s="115"/>
      <c r="BA1037" s="115"/>
      <c r="BB1037" s="115"/>
      <c r="BC1037" s="115"/>
      <c r="BD1037" s="25"/>
      <c r="BE1037" s="13"/>
      <c r="BJ1037" s="117"/>
      <c r="BK1037" s="123"/>
      <c r="BL1037" s="123"/>
      <c r="BM1037" s="123"/>
      <c r="BR1037" s="115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3"/>
      <c r="CC1037" s="13"/>
      <c r="CF1037" s="114"/>
    </row>
    <row r="1038" spans="1:84" ht="19.5" x14ac:dyDescent="0.4">
      <c r="A1038" s="117"/>
      <c r="B1038" s="123"/>
      <c r="C1038" s="123"/>
      <c r="D1038" s="123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128"/>
      <c r="AT1038" s="29"/>
      <c r="AU1038" s="115"/>
      <c r="AV1038" s="115"/>
      <c r="AW1038" s="115"/>
      <c r="AX1038" s="115"/>
      <c r="AY1038" s="115"/>
      <c r="AZ1038" s="115"/>
      <c r="BA1038" s="115"/>
      <c r="BB1038" s="115"/>
      <c r="BC1038" s="115"/>
      <c r="BD1038" s="25"/>
      <c r="BE1038" s="13"/>
      <c r="BJ1038" s="117"/>
      <c r="BK1038" s="123"/>
      <c r="BL1038" s="123"/>
      <c r="BM1038" s="123"/>
      <c r="BR1038" s="115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3"/>
      <c r="CC1038" s="13"/>
      <c r="CF1038" s="114"/>
    </row>
    <row r="1039" spans="1:84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27"/>
      <c r="AT1039" s="29"/>
      <c r="AU1039" s="115"/>
      <c r="AV1039" s="115"/>
      <c r="AW1039" s="115"/>
      <c r="AX1039" s="115"/>
      <c r="AY1039" s="115"/>
      <c r="AZ1039" s="115"/>
      <c r="BA1039" s="115"/>
      <c r="BB1039" s="115"/>
      <c r="BC1039" s="115"/>
      <c r="BD1039" s="25">
        <v>45684</v>
      </c>
      <c r="BE1039" s="13" t="s">
        <v>147</v>
      </c>
      <c r="BJ1039" s="117"/>
      <c r="BK1039" s="123"/>
      <c r="BL1039" s="123"/>
      <c r="BM1039" s="123"/>
      <c r="BR1039" s="115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3"/>
      <c r="CC1039" s="13"/>
      <c r="CF1039" s="114"/>
    </row>
    <row r="1040" spans="1:84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27"/>
      <c r="AT1040" s="29"/>
      <c r="AU1040" s="115"/>
      <c r="AV1040" s="115"/>
      <c r="AW1040" s="115"/>
      <c r="AX1040" s="115"/>
      <c r="AY1040" s="115"/>
      <c r="AZ1040" s="115"/>
      <c r="BA1040" s="115"/>
      <c r="BB1040" s="115"/>
      <c r="BC1040" s="115"/>
      <c r="BD1040" s="25">
        <v>45684</v>
      </c>
      <c r="BE1040" s="13" t="s">
        <v>146</v>
      </c>
      <c r="BJ1040" s="117"/>
      <c r="BK1040" s="123"/>
      <c r="BL1040" s="123"/>
      <c r="BM1040" s="123"/>
      <c r="BR1040" s="115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3"/>
      <c r="CC1040" s="13"/>
      <c r="CF1040" s="114"/>
    </row>
    <row r="1041" spans="1:84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27"/>
      <c r="AT1041" s="29"/>
      <c r="AU1041" s="115"/>
      <c r="AV1041" s="115"/>
      <c r="AW1041" s="115"/>
      <c r="AX1041" s="115"/>
      <c r="AY1041" s="115"/>
      <c r="AZ1041" s="115"/>
      <c r="BA1041" s="115"/>
      <c r="BB1041" s="115"/>
      <c r="BC1041" s="115"/>
      <c r="BD1041" s="25">
        <v>45684</v>
      </c>
      <c r="BE1041" s="13" t="s">
        <v>146</v>
      </c>
      <c r="BJ1041" s="117"/>
      <c r="BK1041" s="123"/>
      <c r="BL1041" s="123"/>
      <c r="BM1041" s="123"/>
      <c r="BR1041" s="115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3"/>
      <c r="CC1041" s="13"/>
      <c r="CF1041" s="114"/>
    </row>
    <row r="1042" spans="1:84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29"/>
      <c r="AT1042" s="29"/>
      <c r="AU1042" s="115"/>
      <c r="AV1042" s="115"/>
      <c r="AW1042" s="115"/>
      <c r="AX1042" s="115"/>
      <c r="AY1042" s="115"/>
      <c r="AZ1042" s="115"/>
      <c r="BA1042" s="115"/>
      <c r="BB1042" s="115"/>
      <c r="BC1042" s="115"/>
      <c r="BD1042" s="25"/>
      <c r="BE1042" s="13"/>
      <c r="BJ1042" s="117"/>
      <c r="BK1042" s="123"/>
      <c r="BL1042" s="123"/>
      <c r="BM1042" s="123"/>
      <c r="BR1042" s="115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3"/>
      <c r="CC1042" s="13"/>
      <c r="CF1042" s="114"/>
    </row>
    <row r="1043" spans="1:84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29"/>
      <c r="AT1043" s="29"/>
      <c r="AU1043" s="115"/>
      <c r="AV1043" s="115"/>
      <c r="AW1043" s="115"/>
      <c r="AX1043" s="115"/>
      <c r="AY1043" s="115"/>
      <c r="AZ1043" s="115"/>
      <c r="BA1043" s="115"/>
      <c r="BB1043" s="115"/>
      <c r="BC1043" s="115"/>
      <c r="BD1043" s="25"/>
      <c r="BE1043" s="13"/>
      <c r="BJ1043" s="117"/>
      <c r="BK1043" s="123"/>
      <c r="BL1043" s="123"/>
      <c r="BM1043" s="123"/>
      <c r="BR1043" s="115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3"/>
      <c r="CC1043" s="13"/>
      <c r="CF1043" s="114"/>
    </row>
    <row r="1044" spans="1:84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27"/>
      <c r="AT1044" s="29"/>
      <c r="AU1044" s="115"/>
      <c r="AV1044" s="115"/>
      <c r="AW1044" s="115"/>
      <c r="AX1044" s="115"/>
      <c r="AY1044" s="115"/>
      <c r="AZ1044" s="115"/>
      <c r="BA1044" s="115"/>
      <c r="BB1044" s="115"/>
      <c r="BC1044" s="115"/>
      <c r="BD1044" s="25">
        <v>45684</v>
      </c>
      <c r="BE1044" s="13" t="s">
        <v>147</v>
      </c>
      <c r="BJ1044" s="117"/>
      <c r="BK1044" s="123"/>
      <c r="BL1044" s="123"/>
      <c r="BM1044" s="123"/>
      <c r="BR1044" s="115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3"/>
      <c r="CC1044" s="13"/>
      <c r="CF1044" s="114"/>
    </row>
    <row r="1045" spans="1:84" ht="19.5" x14ac:dyDescent="0.4">
      <c r="A1045" s="117"/>
      <c r="B1045" s="123"/>
      <c r="C1045" s="123"/>
      <c r="D1045" s="123"/>
      <c r="AS1045" s="127"/>
      <c r="AT1045" s="29"/>
      <c r="BD1045" s="25">
        <v>45685</v>
      </c>
      <c r="BE1045" s="13" t="s">
        <v>146</v>
      </c>
      <c r="BJ1045" s="117"/>
      <c r="BK1045" s="123"/>
      <c r="BL1045" s="123"/>
      <c r="BM1045" s="123"/>
      <c r="BR1045" s="115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25">
        <v>45263</v>
      </c>
      <c r="CC1045" s="13" t="s">
        <v>162</v>
      </c>
      <c r="CF1045" s="114"/>
    </row>
    <row r="1046" spans="1:84" ht="19.5" x14ac:dyDescent="0.4">
      <c r="A1046" s="117"/>
      <c r="B1046" s="123"/>
      <c r="C1046" s="123"/>
      <c r="D1046" s="123"/>
      <c r="AS1046" s="127"/>
      <c r="AT1046" s="29"/>
      <c r="BA1046" s="115"/>
      <c r="BB1046" s="115"/>
      <c r="BC1046" s="115"/>
      <c r="BD1046" s="25">
        <v>45685</v>
      </c>
      <c r="BE1046" s="13" t="s">
        <v>147</v>
      </c>
      <c r="BJ1046" s="117"/>
      <c r="BK1046" s="123"/>
      <c r="BL1046" s="123"/>
      <c r="BM1046" s="123"/>
      <c r="BR1046" s="115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25"/>
      <c r="CC1046" s="13"/>
      <c r="CF1046" s="114"/>
    </row>
    <row r="1047" spans="1:84" ht="19.5" x14ac:dyDescent="0.4">
      <c r="A1047" s="117"/>
      <c r="B1047" s="123"/>
      <c r="C1047" s="123"/>
      <c r="D1047" s="123"/>
      <c r="AS1047" s="128"/>
      <c r="AT1047" s="29"/>
      <c r="BA1047" s="115"/>
      <c r="BB1047" s="115"/>
      <c r="BC1047" s="115"/>
      <c r="BD1047" s="25"/>
      <c r="BE1047" s="13"/>
      <c r="BJ1047" s="117"/>
      <c r="BK1047" s="123"/>
      <c r="BL1047" s="123"/>
      <c r="BM1047" s="123"/>
      <c r="BR1047" s="115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25"/>
      <c r="CC1047" s="13"/>
      <c r="CF1047" s="114"/>
    </row>
    <row r="1048" spans="1:84" ht="19.5" x14ac:dyDescent="0.4">
      <c r="A1048" s="117"/>
      <c r="B1048" s="123"/>
      <c r="C1048" s="123"/>
      <c r="D1048" s="123"/>
      <c r="AS1048" s="127"/>
      <c r="AT1048" s="29"/>
      <c r="AU1048" s="115"/>
      <c r="AV1048" s="115"/>
      <c r="AW1048" s="115"/>
      <c r="AX1048" s="115"/>
      <c r="AY1048" s="115"/>
      <c r="AZ1048" s="115"/>
      <c r="BA1048" s="115"/>
      <c r="BB1048" s="115"/>
      <c r="BC1048" s="115"/>
      <c r="BD1048" s="25">
        <v>45685</v>
      </c>
      <c r="BE1048" s="13" t="s">
        <v>147</v>
      </c>
      <c r="BJ1048" s="117"/>
      <c r="BK1048" s="123"/>
      <c r="BL1048" s="123"/>
      <c r="BM1048" s="123"/>
      <c r="BR1048" s="115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25"/>
      <c r="CC1048" s="13"/>
      <c r="CF1048" s="114"/>
    </row>
    <row r="1049" spans="1:84" ht="19.5" x14ac:dyDescent="0.4">
      <c r="A1049" s="117"/>
      <c r="B1049" s="123"/>
      <c r="C1049" s="123"/>
      <c r="D1049" s="123"/>
      <c r="AS1049" s="127"/>
      <c r="AT1049" s="29"/>
      <c r="AU1049" s="115"/>
      <c r="AV1049" s="115"/>
      <c r="AW1049" s="115"/>
      <c r="AX1049" s="115"/>
      <c r="AY1049" s="115"/>
      <c r="AZ1049" s="115"/>
      <c r="BA1049" s="115"/>
      <c r="BB1049" s="115"/>
      <c r="BC1049" s="115"/>
      <c r="BD1049" s="25">
        <v>45685</v>
      </c>
      <c r="BE1049" s="13" t="s">
        <v>148</v>
      </c>
      <c r="BJ1049" s="117"/>
      <c r="BK1049" s="123"/>
      <c r="BL1049" s="123"/>
      <c r="BM1049" s="123"/>
      <c r="BR1049" s="115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25"/>
      <c r="CC1049" s="13"/>
      <c r="CF1049" s="114"/>
    </row>
    <row r="1050" spans="1:84" ht="19.5" x14ac:dyDescent="0.4">
      <c r="A1050" s="117"/>
      <c r="B1050" s="123"/>
      <c r="C1050" s="123"/>
      <c r="D1050" s="123"/>
      <c r="AS1050" s="127"/>
      <c r="AT1050" s="29"/>
      <c r="AU1050" s="115"/>
      <c r="AV1050" s="115"/>
      <c r="AW1050" s="115"/>
      <c r="AX1050" s="115"/>
      <c r="AY1050" s="115"/>
      <c r="AZ1050" s="115"/>
      <c r="BA1050" s="115"/>
      <c r="BB1050" s="115"/>
      <c r="BC1050" s="115"/>
      <c r="BD1050" s="25">
        <v>45685</v>
      </c>
      <c r="BE1050" s="13" t="s">
        <v>148</v>
      </c>
      <c r="BJ1050" s="117"/>
      <c r="BK1050" s="123"/>
      <c r="BL1050" s="123"/>
      <c r="BM1050" s="123"/>
      <c r="BR1050" s="115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25"/>
      <c r="CC1050" s="13"/>
      <c r="CF1050" s="114"/>
    </row>
    <row r="1051" spans="1:84" ht="19.5" x14ac:dyDescent="0.4">
      <c r="A1051" s="117"/>
      <c r="B1051" s="123"/>
      <c r="C1051" s="123"/>
      <c r="D1051" s="123"/>
      <c r="AS1051" s="128"/>
      <c r="AT1051" s="29"/>
      <c r="AU1051" s="115"/>
      <c r="AV1051" s="115"/>
      <c r="AW1051" s="115"/>
      <c r="AX1051" s="115"/>
      <c r="AY1051" s="115"/>
      <c r="AZ1051" s="115"/>
      <c r="BA1051" s="115"/>
      <c r="BB1051" s="115"/>
      <c r="BC1051" s="115"/>
      <c r="BD1051" s="25"/>
      <c r="BE1051" s="13"/>
      <c r="BJ1051" s="117"/>
      <c r="BK1051" s="123"/>
      <c r="BL1051" s="123"/>
      <c r="BM1051" s="123"/>
      <c r="BR1051" s="115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25"/>
      <c r="CC1051" s="13"/>
      <c r="CF1051" s="114"/>
    </row>
    <row r="1052" spans="1:84" ht="19.5" x14ac:dyDescent="0.4">
      <c r="A1052" s="117"/>
      <c r="B1052" s="123"/>
      <c r="C1052" s="123"/>
      <c r="D1052" s="123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27"/>
      <c r="AT1052" s="29"/>
      <c r="AU1052" s="115"/>
      <c r="AV1052" s="115"/>
      <c r="AW1052" s="115"/>
      <c r="AX1052" s="115"/>
      <c r="AY1052" s="115"/>
      <c r="AZ1052" s="115"/>
      <c r="BA1052" s="115"/>
      <c r="BB1052" s="115"/>
      <c r="BC1052" s="115"/>
      <c r="BD1052" s="25"/>
      <c r="BE1052" s="13"/>
      <c r="BJ1052" s="117"/>
      <c r="BK1052" s="123"/>
      <c r="BL1052" s="123"/>
      <c r="BM1052" s="123"/>
      <c r="BR1052" s="115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25"/>
      <c r="CC1052" s="13"/>
      <c r="CF1052" s="114"/>
    </row>
    <row r="1053" spans="1:84" ht="19.5" x14ac:dyDescent="0.4">
      <c r="A1053" s="117"/>
      <c r="B1053" s="123"/>
      <c r="C1053" s="123"/>
      <c r="D1053" s="123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28"/>
      <c r="AT1053" s="29"/>
      <c r="AU1053" s="115"/>
      <c r="AV1053" s="115"/>
      <c r="AW1053" s="115"/>
      <c r="AX1053" s="115"/>
      <c r="AY1053" s="115"/>
      <c r="AZ1053" s="115"/>
      <c r="BA1053" s="115"/>
      <c r="BB1053" s="115"/>
      <c r="BC1053" s="115"/>
      <c r="BD1053" s="25"/>
      <c r="BE1053" s="13"/>
      <c r="BJ1053" s="117"/>
      <c r="BK1053" s="123"/>
      <c r="BL1053" s="123"/>
      <c r="BM1053" s="123"/>
      <c r="BR1053" s="115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25"/>
      <c r="CC1053" s="13"/>
      <c r="CF1053" s="114"/>
    </row>
    <row r="1054" spans="1:84" ht="19.5" x14ac:dyDescent="0.4">
      <c r="A1054" s="117"/>
      <c r="B1054" s="123"/>
      <c r="C1054" s="123"/>
      <c r="D1054" s="123"/>
      <c r="AS1054" s="127"/>
      <c r="AT1054" s="29"/>
      <c r="AU1054" s="115"/>
      <c r="AV1054" s="115"/>
      <c r="AW1054" s="115"/>
      <c r="AX1054" s="115"/>
      <c r="AY1054" s="115"/>
      <c r="AZ1054" s="115"/>
      <c r="BA1054" s="115"/>
      <c r="BB1054" s="115"/>
      <c r="BC1054" s="115"/>
      <c r="BD1054" s="25">
        <v>45685</v>
      </c>
      <c r="BE1054" s="13" t="s">
        <v>148</v>
      </c>
      <c r="BJ1054" s="117"/>
      <c r="BK1054" s="123"/>
      <c r="BL1054" s="123"/>
      <c r="BM1054" s="123"/>
      <c r="BR1054" s="115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25"/>
      <c r="CC1054" s="13"/>
      <c r="CF1054" s="114"/>
    </row>
    <row r="1055" spans="1:84" ht="19.5" x14ac:dyDescent="0.4">
      <c r="A1055" s="117"/>
      <c r="B1055" s="123"/>
      <c r="C1055" s="123"/>
      <c r="D1055" s="123"/>
      <c r="AS1055" s="127"/>
      <c r="AT1055" s="29"/>
      <c r="AU1055" s="115"/>
      <c r="AV1055" s="115"/>
      <c r="AW1055" s="115"/>
      <c r="AX1055" s="115"/>
      <c r="AY1055" s="115"/>
      <c r="AZ1055" s="115"/>
      <c r="BA1055" s="115"/>
      <c r="BB1055" s="115"/>
      <c r="BC1055" s="115"/>
      <c r="BD1055" s="25">
        <v>45685</v>
      </c>
      <c r="BE1055" s="13" t="s">
        <v>148</v>
      </c>
      <c r="BJ1055" s="117"/>
      <c r="BK1055" s="123"/>
      <c r="BL1055" s="123"/>
      <c r="BM1055" s="123"/>
      <c r="BR1055" s="115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25"/>
      <c r="CC1055" s="13"/>
      <c r="CF1055" s="114"/>
    </row>
    <row r="1056" spans="1:84" ht="19.5" x14ac:dyDescent="0.4">
      <c r="A1056" s="117"/>
      <c r="B1056" s="123"/>
      <c r="C1056" s="123"/>
      <c r="D1056" s="123"/>
      <c r="AS1056" s="127"/>
      <c r="AT1056" s="29"/>
      <c r="AU1056" s="115"/>
      <c r="AV1056" s="115"/>
      <c r="AW1056" s="115"/>
      <c r="AX1056" s="115"/>
      <c r="AY1056" s="115"/>
      <c r="AZ1056" s="115"/>
      <c r="BA1056" s="115"/>
      <c r="BB1056" s="115"/>
      <c r="BC1056" s="115"/>
      <c r="BD1056" s="25">
        <v>45685</v>
      </c>
      <c r="BE1056" s="13" t="s">
        <v>146</v>
      </c>
      <c r="BJ1056" s="117"/>
      <c r="BK1056" s="123"/>
      <c r="BL1056" s="123"/>
      <c r="BM1056" s="123"/>
      <c r="BR1056" s="115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25"/>
      <c r="CC1056" s="13"/>
      <c r="CF1056" s="114"/>
    </row>
    <row r="1057" spans="1:84" ht="19.5" x14ac:dyDescent="0.4">
      <c r="A1057" s="117"/>
      <c r="B1057" s="123"/>
      <c r="C1057" s="123"/>
      <c r="D1057" s="123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27"/>
      <c r="AT1057" s="29"/>
      <c r="AU1057" s="115"/>
      <c r="AV1057" s="115"/>
      <c r="AW1057" s="115"/>
      <c r="AX1057" s="115"/>
      <c r="AY1057" s="115"/>
      <c r="AZ1057" s="115"/>
      <c r="BA1057" s="115"/>
      <c r="BB1057" s="115"/>
      <c r="BC1057" s="115"/>
      <c r="BD1057" s="25"/>
      <c r="BE1057" s="13"/>
      <c r="BJ1057" s="117"/>
      <c r="BK1057" s="123"/>
      <c r="BL1057" s="123"/>
      <c r="BM1057" s="123"/>
      <c r="BR1057" s="115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25"/>
      <c r="CC1057" s="13"/>
      <c r="CF1057" s="114"/>
    </row>
    <row r="1058" spans="1:84" ht="19.5" x14ac:dyDescent="0.4">
      <c r="A1058" s="117"/>
      <c r="B1058" s="123"/>
      <c r="C1058" s="123"/>
      <c r="D1058" s="123"/>
      <c r="AS1058" s="127"/>
      <c r="AT1058" s="29"/>
      <c r="BD1058" s="25">
        <v>45685</v>
      </c>
      <c r="BE1058" s="13" t="s">
        <v>148</v>
      </c>
      <c r="BJ1058" s="117"/>
      <c r="BK1058" s="123"/>
      <c r="BL1058" s="123"/>
      <c r="BM1058" s="123"/>
      <c r="BR1058" s="115"/>
      <c r="BS1058" s="115"/>
      <c r="BT1058" s="115"/>
      <c r="BU1058" s="115"/>
      <c r="BV1058" s="115"/>
      <c r="BW1058" s="115"/>
      <c r="BX1058" s="115"/>
      <c r="BY1058" s="115"/>
      <c r="BZ1058" s="115"/>
      <c r="CA1058" s="115" t="s">
        <v>150</v>
      </c>
      <c r="CB1058" s="13">
        <f>SUBTOTAL(3,CB1045:CB1045)</f>
        <v>1</v>
      </c>
      <c r="CC1058" s="13">
        <f>SUBTOTAL(3,CC1045:CC1045)</f>
        <v>1</v>
      </c>
      <c r="CF1058" s="114"/>
    </row>
    <row r="1059" spans="1:84" ht="19.5" x14ac:dyDescent="0.4">
      <c r="A1059" s="117"/>
      <c r="B1059" s="123"/>
      <c r="C1059" s="123"/>
      <c r="D1059" s="123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27"/>
      <c r="AT1059" s="29"/>
      <c r="BD1059" s="25"/>
      <c r="BE1059" s="13"/>
      <c r="BJ1059" s="117"/>
      <c r="BK1059" s="123"/>
      <c r="BL1059" s="123"/>
      <c r="BM1059" s="123"/>
      <c r="BR1059" s="115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3"/>
      <c r="CC1059" s="13"/>
      <c r="CF1059" s="114"/>
    </row>
    <row r="1060" spans="1:84" ht="19.5" x14ac:dyDescent="0.4">
      <c r="A1060" s="117"/>
      <c r="B1060" s="123"/>
      <c r="C1060" s="123"/>
      <c r="D1060" s="123"/>
      <c r="AS1060" s="127"/>
      <c r="AT1060" s="29"/>
      <c r="AU1060" s="115"/>
      <c r="AV1060" s="115"/>
      <c r="AW1060" s="115"/>
      <c r="AX1060" s="115"/>
      <c r="AY1060" s="115"/>
      <c r="AZ1060" s="115"/>
      <c r="BA1060" s="115"/>
      <c r="BB1060" s="115"/>
      <c r="BC1060" s="115"/>
      <c r="BD1060" s="25">
        <v>45685</v>
      </c>
      <c r="BE1060" s="15" t="s">
        <v>146</v>
      </c>
      <c r="BJ1060" s="117"/>
      <c r="BK1060" s="123"/>
      <c r="BL1060" s="123"/>
      <c r="BM1060" s="123"/>
      <c r="BR1060" s="115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3"/>
      <c r="CC1060" s="13"/>
      <c r="CF1060" s="114"/>
    </row>
    <row r="1061" spans="1:84" ht="19.5" x14ac:dyDescent="0.4">
      <c r="A1061" s="117"/>
      <c r="B1061" s="123"/>
      <c r="C1061" s="123"/>
      <c r="D1061" s="123"/>
      <c r="AS1061" s="127"/>
      <c r="AT1061" s="29"/>
      <c r="BD1061" s="25">
        <v>45685</v>
      </c>
      <c r="BE1061" s="15" t="s">
        <v>146</v>
      </c>
      <c r="BJ1061" s="117"/>
      <c r="BK1061" s="123"/>
      <c r="BL1061" s="123"/>
      <c r="BM1061" s="123"/>
      <c r="BR1061" s="115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25">
        <v>45264</v>
      </c>
      <c r="CC1061" s="13" t="s">
        <v>162</v>
      </c>
      <c r="CF1061" s="114"/>
    </row>
    <row r="1062" spans="1:84" ht="19.5" x14ac:dyDescent="0.4">
      <c r="A1062" s="117"/>
      <c r="B1062" s="123"/>
      <c r="C1062" s="123"/>
      <c r="D1062" s="123"/>
      <c r="AS1062" s="127"/>
      <c r="AT1062" s="29"/>
      <c r="AZ1062" s="115"/>
      <c r="BA1062" s="115"/>
      <c r="BB1062" s="115"/>
      <c r="BC1062" s="115"/>
      <c r="BD1062" s="25">
        <v>45686</v>
      </c>
      <c r="BE1062" s="15" t="s">
        <v>148</v>
      </c>
      <c r="BJ1062" s="117"/>
      <c r="BK1062" s="123"/>
      <c r="BL1062" s="123"/>
      <c r="BM1062" s="123"/>
      <c r="BR1062" s="115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25"/>
      <c r="CC1062" s="13"/>
      <c r="CF1062" s="114"/>
    </row>
    <row r="1063" spans="1:84" ht="19.5" x14ac:dyDescent="0.4">
      <c r="A1063" s="117"/>
      <c r="B1063" s="123"/>
      <c r="C1063" s="123"/>
      <c r="D1063" s="123"/>
      <c r="AS1063" s="127"/>
      <c r="AT1063" s="29"/>
      <c r="AX1063" s="115"/>
      <c r="AY1063" s="115"/>
      <c r="AZ1063" s="115"/>
      <c r="BA1063" s="115"/>
      <c r="BB1063" s="115"/>
      <c r="BC1063" s="115"/>
      <c r="BD1063" s="25">
        <v>45686</v>
      </c>
      <c r="BE1063" s="15" t="s">
        <v>146</v>
      </c>
      <c r="BJ1063" s="117"/>
      <c r="BK1063" s="123"/>
      <c r="BL1063" s="123"/>
      <c r="BM1063" s="123"/>
      <c r="BR1063" s="115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25"/>
      <c r="CC1063" s="13"/>
      <c r="CF1063" s="114"/>
    </row>
    <row r="1064" spans="1:84" ht="19.5" x14ac:dyDescent="0.4">
      <c r="A1064" s="117"/>
      <c r="B1064" s="123"/>
      <c r="C1064" s="123"/>
      <c r="D1064" s="123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27"/>
      <c r="AT1064" s="29"/>
      <c r="AX1064" s="115"/>
      <c r="AY1064" s="115"/>
      <c r="AZ1064" s="115"/>
      <c r="BA1064" s="115"/>
      <c r="BB1064" s="115"/>
      <c r="BC1064" s="115"/>
      <c r="BD1064" s="25"/>
      <c r="BE1064" s="15"/>
      <c r="BJ1064" s="117"/>
      <c r="BK1064" s="123"/>
      <c r="BL1064" s="123"/>
      <c r="BM1064" s="123"/>
      <c r="BR1064" s="115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25"/>
      <c r="CC1064" s="13"/>
      <c r="CF1064" s="114"/>
    </row>
    <row r="1065" spans="1:84" ht="19.5" x14ac:dyDescent="0.4">
      <c r="A1065" s="117"/>
      <c r="B1065" s="123"/>
      <c r="C1065" s="123"/>
      <c r="D1065" s="123"/>
      <c r="AS1065" s="127"/>
      <c r="AT1065" s="29"/>
      <c r="AX1065" s="115"/>
      <c r="AY1065" s="115"/>
      <c r="AZ1065" s="115"/>
      <c r="BA1065" s="115"/>
      <c r="BB1065" s="115"/>
      <c r="BC1065" s="115"/>
      <c r="BD1065" s="25">
        <v>45686</v>
      </c>
      <c r="BE1065" s="15" t="s">
        <v>148</v>
      </c>
      <c r="BJ1065" s="117"/>
      <c r="BK1065" s="123"/>
      <c r="BL1065" s="123"/>
      <c r="BM1065" s="123"/>
      <c r="BR1065" s="115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25"/>
      <c r="CC1065" s="13"/>
      <c r="CF1065" s="114"/>
    </row>
    <row r="1066" spans="1:84" ht="19.5" x14ac:dyDescent="0.4">
      <c r="A1066" s="117"/>
      <c r="B1066" s="123"/>
      <c r="C1066" s="123"/>
      <c r="D1066" s="123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27"/>
      <c r="AT1066" s="29"/>
      <c r="AX1066" s="115"/>
      <c r="AY1066" s="115"/>
      <c r="AZ1066" s="115"/>
      <c r="BA1066" s="115"/>
      <c r="BB1066" s="115"/>
      <c r="BC1066" s="115"/>
      <c r="BD1066" s="25"/>
      <c r="BE1066" s="15"/>
      <c r="BJ1066" s="117"/>
      <c r="BK1066" s="123"/>
      <c r="BL1066" s="123"/>
      <c r="BM1066" s="123"/>
      <c r="BR1066" s="115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25"/>
      <c r="CC1066" s="13"/>
      <c r="CF1066" s="114"/>
    </row>
    <row r="1067" spans="1:84" ht="19.5" x14ac:dyDescent="0.4">
      <c r="A1067" s="117"/>
      <c r="B1067" s="123"/>
      <c r="C1067" s="123"/>
      <c r="D1067" s="123"/>
      <c r="AS1067" s="127"/>
      <c r="AT1067" s="29"/>
      <c r="BD1067" s="25">
        <v>45686</v>
      </c>
      <c r="BE1067" s="15" t="s">
        <v>146</v>
      </c>
      <c r="BJ1067" s="117"/>
      <c r="BK1067" s="123"/>
      <c r="BL1067" s="123"/>
      <c r="BM1067" s="123"/>
      <c r="BR1067" s="115"/>
      <c r="BS1067" s="115"/>
      <c r="BT1067" s="115"/>
      <c r="BU1067" s="115"/>
      <c r="BV1067" s="115"/>
      <c r="BW1067" s="115"/>
      <c r="BX1067" s="115"/>
      <c r="BY1067" s="115"/>
      <c r="BZ1067" s="115"/>
      <c r="CA1067" s="115" t="s">
        <v>154</v>
      </c>
      <c r="CB1067" s="13">
        <f>SUBTOTAL(3,CB1061:CB1061)</f>
        <v>1</v>
      </c>
      <c r="CC1067" s="13">
        <f>SUBTOTAL(3,CC1061:CC1061)</f>
        <v>1</v>
      </c>
      <c r="CF1067" s="114"/>
    </row>
    <row r="1068" spans="1:84" ht="19.5" x14ac:dyDescent="0.4">
      <c r="A1068" s="117"/>
      <c r="B1068" s="123"/>
      <c r="C1068" s="123"/>
      <c r="D1068" s="123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27"/>
      <c r="AT1068" s="29"/>
      <c r="BD1068" s="25"/>
      <c r="BE1068" s="15"/>
      <c r="BJ1068" s="117"/>
      <c r="BK1068" s="123"/>
      <c r="BL1068" s="123"/>
      <c r="BM1068" s="123"/>
      <c r="BR1068" s="115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3"/>
      <c r="CC1068" s="13"/>
      <c r="CF1068" s="114"/>
    </row>
    <row r="1069" spans="1:84" ht="19.5" x14ac:dyDescent="0.4">
      <c r="A1069" s="117"/>
      <c r="B1069" s="123"/>
      <c r="C1069" s="123"/>
      <c r="D1069" s="123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27"/>
      <c r="AT1069" s="29"/>
      <c r="BD1069" s="25"/>
      <c r="BE1069" s="15"/>
      <c r="BJ1069" s="117"/>
      <c r="BK1069" s="123"/>
      <c r="BL1069" s="123"/>
      <c r="BM1069" s="123"/>
      <c r="BR1069" s="115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3"/>
      <c r="CC1069" s="13"/>
      <c r="CF1069" s="114"/>
    </row>
    <row r="1070" spans="1:84" ht="19.5" x14ac:dyDescent="0.4">
      <c r="A1070" s="117"/>
      <c r="B1070" s="123"/>
      <c r="C1070" s="123"/>
      <c r="D1070" s="123"/>
      <c r="AS1070" s="127"/>
      <c r="AT1070" s="29"/>
      <c r="BD1070" s="25">
        <v>45686</v>
      </c>
      <c r="BE1070" s="15" t="s">
        <v>146</v>
      </c>
      <c r="BJ1070" s="117"/>
      <c r="BK1070" s="123"/>
      <c r="BL1070" s="123"/>
      <c r="BM1070" s="123"/>
      <c r="BR1070" s="115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25">
        <v>45265</v>
      </c>
      <c r="CC1070" s="13" t="s">
        <v>162</v>
      </c>
      <c r="CF1070" s="114"/>
    </row>
    <row r="1071" spans="1:84" ht="19.5" x14ac:dyDescent="0.4">
      <c r="A1071" s="117"/>
      <c r="B1071" s="123"/>
      <c r="C1071" s="123"/>
      <c r="D1071" s="123"/>
      <c r="AS1071" s="127"/>
      <c r="AT1071" s="29"/>
      <c r="BD1071" s="25">
        <v>45686</v>
      </c>
      <c r="BE1071" s="15" t="s">
        <v>146</v>
      </c>
      <c r="BJ1071" s="117"/>
      <c r="BK1071" s="123"/>
      <c r="BL1071" s="123"/>
      <c r="BM1071" s="123"/>
      <c r="BR1071" s="115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25">
        <v>45265</v>
      </c>
      <c r="CC1071" s="25" t="s">
        <v>162</v>
      </c>
      <c r="CF1071" s="114"/>
    </row>
    <row r="1072" spans="1:84" ht="19.5" x14ac:dyDescent="0.4">
      <c r="A1072" s="117"/>
      <c r="B1072" s="123"/>
      <c r="C1072" s="123"/>
      <c r="D1072" s="123"/>
      <c r="AS1072" s="127"/>
      <c r="AT1072" s="29"/>
      <c r="AU1072" s="115"/>
      <c r="AV1072" s="115"/>
      <c r="AW1072" s="115"/>
      <c r="AX1072" s="115"/>
      <c r="AY1072" s="115"/>
      <c r="AZ1072" s="115"/>
      <c r="BA1072" s="115"/>
      <c r="BB1072" s="115"/>
      <c r="BC1072" s="115"/>
      <c r="BD1072" s="25">
        <v>45686</v>
      </c>
      <c r="BE1072" s="15" t="s">
        <v>146</v>
      </c>
      <c r="BJ1072" s="117"/>
      <c r="BK1072" s="123"/>
      <c r="BL1072" s="123"/>
      <c r="BM1072" s="123"/>
      <c r="BR1072" s="115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25"/>
      <c r="CC1072" s="25"/>
      <c r="CF1072" s="114"/>
    </row>
    <row r="1073" spans="1:84" ht="19.5" x14ac:dyDescent="0.4">
      <c r="A1073" s="117"/>
      <c r="B1073" s="123"/>
      <c r="C1073" s="123"/>
      <c r="D1073" s="123"/>
      <c r="AS1073" s="128"/>
      <c r="AT1073" s="29"/>
      <c r="AU1073" s="115"/>
      <c r="AV1073" s="115"/>
      <c r="AW1073" s="115"/>
      <c r="AX1073" s="115"/>
      <c r="AY1073" s="115"/>
      <c r="AZ1073" s="115"/>
      <c r="BA1073" s="115"/>
      <c r="BB1073" s="115"/>
      <c r="BC1073" s="115"/>
      <c r="BD1073" s="25"/>
      <c r="BE1073" s="13"/>
      <c r="BJ1073" s="117"/>
      <c r="BK1073" s="123"/>
      <c r="BL1073" s="123"/>
      <c r="BM1073" s="123"/>
      <c r="BR1073" s="115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25"/>
      <c r="CC1073" s="25"/>
      <c r="CF1073" s="114"/>
    </row>
    <row r="1074" spans="1:84" ht="19.5" x14ac:dyDescent="0.4">
      <c r="A1074" s="117"/>
      <c r="B1074" s="123"/>
      <c r="C1074" s="123"/>
      <c r="D1074" s="123"/>
      <c r="AS1074" s="127"/>
      <c r="AT1074" s="29"/>
      <c r="BD1074" s="25">
        <v>45686</v>
      </c>
      <c r="BE1074" s="13" t="s">
        <v>146</v>
      </c>
      <c r="BJ1074" s="117"/>
      <c r="BK1074" s="123"/>
      <c r="BL1074" s="123"/>
      <c r="BM1074" s="123"/>
      <c r="BR1074" s="115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25">
        <v>45265</v>
      </c>
      <c r="CC1074" s="13" t="s">
        <v>162</v>
      </c>
      <c r="CF1074" s="114"/>
    </row>
    <row r="1075" spans="1:84" ht="19.5" x14ac:dyDescent="0.4">
      <c r="A1075" s="117"/>
      <c r="B1075" s="123"/>
      <c r="C1075" s="123"/>
      <c r="D1075" s="123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15"/>
      <c r="AR1075" s="115"/>
      <c r="AS1075" s="127"/>
      <c r="AT1075" s="29"/>
      <c r="BD1075" s="25"/>
      <c r="BE1075" s="13"/>
      <c r="BJ1075" s="117"/>
      <c r="BK1075" s="123"/>
      <c r="BL1075" s="123"/>
      <c r="BM1075" s="123"/>
      <c r="BR1075" s="115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25"/>
      <c r="CC1075" s="13"/>
      <c r="CF1075" s="114"/>
    </row>
    <row r="1076" spans="1:84" ht="19.5" x14ac:dyDescent="0.4">
      <c r="A1076" s="117"/>
      <c r="B1076" s="123"/>
      <c r="C1076" s="123"/>
      <c r="D1076" s="123"/>
      <c r="AS1076" s="127"/>
      <c r="AT1076" s="29"/>
      <c r="AZ1076" s="115"/>
      <c r="BA1076" s="115"/>
      <c r="BB1076" s="115"/>
      <c r="BC1076" s="115"/>
      <c r="BD1076" s="25">
        <v>45686</v>
      </c>
      <c r="BE1076" s="15" t="s">
        <v>146</v>
      </c>
      <c r="BJ1076" s="117"/>
      <c r="BK1076" s="123"/>
      <c r="BL1076" s="123"/>
      <c r="BM1076" s="123"/>
      <c r="BR1076" s="115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25"/>
      <c r="CC1076" s="13"/>
      <c r="CF1076" s="114"/>
    </row>
    <row r="1077" spans="1:84" ht="19.5" x14ac:dyDescent="0.4">
      <c r="A1077" s="117"/>
      <c r="B1077" s="123"/>
      <c r="C1077" s="123"/>
      <c r="D1077" s="123"/>
      <c r="AS1077" s="127"/>
      <c r="AT1077" s="29"/>
      <c r="BD1077" s="25">
        <v>45686</v>
      </c>
      <c r="BE1077" s="15" t="s">
        <v>147</v>
      </c>
      <c r="BJ1077" s="117"/>
      <c r="BK1077" s="123"/>
      <c r="BL1077" s="123"/>
      <c r="BM1077" s="123"/>
      <c r="BR1077" s="115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25">
        <v>45265</v>
      </c>
      <c r="CC1077" s="13" t="s">
        <v>162</v>
      </c>
      <c r="CF1077" s="114"/>
    </row>
    <row r="1078" spans="1:84" ht="19.5" x14ac:dyDescent="0.4">
      <c r="A1078" s="117"/>
      <c r="B1078" s="123"/>
      <c r="C1078" s="123"/>
      <c r="D1078" s="123"/>
      <c r="AS1078" s="127"/>
      <c r="AT1078" s="29"/>
      <c r="BA1078" s="115"/>
      <c r="BB1078" s="115"/>
      <c r="BC1078" s="115"/>
      <c r="BD1078" s="25">
        <v>45686</v>
      </c>
      <c r="BE1078" s="15" t="s">
        <v>147</v>
      </c>
      <c r="BJ1078" s="117"/>
      <c r="BK1078" s="123"/>
      <c r="BL1078" s="123"/>
      <c r="BM1078" s="123"/>
      <c r="BR1078" s="115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25"/>
      <c r="CC1078" s="13"/>
      <c r="CF1078" s="114"/>
    </row>
    <row r="1079" spans="1:84" ht="19.5" x14ac:dyDescent="0.4">
      <c r="A1079" s="117"/>
      <c r="B1079" s="123"/>
      <c r="C1079" s="123"/>
      <c r="D1079" s="123"/>
      <c r="AS1079" s="127"/>
      <c r="AT1079" s="29"/>
      <c r="AU1079" s="115"/>
      <c r="AV1079" s="115"/>
      <c r="AW1079" s="115"/>
      <c r="AX1079" s="115"/>
      <c r="AY1079" s="115"/>
      <c r="AZ1079" s="115"/>
      <c r="BA1079" s="115"/>
      <c r="BB1079" s="115"/>
      <c r="BC1079" s="115"/>
      <c r="BD1079" s="25">
        <v>45686</v>
      </c>
      <c r="BE1079" s="13" t="s">
        <v>146</v>
      </c>
      <c r="BJ1079" s="117"/>
      <c r="BK1079" s="123"/>
      <c r="BL1079" s="123"/>
      <c r="BM1079" s="123"/>
      <c r="BR1079" s="115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25"/>
      <c r="CC1079" s="13"/>
      <c r="CF1079" s="114"/>
    </row>
    <row r="1080" spans="1:84" ht="19.5" x14ac:dyDescent="0.4">
      <c r="A1080" s="117"/>
      <c r="B1080" s="123"/>
      <c r="C1080" s="123"/>
      <c r="D1080" s="123"/>
      <c r="AS1080" s="127"/>
      <c r="AT1080" s="29"/>
      <c r="BD1080" s="25">
        <v>45686</v>
      </c>
      <c r="BE1080" s="25" t="s">
        <v>146</v>
      </c>
      <c r="BJ1080" s="117"/>
      <c r="BK1080" s="123"/>
      <c r="BL1080" s="123"/>
      <c r="BM1080" s="123"/>
      <c r="BR1080" s="115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25">
        <v>45265</v>
      </c>
      <c r="CC1080" s="13" t="s">
        <v>163</v>
      </c>
      <c r="CF1080" s="114"/>
    </row>
    <row r="1081" spans="1:84" ht="19.5" x14ac:dyDescent="0.4">
      <c r="A1081" s="117"/>
      <c r="B1081" s="123"/>
      <c r="C1081" s="123"/>
      <c r="D1081" s="123"/>
      <c r="AS1081" s="127"/>
      <c r="AT1081" s="29"/>
      <c r="BD1081" s="25">
        <v>45686</v>
      </c>
      <c r="BE1081" s="25" t="s">
        <v>147</v>
      </c>
      <c r="BJ1081" s="117"/>
      <c r="BK1081" s="123"/>
      <c r="BL1081" s="123"/>
      <c r="BM1081" s="123"/>
      <c r="BR1081" s="115"/>
      <c r="BS1081" s="115"/>
      <c r="BT1081" s="115"/>
      <c r="BU1081" s="115"/>
      <c r="BV1081" s="115"/>
      <c r="BW1081" s="115"/>
      <c r="BX1081" s="115"/>
      <c r="BY1081" s="115"/>
      <c r="BZ1081" s="115"/>
      <c r="CA1081" s="115" t="s">
        <v>155</v>
      </c>
      <c r="CB1081" s="13">
        <f>SUBTOTAL(3,CB1070:CB1080)</f>
        <v>5</v>
      </c>
      <c r="CC1081" s="13">
        <f>SUBTOTAL(3,CC1070:CC1080)</f>
        <v>5</v>
      </c>
      <c r="CF1081" s="114"/>
    </row>
    <row r="1082" spans="1:84" ht="19.5" x14ac:dyDescent="0.4">
      <c r="A1082" s="117"/>
      <c r="B1082" s="123"/>
      <c r="C1082" s="123"/>
      <c r="D1082" s="123"/>
      <c r="AS1082" s="127"/>
      <c r="AT1082" s="29"/>
      <c r="AU1082" s="115"/>
      <c r="AV1082" s="115"/>
      <c r="AW1082" s="115"/>
      <c r="AX1082" s="115"/>
      <c r="AY1082" s="115"/>
      <c r="AZ1082" s="115"/>
      <c r="BA1082" s="115"/>
      <c r="BB1082" s="115"/>
      <c r="BC1082" s="115"/>
      <c r="BD1082" s="25">
        <v>45686</v>
      </c>
      <c r="BE1082" s="25" t="s">
        <v>148</v>
      </c>
      <c r="BJ1082" s="117"/>
      <c r="BK1082" s="123"/>
      <c r="BL1082" s="123"/>
      <c r="BM1082" s="123"/>
      <c r="BR1082" s="115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3"/>
      <c r="CC1082" s="13"/>
      <c r="CF1082" s="114"/>
    </row>
    <row r="1083" spans="1:84" ht="19.5" x14ac:dyDescent="0.4">
      <c r="A1083" s="117"/>
      <c r="B1083" s="123"/>
      <c r="C1083" s="123"/>
      <c r="D1083" s="123"/>
      <c r="AS1083" s="127"/>
      <c r="AT1083" s="29"/>
      <c r="AU1083" s="115"/>
      <c r="AV1083" s="115"/>
      <c r="AW1083" s="115"/>
      <c r="AX1083" s="115"/>
      <c r="AY1083" s="115"/>
      <c r="AZ1083" s="115"/>
      <c r="BA1083" s="115"/>
      <c r="BB1083" s="115"/>
      <c r="BC1083" s="115"/>
      <c r="BD1083" s="25">
        <v>45686</v>
      </c>
      <c r="BE1083" s="13" t="s">
        <v>146</v>
      </c>
      <c r="BJ1083" s="117"/>
      <c r="BK1083" s="123"/>
      <c r="BL1083" s="123"/>
      <c r="BM1083" s="123"/>
      <c r="BR1083" s="115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3"/>
      <c r="CC1083" s="13"/>
      <c r="CF1083" s="114"/>
    </row>
    <row r="1084" spans="1:84" ht="19.5" x14ac:dyDescent="0.4">
      <c r="A1084" s="117"/>
      <c r="B1084" s="123"/>
      <c r="C1084" s="123"/>
      <c r="D1084" s="123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27"/>
      <c r="AT1084" s="29"/>
      <c r="AU1084" s="115"/>
      <c r="AV1084" s="115"/>
      <c r="AW1084" s="115"/>
      <c r="AX1084" s="115"/>
      <c r="AY1084" s="115"/>
      <c r="AZ1084" s="115"/>
      <c r="BA1084" s="115"/>
      <c r="BB1084" s="115"/>
      <c r="BC1084" s="115"/>
      <c r="BD1084" s="25">
        <v>45686</v>
      </c>
      <c r="BE1084" s="13" t="s">
        <v>146</v>
      </c>
      <c r="BJ1084" s="117"/>
      <c r="BK1084" s="123"/>
      <c r="BL1084" s="123"/>
      <c r="BM1084" s="123"/>
      <c r="BR1084" s="115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3"/>
      <c r="CC1084" s="13"/>
      <c r="CF1084" s="114"/>
    </row>
    <row r="1085" spans="1:84" ht="19.5" x14ac:dyDescent="0.4">
      <c r="A1085" s="117"/>
      <c r="B1085" s="123"/>
      <c r="C1085" s="123"/>
      <c r="D1085" s="123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27"/>
      <c r="AT1085" s="29"/>
      <c r="AU1085" s="115"/>
      <c r="AV1085" s="115"/>
      <c r="AW1085" s="115"/>
      <c r="AX1085" s="115"/>
      <c r="AY1085" s="115"/>
      <c r="AZ1085" s="115"/>
      <c r="BA1085" s="115"/>
      <c r="BB1085" s="115"/>
      <c r="BC1085" s="115"/>
      <c r="BD1085" s="25">
        <v>45686</v>
      </c>
      <c r="BE1085" s="15" t="s">
        <v>148</v>
      </c>
      <c r="BJ1085" s="117"/>
      <c r="BK1085" s="123"/>
      <c r="BL1085" s="123"/>
      <c r="BM1085" s="123"/>
      <c r="BR1085" s="115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3"/>
      <c r="CC1085" s="13"/>
      <c r="CF1085" s="114"/>
    </row>
    <row r="1086" spans="1:84" ht="19.5" x14ac:dyDescent="0.4">
      <c r="A1086" s="117"/>
      <c r="B1086" s="123"/>
      <c r="C1086" s="123"/>
      <c r="D1086" s="123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127"/>
      <c r="AT1086" s="29"/>
      <c r="AU1086" s="115"/>
      <c r="AV1086" s="115"/>
      <c r="AW1086" s="115"/>
      <c r="AX1086" s="115"/>
      <c r="AY1086" s="115"/>
      <c r="AZ1086" s="115"/>
      <c r="BA1086" s="115"/>
      <c r="BB1086" s="115"/>
      <c r="BC1086" s="115"/>
      <c r="BD1086" s="25">
        <v>45686</v>
      </c>
      <c r="BE1086" s="15" t="s">
        <v>148</v>
      </c>
      <c r="BJ1086" s="117"/>
      <c r="BK1086" s="123"/>
      <c r="BL1086" s="123"/>
      <c r="BM1086" s="123"/>
      <c r="BR1086" s="115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3"/>
      <c r="CC1086" s="13"/>
      <c r="CF1086" s="114"/>
    </row>
    <row r="1087" spans="1:84" ht="19.5" x14ac:dyDescent="0.4">
      <c r="A1087" s="117"/>
      <c r="B1087" s="123"/>
      <c r="C1087" s="123"/>
      <c r="D1087" s="123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127"/>
      <c r="AT1087" s="29"/>
      <c r="AU1087" s="115"/>
      <c r="AV1087" s="115"/>
      <c r="AW1087" s="115"/>
      <c r="AX1087" s="115"/>
      <c r="AY1087" s="115"/>
      <c r="AZ1087" s="115"/>
      <c r="BA1087" s="115"/>
      <c r="BB1087" s="115"/>
      <c r="BC1087" s="115"/>
      <c r="BD1087" s="25">
        <v>45686</v>
      </c>
      <c r="BE1087" s="15" t="s">
        <v>148</v>
      </c>
      <c r="BJ1087" s="117"/>
      <c r="BK1087" s="123"/>
      <c r="BL1087" s="123"/>
      <c r="BM1087" s="123"/>
      <c r="BR1087" s="115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3"/>
      <c r="CC1087" s="13"/>
      <c r="CF1087" s="114"/>
    </row>
    <row r="1088" spans="1:84" ht="19.5" x14ac:dyDescent="0.4">
      <c r="A1088" s="117"/>
      <c r="B1088" s="123"/>
      <c r="C1088" s="123"/>
      <c r="D1088" s="123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115"/>
      <c r="AR1088" s="115"/>
      <c r="AS1088" s="127"/>
      <c r="AT1088" s="29"/>
      <c r="AU1088" s="115"/>
      <c r="AV1088" s="115"/>
      <c r="AW1088" s="115"/>
      <c r="AX1088" s="115"/>
      <c r="AY1088" s="115"/>
      <c r="AZ1088" s="115"/>
      <c r="BA1088" s="115"/>
      <c r="BB1088" s="115"/>
      <c r="BC1088" s="115"/>
      <c r="BD1088" s="25">
        <v>45686</v>
      </c>
      <c r="BE1088" s="15" t="s">
        <v>146</v>
      </c>
      <c r="BJ1088" s="117"/>
      <c r="BK1088" s="123"/>
      <c r="BL1088" s="123"/>
      <c r="BM1088" s="123"/>
      <c r="BR1088" s="115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3"/>
      <c r="CC1088" s="13"/>
      <c r="CF1088" s="114"/>
    </row>
    <row r="1089" spans="1:84" ht="19.5" x14ac:dyDescent="0.4">
      <c r="A1089" s="117"/>
      <c r="B1089" s="123"/>
      <c r="C1089" s="123"/>
      <c r="D1089" s="123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115"/>
      <c r="AR1089" s="115"/>
      <c r="AS1089" s="127"/>
      <c r="AT1089" s="29"/>
      <c r="AU1089" s="115"/>
      <c r="AV1089" s="115"/>
      <c r="AW1089" s="115"/>
      <c r="AX1089" s="115"/>
      <c r="AY1089" s="115"/>
      <c r="AZ1089" s="115"/>
      <c r="BA1089" s="115"/>
      <c r="BB1089" s="115"/>
      <c r="BC1089" s="115"/>
      <c r="BD1089" s="25">
        <v>45686</v>
      </c>
      <c r="BE1089" s="15" t="s">
        <v>148</v>
      </c>
      <c r="BJ1089" s="117"/>
      <c r="BK1089" s="123"/>
      <c r="BL1089" s="123"/>
      <c r="BM1089" s="123"/>
      <c r="BR1089" s="115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3"/>
      <c r="CC1089" s="13"/>
      <c r="CF1089" s="114"/>
    </row>
    <row r="1090" spans="1:84" ht="19.5" x14ac:dyDescent="0.4">
      <c r="A1090" s="117"/>
      <c r="B1090" s="123"/>
      <c r="C1090" s="123"/>
      <c r="D1090" s="123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27"/>
      <c r="AT1090" s="29"/>
      <c r="AU1090" s="115"/>
      <c r="AV1090" s="115"/>
      <c r="AW1090" s="115"/>
      <c r="AX1090" s="115"/>
      <c r="AY1090" s="115"/>
      <c r="AZ1090" s="115"/>
      <c r="BA1090" s="115"/>
      <c r="BB1090" s="115"/>
      <c r="BC1090" s="115"/>
      <c r="BD1090" s="25">
        <v>45689</v>
      </c>
      <c r="BE1090" s="15" t="s">
        <v>147</v>
      </c>
      <c r="BJ1090" s="117"/>
      <c r="BK1090" s="123"/>
      <c r="BL1090" s="123"/>
      <c r="BM1090" s="123"/>
      <c r="BR1090" s="115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3"/>
      <c r="CC1090" s="13"/>
      <c r="CF1090" s="114"/>
    </row>
    <row r="1091" spans="1:84" ht="19.5" x14ac:dyDescent="0.4">
      <c r="A1091" s="117"/>
      <c r="B1091" s="123"/>
      <c r="C1091" s="123"/>
      <c r="D1091" s="123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115"/>
      <c r="AS1091" s="127"/>
      <c r="AT1091" s="29"/>
      <c r="AU1091" s="115"/>
      <c r="AV1091" s="115"/>
      <c r="AW1091" s="115"/>
      <c r="AX1091" s="115"/>
      <c r="AY1091" s="115"/>
      <c r="AZ1091" s="115"/>
      <c r="BA1091" s="115"/>
      <c r="BB1091" s="115"/>
      <c r="BC1091" s="115"/>
      <c r="BD1091" s="25"/>
      <c r="BE1091" s="15"/>
      <c r="BJ1091" s="117"/>
      <c r="BK1091" s="123"/>
      <c r="BL1091" s="123"/>
      <c r="BM1091" s="123"/>
      <c r="BR1091" s="115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3"/>
      <c r="CC1091" s="13"/>
      <c r="CF1091" s="114"/>
    </row>
    <row r="1092" spans="1:84" ht="19.5" x14ac:dyDescent="0.4">
      <c r="A1092" s="117"/>
      <c r="B1092" s="123"/>
      <c r="C1092" s="123"/>
      <c r="D1092" s="123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27"/>
      <c r="AT1092" s="29"/>
      <c r="AU1092" s="115"/>
      <c r="AV1092" s="115"/>
      <c r="AW1092" s="115"/>
      <c r="AX1092" s="115"/>
      <c r="AY1092" s="115"/>
      <c r="AZ1092" s="115"/>
      <c r="BA1092" s="115"/>
      <c r="BB1092" s="115"/>
      <c r="BC1092" s="115"/>
      <c r="BD1092" s="25">
        <v>45689</v>
      </c>
      <c r="BE1092" s="15" t="s">
        <v>147</v>
      </c>
      <c r="BJ1092" s="117"/>
      <c r="BK1092" s="123"/>
      <c r="BL1092" s="123"/>
      <c r="BM1092" s="123"/>
      <c r="BR1092" s="115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3"/>
      <c r="CC1092" s="13"/>
      <c r="CF1092" s="114"/>
    </row>
    <row r="1093" spans="1:84" ht="19.5" x14ac:dyDescent="0.4">
      <c r="A1093" s="117"/>
      <c r="B1093" s="123"/>
      <c r="C1093" s="123"/>
      <c r="D1093" s="123"/>
      <c r="AS1093" s="127"/>
      <c r="AT1093" s="29"/>
      <c r="BD1093" s="25">
        <v>45689</v>
      </c>
      <c r="BE1093" s="15" t="s">
        <v>146</v>
      </c>
      <c r="BJ1093" s="117"/>
      <c r="BK1093" s="123"/>
      <c r="BL1093" s="123"/>
      <c r="BM1093" s="123"/>
      <c r="BO1093" s="115"/>
      <c r="BP1093" s="115"/>
      <c r="BQ1093" s="115"/>
      <c r="BR1093" s="115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25">
        <v>45266</v>
      </c>
      <c r="CC1093" s="25" t="s">
        <v>162</v>
      </c>
      <c r="CF1093" s="114"/>
    </row>
    <row r="1094" spans="1:84" ht="19.5" x14ac:dyDescent="0.4">
      <c r="A1094" s="117"/>
      <c r="B1094" s="123"/>
      <c r="C1094" s="123"/>
      <c r="D1094" s="123"/>
      <c r="AS1094" s="128"/>
      <c r="AT1094" s="29"/>
      <c r="BD1094" s="25"/>
      <c r="BE1094" s="15"/>
      <c r="BJ1094" s="117"/>
      <c r="BK1094" s="123"/>
      <c r="BL1094" s="123"/>
      <c r="BM1094" s="123"/>
      <c r="BO1094" s="115"/>
      <c r="BP1094" s="115"/>
      <c r="BQ1094" s="115"/>
      <c r="BR1094" s="115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25"/>
      <c r="CC1094" s="25"/>
      <c r="CF1094" s="114"/>
    </row>
    <row r="1095" spans="1:84" ht="19.5" x14ac:dyDescent="0.4">
      <c r="A1095" s="117"/>
      <c r="B1095" s="123"/>
      <c r="C1095" s="123"/>
      <c r="D1095" s="123"/>
      <c r="AS1095" s="127"/>
      <c r="AT1095" s="29"/>
      <c r="AU1095" s="115"/>
      <c r="AV1095" s="115"/>
      <c r="AW1095" s="115"/>
      <c r="AX1095" s="115"/>
      <c r="AY1095" s="115"/>
      <c r="AZ1095" s="115"/>
      <c r="BA1095" s="115"/>
      <c r="BB1095" s="115"/>
      <c r="BC1095" s="115"/>
      <c r="BD1095" s="25">
        <v>45689</v>
      </c>
      <c r="BE1095" s="15" t="s">
        <v>146</v>
      </c>
      <c r="BJ1095" s="117"/>
      <c r="BK1095" s="123"/>
      <c r="BL1095" s="123"/>
      <c r="BM1095" s="123"/>
      <c r="BO1095" s="115"/>
      <c r="BP1095" s="115"/>
      <c r="BQ1095" s="115"/>
      <c r="BR1095" s="115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25"/>
      <c r="CC1095" s="25"/>
      <c r="CF1095" s="114"/>
    </row>
    <row r="1096" spans="1:84" ht="19.5" x14ac:dyDescent="0.4">
      <c r="A1096" s="117"/>
      <c r="B1096" s="123"/>
      <c r="C1096" s="123"/>
      <c r="D1096" s="123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127"/>
      <c r="AT1096" s="29"/>
      <c r="AU1096" s="115"/>
      <c r="AV1096" s="115"/>
      <c r="AW1096" s="115"/>
      <c r="AX1096" s="115"/>
      <c r="AY1096" s="115"/>
      <c r="AZ1096" s="115"/>
      <c r="BA1096" s="115"/>
      <c r="BB1096" s="115"/>
      <c r="BC1096" s="115"/>
      <c r="BD1096" s="25"/>
      <c r="BE1096" s="15"/>
      <c r="BJ1096" s="117"/>
      <c r="BK1096" s="123"/>
      <c r="BL1096" s="123"/>
      <c r="BM1096" s="123"/>
      <c r="BO1096" s="115"/>
      <c r="BP1096" s="115"/>
      <c r="BQ1096" s="115"/>
      <c r="BR1096" s="115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25"/>
      <c r="CC1096" s="25"/>
      <c r="CF1096" s="114"/>
    </row>
    <row r="1097" spans="1:84" ht="19.5" x14ac:dyDescent="0.4">
      <c r="A1097" s="117"/>
      <c r="B1097" s="123"/>
      <c r="C1097" s="123"/>
      <c r="D1097" s="123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115"/>
      <c r="AS1097" s="127"/>
      <c r="AT1097" s="29"/>
      <c r="AU1097" s="115"/>
      <c r="AV1097" s="115"/>
      <c r="AW1097" s="115"/>
      <c r="AX1097" s="115"/>
      <c r="AY1097" s="115"/>
      <c r="AZ1097" s="115"/>
      <c r="BA1097" s="115"/>
      <c r="BB1097" s="115"/>
      <c r="BC1097" s="115"/>
      <c r="BD1097" s="25"/>
      <c r="BE1097" s="15"/>
      <c r="BJ1097" s="117"/>
      <c r="BK1097" s="123"/>
      <c r="BL1097" s="123"/>
      <c r="BM1097" s="123"/>
      <c r="BO1097" s="115"/>
      <c r="BP1097" s="115"/>
      <c r="BQ1097" s="115"/>
      <c r="BR1097" s="115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25"/>
      <c r="CC1097" s="25"/>
      <c r="CF1097" s="114"/>
    </row>
    <row r="1098" spans="1:84" ht="19.5" x14ac:dyDescent="0.4">
      <c r="A1098" s="117"/>
      <c r="B1098" s="123"/>
      <c r="C1098" s="123"/>
      <c r="D1098" s="123"/>
      <c r="AS1098" s="127"/>
      <c r="AT1098" s="29"/>
      <c r="AU1098" s="115"/>
      <c r="AV1098" s="115"/>
      <c r="AW1098" s="115"/>
      <c r="AX1098" s="115"/>
      <c r="AY1098" s="115"/>
      <c r="AZ1098" s="115"/>
      <c r="BA1098" s="115"/>
      <c r="BB1098" s="115"/>
      <c r="BC1098" s="115"/>
      <c r="BD1098" s="25">
        <v>45690</v>
      </c>
      <c r="BE1098" s="15" t="s">
        <v>146</v>
      </c>
      <c r="BJ1098" s="117"/>
      <c r="BK1098" s="123"/>
      <c r="BL1098" s="123"/>
      <c r="BM1098" s="123"/>
      <c r="BO1098" s="115"/>
      <c r="BP1098" s="115"/>
      <c r="BQ1098" s="115"/>
      <c r="BR1098" s="115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25"/>
      <c r="CC1098" s="25"/>
      <c r="CF1098" s="114"/>
    </row>
    <row r="1099" spans="1:84" ht="19.5" x14ac:dyDescent="0.4">
      <c r="A1099" s="117"/>
      <c r="B1099" s="123"/>
      <c r="C1099" s="123"/>
      <c r="D1099" s="123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27"/>
      <c r="AT1099" s="29"/>
      <c r="AU1099" s="115"/>
      <c r="AV1099" s="115"/>
      <c r="AW1099" s="115"/>
      <c r="AX1099" s="115"/>
      <c r="AY1099" s="115"/>
      <c r="AZ1099" s="115"/>
      <c r="BA1099" s="115"/>
      <c r="BB1099" s="115"/>
      <c r="BC1099" s="115"/>
      <c r="BD1099" s="25"/>
      <c r="BE1099" s="15"/>
      <c r="BJ1099" s="117"/>
      <c r="BK1099" s="123"/>
      <c r="BL1099" s="123"/>
      <c r="BM1099" s="123"/>
      <c r="BO1099" s="115"/>
      <c r="BP1099" s="115"/>
      <c r="BQ1099" s="115"/>
      <c r="BR1099" s="115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25"/>
      <c r="CC1099" s="25"/>
      <c r="CF1099" s="114"/>
    </row>
    <row r="1100" spans="1:84" ht="19.5" x14ac:dyDescent="0.4">
      <c r="A1100" s="117"/>
      <c r="B1100" s="123"/>
      <c r="C1100" s="123"/>
      <c r="D1100" s="123"/>
      <c r="AS1100" s="127"/>
      <c r="AT1100" s="29"/>
      <c r="AU1100" s="115"/>
      <c r="AV1100" s="115"/>
      <c r="AW1100" s="115"/>
      <c r="AX1100" s="115"/>
      <c r="AY1100" s="115"/>
      <c r="AZ1100" s="115"/>
      <c r="BA1100" s="115"/>
      <c r="BB1100" s="115"/>
      <c r="BC1100" s="115"/>
      <c r="BD1100" s="25">
        <v>45691</v>
      </c>
      <c r="BE1100" s="15" t="s">
        <v>146</v>
      </c>
      <c r="BJ1100" s="117"/>
      <c r="BK1100" s="123"/>
      <c r="BL1100" s="123"/>
      <c r="BM1100" s="123"/>
      <c r="BO1100" s="115"/>
      <c r="BP1100" s="115"/>
      <c r="BQ1100" s="115"/>
      <c r="BR1100" s="115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25"/>
      <c r="CC1100" s="25"/>
      <c r="CF1100" s="114"/>
    </row>
    <row r="1101" spans="1:84" ht="19.5" x14ac:dyDescent="0.4">
      <c r="A1101" s="117"/>
      <c r="B1101" s="123"/>
      <c r="C1101" s="123"/>
      <c r="D1101" s="123"/>
      <c r="AS1101" s="127"/>
      <c r="AT1101" s="29"/>
      <c r="BD1101" s="25">
        <v>45691</v>
      </c>
      <c r="BE1101" s="15" t="s">
        <v>146</v>
      </c>
      <c r="BJ1101" s="117"/>
      <c r="BK1101" s="123"/>
      <c r="BL1101" s="123"/>
      <c r="BM1101" s="123"/>
      <c r="BO1101" s="115"/>
      <c r="BP1101" s="115"/>
      <c r="BQ1101" s="115"/>
      <c r="BR1101" s="115"/>
      <c r="BS1101" s="115"/>
      <c r="BT1101" s="115"/>
      <c r="BU1101" s="115"/>
      <c r="BV1101" s="115"/>
      <c r="BW1101" s="115"/>
      <c r="BX1101" s="115"/>
      <c r="BY1101" s="115"/>
      <c r="BZ1101" s="115"/>
      <c r="CA1101" s="115" t="s">
        <v>156</v>
      </c>
      <c r="CB1101" s="13">
        <f>SUBTOTAL(3,CB1093:CB1093)</f>
        <v>1</v>
      </c>
      <c r="CC1101" s="13">
        <f>SUBTOTAL(3,CC1093:CC1093)</f>
        <v>1</v>
      </c>
      <c r="CF1101" s="114"/>
    </row>
    <row r="1102" spans="1:84" ht="19.5" x14ac:dyDescent="0.4">
      <c r="A1102" s="117"/>
      <c r="B1102" s="123"/>
      <c r="C1102" s="123"/>
      <c r="D1102" s="123"/>
      <c r="AS1102" s="127"/>
      <c r="AT1102" s="29"/>
      <c r="AZ1102" s="115"/>
      <c r="BA1102" s="115"/>
      <c r="BB1102" s="115"/>
      <c r="BC1102" s="115"/>
      <c r="BD1102" s="25">
        <v>45691</v>
      </c>
      <c r="BE1102" s="15" t="s">
        <v>146</v>
      </c>
      <c r="BJ1102" s="117"/>
      <c r="BK1102" s="123"/>
      <c r="BL1102" s="123"/>
      <c r="BM1102" s="123"/>
      <c r="BO1102" s="115"/>
      <c r="BP1102" s="115"/>
      <c r="BQ1102" s="115"/>
      <c r="BR1102" s="115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3"/>
      <c r="CC1102" s="13"/>
      <c r="CF1102" s="114"/>
    </row>
    <row r="1103" spans="1:84" ht="19.5" x14ac:dyDescent="0.4">
      <c r="A1103" s="117"/>
      <c r="B1103" s="123"/>
      <c r="C1103" s="123"/>
      <c r="D1103" s="123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127"/>
      <c r="AT1103" s="29"/>
      <c r="AZ1103" s="115"/>
      <c r="BA1103" s="115"/>
      <c r="BB1103" s="115"/>
      <c r="BC1103" s="115"/>
      <c r="BD1103" s="25"/>
      <c r="BE1103" s="15"/>
      <c r="BJ1103" s="117"/>
      <c r="BK1103" s="123"/>
      <c r="BL1103" s="123"/>
      <c r="BM1103" s="123"/>
      <c r="BO1103" s="115"/>
      <c r="BP1103" s="115"/>
      <c r="BQ1103" s="115"/>
      <c r="BR1103" s="115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3"/>
      <c r="CC1103" s="13"/>
      <c r="CF1103" s="114"/>
    </row>
    <row r="1104" spans="1:84" ht="19.5" x14ac:dyDescent="0.4">
      <c r="A1104" s="117"/>
      <c r="B1104" s="123"/>
      <c r="C1104" s="123"/>
      <c r="D1104" s="123"/>
      <c r="AS1104" s="127"/>
      <c r="AT1104" s="29"/>
      <c r="AU1104" s="115"/>
      <c r="AV1104" s="115"/>
      <c r="AW1104" s="115"/>
      <c r="AX1104" s="115"/>
      <c r="AY1104" s="115"/>
      <c r="AZ1104" s="115"/>
      <c r="BA1104" s="115"/>
      <c r="BB1104" s="115"/>
      <c r="BC1104" s="115"/>
      <c r="BD1104" s="25">
        <v>45691</v>
      </c>
      <c r="BE1104" s="15" t="s">
        <v>146</v>
      </c>
      <c r="BJ1104" s="117"/>
      <c r="BK1104" s="123"/>
      <c r="BL1104" s="123"/>
      <c r="BM1104" s="123"/>
      <c r="BO1104" s="115"/>
      <c r="BP1104" s="115"/>
      <c r="BQ1104" s="115"/>
      <c r="BR1104" s="115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3"/>
      <c r="CC1104" s="13"/>
      <c r="CF1104" s="114"/>
    </row>
    <row r="1105" spans="1:84" ht="19.5" x14ac:dyDescent="0.4">
      <c r="A1105" s="117"/>
      <c r="B1105" s="123"/>
      <c r="C1105" s="123"/>
      <c r="D1105" s="123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127"/>
      <c r="AT1105" s="29"/>
      <c r="AU1105" s="115"/>
      <c r="AV1105" s="115"/>
      <c r="AW1105" s="115"/>
      <c r="AX1105" s="115"/>
      <c r="AY1105" s="115"/>
      <c r="AZ1105" s="115"/>
      <c r="BA1105" s="115"/>
      <c r="BB1105" s="115"/>
      <c r="BC1105" s="115"/>
      <c r="BD1105" s="25"/>
      <c r="BE1105" s="15"/>
      <c r="BJ1105" s="117"/>
      <c r="BK1105" s="123"/>
      <c r="BL1105" s="123"/>
      <c r="BM1105" s="123"/>
      <c r="BO1105" s="115"/>
      <c r="BP1105" s="115"/>
      <c r="BQ1105" s="115"/>
      <c r="BR1105" s="115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3"/>
      <c r="CC1105" s="13"/>
      <c r="CF1105" s="114"/>
    </row>
    <row r="1106" spans="1:84" ht="19.5" x14ac:dyDescent="0.4">
      <c r="A1106" s="117"/>
      <c r="B1106" s="123"/>
      <c r="C1106" s="123"/>
      <c r="D1106" s="123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127"/>
      <c r="AT1106" s="29"/>
      <c r="AU1106" s="115"/>
      <c r="AV1106" s="115"/>
      <c r="AW1106" s="115"/>
      <c r="AX1106" s="115"/>
      <c r="AY1106" s="115"/>
      <c r="AZ1106" s="115"/>
      <c r="BA1106" s="115"/>
      <c r="BB1106" s="115"/>
      <c r="BC1106" s="115"/>
      <c r="BD1106" s="25"/>
      <c r="BE1106" s="15"/>
      <c r="BJ1106" s="117"/>
      <c r="BK1106" s="123"/>
      <c r="BL1106" s="123"/>
      <c r="BM1106" s="123"/>
      <c r="BO1106" s="115"/>
      <c r="BP1106" s="115"/>
      <c r="BQ1106" s="115"/>
      <c r="BR1106" s="115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3"/>
      <c r="CC1106" s="13"/>
      <c r="CF1106" s="114"/>
    </row>
    <row r="1107" spans="1:84" ht="19.5" x14ac:dyDescent="0.4">
      <c r="A1107" s="117"/>
      <c r="B1107" s="123"/>
      <c r="C1107" s="123"/>
      <c r="D1107" s="123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127"/>
      <c r="AT1107" s="29"/>
      <c r="AU1107" s="115"/>
      <c r="AV1107" s="115"/>
      <c r="AW1107" s="115"/>
      <c r="AX1107" s="115"/>
      <c r="AY1107" s="115"/>
      <c r="AZ1107" s="115"/>
      <c r="BA1107" s="115"/>
      <c r="BB1107" s="115"/>
      <c r="BC1107" s="115"/>
      <c r="BD1107" s="25"/>
      <c r="BE1107" s="15"/>
      <c r="BJ1107" s="117"/>
      <c r="BK1107" s="123"/>
      <c r="BL1107" s="123"/>
      <c r="BM1107" s="123"/>
      <c r="BO1107" s="115"/>
      <c r="BP1107" s="115"/>
      <c r="BQ1107" s="115"/>
      <c r="BR1107" s="115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3"/>
      <c r="CC1107" s="13"/>
      <c r="CF1107" s="114"/>
    </row>
    <row r="1108" spans="1:84" ht="19.5" x14ac:dyDescent="0.4">
      <c r="A1108" s="117"/>
      <c r="B1108" s="123"/>
      <c r="C1108" s="123"/>
      <c r="D1108" s="123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128"/>
      <c r="AT1108" s="29"/>
      <c r="AU1108" s="115"/>
      <c r="AV1108" s="115"/>
      <c r="AW1108" s="115"/>
      <c r="AX1108" s="115"/>
      <c r="AY1108" s="115"/>
      <c r="AZ1108" s="115"/>
      <c r="BA1108" s="115"/>
      <c r="BB1108" s="115"/>
      <c r="BC1108" s="115"/>
      <c r="BD1108" s="25"/>
      <c r="BE1108" s="15"/>
      <c r="BJ1108" s="117"/>
      <c r="BK1108" s="123"/>
      <c r="BL1108" s="123"/>
      <c r="BM1108" s="123"/>
      <c r="BO1108" s="115"/>
      <c r="BP1108" s="115"/>
      <c r="BQ1108" s="115"/>
      <c r="BR1108" s="115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3"/>
      <c r="CC1108" s="13"/>
      <c r="CF1108" s="114"/>
    </row>
    <row r="1109" spans="1:84" ht="19.5" x14ac:dyDescent="0.4">
      <c r="A1109" s="117"/>
      <c r="B1109" s="123"/>
      <c r="C1109" s="123"/>
      <c r="D1109" s="123"/>
      <c r="AS1109" s="127"/>
      <c r="AT1109" s="29"/>
      <c r="AU1109" s="115"/>
      <c r="AV1109" s="115"/>
      <c r="AW1109" s="115"/>
      <c r="AX1109" s="115"/>
      <c r="AY1109" s="115"/>
      <c r="AZ1109" s="115"/>
      <c r="BA1109" s="115"/>
      <c r="BB1109" s="115"/>
      <c r="BC1109" s="115"/>
      <c r="BD1109" s="25">
        <v>45692</v>
      </c>
      <c r="BE1109" s="15" t="s">
        <v>146</v>
      </c>
      <c r="BJ1109" s="117"/>
      <c r="BK1109" s="123"/>
      <c r="BL1109" s="123"/>
      <c r="BM1109" s="123"/>
      <c r="BO1109" s="115"/>
      <c r="BP1109" s="115"/>
      <c r="BQ1109" s="115"/>
      <c r="BR1109" s="115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3"/>
      <c r="CC1109" s="13"/>
      <c r="CF1109" s="114"/>
    </row>
    <row r="1110" spans="1:84" ht="19.5" x14ac:dyDescent="0.4">
      <c r="A1110" s="117"/>
      <c r="B1110" s="123"/>
      <c r="C1110" s="123"/>
      <c r="D1110" s="123"/>
      <c r="AS1110" s="128"/>
      <c r="AT1110" s="29"/>
      <c r="AU1110" s="115"/>
      <c r="AV1110" s="115"/>
      <c r="AW1110" s="115"/>
      <c r="AX1110" s="115"/>
      <c r="AY1110" s="115"/>
      <c r="AZ1110" s="115"/>
      <c r="BA1110" s="115"/>
      <c r="BB1110" s="115"/>
      <c r="BC1110" s="115"/>
      <c r="BD1110" s="25"/>
      <c r="BE1110" s="15"/>
      <c r="BJ1110" s="117"/>
      <c r="BK1110" s="123"/>
      <c r="BL1110" s="123"/>
      <c r="BM1110" s="123"/>
      <c r="BO1110" s="115"/>
      <c r="BP1110" s="115"/>
      <c r="BQ1110" s="115"/>
      <c r="BR1110" s="115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3"/>
      <c r="CC1110" s="13"/>
      <c r="CF1110" s="114"/>
    </row>
    <row r="1111" spans="1:84" ht="19.5" x14ac:dyDescent="0.4">
      <c r="A1111" s="117"/>
      <c r="B1111" s="123"/>
      <c r="C1111" s="123"/>
      <c r="D1111" s="123"/>
      <c r="AS1111" s="127"/>
      <c r="AT1111" s="29"/>
      <c r="BD1111" s="25">
        <v>45692</v>
      </c>
      <c r="BE1111" s="15" t="s">
        <v>146</v>
      </c>
      <c r="BJ1111" s="117"/>
      <c r="BK1111" s="123"/>
      <c r="BL1111" s="123"/>
      <c r="BM1111" s="123"/>
      <c r="BO1111" s="115"/>
      <c r="BP1111" s="115"/>
      <c r="BQ1111" s="115"/>
      <c r="BR1111" s="115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25">
        <v>45267</v>
      </c>
      <c r="CC1111" s="13" t="s">
        <v>142</v>
      </c>
      <c r="CF1111" s="114"/>
    </row>
    <row r="1112" spans="1:84" ht="19.5" x14ac:dyDescent="0.4">
      <c r="A1112" s="117"/>
      <c r="B1112" s="123"/>
      <c r="C1112" s="123"/>
      <c r="D1112" s="123"/>
      <c r="AS1112" s="127"/>
      <c r="AT1112" s="29"/>
      <c r="AZ1112" s="115"/>
      <c r="BA1112" s="115"/>
      <c r="BB1112" s="115"/>
      <c r="BC1112" s="115"/>
      <c r="BD1112" s="25">
        <v>45692</v>
      </c>
      <c r="BE1112" s="15" t="s">
        <v>146</v>
      </c>
      <c r="BJ1112" s="117"/>
      <c r="BK1112" s="123"/>
      <c r="BL1112" s="123"/>
      <c r="BM1112" s="123"/>
      <c r="BO1112" s="115"/>
      <c r="BP1112" s="115"/>
      <c r="BQ1112" s="115"/>
      <c r="BR1112" s="115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25"/>
      <c r="CC1112" s="13"/>
      <c r="CF1112" s="114"/>
    </row>
    <row r="1113" spans="1:84" ht="19.5" x14ac:dyDescent="0.4">
      <c r="A1113" s="117"/>
      <c r="B1113" s="123"/>
      <c r="C1113" s="123"/>
      <c r="D1113" s="123"/>
      <c r="AS1113" s="127"/>
      <c r="AT1113" s="29"/>
      <c r="AV1113" s="115"/>
      <c r="AW1113" s="115"/>
      <c r="AX1113" s="115"/>
      <c r="AY1113" s="115"/>
      <c r="AZ1113" s="115"/>
      <c r="BA1113" s="115"/>
      <c r="BB1113" s="115"/>
      <c r="BC1113" s="115"/>
      <c r="BD1113" s="25">
        <v>45692</v>
      </c>
      <c r="BE1113" s="15" t="s">
        <v>146</v>
      </c>
      <c r="BJ1113" s="117"/>
      <c r="BK1113" s="123"/>
      <c r="BL1113" s="123"/>
      <c r="BM1113" s="123"/>
      <c r="BO1113" s="115"/>
      <c r="BP1113" s="115"/>
      <c r="BQ1113" s="115"/>
      <c r="BR1113" s="115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25"/>
      <c r="CC1113" s="13"/>
      <c r="CF1113" s="114"/>
    </row>
    <row r="1114" spans="1:84" ht="19.5" x14ac:dyDescent="0.4">
      <c r="A1114" s="117"/>
      <c r="B1114" s="123"/>
      <c r="C1114" s="123"/>
      <c r="D1114" s="123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27"/>
      <c r="AT1114" s="29"/>
      <c r="AV1114" s="115"/>
      <c r="AW1114" s="115"/>
      <c r="AX1114" s="115"/>
      <c r="AY1114" s="115"/>
      <c r="AZ1114" s="115"/>
      <c r="BA1114" s="115"/>
      <c r="BB1114" s="115"/>
      <c r="BC1114" s="115"/>
      <c r="BD1114" s="25"/>
      <c r="BE1114" s="15"/>
      <c r="BJ1114" s="117"/>
      <c r="BK1114" s="123"/>
      <c r="BL1114" s="123"/>
      <c r="BM1114" s="123"/>
      <c r="BO1114" s="115"/>
      <c r="BP1114" s="115"/>
      <c r="BQ1114" s="115"/>
      <c r="BR1114" s="115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25"/>
      <c r="CC1114" s="13"/>
      <c r="CF1114" s="114"/>
    </row>
    <row r="1115" spans="1:84" ht="19.5" x14ac:dyDescent="0.4">
      <c r="A1115" s="117"/>
      <c r="B1115" s="123"/>
      <c r="C1115" s="123"/>
      <c r="D1115" s="123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28"/>
      <c r="AT1115" s="29"/>
      <c r="AV1115" s="115"/>
      <c r="AW1115" s="115"/>
      <c r="AX1115" s="115"/>
      <c r="AY1115" s="115"/>
      <c r="AZ1115" s="115"/>
      <c r="BA1115" s="115"/>
      <c r="BB1115" s="115"/>
      <c r="BC1115" s="115"/>
      <c r="BD1115" s="25"/>
      <c r="BE1115" s="15"/>
      <c r="BJ1115" s="117"/>
      <c r="BK1115" s="123"/>
      <c r="BL1115" s="123"/>
      <c r="BM1115" s="123"/>
      <c r="BO1115" s="115"/>
      <c r="BP1115" s="115"/>
      <c r="BQ1115" s="115"/>
      <c r="BR1115" s="115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25"/>
      <c r="CC1115" s="13"/>
      <c r="CF1115" s="114"/>
    </row>
    <row r="1116" spans="1:84" ht="19.5" x14ac:dyDescent="0.4">
      <c r="A1116" s="117"/>
      <c r="B1116" s="123"/>
      <c r="C1116" s="123"/>
      <c r="D1116" s="123"/>
      <c r="AS1116" s="127"/>
      <c r="AT1116" s="29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25">
        <v>45693</v>
      </c>
      <c r="BE1116" s="15" t="s">
        <v>146</v>
      </c>
      <c r="BJ1116" s="117"/>
      <c r="BK1116" s="123"/>
      <c r="BL1116" s="123"/>
      <c r="BM1116" s="123"/>
      <c r="BO1116" s="115"/>
      <c r="BP1116" s="115"/>
      <c r="BQ1116" s="115"/>
      <c r="BR1116" s="115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25"/>
      <c r="CC1116" s="13"/>
      <c r="CF1116" s="114"/>
    </row>
    <row r="1117" spans="1:84" ht="19.5" x14ac:dyDescent="0.4">
      <c r="A1117" s="117"/>
      <c r="B1117" s="123"/>
      <c r="C1117" s="123"/>
      <c r="D1117" s="123"/>
      <c r="AS1117" s="128"/>
      <c r="AT1117" s="29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25"/>
      <c r="BE1117" s="15"/>
      <c r="BJ1117" s="117"/>
      <c r="BK1117" s="123"/>
      <c r="BL1117" s="123"/>
      <c r="BM1117" s="123"/>
      <c r="BO1117" s="115"/>
      <c r="BP1117" s="115"/>
      <c r="BQ1117" s="115"/>
      <c r="BR1117" s="115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25"/>
      <c r="CC1117" s="13"/>
      <c r="CF1117" s="114"/>
    </row>
    <row r="1118" spans="1:84" ht="19.5" x14ac:dyDescent="0.4">
      <c r="A1118" s="117"/>
      <c r="B1118" s="123"/>
      <c r="C1118" s="123"/>
      <c r="D1118" s="123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27"/>
      <c r="AT1118" s="29"/>
      <c r="AU1118" s="115"/>
      <c r="AV1118" s="115"/>
      <c r="AW1118" s="115"/>
      <c r="AX1118" s="115"/>
      <c r="AY1118" s="115"/>
      <c r="AZ1118" s="115"/>
      <c r="BA1118" s="115"/>
      <c r="BB1118" s="115"/>
      <c r="BC1118" s="115"/>
      <c r="BD1118" s="25"/>
      <c r="BE1118" s="15"/>
      <c r="BJ1118" s="117"/>
      <c r="BK1118" s="123"/>
      <c r="BL1118" s="123"/>
      <c r="BM1118" s="123"/>
      <c r="BO1118" s="115"/>
      <c r="BP1118" s="115"/>
      <c r="BQ1118" s="115"/>
      <c r="BR1118" s="115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25"/>
      <c r="CC1118" s="13"/>
      <c r="CF1118" s="114"/>
    </row>
    <row r="1119" spans="1:84" ht="19.5" x14ac:dyDescent="0.4">
      <c r="A1119" s="117"/>
      <c r="B1119" s="123"/>
      <c r="C1119" s="123"/>
      <c r="D1119" s="123"/>
      <c r="AS1119" s="127"/>
      <c r="AT1119" s="29"/>
      <c r="BD1119" s="25">
        <v>45693</v>
      </c>
      <c r="BE1119" s="15" t="s">
        <v>146</v>
      </c>
      <c r="BJ1119" s="117"/>
      <c r="BK1119" s="123"/>
      <c r="BL1119" s="123"/>
      <c r="BM1119" s="123"/>
      <c r="BO1119" s="115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 t="s">
        <v>157</v>
      </c>
      <c r="CB1119" s="13">
        <f>SUBTOTAL(3,CB1111:CB1111)</f>
        <v>1</v>
      </c>
      <c r="CC1119" s="13">
        <f>SUBTOTAL(3,CC1111:CC1111)</f>
        <v>1</v>
      </c>
      <c r="CF1119" s="114"/>
    </row>
    <row r="1120" spans="1:84" ht="19.5" x14ac:dyDescent="0.4">
      <c r="A1120" s="117"/>
      <c r="B1120" s="123"/>
      <c r="C1120" s="123"/>
      <c r="D1120" s="123"/>
      <c r="AS1120" s="127"/>
      <c r="AT1120" s="29"/>
      <c r="AV1120" s="115"/>
      <c r="AW1120" s="115"/>
      <c r="AX1120" s="115"/>
      <c r="AY1120" s="115"/>
      <c r="AZ1120" s="115"/>
      <c r="BA1120" s="115"/>
      <c r="BB1120" s="115"/>
      <c r="BC1120" s="115"/>
      <c r="BD1120" s="25">
        <v>45693</v>
      </c>
      <c r="BE1120" s="15" t="s">
        <v>146</v>
      </c>
      <c r="BJ1120" s="117"/>
      <c r="BK1120" s="123"/>
      <c r="BL1120" s="123"/>
      <c r="BM1120" s="123"/>
      <c r="BO1120" s="115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3"/>
      <c r="CC1120" s="13"/>
      <c r="CF1120" s="114"/>
    </row>
    <row r="1121" spans="1:84" ht="19.5" x14ac:dyDescent="0.4">
      <c r="A1121" s="117"/>
      <c r="B1121" s="123"/>
      <c r="C1121" s="123"/>
      <c r="D1121" s="123"/>
      <c r="AS1121" s="128"/>
      <c r="AT1121" s="29"/>
      <c r="AV1121" s="115"/>
      <c r="AW1121" s="115"/>
      <c r="AX1121" s="115"/>
      <c r="AY1121" s="115"/>
      <c r="AZ1121" s="115"/>
      <c r="BA1121" s="115"/>
      <c r="BB1121" s="115"/>
      <c r="BC1121" s="115"/>
      <c r="BD1121" s="25"/>
      <c r="BE1121" s="15"/>
      <c r="BJ1121" s="117"/>
      <c r="BK1121" s="123"/>
      <c r="BL1121" s="123"/>
      <c r="BM1121" s="123"/>
      <c r="BO1121" s="115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3"/>
      <c r="CC1121" s="13"/>
      <c r="CF1121" s="114"/>
    </row>
    <row r="1122" spans="1:84" ht="19.5" x14ac:dyDescent="0.4">
      <c r="A1122" s="117"/>
      <c r="B1122" s="123"/>
      <c r="C1122" s="123"/>
      <c r="D1122" s="123"/>
      <c r="AS1122" s="128"/>
      <c r="AT1122" s="29"/>
      <c r="AV1122" s="115"/>
      <c r="AW1122" s="115"/>
      <c r="AX1122" s="115"/>
      <c r="AY1122" s="115"/>
      <c r="AZ1122" s="115"/>
      <c r="BA1122" s="115"/>
      <c r="BB1122" s="115"/>
      <c r="BC1122" s="115"/>
      <c r="BD1122" s="25"/>
      <c r="BE1122" s="15"/>
      <c r="BJ1122" s="117"/>
      <c r="BK1122" s="123"/>
      <c r="BL1122" s="123"/>
      <c r="BM1122" s="123"/>
      <c r="BO1122" s="115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3"/>
      <c r="CC1122" s="13"/>
      <c r="CF1122" s="114"/>
    </row>
    <row r="1123" spans="1:84" ht="19.5" x14ac:dyDescent="0.4">
      <c r="A1123" s="117"/>
      <c r="B1123" s="123"/>
      <c r="C1123" s="123"/>
      <c r="D1123" s="123"/>
      <c r="AS1123" s="127"/>
      <c r="AT1123" s="29"/>
      <c r="AV1123" s="115"/>
      <c r="AW1123" s="115"/>
      <c r="AX1123" s="115"/>
      <c r="AY1123" s="115"/>
      <c r="AZ1123" s="115"/>
      <c r="BA1123" s="115"/>
      <c r="BB1123" s="115"/>
      <c r="BC1123" s="115"/>
      <c r="BD1123" s="25">
        <v>45694</v>
      </c>
      <c r="BE1123" s="15" t="s">
        <v>147</v>
      </c>
      <c r="BJ1123" s="117"/>
      <c r="BK1123" s="123"/>
      <c r="BL1123" s="123"/>
      <c r="BM1123" s="123"/>
      <c r="BO1123" s="115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3"/>
      <c r="CC1123" s="13"/>
      <c r="CF1123" s="114"/>
    </row>
    <row r="1124" spans="1:84" ht="19.5" x14ac:dyDescent="0.4">
      <c r="A1124" s="117"/>
      <c r="B1124" s="123"/>
      <c r="C1124" s="123"/>
      <c r="D1124" s="123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29"/>
      <c r="AT1124" s="29"/>
      <c r="AV1124" s="115"/>
      <c r="AW1124" s="115"/>
      <c r="AX1124" s="115"/>
      <c r="AY1124" s="115"/>
      <c r="AZ1124" s="115"/>
      <c r="BA1124" s="115"/>
      <c r="BB1124" s="115"/>
      <c r="BC1124" s="115"/>
      <c r="BD1124" s="25"/>
      <c r="BE1124" s="15"/>
      <c r="BJ1124" s="117"/>
      <c r="BK1124" s="123"/>
      <c r="BL1124" s="123"/>
      <c r="BM1124" s="123"/>
      <c r="BO1124" s="115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3"/>
      <c r="CC1124" s="13"/>
      <c r="CF1124" s="114"/>
    </row>
    <row r="1125" spans="1:84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29"/>
      <c r="AT1125" s="29"/>
      <c r="AV1125" s="115"/>
      <c r="AW1125" s="115"/>
      <c r="AX1125" s="115"/>
      <c r="AY1125" s="115"/>
      <c r="AZ1125" s="115"/>
      <c r="BA1125" s="115"/>
      <c r="BB1125" s="115"/>
      <c r="BC1125" s="115"/>
      <c r="BD1125" s="25"/>
      <c r="BE1125" s="15"/>
      <c r="BJ1125" s="117"/>
      <c r="BK1125" s="123"/>
      <c r="BL1125" s="123"/>
      <c r="BM1125" s="123"/>
      <c r="BO1125" s="115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3"/>
      <c r="CC1125" s="13"/>
      <c r="CF1125" s="114"/>
    </row>
    <row r="1126" spans="1:84" ht="19.5" x14ac:dyDescent="0.4">
      <c r="A1126" s="117"/>
      <c r="B1126" s="123"/>
      <c r="C1126" s="123"/>
      <c r="D1126" s="123"/>
      <c r="AS1126" s="127"/>
      <c r="AT1126" s="29"/>
      <c r="AV1126" s="115"/>
      <c r="AW1126" s="115"/>
      <c r="AX1126" s="115"/>
      <c r="AY1126" s="115"/>
      <c r="AZ1126" s="115"/>
      <c r="BA1126" s="115"/>
      <c r="BB1126" s="115"/>
      <c r="BC1126" s="115"/>
      <c r="BD1126" s="25">
        <v>45694</v>
      </c>
      <c r="BE1126" s="105" t="s">
        <v>147</v>
      </c>
      <c r="BJ1126" s="117"/>
      <c r="BK1126" s="123"/>
      <c r="BL1126" s="123"/>
      <c r="BM1126" s="123"/>
      <c r="BO1126" s="115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3"/>
      <c r="CC1126" s="13"/>
      <c r="CF1126" s="114"/>
    </row>
    <row r="1127" spans="1:84" ht="19.5" x14ac:dyDescent="0.4">
      <c r="A1127" s="117"/>
      <c r="B1127" s="123"/>
      <c r="C1127" s="123"/>
      <c r="D1127" s="123"/>
      <c r="AS1127" s="127"/>
      <c r="AT1127" s="29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25">
        <v>45694</v>
      </c>
      <c r="BE1127" s="15" t="s">
        <v>147</v>
      </c>
      <c r="BJ1127" s="117"/>
      <c r="BK1127" s="123"/>
      <c r="BL1127" s="123"/>
      <c r="BM1127" s="123"/>
      <c r="BO1127" s="115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3"/>
      <c r="CC1127" s="13"/>
      <c r="CF1127" s="114"/>
    </row>
    <row r="1128" spans="1:84" ht="19.5" x14ac:dyDescent="0.4">
      <c r="A1128" s="117"/>
      <c r="B1128" s="123"/>
      <c r="C1128" s="123"/>
      <c r="D1128" s="123"/>
      <c r="AS1128" s="127"/>
      <c r="AT1128" s="29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26">
        <v>45694</v>
      </c>
      <c r="BE1128" s="15" t="s">
        <v>148</v>
      </c>
      <c r="BJ1128" s="117"/>
      <c r="BK1128" s="123"/>
      <c r="BL1128" s="123"/>
      <c r="BM1128" s="123"/>
      <c r="BO1128" s="115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3"/>
      <c r="CC1128" s="13"/>
      <c r="CF1128" s="114"/>
    </row>
    <row r="1129" spans="1:84" ht="19.5" x14ac:dyDescent="0.4">
      <c r="A1129" s="117"/>
      <c r="B1129" s="123"/>
      <c r="C1129" s="123"/>
      <c r="D1129" s="123"/>
      <c r="AS1129" s="127"/>
      <c r="AT1129" s="29"/>
      <c r="BD1129" s="26">
        <v>45694</v>
      </c>
      <c r="BE1129" s="13" t="s">
        <v>147</v>
      </c>
      <c r="BJ1129" s="117"/>
      <c r="BK1129" s="123"/>
      <c r="BL1129" s="123"/>
      <c r="BM1129" s="123"/>
      <c r="BO1129" s="115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25">
        <v>45268</v>
      </c>
      <c r="CC1129" s="13" t="s">
        <v>162</v>
      </c>
      <c r="CF1129" s="114"/>
    </row>
    <row r="1130" spans="1:84" ht="19.5" x14ac:dyDescent="0.4">
      <c r="A1130" s="117"/>
      <c r="B1130" s="123"/>
      <c r="C1130" s="123"/>
      <c r="D1130" s="123"/>
      <c r="AS1130" s="127"/>
      <c r="AT1130" s="29"/>
      <c r="AV1130" s="115"/>
      <c r="AW1130" s="115"/>
      <c r="AX1130" s="115"/>
      <c r="AY1130" s="115"/>
      <c r="AZ1130" s="115"/>
      <c r="BA1130" s="115"/>
      <c r="BB1130" s="115"/>
      <c r="BC1130" s="115"/>
      <c r="BD1130" s="26">
        <v>45694</v>
      </c>
      <c r="BE1130" s="13" t="s">
        <v>147</v>
      </c>
      <c r="BJ1130" s="117"/>
      <c r="BK1130" s="123"/>
      <c r="BL1130" s="123"/>
      <c r="BM1130" s="123"/>
      <c r="BO1130" s="115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25"/>
      <c r="CC1130" s="13"/>
      <c r="CF1130" s="114"/>
    </row>
    <row r="1131" spans="1:84" ht="19.5" x14ac:dyDescent="0.4">
      <c r="A1131" s="117"/>
      <c r="B1131" s="123"/>
      <c r="C1131" s="123"/>
      <c r="D1131" s="123"/>
      <c r="AS1131" s="127"/>
      <c r="AT1131" s="29"/>
      <c r="BD1131" s="26">
        <v>45694</v>
      </c>
      <c r="BE1131" s="13" t="s">
        <v>147</v>
      </c>
      <c r="BJ1131" s="117"/>
      <c r="BK1131" s="123"/>
      <c r="BL1131" s="123"/>
      <c r="BM1131" s="123"/>
      <c r="BO1131" s="115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25">
        <v>45268</v>
      </c>
      <c r="CC1131" s="13" t="s">
        <v>162</v>
      </c>
      <c r="CF1131" s="114"/>
    </row>
    <row r="1132" spans="1:84" ht="19.5" x14ac:dyDescent="0.4">
      <c r="A1132" s="117"/>
      <c r="B1132" s="123"/>
      <c r="C1132" s="123"/>
      <c r="D1132" s="123"/>
      <c r="AS1132" s="127"/>
      <c r="AT1132" s="29"/>
      <c r="BA1132" s="115"/>
      <c r="BB1132" s="115"/>
      <c r="BC1132" s="115"/>
      <c r="BD1132" s="26">
        <v>45696</v>
      </c>
      <c r="BE1132" s="13" t="s">
        <v>147</v>
      </c>
      <c r="BJ1132" s="117"/>
      <c r="BK1132" s="123"/>
      <c r="BL1132" s="123"/>
      <c r="BM1132" s="123"/>
      <c r="BO1132" s="115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25"/>
      <c r="CC1132" s="13"/>
      <c r="CF1132" s="114"/>
    </row>
    <row r="1133" spans="1:84" ht="19.5" x14ac:dyDescent="0.4">
      <c r="A1133" s="117"/>
      <c r="B1133" s="123"/>
      <c r="C1133" s="123"/>
      <c r="D1133" s="123"/>
      <c r="AS1133" s="127"/>
      <c r="AT1133" s="29"/>
      <c r="BD1133" s="26">
        <v>45698</v>
      </c>
      <c r="BE1133" s="13" t="s">
        <v>147</v>
      </c>
      <c r="BJ1133" s="117"/>
      <c r="BK1133" s="123"/>
      <c r="BL1133" s="123"/>
      <c r="BM1133" s="123"/>
      <c r="BO1133" s="115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25">
        <v>45268</v>
      </c>
      <c r="CC1133" s="13" t="s">
        <v>163</v>
      </c>
      <c r="CF1133" s="114"/>
    </row>
    <row r="1134" spans="1:84" ht="19.5" x14ac:dyDescent="0.4">
      <c r="A1134" s="117"/>
      <c r="B1134" s="123"/>
      <c r="C1134" s="123"/>
      <c r="D1134" s="123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29"/>
      <c r="AT1134" s="29"/>
      <c r="BD1134" s="26"/>
      <c r="BE1134" s="13"/>
      <c r="BJ1134" s="117"/>
      <c r="BK1134" s="123"/>
      <c r="BL1134" s="123"/>
      <c r="BM1134" s="123"/>
      <c r="BO1134" s="115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25"/>
      <c r="CC1134" s="13"/>
      <c r="CF1134" s="114"/>
    </row>
    <row r="1135" spans="1:84" ht="19.5" x14ac:dyDescent="0.4">
      <c r="A1135" s="117"/>
      <c r="B1135" s="123"/>
      <c r="C1135" s="123"/>
      <c r="D1135" s="123"/>
      <c r="AS1135" s="127"/>
      <c r="AT1135" s="29"/>
      <c r="BA1135" s="115"/>
      <c r="BB1135" s="115"/>
      <c r="BC1135" s="115"/>
      <c r="BD1135" s="26">
        <v>45698</v>
      </c>
      <c r="BE1135" s="13" t="s">
        <v>147</v>
      </c>
      <c r="BJ1135" s="117"/>
      <c r="BK1135" s="123"/>
      <c r="BL1135" s="123"/>
      <c r="BM1135" s="123"/>
      <c r="BO1135" s="115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25"/>
      <c r="CC1135" s="13"/>
      <c r="CF1135" s="114"/>
    </row>
    <row r="1136" spans="1:84" ht="19.5" x14ac:dyDescent="0.4">
      <c r="A1136" s="117"/>
      <c r="B1136" s="123"/>
      <c r="C1136" s="123"/>
      <c r="D1136" s="123"/>
      <c r="AS1136" s="127"/>
      <c r="AT1136" s="29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26">
        <v>45699</v>
      </c>
      <c r="BE1136" s="13" t="s">
        <v>148</v>
      </c>
      <c r="BJ1136" s="117"/>
      <c r="BK1136" s="123"/>
      <c r="BL1136" s="123"/>
      <c r="BM1136" s="123"/>
      <c r="BO1136" s="115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25"/>
      <c r="CC1136" s="13"/>
      <c r="CF1136" s="114"/>
    </row>
    <row r="1137" spans="1:84" ht="19.5" x14ac:dyDescent="0.4">
      <c r="A1137" s="117"/>
      <c r="B1137" s="123"/>
      <c r="C1137" s="123"/>
      <c r="D1137" s="123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29"/>
      <c r="AT1137" s="29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26"/>
      <c r="BE1137" s="13"/>
      <c r="BJ1137" s="117"/>
      <c r="BK1137" s="123"/>
      <c r="BL1137" s="123"/>
      <c r="BM1137" s="123"/>
      <c r="BO1137" s="115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25"/>
      <c r="CC1137" s="13"/>
      <c r="CF1137" s="114"/>
    </row>
    <row r="1138" spans="1:84" ht="19.5" x14ac:dyDescent="0.4">
      <c r="A1138" s="117"/>
      <c r="B1138" s="123"/>
      <c r="C1138" s="123"/>
      <c r="D1138" s="123"/>
      <c r="AS1138" s="127"/>
      <c r="AT1138" s="29"/>
      <c r="BD1138" s="26">
        <v>45699</v>
      </c>
      <c r="BE1138" s="13" t="s">
        <v>148</v>
      </c>
      <c r="BJ1138" s="117"/>
      <c r="BK1138" s="123"/>
      <c r="BL1138" s="123"/>
      <c r="BM1138" s="123"/>
      <c r="BN1138" s="115"/>
      <c r="BO1138" s="115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25">
        <v>45268</v>
      </c>
      <c r="CC1138" s="13" t="s">
        <v>163</v>
      </c>
      <c r="CF1138" s="114"/>
    </row>
    <row r="1139" spans="1:84" ht="19.5" x14ac:dyDescent="0.4">
      <c r="A1139" s="117"/>
      <c r="B1139" s="123"/>
      <c r="C1139" s="123"/>
      <c r="D1139" s="123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29"/>
      <c r="AT1139" s="29"/>
      <c r="BD1139" s="26"/>
      <c r="BE1139" s="13"/>
      <c r="BJ1139" s="117"/>
      <c r="BK1139" s="123"/>
      <c r="BL1139" s="123"/>
      <c r="BM1139" s="123"/>
      <c r="BN1139" s="115"/>
      <c r="BO1139" s="115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25"/>
      <c r="CC1139" s="13"/>
      <c r="CF1139" s="114"/>
    </row>
    <row r="1140" spans="1:84" ht="19.5" x14ac:dyDescent="0.4">
      <c r="A1140" s="117"/>
      <c r="B1140" s="123"/>
      <c r="C1140" s="123"/>
      <c r="D1140" s="123"/>
      <c r="AS1140" s="127"/>
      <c r="AT1140" s="29"/>
      <c r="AW1140" s="115"/>
      <c r="AX1140" s="115"/>
      <c r="AY1140" s="115"/>
      <c r="AZ1140" s="115"/>
      <c r="BA1140" s="115"/>
      <c r="BB1140" s="115"/>
      <c r="BC1140" s="115"/>
      <c r="BD1140" s="26">
        <v>45699</v>
      </c>
      <c r="BE1140" s="13" t="s">
        <v>148</v>
      </c>
      <c r="BJ1140" s="117"/>
      <c r="BK1140" s="123"/>
      <c r="BL1140" s="123"/>
      <c r="BM1140" s="123"/>
      <c r="BN1140" s="115"/>
      <c r="BO1140" s="115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25"/>
      <c r="CC1140" s="13"/>
      <c r="CF1140" s="114"/>
    </row>
    <row r="1141" spans="1:84" ht="19.5" x14ac:dyDescent="0.4">
      <c r="A1141" s="117"/>
      <c r="B1141" s="123"/>
      <c r="C1141" s="123"/>
      <c r="D1141" s="123"/>
      <c r="AS1141" s="127"/>
      <c r="AT1141" s="29"/>
      <c r="AW1141" s="115"/>
      <c r="AX1141" s="115"/>
      <c r="AY1141" s="115"/>
      <c r="AZ1141" s="115"/>
      <c r="BA1141" s="115"/>
      <c r="BB1141" s="115"/>
      <c r="BC1141" s="115"/>
      <c r="BD1141" s="26">
        <v>45699</v>
      </c>
      <c r="BE1141" s="13" t="s">
        <v>148</v>
      </c>
      <c r="BJ1141" s="117"/>
      <c r="BK1141" s="123"/>
      <c r="BL1141" s="123"/>
      <c r="BM1141" s="123"/>
      <c r="BN1141" s="115"/>
      <c r="BO1141" s="115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25"/>
      <c r="CC1141" s="13"/>
      <c r="CF1141" s="114"/>
    </row>
    <row r="1142" spans="1:84" ht="19.5" x14ac:dyDescent="0.4">
      <c r="A1142" s="117"/>
      <c r="B1142" s="123"/>
      <c r="C1142" s="123"/>
      <c r="D1142" s="123"/>
      <c r="AS1142" s="127"/>
      <c r="AT1142" s="29"/>
      <c r="AW1142" s="115"/>
      <c r="AX1142" s="115"/>
      <c r="AY1142" s="115"/>
      <c r="AZ1142" s="115"/>
      <c r="BA1142" s="115"/>
      <c r="BB1142" s="115"/>
      <c r="BC1142" s="115"/>
      <c r="BD1142" s="26">
        <v>45699</v>
      </c>
      <c r="BE1142" s="13" t="s">
        <v>148</v>
      </c>
      <c r="BJ1142" s="117"/>
      <c r="BK1142" s="123"/>
      <c r="BL1142" s="123"/>
      <c r="BM1142" s="123"/>
      <c r="BN1142" s="115"/>
      <c r="BO1142" s="115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25"/>
      <c r="CC1142" s="13"/>
      <c r="CF1142" s="114"/>
    </row>
    <row r="1143" spans="1:84" ht="19.5" x14ac:dyDescent="0.4">
      <c r="A1143" s="117"/>
      <c r="B1143" s="123"/>
      <c r="C1143" s="123"/>
      <c r="D1143" s="123"/>
      <c r="AS1143" s="127"/>
      <c r="AT1143" s="29"/>
      <c r="BD1143" s="26">
        <v>45699</v>
      </c>
      <c r="BE1143" s="13" t="s">
        <v>148</v>
      </c>
      <c r="BJ1143" s="117"/>
      <c r="BK1143" s="123"/>
      <c r="BL1143" s="123"/>
      <c r="BM1143" s="123"/>
      <c r="BN1143" s="115"/>
      <c r="BO1143" s="115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 t="s">
        <v>158</v>
      </c>
      <c r="CB1143" s="13">
        <f>SUBTOTAL(3,CB1129:CB1138)</f>
        <v>4</v>
      </c>
      <c r="CC1143" s="13">
        <f>SUBTOTAL(3,CC1129:CC1138)</f>
        <v>4</v>
      </c>
      <c r="CF1143" s="114"/>
    </row>
    <row r="1144" spans="1:84" ht="19.5" x14ac:dyDescent="0.4">
      <c r="A1144" s="117"/>
      <c r="B1144" s="123"/>
      <c r="C1144" s="123"/>
      <c r="D1144" s="123"/>
      <c r="AS1144" s="127"/>
      <c r="AT1144" s="29"/>
      <c r="BA1144" s="115"/>
      <c r="BB1144" s="115"/>
      <c r="BC1144" s="115"/>
      <c r="BD1144" s="26">
        <v>45706</v>
      </c>
      <c r="BE1144" s="13" t="s">
        <v>146</v>
      </c>
      <c r="BJ1144" s="117"/>
      <c r="BK1144" s="123"/>
      <c r="BL1144" s="123"/>
      <c r="BM1144" s="123"/>
      <c r="BN1144" s="115"/>
      <c r="BO1144" s="115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3"/>
      <c r="CC1144" s="13"/>
      <c r="CF1144" s="114"/>
    </row>
    <row r="1145" spans="1:84" ht="19.5" x14ac:dyDescent="0.4">
      <c r="A1145" s="117"/>
      <c r="B1145" s="123"/>
      <c r="C1145" s="123"/>
      <c r="D1145" s="123"/>
      <c r="AS1145" s="127"/>
      <c r="AT1145" s="29"/>
      <c r="AZ1145" s="115"/>
      <c r="BA1145" s="115"/>
      <c r="BB1145" s="115"/>
      <c r="BC1145" s="115"/>
      <c r="BD1145" s="26">
        <v>45709</v>
      </c>
      <c r="BE1145" s="13" t="s">
        <v>148</v>
      </c>
      <c r="BJ1145" s="117"/>
      <c r="BK1145" s="123"/>
      <c r="BL1145" s="123"/>
      <c r="BM1145" s="123"/>
      <c r="BN1145" s="115"/>
      <c r="BO1145" s="115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3"/>
      <c r="CC1145" s="13"/>
      <c r="CF1145" s="114"/>
    </row>
    <row r="1146" spans="1:84" ht="19.5" x14ac:dyDescent="0.4">
      <c r="A1146" s="117"/>
      <c r="B1146" s="123"/>
      <c r="C1146" s="123"/>
      <c r="D1146" s="123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115"/>
      <c r="AS1146" s="29"/>
      <c r="AT1146" s="29"/>
      <c r="AZ1146" s="115"/>
      <c r="BA1146" s="115"/>
      <c r="BB1146" s="115"/>
      <c r="BC1146" s="115"/>
      <c r="BD1146" s="26"/>
      <c r="BE1146" s="13"/>
      <c r="BJ1146" s="117"/>
      <c r="BK1146" s="123"/>
      <c r="BL1146" s="123"/>
      <c r="BM1146" s="123"/>
      <c r="BN1146" s="115"/>
      <c r="BO1146" s="115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3"/>
      <c r="CC1146" s="13"/>
      <c r="CF1146" s="114"/>
    </row>
    <row r="1147" spans="1:84" ht="19.5" x14ac:dyDescent="0.4">
      <c r="A1147" s="117"/>
      <c r="B1147" s="123"/>
      <c r="C1147" s="123"/>
      <c r="D1147" s="123"/>
      <c r="AS1147" s="127"/>
      <c r="AT1147" s="29"/>
      <c r="AZ1147" s="115"/>
      <c r="BA1147" s="115"/>
      <c r="BB1147" s="115"/>
      <c r="BC1147" s="115"/>
      <c r="BD1147" s="26">
        <v>45709</v>
      </c>
      <c r="BE1147" s="13" t="s">
        <v>147</v>
      </c>
      <c r="BJ1147" s="117"/>
      <c r="BK1147" s="123"/>
      <c r="BL1147" s="123"/>
      <c r="BM1147" s="123"/>
      <c r="BN1147" s="115"/>
      <c r="BO1147" s="115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3"/>
      <c r="CC1147" s="13"/>
      <c r="CF1147" s="114"/>
    </row>
    <row r="1148" spans="1:84" ht="19.5" x14ac:dyDescent="0.4">
      <c r="A1148" s="117"/>
      <c r="B1148" s="123"/>
      <c r="C1148" s="123"/>
      <c r="D1148" s="123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29"/>
      <c r="AT1148" s="29"/>
      <c r="AZ1148" s="115"/>
      <c r="BA1148" s="115"/>
      <c r="BB1148" s="115"/>
      <c r="BC1148" s="115"/>
      <c r="BD1148" s="26"/>
      <c r="BE1148" s="13"/>
      <c r="BJ1148" s="117"/>
      <c r="BK1148" s="123"/>
      <c r="BL1148" s="123"/>
      <c r="BM1148" s="123"/>
      <c r="BN1148" s="115"/>
      <c r="BO1148" s="115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3"/>
      <c r="CC1148" s="13"/>
      <c r="CF1148" s="114"/>
    </row>
    <row r="1149" spans="1:84" ht="19.5" x14ac:dyDescent="0.4">
      <c r="A1149" s="117"/>
      <c r="B1149" s="123"/>
      <c r="C1149" s="123"/>
      <c r="D1149" s="123"/>
      <c r="AS1149" s="127"/>
      <c r="AT1149" s="29"/>
      <c r="AZ1149" s="115"/>
      <c r="BA1149" s="115"/>
      <c r="BB1149" s="115"/>
      <c r="BC1149" s="115"/>
      <c r="BD1149" s="26">
        <v>45712</v>
      </c>
      <c r="BE1149" s="13" t="s">
        <v>146</v>
      </c>
      <c r="BJ1149" s="117"/>
      <c r="BK1149" s="123"/>
      <c r="BL1149" s="123"/>
      <c r="BM1149" s="123"/>
      <c r="BN1149" s="115"/>
      <c r="BO1149" s="115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3"/>
      <c r="CC1149" s="13"/>
      <c r="CF1149" s="114"/>
    </row>
    <row r="1150" spans="1:84" ht="19.5" x14ac:dyDescent="0.4">
      <c r="A1150" s="117"/>
      <c r="B1150" s="123"/>
      <c r="C1150" s="123"/>
      <c r="D1150" s="123"/>
      <c r="AS1150" s="127"/>
      <c r="AT1150" s="29"/>
      <c r="AZ1150" s="115"/>
      <c r="BA1150" s="115"/>
      <c r="BB1150" s="115"/>
      <c r="BC1150" s="115"/>
      <c r="BD1150" s="26">
        <v>45712</v>
      </c>
      <c r="BE1150" s="13" t="s">
        <v>148</v>
      </c>
      <c r="BJ1150" s="117"/>
      <c r="BK1150" s="123"/>
      <c r="BL1150" s="123"/>
      <c r="BM1150" s="123"/>
      <c r="BN1150" s="115"/>
      <c r="BO1150" s="115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3"/>
      <c r="CC1150" s="13"/>
      <c r="CF1150" s="114"/>
    </row>
    <row r="1151" spans="1:84" ht="19.5" x14ac:dyDescent="0.4">
      <c r="A1151" s="117"/>
      <c r="B1151" s="123"/>
      <c r="C1151" s="123"/>
      <c r="D1151" s="123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29"/>
      <c r="AT1151" s="29"/>
      <c r="AZ1151" s="115"/>
      <c r="BA1151" s="115"/>
      <c r="BB1151" s="115"/>
      <c r="BC1151" s="115"/>
      <c r="BD1151" s="26"/>
      <c r="BE1151" s="13"/>
      <c r="BJ1151" s="117"/>
      <c r="BK1151" s="123"/>
      <c r="BL1151" s="123"/>
      <c r="BM1151" s="123"/>
      <c r="BN1151" s="115"/>
      <c r="BO1151" s="115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3"/>
      <c r="CC1151" s="13"/>
      <c r="CF1151" s="114"/>
    </row>
    <row r="1152" spans="1:84" ht="19.5" x14ac:dyDescent="0.4">
      <c r="A1152" s="117"/>
      <c r="B1152" s="123"/>
      <c r="C1152" s="123"/>
      <c r="D1152" s="123"/>
      <c r="AS1152" s="127"/>
      <c r="AT1152" s="29"/>
      <c r="AX1152" s="115"/>
      <c r="AY1152" s="115"/>
      <c r="AZ1152" s="115"/>
      <c r="BA1152" s="115"/>
      <c r="BB1152" s="115"/>
      <c r="BC1152" s="115"/>
      <c r="BD1152" s="26">
        <v>45714</v>
      </c>
      <c r="BE1152" s="13" t="s">
        <v>147</v>
      </c>
      <c r="BJ1152" s="117"/>
      <c r="BK1152" s="123"/>
      <c r="BL1152" s="123"/>
      <c r="BM1152" s="123"/>
      <c r="BN1152" s="115"/>
      <c r="BO1152" s="115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3"/>
      <c r="CC1152" s="13"/>
      <c r="CF1152" s="114"/>
    </row>
    <row r="1153" spans="1:84" ht="19.5" x14ac:dyDescent="0.4">
      <c r="A1153" s="117"/>
      <c r="B1153" s="123"/>
      <c r="C1153" s="123"/>
      <c r="D1153" s="123"/>
      <c r="AS1153" s="127"/>
      <c r="AT1153" s="29"/>
      <c r="BD1153" s="26">
        <v>45714</v>
      </c>
      <c r="BE1153" s="13" t="s">
        <v>147</v>
      </c>
      <c r="BJ1153" s="117"/>
      <c r="BK1153" s="123"/>
      <c r="BL1153" s="123"/>
      <c r="BM1153" s="123"/>
      <c r="BN1153" s="115"/>
      <c r="BO1153" s="115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25">
        <v>45269</v>
      </c>
      <c r="CC1153" s="13" t="s">
        <v>163</v>
      </c>
      <c r="CF1153" s="114"/>
    </row>
    <row r="1154" spans="1:84" ht="19.5" x14ac:dyDescent="0.4">
      <c r="A1154" s="117"/>
      <c r="B1154" s="123"/>
      <c r="C1154" s="123"/>
      <c r="D1154" s="123"/>
      <c r="AS1154" s="127"/>
      <c r="AT1154" s="29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26">
        <v>45714</v>
      </c>
      <c r="BE1154" s="13" t="s">
        <v>147</v>
      </c>
      <c r="BJ1154" s="117"/>
      <c r="BK1154" s="123"/>
      <c r="BL1154" s="123"/>
      <c r="BM1154" s="123"/>
      <c r="BN1154" s="115"/>
      <c r="BO1154" s="115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25"/>
      <c r="CC1154" s="13"/>
      <c r="CF1154" s="114"/>
    </row>
    <row r="1155" spans="1:84" ht="19.5" x14ac:dyDescent="0.4">
      <c r="A1155" s="117"/>
      <c r="B1155" s="123"/>
      <c r="C1155" s="123"/>
      <c r="D1155" s="123"/>
      <c r="AS1155" s="127"/>
      <c r="AT1155" s="29"/>
      <c r="AU1155" s="115"/>
      <c r="AV1155" s="115"/>
      <c r="AW1155" s="115"/>
      <c r="AX1155" s="115"/>
      <c r="AY1155" s="115"/>
      <c r="AZ1155" s="115"/>
      <c r="BA1155" s="115"/>
      <c r="BB1155" s="115" t="s">
        <v>145</v>
      </c>
      <c r="BC1155" s="115">
        <f>SUBTOTAL(3,BC2:BC1154)</f>
        <v>0</v>
      </c>
      <c r="BD1155" s="26"/>
      <c r="BE1155" s="13">
        <f>SUBTOTAL(3,BE2:BE1154)</f>
        <v>145</v>
      </c>
      <c r="BJ1155" s="117"/>
      <c r="BK1155" s="123"/>
      <c r="BL1155" s="123"/>
      <c r="BM1155" s="123"/>
      <c r="BN1155" s="115"/>
      <c r="BO1155" s="115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25"/>
      <c r="CC1155" s="13"/>
      <c r="CF1155" s="114"/>
    </row>
    <row r="1156" spans="1:84" ht="19.5" x14ac:dyDescent="0.4">
      <c r="A1156" s="117"/>
      <c r="B1156" s="123"/>
      <c r="C1156" s="123"/>
      <c r="D1156" s="123"/>
      <c r="AS1156" s="127"/>
      <c r="AT1156" s="29"/>
      <c r="BD1156" s="26"/>
      <c r="BE1156" s="13"/>
      <c r="BJ1156" s="117"/>
      <c r="BK1156" s="123"/>
      <c r="BL1156" s="123"/>
      <c r="BM1156" s="123"/>
      <c r="BN1156" s="115"/>
      <c r="BO1156" s="115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25">
        <v>45269</v>
      </c>
      <c r="CC1156" s="13" t="s">
        <v>163</v>
      </c>
      <c r="CF1156" s="114"/>
    </row>
    <row r="1157" spans="1:84" ht="19.5" x14ac:dyDescent="0.4">
      <c r="A1157" s="117"/>
      <c r="B1157" s="123"/>
      <c r="C1157" s="123"/>
      <c r="D1157" s="123"/>
      <c r="AS1157" s="127"/>
      <c r="AT1157" s="29"/>
      <c r="AW1157" s="115"/>
      <c r="AX1157" s="115"/>
      <c r="AY1157" s="115"/>
      <c r="AZ1157" s="115"/>
      <c r="BA1157" s="115"/>
      <c r="BB1157" s="115"/>
      <c r="BC1157" s="115"/>
      <c r="BD1157" s="26"/>
      <c r="BE1157" s="13"/>
      <c r="BJ1157" s="117"/>
      <c r="BK1157" s="123"/>
      <c r="BL1157" s="123"/>
      <c r="BM1157" s="123"/>
      <c r="BN1157" s="115"/>
      <c r="BO1157" s="115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25"/>
      <c r="CC1157" s="13"/>
      <c r="CF1157" s="114"/>
    </row>
    <row r="1158" spans="1:84" ht="19.5" x14ac:dyDescent="0.4">
      <c r="A1158" s="117"/>
      <c r="B1158" s="123"/>
      <c r="C1158" s="123"/>
      <c r="D1158" s="123"/>
      <c r="AS1158" s="127"/>
      <c r="AT1158" s="29"/>
      <c r="BD1158" s="26"/>
      <c r="BE1158" s="13"/>
      <c r="BJ1158" s="117"/>
      <c r="BK1158" s="123"/>
      <c r="BL1158" s="123"/>
      <c r="BM1158" s="123"/>
      <c r="BN1158" s="115"/>
      <c r="BO1158" s="115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 t="s">
        <v>159</v>
      </c>
      <c r="CB1158" s="13">
        <f>SUBTOTAL(3,CB1153:CB1156)</f>
        <v>2</v>
      </c>
      <c r="CC1158" s="13">
        <f>SUBTOTAL(3,CC1153:CC1156)</f>
        <v>2</v>
      </c>
      <c r="CF1158" s="114"/>
    </row>
    <row r="1159" spans="1:84" ht="19.5" x14ac:dyDescent="0.4">
      <c r="A1159" s="117"/>
      <c r="B1159" s="123"/>
      <c r="C1159" s="123"/>
      <c r="D1159" s="123"/>
      <c r="AS1159" s="127"/>
      <c r="AT1159" s="29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26"/>
      <c r="BE1159" s="13"/>
      <c r="BJ1159" s="117"/>
      <c r="BK1159" s="123"/>
      <c r="BL1159" s="123"/>
      <c r="BM1159" s="123"/>
      <c r="BN1159" s="115"/>
      <c r="BO1159" s="115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3"/>
      <c r="CC1159" s="13"/>
      <c r="CF1159" s="114"/>
    </row>
    <row r="1160" spans="1:84" ht="19.5" x14ac:dyDescent="0.4">
      <c r="A1160" s="117"/>
      <c r="B1160" s="123"/>
      <c r="C1160" s="123"/>
      <c r="D1160" s="123"/>
      <c r="AS1160" s="127"/>
      <c r="AT1160" s="29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26"/>
      <c r="BE1160" s="13"/>
      <c r="BJ1160" s="117"/>
      <c r="BK1160" s="123"/>
      <c r="BL1160" s="123"/>
      <c r="BM1160" s="123"/>
      <c r="BN1160" s="115"/>
      <c r="BO1160" s="115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3"/>
      <c r="CC1160" s="13"/>
      <c r="CF1160" s="114"/>
    </row>
    <row r="1161" spans="1:84" ht="19.5" x14ac:dyDescent="0.4">
      <c r="A1161" s="117"/>
      <c r="B1161" s="123"/>
      <c r="C1161" s="123"/>
      <c r="D1161" s="123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27"/>
      <c r="AT1161" s="29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26"/>
      <c r="BE1161" s="13"/>
      <c r="BJ1161" s="117"/>
      <c r="BK1161" s="123"/>
      <c r="BL1161" s="123"/>
      <c r="BM1161" s="123"/>
      <c r="BN1161" s="115"/>
      <c r="BO1161" s="115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3"/>
      <c r="CC1161" s="13"/>
      <c r="CF1161" s="114"/>
    </row>
    <row r="1162" spans="1:84" ht="19.5" x14ac:dyDescent="0.4">
      <c r="A1162" s="117"/>
      <c r="B1162" s="123"/>
      <c r="C1162" s="123"/>
      <c r="D1162" s="123"/>
      <c r="AS1162" s="127"/>
      <c r="AT1162" s="29"/>
      <c r="BD1162" s="26"/>
      <c r="BE1162" s="13"/>
      <c r="BJ1162" s="117"/>
      <c r="BK1162" s="123"/>
      <c r="BL1162" s="123"/>
      <c r="BM1162" s="123"/>
      <c r="BN1162" s="115"/>
      <c r="BO1162" s="115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25">
        <v>45270</v>
      </c>
      <c r="CC1162" s="13" t="s">
        <v>164</v>
      </c>
      <c r="CF1162" s="114"/>
    </row>
    <row r="1163" spans="1:84" ht="19.5" x14ac:dyDescent="0.4">
      <c r="A1163" s="117"/>
      <c r="B1163" s="123"/>
      <c r="C1163" s="123"/>
      <c r="D1163" s="123"/>
      <c r="AS1163" s="127"/>
      <c r="AT1163" s="29"/>
      <c r="AY1163" s="115"/>
      <c r="AZ1163" s="115"/>
      <c r="BA1163" s="115"/>
      <c r="BB1163" s="115"/>
      <c r="BC1163" s="115"/>
      <c r="BD1163" s="17"/>
      <c r="BE1163" s="13"/>
      <c r="BJ1163" s="117"/>
      <c r="BK1163" s="123"/>
      <c r="BL1163" s="123"/>
      <c r="BM1163" s="123"/>
      <c r="BN1163" s="115"/>
      <c r="BO1163" s="115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25"/>
      <c r="CC1163" s="13"/>
      <c r="CF1163" s="114"/>
    </row>
    <row r="1164" spans="1:84" ht="19.5" x14ac:dyDescent="0.4">
      <c r="A1164" s="117"/>
      <c r="B1164" s="123"/>
      <c r="C1164" s="123"/>
      <c r="D1164" s="123"/>
      <c r="AS1164" s="127"/>
      <c r="AT1164" s="29"/>
      <c r="BD1164" s="26"/>
      <c r="BE1164" s="13"/>
      <c r="BJ1164" s="117"/>
      <c r="BK1164" s="123"/>
      <c r="BL1164" s="123"/>
      <c r="BM1164" s="123"/>
      <c r="BN1164" s="115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25"/>
      <c r="CC1164" s="13"/>
      <c r="CF1164" s="114"/>
    </row>
    <row r="1165" spans="1:84" ht="19.5" x14ac:dyDescent="0.4">
      <c r="A1165" s="117"/>
      <c r="B1165" s="123"/>
      <c r="C1165" s="123"/>
      <c r="D1165" s="123"/>
      <c r="AS1165" s="127"/>
      <c r="AT1165" s="29"/>
      <c r="AV1165" s="115"/>
      <c r="AW1165" s="115"/>
      <c r="AX1165" s="115"/>
      <c r="AY1165" s="115"/>
      <c r="AZ1165" s="115"/>
      <c r="BA1165" s="115"/>
      <c r="BB1165" s="115"/>
      <c r="BC1165" s="115"/>
      <c r="BD1165" s="26"/>
      <c r="BE1165" s="13"/>
      <c r="BJ1165" s="117"/>
      <c r="BK1165" s="123"/>
      <c r="BL1165" s="123"/>
      <c r="BM1165" s="123"/>
      <c r="BN1165" s="115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25"/>
      <c r="CC1165" s="13"/>
      <c r="CF1165" s="114"/>
    </row>
    <row r="1166" spans="1:84" ht="19.5" x14ac:dyDescent="0.4">
      <c r="A1166" s="117"/>
      <c r="B1166" s="123"/>
      <c r="C1166" s="123"/>
      <c r="D1166" s="123"/>
      <c r="AS1166" s="127"/>
      <c r="AT1166" s="29"/>
      <c r="BD1166" s="26"/>
      <c r="BE1166" s="13"/>
      <c r="BJ1166" s="117"/>
      <c r="BK1166" s="123"/>
      <c r="BL1166" s="123"/>
      <c r="BM1166" s="123"/>
      <c r="BN1166" s="115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25">
        <v>45270</v>
      </c>
      <c r="CC1166" s="13" t="s">
        <v>164</v>
      </c>
      <c r="CF1166" s="114"/>
    </row>
    <row r="1167" spans="1:84" ht="19.5" x14ac:dyDescent="0.4">
      <c r="A1167" s="117"/>
      <c r="B1167" s="123"/>
      <c r="C1167" s="123"/>
      <c r="D1167" s="123"/>
      <c r="AS1167" s="127"/>
      <c r="AT1167" s="29"/>
      <c r="AX1167" s="115"/>
      <c r="AY1167" s="115"/>
      <c r="AZ1167" s="115"/>
      <c r="BA1167" s="115"/>
      <c r="BB1167" s="115"/>
      <c r="BC1167" s="115"/>
      <c r="BD1167" s="26"/>
      <c r="BE1167" s="13"/>
      <c r="BJ1167" s="117"/>
      <c r="BK1167" s="123"/>
      <c r="BL1167" s="123"/>
      <c r="BM1167" s="123"/>
      <c r="BN1167" s="115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25"/>
      <c r="CC1167" s="13"/>
      <c r="CF1167" s="114"/>
    </row>
    <row r="1168" spans="1:84" ht="19.5" x14ac:dyDescent="0.4">
      <c r="A1168" s="117"/>
      <c r="B1168" s="123"/>
      <c r="C1168" s="123"/>
      <c r="D1168" s="123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27"/>
      <c r="AT1168" s="29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26"/>
      <c r="BE1168" s="13"/>
      <c r="BJ1168" s="117"/>
      <c r="BK1168" s="123"/>
      <c r="BL1168" s="123"/>
      <c r="BM1168" s="123"/>
      <c r="BN1168" s="115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25"/>
      <c r="CC1168" s="13"/>
      <c r="CF1168" s="114"/>
    </row>
    <row r="1169" spans="1:84" ht="19.5" x14ac:dyDescent="0.4">
      <c r="A1169" s="117"/>
      <c r="B1169" s="123"/>
      <c r="C1169" s="123"/>
      <c r="D1169" s="123"/>
      <c r="AS1169" s="127"/>
      <c r="AT1169" s="29"/>
      <c r="BD1169" s="26"/>
      <c r="BE1169" s="13"/>
      <c r="BJ1169" s="117"/>
      <c r="BK1169" s="123"/>
      <c r="BL1169" s="123"/>
      <c r="BM1169" s="123"/>
      <c r="BN1169" s="115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25">
        <v>45270</v>
      </c>
      <c r="CC1169" s="13" t="s">
        <v>162</v>
      </c>
      <c r="CF1169" s="114"/>
    </row>
    <row r="1170" spans="1:84" ht="19.5" x14ac:dyDescent="0.4">
      <c r="A1170" s="117"/>
      <c r="B1170" s="123"/>
      <c r="C1170" s="123"/>
      <c r="D1170" s="123"/>
      <c r="AS1170" s="127"/>
      <c r="AT1170" s="29"/>
      <c r="AW1170" s="115"/>
      <c r="AX1170" s="115"/>
      <c r="AY1170" s="115"/>
      <c r="AZ1170" s="115"/>
      <c r="BA1170" s="115"/>
      <c r="BB1170" s="115"/>
      <c r="BC1170" s="115"/>
      <c r="BD1170" s="26"/>
      <c r="BE1170" s="15"/>
      <c r="BJ1170" s="117"/>
      <c r="BK1170" s="123"/>
      <c r="BL1170" s="123"/>
      <c r="BM1170" s="123"/>
      <c r="BN1170" s="115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25"/>
      <c r="CC1170" s="13"/>
      <c r="CF1170" s="114"/>
    </row>
    <row r="1171" spans="1:84" ht="19.5" x14ac:dyDescent="0.4">
      <c r="A1171" s="117"/>
      <c r="B1171" s="123"/>
      <c r="C1171" s="123"/>
      <c r="D1171" s="123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29"/>
      <c r="AT1171" s="29"/>
      <c r="AW1171" s="115"/>
      <c r="AX1171" s="115"/>
      <c r="AY1171" s="115"/>
      <c r="AZ1171" s="115"/>
      <c r="BA1171" s="115"/>
      <c r="BB1171" s="115"/>
      <c r="BC1171" s="115"/>
      <c r="BD1171" s="26"/>
      <c r="BE1171" s="13"/>
      <c r="BJ1171" s="117"/>
      <c r="BK1171" s="123"/>
      <c r="BL1171" s="123"/>
      <c r="BM1171" s="123"/>
      <c r="BN1171" s="115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25"/>
      <c r="CC1171" s="13"/>
      <c r="CF1171" s="114"/>
    </row>
    <row r="1172" spans="1:84" ht="19.5" x14ac:dyDescent="0.4">
      <c r="A1172" s="117"/>
      <c r="B1172" s="123"/>
      <c r="C1172" s="123"/>
      <c r="D1172" s="123"/>
      <c r="AS1172" s="127"/>
      <c r="AT1172" s="29"/>
      <c r="BD1172" s="26"/>
      <c r="BE1172" s="13"/>
      <c r="BJ1172" s="117"/>
      <c r="BK1172" s="123"/>
      <c r="BL1172" s="123"/>
      <c r="BM1172" s="123"/>
      <c r="BN1172" s="115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25">
        <v>45270</v>
      </c>
      <c r="CC1172" s="13" t="s">
        <v>162</v>
      </c>
      <c r="CF1172" s="114"/>
    </row>
    <row r="1173" spans="1:84" ht="19.5" x14ac:dyDescent="0.4">
      <c r="A1173" s="117"/>
      <c r="B1173" s="123"/>
      <c r="C1173" s="123"/>
      <c r="D1173" s="123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29"/>
      <c r="AT1173" s="29"/>
      <c r="BD1173" s="26"/>
      <c r="BE1173" s="13"/>
      <c r="BJ1173" s="117"/>
      <c r="BK1173" s="123"/>
      <c r="BL1173" s="123"/>
      <c r="BM1173" s="123"/>
      <c r="BN1173" s="115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25"/>
      <c r="CC1173" s="13"/>
      <c r="CF1173" s="114"/>
    </row>
    <row r="1174" spans="1:84" ht="19.5" x14ac:dyDescent="0.4">
      <c r="A1174" s="117"/>
      <c r="B1174" s="123"/>
      <c r="C1174" s="123"/>
      <c r="D1174" s="123"/>
      <c r="AS1174" s="127"/>
      <c r="AT1174" s="29"/>
      <c r="AY1174" s="115"/>
      <c r="AZ1174" s="115"/>
      <c r="BA1174" s="115"/>
      <c r="BB1174" s="115"/>
      <c r="BC1174" s="115"/>
      <c r="BD1174" s="17"/>
      <c r="BE1174" s="13"/>
      <c r="BJ1174" s="117"/>
      <c r="BK1174" s="123"/>
      <c r="BL1174" s="123"/>
      <c r="BM1174" s="123"/>
      <c r="BN1174" s="115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25"/>
      <c r="CC1174" s="13"/>
      <c r="CF1174" s="114"/>
    </row>
    <row r="1175" spans="1:84" ht="19.5" x14ac:dyDescent="0.4">
      <c r="A1175" s="117"/>
      <c r="B1175" s="123"/>
      <c r="C1175" s="123"/>
      <c r="D1175" s="123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29"/>
      <c r="AT1175" s="29"/>
      <c r="AY1175" s="115"/>
      <c r="AZ1175" s="115"/>
      <c r="BA1175" s="115"/>
      <c r="BB1175" s="115"/>
      <c r="BC1175" s="115"/>
      <c r="BD1175" s="17"/>
      <c r="BE1175" s="13"/>
      <c r="BJ1175" s="117"/>
      <c r="BK1175" s="123"/>
      <c r="BL1175" s="123"/>
      <c r="BM1175" s="123"/>
      <c r="BN1175" s="115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25"/>
      <c r="CC1175" s="13"/>
      <c r="CF1175" s="114"/>
    </row>
    <row r="1176" spans="1:84" ht="19.5" x14ac:dyDescent="0.4">
      <c r="A1176" s="117"/>
      <c r="B1176" s="123"/>
      <c r="C1176" s="123"/>
      <c r="D1176" s="123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29"/>
      <c r="AT1176" s="29"/>
      <c r="AY1176" s="115"/>
      <c r="AZ1176" s="115"/>
      <c r="BA1176" s="115"/>
      <c r="BB1176" s="115"/>
      <c r="BC1176" s="115"/>
      <c r="BD1176" s="17"/>
      <c r="BE1176" s="13"/>
      <c r="BJ1176" s="117"/>
      <c r="BK1176" s="123"/>
      <c r="BL1176" s="123"/>
      <c r="BM1176" s="123"/>
      <c r="BN1176" s="115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25"/>
      <c r="CC1176" s="13"/>
      <c r="CF1176" s="114"/>
    </row>
    <row r="1177" spans="1:84" ht="19.5" x14ac:dyDescent="0.4">
      <c r="A1177" s="117"/>
      <c r="B1177" s="123"/>
      <c r="C1177" s="123"/>
      <c r="D1177" s="123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26"/>
      <c r="BE1177" s="13"/>
      <c r="BJ1177" s="117"/>
      <c r="BK1177" s="123"/>
      <c r="BL1177" s="123"/>
      <c r="BM1177" s="123"/>
      <c r="BN1177" s="115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25"/>
      <c r="CC1177" s="13"/>
      <c r="CF1177" s="114"/>
    </row>
    <row r="1178" spans="1:84" ht="19.5" x14ac:dyDescent="0.4">
      <c r="A1178" s="117"/>
      <c r="B1178" s="123"/>
      <c r="C1178" s="123"/>
      <c r="D1178" s="123"/>
      <c r="BD1178" s="26"/>
      <c r="BE1178" s="13"/>
      <c r="BJ1178" s="117"/>
      <c r="BK1178" s="123"/>
      <c r="BL1178" s="123"/>
      <c r="BM1178" s="123"/>
      <c r="BN1178" s="115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25"/>
      <c r="CC1178" s="13"/>
      <c r="CF1178" s="114"/>
    </row>
    <row r="1179" spans="1:84" ht="19.5" x14ac:dyDescent="0.4">
      <c r="A1179" s="117"/>
      <c r="B1179" s="123"/>
      <c r="C1179" s="123"/>
      <c r="D1179" s="123"/>
      <c r="BD1179" s="26"/>
      <c r="BE1179" s="13"/>
      <c r="BJ1179" s="117"/>
      <c r="BK1179" s="123"/>
      <c r="BL1179" s="123"/>
      <c r="BM1179" s="123"/>
      <c r="BN1179" s="115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25">
        <v>45270</v>
      </c>
      <c r="CC1179" s="13" t="s">
        <v>163</v>
      </c>
      <c r="CF1179" s="114"/>
    </row>
    <row r="1180" spans="1:84" ht="19.5" x14ac:dyDescent="0.4">
      <c r="A1180" s="117"/>
      <c r="B1180" s="123"/>
      <c r="C1180" s="123"/>
      <c r="D1180" s="123"/>
      <c r="AY1180" s="115"/>
      <c r="AZ1180" s="115"/>
      <c r="BA1180" s="115"/>
      <c r="BB1180" s="115"/>
      <c r="BC1180" s="115"/>
      <c r="BD1180" s="17"/>
      <c r="BE1180" s="13"/>
      <c r="BJ1180" s="117"/>
      <c r="BK1180" s="123"/>
      <c r="BL1180" s="123"/>
      <c r="BM1180" s="123"/>
      <c r="BN1180" s="115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25"/>
      <c r="CC1180" s="13"/>
      <c r="CF1180" s="114"/>
    </row>
    <row r="1181" spans="1:84" ht="19.5" x14ac:dyDescent="0.4">
      <c r="A1181" s="117"/>
      <c r="B1181" s="123"/>
      <c r="C1181" s="123"/>
      <c r="D1181" s="123"/>
      <c r="BD1181" s="26"/>
      <c r="BE1181" s="13"/>
      <c r="BJ1181" s="117"/>
      <c r="BK1181" s="123"/>
      <c r="BL1181" s="123"/>
      <c r="BM1181" s="123"/>
      <c r="BN1181" s="115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 t="s">
        <v>151</v>
      </c>
      <c r="CB1181" s="13">
        <f>SUBTOTAL(3,CB1162:CB1179)</f>
        <v>5</v>
      </c>
      <c r="CC1181" s="13">
        <f>SUBTOTAL(3,CC1162:CC1179)</f>
        <v>5</v>
      </c>
      <c r="CF1181" s="114"/>
    </row>
    <row r="1182" spans="1:84" ht="19.5" x14ac:dyDescent="0.4">
      <c r="A1182" s="117"/>
      <c r="B1182" s="123"/>
      <c r="C1182" s="123"/>
      <c r="D1182" s="123"/>
      <c r="AX1182" s="115"/>
      <c r="AY1182" s="115"/>
      <c r="AZ1182" s="115"/>
      <c r="BA1182" s="115"/>
      <c r="BB1182" s="115"/>
      <c r="BC1182" s="115"/>
      <c r="BD1182" s="26"/>
      <c r="BE1182" s="13"/>
      <c r="BJ1182" s="117"/>
      <c r="BK1182" s="123"/>
      <c r="BL1182" s="123"/>
      <c r="BM1182" s="123"/>
      <c r="BN1182" s="115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3"/>
      <c r="CC1182" s="13"/>
      <c r="CF1182" s="114"/>
    </row>
    <row r="1183" spans="1:84" ht="19.5" x14ac:dyDescent="0.4">
      <c r="A1183" s="117"/>
      <c r="B1183" s="123"/>
      <c r="C1183" s="123"/>
      <c r="D1183" s="123"/>
      <c r="BD1183" s="26"/>
      <c r="BE1183" s="13"/>
      <c r="BJ1183" s="117"/>
      <c r="BK1183" s="123"/>
      <c r="BL1183" s="123"/>
      <c r="BM1183" s="123"/>
      <c r="BN1183" s="115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25">
        <v>45271</v>
      </c>
      <c r="CC1183" s="13" t="s">
        <v>162</v>
      </c>
      <c r="CF1183" s="114"/>
    </row>
    <row r="1184" spans="1:84" ht="19.5" x14ac:dyDescent="0.4">
      <c r="A1184" s="117"/>
      <c r="B1184" s="123"/>
      <c r="C1184" s="123"/>
      <c r="D1184" s="123"/>
      <c r="BD1184" s="26"/>
      <c r="BE1184" s="13"/>
      <c r="BJ1184" s="117"/>
      <c r="BK1184" s="123"/>
      <c r="BL1184" s="123"/>
      <c r="BM1184" s="123"/>
      <c r="BN1184" s="115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25">
        <v>45271</v>
      </c>
      <c r="CC1184" s="13" t="s">
        <v>163</v>
      </c>
      <c r="CF1184" s="114"/>
    </row>
    <row r="1185" spans="1:84" ht="19.5" x14ac:dyDescent="0.4">
      <c r="A1185" s="117"/>
      <c r="B1185" s="123"/>
      <c r="C1185" s="123"/>
      <c r="D1185" s="123"/>
      <c r="AX1185" s="115"/>
      <c r="AY1185" s="115"/>
      <c r="AZ1185" s="115"/>
      <c r="BA1185" s="115"/>
      <c r="BB1185" s="115"/>
      <c r="BC1185" s="115"/>
      <c r="BD1185" s="26"/>
      <c r="BE1185" s="13"/>
      <c r="BJ1185" s="117"/>
      <c r="BK1185" s="123"/>
      <c r="BL1185" s="123"/>
      <c r="BM1185" s="123"/>
      <c r="BN1185" s="115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25"/>
      <c r="CC1185" s="13"/>
      <c r="CF1185" s="114"/>
    </row>
    <row r="1186" spans="1:84" ht="19.5" x14ac:dyDescent="0.4">
      <c r="A1186" s="117"/>
      <c r="B1186" s="123"/>
      <c r="C1186" s="123"/>
      <c r="D1186" s="123"/>
      <c r="AW1186" s="115"/>
      <c r="AX1186" s="115"/>
      <c r="AY1186" s="115"/>
      <c r="AZ1186" s="115"/>
      <c r="BA1186" s="115"/>
      <c r="BB1186" s="115"/>
      <c r="BC1186" s="115"/>
      <c r="BD1186" s="26"/>
      <c r="BE1186" s="13"/>
      <c r="BJ1186" s="117"/>
      <c r="BK1186" s="123"/>
      <c r="BL1186" s="123"/>
      <c r="BM1186" s="123"/>
      <c r="BN1186" s="115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25"/>
      <c r="CC1186" s="13"/>
      <c r="CF1186" s="114"/>
    </row>
    <row r="1187" spans="1:84" ht="19.5" x14ac:dyDescent="0.4">
      <c r="A1187" s="117"/>
      <c r="B1187" s="123"/>
      <c r="C1187" s="123"/>
      <c r="D1187" s="123"/>
      <c r="AW1187" s="115"/>
      <c r="AX1187" s="115"/>
      <c r="AY1187" s="115"/>
      <c r="AZ1187" s="115"/>
      <c r="BA1187" s="115"/>
      <c r="BB1187" s="115"/>
      <c r="BC1187" s="115"/>
      <c r="BD1187" s="17"/>
      <c r="BE1187" s="13"/>
      <c r="BJ1187" s="117"/>
      <c r="BK1187" s="123"/>
      <c r="BL1187" s="123"/>
      <c r="BM1187" s="123"/>
      <c r="BN1187" s="115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25"/>
      <c r="CC1187" s="13"/>
      <c r="CF1187" s="114"/>
    </row>
    <row r="1188" spans="1:84" ht="19.5" x14ac:dyDescent="0.4">
      <c r="A1188" s="117"/>
      <c r="B1188" s="123"/>
      <c r="C1188" s="123"/>
      <c r="D1188" s="123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26"/>
      <c r="BE1188" s="13"/>
      <c r="BJ1188" s="117"/>
      <c r="BK1188" s="123"/>
      <c r="BL1188" s="123"/>
      <c r="BM1188" s="123"/>
      <c r="BN1188" s="115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25"/>
      <c r="CC1188" s="13"/>
      <c r="CF1188" s="114"/>
    </row>
    <row r="1189" spans="1:84" ht="19.5" x14ac:dyDescent="0.4">
      <c r="A1189" s="117"/>
      <c r="B1189" s="123"/>
      <c r="C1189" s="123"/>
      <c r="D1189" s="123"/>
      <c r="BD1189" s="26"/>
      <c r="BE1189" s="13"/>
      <c r="BJ1189" s="117"/>
      <c r="BK1189" s="123"/>
      <c r="BL1189" s="123"/>
      <c r="BM1189" s="123"/>
      <c r="BN1189" s="115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25">
        <v>45271</v>
      </c>
      <c r="CC1189" s="13" t="s">
        <v>163</v>
      </c>
      <c r="CF1189" s="114"/>
    </row>
    <row r="1190" spans="1:84" ht="19.5" x14ac:dyDescent="0.4">
      <c r="A1190" s="117"/>
      <c r="B1190" s="123"/>
      <c r="C1190" s="123"/>
      <c r="D1190" s="123"/>
      <c r="AX1190" s="115"/>
      <c r="AY1190" s="115"/>
      <c r="AZ1190" s="115"/>
      <c r="BA1190" s="115"/>
      <c r="BB1190" s="115"/>
      <c r="BC1190" s="115"/>
      <c r="BD1190" s="26"/>
      <c r="BE1190" s="13"/>
      <c r="BJ1190" s="117"/>
      <c r="BK1190" s="123"/>
      <c r="BL1190" s="123"/>
      <c r="BM1190" s="123"/>
      <c r="BN1190" s="115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25"/>
      <c r="CC1190" s="13"/>
      <c r="CF1190" s="114"/>
    </row>
    <row r="1191" spans="1:84" ht="19.5" x14ac:dyDescent="0.4">
      <c r="A1191" s="117"/>
      <c r="B1191" s="123"/>
      <c r="C1191" s="123"/>
      <c r="D1191" s="123"/>
      <c r="AV1191" s="115"/>
      <c r="AW1191" s="115"/>
      <c r="AX1191" s="115"/>
      <c r="AY1191" s="115"/>
      <c r="AZ1191" s="115"/>
      <c r="BA1191" s="115"/>
      <c r="BB1191" s="115"/>
      <c r="BC1191" s="115"/>
      <c r="BD1191" s="26"/>
      <c r="BE1191" s="13"/>
      <c r="BJ1191" s="117"/>
      <c r="BK1191" s="123"/>
      <c r="BL1191" s="123"/>
      <c r="BM1191" s="123"/>
      <c r="BN1191" s="115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25"/>
      <c r="CC1191" s="13"/>
      <c r="CF1191" s="114"/>
    </row>
    <row r="1192" spans="1:84" ht="19.5" x14ac:dyDescent="0.4">
      <c r="A1192" s="117"/>
      <c r="B1192" s="123"/>
      <c r="C1192" s="123"/>
      <c r="D1192" s="123"/>
      <c r="AV1192" s="115"/>
      <c r="AW1192" s="115"/>
      <c r="AX1192" s="115"/>
      <c r="AY1192" s="115"/>
      <c r="AZ1192" s="115"/>
      <c r="BA1192" s="115"/>
      <c r="BB1192" s="115"/>
      <c r="BC1192" s="115"/>
      <c r="BD1192" s="17"/>
      <c r="BE1192" s="13"/>
      <c r="BJ1192" s="117"/>
      <c r="BK1192" s="123"/>
      <c r="BL1192" s="123"/>
      <c r="BM1192" s="123"/>
      <c r="BN1192" s="115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25"/>
      <c r="CC1192" s="13"/>
      <c r="CF1192" s="114"/>
    </row>
    <row r="1193" spans="1:84" ht="19.5" x14ac:dyDescent="0.4">
      <c r="A1193" s="117"/>
      <c r="B1193" s="123"/>
      <c r="C1193" s="123"/>
      <c r="D1193" s="123"/>
      <c r="BD1193" s="26"/>
      <c r="BE1193" s="13"/>
      <c r="BJ1193" s="117"/>
      <c r="BK1193" s="123"/>
      <c r="BL1193" s="123"/>
      <c r="BM1193" s="123"/>
      <c r="BN1193" s="115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 t="s">
        <v>165</v>
      </c>
      <c r="CB1193" s="13">
        <f>SUBTOTAL(3,CB1183:CB1189)</f>
        <v>3</v>
      </c>
      <c r="CC1193" s="13">
        <f>SUBTOTAL(3,CC1183:CC1189)</f>
        <v>3</v>
      </c>
      <c r="CF1193" s="114"/>
    </row>
    <row r="1194" spans="1:84" ht="19.5" x14ac:dyDescent="0.4">
      <c r="A1194" s="117"/>
      <c r="B1194" s="123"/>
      <c r="C1194" s="123"/>
      <c r="D1194" s="123"/>
      <c r="BD1194" s="26"/>
      <c r="BE1194" s="13"/>
      <c r="BJ1194" s="117"/>
      <c r="BK1194" s="123"/>
      <c r="BL1194" s="123"/>
      <c r="BM1194" s="123"/>
      <c r="BN1194" s="115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25">
        <v>45272</v>
      </c>
      <c r="CC1194" s="13" t="s">
        <v>162</v>
      </c>
      <c r="CF1194" s="114"/>
    </row>
    <row r="1195" spans="1:84" ht="19.5" x14ac:dyDescent="0.4">
      <c r="A1195" s="117"/>
      <c r="B1195" s="123"/>
      <c r="C1195" s="123"/>
      <c r="D1195" s="123"/>
      <c r="AY1195" s="115"/>
      <c r="AZ1195" s="115"/>
      <c r="BA1195" s="115"/>
      <c r="BB1195" s="115"/>
      <c r="BC1195" s="115"/>
      <c r="BD1195" s="17"/>
      <c r="BE1195" s="13"/>
      <c r="BJ1195" s="117"/>
      <c r="BK1195" s="123"/>
      <c r="BL1195" s="123"/>
      <c r="BM1195" s="123"/>
      <c r="BN1195" s="115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25"/>
      <c r="CC1195" s="13"/>
      <c r="CF1195" s="114"/>
    </row>
    <row r="1196" spans="1:84" ht="19.5" x14ac:dyDescent="0.4">
      <c r="A1196" s="117"/>
      <c r="B1196" s="123"/>
      <c r="C1196" s="123"/>
      <c r="D1196" s="123"/>
      <c r="BD1196" s="26"/>
      <c r="BE1196" s="15"/>
      <c r="BJ1196" s="117"/>
      <c r="BK1196" s="123"/>
      <c r="BL1196" s="123"/>
      <c r="BM1196" s="123"/>
      <c r="BN1196" s="115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25">
        <v>45272</v>
      </c>
      <c r="CC1196" s="13" t="s">
        <v>162</v>
      </c>
      <c r="CF1196" s="114"/>
    </row>
    <row r="1197" spans="1:84" ht="19.5" x14ac:dyDescent="0.4">
      <c r="A1197" s="117"/>
      <c r="B1197" s="123"/>
      <c r="C1197" s="123"/>
      <c r="D1197" s="123"/>
      <c r="AY1197" s="115"/>
      <c r="AZ1197" s="115"/>
      <c r="BA1197" s="115"/>
      <c r="BB1197" s="115"/>
      <c r="BC1197" s="115"/>
      <c r="BD1197" s="17"/>
      <c r="BE1197" s="13"/>
      <c r="BJ1197" s="117"/>
      <c r="BK1197" s="123"/>
      <c r="BL1197" s="123"/>
      <c r="BM1197" s="123"/>
      <c r="BN1197" s="115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25"/>
      <c r="CC1197" s="13"/>
      <c r="CF1197" s="114"/>
    </row>
    <row r="1198" spans="1:84" ht="19.5" x14ac:dyDescent="0.4">
      <c r="A1198" s="117"/>
      <c r="B1198" s="123"/>
      <c r="C1198" s="123"/>
      <c r="D1198" s="123"/>
      <c r="AY1198" s="115"/>
      <c r="AZ1198" s="115"/>
      <c r="BA1198" s="115"/>
      <c r="BB1198" s="115"/>
      <c r="BC1198" s="115"/>
      <c r="BD1198" s="17"/>
      <c r="BE1198" s="13"/>
      <c r="BJ1198" s="117"/>
      <c r="BK1198" s="123"/>
      <c r="BL1198" s="123"/>
      <c r="BM1198" s="123"/>
      <c r="BN1198" s="115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25"/>
      <c r="CC1198" s="13"/>
      <c r="CF1198" s="114"/>
    </row>
    <row r="1199" spans="1:84" ht="19.5" x14ac:dyDescent="0.4">
      <c r="A1199" s="117"/>
      <c r="B1199" s="123"/>
      <c r="C1199" s="123"/>
      <c r="D1199" s="123"/>
      <c r="BD1199" s="26"/>
      <c r="BE1199" s="13"/>
      <c r="BJ1199" s="117"/>
      <c r="BK1199" s="123"/>
      <c r="BL1199" s="123"/>
      <c r="BM1199" s="123"/>
      <c r="BN1199" s="115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25">
        <v>45272</v>
      </c>
      <c r="CC1199" s="13" t="s">
        <v>162</v>
      </c>
      <c r="CF1199" s="114"/>
    </row>
    <row r="1200" spans="1:84" ht="19.5" x14ac:dyDescent="0.4">
      <c r="A1200" s="125"/>
      <c r="B1200" s="126"/>
      <c r="C1200" s="126"/>
      <c r="D1200" s="126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26"/>
      <c r="BE1200" s="13"/>
      <c r="BJ1200" s="117"/>
      <c r="BK1200" s="123"/>
      <c r="BL1200" s="123"/>
      <c r="BM1200" s="123"/>
      <c r="BN1200" s="115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25"/>
      <c r="CC1200" s="13"/>
      <c r="CF1200" s="114"/>
    </row>
    <row r="1201" spans="1:84" ht="19.5" x14ac:dyDescent="0.4">
      <c r="A1201" s="125"/>
      <c r="B1201" s="126"/>
      <c r="C1201" s="126"/>
      <c r="D1201" s="126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115"/>
      <c r="AU1201" s="115"/>
      <c r="AV1201" s="115"/>
      <c r="AW1201" s="115"/>
      <c r="AX1201" s="115"/>
      <c r="AY1201" s="115"/>
      <c r="AZ1201" s="115"/>
      <c r="BA1201" s="115"/>
      <c r="BB1201" s="115"/>
      <c r="BC1201" s="115"/>
      <c r="BD1201" s="26"/>
      <c r="BE1201" s="13"/>
      <c r="BJ1201" s="117"/>
      <c r="BK1201" s="123"/>
      <c r="BL1201" s="123"/>
      <c r="BM1201" s="123"/>
      <c r="BN1201" s="115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25"/>
      <c r="CC1201" s="13"/>
      <c r="CF1201" s="114"/>
    </row>
    <row r="1202" spans="1:84" ht="19.5" x14ac:dyDescent="0.4">
      <c r="A1202" s="125"/>
      <c r="B1202" s="126"/>
      <c r="C1202" s="126"/>
      <c r="D1202" s="126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17"/>
      <c r="BE1202" s="13"/>
      <c r="BJ1202" s="117"/>
      <c r="BK1202" s="123"/>
      <c r="BL1202" s="123"/>
      <c r="BM1202" s="123"/>
      <c r="BN1202" s="115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25"/>
      <c r="CC1202" s="13"/>
      <c r="CF1202" s="114"/>
    </row>
    <row r="1203" spans="1:84" ht="19.5" x14ac:dyDescent="0.4">
      <c r="A1203" s="125"/>
      <c r="B1203" s="126"/>
      <c r="C1203" s="126"/>
      <c r="D1203" s="126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26"/>
      <c r="BE1203" s="13"/>
      <c r="BJ1203" s="117"/>
      <c r="BK1203" s="123"/>
      <c r="BL1203" s="123"/>
      <c r="BM1203" s="123"/>
      <c r="BN1203" s="115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25"/>
      <c r="CC1203" s="13"/>
      <c r="CF1203" s="114"/>
    </row>
    <row r="1204" spans="1:84" ht="19.5" x14ac:dyDescent="0.4">
      <c r="BD1204" s="26"/>
      <c r="BE1204" s="13"/>
      <c r="BJ1204" s="117"/>
      <c r="BK1204" s="123"/>
      <c r="BL1204" s="123"/>
      <c r="BM1204" s="123"/>
      <c r="BN1204" s="115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25">
        <v>45272</v>
      </c>
      <c r="CC1204" s="13" t="s">
        <v>162</v>
      </c>
      <c r="CF1204" s="114"/>
    </row>
    <row r="1205" spans="1:84" ht="19.5" x14ac:dyDescent="0.4">
      <c r="BD1205" s="26"/>
      <c r="BE1205" s="13"/>
      <c r="BJ1205" s="117"/>
      <c r="BK1205" s="123"/>
      <c r="BL1205" s="123"/>
      <c r="BM1205" s="123"/>
      <c r="BN1205" s="115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25"/>
      <c r="CC1205" s="13"/>
      <c r="CF1205" s="114"/>
    </row>
    <row r="1206" spans="1:84" ht="19.5" x14ac:dyDescent="0.4"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26"/>
      <c r="BE1206" s="25"/>
      <c r="BJ1206" s="117"/>
      <c r="BK1206" s="123"/>
      <c r="BL1206" s="123"/>
      <c r="BM1206" s="123"/>
      <c r="BN1206" s="115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25"/>
      <c r="CC1206" s="13"/>
      <c r="CF1206" s="114"/>
    </row>
    <row r="1207" spans="1:84" ht="19.5" x14ac:dyDescent="0.4">
      <c r="BD1207" s="26"/>
      <c r="BE1207" s="25"/>
      <c r="BJ1207" s="117"/>
      <c r="BK1207" s="123"/>
      <c r="BL1207" s="123"/>
      <c r="BM1207" s="123"/>
      <c r="BN1207" s="115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25">
        <v>45272</v>
      </c>
      <c r="CC1207" s="13" t="s">
        <v>162</v>
      </c>
      <c r="CF1207" s="114"/>
    </row>
    <row r="1208" spans="1:84" ht="19.5" x14ac:dyDescent="0.4">
      <c r="BD1208" s="26"/>
      <c r="BE1208" s="13"/>
      <c r="BJ1208" s="117"/>
      <c r="BK1208" s="123"/>
      <c r="BL1208" s="123"/>
      <c r="BM1208" s="123"/>
      <c r="BN1208" s="115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25">
        <v>45272</v>
      </c>
      <c r="CC1208" s="15" t="s">
        <v>162</v>
      </c>
      <c r="CF1208" s="114"/>
    </row>
    <row r="1209" spans="1:84" ht="19.5" x14ac:dyDescent="0.4">
      <c r="BD1209" s="26"/>
      <c r="BE1209" s="13"/>
      <c r="BJ1209" s="117"/>
      <c r="BK1209" s="123"/>
      <c r="BL1209" s="123"/>
      <c r="BM1209" s="123"/>
      <c r="BN1209" s="115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25">
        <v>45272</v>
      </c>
      <c r="CC1209" s="15" t="s">
        <v>162</v>
      </c>
      <c r="CF1209" s="114"/>
    </row>
    <row r="1210" spans="1:84" ht="19.5" x14ac:dyDescent="0.4"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115"/>
      <c r="BD1210" s="26"/>
      <c r="BE1210" s="13"/>
      <c r="BJ1210" s="117"/>
      <c r="BK1210" s="123"/>
      <c r="BL1210" s="123"/>
      <c r="BM1210" s="123"/>
      <c r="BN1210" s="115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25"/>
      <c r="CC1210" s="15"/>
      <c r="CF1210" s="114"/>
    </row>
    <row r="1211" spans="1:84" ht="19.5" x14ac:dyDescent="0.4">
      <c r="AT1211" s="115"/>
      <c r="AU1211" s="115"/>
      <c r="AV1211" s="115"/>
      <c r="AW1211" s="115"/>
      <c r="AX1211" s="115"/>
      <c r="AY1211" s="115"/>
      <c r="AZ1211" s="115"/>
      <c r="BA1211" s="115"/>
      <c r="BB1211" s="115"/>
      <c r="BC1211" s="115"/>
      <c r="BD1211" s="17"/>
      <c r="BE1211" s="13"/>
      <c r="BJ1211" s="117"/>
      <c r="BK1211" s="123"/>
      <c r="BL1211" s="123"/>
      <c r="BM1211" s="123"/>
      <c r="BN1211" s="115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25"/>
      <c r="CC1211" s="15"/>
      <c r="CF1211" s="114"/>
    </row>
    <row r="1212" spans="1:84" ht="19.5" x14ac:dyDescent="0.4">
      <c r="BD1212" s="26"/>
      <c r="BE1212" s="13"/>
      <c r="BJ1212" s="117"/>
      <c r="BK1212" s="123"/>
      <c r="BL1212" s="123"/>
      <c r="BM1212" s="123"/>
      <c r="BN1212" s="115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25">
        <v>45272</v>
      </c>
      <c r="CC1212" s="15" t="s">
        <v>162</v>
      </c>
      <c r="CF1212" s="114"/>
    </row>
    <row r="1213" spans="1:84" ht="19.5" x14ac:dyDescent="0.4"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15"/>
      <c r="AQ1213" s="115"/>
      <c r="AR1213" s="115"/>
      <c r="AS1213" s="115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26"/>
      <c r="BE1213" s="13"/>
      <c r="BJ1213" s="117"/>
      <c r="BK1213" s="123"/>
      <c r="BL1213" s="123"/>
      <c r="BM1213" s="123"/>
      <c r="BN1213" s="115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25"/>
      <c r="CC1213" s="15"/>
      <c r="CF1213" s="114"/>
    </row>
    <row r="1214" spans="1:84" ht="19.5" x14ac:dyDescent="0.4"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26"/>
      <c r="BE1214" s="13"/>
      <c r="BJ1214" s="117"/>
      <c r="BK1214" s="123"/>
      <c r="BL1214" s="123"/>
      <c r="BM1214" s="123"/>
      <c r="BN1214" s="115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25"/>
      <c r="CC1214" s="15"/>
      <c r="CF1214" s="114"/>
    </row>
    <row r="1215" spans="1:84" ht="19.5" x14ac:dyDescent="0.4"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15"/>
      <c r="AX1215" s="115"/>
      <c r="AY1215" s="115"/>
      <c r="AZ1215" s="115"/>
      <c r="BA1215" s="115"/>
      <c r="BB1215" s="115"/>
      <c r="BC1215" s="115"/>
      <c r="BD1215" s="17"/>
      <c r="BE1215" s="13"/>
      <c r="BJ1215" s="117"/>
      <c r="BK1215" s="123"/>
      <c r="BL1215" s="123"/>
      <c r="BM1215" s="123"/>
      <c r="BN1215" s="115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25"/>
      <c r="CC1215" s="15"/>
      <c r="CF1215" s="114"/>
    </row>
    <row r="1216" spans="1:84" ht="19.5" x14ac:dyDescent="0.4"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26"/>
      <c r="BE1216" s="13"/>
      <c r="BJ1216" s="117"/>
      <c r="BK1216" s="123"/>
      <c r="BL1216" s="123"/>
      <c r="BM1216" s="123"/>
      <c r="BN1216" s="115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25"/>
      <c r="CC1216" s="15"/>
      <c r="CF1216" s="114"/>
    </row>
    <row r="1217" spans="6:84" ht="19.5" x14ac:dyDescent="0.4"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17"/>
      <c r="BE1217" s="13"/>
      <c r="BJ1217" s="117"/>
      <c r="BK1217" s="123"/>
      <c r="BL1217" s="123"/>
      <c r="BM1217" s="123"/>
      <c r="BN1217" s="115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25"/>
      <c r="CC1217" s="15"/>
      <c r="CF1217" s="114"/>
    </row>
    <row r="1218" spans="6:84" ht="19.5" x14ac:dyDescent="0.4"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26"/>
      <c r="BE1218" s="13"/>
      <c r="BJ1218" s="117"/>
      <c r="BK1218" s="123"/>
      <c r="BL1218" s="123"/>
      <c r="BM1218" s="123"/>
      <c r="BN1218" s="115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25"/>
      <c r="CC1218" s="15"/>
      <c r="CF1218" s="114"/>
    </row>
    <row r="1219" spans="6:84" ht="19.5" x14ac:dyDescent="0.4">
      <c r="BD1219" s="26"/>
      <c r="BE1219" s="13"/>
      <c r="BJ1219" s="117"/>
      <c r="BK1219" s="123"/>
      <c r="BL1219" s="123"/>
      <c r="BM1219" s="123"/>
      <c r="BN1219" s="115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25">
        <v>45272</v>
      </c>
      <c r="CC1219" s="15" t="s">
        <v>162</v>
      </c>
      <c r="CF1219" s="114"/>
    </row>
    <row r="1220" spans="6:84" ht="19.5" x14ac:dyDescent="0.4">
      <c r="AW1220" s="115"/>
      <c r="AX1220" s="115"/>
      <c r="AY1220" s="115"/>
      <c r="AZ1220" s="115"/>
      <c r="BA1220" s="115"/>
      <c r="BB1220" s="115"/>
      <c r="BC1220" s="115"/>
      <c r="BD1220" s="26"/>
      <c r="BE1220" s="13"/>
      <c r="BJ1220" s="117"/>
      <c r="BK1220" s="123"/>
      <c r="BL1220" s="123"/>
      <c r="BM1220" s="123"/>
      <c r="BN1220" s="115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25"/>
      <c r="CC1220" s="15"/>
      <c r="CF1220" s="114"/>
    </row>
    <row r="1221" spans="6:84" ht="19.5" x14ac:dyDescent="0.4">
      <c r="AW1221" s="115"/>
      <c r="AX1221" s="115"/>
      <c r="AY1221" s="115"/>
      <c r="AZ1221" s="115"/>
      <c r="BA1221" s="115"/>
      <c r="BB1221" s="115"/>
      <c r="BC1221" s="115"/>
      <c r="BD1221" s="17"/>
      <c r="BE1221" s="13"/>
      <c r="BJ1221" s="117"/>
      <c r="BK1221" s="123"/>
      <c r="BL1221" s="123"/>
      <c r="BM1221" s="123"/>
      <c r="BN1221" s="115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25"/>
      <c r="CC1221" s="15"/>
      <c r="CF1221" s="114"/>
    </row>
    <row r="1222" spans="6:84" ht="19.5" x14ac:dyDescent="0.4"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26"/>
      <c r="BE1222" s="13"/>
      <c r="BJ1222" s="117"/>
      <c r="BK1222" s="123"/>
      <c r="BL1222" s="123"/>
      <c r="BM1222" s="123"/>
      <c r="BN1222" s="115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25"/>
      <c r="CC1222" s="15"/>
      <c r="CF1222" s="114"/>
    </row>
    <row r="1223" spans="6:84" ht="19.5" x14ac:dyDescent="0.4"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7"/>
      <c r="BE1223" s="13"/>
      <c r="BJ1223" s="117"/>
      <c r="BK1223" s="123"/>
      <c r="BL1223" s="123"/>
      <c r="BM1223" s="123"/>
      <c r="BN1223" s="115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25"/>
      <c r="CC1223" s="15"/>
      <c r="CF1223" s="114"/>
    </row>
    <row r="1224" spans="6:84" ht="19.5" x14ac:dyDescent="0.4"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26"/>
      <c r="BE1224" s="25"/>
      <c r="BJ1224" s="117"/>
      <c r="BK1224" s="123"/>
      <c r="BL1224" s="123"/>
      <c r="BM1224" s="123"/>
      <c r="BN1224" s="115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25"/>
      <c r="CC1224" s="15"/>
      <c r="CF1224" s="114"/>
    </row>
    <row r="1225" spans="6:84" ht="19.5" x14ac:dyDescent="0.4"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15"/>
      <c r="AT1225" s="115"/>
      <c r="AU1225" s="115"/>
      <c r="AV1225" s="115"/>
      <c r="AW1225" s="115"/>
      <c r="AX1225" s="115"/>
      <c r="AY1225" s="115"/>
      <c r="AZ1225" s="115"/>
      <c r="BA1225" s="115"/>
      <c r="BB1225" s="115"/>
      <c r="BC1225" s="115"/>
      <c r="BD1225" s="17"/>
      <c r="BE1225" s="13"/>
      <c r="BJ1225" s="117"/>
      <c r="BK1225" s="123"/>
      <c r="BL1225" s="123"/>
      <c r="BM1225" s="123"/>
      <c r="BN1225" s="115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25"/>
      <c r="CC1225" s="15"/>
      <c r="CF1225" s="114"/>
    </row>
    <row r="1226" spans="6:84" ht="19.5" x14ac:dyDescent="0.4"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26"/>
      <c r="BE1226" s="13"/>
      <c r="BJ1226" s="117"/>
      <c r="BK1226" s="123"/>
      <c r="BL1226" s="123"/>
      <c r="BM1226" s="123"/>
      <c r="BN1226" s="115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25"/>
      <c r="CC1226" s="15"/>
      <c r="CF1226" s="114"/>
    </row>
    <row r="1227" spans="6:84" ht="19.5" x14ac:dyDescent="0.4">
      <c r="BD1227" s="26"/>
      <c r="BE1227" s="13"/>
      <c r="BJ1227" s="117"/>
      <c r="BK1227" s="123"/>
      <c r="BL1227" s="123"/>
      <c r="BM1227" s="123"/>
      <c r="BN1227" s="115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25">
        <v>45272</v>
      </c>
      <c r="CC1227" s="15" t="s">
        <v>162</v>
      </c>
      <c r="CF1227" s="114"/>
    </row>
    <row r="1228" spans="6:84" ht="19.5" x14ac:dyDescent="0.4">
      <c r="AX1228" s="115"/>
      <c r="AY1228" s="115"/>
      <c r="AZ1228" s="115"/>
      <c r="BA1228" s="115"/>
      <c r="BB1228" s="115"/>
      <c r="BC1228" s="115"/>
      <c r="BD1228" s="17"/>
      <c r="BE1228" s="13"/>
      <c r="BJ1228" s="117"/>
      <c r="BK1228" s="123"/>
      <c r="BL1228" s="123"/>
      <c r="BM1228" s="123"/>
      <c r="BN1228" s="115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25"/>
      <c r="CC1228" s="15"/>
      <c r="CF1228" s="114"/>
    </row>
    <row r="1229" spans="6:84" ht="19.5" x14ac:dyDescent="0.4">
      <c r="AW1229" s="115"/>
      <c r="AX1229" s="115"/>
      <c r="AY1229" s="115"/>
      <c r="AZ1229" s="115"/>
      <c r="BA1229" s="115"/>
      <c r="BB1229" s="115"/>
      <c r="BC1229" s="115"/>
      <c r="BD1229" s="26"/>
      <c r="BE1229" s="13"/>
      <c r="BJ1229" s="117"/>
      <c r="BK1229" s="123"/>
      <c r="BL1229" s="123"/>
      <c r="BM1229" s="123"/>
      <c r="BN1229" s="115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25"/>
      <c r="CC1229" s="15"/>
      <c r="CF1229" s="114"/>
    </row>
    <row r="1230" spans="6:84" ht="19.5" x14ac:dyDescent="0.4">
      <c r="AW1230" s="115"/>
      <c r="AX1230" s="115"/>
      <c r="AY1230" s="115"/>
      <c r="AZ1230" s="115"/>
      <c r="BA1230" s="115"/>
      <c r="BB1230" s="115"/>
      <c r="BC1230" s="115"/>
      <c r="BD1230" s="17"/>
      <c r="BE1230" s="13"/>
      <c r="BJ1230" s="117"/>
      <c r="BK1230" s="123"/>
      <c r="BL1230" s="123"/>
      <c r="BM1230" s="123"/>
      <c r="BN1230" s="115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25"/>
      <c r="CC1230" s="15"/>
      <c r="CF1230" s="114"/>
    </row>
    <row r="1231" spans="6:84" ht="19.5" x14ac:dyDescent="0.4">
      <c r="AW1231" s="115"/>
      <c r="AX1231" s="115"/>
      <c r="AY1231" s="115"/>
      <c r="AZ1231" s="115"/>
      <c r="BA1231" s="115"/>
      <c r="BB1231" s="115"/>
      <c r="BC1231" s="115"/>
      <c r="BD1231" s="17"/>
      <c r="BE1231" s="13"/>
      <c r="BJ1231" s="117"/>
      <c r="BK1231" s="123"/>
      <c r="BL1231" s="123"/>
      <c r="BM1231" s="123"/>
      <c r="BN1231" s="115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25"/>
      <c r="CC1231" s="15"/>
      <c r="CF1231" s="114"/>
    </row>
    <row r="1232" spans="6:84" ht="19.5" x14ac:dyDescent="0.4">
      <c r="AT1232" s="115"/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26"/>
      <c r="BE1232" s="13"/>
      <c r="BJ1232" s="117"/>
      <c r="BK1232" s="123"/>
      <c r="BL1232" s="123"/>
      <c r="BM1232" s="123"/>
      <c r="BN1232" s="115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25"/>
      <c r="CC1232" s="15"/>
      <c r="CF1232" s="114"/>
    </row>
    <row r="1233" spans="6:84" ht="19.5" x14ac:dyDescent="0.4"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20"/>
      <c r="BE1233" s="13"/>
      <c r="BJ1233" s="117"/>
      <c r="BK1233" s="123"/>
      <c r="BL1233" s="123"/>
      <c r="BM1233" s="123"/>
      <c r="BN1233" s="115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25"/>
      <c r="CC1233" s="15"/>
      <c r="CF1233" s="114"/>
    </row>
    <row r="1234" spans="6:84" ht="19.5" x14ac:dyDescent="0.4"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20"/>
      <c r="BE1234" s="13"/>
      <c r="BJ1234" s="117"/>
      <c r="BK1234" s="123"/>
      <c r="BL1234" s="123"/>
      <c r="BM1234" s="123"/>
      <c r="BN1234" s="115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25"/>
      <c r="CC1234" s="15"/>
      <c r="CF1234" s="114"/>
    </row>
    <row r="1235" spans="6:84" ht="19.5" x14ac:dyDescent="0.4"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25"/>
      <c r="BE1235" s="15"/>
      <c r="BJ1235" s="117"/>
      <c r="BK1235" s="123"/>
      <c r="BL1235" s="123"/>
      <c r="BM1235" s="123"/>
      <c r="BN1235" s="115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25"/>
      <c r="CC1235" s="15"/>
      <c r="CF1235" s="114"/>
    </row>
    <row r="1236" spans="6:84" ht="19.5" x14ac:dyDescent="0.4"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25"/>
      <c r="BE1236" s="15"/>
      <c r="BJ1236" s="117"/>
      <c r="BK1236" s="123"/>
      <c r="BL1236" s="123"/>
      <c r="BM1236" s="123"/>
      <c r="BN1236" s="115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25"/>
      <c r="CC1236" s="15"/>
      <c r="CF1236" s="114"/>
    </row>
    <row r="1237" spans="6:84" ht="19.5" x14ac:dyDescent="0.4"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15"/>
      <c r="AT1237" s="115"/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25"/>
      <c r="BE1237" s="15"/>
      <c r="BJ1237" s="117"/>
      <c r="BK1237" s="123"/>
      <c r="BL1237" s="123"/>
      <c r="BM1237" s="123"/>
      <c r="BN1237" s="115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25"/>
      <c r="CC1237" s="15"/>
      <c r="CF1237" s="114"/>
    </row>
    <row r="1238" spans="6:84" ht="19.5" x14ac:dyDescent="0.4">
      <c r="BD1238" s="26"/>
      <c r="BE1238" s="15"/>
      <c r="BJ1238" s="117"/>
      <c r="BK1238" s="123"/>
      <c r="BL1238" s="123"/>
      <c r="BM1238" s="123"/>
      <c r="BN1238" s="115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25">
        <v>45272</v>
      </c>
      <c r="CC1238" s="15" t="s">
        <v>162</v>
      </c>
      <c r="CF1238" s="114"/>
    </row>
    <row r="1239" spans="6:84" ht="19.5" x14ac:dyDescent="0.4">
      <c r="BD1239" s="26"/>
      <c r="BE1239" s="13"/>
      <c r="BJ1239" s="117"/>
      <c r="BK1239" s="123"/>
      <c r="BL1239" s="123"/>
      <c r="BM1239" s="123"/>
      <c r="BN1239" s="115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25"/>
      <c r="CC1239" s="15"/>
      <c r="CF1239" s="114"/>
    </row>
    <row r="1240" spans="6:84" ht="19.5" x14ac:dyDescent="0.4"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26"/>
      <c r="BE1240" s="13"/>
      <c r="BJ1240" s="117"/>
      <c r="BK1240" s="123"/>
      <c r="BL1240" s="123"/>
      <c r="BM1240" s="123"/>
      <c r="BN1240" s="115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25"/>
      <c r="CC1240" s="15"/>
      <c r="CF1240" s="114"/>
    </row>
    <row r="1241" spans="6:84" ht="19.5" x14ac:dyDescent="0.4">
      <c r="BD1241" s="26"/>
      <c r="BE1241" s="13"/>
      <c r="BJ1241" s="117"/>
      <c r="BK1241" s="123"/>
      <c r="BL1241" s="123"/>
      <c r="BM1241" s="123"/>
      <c r="BN1241" s="115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25">
        <v>45272</v>
      </c>
      <c r="CC1241" s="15" t="s">
        <v>162</v>
      </c>
      <c r="CF1241" s="114"/>
    </row>
    <row r="1242" spans="6:84" ht="19.5" x14ac:dyDescent="0.4">
      <c r="AV1242" s="115"/>
      <c r="AW1242" s="115"/>
      <c r="AX1242" s="115"/>
      <c r="AY1242" s="115"/>
      <c r="AZ1242" s="115"/>
      <c r="BA1242" s="115"/>
      <c r="BB1242" s="115"/>
      <c r="BC1242" s="115"/>
      <c r="BD1242" s="17"/>
      <c r="BE1242" s="13"/>
      <c r="BJ1242" s="117"/>
      <c r="BK1242" s="123"/>
      <c r="BL1242" s="123"/>
      <c r="BM1242" s="123"/>
      <c r="BN1242" s="115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25"/>
      <c r="CC1242" s="15"/>
      <c r="CF1242" s="114"/>
    </row>
    <row r="1243" spans="6:84" ht="19.5" x14ac:dyDescent="0.4">
      <c r="BD1243" s="26"/>
      <c r="BE1243" s="13"/>
      <c r="BJ1243" s="117"/>
      <c r="BK1243" s="123"/>
      <c r="BL1243" s="123"/>
      <c r="BM1243" s="123"/>
      <c r="BN1243" s="115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25"/>
      <c r="CC1243" s="15"/>
      <c r="CF1243" s="114"/>
    </row>
    <row r="1244" spans="6:84" ht="19.5" x14ac:dyDescent="0.4"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26"/>
      <c r="BE1244" s="13"/>
      <c r="BJ1244" s="117"/>
      <c r="BK1244" s="123"/>
      <c r="BL1244" s="123"/>
      <c r="BM1244" s="123"/>
      <c r="BN1244" s="115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25"/>
      <c r="CC1244" s="15"/>
      <c r="CF1244" s="114"/>
    </row>
    <row r="1245" spans="6:84" ht="19.5" x14ac:dyDescent="0.4">
      <c r="BD1245" s="26"/>
      <c r="BE1245" s="13"/>
      <c r="BJ1245" s="117"/>
      <c r="BK1245" s="123"/>
      <c r="BL1245" s="123"/>
      <c r="BM1245" s="123"/>
      <c r="BN1245" s="115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25">
        <v>45272</v>
      </c>
      <c r="CC1245" s="15" t="s">
        <v>162</v>
      </c>
      <c r="CF1245" s="114"/>
    </row>
    <row r="1246" spans="6:84" ht="19.5" x14ac:dyDescent="0.4">
      <c r="BD1246" s="26"/>
      <c r="BE1246" s="13"/>
      <c r="BJ1246" s="117"/>
      <c r="BK1246" s="123"/>
      <c r="BL1246" s="123"/>
      <c r="BM1246" s="123"/>
      <c r="BN1246" s="115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 t="s">
        <v>166</v>
      </c>
      <c r="CB1246" s="13">
        <f>SUBTOTAL(3,CB1194:CB1245)</f>
        <v>13</v>
      </c>
      <c r="CC1246" s="15">
        <f>SUBTOTAL(3,CC1194:CC1245)</f>
        <v>13</v>
      </c>
      <c r="CF1246" s="114"/>
    </row>
    <row r="1247" spans="6:84" ht="19.5" x14ac:dyDescent="0.4">
      <c r="AV1247" s="115"/>
      <c r="AW1247" s="115"/>
      <c r="AX1247" s="115"/>
      <c r="AY1247" s="115"/>
      <c r="AZ1247" s="115"/>
      <c r="BA1247" s="115"/>
      <c r="BB1247" s="115"/>
      <c r="BC1247" s="115"/>
      <c r="BD1247" s="17"/>
      <c r="BE1247" s="13"/>
      <c r="BJ1247" s="117"/>
      <c r="BK1247" s="123"/>
      <c r="BL1247" s="123"/>
      <c r="BM1247" s="123"/>
      <c r="BN1247" s="115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3"/>
      <c r="CC1247" s="15"/>
      <c r="CF1247" s="114"/>
    </row>
    <row r="1248" spans="6:84" ht="19.5" x14ac:dyDescent="0.4">
      <c r="BD1248" s="26"/>
      <c r="BE1248" s="13"/>
      <c r="BJ1248" s="117"/>
      <c r="BK1248" s="123"/>
      <c r="BL1248" s="123"/>
      <c r="BM1248" s="123"/>
      <c r="BN1248" s="115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25">
        <v>45273</v>
      </c>
      <c r="CC1248" s="105" t="s">
        <v>164</v>
      </c>
      <c r="CF1248" s="114"/>
    </row>
    <row r="1249" spans="45:84" ht="19.5" x14ac:dyDescent="0.4">
      <c r="BD1249" s="26"/>
      <c r="BE1249" s="13"/>
      <c r="BJ1249" s="117"/>
      <c r="BK1249" s="123"/>
      <c r="BL1249" s="123"/>
      <c r="BM1249" s="123"/>
      <c r="BN1249" s="115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25">
        <v>45273</v>
      </c>
      <c r="CC1249" s="15" t="s">
        <v>164</v>
      </c>
      <c r="CF1249" s="114"/>
    </row>
    <row r="1250" spans="45:84" ht="19.5" x14ac:dyDescent="0.4"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26"/>
      <c r="BE1250" s="13"/>
      <c r="BJ1250" s="117"/>
      <c r="BK1250" s="123"/>
      <c r="BL1250" s="123"/>
      <c r="BM1250" s="123"/>
      <c r="BN1250" s="115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25"/>
      <c r="CC1250" s="13"/>
      <c r="CF1250" s="114"/>
    </row>
    <row r="1251" spans="45:84" ht="19.5" x14ac:dyDescent="0.4">
      <c r="BD1251" s="26"/>
      <c r="BE1251" s="13"/>
      <c r="BJ1251" s="117"/>
      <c r="BK1251" s="123"/>
      <c r="BL1251" s="123"/>
      <c r="BM1251" s="123"/>
      <c r="BN1251" s="115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25">
        <v>45273</v>
      </c>
      <c r="CC1251" s="13" t="s">
        <v>164</v>
      </c>
      <c r="CF1251" s="114"/>
    </row>
    <row r="1252" spans="45:84" ht="19.5" x14ac:dyDescent="0.4">
      <c r="BD1252" s="26"/>
      <c r="BE1252" s="13"/>
      <c r="BJ1252" s="117"/>
      <c r="BK1252" s="123"/>
      <c r="BL1252" s="123"/>
      <c r="BM1252" s="123"/>
      <c r="BN1252" s="115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25">
        <v>45273</v>
      </c>
      <c r="CC1252" s="15" t="s">
        <v>164</v>
      </c>
      <c r="CF1252" s="114"/>
    </row>
    <row r="1253" spans="45:84" ht="19.5" x14ac:dyDescent="0.4">
      <c r="BD1253" s="26"/>
      <c r="BE1253" s="13"/>
      <c r="BJ1253" s="117"/>
      <c r="BK1253" s="123"/>
      <c r="BL1253" s="123"/>
      <c r="BM1253" s="123"/>
      <c r="BN1253" s="115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25">
        <v>45273</v>
      </c>
      <c r="CC1253" s="15" t="s">
        <v>162</v>
      </c>
      <c r="CF1253" s="114"/>
    </row>
    <row r="1254" spans="45:84" ht="19.5" x14ac:dyDescent="0.4"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26"/>
      <c r="BE1254" s="13"/>
      <c r="BJ1254" s="117"/>
      <c r="BK1254" s="123"/>
      <c r="BL1254" s="123"/>
      <c r="BM1254" s="123"/>
      <c r="BN1254" s="115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25"/>
      <c r="CC1254" s="15"/>
      <c r="CF1254" s="114"/>
    </row>
    <row r="1255" spans="45:84" ht="19.5" x14ac:dyDescent="0.4">
      <c r="BD1255" s="26"/>
      <c r="BE1255" s="13"/>
      <c r="BJ1255" s="117"/>
      <c r="BK1255" s="123"/>
      <c r="BL1255" s="123"/>
      <c r="BM1255" s="123"/>
      <c r="BN1255" s="115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25">
        <v>45273</v>
      </c>
      <c r="CC1255" s="15" t="s">
        <v>162</v>
      </c>
      <c r="CF1255" s="114"/>
    </row>
    <row r="1256" spans="45:84" ht="19.5" x14ac:dyDescent="0.4">
      <c r="BD1256" s="26"/>
      <c r="BE1256" s="13"/>
      <c r="BJ1256" s="117"/>
      <c r="BK1256" s="123"/>
      <c r="BL1256" s="123"/>
      <c r="BM1256" s="123"/>
      <c r="BN1256" s="115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25">
        <v>45273</v>
      </c>
      <c r="CC1256" s="15" t="s">
        <v>162</v>
      </c>
      <c r="CF1256" s="114"/>
    </row>
    <row r="1257" spans="45:84" ht="19.5" x14ac:dyDescent="0.4">
      <c r="BD1257" s="26"/>
      <c r="BE1257" s="13"/>
      <c r="BJ1257" s="117"/>
      <c r="BK1257" s="123"/>
      <c r="BL1257" s="123"/>
      <c r="BM1257" s="123"/>
      <c r="BN1257" s="115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25">
        <v>45273</v>
      </c>
      <c r="CC1257" s="15" t="s">
        <v>162</v>
      </c>
      <c r="CF1257" s="114"/>
    </row>
    <row r="1258" spans="45:84" ht="19.5" x14ac:dyDescent="0.4"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26"/>
      <c r="BE1258" s="13"/>
      <c r="BJ1258" s="117"/>
      <c r="BK1258" s="123"/>
      <c r="BL1258" s="123"/>
      <c r="BM1258" s="123"/>
      <c r="BN1258" s="115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25"/>
      <c r="CC1258" s="15"/>
      <c r="CF1258" s="114"/>
    </row>
    <row r="1259" spans="45:84" ht="19.5" x14ac:dyDescent="0.4">
      <c r="BD1259" s="26"/>
      <c r="BE1259" s="13"/>
      <c r="BJ1259" s="117"/>
      <c r="BK1259" s="123"/>
      <c r="BL1259" s="123"/>
      <c r="BM1259" s="123"/>
      <c r="BN1259" s="115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25">
        <v>45273</v>
      </c>
      <c r="CC1259" s="15" t="s">
        <v>162</v>
      </c>
      <c r="CF1259" s="114"/>
    </row>
    <row r="1260" spans="45:84" ht="19.5" x14ac:dyDescent="0.4">
      <c r="BD1260" s="26"/>
      <c r="BE1260" s="13"/>
      <c r="BJ1260" s="117"/>
      <c r="BK1260" s="123"/>
      <c r="BL1260" s="123"/>
      <c r="BM1260" s="123"/>
      <c r="BN1260" s="115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25">
        <v>45273</v>
      </c>
      <c r="CC1260" s="15" t="s">
        <v>162</v>
      </c>
      <c r="CF1260" s="114"/>
    </row>
    <row r="1261" spans="45:84" ht="19.5" x14ac:dyDescent="0.4">
      <c r="BD1261" s="26"/>
      <c r="BE1261" s="13"/>
      <c r="BJ1261" s="117"/>
      <c r="BK1261" s="123"/>
      <c r="BL1261" s="123"/>
      <c r="BM1261" s="123"/>
      <c r="BN1261" s="115"/>
      <c r="BO1261" s="115"/>
      <c r="BP1261" s="115"/>
      <c r="BQ1261" s="115"/>
      <c r="BR1261" s="124"/>
      <c r="BS1261" s="124"/>
      <c r="BT1261" s="124"/>
      <c r="BU1261" s="124"/>
      <c r="BV1261" s="124"/>
      <c r="BW1261" s="124"/>
      <c r="BX1261" s="124"/>
      <c r="BY1261" s="124"/>
      <c r="BZ1261" s="124"/>
      <c r="CA1261" s="124"/>
      <c r="CB1261" s="25">
        <v>45273</v>
      </c>
      <c r="CC1261" s="15" t="s">
        <v>162</v>
      </c>
      <c r="CF1261" s="114"/>
    </row>
    <row r="1262" spans="45:84" ht="19.5" x14ac:dyDescent="0.4">
      <c r="BD1262" s="26"/>
      <c r="BE1262" s="13"/>
      <c r="BJ1262" s="117"/>
      <c r="BK1262" s="123"/>
      <c r="BL1262" s="123"/>
      <c r="BM1262" s="123"/>
      <c r="BN1262" s="115"/>
      <c r="BO1262" s="115"/>
      <c r="BP1262" s="115"/>
      <c r="BQ1262" s="115"/>
      <c r="BR1262" s="124"/>
      <c r="BS1262" s="124"/>
      <c r="BT1262" s="124"/>
      <c r="BU1262" s="124"/>
      <c r="BV1262" s="124"/>
      <c r="BW1262" s="124"/>
      <c r="BX1262" s="124"/>
      <c r="BY1262" s="124"/>
      <c r="BZ1262" s="124"/>
      <c r="CA1262" s="124"/>
      <c r="CB1262" s="25">
        <v>45273</v>
      </c>
      <c r="CC1262" s="15" t="s">
        <v>162</v>
      </c>
      <c r="CF1262" s="114"/>
    </row>
    <row r="1263" spans="45:84" ht="19.5" x14ac:dyDescent="0.4">
      <c r="AV1263" s="115"/>
      <c r="AW1263" s="115"/>
      <c r="AX1263" s="115"/>
      <c r="AY1263" s="115"/>
      <c r="AZ1263" s="115"/>
      <c r="BA1263" s="115"/>
      <c r="BB1263" s="115"/>
      <c r="BC1263" s="115"/>
      <c r="BD1263" s="17"/>
      <c r="BE1263" s="13"/>
      <c r="BJ1263" s="117"/>
      <c r="BK1263" s="123"/>
      <c r="BL1263" s="123"/>
      <c r="BM1263" s="123"/>
      <c r="BN1263" s="115"/>
      <c r="BO1263" s="115"/>
      <c r="BP1263" s="115"/>
      <c r="BQ1263" s="115"/>
      <c r="BR1263" s="124"/>
      <c r="BS1263" s="124"/>
      <c r="BT1263" s="124"/>
      <c r="BU1263" s="124"/>
      <c r="BV1263" s="124"/>
      <c r="BW1263" s="124"/>
      <c r="BX1263" s="124"/>
      <c r="BY1263" s="124"/>
      <c r="BZ1263" s="124"/>
      <c r="CA1263" s="124"/>
      <c r="CB1263" s="25"/>
      <c r="CC1263" s="15"/>
      <c r="CF1263" s="114"/>
    </row>
    <row r="1264" spans="45:84" ht="19.5" x14ac:dyDescent="0.4">
      <c r="BD1264" s="26"/>
      <c r="BE1264" s="13"/>
      <c r="BJ1264" s="117"/>
      <c r="BK1264" s="123"/>
      <c r="BL1264" s="123"/>
      <c r="BM1264" s="123"/>
      <c r="BN1264" s="115"/>
      <c r="BO1264" s="115"/>
      <c r="BP1264" s="115"/>
      <c r="BQ1264" s="115"/>
      <c r="BR1264" s="124"/>
      <c r="BS1264" s="124"/>
      <c r="BT1264" s="124"/>
      <c r="BU1264" s="124"/>
      <c r="BV1264" s="124"/>
      <c r="BW1264" s="124"/>
      <c r="BX1264" s="124"/>
      <c r="BY1264" s="124"/>
      <c r="BZ1264" s="124"/>
      <c r="CA1264" s="124"/>
      <c r="CB1264" s="25">
        <v>45273</v>
      </c>
      <c r="CC1264" s="15" t="s">
        <v>162</v>
      </c>
      <c r="CF1264" s="114"/>
    </row>
    <row r="1265" spans="6:84" ht="19.5" x14ac:dyDescent="0.4">
      <c r="AV1265" s="115"/>
      <c r="AW1265" s="115"/>
      <c r="AX1265" s="115"/>
      <c r="AY1265" s="115"/>
      <c r="AZ1265" s="115"/>
      <c r="BA1265" s="115"/>
      <c r="BB1265" s="115"/>
      <c r="BC1265" s="115"/>
      <c r="BD1265" s="17"/>
      <c r="BE1265" s="13"/>
      <c r="BJ1265" s="117"/>
      <c r="BK1265" s="123"/>
      <c r="BL1265" s="123"/>
      <c r="BM1265" s="123"/>
      <c r="BN1265" s="115"/>
      <c r="BO1265" s="115"/>
      <c r="BP1265" s="115"/>
      <c r="BQ1265" s="115"/>
      <c r="BR1265" s="124"/>
      <c r="BS1265" s="124"/>
      <c r="BT1265" s="124"/>
      <c r="BU1265" s="124"/>
      <c r="BV1265" s="124"/>
      <c r="BW1265" s="124"/>
      <c r="BX1265" s="124"/>
      <c r="BY1265" s="124"/>
      <c r="BZ1265" s="124"/>
      <c r="CA1265" s="124"/>
      <c r="CB1265" s="25"/>
      <c r="CC1265" s="15"/>
      <c r="CF1265" s="114"/>
    </row>
    <row r="1266" spans="6:84" ht="19.5" x14ac:dyDescent="0.4">
      <c r="BD1266" s="26"/>
      <c r="BE1266" s="13"/>
      <c r="BJ1266" s="117"/>
      <c r="BK1266" s="123"/>
      <c r="BL1266" s="123"/>
      <c r="BM1266" s="123"/>
      <c r="BN1266" s="115"/>
      <c r="BO1266" s="115"/>
      <c r="BP1266" s="115"/>
      <c r="BQ1266" s="115"/>
      <c r="BR1266" s="124"/>
      <c r="BS1266" s="124"/>
      <c r="BT1266" s="124"/>
      <c r="BU1266" s="124"/>
      <c r="BV1266" s="124"/>
      <c r="BW1266" s="124"/>
      <c r="BX1266" s="124"/>
      <c r="BY1266" s="124"/>
      <c r="BZ1266" s="124"/>
      <c r="CA1266" s="124"/>
      <c r="CB1266" s="25">
        <v>45273</v>
      </c>
      <c r="CC1266" s="15" t="s">
        <v>162</v>
      </c>
      <c r="CF1266" s="114"/>
    </row>
    <row r="1267" spans="6:84" ht="19.5" x14ac:dyDescent="0.4">
      <c r="BD1267" s="26"/>
      <c r="BE1267" s="13"/>
      <c r="BJ1267" s="117"/>
      <c r="BK1267" s="123"/>
      <c r="BL1267" s="123"/>
      <c r="BM1267" s="123"/>
      <c r="BN1267" s="115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25">
        <v>45273</v>
      </c>
      <c r="CC1267" s="13" t="s">
        <v>162</v>
      </c>
      <c r="CF1267" s="114"/>
    </row>
    <row r="1268" spans="6:84" ht="19.5" x14ac:dyDescent="0.4">
      <c r="BD1268" s="26"/>
      <c r="BE1268" s="13"/>
      <c r="BJ1268" s="117"/>
      <c r="BK1268" s="123"/>
      <c r="BL1268" s="123"/>
      <c r="BM1268" s="123"/>
      <c r="BN1268" s="115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25">
        <v>45273</v>
      </c>
      <c r="CC1268" s="15" t="s">
        <v>162</v>
      </c>
      <c r="CF1268" s="114"/>
    </row>
    <row r="1269" spans="6:84" ht="19.5" x14ac:dyDescent="0.4">
      <c r="BD1269" s="26"/>
      <c r="BE1269" s="13"/>
      <c r="BJ1269" s="117"/>
      <c r="BK1269" s="123"/>
      <c r="BL1269" s="123"/>
      <c r="BM1269" s="123"/>
      <c r="BN1269" s="115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25">
        <v>45273</v>
      </c>
      <c r="CC1269" s="15" t="s">
        <v>162</v>
      </c>
      <c r="CF1269" s="114"/>
    </row>
    <row r="1270" spans="6:84" ht="19.5" x14ac:dyDescent="0.4"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26"/>
      <c r="BE1270" s="25"/>
      <c r="BJ1270" s="117"/>
      <c r="BK1270" s="123"/>
      <c r="BL1270" s="123"/>
      <c r="BM1270" s="123"/>
      <c r="BN1270" s="115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25"/>
      <c r="CC1270" s="15"/>
      <c r="CF1270" s="114"/>
    </row>
    <row r="1271" spans="6:84" ht="19.5" x14ac:dyDescent="0.4">
      <c r="BD1271" s="26"/>
      <c r="BE1271" s="25"/>
      <c r="BJ1271" s="117"/>
      <c r="BK1271" s="123"/>
      <c r="BL1271" s="123"/>
      <c r="BM1271" s="123"/>
      <c r="BN1271" s="115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25">
        <v>45273</v>
      </c>
      <c r="CC1271" s="15" t="s">
        <v>162</v>
      </c>
      <c r="CF1271" s="114"/>
    </row>
    <row r="1272" spans="6:84" ht="19.5" x14ac:dyDescent="0.4">
      <c r="BD1272" s="26"/>
      <c r="BE1272" s="13"/>
      <c r="BJ1272" s="117"/>
      <c r="BK1272" s="123"/>
      <c r="BL1272" s="123"/>
      <c r="BM1272" s="123"/>
      <c r="BN1272" s="115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25">
        <v>45273</v>
      </c>
      <c r="CC1272" s="15" t="s">
        <v>162</v>
      </c>
      <c r="CF1272" s="114"/>
    </row>
    <row r="1273" spans="6:84" ht="19.5" x14ac:dyDescent="0.4"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26"/>
      <c r="BE1273" s="13"/>
      <c r="BJ1273" s="117"/>
      <c r="BK1273" s="123"/>
      <c r="BL1273" s="123"/>
      <c r="BM1273" s="123"/>
      <c r="BN1273" s="115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25"/>
      <c r="CC1273" s="15"/>
      <c r="CF1273" s="114"/>
    </row>
    <row r="1274" spans="6:84" ht="19.5" x14ac:dyDescent="0.4"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26"/>
      <c r="BE1274" s="13"/>
      <c r="BJ1274" s="117"/>
      <c r="BK1274" s="123"/>
      <c r="BL1274" s="123"/>
      <c r="BM1274" s="123"/>
      <c r="BN1274" s="115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25"/>
      <c r="CC1274" s="15"/>
      <c r="CF1274" s="114"/>
    </row>
    <row r="1275" spans="6:84" ht="19.5" x14ac:dyDescent="0.4">
      <c r="BD1275" s="26"/>
      <c r="BE1275" s="13"/>
      <c r="BJ1275" s="117"/>
      <c r="BK1275" s="123"/>
      <c r="BL1275" s="123"/>
      <c r="BM1275" s="123"/>
      <c r="BN1275" s="115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25">
        <v>45273</v>
      </c>
      <c r="CC1275" s="15" t="s">
        <v>162</v>
      </c>
      <c r="CF1275" s="114"/>
    </row>
    <row r="1276" spans="6:84" ht="19.5" x14ac:dyDescent="0.4">
      <c r="BD1276" s="26"/>
      <c r="BE1276" s="13"/>
      <c r="BJ1276" s="117"/>
      <c r="BK1276" s="123"/>
      <c r="BL1276" s="123"/>
      <c r="BM1276" s="123"/>
      <c r="BN1276" s="115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25">
        <v>45273</v>
      </c>
      <c r="CC1276" s="15" t="s">
        <v>162</v>
      </c>
      <c r="CF1276" s="114"/>
    </row>
    <row r="1277" spans="6:84" ht="19.5" x14ac:dyDescent="0.4">
      <c r="BD1277" s="26"/>
      <c r="BE1277" s="13"/>
      <c r="BJ1277" s="117"/>
      <c r="BK1277" s="123"/>
      <c r="BL1277" s="123"/>
      <c r="BM1277" s="123"/>
      <c r="BN1277" s="115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25">
        <v>45273</v>
      </c>
      <c r="CC1277" s="13" t="s">
        <v>163</v>
      </c>
      <c r="CF1277" s="114"/>
    </row>
    <row r="1278" spans="6:84" ht="19.5" x14ac:dyDescent="0.4">
      <c r="BD1278" s="26"/>
      <c r="BE1278" s="13"/>
      <c r="BJ1278" s="117"/>
      <c r="BK1278" s="123"/>
      <c r="BL1278" s="123"/>
      <c r="BM1278" s="123"/>
      <c r="BN1278" s="115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25"/>
      <c r="CC1278" s="13"/>
      <c r="CF1278" s="114"/>
    </row>
    <row r="1279" spans="6:84" ht="19.5" x14ac:dyDescent="0.4">
      <c r="BD1279" s="26"/>
      <c r="BE1279" s="13"/>
      <c r="BJ1279" s="117"/>
      <c r="BK1279" s="123"/>
      <c r="BL1279" s="123"/>
      <c r="BM1279" s="123"/>
      <c r="BN1279" s="115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 t="s">
        <v>152</v>
      </c>
      <c r="CB1279" s="13">
        <f>SUBTOTAL(3,CB1248:CB1277)</f>
        <v>22</v>
      </c>
      <c r="CC1279" s="13">
        <f>SUBTOTAL(3,CC1248:CC1277)</f>
        <v>22</v>
      </c>
      <c r="CF1279" s="114"/>
    </row>
    <row r="1280" spans="6:84" ht="19.5" x14ac:dyDescent="0.4">
      <c r="BD1280" s="26"/>
      <c r="BE1280" s="13"/>
      <c r="BJ1280" s="117"/>
      <c r="BK1280" s="123"/>
      <c r="BL1280" s="123"/>
      <c r="BM1280" s="123"/>
      <c r="BN1280" s="115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25">
        <v>45274</v>
      </c>
      <c r="CC1280" s="15" t="s">
        <v>162</v>
      </c>
      <c r="CF1280" s="114"/>
    </row>
    <row r="1281" spans="6:84" ht="19.5" x14ac:dyDescent="0.4">
      <c r="AT1281" s="115"/>
      <c r="AU1281" s="115"/>
      <c r="AV1281" s="115"/>
      <c r="AW1281" s="115"/>
      <c r="AX1281" s="115"/>
      <c r="AY1281" s="115"/>
      <c r="AZ1281" s="115"/>
      <c r="BA1281" s="115"/>
      <c r="BB1281" s="115"/>
      <c r="BC1281" s="115"/>
      <c r="BD1281" s="26"/>
      <c r="BE1281" s="13"/>
      <c r="BJ1281" s="117"/>
      <c r="BK1281" s="123"/>
      <c r="BL1281" s="123"/>
      <c r="BM1281" s="123"/>
      <c r="BN1281" s="115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25"/>
      <c r="CC1281" s="15"/>
      <c r="CF1281" s="114"/>
    </row>
    <row r="1282" spans="6:84" ht="19.5" x14ac:dyDescent="0.4"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115"/>
      <c r="BD1282" s="26"/>
      <c r="BE1282" s="13"/>
      <c r="BJ1282" s="117"/>
      <c r="BK1282" s="123"/>
      <c r="BL1282" s="123"/>
      <c r="BM1282" s="123"/>
      <c r="BN1282" s="115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25"/>
      <c r="CC1282" s="15"/>
      <c r="CF1282" s="114"/>
    </row>
    <row r="1283" spans="6:84" ht="19.5" x14ac:dyDescent="0.4">
      <c r="BD1283" s="26"/>
      <c r="BE1283" s="13"/>
      <c r="BJ1283" s="117"/>
      <c r="BK1283" s="123"/>
      <c r="BL1283" s="123"/>
      <c r="BM1283" s="123"/>
      <c r="BN1283" s="115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25">
        <v>45274</v>
      </c>
      <c r="CC1283" s="15" t="s">
        <v>162</v>
      </c>
      <c r="CF1283" s="114"/>
    </row>
    <row r="1284" spans="6:84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26"/>
      <c r="BE1284" s="13"/>
      <c r="BJ1284" s="117"/>
      <c r="BK1284" s="123"/>
      <c r="BL1284" s="123"/>
      <c r="BM1284" s="123"/>
      <c r="BN1284" s="115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25"/>
      <c r="CC1284" s="15"/>
      <c r="CF1284" s="114"/>
    </row>
    <row r="1285" spans="6:84" ht="19.5" x14ac:dyDescent="0.4">
      <c r="AT1285" s="115"/>
      <c r="AU1285" s="115"/>
      <c r="AV1285" s="115"/>
      <c r="AW1285" s="115"/>
      <c r="AX1285" s="115"/>
      <c r="AY1285" s="115"/>
      <c r="AZ1285" s="115"/>
      <c r="BA1285" s="115"/>
      <c r="BB1285" s="115"/>
      <c r="BC1285" s="115"/>
      <c r="BD1285" s="26"/>
      <c r="BE1285" s="13"/>
      <c r="BJ1285" s="117"/>
      <c r="BK1285" s="123"/>
      <c r="BL1285" s="123"/>
      <c r="BM1285" s="123"/>
      <c r="BN1285" s="115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25"/>
      <c r="CC1285" s="15"/>
      <c r="CF1285" s="114"/>
    </row>
    <row r="1286" spans="6:84" ht="19.5" x14ac:dyDescent="0.4"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115"/>
      <c r="BC1286" s="115"/>
      <c r="BD1286" s="26"/>
      <c r="BE1286" s="13"/>
      <c r="BJ1286" s="117"/>
      <c r="BK1286" s="123"/>
      <c r="BL1286" s="123"/>
      <c r="BM1286" s="123"/>
      <c r="BN1286" s="115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25"/>
      <c r="CC1286" s="15"/>
      <c r="CF1286" s="114"/>
    </row>
    <row r="1287" spans="6:84" ht="19.5" x14ac:dyDescent="0.4">
      <c r="BD1287" s="26"/>
      <c r="BE1287" s="13"/>
      <c r="BJ1287" s="117"/>
      <c r="BK1287" s="123"/>
      <c r="BL1287" s="123"/>
      <c r="BM1287" s="123"/>
      <c r="BN1287" s="115"/>
      <c r="BO1287" s="115"/>
      <c r="BP1287" s="115"/>
      <c r="BQ1287" s="115"/>
      <c r="BR1287" s="115"/>
      <c r="BS1287" s="115"/>
      <c r="BT1287" s="115"/>
      <c r="BU1287" s="115"/>
      <c r="BV1287" s="115"/>
      <c r="BW1287" s="115"/>
      <c r="BX1287" s="115"/>
      <c r="BY1287" s="115"/>
      <c r="BZ1287" s="115"/>
      <c r="CA1287" s="115"/>
      <c r="CB1287" s="25">
        <v>45274</v>
      </c>
      <c r="CC1287" s="15" t="s">
        <v>162</v>
      </c>
      <c r="CF1287" s="114"/>
    </row>
    <row r="1288" spans="6:84" ht="19.5" x14ac:dyDescent="0.4">
      <c r="AS1288" s="115"/>
      <c r="AT1288" s="115"/>
      <c r="AU1288" s="115"/>
      <c r="AV1288" s="115"/>
      <c r="AW1288" s="115"/>
      <c r="AX1288" s="115"/>
      <c r="AY1288" s="115"/>
      <c r="AZ1288" s="115"/>
      <c r="BA1288" s="115"/>
      <c r="BB1288" s="115"/>
      <c r="BC1288" s="115"/>
      <c r="BD1288" s="26"/>
      <c r="BE1288" s="13"/>
      <c r="BJ1288" s="117"/>
      <c r="BK1288" s="123"/>
      <c r="BL1288" s="123"/>
      <c r="BM1288" s="123"/>
      <c r="BN1288" s="115"/>
      <c r="BO1288" s="115"/>
      <c r="BP1288" s="115"/>
      <c r="BQ1288" s="115"/>
      <c r="BR1288" s="115"/>
      <c r="BS1288" s="115"/>
      <c r="BT1288" s="115"/>
      <c r="BU1288" s="115"/>
      <c r="BV1288" s="115"/>
      <c r="BW1288" s="115"/>
      <c r="BX1288" s="115"/>
      <c r="BY1288" s="115"/>
      <c r="BZ1288" s="115"/>
      <c r="CA1288" s="115"/>
      <c r="CB1288" s="25"/>
      <c r="CC1288" s="15"/>
      <c r="CF1288" s="114"/>
    </row>
    <row r="1289" spans="6:84" ht="19.5" x14ac:dyDescent="0.4">
      <c r="BD1289" s="26"/>
      <c r="BE1289" s="13"/>
      <c r="BJ1289" s="117"/>
      <c r="BK1289" s="123"/>
      <c r="BL1289" s="123"/>
      <c r="BM1289" s="123"/>
      <c r="BN1289" s="115"/>
      <c r="BO1289" s="115"/>
      <c r="BP1289" s="115"/>
      <c r="BQ1289" s="115"/>
      <c r="BR1289" s="115"/>
      <c r="BS1289" s="115"/>
      <c r="BT1289" s="115"/>
      <c r="BU1289" s="115"/>
      <c r="BV1289" s="115"/>
      <c r="BW1289" s="115"/>
      <c r="BX1289" s="115"/>
      <c r="BY1289" s="115"/>
      <c r="BZ1289" s="115"/>
      <c r="CA1289" s="115"/>
      <c r="CB1289" s="25">
        <v>45274</v>
      </c>
      <c r="CC1289" s="15" t="s">
        <v>162</v>
      </c>
      <c r="CF1289" s="114"/>
    </row>
    <row r="1290" spans="6:84" ht="19.5" x14ac:dyDescent="0.4">
      <c r="BD1290" s="26"/>
      <c r="BE1290" s="13"/>
      <c r="BJ1290" s="117"/>
      <c r="BK1290" s="123"/>
      <c r="BL1290" s="123"/>
      <c r="BM1290" s="123"/>
      <c r="BN1290" s="115"/>
      <c r="BO1290" s="115"/>
      <c r="BP1290" s="115"/>
      <c r="BQ1290" s="115"/>
      <c r="BR1290" s="115"/>
      <c r="BS1290" s="115"/>
      <c r="BT1290" s="115"/>
      <c r="BU1290" s="115"/>
      <c r="BV1290" s="115"/>
      <c r="BW1290" s="115"/>
      <c r="BX1290" s="115"/>
      <c r="BY1290" s="115"/>
      <c r="BZ1290" s="115"/>
      <c r="CA1290" s="115"/>
      <c r="CB1290" s="25">
        <v>45274</v>
      </c>
      <c r="CC1290" s="15" t="s">
        <v>163</v>
      </c>
      <c r="CF1290" s="114"/>
    </row>
    <row r="1291" spans="6:84" ht="19.5" x14ac:dyDescent="0.4">
      <c r="AV1291" s="115"/>
      <c r="AW1291" s="115"/>
      <c r="AX1291" s="115"/>
      <c r="AY1291" s="115"/>
      <c r="AZ1291" s="115"/>
      <c r="BA1291" s="115"/>
      <c r="BB1291" s="115"/>
      <c r="BC1291" s="115"/>
      <c r="BD1291" s="17"/>
      <c r="BE1291" s="13"/>
      <c r="BJ1291" s="117"/>
      <c r="BK1291" s="123"/>
      <c r="BL1291" s="123"/>
      <c r="BM1291" s="123"/>
      <c r="BN1291" s="115"/>
      <c r="BO1291" s="115"/>
      <c r="BP1291" s="115"/>
      <c r="BQ1291" s="115"/>
      <c r="BR1291" s="115"/>
      <c r="BS1291" s="115"/>
      <c r="BT1291" s="115"/>
      <c r="BU1291" s="115"/>
      <c r="BV1291" s="115"/>
      <c r="BW1291" s="115"/>
      <c r="BX1291" s="115"/>
      <c r="BY1291" s="115"/>
      <c r="BZ1291" s="115"/>
      <c r="CA1291" s="115"/>
      <c r="CB1291" s="25"/>
      <c r="CC1291" s="15"/>
      <c r="CF1291" s="114"/>
    </row>
    <row r="1292" spans="6:84" ht="19.5" x14ac:dyDescent="0.4">
      <c r="AT1292" s="115"/>
      <c r="AU1292" s="115"/>
      <c r="AV1292" s="115"/>
      <c r="AW1292" s="115"/>
      <c r="AX1292" s="115"/>
      <c r="AY1292" s="115"/>
      <c r="AZ1292" s="115"/>
      <c r="BA1292" s="115"/>
      <c r="BB1292" s="115"/>
      <c r="BC1292" s="115"/>
      <c r="BD1292" s="26"/>
      <c r="BE1292" s="13"/>
      <c r="BJ1292" s="117"/>
      <c r="BK1292" s="123"/>
      <c r="BL1292" s="123"/>
      <c r="BM1292" s="123"/>
      <c r="BN1292" s="115"/>
      <c r="BO1292" s="115"/>
      <c r="BP1292" s="115"/>
      <c r="BQ1292" s="115"/>
      <c r="BR1292" s="115"/>
      <c r="BS1292" s="115"/>
      <c r="BT1292" s="115"/>
      <c r="BU1292" s="115"/>
      <c r="BV1292" s="115"/>
      <c r="BW1292" s="115"/>
      <c r="BX1292" s="115"/>
      <c r="BY1292" s="115"/>
      <c r="BZ1292" s="115"/>
      <c r="CA1292" s="115"/>
      <c r="CB1292" s="25"/>
      <c r="CC1292" s="15"/>
      <c r="CF1292" s="114"/>
    </row>
    <row r="1293" spans="6:84" ht="19.5" x14ac:dyDescent="0.4">
      <c r="BD1293" s="26"/>
      <c r="BE1293" s="25"/>
      <c r="BJ1293" s="117"/>
      <c r="BK1293" s="123"/>
      <c r="BL1293" s="123"/>
      <c r="BM1293" s="123"/>
      <c r="BN1293" s="115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 t="s">
        <v>167</v>
      </c>
      <c r="CB1293" s="13">
        <f>SUBTOTAL(3,CB1280:CB1290)</f>
        <v>5</v>
      </c>
      <c r="CC1293" s="15">
        <f>SUBTOTAL(3,CC1280:CC1290)</f>
        <v>5</v>
      </c>
      <c r="CF1293" s="114"/>
    </row>
    <row r="1294" spans="6:84" ht="19.5" x14ac:dyDescent="0.4">
      <c r="AT1294" s="115"/>
      <c r="AU1294" s="115"/>
      <c r="AV1294" s="115"/>
      <c r="AW1294" s="115"/>
      <c r="AX1294" s="115"/>
      <c r="AY1294" s="115"/>
      <c r="AZ1294" s="115"/>
      <c r="BA1294" s="115"/>
      <c r="BB1294" s="115"/>
      <c r="BC1294" s="115"/>
      <c r="BD1294" s="26"/>
      <c r="BE1294" s="105"/>
      <c r="BJ1294" s="117"/>
      <c r="BK1294" s="123"/>
      <c r="BL1294" s="123"/>
      <c r="BM1294" s="123"/>
      <c r="BN1294" s="115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3"/>
      <c r="CC1294" s="15"/>
      <c r="CF1294" s="114"/>
    </row>
    <row r="1295" spans="6:84" ht="19.5" x14ac:dyDescent="0.4">
      <c r="BD1295" s="26"/>
      <c r="BE1295" s="105"/>
      <c r="BJ1295" s="117"/>
      <c r="BK1295" s="123"/>
      <c r="BL1295" s="123"/>
      <c r="BM1295" s="123"/>
      <c r="BN1295" s="115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3"/>
      <c r="CC1295" s="15"/>
      <c r="CF1295" s="114"/>
    </row>
    <row r="1296" spans="6:84" ht="19.5" x14ac:dyDescent="0.4">
      <c r="AV1296" s="115"/>
      <c r="AW1296" s="115"/>
      <c r="AX1296" s="115"/>
      <c r="AY1296" s="115"/>
      <c r="AZ1296" s="115"/>
      <c r="BA1296" s="115"/>
      <c r="BB1296" s="115"/>
      <c r="BC1296" s="115"/>
      <c r="BD1296" s="17"/>
      <c r="BE1296" s="15"/>
      <c r="BJ1296" s="117"/>
      <c r="BK1296" s="123"/>
      <c r="BL1296" s="123"/>
      <c r="BM1296" s="123"/>
      <c r="BN1296" s="115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3"/>
      <c r="CC1296" s="15"/>
      <c r="CF1296" s="114"/>
    </row>
    <row r="1297" spans="6:84" ht="19.5" x14ac:dyDescent="0.4"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115"/>
      <c r="BD1297" s="26"/>
      <c r="BE1297" s="15"/>
      <c r="BJ1297" s="117"/>
      <c r="BK1297" s="123"/>
      <c r="BL1297" s="123"/>
      <c r="BM1297" s="123"/>
      <c r="BN1297" s="115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3"/>
      <c r="CC1297" s="15"/>
      <c r="CF1297" s="114"/>
    </row>
    <row r="1298" spans="6:84" ht="19.5" x14ac:dyDescent="0.4"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115"/>
      <c r="BD1298" s="26"/>
      <c r="BE1298" s="15"/>
      <c r="BJ1298" s="117"/>
      <c r="BK1298" s="123"/>
      <c r="BL1298" s="123"/>
      <c r="BM1298" s="123"/>
      <c r="BN1298" s="115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3"/>
      <c r="CC1298" s="15"/>
      <c r="CF1298" s="114"/>
    </row>
    <row r="1299" spans="6:84" ht="19.5" x14ac:dyDescent="0.4"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26"/>
      <c r="BE1299" s="15"/>
      <c r="BJ1299" s="117"/>
      <c r="BK1299" s="123"/>
      <c r="BL1299" s="123"/>
      <c r="BM1299" s="123"/>
      <c r="BN1299" s="115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3"/>
      <c r="CC1299" s="15"/>
      <c r="CF1299" s="114"/>
    </row>
    <row r="1300" spans="6:84" ht="19.5" x14ac:dyDescent="0.4"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26"/>
      <c r="BE1300" s="15"/>
      <c r="BJ1300" s="117"/>
      <c r="BK1300" s="123"/>
      <c r="BL1300" s="123"/>
      <c r="BM1300" s="123"/>
      <c r="BN1300" s="115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3"/>
      <c r="CC1300" s="15"/>
      <c r="CF1300" s="114"/>
    </row>
    <row r="1301" spans="6:84" ht="19.5" x14ac:dyDescent="0.4">
      <c r="BD1301" s="26"/>
      <c r="BE1301" s="15"/>
      <c r="BJ1301" s="117"/>
      <c r="BK1301" s="123"/>
      <c r="BL1301" s="123"/>
      <c r="BM1301" s="123"/>
      <c r="BN1301" s="115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25">
        <v>45275</v>
      </c>
      <c r="CC1301" s="15" t="s">
        <v>163</v>
      </c>
      <c r="CF1301" s="114"/>
    </row>
    <row r="1302" spans="6:84" ht="19.5" x14ac:dyDescent="0.4">
      <c r="BD1302" s="26"/>
      <c r="BE1302" s="15"/>
      <c r="BJ1302" s="117"/>
      <c r="BK1302" s="123"/>
      <c r="BL1302" s="123"/>
      <c r="BM1302" s="123"/>
      <c r="BN1302" s="115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 t="s">
        <v>168</v>
      </c>
      <c r="CB1302" s="13">
        <f>SUBTOTAL(3,CB1301:CB1301)</f>
        <v>1</v>
      </c>
      <c r="CC1302" s="15">
        <f>SUBTOTAL(3,CC1301:CC1301)</f>
        <v>1</v>
      </c>
      <c r="CF1302" s="114"/>
    </row>
    <row r="1303" spans="6:84" ht="19.5" x14ac:dyDescent="0.4">
      <c r="BD1303" s="26"/>
      <c r="BE1303" s="15"/>
      <c r="BJ1303" s="117"/>
      <c r="BK1303" s="123"/>
      <c r="BL1303" s="123"/>
      <c r="BM1303" s="123"/>
      <c r="BN1303" s="115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25">
        <v>45276</v>
      </c>
      <c r="CC1303" s="15" t="s">
        <v>164</v>
      </c>
      <c r="CF1303" s="114"/>
    </row>
    <row r="1304" spans="6:84" ht="19.5" x14ac:dyDescent="0.4">
      <c r="BD1304" s="26"/>
      <c r="BE1304" s="15"/>
      <c r="BJ1304" s="117"/>
      <c r="BK1304" s="123"/>
      <c r="BL1304" s="123"/>
      <c r="BM1304" s="123"/>
      <c r="BN1304" s="115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25">
        <v>45276</v>
      </c>
      <c r="CC1304" s="15" t="s">
        <v>162</v>
      </c>
      <c r="CF1304" s="114"/>
    </row>
    <row r="1305" spans="6:84" ht="19.5" x14ac:dyDescent="0.4">
      <c r="BD1305" s="26"/>
      <c r="BE1305" s="15"/>
      <c r="BJ1305" s="117"/>
      <c r="BK1305" s="123"/>
      <c r="BL1305" s="123"/>
      <c r="BM1305" s="123"/>
      <c r="BN1305" s="115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25">
        <v>45276</v>
      </c>
      <c r="CC1305" s="15" t="s">
        <v>162</v>
      </c>
      <c r="CF1305" s="114"/>
    </row>
    <row r="1306" spans="6:84" ht="19.5" x14ac:dyDescent="0.4">
      <c r="BD1306" s="26"/>
      <c r="BE1306" s="15"/>
      <c r="BJ1306" s="117"/>
      <c r="BK1306" s="123"/>
      <c r="BL1306" s="123"/>
      <c r="BM1306" s="123"/>
      <c r="BN1306" s="115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25">
        <v>45276</v>
      </c>
      <c r="CC1306" s="15" t="s">
        <v>162</v>
      </c>
      <c r="CF1306" s="114"/>
    </row>
    <row r="1307" spans="6:84" ht="19.5" x14ac:dyDescent="0.4">
      <c r="BD1307" s="26"/>
      <c r="BE1307" s="15"/>
      <c r="BJ1307" s="117"/>
      <c r="BK1307" s="123"/>
      <c r="BL1307" s="123"/>
      <c r="BM1307" s="123"/>
      <c r="BN1307" s="115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25">
        <v>45276</v>
      </c>
      <c r="CC1307" s="15" t="s">
        <v>162</v>
      </c>
      <c r="CF1307" s="114"/>
    </row>
    <row r="1308" spans="6:84" ht="19.5" x14ac:dyDescent="0.4"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26"/>
      <c r="BE1308" s="15"/>
      <c r="BJ1308" s="117"/>
      <c r="BK1308" s="123"/>
      <c r="BL1308" s="123"/>
      <c r="BM1308" s="123"/>
      <c r="BN1308" s="115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25"/>
      <c r="CC1308" s="15"/>
      <c r="CF1308" s="114"/>
    </row>
    <row r="1309" spans="6:84" ht="19.5" x14ac:dyDescent="0.4">
      <c r="BD1309" s="26"/>
      <c r="BE1309" s="15"/>
      <c r="BJ1309" s="117"/>
      <c r="BK1309" s="123"/>
      <c r="BL1309" s="123"/>
      <c r="BM1309" s="123"/>
      <c r="BN1309" s="115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25">
        <v>45276</v>
      </c>
      <c r="CC1309" s="15" t="s">
        <v>162</v>
      </c>
      <c r="CF1309" s="114"/>
    </row>
    <row r="1310" spans="6:84" ht="19.5" x14ac:dyDescent="0.4">
      <c r="BD1310" s="26"/>
      <c r="BE1310" s="15"/>
      <c r="BJ1310" s="117"/>
      <c r="BK1310" s="123"/>
      <c r="BL1310" s="123"/>
      <c r="BM1310" s="123"/>
      <c r="BN1310" s="115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25">
        <v>45276</v>
      </c>
      <c r="CC1310" s="15" t="s">
        <v>162</v>
      </c>
      <c r="CF1310" s="114"/>
    </row>
    <row r="1311" spans="6:84" ht="19.5" x14ac:dyDescent="0.4">
      <c r="AV1311" s="115"/>
      <c r="AW1311" s="115"/>
      <c r="AX1311" s="115"/>
      <c r="AY1311" s="115"/>
      <c r="AZ1311" s="115"/>
      <c r="BA1311" s="115"/>
      <c r="BB1311" s="115"/>
      <c r="BC1311" s="115"/>
      <c r="BD1311" s="17"/>
      <c r="BE1311" s="15"/>
      <c r="BJ1311" s="117"/>
      <c r="BK1311" s="123"/>
      <c r="BL1311" s="123"/>
      <c r="BM1311" s="123"/>
      <c r="BN1311" s="115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25"/>
      <c r="CC1311" s="15"/>
      <c r="CF1311" s="114"/>
    </row>
    <row r="1312" spans="6:84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26"/>
      <c r="BE1312" s="15"/>
      <c r="BJ1312" s="117"/>
      <c r="BK1312" s="123"/>
      <c r="BL1312" s="123"/>
      <c r="BM1312" s="123"/>
      <c r="BN1312" s="115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25"/>
      <c r="CC1312" s="15"/>
      <c r="CF1312" s="114"/>
    </row>
    <row r="1313" spans="6:84" ht="19.5" x14ac:dyDescent="0.4"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15"/>
      <c r="AY1313" s="115"/>
      <c r="AZ1313" s="115"/>
      <c r="BA1313" s="115"/>
      <c r="BB1313" s="115"/>
      <c r="BC1313" s="115"/>
      <c r="BD1313" s="26"/>
      <c r="BE1313" s="15"/>
      <c r="BJ1313" s="117"/>
      <c r="BK1313" s="123"/>
      <c r="BL1313" s="123"/>
      <c r="BM1313" s="123"/>
      <c r="BN1313" s="115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25"/>
      <c r="CC1313" s="15"/>
      <c r="CF1313" s="114"/>
    </row>
    <row r="1314" spans="6:84" ht="19.5" x14ac:dyDescent="0.4"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26"/>
      <c r="BE1314" s="15"/>
      <c r="BJ1314" s="117"/>
      <c r="BK1314" s="123"/>
      <c r="BL1314" s="123"/>
      <c r="BM1314" s="123"/>
      <c r="BN1314" s="115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25"/>
      <c r="CC1314" s="15"/>
      <c r="CF1314" s="114"/>
    </row>
    <row r="1315" spans="6:84" ht="19.5" x14ac:dyDescent="0.4">
      <c r="BD1315" s="26"/>
      <c r="BE1315" s="15"/>
      <c r="BI1315" s="115"/>
      <c r="BJ1315" s="117"/>
      <c r="BK1315" s="123"/>
      <c r="BL1315" s="123"/>
      <c r="BM1315" s="123"/>
      <c r="BN1315" s="115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25">
        <v>45276</v>
      </c>
      <c r="CC1315" s="15" t="s">
        <v>162</v>
      </c>
      <c r="CF1315" s="114"/>
    </row>
    <row r="1316" spans="6:84" ht="19.5" x14ac:dyDescent="0.4">
      <c r="BD1316" s="26"/>
      <c r="BE1316" s="15"/>
      <c r="BI1316" s="115"/>
      <c r="BJ1316" s="117"/>
      <c r="BK1316" s="123"/>
      <c r="BL1316" s="123"/>
      <c r="BM1316" s="123"/>
      <c r="BN1316" s="115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25">
        <v>45276</v>
      </c>
      <c r="CC1316" s="15" t="s">
        <v>162</v>
      </c>
      <c r="CF1316" s="114"/>
    </row>
    <row r="1317" spans="6:84" ht="19.5" x14ac:dyDescent="0.4">
      <c r="BD1317" s="26"/>
      <c r="BE1317" s="15"/>
      <c r="BI1317" s="115"/>
      <c r="BJ1317" s="117"/>
      <c r="BK1317" s="123"/>
      <c r="BL1317" s="123"/>
      <c r="BM1317" s="123"/>
      <c r="BN1317" s="115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25">
        <v>45276</v>
      </c>
      <c r="CC1317" s="15" t="s">
        <v>162</v>
      </c>
      <c r="CF1317" s="114"/>
    </row>
    <row r="1318" spans="6:84" ht="19.5" x14ac:dyDescent="0.4">
      <c r="AV1318" s="115"/>
      <c r="AW1318" s="115"/>
      <c r="AX1318" s="115"/>
      <c r="AY1318" s="115"/>
      <c r="AZ1318" s="115"/>
      <c r="BA1318" s="115"/>
      <c r="BB1318" s="115"/>
      <c r="BC1318" s="115"/>
      <c r="BD1318" s="17"/>
      <c r="BE1318" s="15"/>
      <c r="BI1318" s="115"/>
      <c r="BJ1318" s="117"/>
      <c r="BK1318" s="123"/>
      <c r="BL1318" s="123"/>
      <c r="BM1318" s="123"/>
      <c r="BN1318" s="115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25"/>
      <c r="CC1318" s="15"/>
      <c r="CF1318" s="114"/>
    </row>
    <row r="1319" spans="6:84" ht="19.5" x14ac:dyDescent="0.4"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115"/>
      <c r="BC1319" s="115"/>
      <c r="BD1319" s="26"/>
      <c r="BE1319" s="15"/>
      <c r="BI1319" s="115"/>
      <c r="BJ1319" s="117"/>
      <c r="BK1319" s="123"/>
      <c r="BL1319" s="123"/>
      <c r="BM1319" s="123"/>
      <c r="BN1319" s="115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25"/>
      <c r="CC1319" s="15"/>
      <c r="CF1319" s="114"/>
    </row>
    <row r="1320" spans="6:84" ht="19.5" x14ac:dyDescent="0.4"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7"/>
      <c r="BE1320" s="15"/>
      <c r="BI1320" s="115"/>
      <c r="BJ1320" s="117"/>
      <c r="BK1320" s="123"/>
      <c r="BL1320" s="123"/>
      <c r="BM1320" s="123"/>
      <c r="BN1320" s="115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25"/>
      <c r="CC1320" s="15"/>
      <c r="CF1320" s="114"/>
    </row>
    <row r="1321" spans="6:84" ht="19.5" x14ac:dyDescent="0.4">
      <c r="BD1321" s="26"/>
      <c r="BE1321" s="15"/>
      <c r="BI1321" s="115"/>
      <c r="BJ1321" s="117"/>
      <c r="BK1321" s="123"/>
      <c r="BL1321" s="123"/>
      <c r="BM1321" s="123"/>
      <c r="BN1321" s="115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25"/>
      <c r="CC1321" s="15"/>
      <c r="CF1321" s="114"/>
    </row>
    <row r="1322" spans="6:84" ht="19.5" x14ac:dyDescent="0.4"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15"/>
      <c r="BC1322" s="115"/>
      <c r="BD1322" s="26"/>
      <c r="BE1322" s="15"/>
      <c r="BI1322" s="115"/>
      <c r="BJ1322" s="117"/>
      <c r="BK1322" s="123"/>
      <c r="BL1322" s="123"/>
      <c r="BM1322" s="123"/>
      <c r="BN1322" s="115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25"/>
      <c r="CC1322" s="15"/>
      <c r="CF1322" s="114"/>
    </row>
    <row r="1323" spans="6:84" ht="19.5" x14ac:dyDescent="0.4">
      <c r="BD1323" s="26"/>
      <c r="BE1323" s="15"/>
      <c r="BI1323" s="115"/>
      <c r="BJ1323" s="117"/>
      <c r="BK1323" s="123"/>
      <c r="BL1323" s="123"/>
      <c r="BM1323" s="123"/>
      <c r="BN1323" s="115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25">
        <v>45276</v>
      </c>
      <c r="CC1323" s="15" t="s">
        <v>162</v>
      </c>
      <c r="CF1323" s="114"/>
    </row>
    <row r="1324" spans="6:84" ht="19.5" x14ac:dyDescent="0.4">
      <c r="AV1324" s="115"/>
      <c r="AW1324" s="115"/>
      <c r="AX1324" s="115"/>
      <c r="AY1324" s="115"/>
      <c r="AZ1324" s="115"/>
      <c r="BA1324" s="115"/>
      <c r="BB1324" s="115"/>
      <c r="BC1324" s="115"/>
      <c r="BD1324" s="17"/>
      <c r="BE1324" s="15"/>
      <c r="BI1324" s="115"/>
      <c r="BJ1324" s="117"/>
      <c r="BK1324" s="123"/>
      <c r="BL1324" s="123"/>
      <c r="BM1324" s="123"/>
      <c r="BN1324" s="115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25"/>
      <c r="CC1324" s="15"/>
      <c r="CF1324" s="114"/>
    </row>
    <row r="1325" spans="6:84" ht="19.5" x14ac:dyDescent="0.4">
      <c r="BD1325" s="26"/>
      <c r="BE1325" s="15"/>
      <c r="BI1325" s="115"/>
      <c r="BJ1325" s="117"/>
      <c r="BK1325" s="123"/>
      <c r="BL1325" s="123"/>
      <c r="BM1325" s="123"/>
      <c r="BN1325" s="115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25">
        <v>45276</v>
      </c>
      <c r="CC1325" s="15" t="s">
        <v>162</v>
      </c>
      <c r="CF1325" s="114"/>
    </row>
    <row r="1326" spans="6:84" ht="19.5" x14ac:dyDescent="0.4">
      <c r="AV1326" s="115"/>
      <c r="AW1326" s="115"/>
      <c r="AX1326" s="115"/>
      <c r="AY1326" s="115"/>
      <c r="AZ1326" s="115"/>
      <c r="BA1326" s="115"/>
      <c r="BB1326" s="115"/>
      <c r="BC1326" s="115"/>
      <c r="BD1326" s="17"/>
      <c r="BE1326" s="15"/>
      <c r="BI1326" s="115"/>
      <c r="BJ1326" s="117"/>
      <c r="BK1326" s="123"/>
      <c r="BL1326" s="123"/>
      <c r="BM1326" s="123"/>
      <c r="BN1326" s="115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25"/>
      <c r="CC1326" s="15"/>
      <c r="CF1326" s="114"/>
    </row>
    <row r="1327" spans="6:84" ht="19.5" x14ac:dyDescent="0.4">
      <c r="AU1327" s="115"/>
      <c r="AV1327" s="115"/>
      <c r="AW1327" s="115"/>
      <c r="AX1327" s="115"/>
      <c r="AY1327" s="115"/>
      <c r="AZ1327" s="115"/>
      <c r="BA1327" s="115"/>
      <c r="BB1327" s="115"/>
      <c r="BC1327" s="115"/>
      <c r="BD1327" s="26"/>
      <c r="BE1327" s="15"/>
      <c r="BI1327" s="115"/>
      <c r="BJ1327" s="117"/>
      <c r="BK1327" s="123"/>
      <c r="BL1327" s="123"/>
      <c r="BM1327" s="123"/>
      <c r="BN1327" s="115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25"/>
      <c r="CC1327" s="15"/>
      <c r="CF1327" s="114"/>
    </row>
    <row r="1328" spans="6:84" ht="19.5" x14ac:dyDescent="0.4">
      <c r="AU1328" s="115"/>
      <c r="AV1328" s="115"/>
      <c r="AW1328" s="115"/>
      <c r="AX1328" s="115"/>
      <c r="AY1328" s="115"/>
      <c r="AZ1328" s="115"/>
      <c r="BA1328" s="115"/>
      <c r="BB1328" s="115"/>
      <c r="BC1328" s="115"/>
      <c r="BD1328" s="17"/>
      <c r="BE1328" s="15"/>
      <c r="BI1328" s="115"/>
      <c r="BJ1328" s="117"/>
      <c r="BK1328" s="123"/>
      <c r="BL1328" s="123"/>
      <c r="BM1328" s="123"/>
      <c r="BN1328" s="115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25"/>
      <c r="CC1328" s="15"/>
      <c r="CF1328" s="114"/>
    </row>
    <row r="1329" spans="45:84" ht="19.5" x14ac:dyDescent="0.4">
      <c r="BD1329" s="26"/>
      <c r="BE1329" s="15"/>
      <c r="BI1329" s="115"/>
      <c r="BJ1329" s="117"/>
      <c r="BK1329" s="123"/>
      <c r="BL1329" s="123"/>
      <c r="BM1329" s="123"/>
      <c r="BN1329" s="115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25">
        <v>45276</v>
      </c>
      <c r="CC1329" s="15" t="s">
        <v>162</v>
      </c>
      <c r="CF1329" s="114"/>
    </row>
    <row r="1330" spans="45:84" ht="19.5" x14ac:dyDescent="0.4">
      <c r="BD1330" s="26"/>
      <c r="BE1330" s="15"/>
      <c r="BI1330" s="115"/>
      <c r="BJ1330" s="117"/>
      <c r="BK1330" s="123"/>
      <c r="BL1330" s="123"/>
      <c r="BM1330" s="123"/>
      <c r="BN1330" s="115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25">
        <v>45276</v>
      </c>
      <c r="CC1330" s="15" t="s">
        <v>162</v>
      </c>
      <c r="CF1330" s="114"/>
    </row>
    <row r="1331" spans="45:84" ht="19.5" x14ac:dyDescent="0.4">
      <c r="BD1331" s="26"/>
      <c r="BE1331" s="15"/>
      <c r="BI1331" s="115"/>
      <c r="BJ1331" s="117"/>
      <c r="BK1331" s="123"/>
      <c r="BL1331" s="123"/>
      <c r="BM1331" s="123"/>
      <c r="BN1331" s="115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25">
        <v>45276</v>
      </c>
      <c r="CC1331" s="15" t="s">
        <v>162</v>
      </c>
      <c r="CF1331" s="114"/>
    </row>
    <row r="1332" spans="45:84" ht="19.5" x14ac:dyDescent="0.4">
      <c r="BD1332" s="26"/>
      <c r="BE1332" s="15"/>
      <c r="BI1332" s="115"/>
      <c r="BJ1332" s="117"/>
      <c r="BK1332" s="123"/>
      <c r="BL1332" s="123"/>
      <c r="BM1332" s="123"/>
      <c r="BN1332" s="115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25"/>
      <c r="CC1332" s="15"/>
      <c r="CF1332" s="114"/>
    </row>
    <row r="1333" spans="45:84" ht="19.5" x14ac:dyDescent="0.4">
      <c r="AV1333" s="115"/>
      <c r="AW1333" s="115"/>
      <c r="AX1333" s="115"/>
      <c r="AY1333" s="115"/>
      <c r="AZ1333" s="115"/>
      <c r="BA1333" s="115"/>
      <c r="BB1333" s="115"/>
      <c r="BC1333" s="115"/>
      <c r="BD1333" s="17"/>
      <c r="BE1333" s="15"/>
      <c r="BI1333" s="115"/>
      <c r="BJ1333" s="117"/>
      <c r="BK1333" s="123"/>
      <c r="BL1333" s="123"/>
      <c r="BM1333" s="123"/>
      <c r="BN1333" s="115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25"/>
      <c r="CC1333" s="15"/>
      <c r="CF1333" s="114"/>
    </row>
    <row r="1334" spans="45:84" ht="19.5" x14ac:dyDescent="0.4">
      <c r="BD1334" s="26"/>
      <c r="BE1334" s="15"/>
      <c r="BI1334" s="115"/>
      <c r="BJ1334" s="117"/>
      <c r="BK1334" s="123"/>
      <c r="BL1334" s="123"/>
      <c r="BM1334" s="123"/>
      <c r="BN1334" s="115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25">
        <v>45276</v>
      </c>
      <c r="CC1334" s="15" t="s">
        <v>162</v>
      </c>
      <c r="CF1334" s="114"/>
    </row>
    <row r="1335" spans="45:84" ht="19.5" x14ac:dyDescent="0.4">
      <c r="BD1335" s="26"/>
      <c r="BE1335" s="15"/>
      <c r="BI1335" s="115"/>
      <c r="BJ1335" s="117"/>
      <c r="BK1335" s="123"/>
      <c r="BL1335" s="123"/>
      <c r="BM1335" s="123"/>
      <c r="BN1335" s="115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25">
        <v>45276</v>
      </c>
      <c r="CC1335" s="15" t="s">
        <v>162</v>
      </c>
      <c r="CF1335" s="114"/>
    </row>
    <row r="1336" spans="45:84" ht="19.5" x14ac:dyDescent="0.4">
      <c r="AV1336" s="115"/>
      <c r="AW1336" s="115"/>
      <c r="AX1336" s="115"/>
      <c r="AY1336" s="115"/>
      <c r="AZ1336" s="115"/>
      <c r="BA1336" s="115"/>
      <c r="BB1336" s="115"/>
      <c r="BC1336" s="115"/>
      <c r="BD1336" s="17"/>
      <c r="BE1336" s="15"/>
      <c r="BI1336" s="115"/>
      <c r="BJ1336" s="117"/>
      <c r="BK1336" s="123"/>
      <c r="BL1336" s="123"/>
      <c r="BM1336" s="123"/>
      <c r="BN1336" s="115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25"/>
      <c r="CC1336" s="15"/>
      <c r="CF1336" s="114"/>
    </row>
    <row r="1337" spans="45:84" ht="19.5" x14ac:dyDescent="0.4"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115"/>
      <c r="BD1337" s="26"/>
      <c r="BE1337" s="15"/>
      <c r="BI1337" s="115"/>
      <c r="BJ1337" s="117"/>
      <c r="BK1337" s="123"/>
      <c r="BL1337" s="123"/>
      <c r="BM1337" s="123"/>
      <c r="BN1337" s="115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25"/>
      <c r="CC1337" s="15"/>
      <c r="CF1337" s="114"/>
    </row>
    <row r="1338" spans="45:84" ht="19.5" x14ac:dyDescent="0.4"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7"/>
      <c r="BE1338" s="15"/>
      <c r="BI1338" s="115"/>
      <c r="BJ1338" s="117"/>
      <c r="BK1338" s="123"/>
      <c r="BL1338" s="123"/>
      <c r="BM1338" s="123"/>
      <c r="BN1338" s="115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25"/>
      <c r="CC1338" s="15"/>
      <c r="CF1338" s="114"/>
    </row>
    <row r="1339" spans="45:84" ht="19.5" x14ac:dyDescent="0.4"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26"/>
      <c r="BE1339" s="15"/>
      <c r="BI1339" s="115"/>
      <c r="BJ1339" s="117"/>
      <c r="BK1339" s="123"/>
      <c r="BL1339" s="123"/>
      <c r="BM1339" s="123"/>
      <c r="BN1339" s="115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25"/>
      <c r="CC1339" s="15"/>
      <c r="CF1339" s="114"/>
    </row>
    <row r="1340" spans="45:84" ht="19.5" x14ac:dyDescent="0.4">
      <c r="BD1340" s="26"/>
      <c r="BE1340" s="15"/>
      <c r="BI1340" s="115"/>
      <c r="BJ1340" s="117"/>
      <c r="BK1340" s="123"/>
      <c r="BL1340" s="123"/>
      <c r="BM1340" s="123"/>
      <c r="BN1340" s="115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 t="s">
        <v>169</v>
      </c>
      <c r="CB1340" s="13">
        <f>SUBTOTAL(3,CB1303:CB1335)</f>
        <v>17</v>
      </c>
      <c r="CC1340" s="15">
        <f>SUBTOTAL(3,CC1303:CC1335)</f>
        <v>17</v>
      </c>
      <c r="CF1340" s="114"/>
    </row>
    <row r="1341" spans="45:84" ht="19.5" x14ac:dyDescent="0.4"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115"/>
      <c r="BC1341" s="115"/>
      <c r="BD1341" s="26"/>
      <c r="BE1341" s="15"/>
      <c r="BI1341" s="115"/>
      <c r="BJ1341" s="117"/>
      <c r="BK1341" s="123"/>
      <c r="BL1341" s="123"/>
      <c r="BM1341" s="123"/>
      <c r="BN1341" s="115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3"/>
      <c r="CC1341" s="15"/>
      <c r="CF1341" s="114"/>
    </row>
    <row r="1342" spans="45:84" ht="19.5" x14ac:dyDescent="0.4">
      <c r="BD1342" s="26"/>
      <c r="BE1342" s="15"/>
      <c r="BI1342" s="115"/>
      <c r="BJ1342" s="117"/>
      <c r="BK1342" s="123"/>
      <c r="BL1342" s="123"/>
      <c r="BM1342" s="123"/>
      <c r="BN1342" s="115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25">
        <v>45277</v>
      </c>
      <c r="CC1342" s="15" t="s">
        <v>162</v>
      </c>
      <c r="CF1342" s="114"/>
    </row>
    <row r="1343" spans="45:84" ht="19.5" x14ac:dyDescent="0.4">
      <c r="AV1343" s="115"/>
      <c r="AW1343" s="115"/>
      <c r="AX1343" s="115"/>
      <c r="AY1343" s="115"/>
      <c r="AZ1343" s="115"/>
      <c r="BA1343" s="115"/>
      <c r="BB1343" s="115"/>
      <c r="BC1343" s="115"/>
      <c r="BD1343" s="17"/>
      <c r="BE1343" s="15"/>
      <c r="BI1343" s="115"/>
      <c r="BJ1343" s="117"/>
      <c r="BK1343" s="123"/>
      <c r="BL1343" s="123"/>
      <c r="BM1343" s="123"/>
      <c r="BN1343" s="115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25"/>
      <c r="CC1343" s="15"/>
      <c r="CF1343" s="114"/>
    </row>
    <row r="1344" spans="45:84" ht="19.5" x14ac:dyDescent="0.4"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15"/>
      <c r="BC1344" s="115"/>
      <c r="BD1344" s="26"/>
      <c r="BE1344" s="15"/>
      <c r="BI1344" s="115"/>
      <c r="BJ1344" s="117"/>
      <c r="BK1344" s="123"/>
      <c r="BL1344" s="123"/>
      <c r="BM1344" s="123"/>
      <c r="BN1344" s="115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25"/>
      <c r="CC1344" s="15"/>
      <c r="CF1344" s="114"/>
    </row>
    <row r="1345" spans="6:84" ht="19.5" x14ac:dyDescent="0.4"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7"/>
      <c r="BE1345" s="15"/>
      <c r="BI1345" s="115"/>
      <c r="BJ1345" s="117"/>
      <c r="BK1345" s="123"/>
      <c r="BL1345" s="123"/>
      <c r="BM1345" s="123"/>
      <c r="BN1345" s="115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25"/>
      <c r="CC1345" s="15"/>
      <c r="CF1345" s="114"/>
    </row>
    <row r="1346" spans="6:84" ht="19.5" x14ac:dyDescent="0.4"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7"/>
      <c r="BE1346" s="15"/>
      <c r="BI1346" s="115"/>
      <c r="BJ1346" s="117"/>
      <c r="BK1346" s="123"/>
      <c r="BL1346" s="123"/>
      <c r="BM1346" s="123"/>
      <c r="BN1346" s="115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25"/>
      <c r="CC1346" s="15"/>
      <c r="CF1346" s="114"/>
    </row>
    <row r="1347" spans="6:84" ht="19.5" x14ac:dyDescent="0.4">
      <c r="BD1347" s="26"/>
      <c r="BE1347" s="15"/>
      <c r="BI1347" s="115"/>
      <c r="BJ1347" s="117"/>
      <c r="BK1347" s="123"/>
      <c r="BL1347" s="123"/>
      <c r="BM1347" s="123"/>
      <c r="BN1347" s="115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25">
        <v>45277</v>
      </c>
      <c r="CC1347" s="15" t="s">
        <v>162</v>
      </c>
      <c r="CF1347" s="114"/>
    </row>
    <row r="1348" spans="6:84" ht="19.5" x14ac:dyDescent="0.4"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7"/>
      <c r="BE1348" s="15"/>
      <c r="BI1348" s="115"/>
      <c r="BJ1348" s="117"/>
      <c r="BK1348" s="123"/>
      <c r="BL1348" s="123"/>
      <c r="BM1348" s="123"/>
      <c r="BN1348" s="115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31"/>
      <c r="CC1348" s="13"/>
      <c r="CF1348" s="114"/>
    </row>
    <row r="1349" spans="6:84" ht="19.5" x14ac:dyDescent="0.4">
      <c r="BD1349" s="26"/>
      <c r="BE1349" s="15"/>
      <c r="BI1349" s="115"/>
      <c r="BJ1349" s="117"/>
      <c r="BK1349" s="123"/>
      <c r="BL1349" s="123"/>
      <c r="BM1349" s="123"/>
      <c r="BN1349" s="115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26">
        <v>45277</v>
      </c>
      <c r="CC1349" s="13" t="s">
        <v>162</v>
      </c>
      <c r="CF1349" s="114"/>
    </row>
    <row r="1350" spans="6:84" ht="19.5" x14ac:dyDescent="0.4">
      <c r="BD1350" s="26"/>
      <c r="BE1350" s="15"/>
      <c r="BI1350" s="115"/>
      <c r="BJ1350" s="117"/>
      <c r="BK1350" s="123"/>
      <c r="BL1350" s="123"/>
      <c r="BM1350" s="123"/>
      <c r="BN1350" s="115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26">
        <v>45277</v>
      </c>
      <c r="CC1350" s="15" t="s">
        <v>162</v>
      </c>
      <c r="CF1350" s="114"/>
    </row>
    <row r="1351" spans="6:84" ht="19.5" x14ac:dyDescent="0.4"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26"/>
      <c r="BE1351" s="15"/>
      <c r="BI1351" s="115"/>
      <c r="BJ1351" s="117"/>
      <c r="BK1351" s="123"/>
      <c r="BL1351" s="123"/>
      <c r="BM1351" s="123"/>
      <c r="BN1351" s="115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26"/>
      <c r="CC1351" s="15"/>
      <c r="CF1351" s="114"/>
    </row>
    <row r="1352" spans="6:84" ht="19.5" x14ac:dyDescent="0.4">
      <c r="BD1352" s="26"/>
      <c r="BE1352" s="15"/>
      <c r="BI1352" s="115"/>
      <c r="BJ1352" s="117"/>
      <c r="BK1352" s="123"/>
      <c r="BL1352" s="123"/>
      <c r="BM1352" s="123"/>
      <c r="BN1352" s="115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26">
        <v>45277</v>
      </c>
      <c r="CC1352" s="15" t="s">
        <v>162</v>
      </c>
      <c r="CF1352" s="114"/>
    </row>
    <row r="1353" spans="6:84" ht="19.5" x14ac:dyDescent="0.4">
      <c r="BD1353" s="26"/>
      <c r="BE1353" s="15"/>
      <c r="BI1353" s="115"/>
      <c r="BJ1353" s="117"/>
      <c r="BK1353" s="123"/>
      <c r="BL1353" s="123"/>
      <c r="BM1353" s="123"/>
      <c r="BN1353" s="115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 t="s">
        <v>160</v>
      </c>
      <c r="CB1353" s="17">
        <f>SUBTOTAL(3,CB1342:CB1352)</f>
        <v>5</v>
      </c>
      <c r="CC1353" s="15">
        <f>SUBTOTAL(3,CC1342:CC1352)</f>
        <v>5</v>
      </c>
      <c r="CF1353" s="114"/>
    </row>
    <row r="1354" spans="6:84" ht="19.5" x14ac:dyDescent="0.4"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15"/>
      <c r="AZ1354" s="115"/>
      <c r="BA1354" s="115"/>
      <c r="BB1354" s="115"/>
      <c r="BC1354" s="115"/>
      <c r="BD1354" s="26"/>
      <c r="BE1354" s="15"/>
      <c r="BI1354" s="115"/>
      <c r="BJ1354" s="117"/>
      <c r="BK1354" s="123"/>
      <c r="BL1354" s="123"/>
      <c r="BM1354" s="123"/>
      <c r="BN1354" s="115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7"/>
      <c r="CC1354" s="15"/>
      <c r="CF1354" s="114"/>
    </row>
    <row r="1355" spans="6:84" ht="19.5" x14ac:dyDescent="0.4"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15"/>
      <c r="BA1355" s="115"/>
      <c r="BB1355" s="115"/>
      <c r="BC1355" s="115"/>
      <c r="BD1355" s="26"/>
      <c r="BE1355" s="15"/>
      <c r="BI1355" s="115"/>
      <c r="BJ1355" s="117"/>
      <c r="BK1355" s="123"/>
      <c r="BL1355" s="123"/>
      <c r="BM1355" s="123"/>
      <c r="BN1355" s="115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7"/>
      <c r="CC1355" s="15"/>
      <c r="CF1355" s="114"/>
    </row>
    <row r="1356" spans="6:84" ht="19.5" x14ac:dyDescent="0.4">
      <c r="BD1356" s="26"/>
      <c r="BE1356" s="15"/>
      <c r="BI1356" s="115"/>
      <c r="BJ1356" s="117"/>
      <c r="BK1356" s="123"/>
      <c r="BL1356" s="123"/>
      <c r="BM1356" s="123"/>
      <c r="BN1356" s="115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26">
        <v>45278</v>
      </c>
      <c r="CC1356" s="15" t="s">
        <v>164</v>
      </c>
      <c r="CF1356" s="114"/>
    </row>
    <row r="1357" spans="6:84" ht="19.5" x14ac:dyDescent="0.4">
      <c r="BD1357" s="26"/>
      <c r="BE1357" s="15"/>
      <c r="BI1357" s="115"/>
      <c r="BJ1357" s="117"/>
      <c r="BK1357" s="123"/>
      <c r="BL1357" s="123"/>
      <c r="BM1357" s="123"/>
      <c r="BN1357" s="115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26">
        <v>45278</v>
      </c>
      <c r="CC1357" s="15" t="s">
        <v>164</v>
      </c>
      <c r="CF1357" s="114"/>
    </row>
    <row r="1358" spans="6:84" ht="19.5" x14ac:dyDescent="0.4"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26"/>
      <c r="BE1358" s="15"/>
      <c r="BI1358" s="115"/>
      <c r="BJ1358" s="117"/>
      <c r="BK1358" s="123"/>
      <c r="BL1358" s="123"/>
      <c r="BM1358" s="123"/>
      <c r="BN1358" s="115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26"/>
      <c r="CC1358" s="15"/>
      <c r="CF1358" s="114"/>
    </row>
    <row r="1359" spans="6:84" ht="19.5" x14ac:dyDescent="0.4">
      <c r="BD1359" s="26"/>
      <c r="BE1359" s="15"/>
      <c r="BI1359" s="115"/>
      <c r="BJ1359" s="117"/>
      <c r="BK1359" s="123"/>
      <c r="BL1359" s="123"/>
      <c r="BM1359" s="123"/>
      <c r="BN1359" s="115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26">
        <v>45278</v>
      </c>
      <c r="CC1359" s="15" t="s">
        <v>162</v>
      </c>
      <c r="CF1359" s="114"/>
    </row>
    <row r="1360" spans="6:84" ht="19.5" x14ac:dyDescent="0.4">
      <c r="AU1360" s="115"/>
      <c r="AV1360" s="115"/>
      <c r="AW1360" s="115"/>
      <c r="AX1360" s="115"/>
      <c r="AY1360" s="115"/>
      <c r="AZ1360" s="115"/>
      <c r="BA1360" s="115"/>
      <c r="BB1360" s="115"/>
      <c r="BC1360" s="115"/>
      <c r="BD1360" s="17"/>
      <c r="BE1360" s="15"/>
      <c r="BI1360" s="115"/>
      <c r="BJ1360" s="117"/>
      <c r="BK1360" s="123"/>
      <c r="BL1360" s="123"/>
      <c r="BM1360" s="123"/>
      <c r="BN1360" s="115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26"/>
      <c r="CC1360" s="15"/>
      <c r="CF1360" s="114"/>
    </row>
    <row r="1361" spans="6:84" ht="19.5" x14ac:dyDescent="0.4"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115"/>
      <c r="BD1361" s="26"/>
      <c r="BE1361" s="15"/>
      <c r="BI1361" s="115"/>
      <c r="BJ1361" s="117"/>
      <c r="BK1361" s="123"/>
      <c r="BL1361" s="123"/>
      <c r="BM1361" s="123"/>
      <c r="BN1361" s="115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26"/>
      <c r="CC1361" s="15"/>
      <c r="CF1361" s="114"/>
    </row>
    <row r="1362" spans="6:84" ht="19.5" x14ac:dyDescent="0.4"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115"/>
      <c r="BD1362" s="17"/>
      <c r="BE1362" s="15"/>
      <c r="BI1362" s="115"/>
      <c r="BJ1362" s="117"/>
      <c r="BK1362" s="123"/>
      <c r="BL1362" s="123"/>
      <c r="BM1362" s="123"/>
      <c r="BN1362" s="115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26"/>
      <c r="CC1362" s="15"/>
      <c r="CF1362" s="114"/>
    </row>
    <row r="1363" spans="6:84" ht="19.5" x14ac:dyDescent="0.4">
      <c r="BD1363" s="26"/>
      <c r="BE1363" s="15"/>
      <c r="BI1363" s="115"/>
      <c r="BJ1363" s="117"/>
      <c r="BK1363" s="123"/>
      <c r="BL1363" s="123"/>
      <c r="BM1363" s="123"/>
      <c r="BN1363" s="115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26">
        <v>45278</v>
      </c>
      <c r="CC1363" s="15" t="s">
        <v>142</v>
      </c>
      <c r="CF1363" s="114"/>
    </row>
    <row r="1364" spans="6:84" ht="19.5" x14ac:dyDescent="0.4">
      <c r="BD1364" s="26"/>
      <c r="BE1364" s="15"/>
      <c r="BI1364" s="115"/>
      <c r="BJ1364" s="117"/>
      <c r="BK1364" s="123"/>
      <c r="BL1364" s="123"/>
      <c r="BM1364" s="123"/>
      <c r="BN1364" s="115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26">
        <v>45278</v>
      </c>
      <c r="CC1364" s="15" t="s">
        <v>162</v>
      </c>
      <c r="CF1364" s="114"/>
    </row>
    <row r="1365" spans="6:84" ht="19.5" x14ac:dyDescent="0.4">
      <c r="BD1365" s="26"/>
      <c r="BE1365" s="15"/>
      <c r="BI1365" s="115"/>
      <c r="BJ1365" s="117"/>
      <c r="BK1365" s="123"/>
      <c r="BL1365" s="123"/>
      <c r="BM1365" s="123"/>
      <c r="BN1365" s="115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26">
        <v>45278</v>
      </c>
      <c r="CC1365" s="15" t="s">
        <v>162</v>
      </c>
      <c r="CF1365" s="114"/>
    </row>
    <row r="1366" spans="6:84" ht="19.5" x14ac:dyDescent="0.4">
      <c r="AU1366" s="115"/>
      <c r="AV1366" s="115"/>
      <c r="AW1366" s="115"/>
      <c r="AX1366" s="115"/>
      <c r="AY1366" s="115"/>
      <c r="AZ1366" s="115"/>
      <c r="BA1366" s="115"/>
      <c r="BB1366" s="115"/>
      <c r="BC1366" s="115"/>
      <c r="BD1366" s="17"/>
      <c r="BE1366" s="15"/>
      <c r="BI1366" s="115"/>
      <c r="BJ1366" s="117"/>
      <c r="BK1366" s="123"/>
      <c r="BL1366" s="123"/>
      <c r="BM1366" s="123"/>
      <c r="BN1366" s="115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26"/>
      <c r="CC1366" s="15"/>
      <c r="CF1366" s="114"/>
    </row>
    <row r="1367" spans="6:84" ht="19.5" x14ac:dyDescent="0.4"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26"/>
      <c r="BE1367" s="15"/>
      <c r="BI1367" s="115"/>
      <c r="BJ1367" s="117"/>
      <c r="BK1367" s="123"/>
      <c r="BL1367" s="123"/>
      <c r="BM1367" s="123"/>
      <c r="BN1367" s="115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26"/>
      <c r="CC1367" s="15"/>
      <c r="CF1367" s="114"/>
    </row>
    <row r="1368" spans="6:84" ht="19.5" x14ac:dyDescent="0.4"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115"/>
      <c r="BC1368" s="115"/>
      <c r="BD1368" s="26"/>
      <c r="BE1368" s="15"/>
      <c r="BI1368" s="115"/>
      <c r="BJ1368" s="117"/>
      <c r="BK1368" s="123"/>
      <c r="BL1368" s="123"/>
      <c r="BM1368" s="123"/>
      <c r="BN1368" s="115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26"/>
      <c r="CC1368" s="15"/>
      <c r="CF1368" s="114"/>
    </row>
    <row r="1369" spans="6:84" ht="19.5" x14ac:dyDescent="0.4"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115"/>
      <c r="BC1369" s="115"/>
      <c r="BD1369" s="17"/>
      <c r="BE1369" s="15"/>
      <c r="BI1369" s="115"/>
      <c r="BJ1369" s="117"/>
      <c r="BK1369" s="123"/>
      <c r="BL1369" s="123"/>
      <c r="BM1369" s="123"/>
      <c r="BN1369" s="115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26"/>
      <c r="CC1369" s="15"/>
      <c r="CF1369" s="114"/>
    </row>
    <row r="1370" spans="6:84" ht="19.5" x14ac:dyDescent="0.4"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26"/>
      <c r="BE1370" s="15"/>
      <c r="BI1370" s="115"/>
      <c r="BJ1370" s="117"/>
      <c r="BK1370" s="123"/>
      <c r="BL1370" s="123"/>
      <c r="BM1370" s="123"/>
      <c r="BN1370" s="115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26"/>
      <c r="CC1370" s="15"/>
      <c r="CF1370" s="114"/>
    </row>
    <row r="1371" spans="6:84" ht="19.5" x14ac:dyDescent="0.4">
      <c r="BD1371" s="26"/>
      <c r="BE1371" s="15"/>
      <c r="BI1371" s="115"/>
      <c r="BJ1371" s="117"/>
      <c r="BK1371" s="123"/>
      <c r="BL1371" s="123"/>
      <c r="BM1371" s="123"/>
      <c r="BN1371" s="115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26">
        <v>45278</v>
      </c>
      <c r="CC1371" s="15" t="s">
        <v>162</v>
      </c>
      <c r="CF1371" s="114"/>
    </row>
    <row r="1372" spans="6:84" ht="19.5" x14ac:dyDescent="0.4">
      <c r="AS1372" s="115"/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26"/>
      <c r="BE1372" s="15"/>
      <c r="BI1372" s="115"/>
      <c r="BJ1372" s="117"/>
      <c r="BK1372" s="123"/>
      <c r="BL1372" s="123"/>
      <c r="BM1372" s="123"/>
      <c r="BN1372" s="115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26"/>
      <c r="CC1372" s="15"/>
      <c r="CF1372" s="114"/>
    </row>
    <row r="1373" spans="6:84" ht="19.5" x14ac:dyDescent="0.4">
      <c r="BD1373" s="26"/>
      <c r="BE1373" s="15"/>
      <c r="BI1373" s="115"/>
      <c r="BJ1373" s="117"/>
      <c r="BK1373" s="123"/>
      <c r="BL1373" s="123"/>
      <c r="BM1373" s="123"/>
      <c r="BN1373" s="115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26">
        <v>45278</v>
      </c>
      <c r="CC1373" s="15" t="s">
        <v>163</v>
      </c>
      <c r="CF1373" s="114"/>
    </row>
    <row r="1374" spans="6:84" ht="19.5" x14ac:dyDescent="0.4">
      <c r="BD1374" s="26"/>
      <c r="BE1374" s="15"/>
      <c r="BI1374" s="115"/>
      <c r="BJ1374" s="117"/>
      <c r="BK1374" s="123"/>
      <c r="BL1374" s="123"/>
      <c r="BM1374" s="123"/>
      <c r="BN1374" s="115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26">
        <v>45278</v>
      </c>
      <c r="CC1374" s="105" t="s">
        <v>163</v>
      </c>
      <c r="CF1374" s="114"/>
    </row>
    <row r="1375" spans="6:84" ht="19.5" x14ac:dyDescent="0.4">
      <c r="BD1375" s="25"/>
      <c r="BE1375" s="13"/>
      <c r="BI1375" s="115"/>
      <c r="BJ1375" s="117"/>
      <c r="BK1375" s="123"/>
      <c r="BL1375" s="123"/>
      <c r="BM1375" s="123"/>
      <c r="BN1375" s="115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26">
        <v>45278</v>
      </c>
      <c r="CC1375" s="15" t="s">
        <v>163</v>
      </c>
      <c r="CF1375" s="114"/>
    </row>
    <row r="1376" spans="6:84" ht="19.5" x14ac:dyDescent="0.4"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115"/>
      <c r="BD1376" s="25"/>
      <c r="BE1376" s="13"/>
      <c r="BI1376" s="115"/>
      <c r="BJ1376" s="117"/>
      <c r="BK1376" s="123"/>
      <c r="BL1376" s="123"/>
      <c r="BM1376" s="123"/>
      <c r="BN1376" s="115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26"/>
      <c r="CC1376" s="15"/>
      <c r="CF1376" s="114"/>
    </row>
    <row r="1377" spans="6:84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25"/>
      <c r="BE1377" s="13"/>
      <c r="BI1377" s="115"/>
      <c r="BJ1377" s="117"/>
      <c r="BK1377" s="123"/>
      <c r="BL1377" s="123"/>
      <c r="BM1377" s="123"/>
      <c r="BN1377" s="115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26"/>
      <c r="CC1377" s="15"/>
      <c r="CF1377" s="114"/>
    </row>
    <row r="1378" spans="6:84" ht="19.5" x14ac:dyDescent="0.4"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25"/>
      <c r="BE1378" s="13"/>
      <c r="BI1378" s="115"/>
      <c r="BJ1378" s="117"/>
      <c r="BK1378" s="123"/>
      <c r="BL1378" s="123"/>
      <c r="BM1378" s="123"/>
      <c r="BN1378" s="115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26"/>
      <c r="CC1378" s="15"/>
      <c r="CF1378" s="114"/>
    </row>
    <row r="1379" spans="6:84" ht="19.5" x14ac:dyDescent="0.4"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25"/>
      <c r="BE1379" s="13"/>
      <c r="BI1379" s="115"/>
      <c r="BJ1379" s="117"/>
      <c r="BK1379" s="123"/>
      <c r="BL1379" s="123"/>
      <c r="BM1379" s="123"/>
      <c r="BN1379" s="115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26"/>
      <c r="CC1379" s="15"/>
      <c r="CF1379" s="114"/>
    </row>
    <row r="1380" spans="6:84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25"/>
      <c r="BE1380" s="13"/>
      <c r="BI1380" s="115"/>
      <c r="BJ1380" s="117"/>
      <c r="BK1380" s="123"/>
      <c r="BL1380" s="123"/>
      <c r="BM1380" s="123"/>
      <c r="BN1380" s="115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26"/>
      <c r="CC1380" s="15"/>
      <c r="CF1380" s="114"/>
    </row>
    <row r="1381" spans="6:84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25"/>
      <c r="BE1381" s="13"/>
      <c r="BI1381" s="115"/>
      <c r="BJ1381" s="117"/>
      <c r="BK1381" s="123"/>
      <c r="BL1381" s="123"/>
      <c r="BM1381" s="123"/>
      <c r="BN1381" s="115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26"/>
      <c r="CC1381" s="15"/>
      <c r="CF1381" s="114"/>
    </row>
    <row r="1382" spans="6:84" ht="19.5" x14ac:dyDescent="0.4">
      <c r="BD1382" s="25"/>
      <c r="BE1382" s="13"/>
      <c r="BI1382" s="115"/>
      <c r="BJ1382" s="117"/>
      <c r="BK1382" s="123"/>
      <c r="BL1382" s="123"/>
      <c r="BM1382" s="123"/>
      <c r="BN1382" s="115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26">
        <v>45278</v>
      </c>
      <c r="CC1382" s="15" t="s">
        <v>163</v>
      </c>
      <c r="CF1382" s="114"/>
    </row>
    <row r="1383" spans="6:84" ht="19.5" x14ac:dyDescent="0.4">
      <c r="BD1383" s="25"/>
      <c r="BE1383" s="13"/>
      <c r="BI1383" s="115"/>
      <c r="BJ1383" s="117"/>
      <c r="BK1383" s="123"/>
      <c r="BL1383" s="123"/>
      <c r="BM1383" s="123"/>
      <c r="BN1383" s="115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26"/>
      <c r="CC1383" s="15"/>
      <c r="CF1383" s="114"/>
    </row>
    <row r="1384" spans="6:84" ht="19.5" x14ac:dyDescent="0.4"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3"/>
      <c r="BE1384" s="13"/>
      <c r="BI1384" s="115"/>
      <c r="BJ1384" s="117"/>
      <c r="BK1384" s="123"/>
      <c r="BL1384" s="123"/>
      <c r="BM1384" s="123"/>
      <c r="BN1384" s="115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26"/>
      <c r="CC1384" s="15"/>
      <c r="CF1384" s="114"/>
    </row>
    <row r="1385" spans="6:84" ht="19.5" x14ac:dyDescent="0.4">
      <c r="BD1385" s="25"/>
      <c r="BE1385" s="13"/>
      <c r="BI1385" s="115"/>
      <c r="BJ1385" s="117"/>
      <c r="BK1385" s="123"/>
      <c r="BL1385" s="123"/>
      <c r="BM1385" s="123"/>
      <c r="BN1385" s="115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26">
        <v>45278</v>
      </c>
      <c r="CC1385" s="15" t="s">
        <v>163</v>
      </c>
      <c r="CF1385" s="114"/>
    </row>
    <row r="1386" spans="6:84" ht="19.5" x14ac:dyDescent="0.4">
      <c r="AU1386" s="115"/>
      <c r="AV1386" s="115"/>
      <c r="AW1386" s="115"/>
      <c r="AX1386" s="115"/>
      <c r="AY1386" s="115"/>
      <c r="AZ1386" s="115"/>
      <c r="BA1386" s="115"/>
      <c r="BB1386" s="115"/>
      <c r="BC1386" s="115"/>
      <c r="BD1386" s="13"/>
      <c r="BE1386" s="13"/>
      <c r="BI1386" s="115"/>
      <c r="BJ1386" s="117"/>
      <c r="BK1386" s="123"/>
      <c r="BL1386" s="123"/>
      <c r="BM1386" s="123"/>
      <c r="BN1386" s="115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26"/>
      <c r="CC1386" s="13"/>
      <c r="CF1386" s="114"/>
    </row>
    <row r="1387" spans="6:84" ht="19.5" x14ac:dyDescent="0.4">
      <c r="BD1387" s="25"/>
      <c r="BE1387" s="13"/>
      <c r="BI1387" s="115"/>
      <c r="BJ1387" s="117"/>
      <c r="BK1387" s="123"/>
      <c r="BL1387" s="123"/>
      <c r="BM1387" s="123"/>
      <c r="BN1387" s="115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 t="s">
        <v>153</v>
      </c>
      <c r="CB1387" s="17">
        <f>SUBTOTAL(3,CB1356:CB1385)</f>
        <v>12</v>
      </c>
      <c r="CC1387" s="13">
        <f>SUBTOTAL(3,CC1356:CC1385)</f>
        <v>12</v>
      </c>
      <c r="CF1387" s="114"/>
    </row>
    <row r="1388" spans="6:84" ht="19.5" x14ac:dyDescent="0.4"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3"/>
      <c r="BE1388" s="13"/>
      <c r="BI1388" s="115"/>
      <c r="BJ1388" s="117"/>
      <c r="BK1388" s="123"/>
      <c r="BL1388" s="123"/>
      <c r="BM1388" s="123"/>
      <c r="BN1388" s="115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7"/>
      <c r="CC1388" s="13"/>
      <c r="CF1388" s="114"/>
    </row>
    <row r="1389" spans="6:84" ht="19.5" x14ac:dyDescent="0.4">
      <c r="BD1389" s="25"/>
      <c r="BE1389" s="13"/>
      <c r="BI1389" s="115"/>
      <c r="BJ1389" s="117"/>
      <c r="BK1389" s="123"/>
      <c r="BL1389" s="123"/>
      <c r="BM1389" s="123"/>
      <c r="BN1389" s="115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26">
        <v>45279</v>
      </c>
      <c r="CC1389" s="25" t="s">
        <v>162</v>
      </c>
      <c r="CF1389" s="114"/>
    </row>
    <row r="1390" spans="6:84" ht="19.5" x14ac:dyDescent="0.4">
      <c r="BD1390" s="25"/>
      <c r="BE1390" s="13"/>
      <c r="BI1390" s="115"/>
      <c r="BJ1390" s="117"/>
      <c r="BK1390" s="123"/>
      <c r="BL1390" s="123"/>
      <c r="BM1390" s="123"/>
      <c r="BN1390" s="115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26">
        <v>45279</v>
      </c>
      <c r="CC1390" s="13" t="s">
        <v>162</v>
      </c>
      <c r="CF1390" s="114"/>
    </row>
    <row r="1391" spans="6:84" ht="19.5" x14ac:dyDescent="0.4">
      <c r="AU1391" s="115"/>
      <c r="AV1391" s="115"/>
      <c r="AW1391" s="115"/>
      <c r="AX1391" s="115"/>
      <c r="AY1391" s="115"/>
      <c r="AZ1391" s="115"/>
      <c r="BA1391" s="115"/>
      <c r="BB1391" s="115"/>
      <c r="BC1391" s="115"/>
      <c r="BD1391" s="20"/>
      <c r="BE1391" s="13"/>
      <c r="BI1391" s="115"/>
      <c r="BJ1391" s="117"/>
      <c r="BK1391" s="123"/>
      <c r="BL1391" s="123"/>
      <c r="BM1391" s="123"/>
      <c r="BN1391" s="115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26"/>
      <c r="CC1391" s="13"/>
      <c r="CF1391" s="114"/>
    </row>
    <row r="1392" spans="6:84" ht="19.5" x14ac:dyDescent="0.4"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20"/>
      <c r="BE1392" s="13"/>
      <c r="BI1392" s="115"/>
      <c r="BJ1392" s="117"/>
      <c r="BK1392" s="123"/>
      <c r="BL1392" s="123"/>
      <c r="BM1392" s="123"/>
      <c r="BN1392" s="115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26"/>
      <c r="CC1392" s="13"/>
      <c r="CF1392" s="114"/>
    </row>
    <row r="1393" spans="56:84" ht="19.5" x14ac:dyDescent="0.4">
      <c r="BD1393" s="26"/>
      <c r="BE1393" s="13"/>
      <c r="BI1393" s="115"/>
      <c r="BJ1393" s="117"/>
      <c r="BK1393" s="123"/>
      <c r="BL1393" s="123"/>
      <c r="BM1393" s="123"/>
      <c r="BN1393" s="115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26">
        <v>45279</v>
      </c>
      <c r="CC1393" s="13" t="s">
        <v>162</v>
      </c>
      <c r="CF1393" s="114"/>
    </row>
    <row r="1394" spans="56:84" ht="19.5" x14ac:dyDescent="0.4">
      <c r="BD1394" s="26"/>
      <c r="BE1394" s="13"/>
      <c r="BI1394" s="115"/>
      <c r="BJ1394" s="117"/>
      <c r="BK1394" s="123"/>
      <c r="BL1394" s="123"/>
      <c r="BM1394" s="123"/>
      <c r="BN1394" s="115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26">
        <v>45279</v>
      </c>
      <c r="CC1394" s="13" t="s">
        <v>162</v>
      </c>
      <c r="CF1394" s="114"/>
    </row>
    <row r="1395" spans="56:84" ht="19.5" x14ac:dyDescent="0.4">
      <c r="BD1395" s="129"/>
      <c r="BE1395" s="13"/>
      <c r="BI1395" s="115"/>
      <c r="BJ1395" s="117"/>
      <c r="BK1395" s="123"/>
      <c r="BL1395" s="123"/>
      <c r="BM1395" s="123"/>
      <c r="BN1395" s="115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26"/>
      <c r="CC1395" s="13"/>
      <c r="CF1395" s="114"/>
    </row>
    <row r="1396" spans="56:84" ht="19.5" x14ac:dyDescent="0.4">
      <c r="BD1396" s="26"/>
      <c r="BE1396" s="13"/>
      <c r="BI1396" s="115"/>
      <c r="BJ1396" s="117"/>
      <c r="BK1396" s="123"/>
      <c r="BL1396" s="123"/>
      <c r="BM1396" s="123"/>
      <c r="BN1396" s="115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26">
        <v>45279</v>
      </c>
      <c r="CC1396" s="13" t="s">
        <v>162</v>
      </c>
      <c r="CF1396" s="114"/>
    </row>
    <row r="1397" spans="56:84" ht="19.5" x14ac:dyDescent="0.4">
      <c r="BD1397" s="26"/>
      <c r="BE1397" s="13"/>
      <c r="BI1397" s="115"/>
      <c r="BJ1397" s="117"/>
      <c r="BK1397" s="123"/>
      <c r="BL1397" s="123"/>
      <c r="BM1397" s="123"/>
      <c r="BN1397" s="115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26">
        <v>45279</v>
      </c>
      <c r="CC1397" s="13" t="s">
        <v>162</v>
      </c>
      <c r="CF1397" s="114"/>
    </row>
    <row r="1398" spans="56:84" ht="19.5" x14ac:dyDescent="0.4">
      <c r="BD1398" s="26"/>
      <c r="BE1398" s="13"/>
      <c r="BI1398" s="115"/>
      <c r="BJ1398" s="117"/>
      <c r="BK1398" s="123"/>
      <c r="BL1398" s="123"/>
      <c r="BM1398" s="123"/>
      <c r="BN1398" s="115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 t="s">
        <v>170</v>
      </c>
      <c r="CB1398" s="17">
        <f>SUBTOTAL(3,CB1389:CB1397)</f>
        <v>6</v>
      </c>
      <c r="CC1398" s="13">
        <f>SUBTOTAL(3,CC1389:CC1397)</f>
        <v>6</v>
      </c>
      <c r="CF1398" s="114"/>
    </row>
    <row r="1399" spans="56:84" ht="19.5" x14ac:dyDescent="0.4">
      <c r="BD1399" s="129"/>
      <c r="BE1399" s="13"/>
      <c r="BI1399" s="115"/>
      <c r="BJ1399" s="117"/>
      <c r="BK1399" s="123"/>
      <c r="BL1399" s="123"/>
      <c r="BM1399" s="123"/>
      <c r="BN1399" s="115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7"/>
      <c r="CC1399" s="13"/>
      <c r="CF1399" s="114"/>
    </row>
    <row r="1400" spans="56:84" ht="19.5" x14ac:dyDescent="0.4">
      <c r="BD1400" s="26"/>
      <c r="BE1400" s="13"/>
      <c r="BI1400" s="115"/>
      <c r="BJ1400" s="117"/>
      <c r="BK1400" s="123"/>
      <c r="BL1400" s="123"/>
      <c r="BM1400" s="123"/>
      <c r="BN1400" s="115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26">
        <v>45280</v>
      </c>
      <c r="CC1400" s="13" t="s">
        <v>162</v>
      </c>
      <c r="CF1400" s="114"/>
    </row>
    <row r="1401" spans="56:84" ht="19.5" x14ac:dyDescent="0.4">
      <c r="BD1401" s="26"/>
      <c r="BE1401" s="13"/>
      <c r="BI1401" s="115"/>
      <c r="BJ1401" s="116"/>
      <c r="BK1401" s="123"/>
      <c r="BL1401" s="123"/>
      <c r="BM1401" s="123"/>
      <c r="BN1401" s="115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26">
        <v>45280</v>
      </c>
      <c r="CC1401" s="13" t="s">
        <v>162</v>
      </c>
      <c r="CF1401" s="114"/>
    </row>
    <row r="1402" spans="56:84" ht="19.5" x14ac:dyDescent="0.4">
      <c r="BD1402" s="26"/>
      <c r="BE1402" s="13"/>
      <c r="BI1402" s="115"/>
      <c r="BJ1402" s="116"/>
      <c r="BK1402" s="123"/>
      <c r="BL1402" s="123"/>
      <c r="BM1402" s="123"/>
      <c r="BN1402" s="115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26">
        <v>45280</v>
      </c>
      <c r="CC1402" s="13" t="s">
        <v>162</v>
      </c>
      <c r="CF1402" s="114"/>
    </row>
    <row r="1403" spans="56:84" ht="19.5" x14ac:dyDescent="0.4">
      <c r="BD1403" s="26"/>
      <c r="BE1403" s="13"/>
      <c r="BI1403" s="115"/>
      <c r="BJ1403" s="116"/>
      <c r="BK1403" s="123"/>
      <c r="BL1403" s="123"/>
      <c r="BM1403" s="123"/>
      <c r="BN1403" s="115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26">
        <v>45280</v>
      </c>
      <c r="CC1403" s="13" t="s">
        <v>162</v>
      </c>
      <c r="CF1403" s="114"/>
    </row>
    <row r="1404" spans="56:84" ht="19.5" x14ac:dyDescent="0.4">
      <c r="BD1404" s="129"/>
      <c r="BE1404" s="13"/>
      <c r="BI1404" s="115"/>
      <c r="BJ1404" s="116"/>
      <c r="BK1404" s="123"/>
      <c r="BL1404" s="123"/>
      <c r="BM1404" s="123"/>
      <c r="BN1404" s="115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26"/>
      <c r="CC1404" s="13"/>
      <c r="CF1404" s="114"/>
    </row>
    <row r="1405" spans="56:84" ht="19.5" x14ac:dyDescent="0.4">
      <c r="BD1405" s="26"/>
      <c r="BE1405" s="13"/>
      <c r="BI1405" s="115"/>
      <c r="BJ1405" s="116"/>
      <c r="BK1405" s="123"/>
      <c r="BL1405" s="123"/>
      <c r="BM1405" s="123"/>
      <c r="BN1405" s="115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26">
        <v>45280</v>
      </c>
      <c r="CC1405" s="13" t="s">
        <v>162</v>
      </c>
      <c r="CF1405" s="114"/>
    </row>
    <row r="1406" spans="56:84" ht="19.5" x14ac:dyDescent="0.4">
      <c r="BD1406" s="130"/>
      <c r="BE1406" s="119"/>
      <c r="BI1406" s="115"/>
      <c r="BJ1406" s="116"/>
      <c r="BK1406" s="123"/>
      <c r="BL1406" s="123"/>
      <c r="BM1406" s="123"/>
      <c r="BN1406" s="115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26"/>
      <c r="CC1406" s="13"/>
      <c r="CF1406" s="114"/>
    </row>
    <row r="1407" spans="56:84" ht="19.5" x14ac:dyDescent="0.4">
      <c r="BD1407" s="130"/>
      <c r="BE1407" s="119"/>
      <c r="BI1407" s="115"/>
      <c r="BJ1407" s="116"/>
      <c r="BK1407" s="123"/>
      <c r="BL1407" s="123"/>
      <c r="BM1407" s="123"/>
      <c r="BN1407" s="115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26"/>
      <c r="CC1407" s="13"/>
      <c r="CF1407" s="114"/>
    </row>
    <row r="1408" spans="56:84" ht="19.5" x14ac:dyDescent="0.4">
      <c r="BI1408" s="115"/>
      <c r="BJ1408" s="116"/>
      <c r="BK1408" s="123"/>
      <c r="BL1408" s="123"/>
      <c r="BM1408" s="123"/>
      <c r="BN1408" s="115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26">
        <v>45280</v>
      </c>
      <c r="CC1408" s="13" t="s">
        <v>162</v>
      </c>
      <c r="CF1408" s="114"/>
    </row>
    <row r="1409" spans="58:84" ht="19.5" x14ac:dyDescent="0.4">
      <c r="BI1409" s="115"/>
      <c r="BJ1409" s="116"/>
      <c r="BK1409" s="123"/>
      <c r="BL1409" s="123"/>
      <c r="BM1409" s="123"/>
      <c r="BN1409" s="115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26">
        <v>45280</v>
      </c>
      <c r="CC1409" s="13" t="s">
        <v>162</v>
      </c>
      <c r="CF1409" s="114"/>
    </row>
    <row r="1410" spans="58:84" ht="19.5" x14ac:dyDescent="0.4">
      <c r="BI1410" s="115"/>
      <c r="BJ1410" s="116"/>
      <c r="BK1410" s="123"/>
      <c r="BL1410" s="123"/>
      <c r="BM1410" s="123"/>
      <c r="BN1410" s="115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26">
        <v>45280</v>
      </c>
      <c r="CC1410" s="13" t="s">
        <v>162</v>
      </c>
      <c r="CF1410" s="114"/>
    </row>
    <row r="1411" spans="58:84" ht="19.5" x14ac:dyDescent="0.4">
      <c r="BH1411" s="115"/>
      <c r="BI1411" s="115"/>
      <c r="BJ1411" s="116"/>
      <c r="BK1411" s="123"/>
      <c r="BL1411" s="123"/>
      <c r="BM1411" s="123"/>
      <c r="BN1411" s="115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26">
        <v>45280</v>
      </c>
      <c r="CC1411" s="13" t="s">
        <v>162</v>
      </c>
      <c r="CF1411" s="114"/>
    </row>
    <row r="1412" spans="58:84" ht="19.5" x14ac:dyDescent="0.4">
      <c r="BH1412" s="115"/>
      <c r="BI1412" s="115"/>
      <c r="BJ1412" s="116"/>
      <c r="BK1412" s="123"/>
      <c r="BL1412" s="123"/>
      <c r="BM1412" s="123"/>
      <c r="BN1412" s="115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26">
        <v>45280</v>
      </c>
      <c r="CC1412" s="13" t="s">
        <v>162</v>
      </c>
      <c r="CF1412" s="114"/>
    </row>
    <row r="1413" spans="58:84" ht="19.5" x14ac:dyDescent="0.4">
      <c r="BF1413" s="115"/>
      <c r="BG1413" s="115"/>
      <c r="BH1413" s="115"/>
      <c r="BI1413" s="115"/>
      <c r="BJ1413" s="116"/>
      <c r="BK1413" s="123"/>
      <c r="BL1413" s="123"/>
      <c r="BM1413" s="123"/>
      <c r="BN1413" s="115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26">
        <v>45280</v>
      </c>
      <c r="CC1413" s="13" t="s">
        <v>162</v>
      </c>
      <c r="CF1413" s="114"/>
    </row>
    <row r="1414" spans="58:84" x14ac:dyDescent="0.4">
      <c r="BF1414" s="115"/>
      <c r="BG1414" s="115"/>
      <c r="BH1414" s="115"/>
      <c r="BI1414" s="115"/>
      <c r="BJ1414" s="115"/>
      <c r="BK1414" s="122"/>
      <c r="BL1414" s="122"/>
      <c r="BM1414" s="122"/>
      <c r="BN1414" s="115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26">
        <v>45280</v>
      </c>
      <c r="CC1414" s="13" t="s">
        <v>162</v>
      </c>
      <c r="CF1414" s="114"/>
    </row>
    <row r="1415" spans="58:84" x14ac:dyDescent="0.4">
      <c r="BF1415" s="115"/>
      <c r="BG1415" s="115"/>
      <c r="BH1415" s="115"/>
      <c r="BI1415" s="115"/>
      <c r="BJ1415" s="115"/>
      <c r="BK1415" s="122"/>
      <c r="BL1415" s="122"/>
      <c r="BM1415" s="122"/>
      <c r="BN1415" s="115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26">
        <v>45280</v>
      </c>
      <c r="CC1415" s="13" t="s">
        <v>162</v>
      </c>
      <c r="CF1415" s="114"/>
    </row>
    <row r="1416" spans="58:84" x14ac:dyDescent="0.4">
      <c r="BF1416" s="115"/>
      <c r="BG1416" s="115"/>
      <c r="BH1416" s="115"/>
      <c r="BI1416" s="115"/>
      <c r="BJ1416" s="115"/>
      <c r="BK1416" s="122"/>
      <c r="BL1416" s="122"/>
      <c r="BM1416" s="122"/>
      <c r="BN1416" s="115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 t="s">
        <v>171</v>
      </c>
      <c r="CB1416" s="17">
        <f>SUBTOTAL(3,CB1400:CB1415)</f>
        <v>13</v>
      </c>
      <c r="CC1416" s="13">
        <f>SUBTOTAL(3,CC1400:CC1415)</f>
        <v>13</v>
      </c>
      <c r="CF1416" s="114"/>
    </row>
    <row r="1417" spans="58:84" x14ac:dyDescent="0.4">
      <c r="BF1417" s="115"/>
      <c r="BG1417" s="115"/>
      <c r="BH1417" s="115"/>
      <c r="BI1417" s="115"/>
      <c r="BJ1417" s="115"/>
      <c r="BK1417" s="122"/>
      <c r="BL1417" s="122"/>
      <c r="BM1417" s="122"/>
      <c r="BN1417" s="115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26">
        <v>45283</v>
      </c>
      <c r="CC1417" s="13" t="s">
        <v>162</v>
      </c>
      <c r="CF1417" s="114"/>
    </row>
    <row r="1418" spans="58:84" x14ac:dyDescent="0.4">
      <c r="BF1418" s="115"/>
      <c r="BG1418" s="115"/>
      <c r="BH1418" s="115"/>
      <c r="BI1418" s="115"/>
      <c r="BJ1418" s="115"/>
      <c r="BK1418" s="122"/>
      <c r="BL1418" s="122"/>
      <c r="BM1418" s="122"/>
      <c r="BN1418" s="115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26">
        <v>45283</v>
      </c>
      <c r="CC1418" s="13" t="s">
        <v>162</v>
      </c>
      <c r="CF1418" s="114"/>
    </row>
    <row r="1419" spans="58:84" x14ac:dyDescent="0.4">
      <c r="BF1419" s="115"/>
      <c r="BG1419" s="115"/>
      <c r="BH1419" s="115"/>
      <c r="BI1419" s="115"/>
      <c r="BJ1419" s="115"/>
      <c r="BK1419" s="122"/>
      <c r="BL1419" s="122"/>
      <c r="BM1419" s="122"/>
      <c r="BN1419" s="115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26">
        <v>45283</v>
      </c>
      <c r="CC1419" s="13" t="s">
        <v>162</v>
      </c>
      <c r="CF1419" s="114"/>
    </row>
    <row r="1420" spans="58:84" x14ac:dyDescent="0.4">
      <c r="BF1420" s="115"/>
      <c r="BG1420" s="115"/>
      <c r="BH1420" s="115"/>
      <c r="BI1420" s="115"/>
      <c r="BJ1420" s="115"/>
      <c r="BK1420" s="122"/>
      <c r="BL1420" s="122"/>
      <c r="BM1420" s="122"/>
      <c r="BN1420" s="115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26">
        <v>45283</v>
      </c>
      <c r="CC1420" s="13" t="s">
        <v>162</v>
      </c>
      <c r="CF1420" s="114"/>
    </row>
    <row r="1421" spans="58:84" x14ac:dyDescent="0.4">
      <c r="BF1421" s="115"/>
      <c r="BG1421" s="115"/>
      <c r="BH1421" s="115"/>
      <c r="BI1421" s="115"/>
      <c r="BJ1421" s="115"/>
      <c r="BK1421" s="122"/>
      <c r="BL1421" s="122"/>
      <c r="BM1421" s="122"/>
      <c r="BN1421" s="115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26">
        <v>45283</v>
      </c>
      <c r="CC1421" s="13" t="s">
        <v>162</v>
      </c>
      <c r="CF1421" s="114"/>
    </row>
    <row r="1422" spans="58:84" x14ac:dyDescent="0.4">
      <c r="BF1422" s="115"/>
      <c r="BG1422" s="115"/>
      <c r="BH1422" s="115"/>
      <c r="BI1422" s="115"/>
      <c r="BJ1422" s="115"/>
      <c r="BK1422" s="122"/>
      <c r="BL1422" s="122"/>
      <c r="BM1422" s="122"/>
      <c r="BN1422" s="115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26">
        <v>45283</v>
      </c>
      <c r="CC1422" s="13" t="s">
        <v>162</v>
      </c>
      <c r="CF1422" s="114"/>
    </row>
    <row r="1423" spans="58:84" x14ac:dyDescent="0.4">
      <c r="BF1423" s="115"/>
      <c r="BG1423" s="115"/>
      <c r="BH1423" s="115"/>
      <c r="BI1423" s="115"/>
      <c r="BJ1423" s="115"/>
      <c r="BK1423" s="122"/>
      <c r="BL1423" s="122"/>
      <c r="BM1423" s="122"/>
      <c r="BN1423" s="115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26">
        <v>45283</v>
      </c>
      <c r="CC1423" s="13" t="s">
        <v>162</v>
      </c>
      <c r="CF1423" s="114"/>
    </row>
    <row r="1424" spans="58:84" x14ac:dyDescent="0.4">
      <c r="BF1424" s="115"/>
      <c r="BG1424" s="115"/>
      <c r="BH1424" s="115"/>
      <c r="BI1424" s="115"/>
      <c r="BJ1424" s="115"/>
      <c r="BK1424" s="122"/>
      <c r="BL1424" s="122"/>
      <c r="BM1424" s="122"/>
      <c r="BN1424" s="115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26">
        <v>45283</v>
      </c>
      <c r="CC1424" s="13" t="s">
        <v>162</v>
      </c>
      <c r="CF1424" s="114"/>
    </row>
    <row r="1425" spans="58:84" x14ac:dyDescent="0.4">
      <c r="BF1425" s="115"/>
      <c r="BG1425" s="115"/>
      <c r="BH1425" s="115"/>
      <c r="BI1425" s="115"/>
      <c r="BJ1425" s="115"/>
      <c r="BK1425" s="122"/>
      <c r="BL1425" s="122"/>
      <c r="BM1425" s="122"/>
      <c r="BN1425" s="115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26">
        <v>45283</v>
      </c>
      <c r="CC1425" s="13" t="s">
        <v>162</v>
      </c>
      <c r="CF1425" s="114"/>
    </row>
    <row r="1426" spans="58:84" x14ac:dyDescent="0.4">
      <c r="BF1426" s="115"/>
      <c r="BG1426" s="115"/>
      <c r="BH1426" s="115"/>
      <c r="BI1426" s="115"/>
      <c r="BJ1426" s="115"/>
      <c r="BK1426" s="122"/>
      <c r="BL1426" s="122"/>
      <c r="BM1426" s="122"/>
      <c r="BN1426" s="115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26">
        <v>45283</v>
      </c>
      <c r="CC1426" s="13" t="s">
        <v>162</v>
      </c>
      <c r="CF1426" s="114"/>
    </row>
    <row r="1427" spans="58:84" x14ac:dyDescent="0.4">
      <c r="BF1427" s="115"/>
      <c r="BG1427" s="115"/>
      <c r="BH1427" s="115"/>
      <c r="BI1427" s="115"/>
      <c r="BJ1427" s="115"/>
      <c r="BK1427" s="122"/>
      <c r="BL1427" s="122"/>
      <c r="BM1427" s="122"/>
      <c r="BN1427" s="115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26">
        <v>45283</v>
      </c>
      <c r="CC1427" s="13" t="s">
        <v>163</v>
      </c>
      <c r="CF1427" s="114"/>
    </row>
    <row r="1428" spans="58:84" x14ac:dyDescent="0.4">
      <c r="BF1428" s="115"/>
      <c r="BG1428" s="115"/>
      <c r="BH1428" s="115"/>
      <c r="BI1428" s="115"/>
      <c r="BJ1428" s="115"/>
      <c r="BK1428" s="122"/>
      <c r="BL1428" s="122"/>
      <c r="BM1428" s="122"/>
      <c r="BN1428" s="115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26">
        <v>45283</v>
      </c>
      <c r="CC1428" s="13" t="s">
        <v>163</v>
      </c>
      <c r="CF1428" s="114"/>
    </row>
    <row r="1429" spans="58:84" x14ac:dyDescent="0.4">
      <c r="BF1429" s="115"/>
      <c r="BG1429" s="115"/>
      <c r="BH1429" s="115"/>
      <c r="BI1429" s="115"/>
      <c r="BJ1429" s="115"/>
      <c r="BK1429" s="122"/>
      <c r="BL1429" s="122"/>
      <c r="BM1429" s="122"/>
      <c r="BN1429" s="115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26">
        <v>45283</v>
      </c>
      <c r="CC1429" s="13" t="s">
        <v>163</v>
      </c>
      <c r="CF1429" s="114"/>
    </row>
    <row r="1430" spans="58:84" x14ac:dyDescent="0.4">
      <c r="BF1430" s="115"/>
      <c r="BG1430" s="115"/>
      <c r="BH1430" s="115"/>
      <c r="BI1430" s="115"/>
      <c r="BJ1430" s="115"/>
      <c r="BK1430" s="122"/>
      <c r="BL1430" s="122"/>
      <c r="BM1430" s="122"/>
      <c r="BN1430" s="115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 t="s">
        <v>161</v>
      </c>
      <c r="CB1430" s="17">
        <f>SUBTOTAL(3,CB1417:CB1429)</f>
        <v>13</v>
      </c>
      <c r="CC1430" s="13">
        <f>SUBTOTAL(3,CC1417:CC1429)</f>
        <v>13</v>
      </c>
      <c r="CF1430" s="114"/>
    </row>
    <row r="1431" spans="58:84" x14ac:dyDescent="0.4">
      <c r="BF1431" s="115"/>
      <c r="BG1431" s="115"/>
      <c r="BH1431" s="115"/>
      <c r="BI1431" s="115"/>
      <c r="BJ1431" s="115"/>
      <c r="BK1431" s="122"/>
      <c r="BL1431" s="122"/>
      <c r="BM1431" s="122"/>
      <c r="BN1431" s="115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26">
        <v>45285</v>
      </c>
      <c r="CC1431" s="13" t="s">
        <v>163</v>
      </c>
      <c r="CF1431" s="114"/>
    </row>
    <row r="1432" spans="58:84" x14ac:dyDescent="0.4">
      <c r="BF1432" s="115"/>
      <c r="BG1432" s="115"/>
      <c r="BH1432" s="115"/>
      <c r="BI1432" s="115"/>
      <c r="BJ1432" s="115"/>
      <c r="BK1432" s="122"/>
      <c r="BL1432" s="122"/>
      <c r="BM1432" s="122"/>
      <c r="BN1432" s="115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 t="s">
        <v>172</v>
      </c>
      <c r="CB1432" s="17">
        <f>SUBTOTAL(3,CB1431:CB1431)</f>
        <v>1</v>
      </c>
      <c r="CC1432" s="13">
        <f>SUBTOTAL(3,CC1431:CC1431)</f>
        <v>1</v>
      </c>
      <c r="CF1432" s="114"/>
    </row>
    <row r="1433" spans="58:84" x14ac:dyDescent="0.4">
      <c r="BF1433" s="115"/>
      <c r="BG1433" s="115"/>
      <c r="BH1433" s="115"/>
      <c r="BI1433" s="115"/>
      <c r="BJ1433" s="115"/>
      <c r="BK1433" s="122"/>
      <c r="BL1433" s="122"/>
      <c r="BM1433" s="122"/>
      <c r="BN1433" s="115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26">
        <v>45299</v>
      </c>
      <c r="CC1433" s="13" t="s">
        <v>164</v>
      </c>
      <c r="CF1433" s="114"/>
    </row>
    <row r="1434" spans="58:84" x14ac:dyDescent="0.4">
      <c r="BF1434" s="115"/>
      <c r="BG1434" s="115"/>
      <c r="BH1434" s="115"/>
      <c r="BI1434" s="115"/>
      <c r="BJ1434" s="115"/>
      <c r="BK1434" s="122"/>
      <c r="BL1434" s="122"/>
      <c r="BM1434" s="122"/>
      <c r="BN1434" s="115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26">
        <v>45299</v>
      </c>
      <c r="CC1434" s="13" t="s">
        <v>162</v>
      </c>
      <c r="CF1434" s="114"/>
    </row>
    <row r="1435" spans="58:84" x14ac:dyDescent="0.4">
      <c r="BF1435" s="115"/>
      <c r="BG1435" s="115"/>
      <c r="BH1435" s="115"/>
      <c r="BI1435" s="115"/>
      <c r="BJ1435" s="115"/>
      <c r="BK1435" s="122"/>
      <c r="BL1435" s="122"/>
      <c r="BM1435" s="122"/>
      <c r="BN1435" s="115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26">
        <v>45299</v>
      </c>
      <c r="CC1435" s="13" t="s">
        <v>162</v>
      </c>
      <c r="CF1435" s="114"/>
    </row>
    <row r="1436" spans="58:84" x14ac:dyDescent="0.4">
      <c r="BF1436" s="115"/>
      <c r="BG1436" s="115"/>
      <c r="BH1436" s="115"/>
      <c r="BI1436" s="115"/>
      <c r="BJ1436" s="115"/>
      <c r="BK1436" s="122"/>
      <c r="BL1436" s="122"/>
      <c r="BM1436" s="122"/>
      <c r="BN1436" s="115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26">
        <v>45299</v>
      </c>
      <c r="CC1436" s="15" t="s">
        <v>162</v>
      </c>
      <c r="CF1436" s="114"/>
    </row>
    <row r="1437" spans="58:84" x14ac:dyDescent="0.4">
      <c r="BF1437" s="115"/>
      <c r="BG1437" s="115"/>
      <c r="BH1437" s="115"/>
      <c r="BI1437" s="115"/>
      <c r="BJ1437" s="115"/>
      <c r="BK1437" s="122"/>
      <c r="BL1437" s="122"/>
      <c r="BM1437" s="122"/>
      <c r="BN1437" s="115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 t="s">
        <v>173</v>
      </c>
      <c r="CB1437" s="17">
        <f>SUBTOTAL(3,CB1433:CB1436)</f>
        <v>4</v>
      </c>
      <c r="CC1437" s="13">
        <f>SUBTOTAL(3,CC1433:CC1436)</f>
        <v>4</v>
      </c>
      <c r="CF1437" s="114"/>
    </row>
    <row r="1438" spans="58:84" x14ac:dyDescent="0.4">
      <c r="BF1438" s="115"/>
      <c r="BG1438" s="115"/>
      <c r="BH1438" s="115"/>
      <c r="BI1438" s="115"/>
      <c r="BJ1438" s="115"/>
      <c r="BK1438" s="122"/>
      <c r="BL1438" s="122"/>
      <c r="BM1438" s="122"/>
      <c r="BN1438" s="115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 t="s">
        <v>145</v>
      </c>
      <c r="CB1438" s="17">
        <f>SUBTOTAL(3,CB2:CB1436)</f>
        <v>136</v>
      </c>
      <c r="CC1438" s="13">
        <f>SUBTOTAL(3,CC2:CC1436)</f>
        <v>136</v>
      </c>
      <c r="CF1438" s="114"/>
    </row>
    <row r="1439" spans="58:84" x14ac:dyDescent="0.4">
      <c r="BF1439" s="115"/>
      <c r="BG1439" s="115"/>
      <c r="BH1439" s="115"/>
      <c r="BI1439" s="115"/>
      <c r="BJ1439" s="115"/>
      <c r="BK1439" s="122"/>
      <c r="BL1439" s="122"/>
      <c r="BM1439" s="122"/>
      <c r="BN1439" s="115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 t="s">
        <v>145</v>
      </c>
      <c r="BZ1439" s="115"/>
      <c r="CA1439" s="115"/>
      <c r="CB1439" s="26"/>
      <c r="CC1439" s="13"/>
      <c r="CF1439" s="114"/>
    </row>
    <row r="1440" spans="58:84" x14ac:dyDescent="0.4">
      <c r="BF1440" s="115"/>
      <c r="BG1440" s="115"/>
      <c r="BH1440" s="115"/>
      <c r="BI1440" s="115"/>
      <c r="BJ1440" s="115"/>
      <c r="BK1440" s="122"/>
      <c r="BL1440" s="122"/>
      <c r="BM1440" s="122"/>
      <c r="BN1440" s="115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7"/>
      <c r="CC1440" s="13"/>
      <c r="CF1440" s="114"/>
    </row>
    <row r="1441" spans="58:84" x14ac:dyDescent="0.4">
      <c r="BF1441" s="115"/>
      <c r="BG1441" s="115"/>
      <c r="BH1441" s="115"/>
      <c r="BI1441" s="115"/>
      <c r="BJ1441" s="115"/>
      <c r="BK1441" s="122"/>
      <c r="BL1441" s="122"/>
      <c r="BM1441" s="122"/>
      <c r="BN1441" s="115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26"/>
      <c r="CC1441" s="13"/>
      <c r="CF1441" s="114"/>
    </row>
    <row r="1442" spans="58:84" x14ac:dyDescent="0.4">
      <c r="BF1442" s="115"/>
      <c r="BG1442" s="115"/>
      <c r="BH1442" s="115"/>
      <c r="BI1442" s="115"/>
      <c r="BJ1442" s="115"/>
      <c r="BK1442" s="122"/>
      <c r="BL1442" s="122"/>
      <c r="BM1442" s="122"/>
      <c r="BN1442" s="115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7"/>
      <c r="CC1442" s="13"/>
      <c r="CF1442" s="114"/>
    </row>
    <row r="1443" spans="58:84" x14ac:dyDescent="0.4">
      <c r="BF1443" s="115"/>
      <c r="BG1443" s="115"/>
      <c r="BH1443" s="115"/>
      <c r="BI1443" s="115"/>
      <c r="BJ1443" s="115"/>
      <c r="BK1443" s="122"/>
      <c r="BL1443" s="122"/>
      <c r="BM1443" s="122"/>
      <c r="BN1443" s="115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26"/>
      <c r="CC1443" s="13"/>
      <c r="CF1443" s="114"/>
    </row>
    <row r="1444" spans="58:84" x14ac:dyDescent="0.4">
      <c r="BF1444" s="115"/>
      <c r="BG1444" s="115"/>
      <c r="BH1444" s="115"/>
      <c r="BI1444" s="115"/>
      <c r="BJ1444" s="115"/>
      <c r="BK1444" s="122"/>
      <c r="BL1444" s="122"/>
      <c r="BM1444" s="122"/>
      <c r="BN1444" s="115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26"/>
      <c r="CC1444" s="13"/>
      <c r="CF1444" s="114"/>
    </row>
    <row r="1445" spans="58:84" x14ac:dyDescent="0.4">
      <c r="BF1445" s="115"/>
      <c r="BG1445" s="115"/>
      <c r="BH1445" s="115"/>
      <c r="BI1445" s="115"/>
      <c r="BJ1445" s="115"/>
      <c r="BK1445" s="122"/>
      <c r="BL1445" s="122"/>
      <c r="BM1445" s="122"/>
      <c r="BN1445" s="115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26"/>
      <c r="CC1445" s="13"/>
      <c r="CF1445" s="114"/>
    </row>
    <row r="1446" spans="58:84" x14ac:dyDescent="0.4">
      <c r="BF1446" s="115"/>
      <c r="BG1446" s="115"/>
      <c r="BH1446" s="115"/>
      <c r="BI1446" s="115"/>
      <c r="BJ1446" s="115"/>
      <c r="BK1446" s="122"/>
      <c r="BL1446" s="122"/>
      <c r="BM1446" s="122"/>
      <c r="BN1446" s="115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7"/>
      <c r="CC1446" s="13"/>
      <c r="CF1446" s="114"/>
    </row>
    <row r="1447" spans="58:84" x14ac:dyDescent="0.4">
      <c r="BF1447" s="115"/>
      <c r="BG1447" s="115"/>
      <c r="BH1447" s="115"/>
      <c r="BI1447" s="115"/>
      <c r="BJ1447" s="115"/>
      <c r="BK1447" s="122"/>
      <c r="BL1447" s="122"/>
      <c r="BM1447" s="122"/>
      <c r="BN1447" s="115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26"/>
      <c r="CC1447" s="13"/>
      <c r="CF1447" s="114"/>
    </row>
    <row r="1448" spans="58:84" x14ac:dyDescent="0.4">
      <c r="BF1448" s="115"/>
      <c r="BG1448" s="115"/>
      <c r="BH1448" s="115"/>
      <c r="BI1448" s="115"/>
      <c r="BJ1448" s="115"/>
      <c r="BK1448" s="122"/>
      <c r="BL1448" s="122"/>
      <c r="BM1448" s="122"/>
      <c r="BN1448" s="115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7"/>
      <c r="CC1448" s="13"/>
      <c r="CF1448" s="114"/>
    </row>
    <row r="1449" spans="58:84" x14ac:dyDescent="0.4">
      <c r="BF1449" s="115"/>
      <c r="BG1449" s="115"/>
      <c r="BH1449" s="115"/>
      <c r="BI1449" s="115"/>
      <c r="BJ1449" s="115"/>
      <c r="BK1449" s="122"/>
      <c r="BL1449" s="122"/>
      <c r="BM1449" s="122"/>
      <c r="BN1449" s="115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26"/>
      <c r="CC1449" s="13"/>
      <c r="CF1449" s="114"/>
    </row>
    <row r="1450" spans="58:84" x14ac:dyDescent="0.4">
      <c r="BF1450" s="115"/>
      <c r="BG1450" s="115"/>
      <c r="BH1450" s="115"/>
      <c r="BI1450" s="115"/>
      <c r="BJ1450" s="115"/>
      <c r="BK1450" s="122"/>
      <c r="BL1450" s="122"/>
      <c r="BM1450" s="122"/>
      <c r="BN1450" s="115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7"/>
      <c r="CC1450" s="13"/>
      <c r="CF1450" s="114"/>
    </row>
    <row r="1451" spans="58:84" x14ac:dyDescent="0.4">
      <c r="BF1451" s="115"/>
      <c r="BG1451" s="115"/>
      <c r="BH1451" s="115"/>
      <c r="BI1451" s="115"/>
      <c r="BJ1451" s="115"/>
      <c r="BK1451" s="122"/>
      <c r="BL1451" s="122"/>
      <c r="BM1451" s="122"/>
      <c r="BN1451" s="115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7"/>
      <c r="CC1451" s="13"/>
      <c r="CF1451" s="114"/>
    </row>
    <row r="1452" spans="58:84" x14ac:dyDescent="0.4">
      <c r="BF1452" s="115"/>
      <c r="BG1452" s="115"/>
      <c r="BH1452" s="115"/>
      <c r="BI1452" s="115"/>
      <c r="BJ1452" s="115"/>
      <c r="BK1452" s="122"/>
      <c r="BL1452" s="122"/>
      <c r="BM1452" s="122"/>
      <c r="BN1452" s="115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7"/>
      <c r="CC1452" s="13"/>
      <c r="CF1452" s="114"/>
    </row>
    <row r="1453" spans="58:84" x14ac:dyDescent="0.4">
      <c r="BF1453" s="115"/>
      <c r="BG1453" s="115"/>
      <c r="BH1453" s="115"/>
      <c r="BI1453" s="115"/>
      <c r="BJ1453" s="115"/>
      <c r="BK1453" s="122"/>
      <c r="BL1453" s="122"/>
      <c r="BM1453" s="122"/>
      <c r="BN1453" s="115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26"/>
      <c r="CC1453" s="13"/>
      <c r="CF1453" s="114"/>
    </row>
    <row r="1454" spans="58:84" x14ac:dyDescent="0.4">
      <c r="BF1454" s="115"/>
      <c r="BG1454" s="115"/>
      <c r="BH1454" s="115"/>
      <c r="BI1454" s="115"/>
      <c r="BJ1454" s="115"/>
      <c r="BK1454" s="122"/>
      <c r="BL1454" s="122"/>
      <c r="BM1454" s="122"/>
      <c r="BN1454" s="115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7"/>
      <c r="CC1454" s="13"/>
      <c r="CF1454" s="114"/>
    </row>
    <row r="1455" spans="58:84" x14ac:dyDescent="0.4">
      <c r="BF1455" s="115"/>
      <c r="BG1455" s="115"/>
      <c r="BH1455" s="115"/>
      <c r="BI1455" s="115"/>
      <c r="BJ1455" s="115"/>
      <c r="BK1455" s="122"/>
      <c r="BL1455" s="122"/>
      <c r="BM1455" s="122"/>
      <c r="BN1455" s="115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26"/>
      <c r="CC1455" s="13"/>
      <c r="CF1455" s="114"/>
    </row>
    <row r="1456" spans="58:84" x14ac:dyDescent="0.4">
      <c r="BF1456" s="115"/>
      <c r="BG1456" s="115"/>
      <c r="BH1456" s="115"/>
      <c r="BI1456" s="115"/>
      <c r="BJ1456" s="115"/>
      <c r="BK1456" s="122"/>
      <c r="BL1456" s="122"/>
      <c r="BM1456" s="122"/>
      <c r="BN1456" s="115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7"/>
      <c r="CC1456" s="13"/>
      <c r="CF1456" s="114"/>
    </row>
    <row r="1457" spans="58:84" x14ac:dyDescent="0.4">
      <c r="BF1457" s="115"/>
      <c r="BG1457" s="115"/>
      <c r="BH1457" s="115"/>
      <c r="BI1457" s="115"/>
      <c r="BJ1457" s="115"/>
      <c r="BK1457" s="122"/>
      <c r="BL1457" s="122"/>
      <c r="BM1457" s="122"/>
      <c r="BN1457" s="115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26"/>
      <c r="CC1457" s="25"/>
      <c r="CF1457" s="114"/>
    </row>
    <row r="1458" spans="58:84" x14ac:dyDescent="0.4">
      <c r="BF1458" s="115"/>
      <c r="BG1458" s="115"/>
      <c r="BH1458" s="115"/>
      <c r="BI1458" s="115"/>
      <c r="BJ1458" s="115"/>
      <c r="BK1458" s="122"/>
      <c r="BL1458" s="122"/>
      <c r="BM1458" s="122"/>
      <c r="BN1458" s="115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7"/>
      <c r="CC1458" s="13"/>
      <c r="CF1458" s="114"/>
    </row>
    <row r="1459" spans="58:84" x14ac:dyDescent="0.4">
      <c r="BF1459" s="115"/>
      <c r="BG1459" s="115"/>
      <c r="BH1459" s="115"/>
      <c r="BI1459" s="115"/>
      <c r="BJ1459" s="115"/>
      <c r="BK1459" s="122"/>
      <c r="BL1459" s="122"/>
      <c r="BM1459" s="122"/>
      <c r="BN1459" s="115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7"/>
      <c r="CC1459" s="13"/>
      <c r="CF1459" s="114"/>
    </row>
    <row r="1460" spans="58:84" x14ac:dyDescent="0.4">
      <c r="BF1460" s="115"/>
      <c r="BG1460" s="115"/>
      <c r="BH1460" s="115"/>
      <c r="BI1460" s="115"/>
      <c r="BJ1460" s="115"/>
      <c r="BK1460" s="122"/>
      <c r="BL1460" s="122"/>
      <c r="BM1460" s="122"/>
      <c r="BN1460" s="115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26"/>
      <c r="CC1460" s="15"/>
      <c r="CF1460" s="114"/>
    </row>
    <row r="1461" spans="58:84" x14ac:dyDescent="0.4">
      <c r="BF1461" s="115"/>
      <c r="BG1461" s="115"/>
      <c r="BH1461" s="115"/>
      <c r="BI1461" s="115"/>
      <c r="BJ1461" s="115"/>
      <c r="BK1461" s="122"/>
      <c r="BL1461" s="122"/>
      <c r="BM1461" s="122"/>
      <c r="BN1461" s="115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26"/>
      <c r="CC1461" s="15"/>
      <c r="CF1461" s="114"/>
    </row>
    <row r="1462" spans="58:84" x14ac:dyDescent="0.4">
      <c r="BF1462" s="115"/>
      <c r="BG1462" s="115"/>
      <c r="BH1462" s="115"/>
      <c r="BI1462" s="115"/>
      <c r="BJ1462" s="115"/>
      <c r="BK1462" s="122"/>
      <c r="BL1462" s="122"/>
      <c r="BM1462" s="122"/>
      <c r="BN1462" s="115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26"/>
      <c r="CC1462" s="15"/>
      <c r="CF1462" s="114"/>
    </row>
    <row r="1463" spans="58:84" x14ac:dyDescent="0.4">
      <c r="BF1463" s="115"/>
      <c r="BG1463" s="115"/>
      <c r="BH1463" s="115"/>
      <c r="BI1463" s="115"/>
      <c r="BJ1463" s="115"/>
      <c r="BK1463" s="122"/>
      <c r="BL1463" s="122"/>
      <c r="BM1463" s="122"/>
      <c r="BN1463" s="115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26"/>
      <c r="CC1463" s="15"/>
      <c r="CF1463" s="114"/>
    </row>
    <row r="1464" spans="58:84" x14ac:dyDescent="0.4">
      <c r="BF1464" s="115"/>
      <c r="BG1464" s="115"/>
      <c r="BH1464" s="115"/>
      <c r="BI1464" s="115"/>
      <c r="BJ1464" s="115"/>
      <c r="BK1464" s="122"/>
      <c r="BL1464" s="122"/>
      <c r="BM1464" s="122"/>
      <c r="BN1464" s="115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26"/>
      <c r="CC1464" s="15"/>
      <c r="CF1464" s="114"/>
    </row>
    <row r="1465" spans="58:84" x14ac:dyDescent="0.4">
      <c r="BF1465" s="115"/>
      <c r="BG1465" s="115"/>
      <c r="BH1465" s="115"/>
      <c r="BI1465" s="115"/>
      <c r="BJ1465" s="115"/>
      <c r="BK1465" s="122"/>
      <c r="BL1465" s="122"/>
      <c r="BM1465" s="122"/>
      <c r="BN1465" s="115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/>
      <c r="CA1465" s="115"/>
      <c r="CB1465" s="26"/>
      <c r="CC1465" s="15"/>
      <c r="CF1465" s="114"/>
    </row>
    <row r="1466" spans="58:84" x14ac:dyDescent="0.4">
      <c r="BF1466" s="115"/>
      <c r="BG1466" s="115"/>
      <c r="BH1466" s="115"/>
      <c r="BI1466" s="115"/>
      <c r="BJ1466" s="115"/>
      <c r="BK1466" s="122"/>
      <c r="BL1466" s="122"/>
      <c r="BM1466" s="122"/>
      <c r="BN1466" s="115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26"/>
      <c r="CC1466" s="15"/>
      <c r="CF1466" s="114"/>
    </row>
    <row r="1467" spans="58:84" x14ac:dyDescent="0.4">
      <c r="BF1467" s="115"/>
      <c r="BG1467" s="115"/>
      <c r="BH1467" s="115"/>
      <c r="BI1467" s="115"/>
      <c r="BJ1467" s="115"/>
      <c r="BK1467" s="122"/>
      <c r="BL1467" s="122"/>
      <c r="BM1467" s="122"/>
      <c r="BN1467" s="115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26"/>
      <c r="CC1467" s="15"/>
      <c r="CF1467" s="114"/>
    </row>
    <row r="1468" spans="58:84" x14ac:dyDescent="0.4">
      <c r="BF1468" s="115"/>
      <c r="BG1468" s="115"/>
      <c r="BH1468" s="115"/>
      <c r="BI1468" s="115"/>
      <c r="BJ1468" s="115"/>
      <c r="BK1468" s="122"/>
      <c r="BL1468" s="122"/>
      <c r="BM1468" s="122"/>
      <c r="BN1468" s="115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7"/>
      <c r="CC1468" s="15"/>
      <c r="CF1468" s="114"/>
    </row>
    <row r="1469" spans="58:84" x14ac:dyDescent="0.4">
      <c r="BF1469" s="115"/>
      <c r="BG1469" s="115"/>
      <c r="BH1469" s="115"/>
      <c r="BI1469" s="115"/>
      <c r="BJ1469" s="115"/>
      <c r="BK1469" s="122"/>
      <c r="BL1469" s="122"/>
      <c r="BM1469" s="122"/>
      <c r="BN1469" s="115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26"/>
      <c r="CC1469" s="15"/>
      <c r="CF1469" s="114"/>
    </row>
    <row r="1470" spans="58:84" x14ac:dyDescent="0.4">
      <c r="BF1470" s="115"/>
      <c r="BG1470" s="115"/>
      <c r="BH1470" s="115"/>
      <c r="BI1470" s="115"/>
      <c r="BJ1470" s="115"/>
      <c r="BK1470" s="122"/>
      <c r="BL1470" s="122"/>
      <c r="BM1470" s="122"/>
      <c r="BN1470" s="115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26"/>
      <c r="CC1470" s="13"/>
      <c r="CF1470" s="114"/>
    </row>
    <row r="1471" spans="58:84" x14ac:dyDescent="0.4">
      <c r="BF1471" s="115"/>
      <c r="BG1471" s="115"/>
      <c r="BH1471" s="115"/>
      <c r="BI1471" s="115"/>
      <c r="BJ1471" s="115"/>
      <c r="BK1471" s="122"/>
      <c r="BL1471" s="122"/>
      <c r="BM1471" s="122"/>
      <c r="BN1471" s="115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26"/>
      <c r="CC1471" s="13"/>
      <c r="CF1471" s="114"/>
    </row>
    <row r="1472" spans="58:84" x14ac:dyDescent="0.4">
      <c r="BF1472" s="115"/>
      <c r="BG1472" s="115"/>
      <c r="BH1472" s="115"/>
      <c r="BI1472" s="115"/>
      <c r="BJ1472" s="115"/>
      <c r="BK1472" s="122"/>
      <c r="BL1472" s="122"/>
      <c r="BM1472" s="122"/>
      <c r="BN1472" s="115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26"/>
      <c r="CC1472" s="13"/>
      <c r="CF1472" s="114"/>
    </row>
    <row r="1473" spans="58:84" x14ac:dyDescent="0.4">
      <c r="BF1473" s="115"/>
      <c r="BG1473" s="115"/>
      <c r="BH1473" s="115"/>
      <c r="BI1473" s="115"/>
      <c r="BJ1473" s="115"/>
      <c r="BK1473" s="122"/>
      <c r="BL1473" s="122"/>
      <c r="BM1473" s="122"/>
      <c r="BN1473" s="115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26"/>
      <c r="CC1473" s="13"/>
      <c r="CF1473" s="114"/>
    </row>
    <row r="1474" spans="58:84" x14ac:dyDescent="0.4">
      <c r="BF1474" s="115"/>
      <c r="BG1474" s="115"/>
      <c r="BH1474" s="115"/>
      <c r="BI1474" s="115"/>
      <c r="BJ1474" s="115"/>
      <c r="BK1474" s="122"/>
      <c r="BL1474" s="122"/>
      <c r="BM1474" s="122"/>
      <c r="BN1474" s="115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26"/>
      <c r="CC1474" s="13"/>
      <c r="CF1474" s="114"/>
    </row>
    <row r="1475" spans="58:84" x14ac:dyDescent="0.4">
      <c r="BF1475" s="115"/>
      <c r="BG1475" s="115"/>
      <c r="BH1475" s="115"/>
      <c r="BI1475" s="115"/>
      <c r="BJ1475" s="115"/>
      <c r="BK1475" s="122"/>
      <c r="BL1475" s="122"/>
      <c r="BM1475" s="122"/>
      <c r="BN1475" s="115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26"/>
      <c r="CC1475" s="13"/>
      <c r="CF1475" s="114"/>
    </row>
    <row r="1476" spans="58:84" x14ac:dyDescent="0.4">
      <c r="BF1476" s="115"/>
      <c r="BG1476" s="115"/>
      <c r="BH1476" s="115"/>
      <c r="BI1476" s="115"/>
      <c r="BJ1476" s="115"/>
      <c r="BK1476" s="122"/>
      <c r="BL1476" s="122"/>
      <c r="BM1476" s="122"/>
      <c r="BN1476" s="115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26"/>
      <c r="CC1476" s="13"/>
      <c r="CF1476" s="114"/>
    </row>
    <row r="1477" spans="58:84" x14ac:dyDescent="0.4">
      <c r="BF1477" s="115"/>
      <c r="BG1477" s="115"/>
      <c r="BH1477" s="115"/>
      <c r="BI1477" s="115"/>
      <c r="BJ1477" s="115"/>
      <c r="BK1477" s="122"/>
      <c r="BL1477" s="122"/>
      <c r="BM1477" s="122"/>
      <c r="BN1477" s="115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26"/>
      <c r="CC1477" s="13"/>
      <c r="CF1477" s="114"/>
    </row>
    <row r="1478" spans="58:84" x14ac:dyDescent="0.4">
      <c r="BF1478" s="115"/>
      <c r="BG1478" s="115"/>
      <c r="BH1478" s="115"/>
      <c r="BI1478" s="115"/>
      <c r="BJ1478" s="115"/>
      <c r="BK1478" s="122"/>
      <c r="BL1478" s="122"/>
      <c r="BM1478" s="122"/>
      <c r="BN1478" s="115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26"/>
      <c r="CC1478" s="13"/>
      <c r="CF1478" s="114"/>
    </row>
    <row r="1479" spans="58:84" x14ac:dyDescent="0.4">
      <c r="BF1479" s="115"/>
      <c r="BG1479" s="115"/>
      <c r="BH1479" s="115"/>
      <c r="BI1479" s="115"/>
      <c r="BJ1479" s="115"/>
      <c r="BK1479" s="122"/>
      <c r="BL1479" s="122"/>
      <c r="BM1479" s="122"/>
      <c r="BN1479" s="115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26"/>
      <c r="CC1479" s="13"/>
      <c r="CF1479" s="114"/>
    </row>
    <row r="1480" spans="58:84" x14ac:dyDescent="0.4">
      <c r="BF1480" s="115"/>
      <c r="BG1480" s="115"/>
      <c r="BH1480" s="115"/>
      <c r="BI1480" s="115"/>
      <c r="BJ1480" s="115"/>
      <c r="BK1480" s="122"/>
      <c r="BL1480" s="122"/>
      <c r="BM1480" s="122"/>
      <c r="BN1480" s="115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26"/>
      <c r="CC1480" s="13"/>
      <c r="CF1480" s="114"/>
    </row>
    <row r="1481" spans="58:84" x14ac:dyDescent="0.4">
      <c r="BF1481" s="115"/>
      <c r="BG1481" s="115"/>
      <c r="BH1481" s="115"/>
      <c r="BI1481" s="115"/>
      <c r="BJ1481" s="115"/>
      <c r="BK1481" s="122"/>
      <c r="BL1481" s="122"/>
      <c r="BM1481" s="122"/>
      <c r="BN1481" s="115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7"/>
      <c r="CC1481" s="13"/>
      <c r="CF1481" s="114"/>
    </row>
    <row r="1482" spans="58:84" x14ac:dyDescent="0.4">
      <c r="BF1482" s="115"/>
      <c r="BG1482" s="115"/>
      <c r="BH1482" s="115"/>
      <c r="BI1482" s="115"/>
      <c r="BJ1482" s="115"/>
      <c r="BK1482" s="122"/>
      <c r="BL1482" s="122"/>
      <c r="BM1482" s="122"/>
      <c r="BN1482" s="115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26"/>
      <c r="CC1482" s="13"/>
      <c r="CF1482" s="114"/>
    </row>
    <row r="1483" spans="58:84" x14ac:dyDescent="0.4">
      <c r="BF1483" s="115"/>
      <c r="BG1483" s="115"/>
      <c r="BH1483" s="115"/>
      <c r="BI1483" s="115"/>
      <c r="BJ1483" s="115"/>
      <c r="BK1483" s="122"/>
      <c r="BL1483" s="122"/>
      <c r="BM1483" s="122"/>
      <c r="BN1483" s="115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26"/>
      <c r="CC1483" s="13"/>
      <c r="CF1483" s="114"/>
    </row>
    <row r="1484" spans="58:84" x14ac:dyDescent="0.4">
      <c r="BF1484" s="115"/>
      <c r="BG1484" s="115"/>
      <c r="BH1484" s="115"/>
      <c r="BI1484" s="115"/>
      <c r="BJ1484" s="115"/>
      <c r="BK1484" s="122"/>
      <c r="BL1484" s="122"/>
      <c r="BM1484" s="122"/>
      <c r="BN1484" s="115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26"/>
      <c r="CC1484" s="13"/>
      <c r="CF1484" s="114"/>
    </row>
    <row r="1485" spans="58:84" x14ac:dyDescent="0.4">
      <c r="BF1485" s="115"/>
      <c r="BG1485" s="115"/>
      <c r="BH1485" s="115"/>
      <c r="BI1485" s="115"/>
      <c r="BJ1485" s="115"/>
      <c r="BK1485" s="122"/>
      <c r="BL1485" s="122"/>
      <c r="BM1485" s="122"/>
      <c r="BN1485" s="115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7"/>
      <c r="CC1485" s="13"/>
      <c r="CF1485" s="114"/>
    </row>
    <row r="1486" spans="58:84" x14ac:dyDescent="0.4">
      <c r="BF1486" s="115"/>
      <c r="BG1486" s="115"/>
      <c r="BH1486" s="115"/>
      <c r="BI1486" s="115"/>
      <c r="BJ1486" s="115"/>
      <c r="BK1486" s="122"/>
      <c r="BL1486" s="122"/>
      <c r="BM1486" s="122"/>
      <c r="BN1486" s="115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26"/>
      <c r="CC1486" s="13"/>
      <c r="CF1486" s="114"/>
    </row>
    <row r="1487" spans="58:84" x14ac:dyDescent="0.4">
      <c r="BF1487" s="115"/>
      <c r="BG1487" s="115"/>
      <c r="BH1487" s="115"/>
      <c r="BI1487" s="115"/>
      <c r="BJ1487" s="115"/>
      <c r="BK1487" s="122"/>
      <c r="BL1487" s="122"/>
      <c r="BM1487" s="122"/>
      <c r="BN1487" s="115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7"/>
      <c r="CC1487" s="13"/>
      <c r="CF1487" s="114"/>
    </row>
    <row r="1488" spans="58:84" x14ac:dyDescent="0.4">
      <c r="BF1488" s="115"/>
      <c r="BG1488" s="115"/>
      <c r="BH1488" s="115"/>
      <c r="BI1488" s="115"/>
      <c r="BJ1488" s="115"/>
      <c r="BK1488" s="122"/>
      <c r="BL1488" s="122"/>
      <c r="BM1488" s="122"/>
      <c r="BN1488" s="115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26"/>
      <c r="CC1488" s="13"/>
      <c r="CF1488" s="114"/>
    </row>
    <row r="1489" spans="57:84" x14ac:dyDescent="0.4">
      <c r="BF1489" s="115"/>
      <c r="BG1489" s="115"/>
      <c r="BH1489" s="115"/>
      <c r="BI1489" s="115"/>
      <c r="BJ1489" s="115"/>
      <c r="BK1489" s="122"/>
      <c r="BL1489" s="122"/>
      <c r="BM1489" s="122"/>
      <c r="BN1489" s="115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26"/>
      <c r="CC1489" s="15"/>
      <c r="CF1489" s="114"/>
    </row>
    <row r="1490" spans="57:84" x14ac:dyDescent="0.4">
      <c r="BF1490" s="115"/>
      <c r="BG1490" s="115"/>
      <c r="BH1490" s="115"/>
      <c r="BI1490" s="115"/>
      <c r="BJ1490" s="115"/>
      <c r="BK1490" s="122"/>
      <c r="BL1490" s="122"/>
      <c r="BM1490" s="122"/>
      <c r="BN1490" s="115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7"/>
      <c r="CC1490" s="15"/>
      <c r="CF1490" s="114"/>
    </row>
    <row r="1491" spans="57:84" x14ac:dyDescent="0.4">
      <c r="BF1491" s="115"/>
      <c r="BG1491" s="115"/>
      <c r="BH1491" s="115"/>
      <c r="BI1491" s="115"/>
      <c r="BJ1491" s="115"/>
      <c r="BK1491" s="122"/>
      <c r="BL1491" s="122"/>
      <c r="BM1491" s="122"/>
      <c r="BN1491" s="115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7"/>
      <c r="CC1491" s="15"/>
      <c r="CF1491" s="114"/>
    </row>
    <row r="1492" spans="57:84" x14ac:dyDescent="0.4">
      <c r="BE1492" s="115"/>
      <c r="BF1492" s="115"/>
      <c r="BG1492" s="115"/>
      <c r="BH1492" s="115"/>
      <c r="BI1492" s="115"/>
      <c r="BJ1492" s="115"/>
      <c r="BK1492" s="122"/>
      <c r="BL1492" s="122"/>
      <c r="BM1492" s="122"/>
      <c r="BN1492" s="115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26"/>
      <c r="CC1492" s="15"/>
      <c r="CF1492" s="114"/>
    </row>
    <row r="1493" spans="57:84" x14ac:dyDescent="0.4">
      <c r="BE1493" s="115"/>
      <c r="BF1493" s="115"/>
      <c r="BG1493" s="115"/>
      <c r="BH1493" s="115"/>
      <c r="BI1493" s="115"/>
      <c r="BJ1493" s="115"/>
      <c r="BK1493" s="122"/>
      <c r="BL1493" s="122"/>
      <c r="BM1493" s="122"/>
      <c r="BN1493" s="115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7"/>
      <c r="CC1493" s="15"/>
      <c r="CF1493" s="114"/>
    </row>
    <row r="1494" spans="57:84" x14ac:dyDescent="0.4">
      <c r="BE1494" s="115"/>
      <c r="BF1494" s="115"/>
      <c r="BG1494" s="115"/>
      <c r="BH1494" s="115"/>
      <c r="BI1494" s="115"/>
      <c r="BJ1494" s="115"/>
      <c r="BK1494" s="122"/>
      <c r="BL1494" s="122"/>
      <c r="BM1494" s="122"/>
      <c r="BN1494" s="115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26"/>
      <c r="CC1494" s="15"/>
      <c r="CF1494" s="114"/>
    </row>
    <row r="1495" spans="57:84" x14ac:dyDescent="0.4">
      <c r="BE1495" s="115"/>
      <c r="BF1495" s="115"/>
      <c r="BG1495" s="115"/>
      <c r="BH1495" s="115"/>
      <c r="BI1495" s="115"/>
      <c r="BJ1495" s="115"/>
      <c r="BK1495" s="122"/>
      <c r="BL1495" s="122"/>
      <c r="BM1495" s="122"/>
      <c r="BN1495" s="115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26"/>
      <c r="CC1495" s="15"/>
      <c r="CF1495" s="114"/>
    </row>
    <row r="1496" spans="57:84" x14ac:dyDescent="0.4">
      <c r="BE1496" s="115"/>
      <c r="BF1496" s="115"/>
      <c r="BG1496" s="115"/>
      <c r="BH1496" s="115"/>
      <c r="BI1496" s="115"/>
      <c r="BJ1496" s="115"/>
      <c r="BK1496" s="122"/>
      <c r="BL1496" s="122"/>
      <c r="BM1496" s="122"/>
      <c r="BN1496" s="115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7"/>
      <c r="CC1496" s="15"/>
      <c r="CF1496" s="114"/>
    </row>
    <row r="1497" spans="57:84" x14ac:dyDescent="0.4">
      <c r="BE1497" s="115"/>
      <c r="BF1497" s="115"/>
      <c r="BG1497" s="115"/>
      <c r="BH1497" s="115"/>
      <c r="BI1497" s="115"/>
      <c r="BJ1497" s="115"/>
      <c r="BK1497" s="122"/>
      <c r="BL1497" s="122"/>
      <c r="BM1497" s="122"/>
      <c r="BN1497" s="115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26"/>
      <c r="CC1497" s="15"/>
      <c r="CF1497" s="114"/>
    </row>
    <row r="1498" spans="57:84" x14ac:dyDescent="0.4">
      <c r="BE1498" s="115"/>
      <c r="BF1498" s="115"/>
      <c r="BG1498" s="115"/>
      <c r="BH1498" s="115"/>
      <c r="BI1498" s="115"/>
      <c r="BJ1498" s="115"/>
      <c r="BK1498" s="122"/>
      <c r="BL1498" s="122"/>
      <c r="BM1498" s="122"/>
      <c r="BN1498" s="115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7"/>
      <c r="CC1498" s="15"/>
      <c r="CF1498" s="114"/>
    </row>
    <row r="1499" spans="57:84" x14ac:dyDescent="0.4">
      <c r="BE1499" s="115"/>
      <c r="BF1499" s="115"/>
      <c r="BG1499" s="115"/>
      <c r="BH1499" s="115"/>
      <c r="BI1499" s="115"/>
      <c r="BJ1499" s="115"/>
      <c r="BK1499" s="122"/>
      <c r="BL1499" s="122"/>
      <c r="BM1499" s="122"/>
      <c r="BN1499" s="115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7"/>
      <c r="CC1499" s="15"/>
      <c r="CF1499" s="114"/>
    </row>
    <row r="1500" spans="57:84" x14ac:dyDescent="0.4">
      <c r="BE1500" s="115"/>
      <c r="BF1500" s="115"/>
      <c r="BG1500" s="115"/>
      <c r="BH1500" s="115"/>
      <c r="BI1500" s="115"/>
      <c r="BJ1500" s="115"/>
      <c r="BK1500" s="122"/>
      <c r="BL1500" s="122"/>
      <c r="BM1500" s="122"/>
      <c r="BN1500" s="115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26"/>
      <c r="CC1500" s="15"/>
      <c r="CF1500" s="114"/>
    </row>
    <row r="1501" spans="57:84" x14ac:dyDescent="0.4">
      <c r="BE1501" s="115"/>
      <c r="BF1501" s="115"/>
      <c r="BG1501" s="115"/>
      <c r="BH1501" s="115"/>
      <c r="BI1501" s="115"/>
      <c r="BJ1501" s="115"/>
      <c r="BK1501" s="122"/>
      <c r="BL1501" s="122"/>
      <c r="BM1501" s="122"/>
      <c r="BN1501" s="115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26"/>
      <c r="CC1501" s="15"/>
      <c r="CF1501" s="114"/>
    </row>
    <row r="1502" spans="57:84" x14ac:dyDescent="0.4">
      <c r="BE1502" s="115"/>
      <c r="BF1502" s="115"/>
      <c r="BG1502" s="115"/>
      <c r="BH1502" s="115"/>
      <c r="BI1502" s="115"/>
      <c r="BJ1502" s="115"/>
      <c r="BK1502" s="122"/>
      <c r="BL1502" s="122"/>
      <c r="BM1502" s="122"/>
      <c r="BN1502" s="115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26"/>
      <c r="CC1502" s="15"/>
      <c r="CF1502" s="114"/>
    </row>
    <row r="1503" spans="57:84" x14ac:dyDescent="0.4">
      <c r="BE1503" s="115"/>
      <c r="BF1503" s="115"/>
      <c r="BG1503" s="115"/>
      <c r="BH1503" s="115"/>
      <c r="BI1503" s="115"/>
      <c r="BJ1503" s="115"/>
      <c r="BK1503" s="122"/>
      <c r="BL1503" s="122"/>
      <c r="BM1503" s="122"/>
      <c r="BN1503" s="115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26"/>
      <c r="CC1503" s="15"/>
      <c r="CF1503" s="114"/>
    </row>
    <row r="1504" spans="57:84" x14ac:dyDescent="0.4">
      <c r="BE1504" s="115"/>
      <c r="BF1504" s="115"/>
      <c r="BG1504" s="115"/>
      <c r="BH1504" s="115"/>
      <c r="BI1504" s="115"/>
      <c r="BJ1504" s="115"/>
      <c r="BK1504" s="122"/>
      <c r="BL1504" s="122"/>
      <c r="BM1504" s="122"/>
      <c r="BN1504" s="115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26"/>
      <c r="CC1504" s="15"/>
      <c r="CF1504" s="114"/>
    </row>
    <row r="1505" spans="57:84" x14ac:dyDescent="0.4">
      <c r="BE1505" s="115"/>
      <c r="BF1505" s="115"/>
      <c r="BG1505" s="115"/>
      <c r="BH1505" s="115"/>
      <c r="BI1505" s="115"/>
      <c r="BJ1505" s="115"/>
      <c r="BK1505" s="122"/>
      <c r="BL1505" s="122"/>
      <c r="BM1505" s="122"/>
      <c r="BN1505" s="115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26"/>
      <c r="CC1505" s="15"/>
      <c r="CF1505" s="114"/>
    </row>
    <row r="1506" spans="57:84" x14ac:dyDescent="0.4">
      <c r="BE1506" s="115"/>
      <c r="BF1506" s="115"/>
      <c r="BG1506" s="115"/>
      <c r="BH1506" s="115"/>
      <c r="BI1506" s="115"/>
      <c r="BJ1506" s="115"/>
      <c r="BK1506" s="122"/>
      <c r="BL1506" s="122"/>
      <c r="BM1506" s="122"/>
      <c r="BN1506" s="115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26"/>
      <c r="CC1506" s="15"/>
      <c r="CF1506" s="114"/>
    </row>
    <row r="1507" spans="57:84" x14ac:dyDescent="0.4">
      <c r="BE1507" s="115"/>
      <c r="BF1507" s="115"/>
      <c r="BG1507" s="115"/>
      <c r="BH1507" s="115"/>
      <c r="BI1507" s="115"/>
      <c r="BJ1507" s="115"/>
      <c r="BK1507" s="122"/>
      <c r="BL1507" s="122"/>
      <c r="BM1507" s="122"/>
      <c r="BN1507" s="115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7"/>
      <c r="CC1507" s="15"/>
      <c r="CF1507" s="114"/>
    </row>
    <row r="1508" spans="57:84" x14ac:dyDescent="0.4">
      <c r="BE1508" s="115"/>
      <c r="BF1508" s="115"/>
      <c r="BG1508" s="115"/>
      <c r="BH1508" s="115"/>
      <c r="BI1508" s="115"/>
      <c r="BJ1508" s="115"/>
      <c r="BK1508" s="122"/>
      <c r="BL1508" s="122"/>
      <c r="BM1508" s="122"/>
      <c r="BN1508" s="115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26"/>
      <c r="CC1508" s="15"/>
      <c r="CF1508" s="114"/>
    </row>
    <row r="1509" spans="57:84" x14ac:dyDescent="0.4">
      <c r="BE1509" s="115"/>
      <c r="BF1509" s="115"/>
      <c r="BG1509" s="115"/>
      <c r="BH1509" s="115"/>
      <c r="BI1509" s="115"/>
      <c r="BJ1509" s="115"/>
      <c r="BK1509" s="122"/>
      <c r="BL1509" s="122"/>
      <c r="BM1509" s="122"/>
      <c r="BN1509" s="115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26"/>
      <c r="CC1509" s="15"/>
      <c r="CF1509" s="114"/>
    </row>
    <row r="1510" spans="57:84" x14ac:dyDescent="0.4">
      <c r="BE1510" s="115"/>
      <c r="BF1510" s="115"/>
      <c r="BG1510" s="115"/>
      <c r="BH1510" s="115"/>
      <c r="BI1510" s="115"/>
      <c r="BJ1510" s="115"/>
      <c r="BK1510" s="122"/>
      <c r="BL1510" s="122"/>
      <c r="BM1510" s="122"/>
      <c r="BN1510" s="115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26"/>
      <c r="CC1510" s="15"/>
      <c r="CF1510" s="114"/>
    </row>
    <row r="1511" spans="57:84" x14ac:dyDescent="0.4">
      <c r="BE1511" s="115"/>
      <c r="BF1511" s="115"/>
      <c r="BG1511" s="115"/>
      <c r="BH1511" s="115"/>
      <c r="BI1511" s="115"/>
      <c r="BJ1511" s="115"/>
      <c r="BK1511" s="122"/>
      <c r="BL1511" s="122"/>
      <c r="BM1511" s="122"/>
      <c r="BN1511" s="115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26"/>
      <c r="CC1511" s="13"/>
      <c r="CF1511" s="114"/>
    </row>
    <row r="1512" spans="57:84" x14ac:dyDescent="0.4">
      <c r="BE1512" s="115"/>
      <c r="BF1512" s="115"/>
      <c r="BG1512" s="115"/>
      <c r="BH1512" s="115"/>
      <c r="BI1512" s="115"/>
      <c r="BJ1512" s="115"/>
      <c r="BK1512" s="122"/>
      <c r="BL1512" s="122"/>
      <c r="BM1512" s="122"/>
      <c r="BN1512" s="115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7"/>
      <c r="CC1512" s="13"/>
      <c r="CF1512" s="114"/>
    </row>
    <row r="1513" spans="57:84" x14ac:dyDescent="0.4">
      <c r="BE1513" s="115"/>
      <c r="BF1513" s="115"/>
      <c r="BG1513" s="115"/>
      <c r="BH1513" s="115"/>
      <c r="BI1513" s="115"/>
      <c r="BJ1513" s="115"/>
      <c r="BK1513" s="122"/>
      <c r="BL1513" s="122"/>
      <c r="BM1513" s="122"/>
      <c r="BN1513" s="115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26"/>
      <c r="CC1513" s="13"/>
      <c r="CF1513" s="114"/>
    </row>
    <row r="1514" spans="57:84" x14ac:dyDescent="0.4">
      <c r="BE1514" s="115"/>
      <c r="BF1514" s="115"/>
      <c r="BG1514" s="115"/>
      <c r="BH1514" s="115"/>
      <c r="BI1514" s="115"/>
      <c r="BJ1514" s="115"/>
      <c r="BK1514" s="122"/>
      <c r="BL1514" s="122"/>
      <c r="BM1514" s="122"/>
      <c r="BN1514" s="115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26"/>
      <c r="CC1514" s="13"/>
      <c r="CF1514" s="114"/>
    </row>
    <row r="1515" spans="57:84" x14ac:dyDescent="0.4">
      <c r="BE1515" s="115"/>
      <c r="BF1515" s="115"/>
      <c r="BG1515" s="115"/>
      <c r="BH1515" s="115"/>
      <c r="BI1515" s="115"/>
      <c r="BJ1515" s="115"/>
      <c r="BK1515" s="122"/>
      <c r="BL1515" s="122"/>
      <c r="BM1515" s="122"/>
      <c r="BN1515" s="115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26"/>
      <c r="CC1515" s="13"/>
      <c r="CF1515" s="114"/>
    </row>
    <row r="1516" spans="57:84" x14ac:dyDescent="0.4">
      <c r="BE1516" s="115"/>
      <c r="BF1516" s="115"/>
      <c r="BG1516" s="115"/>
      <c r="BH1516" s="115"/>
      <c r="BI1516" s="115"/>
      <c r="BJ1516" s="115"/>
      <c r="BK1516" s="122"/>
      <c r="BL1516" s="122"/>
      <c r="BM1516" s="122"/>
      <c r="BN1516" s="115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26"/>
      <c r="CC1516" s="13"/>
      <c r="CF1516" s="114"/>
    </row>
    <row r="1517" spans="57:84" x14ac:dyDescent="0.4">
      <c r="BE1517" s="115"/>
      <c r="BF1517" s="115"/>
      <c r="BG1517" s="115"/>
      <c r="BH1517" s="115"/>
      <c r="BI1517" s="115"/>
      <c r="BJ1517" s="115"/>
      <c r="BK1517" s="122"/>
      <c r="BL1517" s="122"/>
      <c r="BM1517" s="122"/>
      <c r="BN1517" s="115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26"/>
      <c r="CC1517" s="13"/>
      <c r="CF1517" s="114"/>
    </row>
    <row r="1518" spans="57:84" x14ac:dyDescent="0.4">
      <c r="BE1518" s="115"/>
      <c r="BF1518" s="115"/>
      <c r="BG1518" s="115"/>
      <c r="BH1518" s="115"/>
      <c r="BI1518" s="115"/>
      <c r="BJ1518" s="115"/>
      <c r="BK1518" s="122"/>
      <c r="BL1518" s="122"/>
      <c r="BM1518" s="122"/>
      <c r="BN1518" s="115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26"/>
      <c r="CC1518" s="13"/>
      <c r="CF1518" s="114"/>
    </row>
    <row r="1519" spans="57:84" x14ac:dyDescent="0.4">
      <c r="BE1519" s="115"/>
      <c r="BF1519" s="115"/>
      <c r="BG1519" s="115"/>
      <c r="BH1519" s="115"/>
      <c r="BI1519" s="115"/>
      <c r="BJ1519" s="115"/>
      <c r="BK1519" s="122"/>
      <c r="BL1519" s="122"/>
      <c r="BM1519" s="122"/>
      <c r="BN1519" s="115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7"/>
      <c r="CC1519" s="13"/>
      <c r="CF1519" s="114"/>
    </row>
    <row r="1520" spans="57:84" x14ac:dyDescent="0.4">
      <c r="BE1520" s="115"/>
      <c r="BF1520" s="115"/>
      <c r="BG1520" s="115"/>
      <c r="BH1520" s="115"/>
      <c r="BI1520" s="115"/>
      <c r="BJ1520" s="115"/>
      <c r="BK1520" s="122"/>
      <c r="BL1520" s="122"/>
      <c r="BM1520" s="122"/>
      <c r="BN1520" s="115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26"/>
      <c r="CC1520" s="13"/>
      <c r="CF1520" s="114"/>
    </row>
    <row r="1521" spans="5:84" x14ac:dyDescent="0.4">
      <c r="BE1521" s="115"/>
      <c r="BF1521" s="115"/>
      <c r="BG1521" s="115"/>
      <c r="BH1521" s="115"/>
      <c r="BI1521" s="115"/>
      <c r="BJ1521" s="115"/>
      <c r="BK1521" s="122"/>
      <c r="BL1521" s="122"/>
      <c r="BM1521" s="122"/>
      <c r="BN1521" s="115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26"/>
      <c r="CC1521" s="13"/>
      <c r="CF1521" s="114"/>
    </row>
    <row r="1522" spans="5:84" x14ac:dyDescent="0.4"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15"/>
      <c r="BG1522" s="115"/>
      <c r="BH1522" s="115"/>
      <c r="BI1522" s="115"/>
      <c r="BJ1522" s="115"/>
      <c r="BK1522" s="122"/>
      <c r="BL1522" s="122"/>
      <c r="BM1522" s="122"/>
      <c r="BN1522" s="115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26"/>
      <c r="CC1522" s="13"/>
      <c r="CF1522" s="114"/>
    </row>
    <row r="1523" spans="5:84" x14ac:dyDescent="0.4"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115"/>
      <c r="BG1523" s="115"/>
      <c r="BH1523" s="115"/>
      <c r="BI1523" s="115"/>
      <c r="BJ1523" s="115"/>
      <c r="BK1523" s="122"/>
      <c r="BL1523" s="122"/>
      <c r="BM1523" s="122"/>
      <c r="BN1523" s="115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26"/>
      <c r="CC1523" s="13"/>
      <c r="CF1523" s="114"/>
    </row>
    <row r="1524" spans="5:84" x14ac:dyDescent="0.4"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15"/>
      <c r="BF1524" s="115"/>
      <c r="BG1524" s="115"/>
      <c r="BH1524" s="115"/>
      <c r="BI1524" s="115"/>
      <c r="BJ1524" s="115"/>
      <c r="BK1524" s="122"/>
      <c r="BL1524" s="122"/>
      <c r="BM1524" s="122"/>
      <c r="BN1524" s="115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26"/>
      <c r="CC1524" s="13"/>
      <c r="CF1524" s="114"/>
    </row>
    <row r="1525" spans="5:84" x14ac:dyDescent="0.4"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115"/>
      <c r="BH1525" s="115"/>
      <c r="BI1525" s="115"/>
      <c r="BJ1525" s="115"/>
      <c r="BK1525" s="122"/>
      <c r="BL1525" s="122"/>
      <c r="BM1525" s="122"/>
      <c r="BN1525" s="115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26"/>
      <c r="CC1525" s="13"/>
      <c r="CF1525" s="114"/>
    </row>
    <row r="1526" spans="5:84" x14ac:dyDescent="0.4"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15"/>
      <c r="BF1526" s="115"/>
      <c r="BG1526" s="115"/>
      <c r="BH1526" s="115"/>
      <c r="BI1526" s="115"/>
      <c r="BJ1526" s="115"/>
      <c r="BK1526" s="122"/>
      <c r="BL1526" s="122"/>
      <c r="BM1526" s="122"/>
      <c r="BN1526" s="115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26"/>
      <c r="CC1526" s="13"/>
      <c r="CF1526" s="114"/>
    </row>
    <row r="1527" spans="5:84" x14ac:dyDescent="0.4"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15"/>
      <c r="BH1527" s="115"/>
      <c r="BI1527" s="115"/>
      <c r="BJ1527" s="115"/>
      <c r="BK1527" s="122"/>
      <c r="BL1527" s="122"/>
      <c r="BM1527" s="122"/>
      <c r="BN1527" s="115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26"/>
      <c r="CC1527" s="13"/>
      <c r="CF1527" s="114"/>
    </row>
    <row r="1528" spans="5:84" x14ac:dyDescent="0.4"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115"/>
      <c r="BH1528" s="115"/>
      <c r="BI1528" s="115"/>
      <c r="BJ1528" s="115"/>
      <c r="BK1528" s="122"/>
      <c r="BL1528" s="122"/>
      <c r="BM1528" s="122"/>
      <c r="BN1528" s="115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26"/>
      <c r="CC1528" s="13"/>
      <c r="CF1528" s="114"/>
    </row>
    <row r="1529" spans="5:84" x14ac:dyDescent="0.4"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115"/>
      <c r="BI1529" s="115"/>
      <c r="BJ1529" s="115"/>
      <c r="BK1529" s="122"/>
      <c r="BL1529" s="122"/>
      <c r="BM1529" s="122"/>
      <c r="BN1529" s="115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26"/>
      <c r="CC1529" s="13"/>
      <c r="CF1529" s="114"/>
    </row>
    <row r="1530" spans="5:84" x14ac:dyDescent="0.4"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15"/>
      <c r="BH1530" s="115"/>
      <c r="BI1530" s="115"/>
      <c r="BJ1530" s="115"/>
      <c r="BK1530" s="122"/>
      <c r="BL1530" s="122"/>
      <c r="BM1530" s="122"/>
      <c r="BN1530" s="115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26"/>
      <c r="CC1530" s="13"/>
      <c r="CF1530" s="114"/>
    </row>
    <row r="1531" spans="5:84" x14ac:dyDescent="0.4"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15"/>
      <c r="BG1531" s="115"/>
      <c r="BH1531" s="115"/>
      <c r="BI1531" s="115"/>
      <c r="BJ1531" s="115"/>
      <c r="BK1531" s="122"/>
      <c r="BL1531" s="122"/>
      <c r="BM1531" s="122"/>
      <c r="BN1531" s="115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26"/>
      <c r="CC1531" s="13"/>
      <c r="CF1531" s="114"/>
    </row>
    <row r="1532" spans="5:84" x14ac:dyDescent="0.4"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115"/>
      <c r="BI1532" s="115"/>
      <c r="BJ1532" s="115"/>
      <c r="BK1532" s="122"/>
      <c r="BL1532" s="122"/>
      <c r="BM1532" s="122"/>
      <c r="BN1532" s="115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26"/>
      <c r="CC1532" s="13"/>
      <c r="CF1532" s="114"/>
    </row>
    <row r="1533" spans="5:84" x14ac:dyDescent="0.4"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15"/>
      <c r="BG1533" s="115"/>
      <c r="BH1533" s="115"/>
      <c r="BI1533" s="115"/>
      <c r="BJ1533" s="115"/>
      <c r="BK1533" s="122"/>
      <c r="BL1533" s="122"/>
      <c r="BM1533" s="122"/>
      <c r="BN1533" s="115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26"/>
      <c r="CC1533" s="13"/>
      <c r="CF1533" s="114"/>
    </row>
    <row r="1534" spans="5:84" x14ac:dyDescent="0.4"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15"/>
      <c r="BF1534" s="115"/>
      <c r="BG1534" s="115"/>
      <c r="BH1534" s="115"/>
      <c r="BI1534" s="115"/>
      <c r="BJ1534" s="115"/>
      <c r="BK1534" s="122"/>
      <c r="BL1534" s="122"/>
      <c r="BM1534" s="122"/>
      <c r="BN1534" s="115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26"/>
      <c r="CC1534" s="13"/>
      <c r="CF1534" s="114"/>
    </row>
    <row r="1535" spans="5:84" x14ac:dyDescent="0.4"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15"/>
      <c r="BG1535" s="115"/>
      <c r="BH1535" s="115"/>
      <c r="BI1535" s="115"/>
      <c r="BJ1535" s="115"/>
      <c r="BK1535" s="122"/>
      <c r="BL1535" s="122"/>
      <c r="BM1535" s="122"/>
      <c r="BN1535" s="115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26"/>
      <c r="CC1535" s="13"/>
      <c r="CF1535" s="114"/>
    </row>
    <row r="1536" spans="5:84" x14ac:dyDescent="0.4"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115"/>
      <c r="BI1536" s="115"/>
      <c r="BJ1536" s="115"/>
      <c r="BK1536" s="122"/>
      <c r="BL1536" s="122"/>
      <c r="BM1536" s="122"/>
      <c r="BN1536" s="115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26"/>
      <c r="CC1536" s="13"/>
      <c r="CF1536" s="114"/>
    </row>
    <row r="1537" spans="3:84" x14ac:dyDescent="0.4"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115"/>
      <c r="BI1537" s="115"/>
      <c r="BJ1537" s="115"/>
      <c r="BK1537" s="122"/>
      <c r="BL1537" s="122"/>
      <c r="BM1537" s="122"/>
      <c r="BN1537" s="115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26"/>
      <c r="CC1537" s="13"/>
      <c r="CF1537" s="114"/>
    </row>
    <row r="1538" spans="3:84" x14ac:dyDescent="0.4"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15"/>
      <c r="BH1538" s="115"/>
      <c r="BI1538" s="115"/>
      <c r="BJ1538" s="115"/>
      <c r="BK1538" s="122"/>
      <c r="BL1538" s="122"/>
      <c r="BM1538" s="122"/>
      <c r="BN1538" s="115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7"/>
      <c r="CC1538" s="13"/>
      <c r="CF1538" s="114"/>
    </row>
    <row r="1539" spans="3:84" x14ac:dyDescent="0.4"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15"/>
      <c r="BF1539" s="115"/>
      <c r="BG1539" s="115"/>
      <c r="BH1539" s="115"/>
      <c r="BI1539" s="115"/>
      <c r="BJ1539" s="115"/>
      <c r="BK1539" s="122"/>
      <c r="BL1539" s="122"/>
      <c r="BM1539" s="122"/>
      <c r="BN1539" s="115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26"/>
      <c r="CC1539" s="13"/>
      <c r="CF1539" s="114"/>
    </row>
    <row r="1540" spans="3:84" x14ac:dyDescent="0.4"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115"/>
      <c r="BH1540" s="115"/>
      <c r="BI1540" s="115"/>
      <c r="BJ1540" s="115"/>
      <c r="BK1540" s="122"/>
      <c r="BL1540" s="122"/>
      <c r="BM1540" s="122"/>
      <c r="BN1540" s="115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26"/>
      <c r="CC1540" s="13"/>
      <c r="CF1540" s="114"/>
    </row>
    <row r="1541" spans="3:84" x14ac:dyDescent="0.4"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15"/>
      <c r="BF1541" s="115"/>
      <c r="BG1541" s="115"/>
      <c r="BH1541" s="115"/>
      <c r="BI1541" s="115"/>
      <c r="BJ1541" s="115"/>
      <c r="BK1541" s="122"/>
      <c r="BL1541" s="122"/>
      <c r="BM1541" s="122"/>
      <c r="BN1541" s="115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26"/>
      <c r="CC1541" s="13"/>
      <c r="CF1541" s="114"/>
    </row>
    <row r="1542" spans="3:84" x14ac:dyDescent="0.4"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15"/>
      <c r="BG1542" s="115"/>
      <c r="BH1542" s="115"/>
      <c r="BI1542" s="115"/>
      <c r="BJ1542" s="115"/>
      <c r="BK1542" s="122"/>
      <c r="BL1542" s="122"/>
      <c r="BM1542" s="122"/>
      <c r="BN1542" s="115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26"/>
      <c r="CC1542" s="15"/>
      <c r="CF1542" s="114"/>
    </row>
    <row r="1543" spans="3:84" x14ac:dyDescent="0.4"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115"/>
      <c r="BH1543" s="115"/>
      <c r="BI1543" s="115"/>
      <c r="BJ1543" s="115"/>
      <c r="BK1543" s="122"/>
      <c r="BL1543" s="122"/>
      <c r="BM1543" s="122"/>
      <c r="BN1543" s="115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26"/>
      <c r="CC1543" s="15"/>
      <c r="CF1543" s="114"/>
    </row>
    <row r="1544" spans="3:84" x14ac:dyDescent="0.4"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15"/>
      <c r="BI1544" s="115"/>
      <c r="BJ1544" s="115"/>
      <c r="BK1544" s="122"/>
      <c r="BL1544" s="122"/>
      <c r="BM1544" s="122"/>
      <c r="BN1544" s="115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26"/>
      <c r="CC1544" s="15"/>
      <c r="CF1544" s="114"/>
    </row>
    <row r="1545" spans="3:84" x14ac:dyDescent="0.4"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15"/>
      <c r="BF1545" s="115"/>
      <c r="BG1545" s="115"/>
      <c r="BH1545" s="115"/>
      <c r="BI1545" s="115"/>
      <c r="BJ1545" s="115"/>
      <c r="BK1545" s="122"/>
      <c r="BL1545" s="122"/>
      <c r="BM1545" s="122"/>
      <c r="BN1545" s="115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26"/>
      <c r="CC1545" s="13"/>
      <c r="CF1545" s="114"/>
    </row>
    <row r="1546" spans="3:84" x14ac:dyDescent="0.4"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15"/>
      <c r="BG1546" s="115"/>
      <c r="BH1546" s="115"/>
      <c r="BI1546" s="115"/>
      <c r="BJ1546" s="115"/>
      <c r="BK1546" s="122"/>
      <c r="BL1546" s="122"/>
      <c r="BM1546" s="122"/>
      <c r="BN1546" s="115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26"/>
      <c r="CC1546" s="13"/>
      <c r="CF1546" s="114"/>
    </row>
    <row r="1547" spans="3:84" x14ac:dyDescent="0.4"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115"/>
      <c r="BG1547" s="115"/>
      <c r="BH1547" s="115"/>
      <c r="BI1547" s="115"/>
      <c r="BJ1547" s="115"/>
      <c r="BK1547" s="122"/>
      <c r="BL1547" s="122"/>
      <c r="BM1547" s="122"/>
      <c r="BN1547" s="115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26"/>
      <c r="CC1547" s="13"/>
      <c r="CF1547" s="114"/>
    </row>
    <row r="1548" spans="3:84" x14ac:dyDescent="0.4"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22"/>
      <c r="BL1548" s="122"/>
      <c r="BM1548" s="122"/>
      <c r="BN1548" s="115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7"/>
      <c r="CC1548" s="13"/>
      <c r="CF1548" s="114"/>
    </row>
    <row r="1549" spans="3:84" x14ac:dyDescent="0.4">
      <c r="C1549" s="115"/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22"/>
      <c r="BL1549" s="122"/>
      <c r="BM1549" s="122"/>
      <c r="BN1549" s="115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26"/>
      <c r="CC1549" s="13"/>
      <c r="CF1549" s="114"/>
    </row>
    <row r="1550" spans="3:84" x14ac:dyDescent="0.4"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22"/>
      <c r="BL1550" s="122"/>
      <c r="BM1550" s="122"/>
      <c r="BN1550" s="115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26"/>
      <c r="CC1550" s="25"/>
      <c r="CF1550" s="114"/>
    </row>
    <row r="1551" spans="3:84" x14ac:dyDescent="0.4"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22"/>
      <c r="BL1551" s="122"/>
      <c r="BM1551" s="122"/>
      <c r="BN1551" s="115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26"/>
      <c r="CC1551" s="13"/>
      <c r="CF1551" s="114"/>
    </row>
    <row r="1552" spans="3:84" x14ac:dyDescent="0.4"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22"/>
      <c r="BL1552" s="122"/>
      <c r="BM1552" s="122"/>
      <c r="BN1552" s="115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26"/>
      <c r="CC1552" s="13"/>
      <c r="CF1552" s="114"/>
    </row>
    <row r="1553" spans="1:84" x14ac:dyDescent="0.4"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22"/>
      <c r="BL1553" s="122"/>
      <c r="BM1553" s="122"/>
      <c r="BN1553" s="115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26"/>
      <c r="CC1553" s="13"/>
      <c r="CF1553" s="114"/>
    </row>
    <row r="1554" spans="1:84" x14ac:dyDescent="0.4"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22"/>
      <c r="BL1554" s="122"/>
      <c r="BM1554" s="122"/>
      <c r="BN1554" s="115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26"/>
      <c r="CC1554" s="13"/>
      <c r="CF1554" s="114"/>
    </row>
    <row r="1555" spans="1:84" x14ac:dyDescent="0.4"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22"/>
      <c r="BL1555" s="122"/>
      <c r="BM1555" s="122"/>
      <c r="BN1555" s="115"/>
      <c r="BO1555" s="115"/>
      <c r="BP1555" s="115"/>
      <c r="BQ1555" s="115"/>
      <c r="CB1555" s="26"/>
      <c r="CC1555" s="13"/>
      <c r="CF1555" s="114"/>
    </row>
    <row r="1556" spans="1:84" x14ac:dyDescent="0.4"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22"/>
      <c r="BL1556" s="122"/>
      <c r="BM1556" s="122"/>
      <c r="BN1556" s="115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26"/>
      <c r="CC1556" s="13"/>
      <c r="CF1556" s="114"/>
    </row>
    <row r="1557" spans="1:84" x14ac:dyDescent="0.4"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22"/>
      <c r="BL1557" s="122"/>
      <c r="BM1557" s="122"/>
      <c r="BN1557" s="115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7"/>
      <c r="CC1557" s="13"/>
      <c r="CF1557" s="114"/>
    </row>
    <row r="1558" spans="1:84" x14ac:dyDescent="0.4"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22"/>
      <c r="BL1558" s="122"/>
      <c r="BM1558" s="122"/>
      <c r="BN1558" s="115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26"/>
      <c r="CC1558" s="13"/>
      <c r="CF1558" s="114"/>
    </row>
    <row r="1559" spans="1:84" x14ac:dyDescent="0.4"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22"/>
      <c r="BL1559" s="122"/>
      <c r="BM1559" s="122"/>
      <c r="BN1559" s="115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26"/>
      <c r="CC1559" s="15"/>
      <c r="CF1559" s="114"/>
    </row>
    <row r="1560" spans="1:84" x14ac:dyDescent="0.4"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22"/>
      <c r="BL1560" s="122"/>
      <c r="BM1560" s="122"/>
      <c r="BN1560" s="115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7"/>
      <c r="CC1560" s="15"/>
      <c r="CF1560" s="114"/>
    </row>
    <row r="1561" spans="1:84" x14ac:dyDescent="0.4"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22"/>
      <c r="BL1561" s="122"/>
      <c r="BM1561" s="122"/>
      <c r="BN1561" s="115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26"/>
      <c r="CC1561" s="15"/>
      <c r="CF1561" s="114"/>
    </row>
    <row r="1562" spans="1:84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22"/>
      <c r="BL1562" s="122"/>
      <c r="BM1562" s="122"/>
      <c r="BN1562" s="115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26"/>
      <c r="CC1562" s="15"/>
      <c r="CF1562" s="114"/>
    </row>
    <row r="1563" spans="1:84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22"/>
      <c r="BL1563" s="122"/>
      <c r="BM1563" s="122"/>
      <c r="BN1563" s="115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7"/>
      <c r="CC1563" s="13"/>
      <c r="CF1563" s="114"/>
    </row>
    <row r="1564" spans="1:84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22"/>
      <c r="BL1564" s="122"/>
      <c r="BM1564" s="122"/>
      <c r="BN1564" s="115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7"/>
      <c r="CC1564" s="13"/>
      <c r="CF1564" s="114"/>
    </row>
    <row r="1565" spans="1:84" x14ac:dyDescent="0.4">
      <c r="A1565" s="115"/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22"/>
      <c r="BL1565" s="122"/>
      <c r="BM1565" s="122"/>
      <c r="BN1565" s="115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26"/>
      <c r="CC1565" s="13"/>
      <c r="CF1565" s="114"/>
    </row>
    <row r="1566" spans="1:84" x14ac:dyDescent="0.4">
      <c r="A1566" s="115"/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22"/>
      <c r="BL1566" s="122"/>
      <c r="BM1566" s="122"/>
      <c r="BN1566" s="115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26"/>
      <c r="CC1566" s="13"/>
      <c r="CF1566" s="114"/>
    </row>
    <row r="1567" spans="1:84" x14ac:dyDescent="0.4">
      <c r="A1567" s="115"/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22"/>
      <c r="BL1567" s="122"/>
      <c r="BM1567" s="122"/>
      <c r="BN1567" s="115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7"/>
      <c r="CC1567" s="13"/>
      <c r="CF1567" s="114"/>
    </row>
    <row r="1568" spans="1:84" x14ac:dyDescent="0.4">
      <c r="A1568" s="115"/>
      <c r="B1568" s="115"/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22"/>
      <c r="BL1568" s="122"/>
      <c r="BM1568" s="122"/>
      <c r="BN1568" s="115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26"/>
      <c r="CC1568" s="15"/>
      <c r="CF1568" s="114"/>
    </row>
    <row r="1569" spans="1:84" x14ac:dyDescent="0.4">
      <c r="A1569" s="115"/>
      <c r="B1569" s="115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22"/>
      <c r="BL1569" s="122"/>
      <c r="BM1569" s="122"/>
      <c r="BN1569" s="115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26"/>
      <c r="CC1569" s="15"/>
      <c r="CF1569" s="114"/>
    </row>
    <row r="1570" spans="1:84" x14ac:dyDescent="0.4">
      <c r="A1570" s="115"/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22"/>
      <c r="BL1570" s="122"/>
      <c r="BM1570" s="122"/>
      <c r="BN1570" s="115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26"/>
      <c r="CC1570" s="15"/>
      <c r="CF1570" s="114"/>
    </row>
    <row r="1571" spans="1:84" x14ac:dyDescent="0.4">
      <c r="A1571" s="115"/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22"/>
      <c r="BL1571" s="122"/>
      <c r="BM1571" s="122"/>
      <c r="BN1571" s="115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26"/>
      <c r="CC1571" s="13"/>
      <c r="CF1571" s="114"/>
    </row>
    <row r="1572" spans="1:84" x14ac:dyDescent="0.4">
      <c r="A1572" s="115"/>
      <c r="B1572" s="115"/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22"/>
      <c r="BL1572" s="122"/>
      <c r="BM1572" s="122"/>
      <c r="BN1572" s="115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26"/>
      <c r="CC1572" s="25"/>
      <c r="CF1572" s="114"/>
    </row>
    <row r="1573" spans="1:84" x14ac:dyDescent="0.4">
      <c r="A1573" s="115"/>
      <c r="B1573" s="115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22"/>
      <c r="BL1573" s="122"/>
      <c r="BM1573" s="122"/>
      <c r="BN1573" s="115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26"/>
      <c r="CC1573" s="13"/>
      <c r="CF1573" s="114"/>
    </row>
    <row r="1574" spans="1:84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22"/>
      <c r="BL1574" s="122"/>
      <c r="BM1574" s="122"/>
      <c r="BN1574" s="115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26"/>
      <c r="CC1574" s="13"/>
      <c r="CF1574" s="114"/>
    </row>
    <row r="1575" spans="1:84" x14ac:dyDescent="0.4">
      <c r="A1575" s="115"/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22"/>
      <c r="BL1575" s="122"/>
      <c r="BM1575" s="122"/>
      <c r="BN1575" s="115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26"/>
      <c r="CC1575" s="13"/>
      <c r="CF1575" s="114"/>
    </row>
    <row r="1576" spans="1:84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22"/>
      <c r="BL1576" s="122"/>
      <c r="BM1576" s="122"/>
      <c r="BN1576" s="115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26"/>
      <c r="CC1576" s="13"/>
      <c r="CF1576" s="114"/>
    </row>
    <row r="1577" spans="1:84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22"/>
      <c r="BL1577" s="122"/>
      <c r="BM1577" s="122"/>
      <c r="BN1577" s="115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26"/>
      <c r="CC1577" s="13"/>
      <c r="CF1577" s="114"/>
    </row>
    <row r="1578" spans="1:84" x14ac:dyDescent="0.4">
      <c r="A1578" s="115"/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22"/>
      <c r="BL1578" s="122"/>
      <c r="BM1578" s="122"/>
      <c r="BN1578" s="115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26"/>
      <c r="CC1578" s="13"/>
      <c r="CF1578" s="114"/>
    </row>
    <row r="1579" spans="1:84" x14ac:dyDescent="0.4">
      <c r="A1579" s="115"/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22"/>
      <c r="BL1579" s="122"/>
      <c r="BM1579" s="122"/>
      <c r="BN1579" s="115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26"/>
      <c r="CC1579" s="13"/>
      <c r="CF1579" s="114"/>
    </row>
    <row r="1580" spans="1:84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22"/>
      <c r="BL1580" s="122"/>
      <c r="BM1580" s="122"/>
      <c r="BN1580" s="115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26"/>
      <c r="CC1580" s="13"/>
      <c r="CF1580" s="114"/>
    </row>
    <row r="1581" spans="1:84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22"/>
      <c r="BL1581" s="122"/>
      <c r="BM1581" s="122"/>
      <c r="BN1581" s="115"/>
      <c r="BO1581" s="115"/>
      <c r="BP1581" s="115"/>
      <c r="BQ1581" s="115"/>
      <c r="BR1581" s="115"/>
      <c r="BS1581" s="115"/>
      <c r="BT1581" s="115"/>
      <c r="BU1581" s="115"/>
      <c r="BV1581" s="115"/>
      <c r="BW1581" s="115"/>
      <c r="BX1581" s="115"/>
      <c r="BY1581" s="115"/>
      <c r="BZ1581" s="115"/>
      <c r="CA1581" s="115"/>
      <c r="CB1581" s="26"/>
      <c r="CC1581" s="13"/>
      <c r="CF1581" s="114"/>
    </row>
    <row r="1582" spans="1:84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22"/>
      <c r="BL1582" s="122"/>
      <c r="BM1582" s="122"/>
      <c r="BN1582" s="115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26"/>
      <c r="CC1582" s="13"/>
      <c r="CF1582" s="114"/>
    </row>
    <row r="1583" spans="1:84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22"/>
      <c r="BL1583" s="122"/>
      <c r="BM1583" s="122"/>
      <c r="BN1583" s="115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26"/>
      <c r="CC1583" s="15"/>
      <c r="CF1583" s="114"/>
    </row>
    <row r="1584" spans="1:84" x14ac:dyDescent="0.4">
      <c r="A1584" s="115"/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22"/>
      <c r="BL1584" s="122"/>
      <c r="BM1584" s="122"/>
      <c r="BN1584" s="115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26"/>
      <c r="CC1584" s="15"/>
      <c r="CF1584" s="114"/>
    </row>
    <row r="1585" spans="1:84" x14ac:dyDescent="0.4">
      <c r="A1585" s="115"/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22"/>
      <c r="BL1585" s="122"/>
      <c r="BM1585" s="122"/>
      <c r="BN1585" s="115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26"/>
      <c r="CC1585" s="15"/>
      <c r="CF1585" s="114"/>
    </row>
    <row r="1586" spans="1:84" x14ac:dyDescent="0.4">
      <c r="A1586" s="115"/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22"/>
      <c r="BL1586" s="122"/>
      <c r="BM1586" s="122"/>
      <c r="BN1586" s="115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26"/>
      <c r="CC1586" s="15"/>
      <c r="CF1586" s="114"/>
    </row>
    <row r="1587" spans="1:84" x14ac:dyDescent="0.4">
      <c r="A1587" s="115"/>
      <c r="B1587" s="115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22"/>
      <c r="BL1587" s="122"/>
      <c r="BM1587" s="122"/>
      <c r="BN1587" s="115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26"/>
      <c r="CC1587" s="13"/>
      <c r="CF1587" s="114"/>
    </row>
    <row r="1588" spans="1:84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22"/>
      <c r="BL1588" s="122"/>
      <c r="BM1588" s="122"/>
      <c r="BN1588" s="115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26"/>
      <c r="CC1588" s="15"/>
      <c r="CF1588" s="114"/>
    </row>
    <row r="1589" spans="1:84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22"/>
      <c r="BL1589" s="122"/>
      <c r="BM1589" s="122"/>
      <c r="BN1589" s="115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26"/>
      <c r="CC1589" s="15"/>
      <c r="CF1589" s="114"/>
    </row>
    <row r="1590" spans="1:84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22"/>
      <c r="BL1590" s="122"/>
      <c r="BM1590" s="122"/>
      <c r="BN1590" s="115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26"/>
      <c r="CC1590" s="15"/>
      <c r="CF1590" s="114"/>
    </row>
    <row r="1591" spans="1:84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22"/>
      <c r="BL1591" s="122"/>
      <c r="BM1591" s="122"/>
      <c r="BN1591" s="115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26"/>
      <c r="CC1591" s="15"/>
      <c r="CF1591" s="114"/>
    </row>
    <row r="1592" spans="1:84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22"/>
      <c r="BL1592" s="122"/>
      <c r="BM1592" s="122"/>
      <c r="BN1592" s="115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26"/>
      <c r="CC1592" s="15"/>
      <c r="CF1592" s="114"/>
    </row>
    <row r="1593" spans="1:84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22"/>
      <c r="BL1593" s="122"/>
      <c r="BM1593" s="122"/>
      <c r="BN1593" s="115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26"/>
      <c r="CC1593" s="105"/>
      <c r="CF1593" s="114"/>
    </row>
    <row r="1594" spans="1:84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22"/>
      <c r="BL1594" s="122"/>
      <c r="BM1594" s="122"/>
      <c r="BN1594" s="115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7"/>
      <c r="CC1594" s="15"/>
      <c r="CF1594" s="114"/>
    </row>
    <row r="1595" spans="1:84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22"/>
      <c r="BL1595" s="122"/>
      <c r="BM1595" s="122"/>
      <c r="BN1595" s="115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26"/>
      <c r="CC1595" s="15"/>
      <c r="CF1595" s="114"/>
    </row>
    <row r="1596" spans="1:84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22"/>
      <c r="BL1596" s="122"/>
      <c r="BM1596" s="122"/>
      <c r="BN1596" s="115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26"/>
      <c r="CC1596" s="15"/>
      <c r="CF1596" s="114"/>
    </row>
    <row r="1597" spans="1:84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22"/>
      <c r="BL1597" s="122"/>
      <c r="BM1597" s="122"/>
      <c r="BN1597" s="115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26"/>
      <c r="CC1597" s="105"/>
      <c r="CF1597" s="114"/>
    </row>
    <row r="1598" spans="1:84" x14ac:dyDescent="0.4">
      <c r="CB1598" s="26"/>
      <c r="CC1598" s="15"/>
      <c r="CF1598" s="114"/>
    </row>
    <row r="1599" spans="1:84" x14ac:dyDescent="0.4">
      <c r="BL1599" s="122"/>
      <c r="BM1599" s="122"/>
      <c r="BN1599" s="115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26"/>
      <c r="CC1599" s="15"/>
      <c r="CF1599" s="114"/>
    </row>
    <row r="1600" spans="1:84" x14ac:dyDescent="0.4">
      <c r="BH1600" s="115"/>
      <c r="BI1600" s="115"/>
      <c r="BJ1600" s="115"/>
      <c r="BK1600" s="122"/>
      <c r="BL1600" s="122"/>
      <c r="BM1600" s="122"/>
      <c r="BN1600" s="115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26"/>
      <c r="CC1600" s="15"/>
      <c r="CF1600" s="114"/>
    </row>
    <row r="1601" spans="2:84" x14ac:dyDescent="0.4"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22"/>
      <c r="BL1601" s="122"/>
      <c r="BM1601" s="122"/>
      <c r="BN1601" s="115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26"/>
      <c r="CC1601" s="15"/>
      <c r="CF1601" s="114"/>
    </row>
    <row r="1602" spans="2:84" x14ac:dyDescent="0.4"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22"/>
      <c r="BL1602" s="122"/>
      <c r="BM1602" s="122"/>
      <c r="BN1602" s="115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7"/>
      <c r="CC1602" s="15"/>
      <c r="CF1602" s="114"/>
    </row>
    <row r="1603" spans="2:84" x14ac:dyDescent="0.4"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22"/>
      <c r="BL1603" s="122"/>
      <c r="BM1603" s="122"/>
      <c r="BN1603" s="115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26"/>
      <c r="CC1603" s="15"/>
      <c r="CF1603" s="114"/>
    </row>
    <row r="1604" spans="2:84" x14ac:dyDescent="0.4"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22"/>
      <c r="BL1604" s="122"/>
      <c r="BM1604" s="122"/>
      <c r="BN1604" s="115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26"/>
      <c r="CC1604" s="15"/>
      <c r="CF1604" s="114"/>
    </row>
    <row r="1605" spans="2:84" x14ac:dyDescent="0.4"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22"/>
      <c r="BL1605" s="122"/>
      <c r="BM1605" s="122"/>
      <c r="BN1605" s="115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26"/>
      <c r="CC1605" s="15"/>
      <c r="CF1605" s="114"/>
    </row>
    <row r="1606" spans="2:84" x14ac:dyDescent="0.4"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22"/>
      <c r="BL1606" s="122"/>
      <c r="BM1606" s="122"/>
      <c r="BN1606" s="115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26"/>
      <c r="CC1606" s="15"/>
      <c r="CF1606" s="114"/>
    </row>
    <row r="1607" spans="2:84" x14ac:dyDescent="0.4"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22"/>
      <c r="BL1607" s="122"/>
      <c r="BM1607" s="122"/>
      <c r="BN1607" s="115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26"/>
      <c r="CC1607" s="15"/>
      <c r="CF1607" s="114"/>
    </row>
    <row r="1608" spans="2:84" x14ac:dyDescent="0.4"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22"/>
      <c r="BL1608" s="122"/>
      <c r="BM1608" s="122"/>
      <c r="BN1608" s="115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26"/>
      <c r="CC1608" s="15"/>
      <c r="CF1608" s="114"/>
    </row>
    <row r="1609" spans="2:84" x14ac:dyDescent="0.4"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22"/>
      <c r="BL1609" s="122"/>
      <c r="BM1609" s="122"/>
      <c r="BN1609" s="115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26"/>
      <c r="CC1609" s="15"/>
      <c r="CF1609" s="114"/>
    </row>
    <row r="1610" spans="2:84" x14ac:dyDescent="0.4"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22"/>
      <c r="BL1610" s="122"/>
      <c r="BM1610" s="122"/>
      <c r="BN1610" s="115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7"/>
      <c r="CC1610" s="15"/>
      <c r="CF1610" s="114"/>
    </row>
    <row r="1611" spans="2:84" x14ac:dyDescent="0.4"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22"/>
      <c r="BL1611" s="122"/>
      <c r="BM1611" s="122"/>
      <c r="BN1611" s="115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26"/>
      <c r="CC1611" s="15"/>
      <c r="CF1611" s="114"/>
    </row>
    <row r="1612" spans="2:84" x14ac:dyDescent="0.4"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22"/>
      <c r="BL1612" s="122"/>
      <c r="BM1612" s="122"/>
      <c r="BN1612" s="115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26"/>
      <c r="CC1612" s="15"/>
      <c r="CF1612" s="114"/>
    </row>
    <row r="1613" spans="2:84" x14ac:dyDescent="0.4"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22"/>
      <c r="BL1613" s="122"/>
      <c r="BM1613" s="122"/>
      <c r="BN1613" s="115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26"/>
      <c r="CC1613" s="15"/>
      <c r="CF1613" s="114"/>
    </row>
    <row r="1614" spans="2:84" x14ac:dyDescent="0.4"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22"/>
      <c r="BL1614" s="122"/>
      <c r="BM1614" s="122"/>
      <c r="BN1614" s="115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26"/>
      <c r="CC1614" s="15"/>
      <c r="CF1614" s="114"/>
    </row>
    <row r="1615" spans="2:84" x14ac:dyDescent="0.4"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22"/>
      <c r="BL1615" s="122"/>
      <c r="BM1615" s="122"/>
      <c r="BN1615" s="115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26"/>
      <c r="CC1615" s="15"/>
      <c r="CF1615" s="114"/>
    </row>
    <row r="1616" spans="2:84" x14ac:dyDescent="0.4"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22"/>
      <c r="BL1616" s="122"/>
      <c r="BM1616" s="122"/>
      <c r="BN1616" s="115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26"/>
      <c r="CC1616" s="15"/>
      <c r="CF1616" s="114"/>
    </row>
    <row r="1617" spans="2:84" x14ac:dyDescent="0.4"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22"/>
      <c r="BL1617" s="122"/>
      <c r="BM1617" s="122"/>
      <c r="BN1617" s="115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26"/>
      <c r="CC1617" s="15"/>
      <c r="CF1617" s="114"/>
    </row>
    <row r="1618" spans="2:84" x14ac:dyDescent="0.4"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22"/>
      <c r="BL1618" s="122"/>
      <c r="BM1618" s="122"/>
      <c r="BN1618" s="115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7"/>
      <c r="CC1618" s="15"/>
      <c r="CF1618" s="114"/>
    </row>
    <row r="1619" spans="2:84" x14ac:dyDescent="0.4"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22"/>
      <c r="BL1619" s="122"/>
      <c r="BM1619" s="122"/>
      <c r="BN1619" s="115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26"/>
      <c r="CC1619" s="15"/>
      <c r="CF1619" s="114"/>
    </row>
    <row r="1620" spans="2:84" x14ac:dyDescent="0.4"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22"/>
      <c r="BL1620" s="122"/>
      <c r="BM1620" s="122"/>
      <c r="BN1620" s="115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26"/>
      <c r="CC1620" s="15"/>
      <c r="CF1620" s="114"/>
    </row>
    <row r="1621" spans="2:84" x14ac:dyDescent="0.4"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22"/>
      <c r="BL1621" s="122"/>
      <c r="BM1621" s="122"/>
      <c r="BN1621" s="115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26"/>
      <c r="CC1621" s="15"/>
      <c r="CF1621" s="114"/>
    </row>
    <row r="1622" spans="2:84" x14ac:dyDescent="0.4"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22"/>
      <c r="BL1622" s="122"/>
      <c r="BM1622" s="122"/>
      <c r="BN1622" s="115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26"/>
      <c r="CC1622" s="15"/>
      <c r="CF1622" s="114"/>
    </row>
    <row r="1623" spans="2:84" x14ac:dyDescent="0.4"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22"/>
      <c r="BL1623" s="122"/>
      <c r="BM1623" s="122"/>
      <c r="BN1623" s="115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26"/>
      <c r="CC1623" s="15"/>
      <c r="CF1623" s="114"/>
    </row>
    <row r="1624" spans="2:84" x14ac:dyDescent="0.4">
      <c r="B1624" s="115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15"/>
      <c r="AW1624" s="115"/>
      <c r="AX1624" s="115"/>
      <c r="AY1624" s="115"/>
      <c r="AZ1624" s="115"/>
      <c r="BA1624" s="115"/>
      <c r="BB1624" s="115"/>
      <c r="BC1624" s="115"/>
      <c r="BD1624" s="115"/>
      <c r="BE1624" s="115"/>
      <c r="BF1624" s="115"/>
      <c r="BG1624" s="115"/>
      <c r="BH1624" s="115"/>
      <c r="BI1624" s="115"/>
      <c r="BJ1624" s="115"/>
      <c r="BK1624" s="122"/>
      <c r="BL1624" s="122"/>
      <c r="BM1624" s="122"/>
      <c r="BN1624" s="115"/>
      <c r="BO1624" s="115"/>
      <c r="BP1624" s="115"/>
      <c r="BQ1624" s="115"/>
      <c r="BR1624" s="115"/>
      <c r="BS1624" s="115"/>
      <c r="BT1624" s="115"/>
      <c r="BU1624" s="115"/>
      <c r="BV1624" s="115"/>
      <c r="BW1624" s="115"/>
      <c r="BX1624" s="115"/>
      <c r="BY1624" s="115"/>
      <c r="BZ1624" s="115"/>
      <c r="CA1624" s="115"/>
      <c r="CB1624" s="26"/>
      <c r="CC1624" s="15"/>
      <c r="CF1624" s="114"/>
    </row>
    <row r="1625" spans="2:84" x14ac:dyDescent="0.4"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15"/>
      <c r="BE1625" s="115"/>
      <c r="BF1625" s="115"/>
      <c r="BG1625" s="115"/>
      <c r="BH1625" s="115"/>
      <c r="BI1625" s="115"/>
      <c r="BJ1625" s="115"/>
      <c r="BK1625" s="122"/>
      <c r="BL1625" s="122"/>
      <c r="BM1625" s="122"/>
      <c r="BN1625" s="115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26"/>
      <c r="CC1625" s="15"/>
      <c r="CF1625" s="114"/>
    </row>
    <row r="1626" spans="2:84" x14ac:dyDescent="0.4">
      <c r="B1626" s="115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15"/>
      <c r="BA1626" s="115"/>
      <c r="BB1626" s="115"/>
      <c r="BC1626" s="115"/>
      <c r="BD1626" s="115"/>
      <c r="BE1626" s="115"/>
      <c r="BF1626" s="115"/>
      <c r="BG1626" s="115"/>
      <c r="BH1626" s="115"/>
      <c r="BI1626" s="115"/>
      <c r="BJ1626" s="115"/>
      <c r="BK1626" s="122"/>
      <c r="BL1626" s="122"/>
      <c r="BM1626" s="122"/>
      <c r="BN1626" s="115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26"/>
      <c r="CC1626" s="15"/>
      <c r="CF1626" s="114"/>
    </row>
    <row r="1627" spans="2:84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22"/>
      <c r="BL1627" s="122"/>
      <c r="BM1627" s="122"/>
      <c r="BN1627" s="115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7"/>
      <c r="CC1627" s="15"/>
      <c r="CF1627" s="114"/>
    </row>
    <row r="1628" spans="2:84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22"/>
      <c r="BL1628" s="122"/>
      <c r="BM1628" s="122"/>
      <c r="BN1628" s="115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26"/>
      <c r="CC1628" s="15"/>
      <c r="CF1628" s="114"/>
    </row>
    <row r="1629" spans="2:84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22"/>
      <c r="BL1629" s="122"/>
      <c r="BM1629" s="122"/>
      <c r="BN1629" s="115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7"/>
      <c r="CC1629" s="15"/>
      <c r="CF1629" s="114"/>
    </row>
    <row r="1630" spans="2:84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22"/>
      <c r="BL1630" s="122"/>
      <c r="BM1630" s="122"/>
      <c r="BN1630" s="115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26"/>
      <c r="CC1630" s="15"/>
      <c r="CF1630" s="114"/>
    </row>
    <row r="1631" spans="2:84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22"/>
      <c r="BL1631" s="122"/>
      <c r="BM1631" s="122"/>
      <c r="BN1631" s="115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7"/>
      <c r="CC1631" s="15"/>
      <c r="CF1631" s="114"/>
    </row>
    <row r="1632" spans="2:84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22"/>
      <c r="BL1632" s="122"/>
      <c r="BM1632" s="122"/>
      <c r="BN1632" s="115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26"/>
      <c r="CC1632" s="15"/>
      <c r="CF1632" s="114"/>
    </row>
    <row r="1633" spans="1:84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22"/>
      <c r="BL1633" s="122"/>
      <c r="BM1633" s="122"/>
      <c r="BN1633" s="115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26"/>
      <c r="CC1633" s="15"/>
      <c r="CF1633" s="114"/>
    </row>
    <row r="1634" spans="1:84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22"/>
      <c r="BL1634" s="122"/>
      <c r="BM1634" s="122"/>
      <c r="BN1634" s="115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7"/>
      <c r="CC1634" s="15"/>
      <c r="CF1634" s="114"/>
    </row>
    <row r="1635" spans="1:84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22"/>
      <c r="BL1635" s="122"/>
      <c r="BM1635" s="122"/>
      <c r="BN1635" s="115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26"/>
      <c r="CC1635" s="15"/>
      <c r="CF1635" s="114"/>
    </row>
    <row r="1636" spans="1:84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22"/>
      <c r="BL1636" s="122"/>
      <c r="BM1636" s="122"/>
      <c r="BN1636" s="115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26"/>
      <c r="CC1636" s="15"/>
      <c r="CF1636" s="114"/>
    </row>
    <row r="1637" spans="1:84" x14ac:dyDescent="0.4">
      <c r="A1637" s="115"/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22"/>
      <c r="BL1637" s="122"/>
      <c r="BM1637" s="122"/>
      <c r="BN1637" s="115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26"/>
      <c r="CC1637" s="105"/>
      <c r="CF1637" s="114"/>
    </row>
    <row r="1638" spans="1:84" x14ac:dyDescent="0.4">
      <c r="A1638" s="115"/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22"/>
      <c r="BL1638" s="122"/>
      <c r="BM1638" s="122"/>
      <c r="BN1638" s="115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7"/>
      <c r="CC1638" s="15"/>
      <c r="CF1638" s="114"/>
    </row>
    <row r="1639" spans="1:84" x14ac:dyDescent="0.4">
      <c r="A1639" s="115"/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22"/>
      <c r="BL1639" s="122"/>
      <c r="BM1639" s="122"/>
      <c r="BN1639" s="115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7"/>
      <c r="CC1639" s="15"/>
      <c r="CF1639" s="114"/>
    </row>
    <row r="1640" spans="1:84" x14ac:dyDescent="0.4">
      <c r="A1640" s="115"/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22"/>
      <c r="BL1640" s="122"/>
      <c r="BM1640" s="122"/>
      <c r="BN1640" s="115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26"/>
      <c r="CC1640" s="15"/>
      <c r="CF1640" s="114"/>
    </row>
    <row r="1641" spans="1:84" x14ac:dyDescent="0.4">
      <c r="A1641" s="115"/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22"/>
      <c r="BL1641" s="122"/>
      <c r="BM1641" s="122"/>
      <c r="BN1641" s="115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26"/>
      <c r="CC1641" s="15"/>
      <c r="CF1641" s="114"/>
    </row>
    <row r="1642" spans="1:84" x14ac:dyDescent="0.4">
      <c r="A1642" s="115"/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22"/>
      <c r="BL1642" s="122"/>
      <c r="BM1642" s="122"/>
      <c r="BN1642" s="115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26"/>
      <c r="CC1642" s="15"/>
      <c r="CF1642" s="114"/>
    </row>
    <row r="1643" spans="1:84" x14ac:dyDescent="0.4">
      <c r="A1643" s="115"/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22"/>
      <c r="BL1643" s="122"/>
      <c r="BM1643" s="122"/>
      <c r="BN1643" s="115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26"/>
      <c r="CC1643" s="15"/>
      <c r="CF1643" s="114"/>
    </row>
    <row r="1644" spans="1:84" x14ac:dyDescent="0.4">
      <c r="A1644" s="115"/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22"/>
      <c r="BL1644" s="122"/>
      <c r="BM1644" s="122"/>
      <c r="BN1644" s="115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26"/>
      <c r="CC1644" s="15"/>
      <c r="CF1644" s="114"/>
    </row>
    <row r="1645" spans="1:84" x14ac:dyDescent="0.4">
      <c r="A1645" s="115"/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22"/>
      <c r="BL1645" s="122"/>
      <c r="BM1645" s="122"/>
      <c r="BN1645" s="115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26"/>
      <c r="CC1645" s="15"/>
      <c r="CF1645" s="114"/>
    </row>
    <row r="1646" spans="1:84" x14ac:dyDescent="0.4">
      <c r="A1646" s="115"/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22"/>
      <c r="BL1646" s="122"/>
      <c r="BM1646" s="122"/>
      <c r="BN1646" s="115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26"/>
      <c r="CC1646" s="15"/>
      <c r="CF1646" s="114"/>
    </row>
    <row r="1647" spans="1:84" x14ac:dyDescent="0.4">
      <c r="A1647" s="115"/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22"/>
      <c r="BL1647" s="122"/>
      <c r="BM1647" s="122"/>
      <c r="BN1647" s="115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26"/>
      <c r="CC1647" s="15"/>
      <c r="CF1647" s="114"/>
    </row>
    <row r="1648" spans="1:84" x14ac:dyDescent="0.4">
      <c r="A1648" s="115"/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22"/>
      <c r="BL1648" s="122"/>
      <c r="BM1648" s="122"/>
      <c r="BN1648" s="115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26"/>
      <c r="CC1648" s="105"/>
      <c r="CF1648" s="114"/>
    </row>
    <row r="1649" spans="1:84" x14ac:dyDescent="0.4">
      <c r="A1649" s="115"/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22"/>
      <c r="BL1649" s="122"/>
      <c r="BM1649" s="122"/>
      <c r="BN1649" s="115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26"/>
      <c r="CC1649" s="15"/>
      <c r="CF1649" s="114"/>
    </row>
    <row r="1650" spans="1:84" x14ac:dyDescent="0.4">
      <c r="A1650" s="115"/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22"/>
      <c r="BL1650" s="122"/>
      <c r="BM1650" s="122"/>
      <c r="BN1650" s="115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26"/>
      <c r="CC1650" s="15"/>
      <c r="CF1650" s="114"/>
    </row>
    <row r="1651" spans="1:84" x14ac:dyDescent="0.4">
      <c r="A1651" s="115"/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22"/>
      <c r="BL1651" s="122"/>
      <c r="BM1651" s="122"/>
      <c r="BN1651" s="115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26"/>
      <c r="CC1651" s="13"/>
      <c r="CF1651" s="114"/>
    </row>
    <row r="1652" spans="1:84" x14ac:dyDescent="0.4">
      <c r="A1652" s="115"/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22"/>
      <c r="BL1652" s="122"/>
      <c r="BM1652" s="122"/>
      <c r="BN1652" s="115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7"/>
      <c r="CC1652" s="13"/>
      <c r="CF1652" s="114"/>
    </row>
    <row r="1653" spans="1:84" x14ac:dyDescent="0.4">
      <c r="A1653" s="115"/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22"/>
      <c r="BL1653" s="122"/>
      <c r="BM1653" s="122"/>
      <c r="BN1653" s="115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26"/>
      <c r="CC1653" s="13"/>
      <c r="CF1653" s="114"/>
    </row>
    <row r="1654" spans="1:84" x14ac:dyDescent="0.4">
      <c r="A1654" s="115"/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22"/>
      <c r="BL1654" s="122"/>
      <c r="BM1654" s="122"/>
      <c r="BN1654" s="115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26"/>
      <c r="CC1654" s="13"/>
      <c r="CF1654" s="114"/>
    </row>
    <row r="1655" spans="1:84" x14ac:dyDescent="0.4">
      <c r="A1655" s="115"/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22"/>
      <c r="BL1655" s="122"/>
      <c r="BM1655" s="122"/>
      <c r="BN1655" s="115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26"/>
      <c r="CC1655" s="13"/>
      <c r="CF1655" s="114"/>
    </row>
    <row r="1656" spans="1:84" x14ac:dyDescent="0.4">
      <c r="A1656" s="115"/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22"/>
      <c r="BL1656" s="122"/>
      <c r="BM1656" s="122"/>
      <c r="BN1656" s="115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26"/>
      <c r="CC1656" s="13"/>
      <c r="CF1656" s="114"/>
    </row>
    <row r="1657" spans="1:84" x14ac:dyDescent="0.4">
      <c r="A1657" s="115"/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22"/>
      <c r="BL1657" s="122"/>
      <c r="BM1657" s="122"/>
      <c r="BN1657" s="115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26"/>
      <c r="CC1657" s="13"/>
      <c r="CF1657" s="114"/>
    </row>
    <row r="1658" spans="1:84" x14ac:dyDescent="0.4">
      <c r="A1658" s="115"/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22"/>
      <c r="BL1658" s="122"/>
      <c r="BM1658" s="122"/>
      <c r="BN1658" s="115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26"/>
      <c r="CC1658" s="13"/>
      <c r="CF1658" s="114"/>
    </row>
    <row r="1659" spans="1:84" x14ac:dyDescent="0.4">
      <c r="A1659" s="115"/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22"/>
      <c r="BL1659" s="122"/>
      <c r="BM1659" s="122"/>
      <c r="BN1659" s="115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7"/>
      <c r="CC1659" s="13"/>
      <c r="CF1659" s="114"/>
    </row>
    <row r="1660" spans="1:84" x14ac:dyDescent="0.4">
      <c r="A1660" s="115"/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22"/>
      <c r="BL1660" s="122"/>
      <c r="BM1660" s="122"/>
      <c r="BN1660" s="115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26"/>
      <c r="CC1660" s="13"/>
      <c r="CF1660" s="114"/>
    </row>
    <row r="1661" spans="1:84" x14ac:dyDescent="0.4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22"/>
      <c r="BL1661" s="122"/>
      <c r="BM1661" s="122"/>
      <c r="BN1661" s="115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26"/>
      <c r="CC1661" s="13"/>
      <c r="CF1661" s="114"/>
    </row>
    <row r="1662" spans="1:84" x14ac:dyDescent="0.4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22"/>
      <c r="BL1662" s="122"/>
      <c r="BM1662" s="122"/>
      <c r="BN1662" s="115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26"/>
      <c r="CC1662" s="13"/>
      <c r="CF1662" s="114"/>
    </row>
    <row r="1663" spans="1:84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22"/>
      <c r="BL1663" s="122"/>
      <c r="BM1663" s="122"/>
      <c r="BN1663" s="115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26"/>
      <c r="CC1663" s="13"/>
      <c r="CF1663" s="114"/>
    </row>
    <row r="1664" spans="1:84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22"/>
      <c r="BL1664" s="122"/>
      <c r="BM1664" s="122"/>
      <c r="BN1664" s="115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26"/>
      <c r="CC1664" s="25"/>
      <c r="CF1664" s="114"/>
    </row>
    <row r="1665" spans="1:84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22"/>
      <c r="BL1665" s="122"/>
      <c r="BM1665" s="122"/>
      <c r="BN1665" s="115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7"/>
      <c r="CC1665" s="13"/>
      <c r="CF1665" s="114"/>
    </row>
    <row r="1666" spans="1:84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22"/>
      <c r="BL1666" s="122"/>
      <c r="BM1666" s="122"/>
      <c r="BN1666" s="115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26"/>
      <c r="CC1666" s="15"/>
      <c r="CF1666" s="114"/>
    </row>
    <row r="1667" spans="1:84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22"/>
      <c r="BL1667" s="122"/>
      <c r="BM1667" s="122"/>
      <c r="BN1667" s="115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26"/>
      <c r="CC1667" s="15"/>
      <c r="CF1667" s="114"/>
    </row>
    <row r="1668" spans="1:84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22"/>
      <c r="BL1668" s="122"/>
      <c r="BM1668" s="122"/>
      <c r="BN1668" s="115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7"/>
      <c r="CC1668" s="15"/>
      <c r="CF1668" s="114"/>
    </row>
    <row r="1669" spans="1:84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22"/>
      <c r="BL1669" s="122"/>
      <c r="BM1669" s="122"/>
      <c r="BN1669" s="115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26"/>
      <c r="CC1669" s="15"/>
      <c r="CF1669" s="114"/>
    </row>
    <row r="1670" spans="1:84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22"/>
      <c r="BL1670" s="122"/>
      <c r="BM1670" s="122"/>
      <c r="BN1670" s="115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26"/>
      <c r="CC1670" s="15"/>
      <c r="CF1670" s="114"/>
    </row>
    <row r="1671" spans="1:84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22"/>
      <c r="BL1671" s="122"/>
      <c r="BM1671" s="122"/>
      <c r="BN1671" s="115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26"/>
      <c r="CC1671" s="13"/>
      <c r="CF1671" s="114"/>
    </row>
    <row r="1672" spans="1:84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22"/>
      <c r="BL1672" s="122"/>
      <c r="BM1672" s="122"/>
      <c r="BN1672" s="115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26"/>
      <c r="CC1672" s="13"/>
      <c r="CF1672" s="114"/>
    </row>
    <row r="1673" spans="1:84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22"/>
      <c r="BL1673" s="122"/>
      <c r="BM1673" s="122"/>
      <c r="BN1673" s="115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26"/>
      <c r="CC1673" s="13"/>
      <c r="CF1673" s="114"/>
    </row>
    <row r="1674" spans="1:84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22"/>
      <c r="BL1674" s="122"/>
      <c r="BM1674" s="122"/>
      <c r="BN1674" s="115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26"/>
      <c r="CC1674" s="13"/>
      <c r="CF1674" s="114"/>
    </row>
    <row r="1675" spans="1:84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22"/>
      <c r="BL1675" s="122"/>
      <c r="BM1675" s="122"/>
      <c r="BN1675" s="115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26"/>
      <c r="CC1675" s="13"/>
      <c r="CF1675" s="114"/>
    </row>
    <row r="1676" spans="1:84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22"/>
      <c r="BL1676" s="122"/>
      <c r="BM1676" s="122"/>
      <c r="BN1676" s="115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26"/>
      <c r="CC1676" s="13"/>
      <c r="CF1676" s="114"/>
    </row>
    <row r="1677" spans="1:84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22"/>
      <c r="BL1677" s="122"/>
      <c r="BM1677" s="122"/>
      <c r="BN1677" s="115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26"/>
      <c r="CC1677" s="13"/>
      <c r="CF1677" s="114"/>
    </row>
    <row r="1678" spans="1:84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22"/>
      <c r="BL1678" s="122"/>
      <c r="BM1678" s="122"/>
      <c r="BN1678" s="115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26"/>
      <c r="CC1678" s="13"/>
      <c r="CF1678" s="114"/>
    </row>
    <row r="1679" spans="1:84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22"/>
      <c r="BL1679" s="122"/>
      <c r="BM1679" s="122"/>
      <c r="BN1679" s="115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7"/>
      <c r="CC1679" s="13"/>
      <c r="CF1679" s="114"/>
    </row>
    <row r="1680" spans="1:84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22"/>
      <c r="BL1680" s="122"/>
      <c r="BM1680" s="122"/>
      <c r="BN1680" s="115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26"/>
      <c r="CC1680" s="13"/>
      <c r="CF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22"/>
      <c r="BL1681" s="122"/>
      <c r="BM1681" s="122"/>
      <c r="BN1681" s="115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7"/>
      <c r="CC1681" s="13"/>
      <c r="CF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22"/>
      <c r="BL1682" s="122"/>
      <c r="BM1682" s="122"/>
      <c r="BN1682" s="115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26"/>
      <c r="CC1682" s="13"/>
      <c r="CF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22"/>
      <c r="BL1683" s="122"/>
      <c r="BM1683" s="122"/>
      <c r="BN1683" s="115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26"/>
      <c r="CC1683" s="13"/>
      <c r="CF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22"/>
      <c r="BL1684" s="122"/>
      <c r="BM1684" s="122"/>
      <c r="BN1684" s="115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26"/>
      <c r="CC1684" s="13"/>
      <c r="CF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22"/>
      <c r="BL1685" s="122"/>
      <c r="BM1685" s="122"/>
      <c r="BN1685" s="115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26"/>
      <c r="CC1685" s="15"/>
      <c r="CF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22"/>
      <c r="BL1686" s="122"/>
      <c r="BM1686" s="122"/>
      <c r="BN1686" s="115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26"/>
      <c r="CC1686" s="15"/>
      <c r="CF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22"/>
      <c r="BL1687" s="122"/>
      <c r="BM1687" s="122"/>
      <c r="BN1687" s="115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26"/>
      <c r="CC1687" s="15"/>
      <c r="CF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22"/>
      <c r="BL1688" s="122"/>
      <c r="BM1688" s="122"/>
      <c r="BN1688" s="115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26"/>
      <c r="CC1688" s="13"/>
      <c r="CF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22"/>
      <c r="BL1689" s="122"/>
      <c r="BM1689" s="122"/>
      <c r="BN1689" s="115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26"/>
      <c r="CC1689" s="15"/>
      <c r="CF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22"/>
      <c r="BL1690" s="122"/>
      <c r="BM1690" s="122"/>
      <c r="BN1690" s="115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26"/>
      <c r="CC1690" s="15"/>
      <c r="CF1690" s="114"/>
      <c r="CG1690" s="120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22"/>
      <c r="BL1691" s="122"/>
      <c r="BM1691" s="122"/>
      <c r="BN1691" s="115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26"/>
      <c r="CC1691" s="15"/>
      <c r="CF1691" s="114"/>
      <c r="CG1691" s="120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22"/>
      <c r="BL1692" s="122"/>
      <c r="BM1692" s="122"/>
      <c r="BN1692" s="115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26"/>
      <c r="CC1692" s="15"/>
      <c r="CF1692" s="114"/>
      <c r="CG1692" s="120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22"/>
      <c r="BL1693" s="122"/>
      <c r="BM1693" s="122"/>
      <c r="BN1693" s="115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26"/>
      <c r="CC1693" s="15"/>
      <c r="CF1693" s="114"/>
      <c r="CG1693" s="120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22"/>
      <c r="BL1694" s="122"/>
      <c r="BM1694" s="122"/>
      <c r="BN1694" s="115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26"/>
      <c r="CC1694" s="15"/>
      <c r="CF1694" s="114"/>
      <c r="CG1694" s="120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22"/>
      <c r="BL1695" s="122"/>
      <c r="BM1695" s="122"/>
      <c r="BN1695" s="115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26"/>
      <c r="CC1695" s="15"/>
      <c r="CF1695" s="114"/>
      <c r="CG1695" s="120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22"/>
      <c r="BL1696" s="122"/>
      <c r="BM1696" s="122"/>
      <c r="BN1696" s="115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26"/>
      <c r="CC1696" s="15"/>
      <c r="CF1696" s="114"/>
      <c r="CG1696" s="120"/>
    </row>
    <row r="1697" spans="1:88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22"/>
      <c r="BL1697" s="122"/>
      <c r="BM1697" s="122"/>
      <c r="BN1697" s="115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7"/>
      <c r="CC1697" s="15"/>
      <c r="CF1697" s="114"/>
      <c r="CG1697" s="120"/>
    </row>
    <row r="1698" spans="1:88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22"/>
      <c r="BL1698" s="122"/>
      <c r="BM1698" s="122"/>
      <c r="BN1698" s="115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26"/>
      <c r="CC1698" s="15"/>
      <c r="CF1698" s="114"/>
      <c r="CG1698" s="120"/>
    </row>
    <row r="1699" spans="1:88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22"/>
      <c r="BL1699" s="122"/>
      <c r="BM1699" s="122"/>
      <c r="BN1699" s="115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26"/>
      <c r="CC1699" s="15"/>
      <c r="CF1699" s="114"/>
    </row>
    <row r="1700" spans="1:88" x14ac:dyDescent="0.4">
      <c r="CB1700" s="26"/>
      <c r="CC1700" s="15"/>
      <c r="CF1700" s="114"/>
    </row>
    <row r="1701" spans="1:88" x14ac:dyDescent="0.4"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7"/>
      <c r="CC1701" s="15"/>
      <c r="CF1701" s="114"/>
    </row>
    <row r="1702" spans="1:88" x14ac:dyDescent="0.4"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7"/>
      <c r="CC1702" s="15"/>
      <c r="CF1702" s="114"/>
    </row>
    <row r="1703" spans="1:88" x14ac:dyDescent="0.4">
      <c r="BM1703" s="122"/>
      <c r="BN1703" s="115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7"/>
      <c r="CC1703" s="15"/>
      <c r="CF1703" s="114"/>
    </row>
    <row r="1704" spans="1:88" x14ac:dyDescent="0.4">
      <c r="BH1704" s="115"/>
      <c r="BI1704" s="115"/>
      <c r="BJ1704" s="115"/>
      <c r="BK1704" s="122"/>
      <c r="BL1704" s="122"/>
      <c r="BM1704" s="122"/>
      <c r="BN1704" s="115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26"/>
      <c r="CC1704" s="15"/>
      <c r="CF1704" s="114"/>
    </row>
    <row r="1705" spans="1:88" x14ac:dyDescent="0.4">
      <c r="BH1705" s="115"/>
      <c r="BI1705" s="115"/>
      <c r="BJ1705" s="115"/>
      <c r="BK1705" s="122"/>
      <c r="BL1705" s="122"/>
      <c r="BM1705" s="122"/>
      <c r="BN1705" s="115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7"/>
      <c r="CC1705" s="15"/>
      <c r="CF1705" s="114"/>
    </row>
    <row r="1706" spans="1:88" x14ac:dyDescent="0.4">
      <c r="BG1706" s="115"/>
      <c r="BH1706" s="115"/>
      <c r="BI1706" s="115"/>
      <c r="BJ1706" s="115"/>
      <c r="BK1706" s="122"/>
      <c r="BL1706" s="122"/>
      <c r="BM1706" s="122"/>
      <c r="BN1706" s="115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26"/>
      <c r="CC1706" s="15"/>
      <c r="CF1706" s="114"/>
    </row>
    <row r="1707" spans="1:88" x14ac:dyDescent="0.4">
      <c r="BG1707" s="115"/>
      <c r="BH1707" s="115"/>
      <c r="BI1707" s="115"/>
      <c r="BJ1707" s="115"/>
      <c r="BK1707" s="122"/>
      <c r="BL1707" s="122"/>
      <c r="BM1707" s="122"/>
      <c r="BN1707" s="115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7"/>
      <c r="CC1707" s="15"/>
      <c r="CF1707" s="114"/>
    </row>
    <row r="1708" spans="1:88" x14ac:dyDescent="0.4">
      <c r="BG1708" s="115"/>
      <c r="BH1708" s="115"/>
      <c r="BI1708" s="115"/>
      <c r="BJ1708" s="115"/>
      <c r="BK1708" s="122"/>
      <c r="BL1708" s="122"/>
      <c r="BM1708" s="122"/>
      <c r="BN1708" s="115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7"/>
      <c r="CC1708" s="15"/>
      <c r="CF1708" s="114"/>
    </row>
    <row r="1709" spans="1:88" x14ac:dyDescent="0.4">
      <c r="BG1709" s="115"/>
      <c r="BH1709" s="115"/>
      <c r="BI1709" s="115"/>
      <c r="BJ1709" s="115"/>
      <c r="BK1709" s="122"/>
      <c r="BL1709" s="122"/>
      <c r="BM1709" s="122"/>
      <c r="BN1709" s="115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7"/>
      <c r="CC1709" s="15"/>
      <c r="CF1709" s="114"/>
    </row>
    <row r="1710" spans="1:88" x14ac:dyDescent="0.4">
      <c r="BG1710" s="115"/>
      <c r="BH1710" s="115"/>
      <c r="BI1710" s="115"/>
      <c r="BJ1710" s="115"/>
      <c r="BK1710" s="122"/>
      <c r="BL1710" s="122"/>
      <c r="BM1710" s="122"/>
      <c r="BN1710" s="115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26"/>
      <c r="CC1710" s="15"/>
      <c r="CF1710" s="114"/>
    </row>
    <row r="1711" spans="1:88" x14ac:dyDescent="0.4">
      <c r="BG1711" s="115"/>
      <c r="BH1711" s="115"/>
      <c r="BI1711" s="115"/>
      <c r="BJ1711" s="115"/>
      <c r="BK1711" s="122"/>
      <c r="BL1711" s="122"/>
      <c r="BM1711" s="122"/>
      <c r="BN1711" s="115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7"/>
      <c r="CC1711" s="15"/>
      <c r="CF1711" s="114"/>
    </row>
    <row r="1712" spans="1:88" ht="19.5" x14ac:dyDescent="0.4">
      <c r="CB1712" s="26"/>
      <c r="CC1712" s="15"/>
      <c r="CG1712" s="116"/>
      <c r="CH1712" s="116"/>
      <c r="CI1712" s="116"/>
      <c r="CJ1712" s="116"/>
    </row>
    <row r="1713" spans="1:88" ht="19.5" x14ac:dyDescent="0.4">
      <c r="BL1713" s="122"/>
      <c r="BM1713" s="122"/>
      <c r="BN1713" s="115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7"/>
      <c r="CC1713" s="15"/>
      <c r="CG1713" s="117"/>
      <c r="CH1713" s="116"/>
      <c r="CI1713" s="116"/>
      <c r="CJ1713" s="116"/>
    </row>
    <row r="1714" spans="1:88" ht="19.5" x14ac:dyDescent="0.4">
      <c r="BD1714" s="115"/>
      <c r="BE1714" s="115"/>
      <c r="BF1714" s="115"/>
      <c r="BG1714" s="115"/>
      <c r="BH1714" s="115"/>
      <c r="BI1714" s="115"/>
      <c r="BJ1714" s="115"/>
      <c r="BK1714" s="122"/>
      <c r="BL1714" s="122"/>
      <c r="BM1714" s="122"/>
      <c r="BN1714" s="115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26"/>
      <c r="CC1714" s="15"/>
      <c r="CG1714" s="117"/>
      <c r="CH1714" s="116"/>
      <c r="CI1714" s="116"/>
      <c r="CJ1714" s="116"/>
    </row>
    <row r="1715" spans="1:88" ht="19.5" x14ac:dyDescent="0.4"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22"/>
      <c r="BL1715" s="122"/>
      <c r="BM1715" s="122"/>
      <c r="BN1715" s="115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26"/>
      <c r="CC1715" s="13"/>
      <c r="CG1715" s="117"/>
      <c r="CH1715" s="116"/>
      <c r="CI1715" s="116"/>
      <c r="CJ1715" s="116"/>
    </row>
    <row r="1716" spans="1:88" ht="19.5" x14ac:dyDescent="0.4"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22"/>
      <c r="BL1716" s="122"/>
      <c r="BM1716" s="122"/>
      <c r="BN1716" s="115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26"/>
      <c r="CC1716" s="15"/>
      <c r="CG1716" s="117"/>
      <c r="CH1716" s="116"/>
      <c r="CI1716" s="116"/>
      <c r="CJ1716" s="116"/>
    </row>
    <row r="1717" spans="1:88" ht="19.5" x14ac:dyDescent="0.4"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22"/>
      <c r="BL1717" s="122"/>
      <c r="BM1717" s="122"/>
      <c r="BN1717" s="115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7"/>
      <c r="CC1717" s="15"/>
      <c r="CG1717" s="117"/>
      <c r="CH1717" s="116"/>
      <c r="CI1717" s="116"/>
      <c r="CJ1717" s="116"/>
    </row>
    <row r="1718" spans="1:88" ht="19.5" x14ac:dyDescent="0.4"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22"/>
      <c r="BL1718" s="122"/>
      <c r="BM1718" s="122"/>
      <c r="BN1718" s="115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26"/>
      <c r="CC1718" s="15"/>
      <c r="CG1718" s="117"/>
      <c r="CH1718" s="116"/>
      <c r="CI1718" s="116"/>
      <c r="CJ1718" s="116"/>
    </row>
    <row r="1719" spans="1:88" ht="19.5" x14ac:dyDescent="0.4"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22"/>
      <c r="BL1719" s="122"/>
      <c r="BM1719" s="122"/>
      <c r="BN1719" s="115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26"/>
      <c r="CC1719" s="15"/>
      <c r="CG1719" s="117"/>
      <c r="CH1719" s="116"/>
      <c r="CI1719" s="116"/>
      <c r="CJ1719" s="116"/>
    </row>
    <row r="1720" spans="1:88" ht="19.5" x14ac:dyDescent="0.4"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22"/>
      <c r="BL1720" s="122"/>
      <c r="BM1720" s="122"/>
      <c r="BN1720" s="115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7"/>
      <c r="CC1720" s="15"/>
      <c r="CG1720" s="117"/>
      <c r="CH1720" s="116"/>
      <c r="CI1720" s="116"/>
      <c r="CJ1720" s="116"/>
    </row>
    <row r="1721" spans="1:88" ht="19.5" x14ac:dyDescent="0.4"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22"/>
      <c r="BL1721" s="122"/>
      <c r="BM1721" s="122"/>
      <c r="BN1721" s="115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26"/>
      <c r="CC1721" s="15"/>
      <c r="CG1721" s="117"/>
      <c r="CH1721" s="116"/>
      <c r="CI1721" s="116"/>
      <c r="CJ1721" s="116"/>
    </row>
    <row r="1722" spans="1:88" ht="19.5" x14ac:dyDescent="0.4">
      <c r="CB1722" s="26"/>
      <c r="CC1722" s="15"/>
      <c r="CG1722" s="117"/>
      <c r="CH1722" s="116"/>
      <c r="CI1722" s="116"/>
      <c r="CJ1722" s="116"/>
    </row>
    <row r="1723" spans="1:88" ht="19.5" x14ac:dyDescent="0.4">
      <c r="BL1723" s="122"/>
      <c r="BM1723" s="122"/>
      <c r="BN1723" s="115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7"/>
      <c r="CC1723" s="15"/>
      <c r="CG1723" s="117"/>
      <c r="CH1723" s="116"/>
      <c r="CI1723" s="116"/>
      <c r="CJ1723" s="116"/>
    </row>
    <row r="1724" spans="1:88" ht="19.5" x14ac:dyDescent="0.4">
      <c r="BI1724" s="115"/>
      <c r="BJ1724" s="115"/>
      <c r="BK1724" s="122"/>
      <c r="BL1724" s="122"/>
      <c r="BM1724" s="122"/>
      <c r="BN1724" s="115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26"/>
      <c r="CC1724" s="15"/>
      <c r="CG1724" s="117"/>
      <c r="CH1724" s="116"/>
      <c r="CI1724" s="116"/>
      <c r="CJ1724" s="116"/>
    </row>
    <row r="1725" spans="1:88" ht="19.5" x14ac:dyDescent="0.4">
      <c r="BI1725" s="115"/>
      <c r="BJ1725" s="115"/>
      <c r="BK1725" s="122"/>
      <c r="BL1725" s="122"/>
      <c r="BM1725" s="122"/>
      <c r="BN1725" s="115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7"/>
      <c r="CC1725" s="15"/>
      <c r="CG1725" s="117"/>
      <c r="CH1725" s="116"/>
      <c r="CI1725" s="116"/>
      <c r="CJ1725" s="116"/>
    </row>
    <row r="1726" spans="1:88" ht="19.5" x14ac:dyDescent="0.4">
      <c r="BH1726" s="115"/>
      <c r="BI1726" s="115"/>
      <c r="BJ1726" s="115"/>
      <c r="BK1726" s="122"/>
      <c r="BL1726" s="122"/>
      <c r="BM1726" s="122"/>
      <c r="BN1726" s="115"/>
      <c r="BO1726" s="115"/>
      <c r="BP1726" s="115"/>
      <c r="BQ1726" s="115"/>
      <c r="BR1726" s="115"/>
      <c r="BS1726" s="115"/>
      <c r="BT1726" s="115"/>
      <c r="BU1726" s="115"/>
      <c r="BV1726" s="115"/>
      <c r="BW1726" s="115"/>
      <c r="BX1726" s="115"/>
      <c r="BY1726" s="115"/>
      <c r="BZ1726" s="115"/>
      <c r="CA1726" s="115"/>
      <c r="CB1726" s="26"/>
      <c r="CC1726" s="15"/>
      <c r="CG1726" s="117"/>
      <c r="CH1726" s="116"/>
      <c r="CI1726" s="116"/>
      <c r="CJ1726" s="116"/>
    </row>
    <row r="1727" spans="1:88" ht="19.5" x14ac:dyDescent="0.4">
      <c r="A1727" s="115"/>
      <c r="B1727" s="115"/>
      <c r="C1727" s="115"/>
      <c r="D1727" s="115"/>
      <c r="E1727" s="115"/>
      <c r="F1727" s="115"/>
      <c r="G1727" s="115"/>
      <c r="H1727" s="115"/>
      <c r="I1727" s="115"/>
      <c r="J1727" s="115"/>
      <c r="K1727" s="115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  <c r="AI1727" s="115"/>
      <c r="AJ1727" s="115"/>
      <c r="AK1727" s="115"/>
      <c r="AL1727" s="115"/>
      <c r="AM1727" s="115"/>
      <c r="AN1727" s="115"/>
      <c r="AO1727" s="115"/>
      <c r="AP1727" s="115"/>
      <c r="AQ1727" s="115"/>
      <c r="AR1727" s="115"/>
      <c r="AS1727" s="115"/>
      <c r="AT1727" s="115"/>
      <c r="AU1727" s="115"/>
      <c r="AV1727" s="115"/>
      <c r="AW1727" s="115"/>
      <c r="AX1727" s="115"/>
      <c r="AY1727" s="115"/>
      <c r="AZ1727" s="115"/>
      <c r="BA1727" s="115"/>
      <c r="BB1727" s="115"/>
      <c r="BC1727" s="115"/>
      <c r="BD1727" s="115"/>
      <c r="BE1727" s="115"/>
      <c r="BF1727" s="115"/>
      <c r="BG1727" s="115"/>
      <c r="BH1727" s="115"/>
      <c r="BI1727" s="115"/>
      <c r="BJ1727" s="115"/>
      <c r="BK1727" s="122"/>
      <c r="BL1727" s="122"/>
      <c r="BM1727" s="122"/>
      <c r="BN1727" s="115"/>
      <c r="BO1727" s="115"/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26"/>
      <c r="CC1727" s="15"/>
      <c r="CG1727" s="117"/>
      <c r="CH1727" s="116"/>
      <c r="CI1727" s="116"/>
      <c r="CJ1727" s="116"/>
    </row>
    <row r="1728" spans="1:88" ht="19.5" x14ac:dyDescent="0.4">
      <c r="A1728" s="115"/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15"/>
      <c r="BA1728" s="115"/>
      <c r="BB1728" s="115"/>
      <c r="BC1728" s="115"/>
      <c r="BD1728" s="115"/>
      <c r="BE1728" s="115"/>
      <c r="BF1728" s="115"/>
      <c r="BG1728" s="115"/>
      <c r="BH1728" s="115"/>
      <c r="BI1728" s="115"/>
      <c r="BJ1728" s="115"/>
      <c r="BK1728" s="122"/>
      <c r="BL1728" s="122"/>
      <c r="BM1728" s="122"/>
      <c r="BN1728" s="115"/>
      <c r="BO1728" s="115"/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26"/>
      <c r="CC1728" s="15"/>
      <c r="CG1728" s="117"/>
      <c r="CH1728" s="116"/>
      <c r="CI1728" s="116"/>
      <c r="CJ1728" s="116"/>
    </row>
    <row r="1729" spans="1:88" ht="19.5" x14ac:dyDescent="0.4">
      <c r="A1729" s="115"/>
      <c r="B1729" s="115"/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15"/>
      <c r="BA1729" s="115"/>
      <c r="BB1729" s="115"/>
      <c r="BC1729" s="115"/>
      <c r="BD1729" s="115"/>
      <c r="BE1729" s="115"/>
      <c r="BF1729" s="115"/>
      <c r="BG1729" s="115"/>
      <c r="BH1729" s="115"/>
      <c r="BI1729" s="115"/>
      <c r="BJ1729" s="115"/>
      <c r="BK1729" s="122"/>
      <c r="BL1729" s="122"/>
      <c r="BM1729" s="122"/>
      <c r="BN1729" s="115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26"/>
      <c r="CC1729" s="15"/>
      <c r="CG1729" s="117"/>
      <c r="CH1729" s="116"/>
      <c r="CI1729" s="116"/>
      <c r="CJ1729" s="116"/>
    </row>
    <row r="1730" spans="1:88" ht="19.5" x14ac:dyDescent="0.4">
      <c r="A1730" s="115"/>
      <c r="B1730" s="115"/>
      <c r="C1730" s="115"/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15"/>
      <c r="BA1730" s="115"/>
      <c r="BB1730" s="115"/>
      <c r="BC1730" s="115"/>
      <c r="BD1730" s="115"/>
      <c r="BE1730" s="115"/>
      <c r="BF1730" s="115"/>
      <c r="BG1730" s="115"/>
      <c r="BH1730" s="115"/>
      <c r="BI1730" s="115"/>
      <c r="BJ1730" s="115"/>
      <c r="BK1730" s="122"/>
      <c r="BL1730" s="122"/>
      <c r="BM1730" s="122"/>
      <c r="BN1730" s="115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26"/>
      <c r="CC1730" s="105"/>
      <c r="CG1730" s="117"/>
      <c r="CH1730" s="116"/>
      <c r="CI1730" s="116"/>
      <c r="CJ1730" s="116"/>
    </row>
    <row r="1731" spans="1:88" ht="19.5" x14ac:dyDescent="0.4">
      <c r="A1731" s="115"/>
      <c r="B1731" s="115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15"/>
      <c r="AZ1731" s="115"/>
      <c r="BA1731" s="115"/>
      <c r="BB1731" s="115"/>
      <c r="BC1731" s="115"/>
      <c r="BD1731" s="115"/>
      <c r="BE1731" s="115"/>
      <c r="BF1731" s="115"/>
      <c r="BG1731" s="115"/>
      <c r="BH1731" s="115"/>
      <c r="BI1731" s="115"/>
      <c r="BJ1731" s="115"/>
      <c r="BK1731" s="122"/>
      <c r="BL1731" s="122"/>
      <c r="BM1731" s="122"/>
      <c r="BN1731" s="115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26"/>
      <c r="CC1731" s="105"/>
      <c r="CG1731" s="117"/>
      <c r="CH1731" s="116"/>
      <c r="CI1731" s="116"/>
      <c r="CJ1731" s="116"/>
    </row>
    <row r="1732" spans="1:88" ht="19.5" x14ac:dyDescent="0.4">
      <c r="CB1732" s="26"/>
      <c r="CC1732" s="13"/>
      <c r="CG1732" s="117"/>
      <c r="CH1732" s="116"/>
      <c r="CI1732" s="116"/>
      <c r="CJ1732" s="116"/>
    </row>
    <row r="1733" spans="1:88" ht="19.5" x14ac:dyDescent="0.4">
      <c r="BI1733" s="115"/>
      <c r="BJ1733" s="115"/>
      <c r="BK1733" s="122"/>
      <c r="BL1733" s="122"/>
      <c r="BM1733" s="122"/>
      <c r="BN1733" s="115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26"/>
      <c r="CC1733" s="13"/>
      <c r="CG1733" s="117"/>
      <c r="CH1733" s="116"/>
      <c r="CI1733" s="116"/>
      <c r="CJ1733" s="116"/>
    </row>
    <row r="1734" spans="1:88" ht="19.5" x14ac:dyDescent="0.4">
      <c r="BD1734" s="115"/>
      <c r="BE1734" s="115"/>
      <c r="BF1734" s="115"/>
      <c r="BG1734" s="115"/>
      <c r="BH1734" s="115"/>
      <c r="BI1734" s="115"/>
      <c r="BJ1734" s="115"/>
      <c r="BK1734" s="122"/>
      <c r="BL1734" s="122"/>
      <c r="BM1734" s="122"/>
      <c r="BN1734" s="115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26"/>
      <c r="CC1734" s="13"/>
      <c r="CG1734" s="117"/>
      <c r="CH1734" s="116"/>
      <c r="CI1734" s="116"/>
      <c r="CJ1734" s="116"/>
    </row>
    <row r="1735" spans="1:88" ht="19.5" x14ac:dyDescent="0.4">
      <c r="CB1735" s="26"/>
      <c r="CC1735" s="13"/>
      <c r="CG1735" s="117"/>
      <c r="CH1735" s="116"/>
      <c r="CI1735" s="116"/>
      <c r="CJ1735" s="116"/>
    </row>
    <row r="1736" spans="1:88" ht="19.5" x14ac:dyDescent="0.4"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15"/>
      <c r="BA1736" s="115"/>
      <c r="BB1736" s="115"/>
      <c r="BC1736" s="115"/>
      <c r="BD1736" s="115"/>
      <c r="BE1736" s="115"/>
      <c r="BF1736" s="115"/>
      <c r="BG1736" s="115"/>
      <c r="BH1736" s="115"/>
      <c r="BI1736" s="115"/>
      <c r="BJ1736" s="115"/>
      <c r="BK1736" s="122"/>
      <c r="BL1736" s="122"/>
      <c r="BM1736" s="122"/>
      <c r="BN1736" s="115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26"/>
      <c r="CC1736" s="13"/>
      <c r="CG1736" s="117"/>
      <c r="CH1736" s="116"/>
      <c r="CI1736" s="116"/>
      <c r="CJ1736" s="116"/>
    </row>
    <row r="1737" spans="1:88" ht="19.5" x14ac:dyDescent="0.4">
      <c r="E1737" s="115"/>
      <c r="F1737" s="115"/>
      <c r="G1737" s="115"/>
      <c r="H1737" s="115"/>
      <c r="I1737" s="115"/>
      <c r="J1737" s="115"/>
      <c r="K1737" s="115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  <c r="AI1737" s="115"/>
      <c r="AJ1737" s="115"/>
      <c r="AK1737" s="115"/>
      <c r="AL1737" s="115"/>
      <c r="AM1737" s="115"/>
      <c r="AN1737" s="115"/>
      <c r="AO1737" s="115"/>
      <c r="AP1737" s="115"/>
      <c r="AQ1737" s="115"/>
      <c r="AR1737" s="115"/>
      <c r="AS1737" s="115"/>
      <c r="AT1737" s="115"/>
      <c r="AU1737" s="115"/>
      <c r="AV1737" s="115"/>
      <c r="AW1737" s="115"/>
      <c r="AX1737" s="115"/>
      <c r="AY1737" s="115"/>
      <c r="AZ1737" s="115"/>
      <c r="BA1737" s="115"/>
      <c r="BB1737" s="115"/>
      <c r="BC1737" s="115"/>
      <c r="BD1737" s="115"/>
      <c r="BE1737" s="115"/>
      <c r="BF1737" s="115"/>
      <c r="BG1737" s="115"/>
      <c r="BH1737" s="115"/>
      <c r="BI1737" s="115"/>
      <c r="BJ1737" s="115"/>
      <c r="BK1737" s="122"/>
      <c r="BL1737" s="122"/>
      <c r="BM1737" s="122"/>
      <c r="BN1737" s="115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26"/>
      <c r="CC1737" s="13"/>
      <c r="CG1737" s="117"/>
      <c r="CH1737" s="116"/>
      <c r="CI1737" s="116"/>
      <c r="CJ1737" s="116"/>
    </row>
    <row r="1738" spans="1:88" ht="19.5" x14ac:dyDescent="0.4">
      <c r="C1738" s="115"/>
      <c r="D1738" s="115"/>
      <c r="E1738" s="115"/>
      <c r="F1738" s="115"/>
      <c r="G1738" s="115"/>
      <c r="H1738" s="115"/>
      <c r="I1738" s="115"/>
      <c r="J1738" s="115"/>
      <c r="K1738" s="115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  <c r="AI1738" s="115"/>
      <c r="AJ1738" s="115"/>
      <c r="AK1738" s="115"/>
      <c r="AL1738" s="115"/>
      <c r="AM1738" s="115"/>
      <c r="AN1738" s="115"/>
      <c r="AO1738" s="115"/>
      <c r="AP1738" s="115"/>
      <c r="AQ1738" s="115"/>
      <c r="AR1738" s="115"/>
      <c r="AS1738" s="115"/>
      <c r="AT1738" s="115"/>
      <c r="AU1738" s="115"/>
      <c r="AV1738" s="115"/>
      <c r="AW1738" s="115"/>
      <c r="AX1738" s="115"/>
      <c r="AY1738" s="115"/>
      <c r="AZ1738" s="115"/>
      <c r="BA1738" s="115"/>
      <c r="BB1738" s="115"/>
      <c r="BC1738" s="115"/>
      <c r="BD1738" s="115"/>
      <c r="BE1738" s="115"/>
      <c r="BF1738" s="115"/>
      <c r="BG1738" s="115"/>
      <c r="BH1738" s="115"/>
      <c r="BI1738" s="115"/>
      <c r="BJ1738" s="115"/>
      <c r="BK1738" s="122"/>
      <c r="BL1738" s="122"/>
      <c r="BM1738" s="122"/>
      <c r="BN1738" s="115"/>
      <c r="BO1738" s="115"/>
      <c r="BP1738" s="115"/>
      <c r="BQ1738" s="115"/>
      <c r="BR1738" s="115"/>
      <c r="BS1738" s="115"/>
      <c r="BT1738" s="115"/>
      <c r="BU1738" s="115"/>
      <c r="BV1738" s="115"/>
      <c r="BW1738" s="115"/>
      <c r="BX1738" s="115"/>
      <c r="BY1738" s="115"/>
      <c r="BZ1738" s="115"/>
      <c r="CA1738" s="115"/>
      <c r="CB1738" s="26"/>
      <c r="CC1738" s="13"/>
      <c r="CG1738" s="117"/>
      <c r="CH1738" s="116"/>
      <c r="CI1738" s="116"/>
      <c r="CJ1738" s="116"/>
    </row>
    <row r="1739" spans="1:88" ht="19.5" x14ac:dyDescent="0.4">
      <c r="C1739" s="115"/>
      <c r="D1739" s="115"/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15"/>
      <c r="AZ1739" s="115"/>
      <c r="BA1739" s="115"/>
      <c r="BB1739" s="115"/>
      <c r="BC1739" s="115"/>
      <c r="BD1739" s="115"/>
      <c r="BE1739" s="115"/>
      <c r="BF1739" s="115"/>
      <c r="BG1739" s="115"/>
      <c r="BH1739" s="115"/>
      <c r="BI1739" s="115"/>
      <c r="BJ1739" s="115"/>
      <c r="BK1739" s="122"/>
      <c r="BL1739" s="122"/>
      <c r="BM1739" s="122"/>
      <c r="BN1739" s="115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26"/>
      <c r="CC1739" s="13"/>
      <c r="CG1739" s="117"/>
      <c r="CH1739" s="116"/>
      <c r="CI1739" s="116"/>
      <c r="CJ1739" s="116"/>
    </row>
    <row r="1740" spans="1:88" ht="19.5" x14ac:dyDescent="0.4"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15"/>
      <c r="BA1740" s="115"/>
      <c r="BB1740" s="115"/>
      <c r="BC1740" s="115"/>
      <c r="BD1740" s="115"/>
      <c r="BE1740" s="115"/>
      <c r="BF1740" s="115"/>
      <c r="BG1740" s="115"/>
      <c r="BH1740" s="115"/>
      <c r="BI1740" s="115"/>
      <c r="BJ1740" s="115"/>
      <c r="BK1740" s="122"/>
      <c r="BL1740" s="122"/>
      <c r="BM1740" s="122"/>
      <c r="BN1740" s="115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26"/>
      <c r="CC1740" s="13"/>
      <c r="CG1740" s="117"/>
      <c r="CH1740" s="116"/>
      <c r="CI1740" s="116"/>
      <c r="CJ1740" s="116"/>
    </row>
    <row r="1741" spans="1:88" ht="19.5" x14ac:dyDescent="0.4"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22"/>
      <c r="BL1741" s="122"/>
      <c r="BM1741" s="122"/>
      <c r="BN1741" s="115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26"/>
      <c r="CC1741" s="13"/>
      <c r="CG1741" s="117"/>
      <c r="CH1741" s="116"/>
      <c r="CI1741" s="116"/>
      <c r="CJ1741" s="116"/>
    </row>
    <row r="1742" spans="1:88" ht="19.5" x14ac:dyDescent="0.4">
      <c r="C1742" s="115"/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22"/>
      <c r="BL1742" s="122"/>
      <c r="BM1742" s="122"/>
      <c r="BN1742" s="115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26"/>
      <c r="CC1742" s="13"/>
      <c r="CG1742" s="117"/>
      <c r="CH1742" s="116"/>
      <c r="CI1742" s="116"/>
      <c r="CJ1742" s="116"/>
    </row>
    <row r="1743" spans="1:88" ht="19.5" x14ac:dyDescent="0.4">
      <c r="C1743" s="115"/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22"/>
      <c r="BL1743" s="122"/>
      <c r="BM1743" s="122"/>
      <c r="BN1743" s="115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26"/>
      <c r="CC1743" s="13"/>
      <c r="CG1743" s="117"/>
      <c r="CH1743" s="116"/>
      <c r="CI1743" s="116"/>
      <c r="CJ1743" s="116"/>
    </row>
    <row r="1744" spans="1:88" ht="19.5" x14ac:dyDescent="0.4">
      <c r="CB1744" s="26"/>
      <c r="CC1744" s="15"/>
      <c r="CG1744" s="117"/>
      <c r="CH1744" s="116"/>
      <c r="CI1744" s="116"/>
      <c r="CJ1744" s="116"/>
    </row>
    <row r="1745" spans="1:88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22"/>
      <c r="BL1745" s="122"/>
      <c r="BM1745" s="122"/>
      <c r="BN1745" s="115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26"/>
      <c r="CC1745" s="15"/>
      <c r="CG1745" s="117"/>
      <c r="CH1745" s="116"/>
      <c r="CI1745" s="116"/>
      <c r="CJ1745" s="116"/>
    </row>
    <row r="1746" spans="1:88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22"/>
      <c r="BL1746" s="122"/>
      <c r="BM1746" s="122"/>
      <c r="BN1746" s="115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7"/>
      <c r="CC1746" s="15"/>
      <c r="CG1746" s="117"/>
      <c r="CH1746" s="116"/>
      <c r="CI1746" s="116"/>
      <c r="CJ1746" s="116"/>
    </row>
    <row r="1747" spans="1:88" ht="19.5" x14ac:dyDescent="0.4">
      <c r="CB1747" s="26"/>
      <c r="CC1747" s="15"/>
      <c r="CG1747" s="117"/>
      <c r="CH1747" s="116"/>
      <c r="CI1747" s="116"/>
      <c r="CJ1747" s="116"/>
    </row>
    <row r="1748" spans="1:88" ht="19.5" x14ac:dyDescent="0.4">
      <c r="CB1748" s="26"/>
      <c r="CC1748" s="13"/>
      <c r="CG1748" s="117"/>
      <c r="CH1748" s="116"/>
      <c r="CI1748" s="116"/>
      <c r="CJ1748" s="116"/>
    </row>
    <row r="1749" spans="1:88" ht="19.5" x14ac:dyDescent="0.4">
      <c r="BH1749" s="115"/>
      <c r="BI1749" s="115"/>
      <c r="BJ1749" s="115"/>
      <c r="BK1749" s="122"/>
      <c r="BL1749" s="122"/>
      <c r="BM1749" s="122"/>
      <c r="BN1749" s="115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26"/>
      <c r="CC1749" s="13"/>
      <c r="CG1749" s="117"/>
      <c r="CH1749" s="116"/>
      <c r="CI1749" s="116"/>
      <c r="CJ1749" s="116"/>
    </row>
    <row r="1750" spans="1:88" ht="19.5" x14ac:dyDescent="0.4"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15"/>
      <c r="BB1750" s="115"/>
      <c r="BC1750" s="115"/>
      <c r="BD1750" s="115"/>
      <c r="BE1750" s="115"/>
      <c r="BF1750" s="115"/>
      <c r="BG1750" s="115"/>
      <c r="BH1750" s="115"/>
      <c r="BI1750" s="115"/>
      <c r="BJ1750" s="115"/>
      <c r="BK1750" s="122"/>
      <c r="BL1750" s="122"/>
      <c r="BM1750" s="122"/>
      <c r="BN1750" s="115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26"/>
      <c r="CC1750" s="13"/>
      <c r="CG1750" s="117"/>
      <c r="CH1750" s="116"/>
      <c r="CI1750" s="116"/>
      <c r="CJ1750" s="116"/>
    </row>
    <row r="1751" spans="1:88" ht="19.5" x14ac:dyDescent="0.4"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15"/>
      <c r="BA1751" s="115"/>
      <c r="BB1751" s="115"/>
      <c r="BC1751" s="115"/>
      <c r="BD1751" s="115"/>
      <c r="BE1751" s="115"/>
      <c r="BF1751" s="115"/>
      <c r="BG1751" s="115"/>
      <c r="BH1751" s="115"/>
      <c r="BI1751" s="115"/>
      <c r="BJ1751" s="115"/>
      <c r="BK1751" s="122"/>
      <c r="BL1751" s="122"/>
      <c r="BM1751" s="122"/>
      <c r="BN1751" s="115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7"/>
      <c r="CC1751" s="13"/>
      <c r="CG1751" s="117"/>
      <c r="CH1751" s="116"/>
      <c r="CI1751" s="116"/>
      <c r="CJ1751" s="116"/>
    </row>
    <row r="1752" spans="1:88" ht="19.5" x14ac:dyDescent="0.4"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15"/>
      <c r="BB1752" s="115"/>
      <c r="BC1752" s="115"/>
      <c r="BD1752" s="115"/>
      <c r="BE1752" s="115"/>
      <c r="BF1752" s="115"/>
      <c r="BG1752" s="115"/>
      <c r="BH1752" s="115"/>
      <c r="BI1752" s="115"/>
      <c r="BJ1752" s="115"/>
      <c r="BK1752" s="122"/>
      <c r="BL1752" s="122"/>
      <c r="BM1752" s="122"/>
      <c r="BN1752" s="115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26"/>
      <c r="CC1752" s="25"/>
      <c r="CG1752" s="117"/>
      <c r="CH1752" s="116"/>
      <c r="CI1752" s="116"/>
      <c r="CJ1752" s="116"/>
    </row>
    <row r="1753" spans="1:88" ht="19.5" x14ac:dyDescent="0.4"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22"/>
      <c r="BL1753" s="122"/>
      <c r="BM1753" s="122"/>
      <c r="BN1753" s="115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7"/>
      <c r="CC1753" s="13"/>
      <c r="CG1753" s="117"/>
      <c r="CH1753" s="116"/>
      <c r="CI1753" s="116"/>
      <c r="CJ1753" s="116"/>
    </row>
    <row r="1754" spans="1:88" ht="19.5" x14ac:dyDescent="0.4"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22"/>
      <c r="BL1754" s="122"/>
      <c r="BM1754" s="122"/>
      <c r="BN1754" s="115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26"/>
      <c r="CC1754" s="13"/>
      <c r="CG1754" s="117"/>
      <c r="CH1754" s="116"/>
      <c r="CI1754" s="116"/>
      <c r="CJ1754" s="116"/>
    </row>
    <row r="1755" spans="1:88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22"/>
      <c r="BL1755" s="122"/>
      <c r="BM1755" s="122"/>
      <c r="BN1755" s="115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26"/>
      <c r="CC1755" s="13"/>
      <c r="CG1755" s="117"/>
      <c r="CH1755" s="116"/>
      <c r="CI1755" s="116"/>
      <c r="CJ1755" s="116"/>
    </row>
    <row r="1756" spans="1:88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22"/>
      <c r="BL1756" s="122"/>
      <c r="BM1756" s="122"/>
      <c r="BN1756" s="115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26"/>
      <c r="CC1756" s="13"/>
      <c r="CG1756" s="117"/>
      <c r="CH1756" s="116"/>
      <c r="CI1756" s="116"/>
      <c r="CJ1756" s="116"/>
    </row>
    <row r="1757" spans="1:88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22"/>
      <c r="BL1757" s="122"/>
      <c r="BM1757" s="122"/>
      <c r="BN1757" s="115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26"/>
      <c r="CC1757" s="13"/>
      <c r="CG1757" s="117"/>
      <c r="CH1757" s="116"/>
      <c r="CI1757" s="116"/>
      <c r="CJ1757" s="116"/>
    </row>
    <row r="1758" spans="1:88" ht="19.5" x14ac:dyDescent="0.4">
      <c r="A1758" s="115"/>
      <c r="B1758" s="115"/>
      <c r="C1758" s="115"/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15"/>
      <c r="AZ1758" s="115"/>
      <c r="BA1758" s="115"/>
      <c r="BB1758" s="115"/>
      <c r="BC1758" s="115"/>
      <c r="BD1758" s="115"/>
      <c r="BE1758" s="115"/>
      <c r="BF1758" s="115"/>
      <c r="BG1758" s="115"/>
      <c r="BH1758" s="115"/>
      <c r="BI1758" s="115"/>
      <c r="BJ1758" s="115"/>
      <c r="BK1758" s="122"/>
      <c r="BL1758" s="122"/>
      <c r="BM1758" s="122"/>
      <c r="BN1758" s="115"/>
      <c r="BO1758" s="115"/>
      <c r="BP1758" s="115"/>
      <c r="BQ1758" s="115"/>
      <c r="BR1758" s="115"/>
      <c r="BS1758" s="115"/>
      <c r="BT1758" s="115"/>
      <c r="BU1758" s="115"/>
      <c r="BV1758" s="115"/>
      <c r="BW1758" s="115"/>
      <c r="BX1758" s="115"/>
      <c r="BY1758" s="115"/>
      <c r="BZ1758" s="115"/>
      <c r="CA1758" s="115"/>
      <c r="CB1758" s="26"/>
      <c r="CC1758" s="13"/>
      <c r="CG1758" s="117"/>
      <c r="CH1758" s="116"/>
      <c r="CI1758" s="116"/>
      <c r="CJ1758" s="116"/>
    </row>
    <row r="1759" spans="1:88" ht="19.5" x14ac:dyDescent="0.4">
      <c r="A1759" s="115"/>
      <c r="B1759" s="115"/>
      <c r="C1759" s="115"/>
      <c r="D1759" s="115"/>
      <c r="E1759" s="115"/>
      <c r="F1759" s="115"/>
      <c r="G1759" s="115"/>
      <c r="H1759" s="115"/>
      <c r="I1759" s="115"/>
      <c r="J1759" s="115"/>
      <c r="K1759" s="115"/>
      <c r="L1759" s="115"/>
      <c r="M1759" s="115"/>
      <c r="N1759" s="115"/>
      <c r="O1759" s="115"/>
      <c r="P1759" s="115"/>
      <c r="Q1759" s="115"/>
      <c r="R1759" s="115"/>
      <c r="S1759" s="115"/>
      <c r="T1759" s="115"/>
      <c r="U1759" s="115"/>
      <c r="V1759" s="115"/>
      <c r="W1759" s="115"/>
      <c r="X1759" s="115"/>
      <c r="Y1759" s="115"/>
      <c r="Z1759" s="115"/>
      <c r="AA1759" s="115"/>
      <c r="AB1759" s="115"/>
      <c r="AC1759" s="115"/>
      <c r="AD1759" s="115"/>
      <c r="AE1759" s="115"/>
      <c r="AF1759" s="115"/>
      <c r="AG1759" s="115"/>
      <c r="AH1759" s="115"/>
      <c r="AI1759" s="115"/>
      <c r="AJ1759" s="115"/>
      <c r="AK1759" s="115"/>
      <c r="AL1759" s="115"/>
      <c r="AM1759" s="115"/>
      <c r="AN1759" s="115"/>
      <c r="AO1759" s="115"/>
      <c r="AP1759" s="115"/>
      <c r="AQ1759" s="115"/>
      <c r="AR1759" s="115"/>
      <c r="AS1759" s="115"/>
      <c r="AT1759" s="115"/>
      <c r="AU1759" s="115"/>
      <c r="AV1759" s="115"/>
      <c r="AW1759" s="115"/>
      <c r="AX1759" s="115"/>
      <c r="AY1759" s="115"/>
      <c r="AZ1759" s="115"/>
      <c r="BA1759" s="115"/>
      <c r="BB1759" s="115"/>
      <c r="BC1759" s="115"/>
      <c r="BD1759" s="115"/>
      <c r="BE1759" s="115"/>
      <c r="BF1759" s="115"/>
      <c r="BG1759" s="115"/>
      <c r="BH1759" s="115"/>
      <c r="BI1759" s="115"/>
      <c r="BJ1759" s="115"/>
      <c r="BK1759" s="122"/>
      <c r="BL1759" s="122"/>
      <c r="BM1759" s="122"/>
      <c r="BN1759" s="115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26"/>
      <c r="CC1759" s="13"/>
      <c r="CG1759" s="117"/>
      <c r="CH1759" s="116"/>
      <c r="CI1759" s="116"/>
      <c r="CJ1759" s="116"/>
    </row>
    <row r="1760" spans="1:88" ht="19.5" x14ac:dyDescent="0.4">
      <c r="A1760" s="115"/>
      <c r="B1760" s="115"/>
      <c r="C1760" s="115"/>
      <c r="D1760" s="115"/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15"/>
      <c r="BA1760" s="115"/>
      <c r="BB1760" s="115"/>
      <c r="BC1760" s="115"/>
      <c r="BD1760" s="115"/>
      <c r="BE1760" s="115"/>
      <c r="BF1760" s="115"/>
      <c r="BG1760" s="115"/>
      <c r="BH1760" s="115"/>
      <c r="BI1760" s="115"/>
      <c r="BJ1760" s="115"/>
      <c r="BK1760" s="122"/>
      <c r="BL1760" s="122"/>
      <c r="BM1760" s="122"/>
      <c r="BN1760" s="115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26"/>
      <c r="CC1760" s="13"/>
      <c r="CG1760" s="117"/>
      <c r="CH1760" s="116"/>
      <c r="CI1760" s="116"/>
      <c r="CJ1760" s="116"/>
    </row>
    <row r="1761" spans="1:88" ht="19.5" x14ac:dyDescent="0.4">
      <c r="A1761" s="115"/>
      <c r="B1761" s="115"/>
      <c r="C1761" s="115"/>
      <c r="D1761" s="115"/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15"/>
      <c r="BA1761" s="115"/>
      <c r="BB1761" s="115"/>
      <c r="BC1761" s="115"/>
      <c r="BD1761" s="115"/>
      <c r="BE1761" s="115"/>
      <c r="BF1761" s="115"/>
      <c r="BG1761" s="115"/>
      <c r="BH1761" s="115"/>
      <c r="BI1761" s="115"/>
      <c r="BJ1761" s="115"/>
      <c r="BK1761" s="122"/>
      <c r="BL1761" s="122"/>
      <c r="BM1761" s="122"/>
      <c r="BN1761" s="115"/>
      <c r="BO1761" s="115"/>
      <c r="BP1761" s="115"/>
      <c r="BQ1761" s="115"/>
      <c r="BR1761" s="115"/>
      <c r="BS1761" s="115"/>
      <c r="BT1761" s="115"/>
      <c r="BU1761" s="115"/>
      <c r="BV1761" s="115"/>
      <c r="BW1761" s="115"/>
      <c r="BX1761" s="115"/>
      <c r="BY1761" s="115"/>
      <c r="BZ1761" s="115"/>
      <c r="CA1761" s="115"/>
      <c r="CB1761" s="26"/>
      <c r="CC1761" s="13"/>
      <c r="CG1761" s="117"/>
      <c r="CH1761" s="116"/>
      <c r="CI1761" s="116"/>
      <c r="CJ1761" s="116"/>
    </row>
    <row r="1762" spans="1:88" ht="19.5" x14ac:dyDescent="0.4">
      <c r="A1762" s="115"/>
      <c r="B1762" s="115"/>
      <c r="C1762" s="115"/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22"/>
      <c r="BL1762" s="122"/>
      <c r="BM1762" s="122"/>
      <c r="BN1762" s="115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26"/>
      <c r="CC1762" s="15"/>
      <c r="CG1762" s="117"/>
      <c r="CH1762" s="116"/>
      <c r="CI1762" s="116"/>
      <c r="CJ1762" s="116"/>
    </row>
    <row r="1763" spans="1:88" ht="19.5" x14ac:dyDescent="0.4">
      <c r="A1763" s="115"/>
      <c r="B1763" s="115"/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22"/>
      <c r="BL1763" s="122"/>
      <c r="BM1763" s="122"/>
      <c r="BN1763" s="115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26"/>
      <c r="CC1763" s="15"/>
      <c r="CG1763" s="117"/>
      <c r="CH1763" s="116"/>
      <c r="CI1763" s="116"/>
      <c r="CJ1763" s="116"/>
    </row>
    <row r="1764" spans="1:88" ht="19.5" x14ac:dyDescent="0.4">
      <c r="A1764" s="115"/>
      <c r="B1764" s="115"/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22"/>
      <c r="BL1764" s="122"/>
      <c r="BM1764" s="122"/>
      <c r="BN1764" s="115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26"/>
      <c r="CC1764" s="15"/>
      <c r="CG1764" s="117"/>
      <c r="CH1764" s="116"/>
      <c r="CI1764" s="116"/>
      <c r="CJ1764" s="116"/>
    </row>
    <row r="1765" spans="1:88" ht="19.5" x14ac:dyDescent="0.4">
      <c r="A1765" s="115"/>
      <c r="B1765" s="115"/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22"/>
      <c r="BL1765" s="122"/>
      <c r="BM1765" s="122"/>
      <c r="BN1765" s="115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26"/>
      <c r="CC1765" s="15"/>
      <c r="CG1765" s="117"/>
      <c r="CH1765" s="116"/>
      <c r="CI1765" s="116"/>
      <c r="CJ1765" s="116"/>
    </row>
    <row r="1766" spans="1:88" ht="19.5" x14ac:dyDescent="0.4">
      <c r="A1766" s="115"/>
      <c r="B1766" s="115"/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22"/>
      <c r="BL1766" s="122"/>
      <c r="BM1766" s="122"/>
      <c r="BN1766" s="115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26"/>
      <c r="CC1766" s="25"/>
      <c r="CG1766" s="117"/>
      <c r="CH1766" s="116"/>
      <c r="CI1766" s="116"/>
      <c r="CJ1766" s="116"/>
    </row>
    <row r="1767" spans="1:88" ht="19.5" x14ac:dyDescent="0.4">
      <c r="CB1767" s="26"/>
      <c r="CC1767" s="15"/>
      <c r="CG1767" s="117"/>
      <c r="CH1767" s="116"/>
      <c r="CI1767" s="116"/>
      <c r="CJ1767" s="116"/>
    </row>
    <row r="1768" spans="1:88" ht="19.5" x14ac:dyDescent="0.4">
      <c r="BJ1768" s="115"/>
      <c r="BK1768" s="122"/>
      <c r="BL1768" s="122"/>
      <c r="BM1768" s="122"/>
      <c r="BN1768" s="115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26"/>
      <c r="CC1768" s="15"/>
      <c r="CG1768" s="117"/>
      <c r="CH1768" s="116"/>
      <c r="CI1768" s="116"/>
      <c r="CJ1768" s="116"/>
    </row>
    <row r="1769" spans="1:88" ht="19.5" x14ac:dyDescent="0.4">
      <c r="BH1769" s="115"/>
      <c r="BI1769" s="115"/>
      <c r="BJ1769" s="115"/>
      <c r="BK1769" s="122"/>
      <c r="BL1769" s="122"/>
      <c r="BM1769" s="122"/>
      <c r="BN1769" s="115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26"/>
      <c r="CC1769" s="15"/>
      <c r="CG1769" s="117"/>
      <c r="CH1769" s="116"/>
      <c r="CI1769" s="116"/>
      <c r="CJ1769" s="116"/>
    </row>
    <row r="1770" spans="1:88" ht="19.5" x14ac:dyDescent="0.4">
      <c r="BH1770" s="115"/>
      <c r="BI1770" s="115"/>
      <c r="BJ1770" s="115"/>
      <c r="BK1770" s="122"/>
      <c r="BL1770" s="122"/>
      <c r="BM1770" s="122"/>
      <c r="BN1770" s="115"/>
      <c r="BO1770" s="115"/>
      <c r="BP1770" s="115"/>
      <c r="BQ1770" s="115"/>
      <c r="BR1770" s="115"/>
      <c r="BS1770" s="115"/>
      <c r="BT1770" s="115"/>
      <c r="BU1770" s="115"/>
      <c r="BV1770" s="115"/>
      <c r="BW1770" s="115"/>
      <c r="BX1770" s="115"/>
      <c r="BY1770" s="115"/>
      <c r="BZ1770" s="115"/>
      <c r="CA1770" s="115"/>
      <c r="CB1770" s="17"/>
      <c r="CC1770" s="15"/>
      <c r="CG1770" s="117"/>
      <c r="CH1770" s="116"/>
      <c r="CI1770" s="116"/>
      <c r="CJ1770" s="116"/>
    </row>
    <row r="1771" spans="1:88" ht="19.5" x14ac:dyDescent="0.4">
      <c r="BE1771" s="115"/>
      <c r="BF1771" s="115"/>
      <c r="BG1771" s="115"/>
      <c r="BH1771" s="115"/>
      <c r="BI1771" s="115"/>
      <c r="BJ1771" s="115"/>
      <c r="BK1771" s="122"/>
      <c r="BL1771" s="122"/>
      <c r="BM1771" s="122"/>
      <c r="BN1771" s="115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26"/>
      <c r="CC1771" s="15"/>
      <c r="CG1771" s="117"/>
      <c r="CH1771" s="116"/>
      <c r="CI1771" s="116"/>
      <c r="CJ1771" s="116"/>
    </row>
    <row r="1772" spans="1:88" ht="19.5" x14ac:dyDescent="0.4">
      <c r="BE1772" s="115"/>
      <c r="BF1772" s="115"/>
      <c r="BG1772" s="115"/>
      <c r="BH1772" s="115"/>
      <c r="BI1772" s="115"/>
      <c r="BJ1772" s="115"/>
      <c r="BK1772" s="122"/>
      <c r="BL1772" s="122"/>
      <c r="BM1772" s="122"/>
      <c r="BN1772" s="115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7"/>
      <c r="CC1772" s="15"/>
      <c r="CG1772" s="117"/>
      <c r="CH1772" s="116"/>
      <c r="CI1772" s="116"/>
      <c r="CJ1772" s="116"/>
    </row>
    <row r="1773" spans="1:88" ht="19.5" x14ac:dyDescent="0.4">
      <c r="BE1773" s="115"/>
      <c r="BF1773" s="115"/>
      <c r="BG1773" s="115"/>
      <c r="BH1773" s="115"/>
      <c r="BI1773" s="115"/>
      <c r="BJ1773" s="115"/>
      <c r="BK1773" s="122"/>
      <c r="BL1773" s="122"/>
      <c r="BM1773" s="122"/>
      <c r="BN1773" s="115"/>
      <c r="BO1773" s="115"/>
      <c r="BP1773" s="115"/>
      <c r="BQ1773" s="115"/>
      <c r="BR1773" s="115"/>
      <c r="BS1773" s="115"/>
      <c r="BT1773" s="115"/>
      <c r="BU1773" s="115"/>
      <c r="BV1773" s="115"/>
      <c r="BW1773" s="115"/>
      <c r="BX1773" s="115"/>
      <c r="BY1773" s="115"/>
      <c r="BZ1773" s="115"/>
      <c r="CA1773" s="115"/>
      <c r="CB1773" s="26"/>
      <c r="CC1773" s="15"/>
      <c r="CG1773" s="117"/>
      <c r="CH1773" s="116"/>
      <c r="CI1773" s="116"/>
      <c r="CJ1773" s="116"/>
    </row>
    <row r="1774" spans="1:88" ht="19.5" x14ac:dyDescent="0.4">
      <c r="BE1774" s="115"/>
      <c r="BF1774" s="115"/>
      <c r="BG1774" s="115"/>
      <c r="BH1774" s="115"/>
      <c r="BI1774" s="115"/>
      <c r="BJ1774" s="115"/>
      <c r="BK1774" s="122"/>
      <c r="BL1774" s="122"/>
      <c r="BM1774" s="122"/>
      <c r="BN1774" s="115"/>
      <c r="BO1774" s="115"/>
      <c r="BP1774" s="115"/>
      <c r="BQ1774" s="115"/>
      <c r="BR1774" s="115"/>
      <c r="BS1774" s="115"/>
      <c r="BT1774" s="115"/>
      <c r="BU1774" s="115"/>
      <c r="BV1774" s="115"/>
      <c r="BW1774" s="115"/>
      <c r="BX1774" s="115"/>
      <c r="BY1774" s="115"/>
      <c r="BZ1774" s="115"/>
      <c r="CA1774" s="115"/>
      <c r="CB1774" s="17"/>
      <c r="CC1774" s="13"/>
      <c r="CG1774" s="117"/>
      <c r="CH1774" s="116"/>
      <c r="CI1774" s="116"/>
      <c r="CJ1774" s="116"/>
    </row>
    <row r="1775" spans="1:88" ht="19.5" x14ac:dyDescent="0.4">
      <c r="BE1775" s="115"/>
      <c r="BF1775" s="115"/>
      <c r="BG1775" s="115"/>
      <c r="BH1775" s="115"/>
      <c r="BI1775" s="115"/>
      <c r="BJ1775" s="115"/>
      <c r="BK1775" s="122"/>
      <c r="BL1775" s="122"/>
      <c r="BM1775" s="122"/>
      <c r="BN1775" s="115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7"/>
      <c r="CC1775" s="13"/>
      <c r="CG1775" s="117"/>
      <c r="CH1775" s="116"/>
      <c r="CI1775" s="116"/>
      <c r="CJ1775" s="116"/>
    </row>
    <row r="1776" spans="1:88" ht="19.5" x14ac:dyDescent="0.4">
      <c r="CB1776" s="26"/>
      <c r="CC1776" s="13"/>
      <c r="CG1776" s="117"/>
      <c r="CH1776" s="116"/>
      <c r="CI1776" s="116"/>
      <c r="CJ1776" s="116"/>
    </row>
    <row r="1777" spans="1:88" ht="19.5" x14ac:dyDescent="0.4">
      <c r="BJ1777" s="115"/>
      <c r="BK1777" s="122"/>
      <c r="BL1777" s="122"/>
      <c r="BM1777" s="122"/>
      <c r="BN1777" s="115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7"/>
      <c r="CC1777" s="13"/>
      <c r="CG1777" s="117"/>
      <c r="CH1777" s="116"/>
      <c r="CI1777" s="116"/>
      <c r="CJ1777" s="116"/>
    </row>
    <row r="1778" spans="1:88" ht="19.5" x14ac:dyDescent="0.4">
      <c r="A1778" s="115"/>
      <c r="B1778" s="115"/>
      <c r="C1778" s="115"/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22"/>
      <c r="BL1778" s="122"/>
      <c r="BM1778" s="122"/>
      <c r="BN1778" s="115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26"/>
      <c r="CC1778" s="13"/>
      <c r="CG1778" s="117"/>
      <c r="CH1778" s="116"/>
      <c r="CI1778" s="116"/>
      <c r="CJ1778" s="116"/>
    </row>
    <row r="1779" spans="1:88" ht="19.5" x14ac:dyDescent="0.4">
      <c r="A1779" s="115"/>
      <c r="B1779" s="115"/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22"/>
      <c r="BL1779" s="122"/>
      <c r="BM1779" s="122"/>
      <c r="BN1779" s="115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26"/>
      <c r="CC1779" s="13"/>
      <c r="CG1779" s="117"/>
      <c r="CH1779" s="116"/>
      <c r="CI1779" s="116"/>
      <c r="CJ1779" s="116"/>
    </row>
    <row r="1780" spans="1:88" ht="19.5" x14ac:dyDescent="0.4">
      <c r="A1780" s="115"/>
      <c r="B1780" s="115"/>
      <c r="C1780" s="115"/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22"/>
      <c r="BL1780" s="122"/>
      <c r="BM1780" s="122"/>
      <c r="BN1780" s="115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26"/>
      <c r="CC1780" s="13"/>
      <c r="CG1780" s="117"/>
      <c r="CH1780" s="116"/>
      <c r="CI1780" s="116"/>
      <c r="CJ1780" s="116"/>
    </row>
    <row r="1781" spans="1:88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22"/>
      <c r="BL1781" s="122"/>
      <c r="BM1781" s="122"/>
      <c r="BN1781" s="115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26"/>
      <c r="CC1781" s="13"/>
      <c r="CG1781" s="117"/>
      <c r="CH1781" s="116"/>
      <c r="CI1781" s="116"/>
      <c r="CJ1781" s="116"/>
    </row>
    <row r="1782" spans="1:88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22"/>
      <c r="BL1782" s="122"/>
      <c r="BM1782" s="122"/>
      <c r="BN1782" s="115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7"/>
      <c r="CC1782" s="13"/>
      <c r="CG1782" s="117"/>
      <c r="CH1782" s="116"/>
      <c r="CI1782" s="116"/>
      <c r="CJ1782" s="116"/>
    </row>
    <row r="1783" spans="1:88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22"/>
      <c r="BL1783" s="122"/>
      <c r="BM1783" s="122"/>
      <c r="BN1783" s="115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26"/>
      <c r="CC1783" s="13"/>
      <c r="CG1783" s="117"/>
      <c r="CH1783" s="116"/>
      <c r="CI1783" s="116"/>
      <c r="CJ1783" s="116"/>
    </row>
    <row r="1784" spans="1:88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22"/>
      <c r="BL1784" s="122"/>
      <c r="BM1784" s="122"/>
      <c r="BN1784" s="115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26"/>
      <c r="CC1784" s="15"/>
      <c r="CG1784" s="117"/>
      <c r="CH1784" s="116"/>
      <c r="CI1784" s="116"/>
      <c r="CJ1784" s="116"/>
    </row>
    <row r="1785" spans="1:88" ht="19.5" x14ac:dyDescent="0.4">
      <c r="CB1785" s="26"/>
      <c r="CC1785" s="15"/>
      <c r="CG1785" s="117"/>
      <c r="CH1785" s="116"/>
      <c r="CI1785" s="116"/>
      <c r="CJ1785" s="116"/>
    </row>
    <row r="1786" spans="1:88" ht="19.5" x14ac:dyDescent="0.4">
      <c r="BI1786" s="115"/>
      <c r="BJ1786" s="115"/>
      <c r="BK1786" s="122"/>
      <c r="BL1786" s="122"/>
      <c r="BM1786" s="122"/>
      <c r="BN1786" s="115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26"/>
      <c r="CC1786" s="13"/>
      <c r="CG1786" s="117"/>
      <c r="CH1786" s="116"/>
      <c r="CI1786" s="116"/>
      <c r="CJ1786" s="116"/>
    </row>
    <row r="1787" spans="1:88" ht="19.5" x14ac:dyDescent="0.4">
      <c r="BG1787" s="115"/>
      <c r="BH1787" s="115"/>
      <c r="BI1787" s="115"/>
      <c r="BJ1787" s="115"/>
      <c r="BK1787" s="122"/>
      <c r="BL1787" s="122"/>
      <c r="BM1787" s="122"/>
      <c r="BN1787" s="115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26"/>
      <c r="CC1787" s="15"/>
      <c r="CG1787" s="117"/>
      <c r="CH1787" s="116"/>
      <c r="CI1787" s="116"/>
      <c r="CJ1787" s="116"/>
    </row>
    <row r="1788" spans="1:88" ht="19.5" x14ac:dyDescent="0.4">
      <c r="BG1788" s="115"/>
      <c r="BH1788" s="115"/>
      <c r="BI1788" s="115"/>
      <c r="BJ1788" s="115"/>
      <c r="BK1788" s="122"/>
      <c r="BL1788" s="122"/>
      <c r="BM1788" s="122"/>
      <c r="BN1788" s="115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26"/>
      <c r="CC1788" s="15"/>
      <c r="CG1788" s="117"/>
      <c r="CH1788" s="116"/>
      <c r="CI1788" s="116"/>
      <c r="CJ1788" s="116"/>
    </row>
    <row r="1789" spans="1:88" ht="19.5" x14ac:dyDescent="0.4">
      <c r="BG1789" s="115"/>
      <c r="BH1789" s="115"/>
      <c r="BI1789" s="115"/>
      <c r="BJ1789" s="115"/>
      <c r="BK1789" s="122"/>
      <c r="BL1789" s="122"/>
      <c r="BM1789" s="122"/>
      <c r="BN1789" s="115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7"/>
      <c r="CC1789" s="15"/>
      <c r="CG1789" s="117"/>
      <c r="CH1789" s="116"/>
      <c r="CI1789" s="116"/>
      <c r="CJ1789" s="116"/>
    </row>
    <row r="1790" spans="1:88" ht="19.5" x14ac:dyDescent="0.4">
      <c r="BF1790" s="115"/>
      <c r="BG1790" s="115"/>
      <c r="BH1790" s="115"/>
      <c r="BI1790" s="115"/>
      <c r="BJ1790" s="115"/>
      <c r="BK1790" s="122"/>
      <c r="BL1790" s="122"/>
      <c r="BM1790" s="122"/>
      <c r="BN1790" s="115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26"/>
      <c r="CC1790" s="15"/>
      <c r="CG1790" s="117"/>
      <c r="CH1790" s="116"/>
      <c r="CI1790" s="116"/>
      <c r="CJ1790" s="116"/>
    </row>
    <row r="1791" spans="1:88" ht="19.5" x14ac:dyDescent="0.4">
      <c r="BF1791" s="115"/>
      <c r="BG1791" s="115"/>
      <c r="BH1791" s="115"/>
      <c r="BI1791" s="115"/>
      <c r="BJ1791" s="115"/>
      <c r="BK1791" s="122"/>
      <c r="BL1791" s="122"/>
      <c r="BM1791" s="122"/>
      <c r="BN1791" s="115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26"/>
      <c r="CC1791" s="15"/>
      <c r="CG1791" s="117"/>
      <c r="CH1791" s="116"/>
      <c r="CI1791" s="116"/>
      <c r="CJ1791" s="116"/>
    </row>
    <row r="1792" spans="1:88" ht="19.5" x14ac:dyDescent="0.4">
      <c r="BF1792" s="115"/>
      <c r="BG1792" s="115"/>
      <c r="BH1792" s="115"/>
      <c r="BI1792" s="115"/>
      <c r="BJ1792" s="115"/>
      <c r="BK1792" s="122"/>
      <c r="BL1792" s="122"/>
      <c r="BM1792" s="122"/>
      <c r="BN1792" s="115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26"/>
      <c r="CC1792" s="105"/>
      <c r="CG1792" s="117"/>
      <c r="CH1792" s="116"/>
      <c r="CI1792" s="116"/>
      <c r="CJ1792" s="116"/>
    </row>
    <row r="1793" spans="1:88" ht="19.5" x14ac:dyDescent="0.4">
      <c r="BF1793" s="115"/>
      <c r="BG1793" s="115"/>
      <c r="BH1793" s="115"/>
      <c r="BI1793" s="115"/>
      <c r="BJ1793" s="115"/>
      <c r="BK1793" s="122"/>
      <c r="BL1793" s="122"/>
      <c r="BM1793" s="122"/>
      <c r="BN1793" s="115"/>
      <c r="BO1793" s="115"/>
      <c r="BP1793" s="115"/>
      <c r="BQ1793" s="115"/>
      <c r="BR1793" s="115"/>
      <c r="BS1793" s="115"/>
      <c r="BT1793" s="115"/>
      <c r="BU1793" s="115"/>
      <c r="BV1793" s="115"/>
      <c r="BW1793" s="115"/>
      <c r="BX1793" s="115"/>
      <c r="BY1793" s="115"/>
      <c r="BZ1793" s="115"/>
      <c r="CA1793" s="115"/>
      <c r="CB1793" s="17"/>
      <c r="CC1793" s="15"/>
      <c r="CG1793" s="117"/>
      <c r="CH1793" s="116"/>
      <c r="CI1793" s="116"/>
      <c r="CJ1793" s="116"/>
    </row>
    <row r="1794" spans="1:88" ht="19.5" x14ac:dyDescent="0.4">
      <c r="BF1794" s="115"/>
      <c r="BG1794" s="115"/>
      <c r="BH1794" s="115"/>
      <c r="BI1794" s="115"/>
      <c r="BJ1794" s="115"/>
      <c r="BK1794" s="122"/>
      <c r="BL1794" s="122"/>
      <c r="BM1794" s="122"/>
      <c r="BN1794" s="115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26"/>
      <c r="CC1794" s="15"/>
      <c r="CG1794" s="117"/>
      <c r="CH1794" s="116"/>
      <c r="CI1794" s="116"/>
      <c r="CJ1794" s="116"/>
    </row>
    <row r="1795" spans="1:88" ht="19.5" x14ac:dyDescent="0.4">
      <c r="BF1795" s="115"/>
      <c r="BG1795" s="115"/>
      <c r="BH1795" s="115"/>
      <c r="BI1795" s="115"/>
      <c r="BJ1795" s="115"/>
      <c r="BK1795" s="122"/>
      <c r="BL1795" s="122"/>
      <c r="BM1795" s="122"/>
      <c r="BN1795" s="115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7"/>
      <c r="CC1795" s="15"/>
      <c r="CG1795" s="117"/>
      <c r="CH1795" s="116"/>
      <c r="CI1795" s="116"/>
      <c r="CJ1795" s="116"/>
    </row>
    <row r="1796" spans="1:88" ht="19.5" x14ac:dyDescent="0.4"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15"/>
      <c r="BA1796" s="115"/>
      <c r="BB1796" s="115"/>
      <c r="BC1796" s="115"/>
      <c r="BD1796" s="115"/>
      <c r="BE1796" s="115"/>
      <c r="BF1796" s="115"/>
      <c r="BG1796" s="115"/>
      <c r="BH1796" s="115"/>
      <c r="BI1796" s="115"/>
      <c r="BJ1796" s="115"/>
      <c r="BK1796" s="122"/>
      <c r="BL1796" s="122"/>
      <c r="BM1796" s="122"/>
      <c r="BN1796" s="115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26"/>
      <c r="CC1796" s="15"/>
      <c r="CG1796" s="117"/>
      <c r="CH1796" s="116"/>
      <c r="CI1796" s="116"/>
      <c r="CJ1796" s="116"/>
    </row>
    <row r="1797" spans="1:88" ht="19.5" x14ac:dyDescent="0.4"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15"/>
      <c r="BA1797" s="115"/>
      <c r="BB1797" s="115"/>
      <c r="BC1797" s="115"/>
      <c r="BD1797" s="115"/>
      <c r="BE1797" s="115"/>
      <c r="BF1797" s="115"/>
      <c r="BG1797" s="115"/>
      <c r="BH1797" s="115"/>
      <c r="BI1797" s="115"/>
      <c r="BJ1797" s="115"/>
      <c r="BK1797" s="122"/>
      <c r="BL1797" s="122"/>
      <c r="BM1797" s="122"/>
      <c r="BN1797" s="115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7"/>
      <c r="CC1797" s="15"/>
      <c r="CG1797" s="117"/>
      <c r="CH1797" s="116"/>
      <c r="CI1797" s="116"/>
      <c r="CJ1797" s="116"/>
    </row>
    <row r="1798" spans="1:88" ht="19.5" x14ac:dyDescent="0.4">
      <c r="E1798" s="115"/>
      <c r="F1798" s="115"/>
      <c r="G1798" s="115"/>
      <c r="H1798" s="115"/>
      <c r="I1798" s="115"/>
      <c r="J1798" s="115"/>
      <c r="K1798" s="115"/>
      <c r="L1798" s="115"/>
      <c r="M1798" s="115"/>
      <c r="N1798" s="115"/>
      <c r="O1798" s="115"/>
      <c r="P1798" s="115"/>
      <c r="Q1798" s="115"/>
      <c r="R1798" s="115"/>
      <c r="S1798" s="115"/>
      <c r="T1798" s="115"/>
      <c r="U1798" s="115"/>
      <c r="V1798" s="115"/>
      <c r="W1798" s="115"/>
      <c r="X1798" s="115"/>
      <c r="Y1798" s="115"/>
      <c r="Z1798" s="115"/>
      <c r="AA1798" s="115"/>
      <c r="AB1798" s="115"/>
      <c r="AC1798" s="115"/>
      <c r="AD1798" s="115"/>
      <c r="AE1798" s="115"/>
      <c r="AF1798" s="115"/>
      <c r="AG1798" s="115"/>
      <c r="AH1798" s="115"/>
      <c r="AI1798" s="115"/>
      <c r="AJ1798" s="115"/>
      <c r="AK1798" s="115"/>
      <c r="AL1798" s="115"/>
      <c r="AM1798" s="115"/>
      <c r="AN1798" s="115"/>
      <c r="AO1798" s="115"/>
      <c r="AP1798" s="115"/>
      <c r="AQ1798" s="115"/>
      <c r="AR1798" s="115"/>
      <c r="AS1798" s="115"/>
      <c r="AT1798" s="115"/>
      <c r="AU1798" s="115"/>
      <c r="AV1798" s="115"/>
      <c r="AW1798" s="115"/>
      <c r="AX1798" s="115"/>
      <c r="AY1798" s="115"/>
      <c r="AZ1798" s="115"/>
      <c r="BA1798" s="115"/>
      <c r="BB1798" s="115"/>
      <c r="BC1798" s="115"/>
      <c r="BD1798" s="115"/>
      <c r="BE1798" s="115"/>
      <c r="BF1798" s="115"/>
      <c r="BG1798" s="115"/>
      <c r="BH1798" s="115"/>
      <c r="BI1798" s="115"/>
      <c r="BJ1798" s="115"/>
      <c r="BK1798" s="122"/>
      <c r="BL1798" s="122"/>
      <c r="BM1798" s="122"/>
      <c r="BN1798" s="115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26"/>
      <c r="CC1798" s="15"/>
      <c r="CG1798" s="117"/>
      <c r="CH1798" s="116"/>
      <c r="CI1798" s="116"/>
      <c r="CJ1798" s="116"/>
    </row>
    <row r="1799" spans="1:88" ht="19.5" x14ac:dyDescent="0.4">
      <c r="E1799" s="115"/>
      <c r="F1799" s="115"/>
      <c r="G1799" s="115"/>
      <c r="H1799" s="115"/>
      <c r="I1799" s="115"/>
      <c r="J1799" s="115"/>
      <c r="K1799" s="115"/>
      <c r="L1799" s="115"/>
      <c r="M1799" s="115"/>
      <c r="N1799" s="115"/>
      <c r="O1799" s="115"/>
      <c r="P1799" s="115"/>
      <c r="Q1799" s="115"/>
      <c r="R1799" s="115"/>
      <c r="S1799" s="115"/>
      <c r="T1799" s="115"/>
      <c r="U1799" s="115"/>
      <c r="V1799" s="115"/>
      <c r="W1799" s="115"/>
      <c r="X1799" s="115"/>
      <c r="Y1799" s="115"/>
      <c r="Z1799" s="115"/>
      <c r="AA1799" s="115"/>
      <c r="AB1799" s="115"/>
      <c r="AC1799" s="115"/>
      <c r="AD1799" s="115"/>
      <c r="AE1799" s="115"/>
      <c r="AF1799" s="115"/>
      <c r="AG1799" s="115"/>
      <c r="AH1799" s="115"/>
      <c r="AI1799" s="115"/>
      <c r="AJ1799" s="115"/>
      <c r="AK1799" s="115"/>
      <c r="AL1799" s="115"/>
      <c r="AM1799" s="115"/>
      <c r="AN1799" s="115"/>
      <c r="AO1799" s="115"/>
      <c r="AP1799" s="115"/>
      <c r="AQ1799" s="115"/>
      <c r="AR1799" s="115"/>
      <c r="AS1799" s="115"/>
      <c r="AT1799" s="115"/>
      <c r="AU1799" s="115"/>
      <c r="AV1799" s="115"/>
      <c r="AW1799" s="115"/>
      <c r="AX1799" s="115"/>
      <c r="AY1799" s="115"/>
      <c r="AZ1799" s="115"/>
      <c r="BA1799" s="115"/>
      <c r="BB1799" s="115"/>
      <c r="BC1799" s="115"/>
      <c r="BD1799" s="115"/>
      <c r="BE1799" s="115"/>
      <c r="BF1799" s="115"/>
      <c r="BG1799" s="115"/>
      <c r="BH1799" s="115"/>
      <c r="BI1799" s="115"/>
      <c r="BJ1799" s="115"/>
      <c r="BK1799" s="122"/>
      <c r="BL1799" s="122"/>
      <c r="BM1799" s="122"/>
      <c r="BN1799" s="115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7"/>
      <c r="CC1799" s="15"/>
      <c r="CG1799" s="117"/>
      <c r="CH1799" s="116"/>
      <c r="CI1799" s="116"/>
      <c r="CJ1799" s="116"/>
    </row>
    <row r="1800" spans="1:88" ht="19.5" x14ac:dyDescent="0.4">
      <c r="A1800" s="115"/>
      <c r="B1800" s="115"/>
      <c r="C1800" s="115"/>
      <c r="D1800" s="115"/>
      <c r="E1800" s="115"/>
      <c r="F1800" s="115"/>
      <c r="G1800" s="115"/>
      <c r="H1800" s="115"/>
      <c r="I1800" s="115"/>
      <c r="J1800" s="115"/>
      <c r="K1800" s="115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  <c r="AI1800" s="115"/>
      <c r="AJ1800" s="115"/>
      <c r="AK1800" s="115"/>
      <c r="AL1800" s="115"/>
      <c r="AM1800" s="115"/>
      <c r="AN1800" s="115"/>
      <c r="AO1800" s="115"/>
      <c r="AP1800" s="115"/>
      <c r="AQ1800" s="115"/>
      <c r="AR1800" s="115"/>
      <c r="AS1800" s="115"/>
      <c r="AT1800" s="115"/>
      <c r="AU1800" s="115"/>
      <c r="AV1800" s="115"/>
      <c r="AW1800" s="115"/>
      <c r="AX1800" s="115"/>
      <c r="AY1800" s="115"/>
      <c r="AZ1800" s="115"/>
      <c r="BA1800" s="115"/>
      <c r="BB1800" s="115"/>
      <c r="BC1800" s="115"/>
      <c r="BD1800" s="115"/>
      <c r="BE1800" s="115"/>
      <c r="BF1800" s="115"/>
      <c r="BG1800" s="115"/>
      <c r="BH1800" s="115"/>
      <c r="BI1800" s="115"/>
      <c r="BJ1800" s="115"/>
      <c r="BK1800" s="122"/>
      <c r="BL1800" s="122"/>
      <c r="BM1800" s="122"/>
      <c r="BN1800" s="115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26"/>
      <c r="CC1800" s="15"/>
      <c r="CG1800" s="117"/>
      <c r="CH1800" s="116"/>
      <c r="CI1800" s="116"/>
      <c r="CJ1800" s="116"/>
    </row>
    <row r="1801" spans="1:88" ht="19.5" x14ac:dyDescent="0.4">
      <c r="A1801" s="115"/>
      <c r="B1801" s="115"/>
      <c r="C1801" s="115"/>
      <c r="D1801" s="115"/>
      <c r="E1801" s="115"/>
      <c r="F1801" s="115"/>
      <c r="G1801" s="115"/>
      <c r="H1801" s="115"/>
      <c r="I1801" s="115"/>
      <c r="J1801" s="115"/>
      <c r="K1801" s="115"/>
      <c r="L1801" s="115"/>
      <c r="M1801" s="115"/>
      <c r="N1801" s="115"/>
      <c r="O1801" s="115"/>
      <c r="P1801" s="115"/>
      <c r="Q1801" s="115"/>
      <c r="R1801" s="115"/>
      <c r="S1801" s="115"/>
      <c r="T1801" s="115"/>
      <c r="U1801" s="115"/>
      <c r="V1801" s="115"/>
      <c r="W1801" s="115"/>
      <c r="X1801" s="115"/>
      <c r="Y1801" s="115"/>
      <c r="Z1801" s="115"/>
      <c r="AA1801" s="115"/>
      <c r="AB1801" s="115"/>
      <c r="AC1801" s="115"/>
      <c r="AD1801" s="115"/>
      <c r="AE1801" s="115"/>
      <c r="AF1801" s="115"/>
      <c r="AG1801" s="115"/>
      <c r="AH1801" s="115"/>
      <c r="AI1801" s="115"/>
      <c r="AJ1801" s="115"/>
      <c r="AK1801" s="115"/>
      <c r="AL1801" s="115"/>
      <c r="AM1801" s="115"/>
      <c r="AN1801" s="115"/>
      <c r="AO1801" s="115"/>
      <c r="AP1801" s="115"/>
      <c r="AQ1801" s="115"/>
      <c r="AR1801" s="115"/>
      <c r="AS1801" s="115"/>
      <c r="AT1801" s="115"/>
      <c r="AU1801" s="115"/>
      <c r="AV1801" s="115"/>
      <c r="AW1801" s="115"/>
      <c r="AX1801" s="115"/>
      <c r="AY1801" s="115"/>
      <c r="AZ1801" s="115"/>
      <c r="BA1801" s="115"/>
      <c r="BB1801" s="115"/>
      <c r="BC1801" s="115"/>
      <c r="BD1801" s="115"/>
      <c r="BE1801" s="115"/>
      <c r="BF1801" s="115"/>
      <c r="BG1801" s="115"/>
      <c r="BH1801" s="115"/>
      <c r="BI1801" s="115"/>
      <c r="BJ1801" s="115"/>
      <c r="BK1801" s="122"/>
      <c r="BL1801" s="122"/>
      <c r="BM1801" s="122"/>
      <c r="BN1801" s="115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26"/>
      <c r="CC1801" s="15"/>
      <c r="CG1801" s="117"/>
      <c r="CH1801" s="116"/>
      <c r="CI1801" s="116"/>
      <c r="CJ1801" s="116"/>
    </row>
    <row r="1802" spans="1:88" ht="19.5" x14ac:dyDescent="0.4">
      <c r="A1802" s="115"/>
      <c r="B1802" s="115"/>
      <c r="C1802" s="115"/>
      <c r="D1802" s="115"/>
      <c r="E1802" s="115"/>
      <c r="F1802" s="115"/>
      <c r="G1802" s="115"/>
      <c r="H1802" s="115"/>
      <c r="I1802" s="115"/>
      <c r="J1802" s="115"/>
      <c r="K1802" s="115"/>
      <c r="L1802" s="115"/>
      <c r="M1802" s="115"/>
      <c r="N1802" s="115"/>
      <c r="O1802" s="115"/>
      <c r="P1802" s="115"/>
      <c r="Q1802" s="115"/>
      <c r="R1802" s="115"/>
      <c r="S1802" s="115"/>
      <c r="T1802" s="115"/>
      <c r="U1802" s="115"/>
      <c r="V1802" s="115"/>
      <c r="W1802" s="115"/>
      <c r="X1802" s="115"/>
      <c r="Y1802" s="115"/>
      <c r="Z1802" s="115"/>
      <c r="AA1802" s="115"/>
      <c r="AB1802" s="115"/>
      <c r="AC1802" s="115"/>
      <c r="AD1802" s="115"/>
      <c r="AE1802" s="115"/>
      <c r="AF1802" s="115"/>
      <c r="AG1802" s="115"/>
      <c r="AH1802" s="115"/>
      <c r="AI1802" s="115"/>
      <c r="AJ1802" s="115"/>
      <c r="AK1802" s="115"/>
      <c r="AL1802" s="115"/>
      <c r="AM1802" s="115"/>
      <c r="AN1802" s="115"/>
      <c r="AO1802" s="115"/>
      <c r="AP1802" s="115"/>
      <c r="AQ1802" s="115"/>
      <c r="AR1802" s="115"/>
      <c r="AS1802" s="115"/>
      <c r="AT1802" s="115"/>
      <c r="AU1802" s="115"/>
      <c r="AV1802" s="115"/>
      <c r="AW1802" s="115"/>
      <c r="AX1802" s="115"/>
      <c r="AY1802" s="115"/>
      <c r="AZ1802" s="115"/>
      <c r="BA1802" s="115"/>
      <c r="BB1802" s="115"/>
      <c r="BC1802" s="115"/>
      <c r="BD1802" s="115"/>
      <c r="BE1802" s="115"/>
      <c r="BF1802" s="115"/>
      <c r="BG1802" s="115"/>
      <c r="BH1802" s="115"/>
      <c r="BI1802" s="115"/>
      <c r="BJ1802" s="115"/>
      <c r="BK1802" s="122"/>
      <c r="BL1802" s="122"/>
      <c r="BM1802" s="122"/>
      <c r="BN1802" s="115"/>
      <c r="BO1802" s="115"/>
      <c r="BP1802" s="115"/>
      <c r="BQ1802" s="115"/>
      <c r="BR1802" s="115"/>
      <c r="BS1802" s="115"/>
      <c r="BT1802" s="115"/>
      <c r="BU1802" s="115"/>
      <c r="BV1802" s="115"/>
      <c r="BW1802" s="115"/>
      <c r="BX1802" s="115"/>
      <c r="BY1802" s="115"/>
      <c r="BZ1802" s="115"/>
      <c r="CA1802" s="115"/>
      <c r="CB1802" s="26"/>
      <c r="CC1802" s="15"/>
      <c r="CG1802" s="117"/>
      <c r="CH1802" s="116"/>
      <c r="CI1802" s="116"/>
      <c r="CJ1802" s="116"/>
    </row>
    <row r="1803" spans="1:88" ht="19.5" x14ac:dyDescent="0.4">
      <c r="A1803" s="115"/>
      <c r="B1803" s="115"/>
      <c r="C1803" s="115"/>
      <c r="D1803" s="115"/>
      <c r="E1803" s="115"/>
      <c r="F1803" s="115"/>
      <c r="G1803" s="115"/>
      <c r="H1803" s="115"/>
      <c r="I1803" s="115"/>
      <c r="J1803" s="115"/>
      <c r="K1803" s="115"/>
      <c r="L1803" s="115"/>
      <c r="M1803" s="115"/>
      <c r="N1803" s="115"/>
      <c r="O1803" s="115"/>
      <c r="P1803" s="115"/>
      <c r="Q1803" s="115"/>
      <c r="R1803" s="115"/>
      <c r="S1803" s="115"/>
      <c r="T1803" s="115"/>
      <c r="U1803" s="115"/>
      <c r="V1803" s="115"/>
      <c r="W1803" s="115"/>
      <c r="X1803" s="115"/>
      <c r="Y1803" s="115"/>
      <c r="Z1803" s="115"/>
      <c r="AA1803" s="115"/>
      <c r="AB1803" s="115"/>
      <c r="AC1803" s="115"/>
      <c r="AD1803" s="115"/>
      <c r="AE1803" s="115"/>
      <c r="AF1803" s="115"/>
      <c r="AG1803" s="115"/>
      <c r="AH1803" s="115"/>
      <c r="AI1803" s="115"/>
      <c r="AJ1803" s="115"/>
      <c r="AK1803" s="115"/>
      <c r="AL1803" s="115"/>
      <c r="AM1803" s="115"/>
      <c r="AN1803" s="115"/>
      <c r="AO1803" s="115"/>
      <c r="AP1803" s="115"/>
      <c r="AQ1803" s="115"/>
      <c r="AR1803" s="115"/>
      <c r="AS1803" s="115"/>
      <c r="AT1803" s="115"/>
      <c r="AU1803" s="115"/>
      <c r="AV1803" s="115"/>
      <c r="AW1803" s="115"/>
      <c r="AX1803" s="115"/>
      <c r="AY1803" s="115"/>
      <c r="AZ1803" s="115"/>
      <c r="BA1803" s="115"/>
      <c r="BB1803" s="115"/>
      <c r="BC1803" s="115"/>
      <c r="BD1803" s="115"/>
      <c r="BE1803" s="115"/>
      <c r="BF1803" s="115"/>
      <c r="BG1803" s="115"/>
      <c r="BH1803" s="115"/>
      <c r="BI1803" s="115"/>
      <c r="BJ1803" s="115"/>
      <c r="BK1803" s="122"/>
      <c r="BL1803" s="122"/>
      <c r="BM1803" s="122"/>
      <c r="BN1803" s="115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26"/>
      <c r="CC1803" s="15"/>
      <c r="CG1803" s="117"/>
      <c r="CH1803" s="116"/>
      <c r="CI1803" s="116"/>
      <c r="CJ1803" s="116"/>
    </row>
    <row r="1804" spans="1:88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22"/>
      <c r="BL1804" s="122"/>
      <c r="BM1804" s="122"/>
      <c r="BN1804" s="115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26"/>
      <c r="CC1804" s="15"/>
      <c r="CG1804" s="117"/>
      <c r="CH1804" s="116"/>
      <c r="CI1804" s="116"/>
      <c r="CJ1804" s="116"/>
    </row>
    <row r="1805" spans="1:88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22"/>
      <c r="BL1805" s="122"/>
      <c r="BM1805" s="122"/>
      <c r="BN1805" s="115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26"/>
      <c r="CC1805" s="15"/>
      <c r="CG1805" s="117"/>
      <c r="CH1805" s="116"/>
      <c r="CI1805" s="116"/>
      <c r="CJ1805" s="116"/>
    </row>
    <row r="1806" spans="1:88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22"/>
      <c r="BL1806" s="122"/>
      <c r="BM1806" s="122"/>
      <c r="BN1806" s="115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7"/>
      <c r="CC1806" s="15"/>
      <c r="CG1806" s="117"/>
      <c r="CH1806" s="116"/>
      <c r="CI1806" s="116"/>
      <c r="CJ1806" s="116"/>
    </row>
    <row r="1807" spans="1:88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22"/>
      <c r="BL1807" s="122"/>
      <c r="BM1807" s="122"/>
      <c r="BN1807" s="115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26"/>
      <c r="CC1807" s="15"/>
      <c r="CG1807" s="117"/>
      <c r="CH1807" s="116"/>
      <c r="CI1807" s="116"/>
      <c r="CJ1807" s="116"/>
    </row>
    <row r="1808" spans="1:88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22"/>
      <c r="BL1808" s="122"/>
      <c r="BM1808" s="122"/>
      <c r="BN1808" s="115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7"/>
      <c r="CC1808" s="15"/>
      <c r="CG1808" s="117"/>
      <c r="CH1808" s="116"/>
      <c r="CI1808" s="116"/>
      <c r="CJ1808" s="116"/>
    </row>
    <row r="1809" spans="1:88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22"/>
      <c r="BL1809" s="122"/>
      <c r="BM1809" s="122"/>
      <c r="BN1809" s="115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26"/>
      <c r="CC1809" s="15"/>
      <c r="CG1809" s="117"/>
      <c r="CH1809" s="116"/>
      <c r="CI1809" s="116"/>
      <c r="CJ1809" s="116"/>
    </row>
    <row r="1810" spans="1:88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22"/>
      <c r="BL1810" s="122"/>
      <c r="BM1810" s="122"/>
      <c r="BN1810" s="115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20"/>
      <c r="CC1810" s="15"/>
      <c r="CG1810" s="117"/>
      <c r="CH1810" s="116"/>
      <c r="CI1810" s="116"/>
      <c r="CJ1810" s="116"/>
    </row>
    <row r="1811" spans="1:88" ht="19.5" x14ac:dyDescent="0.4">
      <c r="A1811" s="115"/>
      <c r="B1811" s="115"/>
      <c r="C1811" s="115"/>
      <c r="D1811" s="115"/>
      <c r="E1811" s="115"/>
      <c r="F1811" s="115"/>
      <c r="G1811" s="115"/>
      <c r="H1811" s="115"/>
      <c r="I1811" s="115"/>
      <c r="J1811" s="115"/>
      <c r="K1811" s="115"/>
      <c r="L1811" s="115"/>
      <c r="M1811" s="115"/>
      <c r="N1811" s="115"/>
      <c r="O1811" s="115"/>
      <c r="P1811" s="115"/>
      <c r="Q1811" s="115"/>
      <c r="R1811" s="115"/>
      <c r="S1811" s="115"/>
      <c r="T1811" s="115"/>
      <c r="U1811" s="115"/>
      <c r="V1811" s="115"/>
      <c r="W1811" s="115"/>
      <c r="X1811" s="115"/>
      <c r="Y1811" s="115"/>
      <c r="Z1811" s="115"/>
      <c r="AA1811" s="115"/>
      <c r="AB1811" s="115"/>
      <c r="AC1811" s="115"/>
      <c r="AD1811" s="115"/>
      <c r="AE1811" s="115"/>
      <c r="AF1811" s="115"/>
      <c r="AG1811" s="115"/>
      <c r="AH1811" s="115"/>
      <c r="AI1811" s="115"/>
      <c r="AJ1811" s="115"/>
      <c r="AK1811" s="115"/>
      <c r="AL1811" s="115"/>
      <c r="AM1811" s="115"/>
      <c r="AN1811" s="115"/>
      <c r="AO1811" s="115"/>
      <c r="AP1811" s="115"/>
      <c r="AQ1811" s="115"/>
      <c r="AR1811" s="115"/>
      <c r="AS1811" s="115"/>
      <c r="AT1811" s="115"/>
      <c r="AU1811" s="115"/>
      <c r="AV1811" s="115"/>
      <c r="AW1811" s="115"/>
      <c r="AX1811" s="115"/>
      <c r="AY1811" s="115"/>
      <c r="AZ1811" s="115"/>
      <c r="BA1811" s="115"/>
      <c r="BB1811" s="115"/>
      <c r="BC1811" s="115"/>
      <c r="BD1811" s="115"/>
      <c r="BE1811" s="115"/>
      <c r="BF1811" s="115"/>
      <c r="BG1811" s="115"/>
      <c r="BH1811" s="115"/>
      <c r="BI1811" s="115"/>
      <c r="BJ1811" s="115"/>
      <c r="BK1811" s="122"/>
      <c r="BL1811" s="122"/>
      <c r="BM1811" s="122"/>
      <c r="BN1811" s="115"/>
      <c r="BO1811" s="115"/>
      <c r="BP1811" s="115"/>
      <c r="BQ1811" s="115"/>
      <c r="BR1811" s="115"/>
      <c r="BS1811" s="115"/>
      <c r="BT1811" s="115"/>
      <c r="BU1811" s="115"/>
      <c r="BV1811" s="115"/>
      <c r="BW1811" s="115"/>
      <c r="BX1811" s="115"/>
      <c r="BY1811" s="115"/>
      <c r="BZ1811" s="115"/>
      <c r="CA1811" s="115"/>
      <c r="CB1811" s="20"/>
      <c r="CC1811" s="15"/>
      <c r="CG1811" s="117"/>
      <c r="CH1811" s="116"/>
      <c r="CI1811" s="116"/>
      <c r="CJ1811" s="116"/>
    </row>
    <row r="1812" spans="1:88" ht="19.5" x14ac:dyDescent="0.4">
      <c r="A1812" s="115"/>
      <c r="B1812" s="115"/>
      <c r="C1812" s="115"/>
      <c r="D1812" s="115"/>
      <c r="E1812" s="115"/>
      <c r="F1812" s="115"/>
      <c r="G1812" s="115"/>
      <c r="H1812" s="115"/>
      <c r="I1812" s="115"/>
      <c r="J1812" s="115"/>
      <c r="K1812" s="115"/>
      <c r="L1812" s="115"/>
      <c r="M1812" s="115"/>
      <c r="N1812" s="115"/>
      <c r="O1812" s="115"/>
      <c r="P1812" s="115"/>
      <c r="Q1812" s="115"/>
      <c r="R1812" s="115"/>
      <c r="S1812" s="115"/>
      <c r="T1812" s="115"/>
      <c r="U1812" s="115"/>
      <c r="V1812" s="115"/>
      <c r="W1812" s="115"/>
      <c r="X1812" s="115"/>
      <c r="Y1812" s="115"/>
      <c r="Z1812" s="115"/>
      <c r="AA1812" s="115"/>
      <c r="AB1812" s="115"/>
      <c r="AC1812" s="115"/>
      <c r="AD1812" s="115"/>
      <c r="AE1812" s="115"/>
      <c r="AF1812" s="115"/>
      <c r="AG1812" s="115"/>
      <c r="AH1812" s="115"/>
      <c r="AI1812" s="115"/>
      <c r="AJ1812" s="115"/>
      <c r="AK1812" s="115"/>
      <c r="AL1812" s="115"/>
      <c r="AM1812" s="115"/>
      <c r="AN1812" s="115"/>
      <c r="AO1812" s="115"/>
      <c r="AP1812" s="115"/>
      <c r="AQ1812" s="115"/>
      <c r="AR1812" s="115"/>
      <c r="AS1812" s="115"/>
      <c r="AT1812" s="115"/>
      <c r="AU1812" s="115"/>
      <c r="AV1812" s="115"/>
      <c r="AW1812" s="115"/>
      <c r="AX1812" s="115"/>
      <c r="AY1812" s="115"/>
      <c r="AZ1812" s="115"/>
      <c r="BA1812" s="115"/>
      <c r="BB1812" s="115"/>
      <c r="BC1812" s="115"/>
      <c r="BD1812" s="115"/>
      <c r="BE1812" s="115"/>
      <c r="BF1812" s="115"/>
      <c r="BG1812" s="115"/>
      <c r="BH1812" s="115"/>
      <c r="BI1812" s="115"/>
      <c r="BJ1812" s="115"/>
      <c r="BK1812" s="122"/>
      <c r="BL1812" s="122"/>
      <c r="BM1812" s="122"/>
      <c r="BN1812" s="115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20"/>
      <c r="CC1812" s="15"/>
      <c r="CG1812" s="117"/>
      <c r="CH1812" s="116"/>
      <c r="CI1812" s="116"/>
      <c r="CJ1812" s="116"/>
    </row>
    <row r="1813" spans="1:88" ht="19.5" x14ac:dyDescent="0.4">
      <c r="A1813" s="115"/>
      <c r="B1813" s="115"/>
      <c r="C1813" s="115"/>
      <c r="D1813" s="115"/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15"/>
      <c r="BC1813" s="115"/>
      <c r="BD1813" s="115"/>
      <c r="BE1813" s="115"/>
      <c r="BF1813" s="115"/>
      <c r="BG1813" s="115"/>
      <c r="BH1813" s="115"/>
      <c r="BI1813" s="115"/>
      <c r="BJ1813" s="115"/>
      <c r="BK1813" s="122"/>
      <c r="BL1813" s="122"/>
      <c r="BM1813" s="122"/>
      <c r="BN1813" s="115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20"/>
      <c r="CC1813" s="15"/>
      <c r="CG1813" s="117"/>
      <c r="CH1813" s="116"/>
      <c r="CI1813" s="116"/>
      <c r="CJ1813" s="116"/>
    </row>
    <row r="1814" spans="1:88" ht="19.5" x14ac:dyDescent="0.4">
      <c r="A1814" s="115"/>
      <c r="B1814" s="115"/>
      <c r="C1814" s="115"/>
      <c r="D1814" s="115"/>
      <c r="E1814" s="115"/>
      <c r="F1814" s="115"/>
      <c r="G1814" s="115"/>
      <c r="H1814" s="115"/>
      <c r="I1814" s="115"/>
      <c r="J1814" s="115"/>
      <c r="K1814" s="115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  <c r="AJ1814" s="115"/>
      <c r="AK1814" s="115"/>
      <c r="AL1814" s="115"/>
      <c r="AM1814" s="115"/>
      <c r="AN1814" s="115"/>
      <c r="AO1814" s="115"/>
      <c r="AP1814" s="115"/>
      <c r="AQ1814" s="115"/>
      <c r="AR1814" s="115"/>
      <c r="AS1814" s="115"/>
      <c r="AT1814" s="115"/>
      <c r="AU1814" s="115"/>
      <c r="AV1814" s="115"/>
      <c r="AW1814" s="115"/>
      <c r="AX1814" s="115"/>
      <c r="AY1814" s="115"/>
      <c r="AZ1814" s="115"/>
      <c r="BA1814" s="115"/>
      <c r="BB1814" s="115"/>
      <c r="BC1814" s="115"/>
      <c r="BD1814" s="115"/>
      <c r="BE1814" s="115"/>
      <c r="BF1814" s="115"/>
      <c r="BG1814" s="115"/>
      <c r="BH1814" s="115"/>
      <c r="BI1814" s="115"/>
      <c r="BJ1814" s="115"/>
      <c r="BK1814" s="122"/>
      <c r="BL1814" s="122"/>
      <c r="BM1814" s="122"/>
      <c r="BN1814" s="115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25"/>
      <c r="CC1814" s="15"/>
      <c r="CG1814" s="117"/>
      <c r="CH1814" s="116"/>
      <c r="CI1814" s="116"/>
      <c r="CJ1814" s="116"/>
    </row>
    <row r="1815" spans="1:88" ht="19.5" x14ac:dyDescent="0.4">
      <c r="A1815" s="115"/>
      <c r="B1815" s="115"/>
      <c r="C1815" s="115"/>
      <c r="D1815" s="115"/>
      <c r="E1815" s="115"/>
      <c r="F1815" s="115"/>
      <c r="G1815" s="115"/>
      <c r="H1815" s="115"/>
      <c r="I1815" s="115"/>
      <c r="J1815" s="115"/>
      <c r="K1815" s="115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  <c r="AI1815" s="115"/>
      <c r="AJ1815" s="115"/>
      <c r="AK1815" s="115"/>
      <c r="AL1815" s="115"/>
      <c r="AM1815" s="115"/>
      <c r="AN1815" s="115"/>
      <c r="AO1815" s="115"/>
      <c r="AP1815" s="115"/>
      <c r="AQ1815" s="115"/>
      <c r="AR1815" s="115"/>
      <c r="AS1815" s="115"/>
      <c r="AT1815" s="115"/>
      <c r="AU1815" s="115"/>
      <c r="AV1815" s="115"/>
      <c r="AW1815" s="115"/>
      <c r="AX1815" s="115"/>
      <c r="AY1815" s="115"/>
      <c r="AZ1815" s="115"/>
      <c r="BA1815" s="115"/>
      <c r="BB1815" s="115"/>
      <c r="BC1815" s="115"/>
      <c r="BD1815" s="115"/>
      <c r="BE1815" s="115"/>
      <c r="BF1815" s="115"/>
      <c r="BG1815" s="115"/>
      <c r="BH1815" s="115"/>
      <c r="BI1815" s="115"/>
      <c r="BJ1815" s="115"/>
      <c r="BK1815" s="122"/>
      <c r="BL1815" s="122"/>
      <c r="BM1815" s="122"/>
      <c r="BN1815" s="115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3"/>
      <c r="CC1815" s="15"/>
      <c r="CG1815" s="117"/>
      <c r="CH1815" s="116"/>
      <c r="CI1815" s="116"/>
      <c r="CJ1815" s="116"/>
    </row>
    <row r="1816" spans="1:88" ht="19.5" x14ac:dyDescent="0.4">
      <c r="CB1816" s="25"/>
      <c r="CC1816" s="15"/>
      <c r="CG1816" s="117"/>
      <c r="CH1816" s="116"/>
      <c r="CI1816" s="116"/>
      <c r="CJ1816" s="116"/>
    </row>
    <row r="1817" spans="1:88" ht="19.5" x14ac:dyDescent="0.4">
      <c r="BH1817" s="115"/>
      <c r="BI1817" s="115"/>
      <c r="BJ1817" s="115"/>
      <c r="BK1817" s="122"/>
      <c r="BL1817" s="122"/>
      <c r="BM1817" s="122"/>
      <c r="BN1817" s="115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3"/>
      <c r="CC1817" s="15"/>
      <c r="CG1817" s="117"/>
      <c r="CH1817" s="116"/>
      <c r="CI1817" s="116"/>
      <c r="CJ1817" s="116"/>
    </row>
    <row r="1818" spans="1:88" ht="19.5" x14ac:dyDescent="0.4">
      <c r="D1818" s="115"/>
      <c r="E1818" s="115"/>
      <c r="F1818" s="115"/>
      <c r="G1818" s="115"/>
      <c r="H1818" s="115"/>
      <c r="I1818" s="115"/>
      <c r="J1818" s="115"/>
      <c r="K1818" s="115"/>
      <c r="L1818" s="115"/>
      <c r="M1818" s="115"/>
      <c r="N1818" s="115"/>
      <c r="O1818" s="115"/>
      <c r="P1818" s="115"/>
      <c r="Q1818" s="115"/>
      <c r="R1818" s="115"/>
      <c r="S1818" s="115"/>
      <c r="T1818" s="115"/>
      <c r="U1818" s="115"/>
      <c r="V1818" s="115"/>
      <c r="W1818" s="115"/>
      <c r="X1818" s="115"/>
      <c r="Y1818" s="115"/>
      <c r="Z1818" s="115"/>
      <c r="AA1818" s="115"/>
      <c r="AB1818" s="115"/>
      <c r="AC1818" s="115"/>
      <c r="AD1818" s="115"/>
      <c r="AE1818" s="115"/>
      <c r="AF1818" s="115"/>
      <c r="AG1818" s="115"/>
      <c r="AH1818" s="115"/>
      <c r="AI1818" s="115"/>
      <c r="AJ1818" s="115"/>
      <c r="AK1818" s="115"/>
      <c r="AL1818" s="115"/>
      <c r="AM1818" s="115"/>
      <c r="AN1818" s="115"/>
      <c r="AO1818" s="115"/>
      <c r="AP1818" s="115"/>
      <c r="AQ1818" s="115"/>
      <c r="AR1818" s="115"/>
      <c r="AS1818" s="115"/>
      <c r="AT1818" s="115"/>
      <c r="AU1818" s="115"/>
      <c r="AV1818" s="115"/>
      <c r="AW1818" s="115"/>
      <c r="AX1818" s="115"/>
      <c r="AY1818" s="115"/>
      <c r="AZ1818" s="115"/>
      <c r="BA1818" s="115"/>
      <c r="BB1818" s="115"/>
      <c r="BC1818" s="115"/>
      <c r="BD1818" s="115"/>
      <c r="BE1818" s="115"/>
      <c r="BF1818" s="115"/>
      <c r="BG1818" s="115"/>
      <c r="BH1818" s="115"/>
      <c r="BI1818" s="115"/>
      <c r="BJ1818" s="115"/>
      <c r="BK1818" s="122"/>
      <c r="BL1818" s="122"/>
      <c r="BM1818" s="122"/>
      <c r="BN1818" s="115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25"/>
      <c r="CC1818" s="15"/>
      <c r="CG1818" s="117"/>
      <c r="CH1818" s="116"/>
      <c r="CI1818" s="116"/>
      <c r="CJ1818" s="116"/>
    </row>
    <row r="1819" spans="1:88" ht="19.5" x14ac:dyDescent="0.4">
      <c r="A1819" s="115"/>
      <c r="B1819" s="115"/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15"/>
      <c r="BA1819" s="115"/>
      <c r="BB1819" s="115"/>
      <c r="BC1819" s="115"/>
      <c r="BD1819" s="115"/>
      <c r="BE1819" s="115"/>
      <c r="BF1819" s="115"/>
      <c r="BG1819" s="115"/>
      <c r="BH1819" s="115"/>
      <c r="BI1819" s="115"/>
      <c r="BJ1819" s="115"/>
      <c r="BK1819" s="122"/>
      <c r="BL1819" s="122"/>
      <c r="BM1819" s="122"/>
      <c r="BN1819" s="115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25"/>
      <c r="CC1819" s="15"/>
      <c r="CG1819" s="117"/>
      <c r="CH1819" s="116"/>
      <c r="CI1819" s="116"/>
      <c r="CJ1819" s="116"/>
    </row>
    <row r="1820" spans="1:88" ht="19.5" x14ac:dyDescent="0.4">
      <c r="A1820" s="115"/>
      <c r="B1820" s="115"/>
      <c r="C1820" s="115"/>
      <c r="D1820" s="115"/>
      <c r="E1820" s="115"/>
      <c r="F1820" s="115"/>
      <c r="G1820" s="115"/>
      <c r="H1820" s="115"/>
      <c r="I1820" s="115"/>
      <c r="J1820" s="115"/>
      <c r="K1820" s="115"/>
      <c r="L1820" s="115"/>
      <c r="M1820" s="115"/>
      <c r="N1820" s="115"/>
      <c r="O1820" s="115"/>
      <c r="P1820" s="115"/>
      <c r="Q1820" s="115"/>
      <c r="R1820" s="115"/>
      <c r="S1820" s="115"/>
      <c r="T1820" s="115"/>
      <c r="U1820" s="115"/>
      <c r="V1820" s="115"/>
      <c r="W1820" s="115"/>
      <c r="X1820" s="115"/>
      <c r="Y1820" s="115"/>
      <c r="Z1820" s="115"/>
      <c r="AA1820" s="115"/>
      <c r="AB1820" s="115"/>
      <c r="AC1820" s="115"/>
      <c r="AD1820" s="115"/>
      <c r="AE1820" s="115"/>
      <c r="AF1820" s="115"/>
      <c r="AG1820" s="115"/>
      <c r="AH1820" s="115"/>
      <c r="AI1820" s="115"/>
      <c r="AJ1820" s="115"/>
      <c r="AK1820" s="115"/>
      <c r="AL1820" s="115"/>
      <c r="AM1820" s="115"/>
      <c r="AN1820" s="115"/>
      <c r="AO1820" s="115"/>
      <c r="AP1820" s="115"/>
      <c r="AQ1820" s="115"/>
      <c r="AR1820" s="115"/>
      <c r="AS1820" s="115"/>
      <c r="AT1820" s="115"/>
      <c r="AU1820" s="115"/>
      <c r="AV1820" s="115"/>
      <c r="AW1820" s="115"/>
      <c r="AX1820" s="115"/>
      <c r="AY1820" s="115"/>
      <c r="AZ1820" s="115"/>
      <c r="BA1820" s="115"/>
      <c r="BB1820" s="115"/>
      <c r="BC1820" s="115"/>
      <c r="BD1820" s="115"/>
      <c r="BE1820" s="115"/>
      <c r="BF1820" s="115"/>
      <c r="BG1820" s="115"/>
      <c r="BH1820" s="115"/>
      <c r="BI1820" s="115"/>
      <c r="BJ1820" s="115"/>
      <c r="BK1820" s="122"/>
      <c r="BL1820" s="122"/>
      <c r="BM1820" s="122"/>
      <c r="BN1820" s="115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3"/>
      <c r="CC1820" s="15"/>
      <c r="CG1820" s="117"/>
      <c r="CH1820" s="116"/>
      <c r="CI1820" s="116"/>
      <c r="CJ1820" s="116"/>
    </row>
    <row r="1821" spans="1:88" ht="19.5" x14ac:dyDescent="0.4">
      <c r="A1821" s="115"/>
      <c r="B1821" s="115"/>
      <c r="C1821" s="115"/>
      <c r="D1821" s="115"/>
      <c r="E1821" s="115"/>
      <c r="F1821" s="115"/>
      <c r="G1821" s="115"/>
      <c r="H1821" s="115"/>
      <c r="I1821" s="115"/>
      <c r="J1821" s="115"/>
      <c r="K1821" s="115"/>
      <c r="L1821" s="115"/>
      <c r="M1821" s="115"/>
      <c r="N1821" s="115"/>
      <c r="O1821" s="115"/>
      <c r="P1821" s="115"/>
      <c r="Q1821" s="115"/>
      <c r="R1821" s="115"/>
      <c r="S1821" s="115"/>
      <c r="T1821" s="115"/>
      <c r="U1821" s="115"/>
      <c r="V1821" s="115"/>
      <c r="W1821" s="115"/>
      <c r="X1821" s="115"/>
      <c r="Y1821" s="115"/>
      <c r="Z1821" s="115"/>
      <c r="AA1821" s="115"/>
      <c r="AB1821" s="115"/>
      <c r="AC1821" s="115"/>
      <c r="AD1821" s="115"/>
      <c r="AE1821" s="115"/>
      <c r="AF1821" s="115"/>
      <c r="AG1821" s="115"/>
      <c r="AH1821" s="115"/>
      <c r="AI1821" s="115"/>
      <c r="AJ1821" s="115"/>
      <c r="AK1821" s="115"/>
      <c r="AL1821" s="115"/>
      <c r="AM1821" s="115"/>
      <c r="AN1821" s="115"/>
      <c r="AO1821" s="115"/>
      <c r="AP1821" s="115"/>
      <c r="AQ1821" s="115"/>
      <c r="AR1821" s="115"/>
      <c r="AS1821" s="115"/>
      <c r="AT1821" s="115"/>
      <c r="AU1821" s="115"/>
      <c r="AV1821" s="115"/>
      <c r="AW1821" s="115"/>
      <c r="AX1821" s="115"/>
      <c r="AY1821" s="115"/>
      <c r="AZ1821" s="115"/>
      <c r="BA1821" s="115"/>
      <c r="BB1821" s="115"/>
      <c r="BC1821" s="115"/>
      <c r="BD1821" s="115"/>
      <c r="BE1821" s="115"/>
      <c r="BF1821" s="115"/>
      <c r="BG1821" s="115"/>
      <c r="BH1821" s="115"/>
      <c r="BI1821" s="115"/>
      <c r="BJ1821" s="115"/>
      <c r="BK1821" s="122"/>
      <c r="BL1821" s="122"/>
      <c r="BM1821" s="122"/>
      <c r="BN1821" s="115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25"/>
      <c r="CC1821" s="15"/>
      <c r="CG1821" s="117"/>
      <c r="CH1821" s="116"/>
      <c r="CI1821" s="116"/>
      <c r="CJ1821" s="116"/>
    </row>
    <row r="1822" spans="1:88" ht="19.5" x14ac:dyDescent="0.4">
      <c r="A1822" s="115"/>
      <c r="B1822" s="115"/>
      <c r="C1822" s="115"/>
      <c r="D1822" s="115"/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22"/>
      <c r="BL1822" s="122"/>
      <c r="BM1822" s="122"/>
      <c r="BN1822" s="115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3"/>
      <c r="CC1822" s="15"/>
      <c r="CG1822" s="117"/>
      <c r="CH1822" s="116"/>
      <c r="CI1822" s="116"/>
      <c r="CJ1822" s="116"/>
    </row>
    <row r="1823" spans="1:88" ht="19.5" x14ac:dyDescent="0.4">
      <c r="A1823" s="115"/>
      <c r="B1823" s="115"/>
      <c r="C1823" s="115"/>
      <c r="D1823" s="115"/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22"/>
      <c r="BL1823" s="122"/>
      <c r="BM1823" s="122"/>
      <c r="BN1823" s="115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25"/>
      <c r="CC1823" s="15"/>
      <c r="CG1823" s="117"/>
      <c r="CH1823" s="116"/>
      <c r="CI1823" s="116"/>
      <c r="CJ1823" s="116"/>
    </row>
    <row r="1824" spans="1:88" ht="19.5" x14ac:dyDescent="0.4">
      <c r="A1824" s="115"/>
      <c r="B1824" s="115"/>
      <c r="C1824" s="115"/>
      <c r="D1824" s="115"/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22"/>
      <c r="BL1824" s="122"/>
      <c r="BM1824" s="122"/>
      <c r="BN1824" s="115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26"/>
      <c r="CC1824" s="15"/>
      <c r="CG1824" s="117"/>
      <c r="CH1824" s="116"/>
      <c r="CI1824" s="116"/>
      <c r="CJ1824" s="116"/>
    </row>
    <row r="1825" spans="1:88" ht="19.5" x14ac:dyDescent="0.4">
      <c r="A1825" s="115"/>
      <c r="B1825" s="115"/>
      <c r="C1825" s="115"/>
      <c r="D1825" s="115"/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22"/>
      <c r="BL1825" s="122"/>
      <c r="BM1825" s="122"/>
      <c r="BN1825" s="115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7"/>
      <c r="CC1825" s="13"/>
      <c r="CG1825" s="117"/>
      <c r="CH1825" s="116"/>
      <c r="CI1825" s="116"/>
      <c r="CJ1825" s="116"/>
    </row>
    <row r="1826" spans="1:88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22"/>
      <c r="BL1826" s="122"/>
      <c r="BM1826" s="122"/>
      <c r="BN1826" s="115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26"/>
      <c r="CC1826" s="13"/>
      <c r="CG1826" s="117"/>
      <c r="CH1826" s="116"/>
      <c r="CI1826" s="116"/>
      <c r="CJ1826" s="116"/>
    </row>
    <row r="1827" spans="1:88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22"/>
      <c r="BL1827" s="122"/>
      <c r="BM1827" s="122"/>
      <c r="BN1827" s="115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7"/>
      <c r="CC1827" s="13"/>
      <c r="CG1827" s="117"/>
      <c r="CH1827" s="116"/>
      <c r="CI1827" s="116"/>
      <c r="CJ1827" s="116"/>
    </row>
    <row r="1828" spans="1:88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22"/>
      <c r="BL1828" s="122"/>
      <c r="BM1828" s="122"/>
      <c r="BN1828" s="115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26"/>
      <c r="CC1828" s="15"/>
      <c r="CG1828" s="117"/>
      <c r="CH1828" s="116"/>
      <c r="CI1828" s="116"/>
      <c r="CJ1828" s="116"/>
    </row>
    <row r="1829" spans="1:88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22"/>
      <c r="BL1829" s="122"/>
      <c r="BM1829" s="122"/>
      <c r="BN1829" s="115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7"/>
      <c r="CC1829" s="15"/>
      <c r="CG1829" s="117"/>
      <c r="CH1829" s="116"/>
      <c r="CI1829" s="116"/>
      <c r="CJ1829" s="116"/>
    </row>
    <row r="1830" spans="1:88" ht="19.5" x14ac:dyDescent="0.4">
      <c r="CB1830" s="26"/>
      <c r="CC1830" s="105"/>
      <c r="CG1830" s="117"/>
      <c r="CH1830" s="116"/>
      <c r="CI1830" s="116"/>
      <c r="CJ1830" s="116"/>
    </row>
    <row r="1831" spans="1:88" ht="19.5" x14ac:dyDescent="0.4">
      <c r="BH1831" s="115"/>
      <c r="BI1831" s="115"/>
      <c r="BJ1831" s="115"/>
      <c r="BK1831" s="122"/>
      <c r="BL1831" s="122"/>
      <c r="BM1831" s="122"/>
      <c r="BN1831" s="115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7"/>
      <c r="CC1831" s="15"/>
      <c r="CG1831" s="117"/>
      <c r="CH1831" s="116"/>
      <c r="CI1831" s="116"/>
      <c r="CJ1831" s="116"/>
    </row>
    <row r="1832" spans="1:88" ht="19.5" x14ac:dyDescent="0.4">
      <c r="BE1832" s="115"/>
      <c r="BF1832" s="115"/>
      <c r="BG1832" s="115"/>
      <c r="BH1832" s="115"/>
      <c r="BI1832" s="115"/>
      <c r="BJ1832" s="115"/>
      <c r="BK1832" s="122"/>
      <c r="BL1832" s="122"/>
      <c r="BM1832" s="122"/>
      <c r="BN1832" s="115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26"/>
      <c r="CC1832" s="15"/>
      <c r="CG1832" s="117"/>
      <c r="CH1832" s="116"/>
      <c r="CI1832" s="116"/>
      <c r="CJ1832" s="116"/>
    </row>
    <row r="1833" spans="1:88" ht="19.5" x14ac:dyDescent="0.4">
      <c r="BE1833" s="115"/>
      <c r="BF1833" s="115"/>
      <c r="BG1833" s="115"/>
      <c r="BH1833" s="115"/>
      <c r="BI1833" s="115"/>
      <c r="BJ1833" s="115"/>
      <c r="BK1833" s="122"/>
      <c r="BL1833" s="122"/>
      <c r="BM1833" s="122"/>
      <c r="BN1833" s="115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7"/>
      <c r="CC1833" s="15"/>
      <c r="CG1833" s="117"/>
      <c r="CH1833" s="116"/>
      <c r="CI1833" s="116"/>
      <c r="CJ1833" s="116"/>
    </row>
    <row r="1834" spans="1:88" ht="19.5" x14ac:dyDescent="0.4"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22"/>
      <c r="BL1834" s="122"/>
      <c r="BM1834" s="122"/>
      <c r="BN1834" s="115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26"/>
      <c r="CC1834" s="15"/>
      <c r="CG1834" s="117"/>
      <c r="CH1834" s="116"/>
      <c r="CI1834" s="116"/>
      <c r="CJ1834" s="116"/>
    </row>
    <row r="1835" spans="1:88" ht="19.5" x14ac:dyDescent="0.4"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22"/>
      <c r="BL1835" s="122"/>
      <c r="BM1835" s="122"/>
      <c r="BN1835" s="115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7"/>
      <c r="CC1835" s="15"/>
      <c r="CG1835" s="117"/>
      <c r="CH1835" s="116"/>
      <c r="CI1835" s="116"/>
      <c r="CJ1835" s="116"/>
    </row>
    <row r="1836" spans="1:88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22"/>
      <c r="BL1836" s="122"/>
      <c r="BM1836" s="122"/>
      <c r="BN1836" s="115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26"/>
      <c r="CC1836" s="15"/>
      <c r="CG1836" s="117"/>
      <c r="CH1836" s="116"/>
      <c r="CI1836" s="116"/>
      <c r="CJ1836" s="116"/>
    </row>
    <row r="1837" spans="1:88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22"/>
      <c r="BL1837" s="122"/>
      <c r="BM1837" s="122"/>
      <c r="BN1837" s="115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26"/>
      <c r="CC1837" s="15"/>
      <c r="CG1837" s="117"/>
      <c r="CH1837" s="116"/>
      <c r="CI1837" s="116"/>
      <c r="CJ1837" s="116"/>
    </row>
    <row r="1838" spans="1:88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22"/>
      <c r="BL1838" s="122"/>
      <c r="BM1838" s="122"/>
      <c r="BN1838" s="115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7"/>
      <c r="CC1838" s="15"/>
      <c r="CG1838" s="117"/>
      <c r="CH1838" s="116"/>
      <c r="CI1838" s="116"/>
      <c r="CJ1838" s="116"/>
    </row>
    <row r="1839" spans="1:88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22"/>
      <c r="BL1839" s="122"/>
      <c r="BM1839" s="122"/>
      <c r="BN1839" s="115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26"/>
      <c r="CC1839" s="15"/>
      <c r="CG1839" s="117"/>
      <c r="CH1839" s="116"/>
      <c r="CI1839" s="116"/>
      <c r="CJ1839" s="116"/>
    </row>
    <row r="1840" spans="1:88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22"/>
      <c r="BL1840" s="122"/>
      <c r="BM1840" s="122"/>
      <c r="BN1840" s="115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7"/>
      <c r="CC1840" s="15"/>
      <c r="CG1840" s="117"/>
      <c r="CH1840" s="116"/>
      <c r="CI1840" s="116"/>
      <c r="CJ1840" s="116"/>
    </row>
    <row r="1841" spans="2:88" ht="19.5" x14ac:dyDescent="0.4">
      <c r="CB1841" s="26"/>
      <c r="CC1841" s="15"/>
      <c r="CG1841" s="117"/>
      <c r="CH1841" s="116"/>
      <c r="CI1841" s="116"/>
      <c r="CJ1841" s="116"/>
    </row>
    <row r="1842" spans="2:88" ht="19.5" x14ac:dyDescent="0.4">
      <c r="BH1842" s="115"/>
      <c r="BI1842" s="115"/>
      <c r="BJ1842" s="115"/>
      <c r="BK1842" s="122"/>
      <c r="BL1842" s="122"/>
      <c r="BM1842" s="122"/>
      <c r="BN1842" s="115"/>
      <c r="BO1842" s="115"/>
      <c r="BP1842" s="115"/>
      <c r="BQ1842" s="115"/>
      <c r="BR1842" s="115"/>
      <c r="BS1842" s="115"/>
      <c r="BT1842" s="115"/>
      <c r="BU1842" s="115"/>
      <c r="BV1842" s="115"/>
      <c r="BW1842" s="115"/>
      <c r="BX1842" s="115"/>
      <c r="BY1842" s="115"/>
      <c r="BZ1842" s="115"/>
      <c r="CA1842" s="115"/>
      <c r="CB1842" s="17"/>
      <c r="CC1842" s="15"/>
      <c r="CG1842" s="117"/>
      <c r="CH1842" s="116"/>
      <c r="CI1842" s="116"/>
      <c r="CJ1842" s="116"/>
    </row>
    <row r="1843" spans="2:88" ht="19.5" x14ac:dyDescent="0.4">
      <c r="CB1843" s="26"/>
      <c r="CC1843" s="15"/>
      <c r="CG1843" s="117"/>
      <c r="CH1843" s="116"/>
      <c r="CI1843" s="116"/>
      <c r="CJ1843" s="116"/>
    </row>
    <row r="1844" spans="2:88" ht="19.5" x14ac:dyDescent="0.4">
      <c r="BH1844" s="115"/>
      <c r="BI1844" s="115"/>
      <c r="BJ1844" s="115"/>
      <c r="BK1844" s="122"/>
      <c r="BL1844" s="122"/>
      <c r="BM1844" s="122"/>
      <c r="BN1844" s="115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7"/>
      <c r="CC1844" s="15"/>
      <c r="CG1844" s="117"/>
      <c r="CH1844" s="116"/>
      <c r="CI1844" s="116"/>
      <c r="CJ1844" s="116"/>
    </row>
    <row r="1845" spans="2:88" ht="19.5" x14ac:dyDescent="0.4">
      <c r="CB1845" s="26"/>
      <c r="CC1845" s="15"/>
      <c r="CG1845" s="117"/>
      <c r="CH1845" s="116"/>
      <c r="CI1845" s="116"/>
      <c r="CJ1845" s="116"/>
    </row>
    <row r="1846" spans="2:88" ht="19.5" x14ac:dyDescent="0.4">
      <c r="BH1846" s="115"/>
      <c r="BI1846" s="115"/>
      <c r="BJ1846" s="115"/>
      <c r="BK1846" s="122"/>
      <c r="BL1846" s="122"/>
      <c r="BM1846" s="122"/>
      <c r="BN1846" s="115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7"/>
      <c r="CC1846" s="15"/>
      <c r="CG1846" s="117"/>
      <c r="CH1846" s="116"/>
      <c r="CI1846" s="116"/>
      <c r="CJ1846" s="116"/>
    </row>
    <row r="1847" spans="2:88" ht="19.5" x14ac:dyDescent="0.4"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22"/>
      <c r="BL1847" s="122"/>
      <c r="BM1847" s="122"/>
      <c r="BN1847" s="115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26"/>
      <c r="CC1847" s="15"/>
      <c r="CG1847" s="117"/>
      <c r="CH1847" s="116"/>
      <c r="CI1847" s="116"/>
      <c r="CJ1847" s="116"/>
    </row>
    <row r="1848" spans="2:88" ht="19.5" x14ac:dyDescent="0.4"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22"/>
      <c r="BL1848" s="122"/>
      <c r="BM1848" s="122"/>
      <c r="BN1848" s="115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7"/>
      <c r="CC1848" s="15"/>
      <c r="CG1848" s="117"/>
      <c r="CH1848" s="116"/>
      <c r="CI1848" s="116"/>
      <c r="CJ1848" s="116"/>
    </row>
    <row r="1849" spans="2:88" ht="19.5" x14ac:dyDescent="0.4"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22"/>
      <c r="BL1849" s="122"/>
      <c r="BM1849" s="122"/>
      <c r="BN1849" s="115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26"/>
      <c r="CC1849" s="15"/>
      <c r="CG1849" s="117"/>
      <c r="CH1849" s="116"/>
      <c r="CI1849" s="116"/>
      <c r="CJ1849" s="116"/>
    </row>
    <row r="1850" spans="2:88" ht="19.5" x14ac:dyDescent="0.4">
      <c r="CB1850" s="26"/>
      <c r="CC1850" s="15"/>
      <c r="CG1850" s="117"/>
      <c r="CH1850" s="116"/>
      <c r="CI1850" s="116"/>
      <c r="CJ1850" s="116"/>
    </row>
    <row r="1851" spans="2:88" ht="19.5" x14ac:dyDescent="0.4">
      <c r="BH1851" s="115"/>
      <c r="BI1851" s="115"/>
      <c r="BJ1851" s="115"/>
      <c r="BK1851" s="122"/>
      <c r="BL1851" s="122"/>
      <c r="BM1851" s="122"/>
      <c r="BN1851" s="115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7"/>
      <c r="CC1851" s="15"/>
      <c r="CG1851" s="117"/>
      <c r="CH1851" s="116"/>
      <c r="CI1851" s="116"/>
      <c r="CJ1851" s="116"/>
    </row>
    <row r="1852" spans="2:88" ht="19.5" x14ac:dyDescent="0.4">
      <c r="BF1852" s="115"/>
      <c r="BG1852" s="115"/>
      <c r="BH1852" s="115"/>
      <c r="BI1852" s="115"/>
      <c r="BJ1852" s="115"/>
      <c r="BK1852" s="122"/>
      <c r="BL1852" s="122"/>
      <c r="BM1852" s="122"/>
      <c r="BN1852" s="115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26"/>
      <c r="CC1852" s="15"/>
      <c r="CG1852" s="117"/>
      <c r="CH1852" s="116"/>
      <c r="CI1852" s="116"/>
      <c r="CJ1852" s="116"/>
    </row>
    <row r="1853" spans="2:88" ht="19.5" x14ac:dyDescent="0.4">
      <c r="BF1853" s="115"/>
      <c r="BG1853" s="115"/>
      <c r="BH1853" s="115"/>
      <c r="BI1853" s="115"/>
      <c r="BJ1853" s="115"/>
      <c r="BK1853" s="122"/>
      <c r="BL1853" s="122"/>
      <c r="BM1853" s="122"/>
      <c r="BN1853" s="115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7"/>
      <c r="CC1853" s="13"/>
      <c r="CG1853" s="117"/>
      <c r="CH1853" s="116"/>
      <c r="CI1853" s="116"/>
      <c r="CJ1853" s="116"/>
    </row>
    <row r="1854" spans="2:88" ht="19.5" x14ac:dyDescent="0.4">
      <c r="BE1854" s="115"/>
      <c r="BF1854" s="115"/>
      <c r="BG1854" s="115"/>
      <c r="BH1854" s="115"/>
      <c r="BI1854" s="115"/>
      <c r="BJ1854" s="115"/>
      <c r="BK1854" s="122"/>
      <c r="BL1854" s="122"/>
      <c r="BM1854" s="122"/>
      <c r="BN1854" s="115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26"/>
      <c r="CC1854" s="13"/>
      <c r="CG1854" s="117"/>
      <c r="CH1854" s="116"/>
      <c r="CI1854" s="116"/>
      <c r="CJ1854" s="116"/>
    </row>
    <row r="1855" spans="2:88" ht="19.5" x14ac:dyDescent="0.4">
      <c r="BE1855" s="115"/>
      <c r="BF1855" s="115"/>
      <c r="BG1855" s="115"/>
      <c r="BH1855" s="115"/>
      <c r="BI1855" s="115"/>
      <c r="BJ1855" s="115"/>
      <c r="BK1855" s="122"/>
      <c r="BL1855" s="122"/>
      <c r="BM1855" s="122"/>
      <c r="BN1855" s="115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7"/>
      <c r="CC1855" s="13"/>
      <c r="CG1855" s="117"/>
      <c r="CH1855" s="116"/>
      <c r="CI1855" s="116"/>
      <c r="CJ1855" s="116"/>
    </row>
    <row r="1856" spans="2:88" ht="19.5" x14ac:dyDescent="0.4">
      <c r="C1856" s="115"/>
      <c r="D1856" s="115"/>
      <c r="E1856" s="115"/>
      <c r="F1856" s="115"/>
      <c r="G1856" s="115"/>
      <c r="H1856" s="115"/>
      <c r="I1856" s="115"/>
      <c r="J1856" s="115"/>
      <c r="K1856" s="115"/>
      <c r="L1856" s="115"/>
      <c r="M1856" s="115"/>
      <c r="N1856" s="115"/>
      <c r="O1856" s="115"/>
      <c r="P1856" s="115"/>
      <c r="Q1856" s="115"/>
      <c r="R1856" s="115"/>
      <c r="S1856" s="115"/>
      <c r="T1856" s="115"/>
      <c r="U1856" s="115"/>
      <c r="V1856" s="115"/>
      <c r="W1856" s="115"/>
      <c r="X1856" s="115"/>
      <c r="Y1856" s="115"/>
      <c r="Z1856" s="115"/>
      <c r="AA1856" s="115"/>
      <c r="AB1856" s="115"/>
      <c r="AC1856" s="115"/>
      <c r="AD1856" s="115"/>
      <c r="AE1856" s="115"/>
      <c r="AF1856" s="115"/>
      <c r="AG1856" s="115"/>
      <c r="AH1856" s="115"/>
      <c r="AI1856" s="115"/>
      <c r="AJ1856" s="115"/>
      <c r="AK1856" s="115"/>
      <c r="AL1856" s="115"/>
      <c r="AM1856" s="115"/>
      <c r="AN1856" s="115"/>
      <c r="AO1856" s="115"/>
      <c r="AP1856" s="115"/>
      <c r="AQ1856" s="115"/>
      <c r="AR1856" s="115"/>
      <c r="AS1856" s="115"/>
      <c r="AT1856" s="115"/>
      <c r="AU1856" s="115"/>
      <c r="AV1856" s="115"/>
      <c r="AW1856" s="115"/>
      <c r="AX1856" s="115"/>
      <c r="AY1856" s="115"/>
      <c r="AZ1856" s="115"/>
      <c r="BA1856" s="115"/>
      <c r="BB1856" s="115"/>
      <c r="BC1856" s="115"/>
      <c r="BD1856" s="115"/>
      <c r="BE1856" s="115"/>
      <c r="BF1856" s="115"/>
      <c r="BG1856" s="115"/>
      <c r="BH1856" s="115"/>
      <c r="BI1856" s="115"/>
      <c r="BJ1856" s="115"/>
      <c r="BK1856" s="122"/>
      <c r="BL1856" s="122"/>
      <c r="BM1856" s="122"/>
      <c r="BN1856" s="115"/>
      <c r="BO1856" s="115"/>
      <c r="BP1856" s="115"/>
      <c r="BQ1856" s="115"/>
      <c r="BR1856" s="115"/>
      <c r="BS1856" s="115"/>
      <c r="BT1856" s="115"/>
      <c r="BU1856" s="115"/>
      <c r="BV1856" s="115"/>
      <c r="BW1856" s="115"/>
      <c r="BX1856" s="115"/>
      <c r="BY1856" s="115"/>
      <c r="BZ1856" s="115"/>
      <c r="CA1856" s="115"/>
      <c r="CB1856" s="26"/>
      <c r="CC1856" s="15"/>
      <c r="CG1856" s="117"/>
      <c r="CH1856" s="116"/>
      <c r="CI1856" s="116"/>
      <c r="CJ1856" s="116"/>
    </row>
    <row r="1857" spans="1:88" ht="19.5" x14ac:dyDescent="0.4">
      <c r="C1857" s="115"/>
      <c r="D1857" s="115"/>
      <c r="E1857" s="115"/>
      <c r="F1857" s="115"/>
      <c r="G1857" s="115"/>
      <c r="H1857" s="115"/>
      <c r="I1857" s="115"/>
      <c r="J1857" s="115"/>
      <c r="K1857" s="115"/>
      <c r="L1857" s="115"/>
      <c r="M1857" s="115"/>
      <c r="N1857" s="115"/>
      <c r="O1857" s="115"/>
      <c r="P1857" s="115"/>
      <c r="Q1857" s="115"/>
      <c r="R1857" s="115"/>
      <c r="S1857" s="115"/>
      <c r="T1857" s="115"/>
      <c r="U1857" s="115"/>
      <c r="V1857" s="115"/>
      <c r="W1857" s="115"/>
      <c r="X1857" s="115"/>
      <c r="Y1857" s="115"/>
      <c r="Z1857" s="115"/>
      <c r="AA1857" s="115"/>
      <c r="AB1857" s="115"/>
      <c r="AC1857" s="115"/>
      <c r="AD1857" s="115"/>
      <c r="AE1857" s="115"/>
      <c r="AF1857" s="115"/>
      <c r="AG1857" s="115"/>
      <c r="AH1857" s="115"/>
      <c r="AI1857" s="115"/>
      <c r="AJ1857" s="115"/>
      <c r="AK1857" s="115"/>
      <c r="AL1857" s="115"/>
      <c r="AM1857" s="115"/>
      <c r="AN1857" s="115"/>
      <c r="AO1857" s="115"/>
      <c r="AP1857" s="115"/>
      <c r="AQ1857" s="115"/>
      <c r="AR1857" s="115"/>
      <c r="AS1857" s="115"/>
      <c r="AT1857" s="115"/>
      <c r="AU1857" s="115"/>
      <c r="AV1857" s="115"/>
      <c r="AW1857" s="115"/>
      <c r="AX1857" s="115"/>
      <c r="AY1857" s="115"/>
      <c r="AZ1857" s="115"/>
      <c r="BA1857" s="115"/>
      <c r="BB1857" s="115"/>
      <c r="BC1857" s="115"/>
      <c r="BD1857" s="115"/>
      <c r="BE1857" s="115"/>
      <c r="BF1857" s="115"/>
      <c r="BG1857" s="115"/>
      <c r="BH1857" s="115"/>
      <c r="BI1857" s="115"/>
      <c r="BJ1857" s="115"/>
      <c r="BK1857" s="122"/>
      <c r="BL1857" s="122"/>
      <c r="BM1857" s="122"/>
      <c r="BN1857" s="115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7"/>
      <c r="CC1857" s="15"/>
      <c r="CG1857" s="117"/>
      <c r="CH1857" s="116"/>
      <c r="CI1857" s="116"/>
      <c r="CJ1857" s="116"/>
    </row>
    <row r="1858" spans="1:88" ht="19.5" x14ac:dyDescent="0.4">
      <c r="C1858" s="115"/>
      <c r="D1858" s="115"/>
      <c r="E1858" s="115"/>
      <c r="F1858" s="115"/>
      <c r="G1858" s="115"/>
      <c r="H1858" s="115"/>
      <c r="I1858" s="115"/>
      <c r="J1858" s="115"/>
      <c r="K1858" s="115"/>
      <c r="L1858" s="115"/>
      <c r="M1858" s="115"/>
      <c r="N1858" s="115"/>
      <c r="O1858" s="115"/>
      <c r="P1858" s="115"/>
      <c r="Q1858" s="115"/>
      <c r="R1858" s="115"/>
      <c r="S1858" s="115"/>
      <c r="T1858" s="115"/>
      <c r="U1858" s="115"/>
      <c r="V1858" s="115"/>
      <c r="W1858" s="115"/>
      <c r="X1858" s="115"/>
      <c r="Y1858" s="115"/>
      <c r="Z1858" s="115"/>
      <c r="AA1858" s="115"/>
      <c r="AB1858" s="115"/>
      <c r="AC1858" s="115"/>
      <c r="AD1858" s="115"/>
      <c r="AE1858" s="115"/>
      <c r="AF1858" s="115"/>
      <c r="AG1858" s="115"/>
      <c r="AH1858" s="115"/>
      <c r="AI1858" s="115"/>
      <c r="AJ1858" s="115"/>
      <c r="AK1858" s="115"/>
      <c r="AL1858" s="115"/>
      <c r="AM1858" s="115"/>
      <c r="AN1858" s="115"/>
      <c r="AO1858" s="115"/>
      <c r="AP1858" s="115"/>
      <c r="AQ1858" s="115"/>
      <c r="AR1858" s="115"/>
      <c r="AS1858" s="115"/>
      <c r="AT1858" s="115"/>
      <c r="AU1858" s="115"/>
      <c r="AV1858" s="115"/>
      <c r="AW1858" s="115"/>
      <c r="AX1858" s="115"/>
      <c r="AY1858" s="115"/>
      <c r="AZ1858" s="115"/>
      <c r="BA1858" s="115"/>
      <c r="BB1858" s="115"/>
      <c r="BC1858" s="115"/>
      <c r="BD1858" s="115"/>
      <c r="BE1858" s="115"/>
      <c r="BF1858" s="115"/>
      <c r="BG1858" s="115"/>
      <c r="BH1858" s="115"/>
      <c r="BI1858" s="115"/>
      <c r="BJ1858" s="115"/>
      <c r="BK1858" s="122"/>
      <c r="BL1858" s="122"/>
      <c r="BM1858" s="122"/>
      <c r="BN1858" s="115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26"/>
      <c r="CC1858" s="105"/>
      <c r="CG1858" s="117"/>
      <c r="CH1858" s="116"/>
      <c r="CI1858" s="116"/>
      <c r="CJ1858" s="116"/>
    </row>
    <row r="1859" spans="1:88" ht="19.5" x14ac:dyDescent="0.4">
      <c r="C1859" s="115"/>
      <c r="D1859" s="115"/>
      <c r="E1859" s="115"/>
      <c r="F1859" s="115"/>
      <c r="G1859" s="115"/>
      <c r="H1859" s="115"/>
      <c r="I1859" s="115"/>
      <c r="J1859" s="115"/>
      <c r="K1859" s="115"/>
      <c r="L1859" s="115"/>
      <c r="M1859" s="115"/>
      <c r="N1859" s="115"/>
      <c r="O1859" s="115"/>
      <c r="P1859" s="115"/>
      <c r="Q1859" s="115"/>
      <c r="R1859" s="115"/>
      <c r="S1859" s="115"/>
      <c r="T1859" s="115"/>
      <c r="U1859" s="115"/>
      <c r="V1859" s="115"/>
      <c r="W1859" s="115"/>
      <c r="X1859" s="115"/>
      <c r="Y1859" s="115"/>
      <c r="Z1859" s="115"/>
      <c r="AA1859" s="115"/>
      <c r="AB1859" s="115"/>
      <c r="AC1859" s="115"/>
      <c r="AD1859" s="115"/>
      <c r="AE1859" s="115"/>
      <c r="AF1859" s="115"/>
      <c r="AG1859" s="115"/>
      <c r="AH1859" s="115"/>
      <c r="AI1859" s="115"/>
      <c r="AJ1859" s="115"/>
      <c r="AK1859" s="115"/>
      <c r="AL1859" s="115"/>
      <c r="AM1859" s="115"/>
      <c r="AN1859" s="115"/>
      <c r="AO1859" s="115"/>
      <c r="AP1859" s="115"/>
      <c r="AQ1859" s="115"/>
      <c r="AR1859" s="115"/>
      <c r="AS1859" s="115"/>
      <c r="AT1859" s="115"/>
      <c r="AU1859" s="115"/>
      <c r="AV1859" s="115"/>
      <c r="AW1859" s="115"/>
      <c r="AX1859" s="115"/>
      <c r="AY1859" s="115"/>
      <c r="AZ1859" s="115"/>
      <c r="BA1859" s="115"/>
      <c r="BB1859" s="115"/>
      <c r="BC1859" s="115"/>
      <c r="BD1859" s="115"/>
      <c r="BE1859" s="115"/>
      <c r="BF1859" s="115"/>
      <c r="BG1859" s="115"/>
      <c r="BH1859" s="115"/>
      <c r="BI1859" s="115"/>
      <c r="BJ1859" s="115"/>
      <c r="BK1859" s="122"/>
      <c r="BL1859" s="122"/>
      <c r="BM1859" s="122"/>
      <c r="BN1859" s="115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7"/>
      <c r="CC1859" s="15"/>
      <c r="CG1859" s="117"/>
      <c r="CH1859" s="116"/>
      <c r="CI1859" s="116"/>
      <c r="CJ1859" s="116"/>
    </row>
    <row r="1860" spans="1:88" ht="19.5" x14ac:dyDescent="0.4">
      <c r="C1860" s="115"/>
      <c r="D1860" s="115"/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22"/>
      <c r="BL1860" s="122"/>
      <c r="BM1860" s="122"/>
      <c r="BN1860" s="115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26"/>
      <c r="CC1860" s="15"/>
      <c r="CG1860" s="117"/>
      <c r="CH1860" s="116"/>
      <c r="CI1860" s="116"/>
      <c r="CJ1860" s="116"/>
    </row>
    <row r="1861" spans="1:88" ht="19.5" x14ac:dyDescent="0.4">
      <c r="C1861" s="115"/>
      <c r="D1861" s="115"/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22"/>
      <c r="BL1861" s="122"/>
      <c r="BM1861" s="122"/>
      <c r="BN1861" s="115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26"/>
      <c r="CC1861" s="15"/>
      <c r="CG1861" s="117"/>
      <c r="CH1861" s="116"/>
      <c r="CI1861" s="116"/>
      <c r="CJ1861" s="116"/>
    </row>
    <row r="1862" spans="1:88" ht="19.5" x14ac:dyDescent="0.4">
      <c r="CB1862" s="26"/>
      <c r="CC1862" s="15"/>
      <c r="CG1862" s="117"/>
      <c r="CH1862" s="116"/>
      <c r="CI1862" s="116"/>
      <c r="CJ1862" s="116"/>
    </row>
    <row r="1863" spans="1:88" ht="19.5" x14ac:dyDescent="0.4">
      <c r="BG1863" s="115"/>
      <c r="BH1863" s="115"/>
      <c r="BI1863" s="115"/>
      <c r="BJ1863" s="115"/>
      <c r="BK1863" s="122"/>
      <c r="BL1863" s="122"/>
      <c r="BM1863" s="122"/>
      <c r="BN1863" s="115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26"/>
      <c r="CC1863" s="15"/>
      <c r="CG1863" s="117"/>
      <c r="CH1863" s="116"/>
      <c r="CI1863" s="116"/>
      <c r="CJ1863" s="116"/>
    </row>
    <row r="1864" spans="1:88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22"/>
      <c r="BL1864" s="122"/>
      <c r="BM1864" s="122"/>
      <c r="BN1864" s="115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26"/>
      <c r="CC1864" s="15"/>
      <c r="CG1864" s="117"/>
      <c r="CH1864" s="116"/>
      <c r="CI1864" s="116"/>
      <c r="CJ1864" s="116"/>
    </row>
    <row r="1865" spans="1:88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22"/>
      <c r="BL1865" s="122"/>
      <c r="BM1865" s="122"/>
      <c r="BN1865" s="115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26"/>
      <c r="CC1865" s="15"/>
      <c r="CG1865" s="117"/>
      <c r="CH1865" s="116"/>
      <c r="CI1865" s="116"/>
      <c r="CJ1865" s="116"/>
    </row>
    <row r="1866" spans="1:88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22"/>
      <c r="BL1866" s="122"/>
      <c r="BM1866" s="122"/>
      <c r="BN1866" s="115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7"/>
      <c r="CC1866" s="15"/>
      <c r="CG1866" s="117"/>
      <c r="CH1866" s="116"/>
      <c r="CI1866" s="116"/>
      <c r="CJ1866" s="116"/>
    </row>
    <row r="1867" spans="1:88" ht="19.5" x14ac:dyDescent="0.4">
      <c r="CB1867" s="26"/>
      <c r="CC1867" s="15"/>
      <c r="CG1867" s="117"/>
      <c r="CH1867" s="116"/>
      <c r="CI1867" s="116"/>
      <c r="CJ1867" s="116"/>
    </row>
    <row r="1868" spans="1:88" ht="19.5" x14ac:dyDescent="0.4">
      <c r="BH1868" s="115"/>
      <c r="BI1868" s="115"/>
      <c r="BJ1868" s="115"/>
      <c r="BK1868" s="122"/>
      <c r="BL1868" s="122"/>
      <c r="BM1868" s="122"/>
      <c r="BN1868" s="115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7"/>
      <c r="CC1868" s="15"/>
      <c r="CG1868" s="117"/>
      <c r="CH1868" s="116"/>
      <c r="CI1868" s="116"/>
      <c r="CJ1868" s="116"/>
    </row>
    <row r="1869" spans="1:88" ht="19.5" x14ac:dyDescent="0.4">
      <c r="BG1869" s="115"/>
      <c r="BH1869" s="115"/>
      <c r="BI1869" s="115"/>
      <c r="BJ1869" s="115"/>
      <c r="BK1869" s="122"/>
      <c r="BL1869" s="122"/>
      <c r="BM1869" s="122"/>
      <c r="BN1869" s="115"/>
      <c r="BO1869" s="115"/>
      <c r="BP1869" s="115"/>
      <c r="BQ1869" s="115"/>
      <c r="BR1869" s="115"/>
      <c r="BS1869" s="115"/>
      <c r="BT1869" s="115"/>
      <c r="BU1869" s="115"/>
      <c r="BV1869" s="115"/>
      <c r="BW1869" s="115"/>
      <c r="BX1869" s="115"/>
      <c r="BY1869" s="115"/>
      <c r="BZ1869" s="115"/>
      <c r="CA1869" s="115"/>
      <c r="CB1869" s="26"/>
      <c r="CC1869" s="15"/>
      <c r="CG1869" s="117"/>
      <c r="CH1869" s="116"/>
      <c r="CI1869" s="116"/>
      <c r="CJ1869" s="116"/>
    </row>
    <row r="1870" spans="1:88" ht="19.5" x14ac:dyDescent="0.4">
      <c r="C1870" s="115"/>
      <c r="D1870" s="115"/>
      <c r="E1870" s="115"/>
      <c r="F1870" s="115"/>
      <c r="G1870" s="115"/>
      <c r="H1870" s="115"/>
      <c r="I1870" s="115"/>
      <c r="J1870" s="115"/>
      <c r="K1870" s="115"/>
      <c r="L1870" s="115"/>
      <c r="M1870" s="115"/>
      <c r="N1870" s="115"/>
      <c r="O1870" s="115"/>
      <c r="P1870" s="115"/>
      <c r="Q1870" s="115"/>
      <c r="R1870" s="115"/>
      <c r="S1870" s="115"/>
      <c r="T1870" s="115"/>
      <c r="U1870" s="115"/>
      <c r="V1870" s="115"/>
      <c r="W1870" s="115"/>
      <c r="X1870" s="115"/>
      <c r="Y1870" s="115"/>
      <c r="Z1870" s="115"/>
      <c r="AA1870" s="115"/>
      <c r="AB1870" s="115"/>
      <c r="AC1870" s="115"/>
      <c r="AD1870" s="115"/>
      <c r="AE1870" s="115"/>
      <c r="AF1870" s="115"/>
      <c r="AG1870" s="115"/>
      <c r="AH1870" s="115"/>
      <c r="AI1870" s="115"/>
      <c r="AJ1870" s="115"/>
      <c r="AK1870" s="115"/>
      <c r="AL1870" s="115"/>
      <c r="AM1870" s="115"/>
      <c r="AN1870" s="115"/>
      <c r="AO1870" s="115"/>
      <c r="AP1870" s="115"/>
      <c r="AQ1870" s="115"/>
      <c r="AR1870" s="115"/>
      <c r="AS1870" s="115"/>
      <c r="AT1870" s="115"/>
      <c r="AU1870" s="115"/>
      <c r="AV1870" s="115"/>
      <c r="AW1870" s="115"/>
      <c r="AX1870" s="115"/>
      <c r="AY1870" s="115"/>
      <c r="AZ1870" s="115"/>
      <c r="BA1870" s="115"/>
      <c r="BB1870" s="115"/>
      <c r="BC1870" s="115"/>
      <c r="BD1870" s="115"/>
      <c r="BE1870" s="115"/>
      <c r="BF1870" s="115"/>
      <c r="BG1870" s="115"/>
      <c r="BH1870" s="115"/>
      <c r="BI1870" s="115"/>
      <c r="BJ1870" s="115"/>
      <c r="BK1870" s="122"/>
      <c r="BL1870" s="122"/>
      <c r="BM1870" s="122"/>
      <c r="BN1870" s="115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26"/>
      <c r="CC1870" s="15"/>
      <c r="CG1870" s="117"/>
      <c r="CH1870" s="116"/>
      <c r="CI1870" s="116"/>
      <c r="CJ1870" s="116"/>
    </row>
    <row r="1871" spans="1:88" ht="19.5" x14ac:dyDescent="0.4">
      <c r="C1871" s="115"/>
      <c r="D1871" s="115"/>
      <c r="E1871" s="115"/>
      <c r="F1871" s="115"/>
      <c r="G1871" s="115"/>
      <c r="H1871" s="115"/>
      <c r="I1871" s="115"/>
      <c r="J1871" s="115"/>
      <c r="K1871" s="115"/>
      <c r="L1871" s="115"/>
      <c r="M1871" s="115"/>
      <c r="N1871" s="115"/>
      <c r="O1871" s="115"/>
      <c r="P1871" s="115"/>
      <c r="Q1871" s="115"/>
      <c r="R1871" s="115"/>
      <c r="S1871" s="115"/>
      <c r="T1871" s="115"/>
      <c r="U1871" s="115"/>
      <c r="V1871" s="115"/>
      <c r="W1871" s="115"/>
      <c r="X1871" s="115"/>
      <c r="Y1871" s="115"/>
      <c r="Z1871" s="115"/>
      <c r="AA1871" s="115"/>
      <c r="AB1871" s="115"/>
      <c r="AC1871" s="115"/>
      <c r="AD1871" s="115"/>
      <c r="AE1871" s="115"/>
      <c r="AF1871" s="115"/>
      <c r="AG1871" s="115"/>
      <c r="AH1871" s="115"/>
      <c r="AI1871" s="115"/>
      <c r="AJ1871" s="115"/>
      <c r="AK1871" s="115"/>
      <c r="AL1871" s="115"/>
      <c r="AM1871" s="115"/>
      <c r="AN1871" s="115"/>
      <c r="AO1871" s="115"/>
      <c r="AP1871" s="115"/>
      <c r="AQ1871" s="115"/>
      <c r="AR1871" s="115"/>
      <c r="AS1871" s="115"/>
      <c r="AT1871" s="115"/>
      <c r="AU1871" s="115"/>
      <c r="AV1871" s="115"/>
      <c r="AW1871" s="115"/>
      <c r="AX1871" s="115"/>
      <c r="AY1871" s="115"/>
      <c r="AZ1871" s="115"/>
      <c r="BA1871" s="115"/>
      <c r="BB1871" s="115"/>
      <c r="BC1871" s="115"/>
      <c r="BD1871" s="115"/>
      <c r="BE1871" s="115"/>
      <c r="BF1871" s="115"/>
      <c r="BG1871" s="115"/>
      <c r="BH1871" s="115"/>
      <c r="BI1871" s="115"/>
      <c r="BJ1871" s="115"/>
      <c r="BK1871" s="122"/>
      <c r="BL1871" s="122"/>
      <c r="BM1871" s="122"/>
      <c r="BN1871" s="115"/>
      <c r="BO1871" s="115"/>
      <c r="BP1871" s="115"/>
      <c r="BQ1871" s="115"/>
      <c r="BR1871" s="115"/>
      <c r="BS1871" s="115"/>
      <c r="BT1871" s="115"/>
      <c r="BU1871" s="115"/>
      <c r="BV1871" s="115"/>
      <c r="BW1871" s="115"/>
      <c r="BX1871" s="115"/>
      <c r="BY1871" s="115"/>
      <c r="BZ1871" s="115"/>
      <c r="CA1871" s="115"/>
      <c r="CB1871" s="26"/>
      <c r="CC1871" s="15"/>
      <c r="CG1871" s="117"/>
      <c r="CH1871" s="116"/>
      <c r="CI1871" s="116"/>
      <c r="CJ1871" s="116"/>
    </row>
    <row r="1872" spans="1:88" ht="19.5" x14ac:dyDescent="0.4">
      <c r="B1872" s="115"/>
      <c r="C1872" s="115"/>
      <c r="D1872" s="115"/>
      <c r="E1872" s="115"/>
      <c r="F1872" s="115"/>
      <c r="G1872" s="115"/>
      <c r="H1872" s="115"/>
      <c r="I1872" s="115"/>
      <c r="J1872" s="115"/>
      <c r="K1872" s="115"/>
      <c r="L1872" s="115"/>
      <c r="M1872" s="115"/>
      <c r="N1872" s="115"/>
      <c r="O1872" s="115"/>
      <c r="P1872" s="115"/>
      <c r="Q1872" s="115"/>
      <c r="R1872" s="115"/>
      <c r="S1872" s="115"/>
      <c r="T1872" s="115"/>
      <c r="U1872" s="115"/>
      <c r="V1872" s="115"/>
      <c r="W1872" s="115"/>
      <c r="X1872" s="115"/>
      <c r="Y1872" s="115"/>
      <c r="Z1872" s="115"/>
      <c r="AA1872" s="115"/>
      <c r="AB1872" s="115"/>
      <c r="AC1872" s="115"/>
      <c r="AD1872" s="115"/>
      <c r="AE1872" s="115"/>
      <c r="AF1872" s="115"/>
      <c r="AG1872" s="115"/>
      <c r="AH1872" s="115"/>
      <c r="AI1872" s="115"/>
      <c r="AJ1872" s="115"/>
      <c r="AK1872" s="115"/>
      <c r="AL1872" s="115"/>
      <c r="AM1872" s="115"/>
      <c r="AN1872" s="115"/>
      <c r="AO1872" s="115"/>
      <c r="AP1872" s="115"/>
      <c r="AQ1872" s="115"/>
      <c r="AR1872" s="115"/>
      <c r="AS1872" s="115"/>
      <c r="AT1872" s="115"/>
      <c r="AU1872" s="115"/>
      <c r="AV1872" s="115"/>
      <c r="AW1872" s="115"/>
      <c r="AX1872" s="115"/>
      <c r="AY1872" s="115"/>
      <c r="AZ1872" s="115"/>
      <c r="BA1872" s="115"/>
      <c r="BB1872" s="115"/>
      <c r="BC1872" s="115"/>
      <c r="BD1872" s="115"/>
      <c r="BE1872" s="115"/>
      <c r="BF1872" s="115"/>
      <c r="BG1872" s="115"/>
      <c r="BH1872" s="115"/>
      <c r="BI1872" s="115"/>
      <c r="BJ1872" s="115"/>
      <c r="BK1872" s="122"/>
      <c r="BL1872" s="122"/>
      <c r="BM1872" s="122"/>
      <c r="BN1872" s="115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26"/>
      <c r="CC1872" s="15"/>
      <c r="CG1872" s="117"/>
      <c r="CH1872" s="116"/>
      <c r="CI1872" s="116"/>
      <c r="CJ1872" s="116"/>
    </row>
    <row r="1873" spans="1:88" ht="19.5" x14ac:dyDescent="0.4">
      <c r="A1873" s="115"/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22"/>
      <c r="BL1873" s="122"/>
      <c r="BM1873" s="122"/>
      <c r="BN1873" s="115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26"/>
      <c r="CC1873" s="15"/>
      <c r="CG1873" s="117"/>
      <c r="CH1873" s="116"/>
      <c r="CI1873" s="116"/>
      <c r="CJ1873" s="116"/>
    </row>
    <row r="1874" spans="1:88" ht="19.5" x14ac:dyDescent="0.4">
      <c r="A1874" s="115"/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22"/>
      <c r="BL1874" s="122"/>
      <c r="BM1874" s="122"/>
      <c r="BN1874" s="115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26"/>
      <c r="CC1874" s="15"/>
      <c r="CG1874" s="117"/>
      <c r="CH1874" s="116"/>
      <c r="CI1874" s="116"/>
      <c r="CJ1874" s="116"/>
    </row>
    <row r="1875" spans="1:88" ht="19.5" x14ac:dyDescent="0.4">
      <c r="A1875" s="115"/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22"/>
      <c r="BL1875" s="122"/>
      <c r="BM1875" s="122"/>
      <c r="BN1875" s="115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7"/>
      <c r="CC1875" s="15"/>
      <c r="CG1875" s="117"/>
      <c r="CH1875" s="116"/>
      <c r="CI1875" s="116"/>
      <c r="CJ1875" s="116"/>
    </row>
    <row r="1876" spans="1:88" ht="19.5" x14ac:dyDescent="0.4">
      <c r="CB1876" s="26"/>
      <c r="CC1876" s="15"/>
      <c r="CG1876" s="117"/>
      <c r="CH1876" s="116"/>
      <c r="CI1876" s="116"/>
      <c r="CJ1876" s="116"/>
    </row>
    <row r="1877" spans="1:88" ht="19.5" x14ac:dyDescent="0.4">
      <c r="BH1877" s="115"/>
      <c r="BI1877" s="115"/>
      <c r="BJ1877" s="115"/>
      <c r="BK1877" s="122"/>
      <c r="BL1877" s="122"/>
      <c r="BM1877" s="122"/>
      <c r="BN1877" s="115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7"/>
      <c r="CC1877" s="13"/>
      <c r="CG1877" s="117"/>
      <c r="CH1877" s="116"/>
      <c r="CI1877" s="116"/>
      <c r="CJ1877" s="116"/>
    </row>
    <row r="1878" spans="1:88" ht="19.5" x14ac:dyDescent="0.4">
      <c r="BH1878" s="115"/>
      <c r="BI1878" s="115"/>
      <c r="BJ1878" s="115"/>
      <c r="BK1878" s="122"/>
      <c r="BL1878" s="122"/>
      <c r="BM1878" s="122"/>
      <c r="BN1878" s="115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7"/>
      <c r="CC1878" s="13"/>
      <c r="CG1878" s="117"/>
      <c r="CH1878" s="116"/>
      <c r="CI1878" s="116"/>
      <c r="CJ1878" s="116"/>
    </row>
    <row r="1879" spans="1:88" ht="19.5" x14ac:dyDescent="0.4">
      <c r="CB1879" s="26"/>
      <c r="CC1879" s="13"/>
      <c r="CG1879" s="117"/>
      <c r="CH1879" s="116"/>
      <c r="CI1879" s="116"/>
      <c r="CJ1879" s="116"/>
    </row>
    <row r="1880" spans="1:88" ht="19.5" x14ac:dyDescent="0.4">
      <c r="CB1880" s="26"/>
      <c r="CC1880" s="13"/>
      <c r="CG1880" s="116"/>
      <c r="CH1880" s="116"/>
      <c r="CI1880" s="116"/>
      <c r="CJ1880" s="116"/>
    </row>
    <row r="1881" spans="1:88" ht="19.5" x14ac:dyDescent="0.4">
      <c r="D1881" s="115"/>
      <c r="E1881" s="115"/>
      <c r="F1881" s="115"/>
      <c r="G1881" s="115"/>
      <c r="H1881" s="115"/>
      <c r="I1881" s="115"/>
      <c r="J1881" s="115"/>
      <c r="K1881" s="115"/>
      <c r="L1881" s="115"/>
      <c r="M1881" s="115"/>
      <c r="N1881" s="115"/>
      <c r="O1881" s="115"/>
      <c r="P1881" s="115"/>
      <c r="Q1881" s="115"/>
      <c r="R1881" s="115"/>
      <c r="S1881" s="115"/>
      <c r="T1881" s="115"/>
      <c r="U1881" s="115"/>
      <c r="V1881" s="115"/>
      <c r="W1881" s="115"/>
      <c r="X1881" s="115"/>
      <c r="Y1881" s="115"/>
      <c r="Z1881" s="115"/>
      <c r="AA1881" s="115"/>
      <c r="AB1881" s="115"/>
      <c r="AC1881" s="115"/>
      <c r="AD1881" s="115"/>
      <c r="AE1881" s="115"/>
      <c r="AF1881" s="115"/>
      <c r="AG1881" s="115"/>
      <c r="AH1881" s="115"/>
      <c r="AI1881" s="115"/>
      <c r="AJ1881" s="115"/>
      <c r="AK1881" s="115"/>
      <c r="AL1881" s="115"/>
      <c r="AM1881" s="115"/>
      <c r="AN1881" s="115"/>
      <c r="AO1881" s="115"/>
      <c r="AP1881" s="115"/>
      <c r="AQ1881" s="115"/>
      <c r="AR1881" s="115"/>
      <c r="AS1881" s="115"/>
      <c r="AT1881" s="115"/>
      <c r="AU1881" s="115"/>
      <c r="AV1881" s="115"/>
      <c r="AW1881" s="115"/>
      <c r="AX1881" s="115"/>
      <c r="AY1881" s="115"/>
      <c r="AZ1881" s="115"/>
      <c r="BA1881" s="115"/>
      <c r="BB1881" s="115"/>
      <c r="BC1881" s="115"/>
      <c r="BD1881" s="115"/>
      <c r="BE1881" s="115"/>
      <c r="BF1881" s="115"/>
      <c r="BG1881" s="115"/>
      <c r="BH1881" s="115"/>
      <c r="BI1881" s="115"/>
      <c r="BJ1881" s="115"/>
      <c r="BK1881" s="122"/>
      <c r="BL1881" s="122"/>
      <c r="BM1881" s="122"/>
      <c r="BN1881" s="115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26"/>
      <c r="CC1881" s="13"/>
      <c r="CG1881" s="118"/>
      <c r="CH1881" s="118"/>
      <c r="CI1881" s="118"/>
      <c r="CJ1881" s="118"/>
    </row>
    <row r="1882" spans="1:88" ht="19.5" x14ac:dyDescent="0.4"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22"/>
      <c r="BL1882" s="122"/>
      <c r="BM1882" s="122"/>
      <c r="BN1882" s="115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26"/>
      <c r="CC1882" s="13"/>
      <c r="CG1882" s="118"/>
      <c r="CH1882" s="118"/>
      <c r="CI1882" s="118"/>
      <c r="CJ1882" s="118"/>
    </row>
    <row r="1883" spans="1:88" ht="19.5" x14ac:dyDescent="0.4">
      <c r="B1883" s="115"/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22"/>
      <c r="BL1883" s="122"/>
      <c r="BM1883" s="122"/>
      <c r="BN1883" s="115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26"/>
      <c r="CC1883" s="13"/>
      <c r="CG1883" s="118"/>
      <c r="CH1883" s="118"/>
      <c r="CI1883" s="118"/>
      <c r="CJ1883" s="118"/>
    </row>
    <row r="1884" spans="1:88" ht="19.5" x14ac:dyDescent="0.4">
      <c r="B1884" s="115"/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22"/>
      <c r="BL1884" s="122"/>
      <c r="BM1884" s="122"/>
      <c r="BN1884" s="115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26"/>
      <c r="CC1884" s="15"/>
      <c r="CG1884" s="118"/>
      <c r="CH1884" s="118"/>
      <c r="CI1884" s="118"/>
      <c r="CJ1884" s="118"/>
    </row>
    <row r="1885" spans="1:88" ht="19.5" x14ac:dyDescent="0.4">
      <c r="B1885" s="115"/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22"/>
      <c r="BL1885" s="122"/>
      <c r="BM1885" s="122"/>
      <c r="BN1885" s="115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26"/>
      <c r="CC1885" s="15"/>
      <c r="CG1885" s="118"/>
      <c r="CH1885" s="118"/>
      <c r="CI1885" s="118"/>
      <c r="CJ1885" s="118"/>
    </row>
    <row r="1886" spans="1:88" ht="19.5" x14ac:dyDescent="0.4">
      <c r="A1886" s="115"/>
      <c r="B1886" s="115"/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22"/>
      <c r="BL1886" s="122"/>
      <c r="BM1886" s="122"/>
      <c r="BN1886" s="115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26"/>
      <c r="CC1886" s="15"/>
      <c r="CG1886" s="118"/>
      <c r="CH1886" s="118"/>
      <c r="CI1886" s="118"/>
      <c r="CJ1886" s="118"/>
    </row>
    <row r="1887" spans="1:88" ht="19.5" x14ac:dyDescent="0.4">
      <c r="A1887" s="115"/>
      <c r="B1887" s="115"/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22"/>
      <c r="BL1887" s="122"/>
      <c r="BM1887" s="122"/>
      <c r="BN1887" s="115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26"/>
      <c r="CC1887" s="15"/>
      <c r="CG1887" s="118"/>
      <c r="CH1887" s="118"/>
      <c r="CI1887" s="118"/>
      <c r="CJ1887" s="118"/>
    </row>
    <row r="1888" spans="1:88" ht="20.25" customHeight="1" x14ac:dyDescent="0.4">
      <c r="A1888" s="115"/>
      <c r="B1888" s="115"/>
      <c r="C1888" s="115"/>
      <c r="D1888" s="115"/>
      <c r="E1888" s="115"/>
      <c r="F1888" s="115"/>
      <c r="G1888" s="115"/>
      <c r="H1888" s="115"/>
      <c r="I1888" s="115"/>
      <c r="J1888" s="115"/>
      <c r="K1888" s="115"/>
      <c r="L1888" s="115"/>
      <c r="M1888" s="115"/>
      <c r="N1888" s="115"/>
      <c r="O1888" s="115"/>
      <c r="P1888" s="115"/>
      <c r="Q1888" s="115"/>
      <c r="R1888" s="115"/>
      <c r="S1888" s="115"/>
      <c r="T1888" s="115"/>
      <c r="U1888" s="115"/>
      <c r="V1888" s="115"/>
      <c r="W1888" s="115"/>
      <c r="X1888" s="115"/>
      <c r="Y1888" s="115"/>
      <c r="Z1888" s="115"/>
      <c r="AA1888" s="115"/>
      <c r="AB1888" s="115"/>
      <c r="AC1888" s="115"/>
      <c r="AD1888" s="115"/>
      <c r="AE1888" s="115"/>
      <c r="AF1888" s="115"/>
      <c r="AG1888" s="115"/>
      <c r="AH1888" s="115"/>
      <c r="AI1888" s="115"/>
      <c r="AJ1888" s="115"/>
      <c r="AK1888" s="115"/>
      <c r="AL1888" s="115"/>
      <c r="AM1888" s="115"/>
      <c r="AN1888" s="115"/>
      <c r="AO1888" s="115"/>
      <c r="AP1888" s="115"/>
      <c r="AQ1888" s="115"/>
      <c r="AR1888" s="115"/>
      <c r="AS1888" s="115"/>
      <c r="AT1888" s="115"/>
      <c r="AU1888" s="115"/>
      <c r="AV1888" s="115"/>
      <c r="AW1888" s="115"/>
      <c r="AX1888" s="115"/>
      <c r="AY1888" s="115"/>
      <c r="AZ1888" s="115"/>
      <c r="BA1888" s="115"/>
      <c r="BB1888" s="115"/>
      <c r="BC1888" s="115"/>
      <c r="BD1888" s="115"/>
      <c r="BE1888" s="115"/>
      <c r="BF1888" s="115"/>
      <c r="BG1888" s="115"/>
      <c r="BH1888" s="115"/>
      <c r="BI1888" s="115"/>
      <c r="BJ1888" s="115"/>
      <c r="BK1888" s="122"/>
      <c r="BL1888" s="122"/>
      <c r="BM1888" s="122"/>
      <c r="BN1888" s="115"/>
      <c r="BO1888" s="115"/>
      <c r="BP1888" s="115"/>
      <c r="BQ1888" s="115"/>
      <c r="BR1888" s="115"/>
      <c r="BS1888" s="115"/>
      <c r="BT1888" s="115"/>
      <c r="BU1888" s="115"/>
      <c r="BV1888" s="115"/>
      <c r="BW1888" s="115"/>
      <c r="BX1888" s="115"/>
      <c r="BY1888" s="115"/>
      <c r="BZ1888" s="115"/>
      <c r="CA1888" s="115"/>
      <c r="CB1888" s="26"/>
      <c r="CC1888" s="15"/>
      <c r="CG1888" s="118"/>
      <c r="CH1888" s="118"/>
      <c r="CI1888" s="118"/>
      <c r="CJ1888" s="118"/>
    </row>
    <row r="1889" spans="3:81" x14ac:dyDescent="0.4">
      <c r="CB1889" s="26"/>
      <c r="CC1889" s="15"/>
    </row>
    <row r="1890" spans="3:81" x14ac:dyDescent="0.4">
      <c r="CB1890" s="26"/>
      <c r="CC1890" s="13"/>
    </row>
    <row r="1891" spans="3:81" x14ac:dyDescent="0.4">
      <c r="BF1891" s="115"/>
      <c r="BG1891" s="115"/>
      <c r="BH1891" s="115"/>
      <c r="BI1891" s="115"/>
      <c r="BJ1891" s="115"/>
      <c r="BK1891" s="122"/>
      <c r="BL1891" s="122"/>
      <c r="BM1891" s="122"/>
      <c r="BN1891" s="115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26"/>
      <c r="CC1891" s="13"/>
    </row>
    <row r="1892" spans="3:81" x14ac:dyDescent="0.4">
      <c r="BF1892" s="115"/>
      <c r="BG1892" s="115"/>
      <c r="BH1892" s="115"/>
      <c r="BI1892" s="115"/>
      <c r="BJ1892" s="115"/>
      <c r="BK1892" s="122"/>
      <c r="BL1892" s="122"/>
      <c r="BM1892" s="122"/>
      <c r="BN1892" s="115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7"/>
      <c r="CC1892" s="13"/>
    </row>
    <row r="1893" spans="3:81" x14ac:dyDescent="0.4">
      <c r="C1893" s="115"/>
      <c r="D1893" s="115"/>
      <c r="E1893" s="115"/>
      <c r="F1893" s="115"/>
      <c r="G1893" s="115"/>
      <c r="H1893" s="115"/>
      <c r="I1893" s="115"/>
      <c r="J1893" s="115"/>
      <c r="K1893" s="115"/>
      <c r="L1893" s="115"/>
      <c r="M1893" s="115"/>
      <c r="N1893" s="115"/>
      <c r="O1893" s="115"/>
      <c r="P1893" s="115"/>
      <c r="Q1893" s="115"/>
      <c r="R1893" s="115"/>
      <c r="S1893" s="115"/>
      <c r="T1893" s="115"/>
      <c r="U1893" s="115"/>
      <c r="V1893" s="115"/>
      <c r="W1893" s="115"/>
      <c r="X1893" s="115"/>
      <c r="Y1893" s="115"/>
      <c r="Z1893" s="115"/>
      <c r="AA1893" s="115"/>
      <c r="AB1893" s="115"/>
      <c r="AC1893" s="115"/>
      <c r="AD1893" s="115"/>
      <c r="AE1893" s="115"/>
      <c r="AF1893" s="115"/>
      <c r="AG1893" s="115"/>
      <c r="AH1893" s="115"/>
      <c r="AI1893" s="115"/>
      <c r="AJ1893" s="115"/>
      <c r="AK1893" s="115"/>
      <c r="AL1893" s="115"/>
      <c r="AM1893" s="115"/>
      <c r="AN1893" s="115"/>
      <c r="AO1893" s="115"/>
      <c r="AP1893" s="115"/>
      <c r="AQ1893" s="115"/>
      <c r="AR1893" s="115"/>
      <c r="AS1893" s="115"/>
      <c r="AT1893" s="115"/>
      <c r="AU1893" s="115"/>
      <c r="AV1893" s="115"/>
      <c r="AW1893" s="115"/>
      <c r="AX1893" s="115"/>
      <c r="AY1893" s="115"/>
      <c r="AZ1893" s="115"/>
      <c r="BA1893" s="115"/>
      <c r="BB1893" s="115"/>
      <c r="BC1893" s="115"/>
      <c r="BD1893" s="115"/>
      <c r="BE1893" s="115"/>
      <c r="BF1893" s="115"/>
      <c r="BG1893" s="115"/>
      <c r="BH1893" s="115"/>
      <c r="BI1893" s="115"/>
      <c r="BJ1893" s="115"/>
      <c r="BK1893" s="122"/>
      <c r="BL1893" s="122"/>
      <c r="BM1893" s="122"/>
      <c r="BN1893" s="115"/>
      <c r="BO1893" s="115"/>
      <c r="BP1893" s="115"/>
      <c r="BQ1893" s="115"/>
      <c r="BR1893" s="115"/>
      <c r="BS1893" s="115"/>
      <c r="BT1893" s="115"/>
      <c r="BU1893" s="115"/>
      <c r="BV1893" s="115"/>
      <c r="BW1893" s="115"/>
      <c r="BX1893" s="115"/>
      <c r="BY1893" s="115"/>
      <c r="BZ1893" s="115"/>
      <c r="CA1893" s="115"/>
      <c r="CB1893" s="26"/>
      <c r="CC1893" s="13"/>
    </row>
    <row r="1894" spans="3:81" x14ac:dyDescent="0.4">
      <c r="C1894" s="115"/>
      <c r="D1894" s="115"/>
      <c r="E1894" s="115"/>
      <c r="F1894" s="115"/>
      <c r="G1894" s="115"/>
      <c r="H1894" s="115"/>
      <c r="I1894" s="115"/>
      <c r="J1894" s="115"/>
      <c r="K1894" s="115"/>
      <c r="L1894" s="115"/>
      <c r="M1894" s="115"/>
      <c r="N1894" s="115"/>
      <c r="O1894" s="115"/>
      <c r="P1894" s="115"/>
      <c r="Q1894" s="115"/>
      <c r="R1894" s="115"/>
      <c r="S1894" s="115"/>
      <c r="T1894" s="115"/>
      <c r="U1894" s="115"/>
      <c r="V1894" s="115"/>
      <c r="W1894" s="115"/>
      <c r="X1894" s="115"/>
      <c r="Y1894" s="115"/>
      <c r="Z1894" s="115"/>
      <c r="AA1894" s="115"/>
      <c r="AB1894" s="115"/>
      <c r="AC1894" s="115"/>
      <c r="AD1894" s="115"/>
      <c r="AE1894" s="115"/>
      <c r="AF1894" s="115"/>
      <c r="AG1894" s="115"/>
      <c r="AH1894" s="115"/>
      <c r="AI1894" s="115"/>
      <c r="AJ1894" s="115"/>
      <c r="AK1894" s="115"/>
      <c r="AL1894" s="115"/>
      <c r="AM1894" s="115"/>
      <c r="AN1894" s="115"/>
      <c r="AO1894" s="115"/>
      <c r="AP1894" s="115"/>
      <c r="AQ1894" s="115"/>
      <c r="AR1894" s="115"/>
      <c r="AS1894" s="115"/>
      <c r="AT1894" s="115"/>
      <c r="AU1894" s="115"/>
      <c r="AV1894" s="115"/>
      <c r="AW1894" s="115"/>
      <c r="AX1894" s="115"/>
      <c r="AY1894" s="115"/>
      <c r="AZ1894" s="115"/>
      <c r="BA1894" s="115"/>
      <c r="BB1894" s="115"/>
      <c r="BC1894" s="115"/>
      <c r="BD1894" s="115"/>
      <c r="BE1894" s="115"/>
      <c r="BF1894" s="115"/>
      <c r="BG1894" s="115"/>
      <c r="BH1894" s="115"/>
      <c r="BI1894" s="115"/>
      <c r="BJ1894" s="115"/>
      <c r="BK1894" s="122"/>
      <c r="BL1894" s="122"/>
      <c r="BM1894" s="122"/>
      <c r="BN1894" s="115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26"/>
      <c r="CC1894" s="13"/>
    </row>
    <row r="1895" spans="3:81" x14ac:dyDescent="0.4">
      <c r="CB1895" s="26"/>
      <c r="CC1895" s="13"/>
    </row>
    <row r="1896" spans="3:81" x14ac:dyDescent="0.4"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22"/>
      <c r="BL1896" s="122"/>
      <c r="BM1896" s="122"/>
      <c r="BN1896" s="115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26"/>
      <c r="CC1896" s="13"/>
    </row>
    <row r="1897" spans="3:81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22"/>
      <c r="BL1897" s="122"/>
      <c r="BM1897" s="122"/>
      <c r="BN1897" s="115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26"/>
      <c r="CC1897" s="13"/>
    </row>
    <row r="1898" spans="3:81" x14ac:dyDescent="0.4">
      <c r="CB1898" s="26"/>
      <c r="CC1898" s="13"/>
    </row>
    <row r="1899" spans="3:81" x14ac:dyDescent="0.4"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22"/>
      <c r="BL1899" s="122"/>
      <c r="BM1899" s="122"/>
      <c r="BN1899" s="115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26"/>
      <c r="CC1899" s="13"/>
    </row>
    <row r="1900" spans="3:81" x14ac:dyDescent="0.4">
      <c r="CB1900" s="26"/>
      <c r="CC1900" s="13"/>
    </row>
    <row r="1901" spans="3:81" x14ac:dyDescent="0.4">
      <c r="BE1901" s="115"/>
      <c r="BF1901" s="115"/>
      <c r="BG1901" s="115"/>
      <c r="BH1901" s="115"/>
      <c r="BI1901" s="115"/>
      <c r="BJ1901" s="115"/>
      <c r="BK1901" s="122"/>
      <c r="BL1901" s="122"/>
      <c r="BM1901" s="122"/>
      <c r="BN1901" s="115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26"/>
      <c r="CC1901" s="13"/>
    </row>
    <row r="1902" spans="3:81" x14ac:dyDescent="0.4">
      <c r="CB1902" s="26"/>
      <c r="CC1902" s="13"/>
    </row>
    <row r="1903" spans="3:81" x14ac:dyDescent="0.4">
      <c r="D1903" s="115"/>
      <c r="E1903" s="115"/>
      <c r="F1903" s="115"/>
      <c r="G1903" s="115"/>
      <c r="H1903" s="115"/>
      <c r="I1903" s="115"/>
      <c r="J1903" s="115"/>
      <c r="K1903" s="115"/>
      <c r="L1903" s="115"/>
      <c r="M1903" s="115"/>
      <c r="N1903" s="115"/>
      <c r="O1903" s="115"/>
      <c r="P1903" s="115"/>
      <c r="Q1903" s="115"/>
      <c r="R1903" s="115"/>
      <c r="S1903" s="115"/>
      <c r="T1903" s="115"/>
      <c r="U1903" s="115"/>
      <c r="V1903" s="115"/>
      <c r="W1903" s="115"/>
      <c r="X1903" s="115"/>
      <c r="Y1903" s="115"/>
      <c r="Z1903" s="115"/>
      <c r="AA1903" s="115"/>
      <c r="AB1903" s="115"/>
      <c r="AC1903" s="115"/>
      <c r="AD1903" s="115"/>
      <c r="AE1903" s="115"/>
      <c r="AF1903" s="115"/>
      <c r="AG1903" s="115"/>
      <c r="AH1903" s="115"/>
      <c r="AI1903" s="115"/>
      <c r="AJ1903" s="115"/>
      <c r="AK1903" s="115"/>
      <c r="AL1903" s="115"/>
      <c r="AM1903" s="115"/>
      <c r="AN1903" s="115"/>
      <c r="AO1903" s="115"/>
      <c r="AP1903" s="115"/>
      <c r="AQ1903" s="115"/>
      <c r="AR1903" s="115"/>
      <c r="AS1903" s="115"/>
      <c r="AT1903" s="115"/>
      <c r="AU1903" s="115"/>
      <c r="AV1903" s="115"/>
      <c r="AW1903" s="115"/>
      <c r="AX1903" s="115"/>
      <c r="AY1903" s="115"/>
      <c r="AZ1903" s="115"/>
      <c r="BA1903" s="115"/>
      <c r="BB1903" s="115"/>
      <c r="BC1903" s="115"/>
      <c r="BD1903" s="115"/>
      <c r="BE1903" s="115"/>
      <c r="BF1903" s="115"/>
      <c r="BG1903" s="115"/>
      <c r="BH1903" s="115"/>
      <c r="BI1903" s="115"/>
      <c r="BJ1903" s="115"/>
      <c r="BK1903" s="122"/>
      <c r="BL1903" s="122"/>
      <c r="BM1903" s="122"/>
      <c r="BN1903" s="115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26"/>
      <c r="CC1903" s="15"/>
    </row>
    <row r="1904" spans="3:81" x14ac:dyDescent="0.4">
      <c r="D1904" s="115"/>
      <c r="E1904" s="115"/>
      <c r="F1904" s="115"/>
      <c r="G1904" s="115"/>
      <c r="H1904" s="115"/>
      <c r="I1904" s="115"/>
      <c r="J1904" s="115"/>
      <c r="K1904" s="115"/>
      <c r="L1904" s="115"/>
      <c r="M1904" s="115"/>
      <c r="N1904" s="115"/>
      <c r="O1904" s="115"/>
      <c r="P1904" s="115"/>
      <c r="Q1904" s="115"/>
      <c r="R1904" s="115"/>
      <c r="S1904" s="115"/>
      <c r="T1904" s="115"/>
      <c r="U1904" s="115"/>
      <c r="V1904" s="115"/>
      <c r="W1904" s="115"/>
      <c r="X1904" s="115"/>
      <c r="Y1904" s="115"/>
      <c r="Z1904" s="115"/>
      <c r="AA1904" s="115"/>
      <c r="AB1904" s="115"/>
      <c r="AC1904" s="115"/>
      <c r="AD1904" s="115"/>
      <c r="AE1904" s="115"/>
      <c r="AF1904" s="115"/>
      <c r="AG1904" s="115"/>
      <c r="AH1904" s="115"/>
      <c r="AI1904" s="115"/>
      <c r="AJ1904" s="115"/>
      <c r="AK1904" s="115"/>
      <c r="AL1904" s="115"/>
      <c r="AM1904" s="115"/>
      <c r="AN1904" s="115"/>
      <c r="AO1904" s="115"/>
      <c r="AP1904" s="115"/>
      <c r="AQ1904" s="115"/>
      <c r="AR1904" s="115"/>
      <c r="AS1904" s="115"/>
      <c r="AT1904" s="115"/>
      <c r="AU1904" s="115"/>
      <c r="AV1904" s="115"/>
      <c r="AW1904" s="115"/>
      <c r="AX1904" s="115"/>
      <c r="AY1904" s="115"/>
      <c r="AZ1904" s="115"/>
      <c r="BA1904" s="115"/>
      <c r="BB1904" s="115"/>
      <c r="BC1904" s="115"/>
      <c r="BD1904" s="115"/>
      <c r="BE1904" s="115"/>
      <c r="BF1904" s="115"/>
      <c r="BG1904" s="115"/>
      <c r="BH1904" s="115"/>
      <c r="BI1904" s="115"/>
      <c r="BJ1904" s="115"/>
      <c r="BK1904" s="122"/>
      <c r="BL1904" s="122"/>
      <c r="BM1904" s="122"/>
      <c r="BN1904" s="115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26"/>
      <c r="CC1904" s="15"/>
    </row>
    <row r="1905" spans="1:81" x14ac:dyDescent="0.4">
      <c r="D1905" s="115"/>
      <c r="E1905" s="115"/>
      <c r="F1905" s="115"/>
      <c r="G1905" s="115"/>
      <c r="H1905" s="115"/>
      <c r="I1905" s="115"/>
      <c r="J1905" s="115"/>
      <c r="K1905" s="115"/>
      <c r="L1905" s="115"/>
      <c r="M1905" s="115"/>
      <c r="N1905" s="115"/>
      <c r="O1905" s="115"/>
      <c r="P1905" s="115"/>
      <c r="Q1905" s="115"/>
      <c r="R1905" s="115"/>
      <c r="S1905" s="115"/>
      <c r="T1905" s="115"/>
      <c r="U1905" s="115"/>
      <c r="V1905" s="115"/>
      <c r="W1905" s="115"/>
      <c r="X1905" s="115"/>
      <c r="Y1905" s="115"/>
      <c r="Z1905" s="115"/>
      <c r="AA1905" s="115"/>
      <c r="AB1905" s="115"/>
      <c r="AC1905" s="115"/>
      <c r="AD1905" s="115"/>
      <c r="AE1905" s="115"/>
      <c r="AF1905" s="115"/>
      <c r="AG1905" s="115"/>
      <c r="AH1905" s="115"/>
      <c r="AI1905" s="115"/>
      <c r="AJ1905" s="115"/>
      <c r="AK1905" s="115"/>
      <c r="AL1905" s="115"/>
      <c r="AM1905" s="115"/>
      <c r="AN1905" s="115"/>
      <c r="AO1905" s="115"/>
      <c r="AP1905" s="115"/>
      <c r="AQ1905" s="115"/>
      <c r="AR1905" s="115"/>
      <c r="AS1905" s="115"/>
      <c r="AT1905" s="115"/>
      <c r="AU1905" s="115"/>
      <c r="AV1905" s="115"/>
      <c r="AW1905" s="115"/>
      <c r="AX1905" s="115"/>
      <c r="AY1905" s="115"/>
      <c r="AZ1905" s="115"/>
      <c r="BA1905" s="115"/>
      <c r="BB1905" s="115"/>
      <c r="BC1905" s="115"/>
      <c r="BD1905" s="115"/>
      <c r="BE1905" s="115"/>
      <c r="BF1905" s="115"/>
      <c r="BG1905" s="115"/>
      <c r="BH1905" s="115"/>
      <c r="BI1905" s="115"/>
      <c r="BJ1905" s="115"/>
      <c r="BK1905" s="122"/>
      <c r="BL1905" s="122"/>
      <c r="BM1905" s="122"/>
      <c r="BN1905" s="115"/>
      <c r="BO1905" s="115"/>
      <c r="BP1905" s="115"/>
      <c r="BQ1905" s="115"/>
      <c r="BR1905" s="115"/>
      <c r="BS1905" s="115"/>
      <c r="BT1905" s="115"/>
      <c r="BU1905" s="115"/>
      <c r="BV1905" s="115"/>
      <c r="BW1905" s="115"/>
      <c r="BX1905" s="115"/>
      <c r="BY1905" s="115"/>
      <c r="BZ1905" s="115"/>
      <c r="CA1905" s="115"/>
      <c r="CB1905" s="26"/>
      <c r="CC1905" s="15"/>
    </row>
    <row r="1906" spans="1:81" x14ac:dyDescent="0.4">
      <c r="CB1906" s="26"/>
      <c r="CC1906" s="13"/>
    </row>
    <row r="1907" spans="1:81" x14ac:dyDescent="0.4">
      <c r="A1907" s="115"/>
      <c r="B1907" s="115"/>
      <c r="C1907" s="115"/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22"/>
      <c r="BL1907" s="122"/>
      <c r="BM1907" s="122"/>
      <c r="BN1907" s="115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26"/>
      <c r="CC1907" s="15"/>
    </row>
    <row r="1908" spans="1:81" x14ac:dyDescent="0.4">
      <c r="CB1908" s="26"/>
      <c r="CC1908" s="15"/>
    </row>
    <row r="1909" spans="1:81" x14ac:dyDescent="0.4">
      <c r="CB1909" s="26"/>
      <c r="CC1909" s="15"/>
    </row>
    <row r="1910" spans="1:81" x14ac:dyDescent="0.4"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22"/>
      <c r="BL1910" s="122"/>
      <c r="BM1910" s="122"/>
      <c r="BN1910" s="115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26"/>
      <c r="CC1910" s="15"/>
    </row>
    <row r="1911" spans="1:81" x14ac:dyDescent="0.4"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22"/>
      <c r="BL1911" s="122"/>
      <c r="BM1911" s="122"/>
      <c r="BN1911" s="115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26"/>
      <c r="CC1911" s="15"/>
    </row>
    <row r="1912" spans="1:81" x14ac:dyDescent="0.4">
      <c r="CB1912" s="26"/>
      <c r="CC1912" s="15"/>
    </row>
    <row r="1913" spans="1:81" x14ac:dyDescent="0.4">
      <c r="BD1913" s="115"/>
      <c r="BE1913" s="115"/>
      <c r="BF1913" s="115"/>
      <c r="BG1913" s="115"/>
      <c r="BH1913" s="115"/>
      <c r="BI1913" s="115"/>
      <c r="BJ1913" s="115"/>
      <c r="BK1913" s="122"/>
      <c r="BL1913" s="122"/>
      <c r="BM1913" s="122"/>
      <c r="BN1913" s="115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26"/>
      <c r="CC1913" s="15"/>
    </row>
    <row r="1914" spans="1:81" x14ac:dyDescent="0.4"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22"/>
      <c r="BL1914" s="122"/>
      <c r="BM1914" s="122"/>
      <c r="BN1914" s="115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26"/>
      <c r="CC1914" s="15"/>
    </row>
    <row r="1915" spans="1:81" x14ac:dyDescent="0.4">
      <c r="D1915" s="115"/>
      <c r="E1915" s="115"/>
      <c r="F1915" s="115"/>
      <c r="G1915" s="115"/>
      <c r="H1915" s="115"/>
      <c r="I1915" s="115"/>
      <c r="J1915" s="115"/>
      <c r="K1915" s="115"/>
      <c r="L1915" s="115"/>
      <c r="M1915" s="115"/>
      <c r="N1915" s="115"/>
      <c r="O1915" s="115"/>
      <c r="P1915" s="115"/>
      <c r="Q1915" s="115"/>
      <c r="R1915" s="115"/>
      <c r="S1915" s="115"/>
      <c r="T1915" s="115"/>
      <c r="U1915" s="115"/>
      <c r="V1915" s="115"/>
      <c r="W1915" s="115"/>
      <c r="X1915" s="115"/>
      <c r="Y1915" s="115"/>
      <c r="Z1915" s="115"/>
      <c r="AA1915" s="115"/>
      <c r="AB1915" s="115"/>
      <c r="AC1915" s="115"/>
      <c r="AD1915" s="115"/>
      <c r="AE1915" s="115"/>
      <c r="AF1915" s="115"/>
      <c r="AG1915" s="115"/>
      <c r="AH1915" s="115"/>
      <c r="AI1915" s="115"/>
      <c r="AJ1915" s="115"/>
      <c r="AK1915" s="115"/>
      <c r="AL1915" s="115"/>
      <c r="AM1915" s="115"/>
      <c r="AN1915" s="115"/>
      <c r="AO1915" s="115"/>
      <c r="AP1915" s="115"/>
      <c r="AQ1915" s="115"/>
      <c r="AR1915" s="115"/>
      <c r="AS1915" s="115"/>
      <c r="AT1915" s="115"/>
      <c r="AU1915" s="115"/>
      <c r="AV1915" s="115"/>
      <c r="AW1915" s="115"/>
      <c r="AX1915" s="115"/>
      <c r="AY1915" s="115"/>
      <c r="AZ1915" s="115"/>
      <c r="BA1915" s="115"/>
      <c r="BB1915" s="115"/>
      <c r="BC1915" s="115"/>
      <c r="BD1915" s="115"/>
      <c r="BE1915" s="115"/>
      <c r="BF1915" s="115"/>
      <c r="BG1915" s="115"/>
      <c r="BH1915" s="115"/>
      <c r="BI1915" s="115"/>
      <c r="BJ1915" s="115"/>
      <c r="BK1915" s="122"/>
      <c r="BL1915" s="122"/>
      <c r="BM1915" s="122"/>
      <c r="BN1915" s="115"/>
      <c r="BO1915" s="115"/>
      <c r="BP1915" s="115"/>
      <c r="BQ1915" s="115"/>
      <c r="BR1915" s="115"/>
      <c r="BS1915" s="115"/>
      <c r="BT1915" s="115"/>
      <c r="BU1915" s="115"/>
      <c r="BV1915" s="115"/>
      <c r="BW1915" s="115"/>
      <c r="BX1915" s="115"/>
      <c r="BY1915" s="115"/>
      <c r="BZ1915" s="115"/>
      <c r="CA1915" s="115"/>
      <c r="CB1915" s="26"/>
      <c r="CC1915" s="15"/>
    </row>
    <row r="1916" spans="1:81" x14ac:dyDescent="0.4">
      <c r="D1916" s="115"/>
      <c r="E1916" s="115"/>
      <c r="F1916" s="115"/>
      <c r="G1916" s="115"/>
      <c r="H1916" s="115"/>
      <c r="I1916" s="115"/>
      <c r="J1916" s="115"/>
      <c r="K1916" s="115"/>
      <c r="L1916" s="115"/>
      <c r="M1916" s="115"/>
      <c r="N1916" s="115"/>
      <c r="O1916" s="115"/>
      <c r="P1916" s="115"/>
      <c r="Q1916" s="115"/>
      <c r="R1916" s="115"/>
      <c r="S1916" s="115"/>
      <c r="T1916" s="115"/>
      <c r="U1916" s="115"/>
      <c r="V1916" s="115"/>
      <c r="W1916" s="115"/>
      <c r="X1916" s="115"/>
      <c r="Y1916" s="115"/>
      <c r="Z1916" s="115"/>
      <c r="AA1916" s="115"/>
      <c r="AB1916" s="115"/>
      <c r="AC1916" s="115"/>
      <c r="AD1916" s="115"/>
      <c r="AE1916" s="115"/>
      <c r="AF1916" s="115"/>
      <c r="AG1916" s="115"/>
      <c r="AH1916" s="115"/>
      <c r="AI1916" s="115"/>
      <c r="AJ1916" s="115"/>
      <c r="AK1916" s="115"/>
      <c r="AL1916" s="115"/>
      <c r="AM1916" s="115"/>
      <c r="AN1916" s="115"/>
      <c r="AO1916" s="115"/>
      <c r="AP1916" s="115"/>
      <c r="AQ1916" s="115"/>
      <c r="AR1916" s="115"/>
      <c r="AS1916" s="115"/>
      <c r="AT1916" s="115"/>
      <c r="AU1916" s="115"/>
      <c r="AV1916" s="115"/>
      <c r="AW1916" s="115"/>
      <c r="AX1916" s="115"/>
      <c r="AY1916" s="115"/>
      <c r="AZ1916" s="115"/>
      <c r="BA1916" s="115"/>
      <c r="BB1916" s="115"/>
      <c r="BC1916" s="115"/>
      <c r="BD1916" s="115"/>
      <c r="BE1916" s="115"/>
      <c r="BF1916" s="115"/>
      <c r="BG1916" s="115"/>
      <c r="BH1916" s="115"/>
      <c r="BI1916" s="115"/>
      <c r="BJ1916" s="115"/>
      <c r="BK1916" s="122"/>
      <c r="BL1916" s="122"/>
      <c r="BM1916" s="122"/>
      <c r="BN1916" s="115"/>
      <c r="BO1916" s="115"/>
      <c r="BP1916" s="115"/>
      <c r="BQ1916" s="115"/>
      <c r="BR1916" s="115"/>
      <c r="BS1916" s="115"/>
      <c r="BT1916" s="115"/>
      <c r="BU1916" s="115"/>
      <c r="BV1916" s="115"/>
      <c r="BW1916" s="115"/>
      <c r="BX1916" s="115"/>
      <c r="BY1916" s="115"/>
      <c r="BZ1916" s="115"/>
      <c r="CA1916" s="115"/>
      <c r="CB1916" s="26"/>
      <c r="CC1916" s="15"/>
    </row>
    <row r="1917" spans="1:81" x14ac:dyDescent="0.4">
      <c r="C1917" s="115"/>
      <c r="D1917" s="115"/>
      <c r="E1917" s="115"/>
      <c r="F1917" s="115"/>
      <c r="G1917" s="115"/>
      <c r="H1917" s="115"/>
      <c r="I1917" s="115"/>
      <c r="J1917" s="115"/>
      <c r="K1917" s="115"/>
      <c r="L1917" s="115"/>
      <c r="M1917" s="115"/>
      <c r="N1917" s="115"/>
      <c r="O1917" s="115"/>
      <c r="P1917" s="115"/>
      <c r="Q1917" s="115"/>
      <c r="R1917" s="115"/>
      <c r="S1917" s="115"/>
      <c r="T1917" s="115"/>
      <c r="U1917" s="115"/>
      <c r="V1917" s="115"/>
      <c r="W1917" s="115"/>
      <c r="X1917" s="115"/>
      <c r="Y1917" s="115"/>
      <c r="Z1917" s="115"/>
      <c r="AA1917" s="115"/>
      <c r="AB1917" s="115"/>
      <c r="AC1917" s="115"/>
      <c r="AD1917" s="115"/>
      <c r="AE1917" s="115"/>
      <c r="AF1917" s="115"/>
      <c r="AG1917" s="115"/>
      <c r="AH1917" s="115"/>
      <c r="AI1917" s="115"/>
      <c r="AJ1917" s="115"/>
      <c r="AK1917" s="115"/>
      <c r="AL1917" s="115"/>
      <c r="AM1917" s="115"/>
      <c r="AN1917" s="115"/>
      <c r="AO1917" s="115"/>
      <c r="AP1917" s="115"/>
      <c r="AQ1917" s="115"/>
      <c r="AR1917" s="115"/>
      <c r="AS1917" s="115"/>
      <c r="AT1917" s="115"/>
      <c r="AU1917" s="115"/>
      <c r="AV1917" s="115"/>
      <c r="AW1917" s="115"/>
      <c r="AX1917" s="115"/>
      <c r="AY1917" s="115"/>
      <c r="AZ1917" s="115"/>
      <c r="BA1917" s="115"/>
      <c r="BB1917" s="115"/>
      <c r="BC1917" s="115"/>
      <c r="BD1917" s="115"/>
      <c r="BE1917" s="115"/>
      <c r="BF1917" s="115"/>
      <c r="BG1917" s="115"/>
      <c r="BH1917" s="115"/>
      <c r="BI1917" s="115"/>
      <c r="BJ1917" s="115"/>
      <c r="BK1917" s="122"/>
      <c r="BL1917" s="122"/>
      <c r="BM1917" s="122"/>
      <c r="BN1917" s="115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26"/>
      <c r="CC1917" s="15"/>
    </row>
    <row r="1918" spans="1:81" x14ac:dyDescent="0.4">
      <c r="CB1918" s="26"/>
      <c r="CC1918" s="15"/>
    </row>
    <row r="1919" spans="1:81" x14ac:dyDescent="0.4">
      <c r="BG1919" s="115"/>
      <c r="BH1919" s="115"/>
      <c r="BI1919" s="115"/>
      <c r="BJ1919" s="115"/>
      <c r="BK1919" s="122"/>
      <c r="BL1919" s="122"/>
      <c r="BM1919" s="122"/>
      <c r="BN1919" s="115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7"/>
      <c r="CC1919" s="15"/>
    </row>
    <row r="1920" spans="1:81" x14ac:dyDescent="0.4">
      <c r="CB1920" s="26"/>
      <c r="CC1920" s="15"/>
    </row>
    <row r="1921" spans="1:81" x14ac:dyDescent="0.4">
      <c r="BE1921" s="115"/>
      <c r="BF1921" s="115"/>
      <c r="BG1921" s="115"/>
      <c r="BH1921" s="115"/>
      <c r="BI1921" s="115"/>
      <c r="BJ1921" s="115"/>
      <c r="BK1921" s="122"/>
      <c r="BL1921" s="122"/>
      <c r="BM1921" s="122"/>
      <c r="BN1921" s="115"/>
      <c r="BO1921" s="115"/>
      <c r="BP1921" s="115"/>
      <c r="BQ1921" s="115"/>
      <c r="BR1921" s="115"/>
      <c r="BS1921" s="115"/>
      <c r="BT1921" s="115"/>
      <c r="BU1921" s="115"/>
      <c r="BV1921" s="115"/>
      <c r="BW1921" s="115"/>
      <c r="BX1921" s="115"/>
      <c r="BY1921" s="115"/>
      <c r="BZ1921" s="115"/>
      <c r="CA1921" s="115"/>
      <c r="CB1921" s="26"/>
      <c r="CC1921" s="15"/>
    </row>
    <row r="1922" spans="1:81" x14ac:dyDescent="0.4">
      <c r="CB1922" s="26"/>
      <c r="CC1922" s="15"/>
    </row>
    <row r="1923" spans="1:81" x14ac:dyDescent="0.4">
      <c r="CB1923" s="26"/>
      <c r="CC1923" s="15"/>
    </row>
    <row r="1924" spans="1:81" x14ac:dyDescent="0.4">
      <c r="E1924" s="115"/>
      <c r="F1924" s="115"/>
      <c r="G1924" s="115"/>
      <c r="H1924" s="115"/>
      <c r="I1924" s="115"/>
      <c r="J1924" s="115"/>
      <c r="K1924" s="115"/>
      <c r="L1924" s="115"/>
      <c r="M1924" s="115"/>
      <c r="N1924" s="115"/>
      <c r="O1924" s="115"/>
      <c r="P1924" s="115"/>
      <c r="Q1924" s="115"/>
      <c r="R1924" s="115"/>
      <c r="S1924" s="115"/>
      <c r="T1924" s="115"/>
      <c r="U1924" s="115"/>
      <c r="V1924" s="115"/>
      <c r="W1924" s="115"/>
      <c r="X1924" s="115"/>
      <c r="Y1924" s="115"/>
      <c r="Z1924" s="115"/>
      <c r="AA1924" s="115"/>
      <c r="AB1924" s="115"/>
      <c r="AC1924" s="115"/>
      <c r="AD1924" s="115"/>
      <c r="AE1924" s="115"/>
      <c r="AF1924" s="115"/>
      <c r="AG1924" s="115"/>
      <c r="AH1924" s="115"/>
      <c r="AI1924" s="115"/>
      <c r="AJ1924" s="115"/>
      <c r="AK1924" s="115"/>
      <c r="AL1924" s="115"/>
      <c r="AM1924" s="115"/>
      <c r="AN1924" s="115"/>
      <c r="AO1924" s="115"/>
      <c r="AP1924" s="115"/>
      <c r="AQ1924" s="115"/>
      <c r="AR1924" s="115"/>
      <c r="AS1924" s="115"/>
      <c r="AT1924" s="115"/>
      <c r="AU1924" s="115"/>
      <c r="AV1924" s="115"/>
      <c r="AW1924" s="115"/>
      <c r="AX1924" s="115"/>
      <c r="AY1924" s="115"/>
      <c r="AZ1924" s="115"/>
      <c r="BA1924" s="115"/>
      <c r="BB1924" s="115"/>
      <c r="BC1924" s="115"/>
      <c r="BD1924" s="115"/>
      <c r="BE1924" s="115"/>
      <c r="BF1924" s="115"/>
      <c r="BG1924" s="115"/>
      <c r="BH1924" s="115"/>
      <c r="BI1924" s="115"/>
      <c r="BJ1924" s="115"/>
      <c r="BK1924" s="122"/>
      <c r="BL1924" s="122"/>
      <c r="BM1924" s="122"/>
      <c r="BN1924" s="115"/>
      <c r="BO1924" s="115"/>
      <c r="BP1924" s="115"/>
      <c r="BQ1924" s="115"/>
      <c r="BR1924" s="115"/>
      <c r="BS1924" s="115"/>
      <c r="BT1924" s="115"/>
      <c r="BU1924" s="115"/>
      <c r="BV1924" s="115"/>
      <c r="BW1924" s="115"/>
      <c r="BX1924" s="115"/>
      <c r="BY1924" s="115"/>
      <c r="BZ1924" s="115"/>
      <c r="CA1924" s="115"/>
      <c r="CB1924" s="26"/>
      <c r="CC1924" s="15"/>
    </row>
    <row r="1925" spans="1:81" x14ac:dyDescent="0.4"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22"/>
      <c r="BL1925" s="122"/>
      <c r="BM1925" s="122"/>
      <c r="BN1925" s="115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26"/>
      <c r="CC1925" s="15"/>
    </row>
    <row r="1926" spans="1:81" x14ac:dyDescent="0.4">
      <c r="A1926" s="115"/>
      <c r="B1926" s="115"/>
      <c r="C1926" s="115"/>
      <c r="D1926" s="115"/>
      <c r="E1926" s="115"/>
      <c r="F1926" s="115"/>
      <c r="G1926" s="115"/>
      <c r="H1926" s="115"/>
      <c r="I1926" s="115"/>
      <c r="J1926" s="115"/>
      <c r="K1926" s="115"/>
      <c r="L1926" s="115"/>
      <c r="M1926" s="115"/>
      <c r="N1926" s="115"/>
      <c r="O1926" s="115"/>
      <c r="P1926" s="115"/>
      <c r="Q1926" s="115"/>
      <c r="R1926" s="115"/>
      <c r="S1926" s="115"/>
      <c r="T1926" s="115"/>
      <c r="U1926" s="115"/>
      <c r="V1926" s="115"/>
      <c r="W1926" s="115"/>
      <c r="X1926" s="115"/>
      <c r="Y1926" s="115"/>
      <c r="Z1926" s="115"/>
      <c r="AA1926" s="115"/>
      <c r="AB1926" s="115"/>
      <c r="AC1926" s="115"/>
      <c r="AD1926" s="115"/>
      <c r="AE1926" s="115"/>
      <c r="AF1926" s="115"/>
      <c r="AG1926" s="115"/>
      <c r="AH1926" s="115"/>
      <c r="AI1926" s="115"/>
      <c r="AJ1926" s="115"/>
      <c r="AK1926" s="115"/>
      <c r="AL1926" s="115"/>
      <c r="AM1926" s="115"/>
      <c r="AN1926" s="115"/>
      <c r="AO1926" s="115"/>
      <c r="AP1926" s="115"/>
      <c r="AQ1926" s="115"/>
      <c r="AR1926" s="115"/>
      <c r="AS1926" s="115"/>
      <c r="AT1926" s="115"/>
      <c r="AU1926" s="115"/>
      <c r="AV1926" s="115"/>
      <c r="AW1926" s="115"/>
      <c r="AX1926" s="115"/>
      <c r="AY1926" s="115"/>
      <c r="AZ1926" s="115"/>
      <c r="BA1926" s="115"/>
      <c r="BB1926" s="115"/>
      <c r="BC1926" s="115"/>
      <c r="BD1926" s="115"/>
      <c r="BE1926" s="115"/>
      <c r="BF1926" s="115"/>
      <c r="BG1926" s="115"/>
      <c r="BH1926" s="115"/>
      <c r="BI1926" s="115"/>
      <c r="BJ1926" s="115"/>
      <c r="BK1926" s="122"/>
      <c r="BL1926" s="122"/>
      <c r="BM1926" s="122"/>
      <c r="BN1926" s="115"/>
      <c r="BO1926" s="115"/>
      <c r="BP1926" s="115"/>
      <c r="BQ1926" s="115"/>
      <c r="BR1926" s="115"/>
      <c r="BS1926" s="115"/>
      <c r="BT1926" s="115"/>
      <c r="BU1926" s="115"/>
      <c r="BV1926" s="115"/>
      <c r="BW1926" s="115"/>
      <c r="BX1926" s="115"/>
      <c r="BY1926" s="115"/>
      <c r="BZ1926" s="115"/>
      <c r="CA1926" s="115"/>
      <c r="CB1926" s="26"/>
      <c r="CC1926" s="15"/>
    </row>
    <row r="1927" spans="1:81" x14ac:dyDescent="0.4">
      <c r="A1927" s="115"/>
      <c r="B1927" s="115"/>
      <c r="C1927" s="115"/>
      <c r="D1927" s="115"/>
      <c r="E1927" s="115"/>
      <c r="F1927" s="115"/>
      <c r="G1927" s="115"/>
      <c r="H1927" s="115"/>
      <c r="I1927" s="115"/>
      <c r="J1927" s="115"/>
      <c r="K1927" s="115"/>
      <c r="L1927" s="115"/>
      <c r="M1927" s="115"/>
      <c r="N1927" s="115"/>
      <c r="O1927" s="115"/>
      <c r="P1927" s="115"/>
      <c r="Q1927" s="115"/>
      <c r="R1927" s="115"/>
      <c r="S1927" s="115"/>
      <c r="T1927" s="115"/>
      <c r="U1927" s="115"/>
      <c r="V1927" s="115"/>
      <c r="W1927" s="115"/>
      <c r="X1927" s="115"/>
      <c r="Y1927" s="115"/>
      <c r="Z1927" s="115"/>
      <c r="AA1927" s="115"/>
      <c r="AB1927" s="115"/>
      <c r="AC1927" s="115"/>
      <c r="AD1927" s="115"/>
      <c r="AE1927" s="115"/>
      <c r="AF1927" s="115"/>
      <c r="AG1927" s="115"/>
      <c r="AH1927" s="115"/>
      <c r="AI1927" s="115"/>
      <c r="AJ1927" s="115"/>
      <c r="AK1927" s="115"/>
      <c r="AL1927" s="115"/>
      <c r="AM1927" s="115"/>
      <c r="AN1927" s="115"/>
      <c r="AO1927" s="115"/>
      <c r="AP1927" s="115"/>
      <c r="AQ1927" s="115"/>
      <c r="AR1927" s="115"/>
      <c r="AS1927" s="115"/>
      <c r="AT1927" s="115"/>
      <c r="AU1927" s="115"/>
      <c r="AV1927" s="115"/>
      <c r="AW1927" s="115"/>
      <c r="AX1927" s="115"/>
      <c r="AY1927" s="115"/>
      <c r="AZ1927" s="115"/>
      <c r="BA1927" s="115"/>
      <c r="BB1927" s="115"/>
      <c r="BC1927" s="115"/>
      <c r="BD1927" s="115"/>
      <c r="BE1927" s="115"/>
      <c r="BF1927" s="115"/>
      <c r="BG1927" s="115"/>
      <c r="BH1927" s="115"/>
      <c r="BI1927" s="115"/>
      <c r="BJ1927" s="115"/>
      <c r="BK1927" s="122"/>
      <c r="BL1927" s="122"/>
      <c r="BM1927" s="122"/>
      <c r="BN1927" s="115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26"/>
      <c r="CC1927" s="15"/>
    </row>
    <row r="1928" spans="1:81" x14ac:dyDescent="0.4">
      <c r="CB1928" s="26"/>
      <c r="CC1928" s="15"/>
    </row>
    <row r="1929" spans="1:81" x14ac:dyDescent="0.4">
      <c r="BG1929" s="115"/>
      <c r="BH1929" s="115"/>
      <c r="BI1929" s="115"/>
      <c r="BJ1929" s="115"/>
      <c r="BK1929" s="122"/>
      <c r="BL1929" s="122"/>
      <c r="BM1929" s="122"/>
      <c r="BN1929" s="115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7"/>
      <c r="CC1929" s="15"/>
    </row>
    <row r="1930" spans="1:81" x14ac:dyDescent="0.4">
      <c r="CB1930" s="26"/>
      <c r="CC1930" s="15"/>
    </row>
    <row r="1931" spans="1:81" x14ac:dyDescent="0.4"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22"/>
      <c r="BL1931" s="122"/>
      <c r="BM1931" s="122"/>
      <c r="BN1931" s="115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26"/>
      <c r="CC1931" s="15"/>
    </row>
    <row r="1932" spans="1:81" x14ac:dyDescent="0.4">
      <c r="C1932" s="115"/>
      <c r="D1932" s="115"/>
      <c r="E1932" s="115"/>
      <c r="F1932" s="115"/>
      <c r="G1932" s="115"/>
      <c r="H1932" s="115"/>
      <c r="I1932" s="115"/>
      <c r="J1932" s="115"/>
      <c r="K1932" s="115"/>
      <c r="L1932" s="115"/>
      <c r="M1932" s="115"/>
      <c r="N1932" s="115"/>
      <c r="O1932" s="115"/>
      <c r="P1932" s="115"/>
      <c r="Q1932" s="115"/>
      <c r="R1932" s="115"/>
      <c r="S1932" s="115"/>
      <c r="T1932" s="115"/>
      <c r="U1932" s="115"/>
      <c r="V1932" s="115"/>
      <c r="W1932" s="115"/>
      <c r="X1932" s="115"/>
      <c r="Y1932" s="115"/>
      <c r="Z1932" s="115"/>
      <c r="AA1932" s="115"/>
      <c r="AB1932" s="115"/>
      <c r="AC1932" s="115"/>
      <c r="AD1932" s="115"/>
      <c r="AE1932" s="115"/>
      <c r="AF1932" s="115"/>
      <c r="AG1932" s="115"/>
      <c r="AH1932" s="115"/>
      <c r="AI1932" s="115"/>
      <c r="AJ1932" s="115"/>
      <c r="AK1932" s="115"/>
      <c r="AL1932" s="115"/>
      <c r="AM1932" s="115"/>
      <c r="AN1932" s="115"/>
      <c r="AO1932" s="115"/>
      <c r="AP1932" s="115"/>
      <c r="AQ1932" s="115"/>
      <c r="AR1932" s="115"/>
      <c r="AS1932" s="115"/>
      <c r="AT1932" s="115"/>
      <c r="AU1932" s="115"/>
      <c r="AV1932" s="115"/>
      <c r="AW1932" s="115"/>
      <c r="AX1932" s="115"/>
      <c r="AY1932" s="115"/>
      <c r="AZ1932" s="115"/>
      <c r="BA1932" s="115"/>
      <c r="BB1932" s="115"/>
      <c r="BC1932" s="115"/>
      <c r="BD1932" s="115"/>
      <c r="BE1932" s="115"/>
      <c r="BF1932" s="115"/>
      <c r="BG1932" s="115"/>
      <c r="BH1932" s="115"/>
      <c r="BI1932" s="115"/>
      <c r="BJ1932" s="115"/>
      <c r="BK1932" s="122"/>
      <c r="BL1932" s="122"/>
      <c r="BM1932" s="122"/>
      <c r="BN1932" s="115"/>
      <c r="BO1932" s="115"/>
      <c r="BP1932" s="115"/>
      <c r="BQ1932" s="115"/>
      <c r="BR1932" s="115"/>
      <c r="BS1932" s="115"/>
      <c r="BT1932" s="115"/>
      <c r="BU1932" s="115"/>
      <c r="BV1932" s="115"/>
      <c r="BW1932" s="115"/>
      <c r="BX1932" s="115"/>
      <c r="BY1932" s="115"/>
      <c r="BZ1932" s="115"/>
      <c r="CA1932" s="115"/>
      <c r="CB1932" s="26"/>
      <c r="CC1932" s="15"/>
    </row>
    <row r="1933" spans="1:81" x14ac:dyDescent="0.4"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22"/>
      <c r="BL1933" s="122"/>
      <c r="BM1933" s="122"/>
      <c r="BN1933" s="115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7"/>
      <c r="CC1933" s="15"/>
    </row>
    <row r="1934" spans="1:81" x14ac:dyDescent="0.4">
      <c r="CB1934" s="26"/>
      <c r="CC1934" s="15"/>
    </row>
    <row r="1935" spans="1:81" x14ac:dyDescent="0.4">
      <c r="D1935" s="115"/>
      <c r="E1935" s="115"/>
      <c r="F1935" s="115"/>
      <c r="G1935" s="115"/>
      <c r="H1935" s="115"/>
      <c r="I1935" s="115"/>
      <c r="J1935" s="115"/>
      <c r="K1935" s="115"/>
      <c r="L1935" s="115"/>
      <c r="M1935" s="115"/>
      <c r="N1935" s="115"/>
      <c r="O1935" s="115"/>
      <c r="P1935" s="115"/>
      <c r="Q1935" s="115"/>
      <c r="R1935" s="115"/>
      <c r="S1935" s="115"/>
      <c r="T1935" s="115"/>
      <c r="U1935" s="115"/>
      <c r="V1935" s="115"/>
      <c r="W1935" s="115"/>
      <c r="X1935" s="115"/>
      <c r="Y1935" s="115"/>
      <c r="Z1935" s="115"/>
      <c r="AA1935" s="115"/>
      <c r="AB1935" s="115"/>
      <c r="AC1935" s="115"/>
      <c r="AD1935" s="115"/>
      <c r="AE1935" s="115"/>
      <c r="AF1935" s="115"/>
      <c r="AG1935" s="115"/>
      <c r="AH1935" s="115"/>
      <c r="AI1935" s="115"/>
      <c r="AJ1935" s="115"/>
      <c r="AK1935" s="115"/>
      <c r="AL1935" s="115"/>
      <c r="AM1935" s="115"/>
      <c r="AN1935" s="115"/>
      <c r="AO1935" s="115"/>
      <c r="AP1935" s="115"/>
      <c r="AQ1935" s="115"/>
      <c r="AR1935" s="115"/>
      <c r="AS1935" s="115"/>
      <c r="AT1935" s="115"/>
      <c r="AU1935" s="115"/>
      <c r="AV1935" s="115"/>
      <c r="AW1935" s="115"/>
      <c r="AX1935" s="115"/>
      <c r="AY1935" s="115"/>
      <c r="AZ1935" s="115"/>
      <c r="BA1935" s="115"/>
      <c r="BB1935" s="115"/>
      <c r="BC1935" s="115"/>
      <c r="BD1935" s="115"/>
      <c r="BE1935" s="115"/>
      <c r="BF1935" s="115"/>
      <c r="BG1935" s="115"/>
      <c r="BH1935" s="115"/>
      <c r="BI1935" s="115"/>
      <c r="BJ1935" s="115"/>
      <c r="BK1935" s="122"/>
      <c r="BL1935" s="122"/>
      <c r="BM1935" s="122"/>
      <c r="BN1935" s="115"/>
      <c r="BO1935" s="115"/>
      <c r="BP1935" s="115"/>
      <c r="BQ1935" s="115"/>
      <c r="BR1935" s="115"/>
      <c r="BS1935" s="115"/>
      <c r="BT1935" s="115"/>
      <c r="BU1935" s="115"/>
      <c r="BV1935" s="115"/>
      <c r="BW1935" s="115"/>
      <c r="BX1935" s="115"/>
      <c r="BY1935" s="115"/>
      <c r="BZ1935" s="115"/>
      <c r="CA1935" s="115"/>
      <c r="CB1935" s="26"/>
      <c r="CC1935" s="15"/>
    </row>
    <row r="1936" spans="1:81" x14ac:dyDescent="0.4">
      <c r="D1936" s="115"/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22"/>
      <c r="BL1936" s="122"/>
      <c r="BM1936" s="122"/>
      <c r="BN1936" s="115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7"/>
      <c r="CC1936" s="15"/>
    </row>
    <row r="1937" spans="3:81" x14ac:dyDescent="0.4">
      <c r="CB1937" s="26"/>
      <c r="CC1937" s="15"/>
    </row>
    <row r="1938" spans="3:81" x14ac:dyDescent="0.4">
      <c r="BG1938" s="115"/>
      <c r="BH1938" s="115"/>
      <c r="BI1938" s="115"/>
      <c r="BJ1938" s="115"/>
      <c r="BK1938" s="122"/>
      <c r="BL1938" s="122"/>
      <c r="BM1938" s="122"/>
      <c r="BN1938" s="115"/>
      <c r="BO1938" s="115"/>
      <c r="BP1938" s="115"/>
      <c r="BQ1938" s="115"/>
      <c r="BR1938" s="115"/>
      <c r="BS1938" s="115"/>
      <c r="BT1938" s="115"/>
      <c r="BU1938" s="115"/>
      <c r="BV1938" s="115"/>
      <c r="BW1938" s="115"/>
      <c r="BX1938" s="115"/>
      <c r="BY1938" s="115"/>
      <c r="BZ1938" s="115"/>
      <c r="CA1938" s="115"/>
      <c r="CB1938" s="17"/>
      <c r="CC1938" s="15"/>
    </row>
    <row r="1939" spans="3:81" x14ac:dyDescent="0.4">
      <c r="C1939" s="115"/>
      <c r="D1939" s="115"/>
      <c r="E1939" s="115"/>
      <c r="F1939" s="115"/>
      <c r="G1939" s="115"/>
      <c r="H1939" s="115"/>
      <c r="I1939" s="115"/>
      <c r="J1939" s="115"/>
      <c r="K1939" s="115"/>
      <c r="L1939" s="115"/>
      <c r="M1939" s="115"/>
      <c r="N1939" s="115"/>
      <c r="O1939" s="115"/>
      <c r="P1939" s="115"/>
      <c r="Q1939" s="115"/>
      <c r="R1939" s="115"/>
      <c r="S1939" s="115"/>
      <c r="T1939" s="115"/>
      <c r="U1939" s="115"/>
      <c r="V1939" s="115"/>
      <c r="W1939" s="115"/>
      <c r="X1939" s="115"/>
      <c r="Y1939" s="115"/>
      <c r="Z1939" s="115"/>
      <c r="AA1939" s="115"/>
      <c r="AB1939" s="115"/>
      <c r="AC1939" s="115"/>
      <c r="AD1939" s="115"/>
      <c r="AE1939" s="115"/>
      <c r="AF1939" s="115"/>
      <c r="AG1939" s="115"/>
      <c r="AH1939" s="115"/>
      <c r="AI1939" s="115"/>
      <c r="AJ1939" s="115"/>
      <c r="AK1939" s="115"/>
      <c r="AL1939" s="115"/>
      <c r="AM1939" s="115"/>
      <c r="AN1939" s="115"/>
      <c r="AO1939" s="115"/>
      <c r="AP1939" s="115"/>
      <c r="AQ1939" s="115"/>
      <c r="AR1939" s="115"/>
      <c r="AS1939" s="115"/>
      <c r="AT1939" s="115"/>
      <c r="AU1939" s="115"/>
      <c r="AV1939" s="115"/>
      <c r="AW1939" s="115"/>
      <c r="AX1939" s="115"/>
      <c r="AY1939" s="115"/>
      <c r="AZ1939" s="115"/>
      <c r="BA1939" s="115"/>
      <c r="BB1939" s="115"/>
      <c r="BC1939" s="115"/>
      <c r="BD1939" s="115"/>
      <c r="BE1939" s="115"/>
      <c r="BF1939" s="115"/>
      <c r="BG1939" s="115"/>
      <c r="BH1939" s="115"/>
      <c r="BI1939" s="115"/>
      <c r="BJ1939" s="115"/>
      <c r="BK1939" s="122"/>
      <c r="BL1939" s="122"/>
      <c r="BM1939" s="122"/>
      <c r="BN1939" s="115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26"/>
      <c r="CC1939" s="15"/>
    </row>
    <row r="1940" spans="3:81" x14ac:dyDescent="0.4">
      <c r="C1940" s="115"/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22"/>
      <c r="BL1940" s="122"/>
      <c r="BM1940" s="122"/>
      <c r="BN1940" s="115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7"/>
      <c r="CC1940" s="15"/>
    </row>
    <row r="1941" spans="3:81" x14ac:dyDescent="0.4">
      <c r="CB1941" s="26"/>
      <c r="CC1941" s="15"/>
    </row>
    <row r="1942" spans="3:81" x14ac:dyDescent="0.4">
      <c r="CB1942" s="26"/>
      <c r="CC1942" s="15"/>
    </row>
    <row r="1943" spans="3:81" x14ac:dyDescent="0.4">
      <c r="BF1943" s="115"/>
      <c r="BG1943" s="115"/>
      <c r="BH1943" s="115"/>
      <c r="BI1943" s="115"/>
      <c r="BJ1943" s="115"/>
      <c r="BK1943" s="122"/>
      <c r="BL1943" s="122"/>
      <c r="BM1943" s="122"/>
      <c r="BN1943" s="115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26"/>
      <c r="CC1943" s="15"/>
    </row>
    <row r="1944" spans="3:81" x14ac:dyDescent="0.4">
      <c r="BD1944" s="115"/>
      <c r="BE1944" s="115"/>
      <c r="BF1944" s="115"/>
      <c r="BG1944" s="115"/>
      <c r="BH1944" s="115"/>
      <c r="BI1944" s="115"/>
      <c r="BJ1944" s="115"/>
      <c r="BK1944" s="122"/>
      <c r="BL1944" s="122"/>
      <c r="BM1944" s="122"/>
      <c r="BN1944" s="115"/>
      <c r="BO1944" s="115"/>
      <c r="BP1944" s="115"/>
      <c r="BQ1944" s="115"/>
      <c r="BR1944" s="115"/>
      <c r="BS1944" s="115"/>
      <c r="BT1944" s="115"/>
      <c r="BU1944" s="115"/>
      <c r="BV1944" s="115"/>
      <c r="BW1944" s="115"/>
      <c r="BX1944" s="115"/>
      <c r="BY1944" s="115"/>
      <c r="BZ1944" s="115"/>
      <c r="CA1944" s="115"/>
      <c r="CB1944" s="26"/>
      <c r="CC1944" s="15"/>
    </row>
    <row r="1945" spans="3:81" x14ac:dyDescent="0.4">
      <c r="BD1945" s="115"/>
      <c r="BE1945" s="115"/>
      <c r="BF1945" s="115"/>
      <c r="BG1945" s="115"/>
      <c r="BH1945" s="115"/>
      <c r="BI1945" s="115"/>
      <c r="BJ1945" s="115"/>
      <c r="BK1945" s="122"/>
      <c r="BL1945" s="122"/>
      <c r="BM1945" s="122"/>
      <c r="BN1945" s="115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26"/>
      <c r="CC1945" s="15"/>
    </row>
    <row r="1946" spans="3:81" x14ac:dyDescent="0.4">
      <c r="E1946" s="115"/>
      <c r="F1946" s="115"/>
      <c r="G1946" s="115"/>
      <c r="H1946" s="115"/>
      <c r="I1946" s="115"/>
      <c r="J1946" s="115"/>
      <c r="K1946" s="115"/>
      <c r="L1946" s="115"/>
      <c r="M1946" s="115"/>
      <c r="N1946" s="115"/>
      <c r="O1946" s="115"/>
      <c r="P1946" s="115"/>
      <c r="Q1946" s="115"/>
      <c r="R1946" s="115"/>
      <c r="S1946" s="115"/>
      <c r="T1946" s="115"/>
      <c r="U1946" s="115"/>
      <c r="V1946" s="115"/>
      <c r="W1946" s="115"/>
      <c r="X1946" s="115"/>
      <c r="Y1946" s="115"/>
      <c r="Z1946" s="115"/>
      <c r="AA1946" s="115"/>
      <c r="AB1946" s="115"/>
      <c r="AC1946" s="115"/>
      <c r="AD1946" s="115"/>
      <c r="AE1946" s="115"/>
      <c r="AF1946" s="115"/>
      <c r="AG1946" s="115"/>
      <c r="AH1946" s="115"/>
      <c r="AI1946" s="115"/>
      <c r="AJ1946" s="115"/>
      <c r="AK1946" s="115"/>
      <c r="AL1946" s="115"/>
      <c r="AM1946" s="115"/>
      <c r="AN1946" s="115"/>
      <c r="AO1946" s="115"/>
      <c r="AP1946" s="115"/>
      <c r="AQ1946" s="115"/>
      <c r="AR1946" s="115"/>
      <c r="AS1946" s="115"/>
      <c r="AT1946" s="115"/>
      <c r="AU1946" s="115"/>
      <c r="AV1946" s="115"/>
      <c r="AW1946" s="115"/>
      <c r="AX1946" s="115"/>
      <c r="AY1946" s="115"/>
      <c r="AZ1946" s="115"/>
      <c r="BA1946" s="115"/>
      <c r="BB1946" s="115"/>
      <c r="BC1946" s="115"/>
      <c r="BD1946" s="115"/>
      <c r="BE1946" s="115"/>
      <c r="BF1946" s="115"/>
      <c r="BG1946" s="115"/>
      <c r="BH1946" s="115"/>
      <c r="BI1946" s="115"/>
      <c r="BJ1946" s="115"/>
      <c r="BK1946" s="122"/>
      <c r="BL1946" s="122"/>
      <c r="BM1946" s="122"/>
      <c r="BN1946" s="115"/>
      <c r="BO1946" s="115"/>
      <c r="BP1946" s="115"/>
      <c r="BQ1946" s="115"/>
      <c r="BR1946" s="115"/>
      <c r="BS1946" s="115"/>
      <c r="BT1946" s="115"/>
      <c r="BU1946" s="115"/>
      <c r="BV1946" s="115"/>
      <c r="BW1946" s="115"/>
      <c r="BX1946" s="115"/>
      <c r="BY1946" s="115"/>
      <c r="BZ1946" s="115"/>
      <c r="CA1946" s="115"/>
      <c r="CB1946" s="26"/>
      <c r="CC1946" s="15"/>
    </row>
    <row r="1947" spans="3:81" x14ac:dyDescent="0.4">
      <c r="E1947" s="115"/>
      <c r="F1947" s="115"/>
      <c r="G1947" s="115"/>
      <c r="H1947" s="115"/>
      <c r="I1947" s="115"/>
      <c r="J1947" s="115"/>
      <c r="K1947" s="115"/>
      <c r="L1947" s="115"/>
      <c r="M1947" s="115"/>
      <c r="N1947" s="115"/>
      <c r="O1947" s="115"/>
      <c r="P1947" s="115"/>
      <c r="Q1947" s="115"/>
      <c r="R1947" s="115"/>
      <c r="S1947" s="115"/>
      <c r="T1947" s="115"/>
      <c r="U1947" s="115"/>
      <c r="V1947" s="115"/>
      <c r="W1947" s="115"/>
      <c r="X1947" s="115"/>
      <c r="Y1947" s="115"/>
      <c r="Z1947" s="115"/>
      <c r="AA1947" s="115"/>
      <c r="AB1947" s="115"/>
      <c r="AC1947" s="115"/>
      <c r="AD1947" s="115"/>
      <c r="AE1947" s="115"/>
      <c r="AF1947" s="115"/>
      <c r="AG1947" s="115"/>
      <c r="AH1947" s="115"/>
      <c r="AI1947" s="115"/>
      <c r="AJ1947" s="115"/>
      <c r="AK1947" s="115"/>
      <c r="AL1947" s="115"/>
      <c r="AM1947" s="115"/>
      <c r="AN1947" s="115"/>
      <c r="AO1947" s="115"/>
      <c r="AP1947" s="115"/>
      <c r="AQ1947" s="115"/>
      <c r="AR1947" s="115"/>
      <c r="AS1947" s="115"/>
      <c r="AT1947" s="115"/>
      <c r="AU1947" s="115"/>
      <c r="AV1947" s="115"/>
      <c r="AW1947" s="115"/>
      <c r="AX1947" s="115"/>
      <c r="AY1947" s="115"/>
      <c r="AZ1947" s="115"/>
      <c r="BA1947" s="115"/>
      <c r="BB1947" s="115"/>
      <c r="BC1947" s="115"/>
      <c r="BD1947" s="115"/>
      <c r="BE1947" s="115"/>
      <c r="BF1947" s="115"/>
      <c r="BG1947" s="115"/>
      <c r="BH1947" s="115"/>
      <c r="BI1947" s="115"/>
      <c r="BJ1947" s="115"/>
      <c r="BK1947" s="122"/>
      <c r="BL1947" s="122"/>
      <c r="BM1947" s="122"/>
      <c r="BN1947" s="115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26"/>
      <c r="CC1947" s="15"/>
    </row>
    <row r="1948" spans="3:81" x14ac:dyDescent="0.4">
      <c r="CB1948" s="26"/>
      <c r="CC1948" s="15"/>
    </row>
    <row r="1949" spans="3:81" x14ac:dyDescent="0.4">
      <c r="BF1949" s="115"/>
      <c r="BG1949" s="115"/>
      <c r="BH1949" s="115"/>
      <c r="BI1949" s="115"/>
      <c r="BJ1949" s="115"/>
      <c r="BK1949" s="122"/>
      <c r="BL1949" s="122"/>
      <c r="BM1949" s="122"/>
      <c r="BN1949" s="115"/>
      <c r="BO1949" s="115"/>
      <c r="BP1949" s="115"/>
      <c r="BQ1949" s="115"/>
      <c r="BR1949" s="115"/>
      <c r="BS1949" s="115"/>
      <c r="BT1949" s="115"/>
      <c r="BU1949" s="115"/>
      <c r="BV1949" s="115"/>
      <c r="BW1949" s="115"/>
      <c r="BX1949" s="115"/>
      <c r="BY1949" s="115"/>
      <c r="BZ1949" s="115"/>
      <c r="CA1949" s="115"/>
      <c r="CB1949" s="26"/>
      <c r="CC1949" s="15"/>
    </row>
    <row r="1950" spans="3:81" x14ac:dyDescent="0.4">
      <c r="CB1950" s="26"/>
      <c r="CC1950" s="15"/>
    </row>
    <row r="1951" spans="3:81" x14ac:dyDescent="0.4">
      <c r="BG1951" s="115"/>
      <c r="BH1951" s="115"/>
      <c r="BI1951" s="115"/>
      <c r="BJ1951" s="115"/>
      <c r="BK1951" s="122"/>
      <c r="BL1951" s="122"/>
      <c r="BM1951" s="122"/>
      <c r="BN1951" s="115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7"/>
      <c r="CC1951" s="15"/>
    </row>
    <row r="1952" spans="3:81" x14ac:dyDescent="0.4">
      <c r="BF1952" s="115"/>
      <c r="BG1952" s="115"/>
      <c r="BH1952" s="115"/>
      <c r="BI1952" s="115"/>
      <c r="BJ1952" s="115"/>
      <c r="BK1952" s="122"/>
      <c r="BL1952" s="122"/>
      <c r="BM1952" s="122"/>
      <c r="BN1952" s="115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26"/>
      <c r="CC1952" s="15"/>
    </row>
    <row r="1953" spans="3:81" x14ac:dyDescent="0.4"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22"/>
      <c r="BL1953" s="122"/>
      <c r="BM1953" s="122"/>
      <c r="BN1953" s="115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26"/>
      <c r="CC1953" s="15"/>
    </row>
    <row r="1954" spans="3:81" x14ac:dyDescent="0.4">
      <c r="C1954" s="115"/>
      <c r="D1954" s="115"/>
      <c r="E1954" s="115"/>
      <c r="F1954" s="115"/>
      <c r="G1954" s="115"/>
      <c r="H1954" s="115"/>
      <c r="I1954" s="115"/>
      <c r="J1954" s="115"/>
      <c r="K1954" s="115"/>
      <c r="L1954" s="115"/>
      <c r="M1954" s="115"/>
      <c r="N1954" s="115"/>
      <c r="O1954" s="115"/>
      <c r="P1954" s="115"/>
      <c r="Q1954" s="115"/>
      <c r="R1954" s="115"/>
      <c r="S1954" s="115"/>
      <c r="T1954" s="115"/>
      <c r="U1954" s="115"/>
      <c r="V1954" s="115"/>
      <c r="W1954" s="115"/>
      <c r="X1954" s="115"/>
      <c r="Y1954" s="115"/>
      <c r="Z1954" s="115"/>
      <c r="AA1954" s="115"/>
      <c r="AB1954" s="115"/>
      <c r="AC1954" s="115"/>
      <c r="AD1954" s="115"/>
      <c r="AE1954" s="115"/>
      <c r="AF1954" s="115"/>
      <c r="AG1954" s="115"/>
      <c r="AH1954" s="115"/>
      <c r="AI1954" s="115"/>
      <c r="AJ1954" s="115"/>
      <c r="AK1954" s="115"/>
      <c r="AL1954" s="115"/>
      <c r="AM1954" s="115"/>
      <c r="AN1954" s="115"/>
      <c r="AO1954" s="115"/>
      <c r="AP1954" s="115"/>
      <c r="AQ1954" s="115"/>
      <c r="AR1954" s="115"/>
      <c r="AS1954" s="115"/>
      <c r="AT1954" s="115"/>
      <c r="AU1954" s="115"/>
      <c r="AV1954" s="115"/>
      <c r="AW1954" s="115"/>
      <c r="AX1954" s="115"/>
      <c r="AY1954" s="115"/>
      <c r="AZ1954" s="115"/>
      <c r="BA1954" s="115"/>
      <c r="BB1954" s="115"/>
      <c r="BC1954" s="115"/>
      <c r="BD1954" s="115"/>
      <c r="BE1954" s="115"/>
      <c r="BF1954" s="115"/>
      <c r="BG1954" s="115"/>
      <c r="BH1954" s="115"/>
      <c r="BI1954" s="115"/>
      <c r="BJ1954" s="115"/>
      <c r="BK1954" s="122"/>
      <c r="BL1954" s="122"/>
      <c r="BM1954" s="122"/>
      <c r="BN1954" s="115"/>
      <c r="BO1954" s="115"/>
      <c r="BP1954" s="115"/>
      <c r="BQ1954" s="115"/>
      <c r="BR1954" s="115"/>
      <c r="BS1954" s="115"/>
      <c r="BT1954" s="115"/>
      <c r="BU1954" s="115"/>
      <c r="BV1954" s="115"/>
      <c r="BW1954" s="115"/>
      <c r="BX1954" s="115"/>
      <c r="BY1954" s="115"/>
      <c r="BZ1954" s="115"/>
      <c r="CA1954" s="115"/>
      <c r="CB1954" s="17"/>
      <c r="CC1954" s="15"/>
    </row>
    <row r="1955" spans="3:81" x14ac:dyDescent="0.4">
      <c r="CB1955" s="26"/>
      <c r="CC1955" s="15"/>
    </row>
    <row r="1956" spans="3:81" x14ac:dyDescent="0.4">
      <c r="BG1956" s="115"/>
      <c r="BH1956" s="115"/>
      <c r="BI1956" s="115"/>
      <c r="BJ1956" s="115"/>
      <c r="BK1956" s="122"/>
      <c r="BL1956" s="122"/>
      <c r="BM1956" s="122"/>
      <c r="BN1956" s="115"/>
      <c r="BO1956" s="115"/>
      <c r="BP1956" s="115"/>
      <c r="BQ1956" s="115"/>
      <c r="BR1956" s="115"/>
      <c r="BS1956" s="115"/>
      <c r="BT1956" s="115"/>
      <c r="BU1956" s="115"/>
      <c r="BV1956" s="115"/>
      <c r="BW1956" s="115"/>
      <c r="BX1956" s="115"/>
      <c r="BY1956" s="115"/>
      <c r="BZ1956" s="115"/>
      <c r="CA1956" s="115"/>
      <c r="CB1956" s="17"/>
      <c r="CC1956" s="15"/>
    </row>
    <row r="1957" spans="3:81" x14ac:dyDescent="0.4">
      <c r="BF1957" s="115"/>
      <c r="BG1957" s="115"/>
      <c r="BH1957" s="115"/>
      <c r="BI1957" s="115"/>
      <c r="BJ1957" s="115"/>
      <c r="BK1957" s="122"/>
      <c r="BL1957" s="122"/>
      <c r="BM1957" s="122"/>
      <c r="BN1957" s="115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26"/>
      <c r="CC1957" s="15"/>
    </row>
    <row r="1958" spans="3:81" x14ac:dyDescent="0.4">
      <c r="BF1958" s="115"/>
      <c r="BG1958" s="115"/>
      <c r="BH1958" s="115"/>
      <c r="BI1958" s="115"/>
      <c r="BJ1958" s="115"/>
      <c r="BK1958" s="122"/>
      <c r="BL1958" s="122"/>
      <c r="BM1958" s="122"/>
      <c r="BN1958" s="115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7"/>
      <c r="CC1958" s="15"/>
    </row>
    <row r="1959" spans="3:81" x14ac:dyDescent="0.4">
      <c r="BF1959" s="115"/>
      <c r="BG1959" s="115"/>
      <c r="BH1959" s="115"/>
      <c r="BI1959" s="115"/>
      <c r="BJ1959" s="115"/>
      <c r="BK1959" s="122"/>
      <c r="BL1959" s="122"/>
      <c r="BM1959" s="122"/>
      <c r="BN1959" s="115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7"/>
      <c r="CC1959" s="15"/>
    </row>
    <row r="1960" spans="3:81" x14ac:dyDescent="0.4">
      <c r="E1960" s="115"/>
      <c r="F1960" s="115"/>
      <c r="G1960" s="115"/>
      <c r="H1960" s="115"/>
      <c r="I1960" s="115"/>
      <c r="J1960" s="115"/>
      <c r="K1960" s="115"/>
      <c r="L1960" s="115"/>
      <c r="M1960" s="115"/>
      <c r="N1960" s="115"/>
      <c r="O1960" s="115"/>
      <c r="P1960" s="115"/>
      <c r="Q1960" s="115"/>
      <c r="R1960" s="115"/>
      <c r="S1960" s="115"/>
      <c r="T1960" s="115"/>
      <c r="U1960" s="115"/>
      <c r="V1960" s="115"/>
      <c r="W1960" s="115"/>
      <c r="X1960" s="115"/>
      <c r="Y1960" s="115"/>
      <c r="Z1960" s="115"/>
      <c r="AA1960" s="115"/>
      <c r="AB1960" s="115"/>
      <c r="AC1960" s="115"/>
      <c r="AD1960" s="115"/>
      <c r="AE1960" s="115"/>
      <c r="AF1960" s="115"/>
      <c r="AG1960" s="115"/>
      <c r="AH1960" s="115"/>
      <c r="AI1960" s="115"/>
      <c r="AJ1960" s="115"/>
      <c r="AK1960" s="115"/>
      <c r="AL1960" s="115"/>
      <c r="AM1960" s="115"/>
      <c r="AN1960" s="115"/>
      <c r="AO1960" s="115"/>
      <c r="AP1960" s="115"/>
      <c r="AQ1960" s="115"/>
      <c r="AR1960" s="115"/>
      <c r="AS1960" s="115"/>
      <c r="AT1960" s="115"/>
      <c r="AU1960" s="115"/>
      <c r="AV1960" s="115"/>
      <c r="AW1960" s="115"/>
      <c r="AX1960" s="115"/>
      <c r="AY1960" s="115"/>
      <c r="AZ1960" s="115"/>
      <c r="BA1960" s="115"/>
      <c r="BB1960" s="115"/>
      <c r="BC1960" s="115"/>
      <c r="BD1960" s="115"/>
      <c r="BE1960" s="115"/>
      <c r="BF1960" s="115"/>
      <c r="BG1960" s="115"/>
      <c r="BH1960" s="115"/>
      <c r="BI1960" s="115"/>
      <c r="BJ1960" s="115"/>
      <c r="BK1960" s="122"/>
      <c r="BL1960" s="122"/>
      <c r="BM1960" s="122"/>
      <c r="BN1960" s="115"/>
      <c r="BO1960" s="115"/>
      <c r="BP1960" s="115"/>
      <c r="BQ1960" s="115"/>
      <c r="BR1960" s="115"/>
      <c r="BS1960" s="115"/>
      <c r="BT1960" s="115"/>
      <c r="BU1960" s="115"/>
      <c r="BV1960" s="115"/>
      <c r="BW1960" s="115"/>
      <c r="BX1960" s="115"/>
      <c r="BY1960" s="115"/>
      <c r="BZ1960" s="115"/>
      <c r="CA1960" s="115"/>
      <c r="CB1960" s="26"/>
      <c r="CC1960" s="15"/>
    </row>
    <row r="1961" spans="3:81" x14ac:dyDescent="0.4"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22"/>
      <c r="BL1961" s="122"/>
      <c r="BM1961" s="122"/>
      <c r="BN1961" s="115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26"/>
      <c r="CC1961" s="15"/>
    </row>
    <row r="1962" spans="3:81" x14ac:dyDescent="0.4"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22"/>
      <c r="BL1962" s="122"/>
      <c r="BM1962" s="122"/>
      <c r="BN1962" s="115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26"/>
      <c r="CC1962" s="15"/>
    </row>
    <row r="1963" spans="3:81" x14ac:dyDescent="0.4">
      <c r="D1963" s="115"/>
      <c r="E1963" s="115"/>
      <c r="F1963" s="115"/>
      <c r="G1963" s="115"/>
      <c r="H1963" s="115"/>
      <c r="I1963" s="115"/>
      <c r="J1963" s="115"/>
      <c r="K1963" s="115"/>
      <c r="L1963" s="115"/>
      <c r="M1963" s="115"/>
      <c r="N1963" s="115"/>
      <c r="O1963" s="115"/>
      <c r="P1963" s="115"/>
      <c r="Q1963" s="115"/>
      <c r="R1963" s="115"/>
      <c r="S1963" s="115"/>
      <c r="T1963" s="115"/>
      <c r="U1963" s="115"/>
      <c r="V1963" s="115"/>
      <c r="W1963" s="115"/>
      <c r="X1963" s="115"/>
      <c r="Y1963" s="115"/>
      <c r="Z1963" s="115"/>
      <c r="AA1963" s="115"/>
      <c r="AB1963" s="115"/>
      <c r="AC1963" s="115"/>
      <c r="AD1963" s="115"/>
      <c r="AE1963" s="115"/>
      <c r="AF1963" s="115"/>
      <c r="AG1963" s="115"/>
      <c r="AH1963" s="115"/>
      <c r="AI1963" s="115"/>
      <c r="AJ1963" s="115"/>
      <c r="AK1963" s="115"/>
      <c r="AL1963" s="115"/>
      <c r="AM1963" s="115"/>
      <c r="AN1963" s="115"/>
      <c r="AO1963" s="115"/>
      <c r="AP1963" s="115"/>
      <c r="AQ1963" s="115"/>
      <c r="AR1963" s="115"/>
      <c r="AS1963" s="115"/>
      <c r="AT1963" s="115"/>
      <c r="AU1963" s="115"/>
      <c r="AV1963" s="115"/>
      <c r="AW1963" s="115"/>
      <c r="AX1963" s="115"/>
      <c r="AY1963" s="115"/>
      <c r="AZ1963" s="115"/>
      <c r="BA1963" s="115"/>
      <c r="BB1963" s="115"/>
      <c r="BC1963" s="115"/>
      <c r="BD1963" s="115"/>
      <c r="BE1963" s="115"/>
      <c r="BF1963" s="115"/>
      <c r="BG1963" s="115"/>
      <c r="BH1963" s="115"/>
      <c r="BI1963" s="115"/>
      <c r="BJ1963" s="115"/>
      <c r="BK1963" s="122"/>
      <c r="BL1963" s="122"/>
      <c r="BM1963" s="122"/>
      <c r="BN1963" s="115"/>
      <c r="BO1963" s="115"/>
      <c r="BP1963" s="115"/>
      <c r="BQ1963" s="115"/>
      <c r="BR1963" s="115"/>
      <c r="BS1963" s="115"/>
      <c r="BT1963" s="115"/>
      <c r="BU1963" s="115"/>
      <c r="BV1963" s="115"/>
      <c r="BW1963" s="115"/>
      <c r="BX1963" s="115"/>
      <c r="BY1963" s="115"/>
      <c r="BZ1963" s="115"/>
      <c r="CA1963" s="115"/>
      <c r="CB1963" s="26"/>
      <c r="CC1963" s="15"/>
    </row>
    <row r="1964" spans="3:81" x14ac:dyDescent="0.4">
      <c r="D1964" s="115"/>
      <c r="E1964" s="115"/>
      <c r="F1964" s="115"/>
      <c r="G1964" s="115"/>
      <c r="H1964" s="115"/>
      <c r="I1964" s="115"/>
      <c r="J1964" s="115"/>
      <c r="K1964" s="115"/>
      <c r="L1964" s="115"/>
      <c r="M1964" s="115"/>
      <c r="N1964" s="115"/>
      <c r="O1964" s="115"/>
      <c r="P1964" s="115"/>
      <c r="Q1964" s="115"/>
      <c r="R1964" s="115"/>
      <c r="S1964" s="115"/>
      <c r="T1964" s="115"/>
      <c r="U1964" s="115"/>
      <c r="V1964" s="115"/>
      <c r="W1964" s="115"/>
      <c r="X1964" s="115"/>
      <c r="Y1964" s="115"/>
      <c r="Z1964" s="115"/>
      <c r="AA1964" s="115"/>
      <c r="AB1964" s="115"/>
      <c r="AC1964" s="115"/>
      <c r="AD1964" s="115"/>
      <c r="AE1964" s="115"/>
      <c r="AF1964" s="115"/>
      <c r="AG1964" s="115"/>
      <c r="AH1964" s="115"/>
      <c r="AI1964" s="115"/>
      <c r="AJ1964" s="115"/>
      <c r="AK1964" s="115"/>
      <c r="AL1964" s="115"/>
      <c r="AM1964" s="115"/>
      <c r="AN1964" s="115"/>
      <c r="AO1964" s="115"/>
      <c r="AP1964" s="115"/>
      <c r="AQ1964" s="115"/>
      <c r="AR1964" s="115"/>
      <c r="AS1964" s="115"/>
      <c r="AT1964" s="115"/>
      <c r="AU1964" s="115"/>
      <c r="AV1964" s="115"/>
      <c r="AW1964" s="115"/>
      <c r="AX1964" s="115"/>
      <c r="AY1964" s="115"/>
      <c r="AZ1964" s="115"/>
      <c r="BA1964" s="115"/>
      <c r="BB1964" s="115"/>
      <c r="BC1964" s="115"/>
      <c r="BD1964" s="115"/>
      <c r="BE1964" s="115"/>
      <c r="BF1964" s="115"/>
      <c r="BG1964" s="115"/>
      <c r="BH1964" s="115"/>
      <c r="BI1964" s="115"/>
      <c r="BJ1964" s="115"/>
      <c r="BK1964" s="122"/>
      <c r="BL1964" s="122"/>
      <c r="BM1964" s="122"/>
      <c r="BN1964" s="115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26"/>
      <c r="CC1964" s="15"/>
    </row>
    <row r="1965" spans="3:81" x14ac:dyDescent="0.4"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22"/>
      <c r="BL1965" s="122"/>
      <c r="BM1965" s="122"/>
      <c r="BN1965" s="115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7"/>
      <c r="CC1965" s="15"/>
    </row>
    <row r="1966" spans="3:81" x14ac:dyDescent="0.4">
      <c r="CB1966" s="26"/>
      <c r="CC1966" s="15"/>
    </row>
    <row r="1967" spans="3:81" x14ac:dyDescent="0.4">
      <c r="BF1967" s="115"/>
      <c r="BG1967" s="115"/>
      <c r="BH1967" s="115"/>
      <c r="BI1967" s="115"/>
      <c r="BJ1967" s="115"/>
      <c r="BK1967" s="122"/>
      <c r="BL1967" s="122"/>
      <c r="BM1967" s="122"/>
      <c r="BN1967" s="115"/>
      <c r="BO1967" s="115"/>
      <c r="BP1967" s="115"/>
      <c r="BQ1967" s="115"/>
      <c r="BR1967" s="115"/>
      <c r="BS1967" s="115"/>
      <c r="BT1967" s="115"/>
      <c r="BU1967" s="115"/>
      <c r="BV1967" s="115"/>
      <c r="BW1967" s="115"/>
      <c r="BX1967" s="115"/>
      <c r="BY1967" s="115"/>
      <c r="BZ1967" s="115"/>
      <c r="CA1967" s="115"/>
      <c r="CB1967" s="17"/>
      <c r="CC1967" s="13"/>
    </row>
    <row r="1968" spans="3:81" x14ac:dyDescent="0.4">
      <c r="BF1968" s="115"/>
      <c r="BG1968" s="115"/>
      <c r="BH1968" s="115"/>
      <c r="BI1968" s="115"/>
      <c r="BJ1968" s="115"/>
      <c r="BK1968" s="122"/>
      <c r="BL1968" s="122"/>
      <c r="BM1968" s="122"/>
      <c r="BN1968" s="115"/>
      <c r="BO1968" s="115"/>
      <c r="BP1968" s="115"/>
      <c r="BQ1968" s="115"/>
      <c r="BR1968" s="115"/>
      <c r="BS1968" s="115"/>
      <c r="BT1968" s="115"/>
      <c r="BU1968" s="115"/>
      <c r="BV1968" s="115"/>
      <c r="BW1968" s="115"/>
      <c r="BX1968" s="115"/>
      <c r="BY1968" s="115"/>
      <c r="BZ1968" s="115"/>
      <c r="CA1968" s="115"/>
      <c r="CB1968" s="17"/>
      <c r="CC1968" s="13"/>
    </row>
    <row r="1969" spans="3:81" x14ac:dyDescent="0.4">
      <c r="BD1969" s="115"/>
      <c r="BE1969" s="115"/>
      <c r="BF1969" s="115"/>
      <c r="BG1969" s="115"/>
      <c r="BH1969" s="115"/>
      <c r="BI1969" s="115"/>
      <c r="BJ1969" s="115"/>
      <c r="BK1969" s="122"/>
      <c r="BL1969" s="122"/>
      <c r="BM1969" s="122"/>
      <c r="BN1969" s="115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26"/>
      <c r="CC1969" s="13"/>
    </row>
    <row r="1970" spans="3:81" x14ac:dyDescent="0.4">
      <c r="BD1970" s="115"/>
      <c r="BE1970" s="115"/>
      <c r="BF1970" s="115"/>
      <c r="BG1970" s="115"/>
      <c r="BH1970" s="115"/>
      <c r="BI1970" s="115"/>
      <c r="BJ1970" s="115"/>
      <c r="BK1970" s="122"/>
      <c r="BL1970" s="122"/>
      <c r="BM1970" s="122"/>
      <c r="BN1970" s="115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7"/>
      <c r="CC1970" s="13"/>
    </row>
    <row r="1971" spans="3:81" x14ac:dyDescent="0.4">
      <c r="CB1971" s="26"/>
      <c r="CC1971" s="13"/>
    </row>
    <row r="1972" spans="3:81" x14ac:dyDescent="0.4">
      <c r="BE1972" s="115"/>
      <c r="BF1972" s="115"/>
      <c r="BG1972" s="115"/>
      <c r="BH1972" s="115"/>
      <c r="BI1972" s="115"/>
      <c r="BJ1972" s="115"/>
      <c r="BK1972" s="122"/>
      <c r="BL1972" s="122"/>
      <c r="BM1972" s="122"/>
      <c r="BN1972" s="115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7"/>
      <c r="CC1972" s="13"/>
    </row>
    <row r="1973" spans="3:81" x14ac:dyDescent="0.4">
      <c r="CB1973" s="26"/>
      <c r="CC1973" s="13"/>
    </row>
    <row r="1974" spans="3:81" x14ac:dyDescent="0.4">
      <c r="CB1974" s="26"/>
      <c r="CC1974" s="13"/>
    </row>
    <row r="1975" spans="3:81" x14ac:dyDescent="0.4">
      <c r="D1975" s="115"/>
      <c r="E1975" s="115"/>
      <c r="F1975" s="115"/>
      <c r="G1975" s="115"/>
      <c r="H1975" s="115"/>
      <c r="I1975" s="115"/>
      <c r="J1975" s="115"/>
      <c r="K1975" s="115"/>
      <c r="L1975" s="115"/>
      <c r="M1975" s="115"/>
      <c r="N1975" s="115"/>
      <c r="O1975" s="115"/>
      <c r="P1975" s="115"/>
      <c r="Q1975" s="115"/>
      <c r="R1975" s="115"/>
      <c r="S1975" s="115"/>
      <c r="T1975" s="115"/>
      <c r="U1975" s="115"/>
      <c r="V1975" s="115"/>
      <c r="W1975" s="115"/>
      <c r="X1975" s="115"/>
      <c r="Y1975" s="115"/>
      <c r="Z1975" s="115"/>
      <c r="AA1975" s="115"/>
      <c r="AB1975" s="115"/>
      <c r="AC1975" s="115"/>
      <c r="AD1975" s="115"/>
      <c r="AE1975" s="115"/>
      <c r="AF1975" s="115"/>
      <c r="AG1975" s="115"/>
      <c r="AH1975" s="115"/>
      <c r="AI1975" s="115"/>
      <c r="AJ1975" s="115"/>
      <c r="AK1975" s="115"/>
      <c r="AL1975" s="115"/>
      <c r="AM1975" s="115"/>
      <c r="AN1975" s="115"/>
      <c r="AO1975" s="115"/>
      <c r="AP1975" s="115"/>
      <c r="AQ1975" s="115"/>
      <c r="AR1975" s="115"/>
      <c r="AS1975" s="115"/>
      <c r="AT1975" s="115"/>
      <c r="AU1975" s="115"/>
      <c r="AV1975" s="115"/>
      <c r="AW1975" s="115"/>
      <c r="AX1975" s="115"/>
      <c r="AY1975" s="115"/>
      <c r="AZ1975" s="115"/>
      <c r="BA1975" s="115"/>
      <c r="BB1975" s="115"/>
      <c r="BC1975" s="115"/>
      <c r="BD1975" s="115"/>
      <c r="BE1975" s="115"/>
      <c r="BF1975" s="115"/>
      <c r="BG1975" s="115"/>
      <c r="BH1975" s="115"/>
      <c r="BI1975" s="115"/>
      <c r="BJ1975" s="115"/>
      <c r="BK1975" s="122"/>
      <c r="BL1975" s="122"/>
      <c r="BM1975" s="122"/>
      <c r="BN1975" s="115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26"/>
      <c r="CC1975" s="13"/>
    </row>
    <row r="1976" spans="3:81" x14ac:dyDescent="0.4">
      <c r="C1976" s="115"/>
      <c r="D1976" s="115"/>
      <c r="E1976" s="115"/>
      <c r="F1976" s="115"/>
      <c r="G1976" s="115"/>
      <c r="H1976" s="115"/>
      <c r="I1976" s="115"/>
      <c r="J1976" s="115"/>
      <c r="K1976" s="115"/>
      <c r="L1976" s="115"/>
      <c r="M1976" s="115"/>
      <c r="N1976" s="115"/>
      <c r="O1976" s="115"/>
      <c r="P1976" s="115"/>
      <c r="Q1976" s="115"/>
      <c r="R1976" s="115"/>
      <c r="S1976" s="115"/>
      <c r="T1976" s="115"/>
      <c r="U1976" s="115"/>
      <c r="V1976" s="115"/>
      <c r="W1976" s="115"/>
      <c r="X1976" s="115"/>
      <c r="Y1976" s="115"/>
      <c r="Z1976" s="115"/>
      <c r="AA1976" s="115"/>
      <c r="AB1976" s="115"/>
      <c r="AC1976" s="115"/>
      <c r="AD1976" s="115"/>
      <c r="AE1976" s="115"/>
      <c r="AF1976" s="115"/>
      <c r="AG1976" s="115"/>
      <c r="AH1976" s="115"/>
      <c r="AI1976" s="115"/>
      <c r="AJ1976" s="115"/>
      <c r="AK1976" s="115"/>
      <c r="AL1976" s="115"/>
      <c r="AM1976" s="115"/>
      <c r="AN1976" s="115"/>
      <c r="AO1976" s="115"/>
      <c r="AP1976" s="115"/>
      <c r="AQ1976" s="115"/>
      <c r="AR1976" s="115"/>
      <c r="AS1976" s="115"/>
      <c r="AT1976" s="115"/>
      <c r="AU1976" s="115"/>
      <c r="AV1976" s="115"/>
      <c r="AW1976" s="115"/>
      <c r="AX1976" s="115"/>
      <c r="AY1976" s="115"/>
      <c r="AZ1976" s="115"/>
      <c r="BA1976" s="115"/>
      <c r="BB1976" s="115"/>
      <c r="BC1976" s="115"/>
      <c r="BD1976" s="115"/>
      <c r="BE1976" s="115"/>
      <c r="BF1976" s="115"/>
      <c r="BG1976" s="115"/>
      <c r="BH1976" s="115"/>
      <c r="BI1976" s="115"/>
      <c r="BJ1976" s="115"/>
      <c r="BK1976" s="122"/>
      <c r="BL1976" s="122"/>
      <c r="BM1976" s="122"/>
      <c r="BN1976" s="115"/>
      <c r="BO1976" s="115"/>
      <c r="BP1976" s="115"/>
      <c r="BQ1976" s="115"/>
      <c r="BR1976" s="115"/>
      <c r="BS1976" s="115"/>
      <c r="BT1976" s="115"/>
      <c r="BU1976" s="115"/>
      <c r="BV1976" s="115"/>
      <c r="BW1976" s="115"/>
      <c r="BX1976" s="115"/>
      <c r="BY1976" s="115"/>
      <c r="BZ1976" s="115"/>
      <c r="CA1976" s="115"/>
      <c r="CB1976" s="26"/>
      <c r="CC1976" s="13"/>
    </row>
    <row r="1977" spans="3:81" x14ac:dyDescent="0.4">
      <c r="CB1977" s="26"/>
      <c r="CC1977" s="13"/>
    </row>
    <row r="1978" spans="3:81" x14ac:dyDescent="0.4">
      <c r="CB1978" s="26"/>
      <c r="CC1978" s="13"/>
    </row>
    <row r="1979" spans="3:81" x14ac:dyDescent="0.4"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22"/>
      <c r="BL1979" s="122"/>
      <c r="BM1979" s="122"/>
      <c r="BN1979" s="115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26"/>
      <c r="CC1979" s="13"/>
    </row>
    <row r="1980" spans="3:81" x14ac:dyDescent="0.4">
      <c r="CB1980" s="26"/>
      <c r="CC1980" s="105"/>
    </row>
    <row r="1981" spans="3:81" x14ac:dyDescent="0.4">
      <c r="E1981" s="115"/>
      <c r="F1981" s="115"/>
      <c r="G1981" s="115"/>
      <c r="H1981" s="115"/>
      <c r="I1981" s="115"/>
      <c r="J1981" s="115"/>
      <c r="K1981" s="115"/>
      <c r="L1981" s="115"/>
      <c r="M1981" s="115"/>
      <c r="N1981" s="115"/>
      <c r="O1981" s="115"/>
      <c r="P1981" s="115"/>
      <c r="Q1981" s="115"/>
      <c r="R1981" s="115"/>
      <c r="S1981" s="115"/>
      <c r="T1981" s="115"/>
      <c r="U1981" s="115"/>
      <c r="V1981" s="115"/>
      <c r="W1981" s="115"/>
      <c r="X1981" s="115"/>
      <c r="Y1981" s="115"/>
      <c r="Z1981" s="115"/>
      <c r="AA1981" s="115"/>
      <c r="AB1981" s="115"/>
      <c r="AC1981" s="115"/>
      <c r="AD1981" s="115"/>
      <c r="AE1981" s="115"/>
      <c r="AF1981" s="115"/>
      <c r="AG1981" s="115"/>
      <c r="AH1981" s="115"/>
      <c r="AI1981" s="115"/>
      <c r="AJ1981" s="115"/>
      <c r="AK1981" s="115"/>
      <c r="AL1981" s="115"/>
      <c r="AM1981" s="115"/>
      <c r="AN1981" s="115"/>
      <c r="AO1981" s="115"/>
      <c r="AP1981" s="115"/>
      <c r="AQ1981" s="115"/>
      <c r="AR1981" s="115"/>
      <c r="AS1981" s="115"/>
      <c r="AT1981" s="115"/>
      <c r="AU1981" s="115"/>
      <c r="AV1981" s="115"/>
      <c r="AW1981" s="115"/>
      <c r="AX1981" s="115"/>
      <c r="AY1981" s="115"/>
      <c r="AZ1981" s="115"/>
      <c r="BA1981" s="115"/>
      <c r="BB1981" s="115"/>
      <c r="BC1981" s="115"/>
      <c r="BD1981" s="115"/>
      <c r="BE1981" s="115"/>
      <c r="BF1981" s="115"/>
      <c r="BG1981" s="115"/>
      <c r="BH1981" s="115"/>
      <c r="BI1981" s="115"/>
      <c r="BJ1981" s="115"/>
      <c r="BK1981" s="122"/>
      <c r="BL1981" s="122"/>
      <c r="BM1981" s="122"/>
      <c r="BN1981" s="115"/>
      <c r="BO1981" s="115"/>
      <c r="BP1981" s="115"/>
      <c r="BQ1981" s="115"/>
      <c r="BR1981" s="115"/>
      <c r="BS1981" s="115"/>
      <c r="BT1981" s="115"/>
      <c r="BU1981" s="115"/>
      <c r="BV1981" s="115"/>
      <c r="BW1981" s="115"/>
      <c r="BX1981" s="115"/>
      <c r="BY1981" s="115"/>
      <c r="BZ1981" s="115"/>
      <c r="CA1981" s="115"/>
      <c r="CB1981" s="26"/>
      <c r="CC1981" s="15"/>
    </row>
    <row r="1982" spans="3:81" x14ac:dyDescent="0.4">
      <c r="E1982" s="115"/>
      <c r="F1982" s="115"/>
      <c r="G1982" s="115"/>
      <c r="H1982" s="115"/>
      <c r="I1982" s="115"/>
      <c r="J1982" s="115"/>
      <c r="K1982" s="115"/>
      <c r="L1982" s="115"/>
      <c r="M1982" s="115"/>
      <c r="N1982" s="115"/>
      <c r="O1982" s="115"/>
      <c r="P1982" s="115"/>
      <c r="Q1982" s="115"/>
      <c r="R1982" s="115"/>
      <c r="S1982" s="115"/>
      <c r="T1982" s="115"/>
      <c r="U1982" s="115"/>
      <c r="V1982" s="115"/>
      <c r="W1982" s="115"/>
      <c r="X1982" s="115"/>
      <c r="Y1982" s="115"/>
      <c r="Z1982" s="115"/>
      <c r="AA1982" s="115"/>
      <c r="AB1982" s="115"/>
      <c r="AC1982" s="115"/>
      <c r="AD1982" s="115"/>
      <c r="AE1982" s="115"/>
      <c r="AF1982" s="115"/>
      <c r="AG1982" s="115"/>
      <c r="AH1982" s="115"/>
      <c r="AI1982" s="115"/>
      <c r="AJ1982" s="115"/>
      <c r="AK1982" s="115"/>
      <c r="AL1982" s="115"/>
      <c r="AM1982" s="115"/>
      <c r="AN1982" s="115"/>
      <c r="AO1982" s="115"/>
      <c r="AP1982" s="115"/>
      <c r="AQ1982" s="115"/>
      <c r="AR1982" s="115"/>
      <c r="AS1982" s="115"/>
      <c r="AT1982" s="115"/>
      <c r="AU1982" s="115"/>
      <c r="AV1982" s="115"/>
      <c r="AW1982" s="115"/>
      <c r="AX1982" s="115"/>
      <c r="AY1982" s="115"/>
      <c r="AZ1982" s="115"/>
      <c r="BA1982" s="115"/>
      <c r="BB1982" s="115"/>
      <c r="BC1982" s="115"/>
      <c r="BD1982" s="115"/>
      <c r="BE1982" s="115"/>
      <c r="BF1982" s="115"/>
      <c r="BG1982" s="115"/>
      <c r="BH1982" s="115"/>
      <c r="BI1982" s="115"/>
      <c r="BJ1982" s="115"/>
      <c r="BK1982" s="122"/>
      <c r="BL1982" s="122"/>
      <c r="BM1982" s="122"/>
      <c r="BN1982" s="115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7"/>
      <c r="CC1982" s="15"/>
    </row>
    <row r="1983" spans="3:81" x14ac:dyDescent="0.4">
      <c r="CB1983" s="26"/>
      <c r="CC1983" s="15"/>
    </row>
    <row r="1984" spans="3:81" x14ac:dyDescent="0.4">
      <c r="E1984" s="115"/>
      <c r="F1984" s="115"/>
      <c r="G1984" s="115"/>
      <c r="H1984" s="115"/>
      <c r="I1984" s="115"/>
      <c r="J1984" s="115"/>
      <c r="K1984" s="115"/>
      <c r="L1984" s="115"/>
      <c r="M1984" s="115"/>
      <c r="N1984" s="115"/>
      <c r="O1984" s="115"/>
      <c r="P1984" s="115"/>
      <c r="Q1984" s="115"/>
      <c r="R1984" s="115"/>
      <c r="S1984" s="115"/>
      <c r="T1984" s="115"/>
      <c r="U1984" s="115"/>
      <c r="V1984" s="115"/>
      <c r="W1984" s="115"/>
      <c r="X1984" s="115"/>
      <c r="Y1984" s="115"/>
      <c r="Z1984" s="115"/>
      <c r="AA1984" s="115"/>
      <c r="AB1984" s="115"/>
      <c r="AC1984" s="115"/>
      <c r="AD1984" s="115"/>
      <c r="AE1984" s="115"/>
      <c r="AF1984" s="115"/>
      <c r="AG1984" s="115"/>
      <c r="AH1984" s="115"/>
      <c r="AI1984" s="115"/>
      <c r="AJ1984" s="115"/>
      <c r="AK1984" s="115"/>
      <c r="AL1984" s="115"/>
      <c r="AM1984" s="115"/>
      <c r="AN1984" s="115"/>
      <c r="AO1984" s="115"/>
      <c r="AP1984" s="115"/>
      <c r="AQ1984" s="115"/>
      <c r="AR1984" s="115"/>
      <c r="AS1984" s="115"/>
      <c r="AT1984" s="115"/>
      <c r="AU1984" s="115"/>
      <c r="AV1984" s="115"/>
      <c r="AW1984" s="115"/>
      <c r="AX1984" s="115"/>
      <c r="AY1984" s="115"/>
      <c r="AZ1984" s="115"/>
      <c r="BA1984" s="115"/>
      <c r="BB1984" s="115"/>
      <c r="BC1984" s="115"/>
      <c r="BD1984" s="115"/>
      <c r="BE1984" s="115"/>
      <c r="BF1984" s="115"/>
      <c r="BG1984" s="115"/>
      <c r="BH1984" s="115"/>
      <c r="BI1984" s="115"/>
      <c r="BJ1984" s="115"/>
      <c r="BK1984" s="122"/>
      <c r="BL1984" s="122"/>
      <c r="BM1984" s="122"/>
      <c r="BN1984" s="115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26"/>
      <c r="CC1984" s="15"/>
    </row>
    <row r="1985" spans="2:81" x14ac:dyDescent="0.4">
      <c r="C1985" s="115"/>
      <c r="D1985" s="115"/>
      <c r="E1985" s="115"/>
      <c r="F1985" s="115"/>
      <c r="G1985" s="115"/>
      <c r="H1985" s="115"/>
      <c r="I1985" s="115"/>
      <c r="J1985" s="115"/>
      <c r="K1985" s="115"/>
      <c r="L1985" s="115"/>
      <c r="M1985" s="115"/>
      <c r="N1985" s="115"/>
      <c r="O1985" s="115"/>
      <c r="P1985" s="115"/>
      <c r="Q1985" s="115"/>
      <c r="R1985" s="115"/>
      <c r="S1985" s="115"/>
      <c r="T1985" s="115"/>
      <c r="U1985" s="115"/>
      <c r="V1985" s="115"/>
      <c r="W1985" s="115"/>
      <c r="X1985" s="115"/>
      <c r="Y1985" s="115"/>
      <c r="Z1985" s="115"/>
      <c r="AA1985" s="115"/>
      <c r="AB1985" s="115"/>
      <c r="AC1985" s="115"/>
      <c r="AD1985" s="115"/>
      <c r="AE1985" s="115"/>
      <c r="AF1985" s="115"/>
      <c r="AG1985" s="115"/>
      <c r="AH1985" s="115"/>
      <c r="AI1985" s="115"/>
      <c r="AJ1985" s="115"/>
      <c r="AK1985" s="115"/>
      <c r="AL1985" s="115"/>
      <c r="AM1985" s="115"/>
      <c r="AN1985" s="115"/>
      <c r="AO1985" s="115"/>
      <c r="AP1985" s="115"/>
      <c r="AQ1985" s="115"/>
      <c r="AR1985" s="115"/>
      <c r="AS1985" s="115"/>
      <c r="AT1985" s="115"/>
      <c r="AU1985" s="115"/>
      <c r="AV1985" s="115"/>
      <c r="AW1985" s="115"/>
      <c r="AX1985" s="115"/>
      <c r="AY1985" s="115"/>
      <c r="AZ1985" s="115"/>
      <c r="BA1985" s="115"/>
      <c r="BB1985" s="115"/>
      <c r="BC1985" s="115"/>
      <c r="BD1985" s="115"/>
      <c r="BE1985" s="115"/>
      <c r="BF1985" s="115"/>
      <c r="BG1985" s="115"/>
      <c r="BH1985" s="115"/>
      <c r="BI1985" s="115"/>
      <c r="BJ1985" s="115"/>
      <c r="BK1985" s="122"/>
      <c r="BL1985" s="122"/>
      <c r="BM1985" s="122"/>
      <c r="BN1985" s="115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26"/>
      <c r="CC1985" s="15"/>
    </row>
    <row r="1986" spans="2:81" x14ac:dyDescent="0.4">
      <c r="C1986" s="115"/>
      <c r="D1986" s="115"/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22"/>
      <c r="BL1986" s="122"/>
      <c r="BM1986" s="122"/>
      <c r="BN1986" s="115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26"/>
      <c r="CC1986" s="13"/>
    </row>
    <row r="1987" spans="2:81" x14ac:dyDescent="0.4">
      <c r="CB1987" s="26"/>
      <c r="CC1987" s="15"/>
    </row>
    <row r="1988" spans="2:81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22"/>
      <c r="BL1988" s="122"/>
      <c r="BM1988" s="122"/>
      <c r="BN1988" s="115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26"/>
      <c r="CC1988" s="15"/>
    </row>
    <row r="1989" spans="2:81" x14ac:dyDescent="0.4"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22"/>
      <c r="BL1989" s="122"/>
      <c r="BM1989" s="122"/>
      <c r="BN1989" s="115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26"/>
      <c r="CC1989" s="15"/>
    </row>
    <row r="1990" spans="2:81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22"/>
      <c r="BL1990" s="122"/>
      <c r="BM1990" s="122"/>
      <c r="BN1990" s="115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26"/>
      <c r="CC1990" s="15"/>
    </row>
    <row r="1991" spans="2:81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22"/>
      <c r="BL1991" s="122"/>
      <c r="BM1991" s="122"/>
      <c r="BN1991" s="115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26"/>
      <c r="CC1991" s="15"/>
    </row>
    <row r="1992" spans="2:81" x14ac:dyDescent="0.4">
      <c r="D1992" s="115"/>
      <c r="E1992" s="115"/>
      <c r="F1992" s="115"/>
      <c r="G1992" s="115"/>
      <c r="H1992" s="115"/>
      <c r="I1992" s="115"/>
      <c r="J1992" s="115"/>
      <c r="K1992" s="115"/>
      <c r="L1992" s="115"/>
      <c r="M1992" s="115"/>
      <c r="N1992" s="115"/>
      <c r="O1992" s="115"/>
      <c r="P1992" s="115"/>
      <c r="Q1992" s="115"/>
      <c r="R1992" s="115"/>
      <c r="S1992" s="115"/>
      <c r="T1992" s="115"/>
      <c r="U1992" s="115"/>
      <c r="V1992" s="115"/>
      <c r="W1992" s="115"/>
      <c r="X1992" s="115"/>
      <c r="Y1992" s="115"/>
      <c r="Z1992" s="115"/>
      <c r="AA1992" s="115"/>
      <c r="AB1992" s="115"/>
      <c r="AC1992" s="115"/>
      <c r="AD1992" s="115"/>
      <c r="AE1992" s="115"/>
      <c r="AF1992" s="115"/>
      <c r="AG1992" s="115"/>
      <c r="AH1992" s="115"/>
      <c r="AI1992" s="115"/>
      <c r="AJ1992" s="115"/>
      <c r="AK1992" s="115"/>
      <c r="AL1992" s="115"/>
      <c r="AM1992" s="115"/>
      <c r="AN1992" s="115"/>
      <c r="AO1992" s="115"/>
      <c r="AP1992" s="115"/>
      <c r="AQ1992" s="115"/>
      <c r="AR1992" s="115"/>
      <c r="AS1992" s="115"/>
      <c r="AT1992" s="115"/>
      <c r="AU1992" s="115"/>
      <c r="AV1992" s="115"/>
      <c r="AW1992" s="115"/>
      <c r="AX1992" s="115"/>
      <c r="AY1992" s="115"/>
      <c r="AZ1992" s="115"/>
      <c r="BA1992" s="115"/>
      <c r="BB1992" s="115"/>
      <c r="BC1992" s="115"/>
      <c r="BD1992" s="115"/>
      <c r="BE1992" s="115"/>
      <c r="BF1992" s="115"/>
      <c r="BG1992" s="115"/>
      <c r="BH1992" s="115"/>
      <c r="BI1992" s="115"/>
      <c r="BJ1992" s="115"/>
      <c r="BK1992" s="122"/>
      <c r="BL1992" s="122"/>
      <c r="BM1992" s="122"/>
      <c r="BN1992" s="115"/>
      <c r="BO1992" s="115"/>
      <c r="BP1992" s="115"/>
      <c r="BQ1992" s="115"/>
      <c r="BR1992" s="115"/>
      <c r="BS1992" s="115"/>
      <c r="BT1992" s="115"/>
      <c r="BU1992" s="115"/>
      <c r="BV1992" s="115"/>
      <c r="BW1992" s="115"/>
      <c r="BX1992" s="115"/>
      <c r="BY1992" s="115"/>
      <c r="BZ1992" s="115"/>
      <c r="CA1992" s="115"/>
      <c r="CB1992" s="26"/>
      <c r="CC1992" s="15"/>
    </row>
    <row r="1993" spans="2:81" x14ac:dyDescent="0.4">
      <c r="C1993" s="115"/>
      <c r="D1993" s="115"/>
      <c r="E1993" s="115"/>
      <c r="F1993" s="115"/>
      <c r="G1993" s="115"/>
      <c r="H1993" s="115"/>
      <c r="I1993" s="115"/>
      <c r="J1993" s="115"/>
      <c r="K1993" s="115"/>
      <c r="L1993" s="115"/>
      <c r="M1993" s="115"/>
      <c r="N1993" s="115"/>
      <c r="O1993" s="115"/>
      <c r="P1993" s="115"/>
      <c r="Q1993" s="115"/>
      <c r="R1993" s="115"/>
      <c r="S1993" s="115"/>
      <c r="T1993" s="115"/>
      <c r="U1993" s="115"/>
      <c r="V1993" s="115"/>
      <c r="W1993" s="115"/>
      <c r="X1993" s="115"/>
      <c r="Y1993" s="115"/>
      <c r="Z1993" s="115"/>
      <c r="AA1993" s="115"/>
      <c r="AB1993" s="115"/>
      <c r="AC1993" s="115"/>
      <c r="AD1993" s="115"/>
      <c r="AE1993" s="115"/>
      <c r="AF1993" s="115"/>
      <c r="AG1993" s="115"/>
      <c r="AH1993" s="115"/>
      <c r="AI1993" s="115"/>
      <c r="AJ1993" s="115"/>
      <c r="AK1993" s="115"/>
      <c r="AL1993" s="115"/>
      <c r="AM1993" s="115"/>
      <c r="AN1993" s="115"/>
      <c r="AO1993" s="115"/>
      <c r="AP1993" s="115"/>
      <c r="AQ1993" s="115"/>
      <c r="AR1993" s="115"/>
      <c r="AS1993" s="115"/>
      <c r="AT1993" s="115"/>
      <c r="AU1993" s="115"/>
      <c r="AV1993" s="115"/>
      <c r="AW1993" s="115"/>
      <c r="AX1993" s="115"/>
      <c r="AY1993" s="115"/>
      <c r="AZ1993" s="115"/>
      <c r="BA1993" s="115"/>
      <c r="BB1993" s="115"/>
      <c r="BC1993" s="115"/>
      <c r="BD1993" s="115"/>
      <c r="BE1993" s="115"/>
      <c r="BF1993" s="115"/>
      <c r="BG1993" s="115"/>
      <c r="BH1993" s="115"/>
      <c r="BI1993" s="115"/>
      <c r="BJ1993" s="115"/>
      <c r="BK1993" s="122"/>
      <c r="BL1993" s="122"/>
      <c r="BM1993" s="122"/>
      <c r="BN1993" s="115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26"/>
      <c r="CC1993" s="15"/>
    </row>
    <row r="1994" spans="2:81" ht="19.5" customHeight="1" x14ac:dyDescent="0.4">
      <c r="B1994" s="115"/>
      <c r="C1994" s="115"/>
      <c r="D1994" s="115"/>
      <c r="E1994" s="115"/>
      <c r="F1994" s="115"/>
      <c r="G1994" s="115"/>
      <c r="H1994" s="115"/>
      <c r="I1994" s="115"/>
      <c r="J1994" s="115"/>
      <c r="K1994" s="115"/>
      <c r="L1994" s="115"/>
      <c r="M1994" s="115"/>
      <c r="N1994" s="115"/>
      <c r="O1994" s="115"/>
      <c r="P1994" s="115"/>
      <c r="Q1994" s="115"/>
      <c r="R1994" s="115"/>
      <c r="S1994" s="115"/>
      <c r="T1994" s="115"/>
      <c r="U1994" s="115"/>
      <c r="V1994" s="115"/>
      <c r="W1994" s="115"/>
      <c r="X1994" s="115"/>
      <c r="Y1994" s="115"/>
      <c r="Z1994" s="115"/>
      <c r="AA1994" s="115"/>
      <c r="AB1994" s="115"/>
      <c r="AC1994" s="115"/>
      <c r="AD1994" s="115"/>
      <c r="AE1994" s="115"/>
      <c r="AF1994" s="115"/>
      <c r="AG1994" s="115"/>
      <c r="AH1994" s="115"/>
      <c r="AI1994" s="115"/>
      <c r="AJ1994" s="115"/>
      <c r="AK1994" s="115"/>
      <c r="AL1994" s="115"/>
      <c r="AM1994" s="115"/>
      <c r="AN1994" s="115"/>
      <c r="AO1994" s="115"/>
      <c r="AP1994" s="115"/>
      <c r="AQ1994" s="115"/>
      <c r="AR1994" s="115"/>
      <c r="AS1994" s="115"/>
      <c r="AT1994" s="115"/>
      <c r="AU1994" s="115"/>
      <c r="AV1994" s="115"/>
      <c r="AW1994" s="115"/>
      <c r="AX1994" s="115"/>
      <c r="AY1994" s="115"/>
      <c r="AZ1994" s="115"/>
      <c r="BA1994" s="115"/>
      <c r="BB1994" s="115"/>
      <c r="BC1994" s="115"/>
      <c r="BD1994" s="115"/>
      <c r="BE1994" s="115"/>
      <c r="BF1994" s="115"/>
      <c r="BG1994" s="115"/>
      <c r="BH1994" s="115"/>
      <c r="BI1994" s="115"/>
      <c r="BJ1994" s="115"/>
      <c r="BK1994" s="122"/>
      <c r="BL1994" s="122"/>
      <c r="BM1994" s="122"/>
      <c r="BN1994" s="115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26"/>
      <c r="CC1994" s="15"/>
    </row>
    <row r="1995" spans="2:81" ht="19.5" customHeight="1" x14ac:dyDescent="0.4">
      <c r="B1995" s="115"/>
      <c r="C1995" s="115"/>
      <c r="D1995" s="115"/>
      <c r="E1995" s="115"/>
      <c r="F1995" s="115"/>
      <c r="G1995" s="115"/>
      <c r="H1995" s="115"/>
      <c r="I1995" s="115"/>
      <c r="J1995" s="115"/>
      <c r="K1995" s="115"/>
      <c r="L1995" s="115"/>
      <c r="M1995" s="115"/>
      <c r="N1995" s="115"/>
      <c r="O1995" s="115"/>
      <c r="P1995" s="115"/>
      <c r="Q1995" s="115"/>
      <c r="R1995" s="115"/>
      <c r="S1995" s="115"/>
      <c r="T1995" s="115"/>
      <c r="U1995" s="115"/>
      <c r="V1995" s="115"/>
      <c r="W1995" s="115"/>
      <c r="X1995" s="115"/>
      <c r="Y1995" s="115"/>
      <c r="Z1995" s="115"/>
      <c r="AA1995" s="115"/>
      <c r="AB1995" s="115"/>
      <c r="AC1995" s="115"/>
      <c r="AD1995" s="115"/>
      <c r="AE1995" s="115"/>
      <c r="AF1995" s="115"/>
      <c r="AG1995" s="115"/>
      <c r="AH1995" s="115"/>
      <c r="AI1995" s="115"/>
      <c r="AJ1995" s="115"/>
      <c r="AK1995" s="115"/>
      <c r="AL1995" s="115"/>
      <c r="AM1995" s="115"/>
      <c r="AN1995" s="115"/>
      <c r="AO1995" s="115"/>
      <c r="AP1995" s="115"/>
      <c r="AQ1995" s="115"/>
      <c r="AR1995" s="115"/>
      <c r="AS1995" s="115"/>
      <c r="AT1995" s="115"/>
      <c r="AU1995" s="115"/>
      <c r="AV1995" s="115"/>
      <c r="AW1995" s="115"/>
      <c r="AX1995" s="115"/>
      <c r="AY1995" s="115"/>
      <c r="AZ1995" s="115"/>
      <c r="BA1995" s="115"/>
      <c r="BB1995" s="115"/>
      <c r="BC1995" s="115"/>
      <c r="BD1995" s="115"/>
      <c r="BE1995" s="115"/>
      <c r="BF1995" s="115"/>
      <c r="BG1995" s="115"/>
      <c r="BH1995" s="115"/>
      <c r="BI1995" s="115"/>
      <c r="BJ1995" s="115"/>
      <c r="BK1995" s="122"/>
      <c r="BL1995" s="122"/>
      <c r="BM1995" s="122"/>
      <c r="BN1995" s="115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26"/>
      <c r="CC1995" s="15"/>
    </row>
    <row r="1996" spans="2:81" x14ac:dyDescent="0.4">
      <c r="CB1996" s="26"/>
      <c r="CC1996" s="15"/>
    </row>
    <row r="1997" spans="2:81" x14ac:dyDescent="0.4">
      <c r="D1997" s="115"/>
      <c r="E1997" s="115"/>
      <c r="F1997" s="115"/>
      <c r="G1997" s="115"/>
      <c r="H1997" s="115"/>
      <c r="I1997" s="115"/>
      <c r="J1997" s="115"/>
      <c r="K1997" s="115"/>
      <c r="L1997" s="115"/>
      <c r="M1997" s="115"/>
      <c r="N1997" s="115"/>
      <c r="O1997" s="115"/>
      <c r="P1997" s="115"/>
      <c r="Q1997" s="115"/>
      <c r="R1997" s="115"/>
      <c r="S1997" s="115"/>
      <c r="T1997" s="115"/>
      <c r="U1997" s="115"/>
      <c r="V1997" s="115"/>
      <c r="W1997" s="115"/>
      <c r="X1997" s="115"/>
      <c r="Y1997" s="115"/>
      <c r="Z1997" s="115"/>
      <c r="AA1997" s="115"/>
      <c r="AB1997" s="115"/>
      <c r="AC1997" s="115"/>
      <c r="AD1997" s="115"/>
      <c r="AE1997" s="115"/>
      <c r="AF1997" s="115"/>
      <c r="AG1997" s="115"/>
      <c r="AH1997" s="115"/>
      <c r="AI1997" s="115"/>
      <c r="AJ1997" s="115"/>
      <c r="AK1997" s="115"/>
      <c r="AL1997" s="115"/>
      <c r="AM1997" s="115"/>
      <c r="AN1997" s="115"/>
      <c r="AO1997" s="115"/>
      <c r="AP1997" s="115"/>
      <c r="AQ1997" s="115"/>
      <c r="AR1997" s="115"/>
      <c r="AS1997" s="115"/>
      <c r="AT1997" s="115"/>
      <c r="AU1997" s="115"/>
      <c r="AV1997" s="115"/>
      <c r="AW1997" s="115"/>
      <c r="AX1997" s="115"/>
      <c r="AY1997" s="115"/>
      <c r="AZ1997" s="115"/>
      <c r="BA1997" s="115"/>
      <c r="BB1997" s="115"/>
      <c r="BC1997" s="115"/>
      <c r="BD1997" s="115"/>
      <c r="BE1997" s="115"/>
      <c r="BF1997" s="115"/>
      <c r="BG1997" s="115"/>
      <c r="BH1997" s="115"/>
      <c r="BI1997" s="115"/>
      <c r="BJ1997" s="115"/>
      <c r="BK1997" s="122"/>
      <c r="BL1997" s="122"/>
      <c r="BM1997" s="122"/>
      <c r="BN1997" s="115"/>
      <c r="BO1997" s="115"/>
      <c r="BP1997" s="115"/>
      <c r="BQ1997" s="115"/>
      <c r="BR1997" s="115"/>
      <c r="BS1997" s="115"/>
      <c r="BT1997" s="115"/>
      <c r="BU1997" s="115"/>
      <c r="BV1997" s="115"/>
      <c r="BW1997" s="115"/>
      <c r="BX1997" s="115"/>
      <c r="BY1997" s="115"/>
      <c r="BZ1997" s="115"/>
      <c r="CA1997" s="115"/>
      <c r="CB1997" s="26"/>
      <c r="CC1997" s="15"/>
    </row>
    <row r="1998" spans="2:81" x14ac:dyDescent="0.4">
      <c r="C1998" s="115"/>
      <c r="D1998" s="115"/>
      <c r="E1998" s="115"/>
      <c r="F1998" s="115"/>
      <c r="G1998" s="115"/>
      <c r="H1998" s="115"/>
      <c r="I1998" s="115"/>
      <c r="J1998" s="115"/>
      <c r="K1998" s="115"/>
      <c r="L1998" s="115"/>
      <c r="M1998" s="115"/>
      <c r="N1998" s="115"/>
      <c r="O1998" s="115"/>
      <c r="P1998" s="115"/>
      <c r="Q1998" s="115"/>
      <c r="R1998" s="115"/>
      <c r="S1998" s="115"/>
      <c r="T1998" s="115"/>
      <c r="U1998" s="115"/>
      <c r="V1998" s="115"/>
      <c r="W1998" s="115"/>
      <c r="X1998" s="115"/>
      <c r="Y1998" s="115"/>
      <c r="Z1998" s="115"/>
      <c r="AA1998" s="115"/>
      <c r="AB1998" s="115"/>
      <c r="AC1998" s="115"/>
      <c r="AD1998" s="115"/>
      <c r="AE1998" s="115"/>
      <c r="AF1998" s="115"/>
      <c r="AG1998" s="115"/>
      <c r="AH1998" s="115"/>
      <c r="AI1998" s="115"/>
      <c r="AJ1998" s="115"/>
      <c r="AK1998" s="115"/>
      <c r="AL1998" s="115"/>
      <c r="AM1998" s="115"/>
      <c r="AN1998" s="115"/>
      <c r="AO1998" s="115"/>
      <c r="AP1998" s="115"/>
      <c r="AQ1998" s="115"/>
      <c r="AR1998" s="115"/>
      <c r="AS1998" s="115"/>
      <c r="AT1998" s="115"/>
      <c r="AU1998" s="115"/>
      <c r="AV1998" s="115"/>
      <c r="AW1998" s="115"/>
      <c r="AX1998" s="115"/>
      <c r="AY1998" s="115"/>
      <c r="AZ1998" s="115"/>
      <c r="BA1998" s="115"/>
      <c r="BB1998" s="115"/>
      <c r="BC1998" s="115"/>
      <c r="BD1998" s="115"/>
      <c r="BE1998" s="115"/>
      <c r="BF1998" s="115"/>
      <c r="BG1998" s="115"/>
      <c r="BH1998" s="115"/>
      <c r="BI1998" s="115"/>
      <c r="BJ1998" s="115"/>
      <c r="BK1998" s="122"/>
      <c r="BL1998" s="122"/>
      <c r="BM1998" s="122"/>
      <c r="BN1998" s="115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26"/>
      <c r="CC1998" s="15"/>
    </row>
    <row r="1999" spans="2:81" x14ac:dyDescent="0.4">
      <c r="C1999" s="115"/>
      <c r="D1999" s="115"/>
      <c r="E1999" s="115"/>
      <c r="F1999" s="115"/>
      <c r="G1999" s="115"/>
      <c r="H1999" s="115"/>
      <c r="I1999" s="115"/>
      <c r="J1999" s="115"/>
      <c r="K1999" s="115"/>
      <c r="L1999" s="115"/>
      <c r="M1999" s="115"/>
      <c r="N1999" s="115"/>
      <c r="O1999" s="115"/>
      <c r="P1999" s="115"/>
      <c r="Q1999" s="115"/>
      <c r="R1999" s="115"/>
      <c r="S1999" s="115"/>
      <c r="T1999" s="115"/>
      <c r="U1999" s="115"/>
      <c r="V1999" s="115"/>
      <c r="W1999" s="115"/>
      <c r="X1999" s="115"/>
      <c r="Y1999" s="115"/>
      <c r="Z1999" s="115"/>
      <c r="AA1999" s="115"/>
      <c r="AB1999" s="115"/>
      <c r="AC1999" s="115"/>
      <c r="AD1999" s="115"/>
      <c r="AE1999" s="115"/>
      <c r="AF1999" s="115"/>
      <c r="AG1999" s="115"/>
      <c r="AH1999" s="115"/>
      <c r="AI1999" s="115"/>
      <c r="AJ1999" s="115"/>
      <c r="AK1999" s="115"/>
      <c r="AL1999" s="115"/>
      <c r="AM1999" s="115"/>
      <c r="AN1999" s="115"/>
      <c r="AO1999" s="115"/>
      <c r="AP1999" s="115"/>
      <c r="AQ1999" s="115"/>
      <c r="AR1999" s="115"/>
      <c r="AS1999" s="115"/>
      <c r="AT1999" s="115"/>
      <c r="AU1999" s="115"/>
      <c r="AV1999" s="115"/>
      <c r="AW1999" s="115"/>
      <c r="AX1999" s="115"/>
      <c r="AY1999" s="115"/>
      <c r="AZ1999" s="115"/>
      <c r="BA1999" s="115"/>
      <c r="BB1999" s="115"/>
      <c r="BC1999" s="115"/>
      <c r="BD1999" s="115"/>
      <c r="BE1999" s="115"/>
      <c r="BF1999" s="115"/>
      <c r="BG1999" s="115"/>
      <c r="BH1999" s="115"/>
      <c r="BI1999" s="115"/>
      <c r="BJ1999" s="115"/>
      <c r="BK1999" s="122"/>
      <c r="BL1999" s="122"/>
      <c r="BM1999" s="122"/>
      <c r="BN1999" s="115"/>
      <c r="BO1999" s="115"/>
      <c r="BP1999" s="115"/>
      <c r="BQ1999" s="115"/>
      <c r="BR1999" s="115"/>
      <c r="BS1999" s="115"/>
      <c r="BT1999" s="115"/>
      <c r="BU1999" s="115"/>
      <c r="BV1999" s="115"/>
      <c r="BW1999" s="115"/>
      <c r="BX1999" s="115"/>
      <c r="BY1999" s="115"/>
      <c r="BZ1999" s="115"/>
      <c r="CA1999" s="115"/>
      <c r="CB1999" s="17"/>
      <c r="CC1999" s="15"/>
    </row>
    <row r="2000" spans="2:81" x14ac:dyDescent="0.4">
      <c r="CB2000" s="26"/>
      <c r="CC2000" s="15"/>
    </row>
    <row r="2001" spans="1:81" x14ac:dyDescent="0.4">
      <c r="BE2001" s="115"/>
      <c r="BF2001" s="115"/>
      <c r="BG2001" s="115"/>
      <c r="BH2001" s="115"/>
      <c r="BI2001" s="115"/>
      <c r="BJ2001" s="115"/>
      <c r="BK2001" s="122"/>
      <c r="BL2001" s="122"/>
      <c r="BM2001" s="122"/>
      <c r="BN2001" s="115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7"/>
      <c r="CC2001" s="15"/>
    </row>
    <row r="2002" spans="1:81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22"/>
      <c r="BL2002" s="122"/>
      <c r="BM2002" s="122"/>
      <c r="BN2002" s="115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26"/>
      <c r="CC2002" s="15"/>
    </row>
    <row r="2003" spans="1:81" x14ac:dyDescent="0.4">
      <c r="CB2003" s="26"/>
      <c r="CC2003" s="15"/>
    </row>
    <row r="2004" spans="1:81" x14ac:dyDescent="0.4">
      <c r="CB2004" s="26"/>
      <c r="CC2004" s="15"/>
    </row>
    <row r="2005" spans="1:81" x14ac:dyDescent="0.4">
      <c r="BD2005" s="115"/>
      <c r="BE2005" s="115"/>
      <c r="BF2005" s="115"/>
      <c r="BG2005" s="115"/>
      <c r="BH2005" s="115"/>
      <c r="BI2005" s="115"/>
      <c r="BJ2005" s="115"/>
      <c r="BK2005" s="122"/>
      <c r="BL2005" s="122"/>
      <c r="BM2005" s="122"/>
      <c r="BN2005" s="115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26"/>
      <c r="CC2005" s="15"/>
    </row>
    <row r="2006" spans="1:81" x14ac:dyDescent="0.4">
      <c r="CB2006" s="26"/>
      <c r="CC2006" s="15"/>
    </row>
    <row r="2007" spans="1:81" x14ac:dyDescent="0.4">
      <c r="BE2007" s="115"/>
      <c r="BF2007" s="115"/>
      <c r="BG2007" s="115"/>
      <c r="BH2007" s="115"/>
      <c r="BI2007" s="115"/>
      <c r="BJ2007" s="115"/>
      <c r="BK2007" s="122"/>
      <c r="BL2007" s="122"/>
      <c r="BM2007" s="122"/>
      <c r="BN2007" s="115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7"/>
      <c r="CC2007" s="15"/>
    </row>
    <row r="2008" spans="1:81" x14ac:dyDescent="0.4">
      <c r="A2008" s="115"/>
      <c r="B2008" s="115"/>
      <c r="C2008" s="115"/>
      <c r="D2008" s="115"/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22"/>
      <c r="BL2008" s="122"/>
      <c r="BM2008" s="122"/>
      <c r="BN2008" s="115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26"/>
      <c r="CC2008" s="15"/>
    </row>
    <row r="2009" spans="1:81" x14ac:dyDescent="0.4">
      <c r="A2009" s="115"/>
      <c r="B2009" s="115"/>
      <c r="C2009" s="115"/>
      <c r="D2009" s="115"/>
      <c r="E2009" s="115"/>
      <c r="F2009" s="115"/>
      <c r="G2009" s="115"/>
      <c r="H2009" s="115"/>
      <c r="I2009" s="115"/>
      <c r="J2009" s="115"/>
      <c r="K2009" s="115"/>
      <c r="L2009" s="115"/>
      <c r="M2009" s="115"/>
      <c r="N2009" s="115"/>
      <c r="O2009" s="115"/>
      <c r="P2009" s="115"/>
      <c r="Q2009" s="115"/>
      <c r="R2009" s="115"/>
      <c r="S2009" s="115"/>
      <c r="T2009" s="115"/>
      <c r="U2009" s="115"/>
      <c r="V2009" s="115"/>
      <c r="W2009" s="115"/>
      <c r="X2009" s="115"/>
      <c r="Y2009" s="115"/>
      <c r="Z2009" s="115"/>
      <c r="AA2009" s="115"/>
      <c r="AB2009" s="115"/>
      <c r="AC2009" s="115"/>
      <c r="AD2009" s="115"/>
      <c r="AE2009" s="115"/>
      <c r="AF2009" s="115"/>
      <c r="AG2009" s="115"/>
      <c r="AH2009" s="115"/>
      <c r="AI2009" s="115"/>
      <c r="AJ2009" s="115"/>
      <c r="AK2009" s="115"/>
      <c r="AL2009" s="115"/>
      <c r="AM2009" s="115"/>
      <c r="AN2009" s="115"/>
      <c r="AO2009" s="115"/>
      <c r="AP2009" s="115"/>
      <c r="AQ2009" s="115"/>
      <c r="AR2009" s="115"/>
      <c r="AS2009" s="115"/>
      <c r="AT2009" s="115"/>
      <c r="AU2009" s="115"/>
      <c r="AV2009" s="115"/>
      <c r="AW2009" s="115"/>
      <c r="AX2009" s="115"/>
      <c r="AY2009" s="115"/>
      <c r="AZ2009" s="115"/>
      <c r="BA2009" s="115"/>
      <c r="BB2009" s="115"/>
      <c r="BC2009" s="115"/>
      <c r="BD2009" s="115"/>
      <c r="BE2009" s="115"/>
      <c r="BF2009" s="115"/>
      <c r="BG2009" s="115"/>
      <c r="BH2009" s="115"/>
      <c r="BI2009" s="115"/>
      <c r="BJ2009" s="115"/>
      <c r="BK2009" s="122"/>
      <c r="BL2009" s="122"/>
      <c r="BM2009" s="122"/>
      <c r="BN2009" s="115"/>
      <c r="BO2009" s="115"/>
      <c r="BP2009" s="115"/>
      <c r="BQ2009" s="115"/>
      <c r="BR2009" s="115"/>
      <c r="BS2009" s="115"/>
      <c r="BT2009" s="115"/>
      <c r="BU2009" s="115"/>
      <c r="BV2009" s="115"/>
      <c r="BW2009" s="115"/>
      <c r="BX2009" s="115"/>
      <c r="BY2009" s="115"/>
      <c r="BZ2009" s="115"/>
      <c r="CA2009" s="115"/>
      <c r="CB2009" s="17"/>
      <c r="CC2009" s="13"/>
    </row>
    <row r="2010" spans="1:81" x14ac:dyDescent="0.4">
      <c r="A2010" s="115"/>
      <c r="B2010" s="115"/>
      <c r="C2010" s="115"/>
      <c r="D2010" s="115"/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22"/>
      <c r="BL2010" s="122"/>
      <c r="BM2010" s="122"/>
      <c r="BN2010" s="115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7"/>
      <c r="CC2010" s="13"/>
    </row>
    <row r="2011" spans="1:81" x14ac:dyDescent="0.4">
      <c r="CB2011" s="26"/>
      <c r="CC2011" s="13"/>
    </row>
    <row r="2012" spans="1:81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22"/>
      <c r="BL2012" s="122"/>
      <c r="BM2012" s="122"/>
      <c r="BN2012" s="115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26"/>
      <c r="CC2012" s="15"/>
    </row>
    <row r="2013" spans="1:81" x14ac:dyDescent="0.4">
      <c r="C2013" s="115"/>
      <c r="D2013" s="115"/>
      <c r="E2013" s="115"/>
      <c r="F2013" s="115"/>
      <c r="G2013" s="115"/>
      <c r="H2013" s="115"/>
      <c r="I2013" s="115"/>
      <c r="J2013" s="115"/>
      <c r="K2013" s="115"/>
      <c r="L2013" s="115"/>
      <c r="M2013" s="115"/>
      <c r="N2013" s="115"/>
      <c r="O2013" s="115"/>
      <c r="P2013" s="115"/>
      <c r="Q2013" s="115"/>
      <c r="R2013" s="115"/>
      <c r="S2013" s="115"/>
      <c r="T2013" s="115"/>
      <c r="U2013" s="115"/>
      <c r="V2013" s="115"/>
      <c r="W2013" s="115"/>
      <c r="X2013" s="115"/>
      <c r="Y2013" s="115"/>
      <c r="Z2013" s="115"/>
      <c r="AA2013" s="115"/>
      <c r="AB2013" s="115"/>
      <c r="AC2013" s="115"/>
      <c r="AD2013" s="115"/>
      <c r="AE2013" s="115"/>
      <c r="AF2013" s="115"/>
      <c r="AG2013" s="115"/>
      <c r="AH2013" s="115"/>
      <c r="AI2013" s="115"/>
      <c r="AJ2013" s="115"/>
      <c r="AK2013" s="115"/>
      <c r="AL2013" s="115"/>
      <c r="AM2013" s="115"/>
      <c r="AN2013" s="115"/>
      <c r="AO2013" s="115"/>
      <c r="AP2013" s="115"/>
      <c r="AQ2013" s="115"/>
      <c r="AR2013" s="115"/>
      <c r="AS2013" s="115"/>
      <c r="AT2013" s="115"/>
      <c r="AU2013" s="115"/>
      <c r="AV2013" s="115"/>
      <c r="AW2013" s="115"/>
      <c r="AX2013" s="115"/>
      <c r="AY2013" s="115"/>
      <c r="AZ2013" s="115"/>
      <c r="BA2013" s="115"/>
      <c r="BB2013" s="115"/>
      <c r="BC2013" s="115"/>
      <c r="BD2013" s="115"/>
      <c r="BE2013" s="115"/>
      <c r="BF2013" s="115"/>
      <c r="BG2013" s="115"/>
      <c r="BH2013" s="115"/>
      <c r="BI2013" s="115"/>
      <c r="BJ2013" s="115"/>
      <c r="BK2013" s="122"/>
      <c r="BL2013" s="122"/>
      <c r="BM2013" s="122"/>
      <c r="BN2013" s="115"/>
      <c r="BO2013" s="115"/>
      <c r="BP2013" s="115"/>
      <c r="BQ2013" s="115"/>
      <c r="BR2013" s="115"/>
      <c r="BS2013" s="115"/>
      <c r="BT2013" s="115"/>
      <c r="BU2013" s="115"/>
      <c r="BV2013" s="115"/>
      <c r="BW2013" s="115"/>
      <c r="BX2013" s="115"/>
      <c r="BY2013" s="115"/>
      <c r="BZ2013" s="115"/>
      <c r="CA2013" s="115"/>
      <c r="CB2013" s="26"/>
      <c r="CC2013" s="15"/>
    </row>
    <row r="2014" spans="1:81" x14ac:dyDescent="0.4">
      <c r="CB2014" s="26"/>
      <c r="CC2014" s="15"/>
    </row>
    <row r="2015" spans="1:81" x14ac:dyDescent="0.4">
      <c r="D2015" s="115"/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22"/>
      <c r="BL2015" s="122"/>
      <c r="BM2015" s="122"/>
      <c r="BN2015" s="115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26"/>
      <c r="CC2015" s="15"/>
    </row>
    <row r="2016" spans="1:81" x14ac:dyDescent="0.4">
      <c r="C2016" s="115"/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22"/>
      <c r="BL2016" s="122"/>
      <c r="BM2016" s="122"/>
      <c r="BN2016" s="115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26"/>
      <c r="CC2016" s="15"/>
    </row>
    <row r="2017" spans="1:81" x14ac:dyDescent="0.4">
      <c r="C2017" s="115"/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22"/>
      <c r="BL2017" s="122"/>
      <c r="BM2017" s="122"/>
      <c r="BN2017" s="115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26"/>
      <c r="CC2017" s="15"/>
    </row>
    <row r="2018" spans="1:81" x14ac:dyDescent="0.4">
      <c r="C2018" s="115"/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22"/>
      <c r="BL2018" s="122"/>
      <c r="BM2018" s="122"/>
      <c r="BN2018" s="115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26"/>
      <c r="CC2018" s="15"/>
    </row>
    <row r="2019" spans="1:81" x14ac:dyDescent="0.4">
      <c r="CB2019" s="26"/>
      <c r="CC2019" s="15"/>
    </row>
    <row r="2020" spans="1:81" x14ac:dyDescent="0.4"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22"/>
      <c r="BL2020" s="122"/>
      <c r="BM2020" s="122"/>
      <c r="BN2020" s="115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26"/>
      <c r="CC2020" s="15"/>
    </row>
    <row r="2021" spans="1:81" x14ac:dyDescent="0.4">
      <c r="CB2021" s="26"/>
      <c r="CC2021" s="15"/>
    </row>
    <row r="2022" spans="1:81" x14ac:dyDescent="0.4">
      <c r="D2022" s="115"/>
      <c r="E2022" s="115"/>
      <c r="F2022" s="115"/>
      <c r="G2022" s="115"/>
      <c r="H2022" s="115"/>
      <c r="I2022" s="115"/>
      <c r="J2022" s="115"/>
      <c r="K2022" s="115"/>
      <c r="L2022" s="115"/>
      <c r="M2022" s="115"/>
      <c r="N2022" s="115"/>
      <c r="O2022" s="115"/>
      <c r="P2022" s="115"/>
      <c r="Q2022" s="115"/>
      <c r="R2022" s="115"/>
      <c r="S2022" s="115"/>
      <c r="T2022" s="115"/>
      <c r="U2022" s="115"/>
      <c r="V2022" s="115"/>
      <c r="W2022" s="115"/>
      <c r="X2022" s="115"/>
      <c r="Y2022" s="115"/>
      <c r="Z2022" s="115"/>
      <c r="AA2022" s="115"/>
      <c r="AB2022" s="115"/>
      <c r="AC2022" s="115"/>
      <c r="AD2022" s="115"/>
      <c r="AE2022" s="115"/>
      <c r="AF2022" s="115"/>
      <c r="AG2022" s="115"/>
      <c r="AH2022" s="115"/>
      <c r="AI2022" s="115"/>
      <c r="AJ2022" s="115"/>
      <c r="AK2022" s="115"/>
      <c r="AL2022" s="115"/>
      <c r="AM2022" s="115"/>
      <c r="AN2022" s="115"/>
      <c r="AO2022" s="115"/>
      <c r="AP2022" s="115"/>
      <c r="AQ2022" s="115"/>
      <c r="AR2022" s="115"/>
      <c r="AS2022" s="115"/>
      <c r="AT2022" s="115"/>
      <c r="AU2022" s="115"/>
      <c r="AV2022" s="115"/>
      <c r="AW2022" s="115"/>
      <c r="AX2022" s="115"/>
      <c r="AY2022" s="115"/>
      <c r="AZ2022" s="115"/>
      <c r="BA2022" s="115"/>
      <c r="BB2022" s="115"/>
      <c r="BC2022" s="115"/>
      <c r="BD2022" s="115"/>
      <c r="BE2022" s="115"/>
      <c r="BF2022" s="115"/>
      <c r="BG2022" s="115"/>
      <c r="BH2022" s="115"/>
      <c r="BI2022" s="115"/>
      <c r="BJ2022" s="115"/>
      <c r="BK2022" s="122"/>
      <c r="BL2022" s="122"/>
      <c r="BM2022" s="122"/>
      <c r="BN2022" s="115"/>
      <c r="BO2022" s="115"/>
      <c r="BP2022" s="115"/>
      <c r="BQ2022" s="115"/>
      <c r="BR2022" s="115"/>
      <c r="BS2022" s="115"/>
      <c r="BT2022" s="115"/>
      <c r="BU2022" s="115"/>
      <c r="BV2022" s="115"/>
      <c r="BW2022" s="115"/>
      <c r="BX2022" s="115"/>
      <c r="BY2022" s="115"/>
      <c r="BZ2022" s="115"/>
      <c r="CA2022" s="115"/>
      <c r="CB2022" s="26"/>
      <c r="CC2022" s="15"/>
    </row>
    <row r="2023" spans="1:81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22"/>
      <c r="BL2023" s="122"/>
      <c r="BM2023" s="122"/>
      <c r="BN2023" s="115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26"/>
      <c r="CC2023" s="15"/>
    </row>
    <row r="2024" spans="1:81" x14ac:dyDescent="0.4"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22"/>
      <c r="BL2024" s="122"/>
      <c r="BM2024" s="122"/>
      <c r="BN2024" s="115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7"/>
      <c r="CC2024" s="15"/>
    </row>
    <row r="2025" spans="1:81" x14ac:dyDescent="0.4">
      <c r="CB2025" s="26"/>
      <c r="CC2025" s="15"/>
    </row>
    <row r="2026" spans="1:81" x14ac:dyDescent="0.4">
      <c r="CB2026" s="26"/>
      <c r="CC2026" s="15"/>
    </row>
    <row r="2027" spans="1:81" x14ac:dyDescent="0.4">
      <c r="A2027" s="115"/>
      <c r="B2027" s="115"/>
      <c r="C2027" s="115"/>
      <c r="D2027" s="115"/>
      <c r="E2027" s="115"/>
      <c r="F2027" s="115"/>
      <c r="G2027" s="115"/>
      <c r="H2027" s="115"/>
      <c r="I2027" s="115"/>
      <c r="J2027" s="115"/>
      <c r="K2027" s="115"/>
      <c r="L2027" s="115"/>
      <c r="M2027" s="115"/>
      <c r="N2027" s="115"/>
      <c r="O2027" s="115"/>
      <c r="P2027" s="115"/>
      <c r="Q2027" s="115"/>
      <c r="R2027" s="115"/>
      <c r="S2027" s="115"/>
      <c r="T2027" s="115"/>
      <c r="U2027" s="115"/>
      <c r="V2027" s="115"/>
      <c r="W2027" s="115"/>
      <c r="X2027" s="115"/>
      <c r="Y2027" s="115"/>
      <c r="Z2027" s="115"/>
      <c r="AA2027" s="115"/>
      <c r="AB2027" s="115"/>
      <c r="AC2027" s="115"/>
      <c r="AD2027" s="115"/>
      <c r="AE2027" s="115"/>
      <c r="AF2027" s="115"/>
      <c r="AG2027" s="115"/>
      <c r="AH2027" s="115"/>
      <c r="AI2027" s="115"/>
      <c r="AJ2027" s="115"/>
      <c r="AK2027" s="115"/>
      <c r="AL2027" s="115"/>
      <c r="AM2027" s="115"/>
      <c r="AN2027" s="115"/>
      <c r="AO2027" s="115"/>
      <c r="AP2027" s="115"/>
      <c r="AQ2027" s="115"/>
      <c r="AR2027" s="115"/>
      <c r="AS2027" s="115"/>
      <c r="AT2027" s="115"/>
      <c r="AU2027" s="115"/>
      <c r="AV2027" s="115"/>
      <c r="AW2027" s="115"/>
      <c r="AX2027" s="115"/>
      <c r="AY2027" s="115"/>
      <c r="AZ2027" s="115"/>
      <c r="BA2027" s="115"/>
      <c r="BB2027" s="115"/>
      <c r="BC2027" s="115"/>
      <c r="BD2027" s="115"/>
      <c r="BE2027" s="115"/>
      <c r="BF2027" s="115"/>
      <c r="BG2027" s="115"/>
      <c r="BH2027" s="115"/>
      <c r="BI2027" s="115"/>
      <c r="BJ2027" s="115"/>
      <c r="BK2027" s="122"/>
      <c r="BL2027" s="122"/>
      <c r="BM2027" s="122"/>
      <c r="BN2027" s="115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26"/>
      <c r="CC2027" s="15"/>
    </row>
    <row r="2028" spans="1:81" x14ac:dyDescent="0.4">
      <c r="A2028" s="115"/>
      <c r="B2028" s="115"/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22"/>
      <c r="BL2028" s="122"/>
      <c r="BM2028" s="122"/>
      <c r="BN2028" s="115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7"/>
      <c r="CC2028" s="15"/>
    </row>
    <row r="2029" spans="1:81" x14ac:dyDescent="0.4">
      <c r="CB2029" s="26"/>
      <c r="CC2029" s="15"/>
    </row>
    <row r="2030" spans="1:81" ht="17.25" customHeight="1" x14ac:dyDescent="0.4">
      <c r="B2030" s="115"/>
      <c r="C2030" s="115"/>
      <c r="D2030" s="115"/>
      <c r="E2030" s="115"/>
      <c r="F2030" s="115"/>
      <c r="G2030" s="115"/>
      <c r="H2030" s="115"/>
      <c r="I2030" s="115"/>
      <c r="J2030" s="115"/>
      <c r="K2030" s="115"/>
      <c r="L2030" s="115"/>
      <c r="M2030" s="115"/>
      <c r="N2030" s="115"/>
      <c r="O2030" s="115"/>
      <c r="P2030" s="115"/>
      <c r="Q2030" s="115"/>
      <c r="R2030" s="115"/>
      <c r="S2030" s="115"/>
      <c r="T2030" s="115"/>
      <c r="U2030" s="115"/>
      <c r="V2030" s="115"/>
      <c r="W2030" s="115"/>
      <c r="X2030" s="115"/>
      <c r="Y2030" s="115"/>
      <c r="Z2030" s="115"/>
      <c r="AA2030" s="115"/>
      <c r="AB2030" s="115"/>
      <c r="AC2030" s="115"/>
      <c r="AD2030" s="115"/>
      <c r="AE2030" s="115"/>
      <c r="AF2030" s="115"/>
      <c r="AG2030" s="115"/>
      <c r="AH2030" s="115"/>
      <c r="AI2030" s="115"/>
      <c r="AJ2030" s="115"/>
      <c r="AK2030" s="115"/>
      <c r="AL2030" s="115"/>
      <c r="AM2030" s="115"/>
      <c r="AN2030" s="115"/>
      <c r="AO2030" s="115"/>
      <c r="AP2030" s="115"/>
      <c r="AQ2030" s="115"/>
      <c r="AR2030" s="115"/>
      <c r="AS2030" s="115"/>
      <c r="AT2030" s="115"/>
      <c r="AU2030" s="115"/>
      <c r="AV2030" s="115"/>
      <c r="AW2030" s="115"/>
      <c r="AX2030" s="115"/>
      <c r="AY2030" s="115"/>
      <c r="AZ2030" s="115"/>
      <c r="BA2030" s="115"/>
      <c r="BB2030" s="115"/>
      <c r="BC2030" s="115"/>
      <c r="BD2030" s="115"/>
      <c r="BE2030" s="115"/>
      <c r="BF2030" s="115"/>
      <c r="BG2030" s="115"/>
      <c r="BH2030" s="115"/>
      <c r="BI2030" s="115"/>
      <c r="BJ2030" s="115"/>
      <c r="BK2030" s="122"/>
      <c r="BL2030" s="122"/>
      <c r="BM2030" s="122"/>
      <c r="BN2030" s="115"/>
      <c r="BO2030" s="115"/>
      <c r="BP2030" s="115"/>
      <c r="BQ2030" s="115"/>
      <c r="BR2030" s="115"/>
      <c r="BS2030" s="115"/>
      <c r="BT2030" s="115"/>
      <c r="BU2030" s="115"/>
      <c r="BV2030" s="115"/>
      <c r="BW2030" s="115"/>
      <c r="BX2030" s="115"/>
      <c r="BY2030" s="115"/>
      <c r="BZ2030" s="115"/>
      <c r="CA2030" s="115"/>
      <c r="CB2030" s="26"/>
      <c r="CC2030" s="15"/>
    </row>
    <row r="2031" spans="1:81" x14ac:dyDescent="0.4">
      <c r="CB2031" s="26"/>
      <c r="CC2031" s="15"/>
    </row>
    <row r="2032" spans="1:81" x14ac:dyDescent="0.4">
      <c r="BD2032" s="115"/>
      <c r="BE2032" s="115"/>
      <c r="BF2032" s="115"/>
      <c r="BG2032" s="115"/>
      <c r="BH2032" s="115"/>
      <c r="BI2032" s="115"/>
      <c r="BJ2032" s="115"/>
      <c r="BK2032" s="122"/>
      <c r="BL2032" s="122"/>
      <c r="BM2032" s="122"/>
      <c r="BN2032" s="115"/>
      <c r="BO2032" s="115"/>
      <c r="BP2032" s="115"/>
      <c r="BQ2032" s="115"/>
      <c r="BR2032" s="115"/>
      <c r="BS2032" s="115"/>
      <c r="BT2032" s="115"/>
      <c r="BU2032" s="115"/>
      <c r="BV2032" s="115"/>
      <c r="BW2032" s="115"/>
      <c r="BX2032" s="115"/>
      <c r="BY2032" s="115"/>
      <c r="BZ2032" s="115"/>
      <c r="CA2032" s="115"/>
      <c r="CB2032" s="17"/>
      <c r="CC2032" s="15"/>
    </row>
    <row r="2033" spans="1:81" ht="16.5" customHeight="1" x14ac:dyDescent="0.4">
      <c r="A2033" s="115"/>
      <c r="B2033" s="115"/>
      <c r="C2033" s="115"/>
      <c r="D2033" s="115"/>
      <c r="E2033" s="115"/>
      <c r="F2033" s="115"/>
      <c r="G2033" s="115"/>
      <c r="H2033" s="115"/>
      <c r="I2033" s="115"/>
      <c r="J2033" s="115"/>
      <c r="K2033" s="115"/>
      <c r="L2033" s="115"/>
      <c r="M2033" s="115"/>
      <c r="N2033" s="115"/>
      <c r="O2033" s="115"/>
      <c r="P2033" s="115"/>
      <c r="Q2033" s="115"/>
      <c r="R2033" s="115"/>
      <c r="S2033" s="115"/>
      <c r="T2033" s="115"/>
      <c r="U2033" s="115"/>
      <c r="V2033" s="115"/>
      <c r="W2033" s="115"/>
      <c r="X2033" s="115"/>
      <c r="Y2033" s="115"/>
      <c r="Z2033" s="115"/>
      <c r="AA2033" s="115"/>
      <c r="AB2033" s="115"/>
      <c r="AC2033" s="115"/>
      <c r="AD2033" s="115"/>
      <c r="AE2033" s="115"/>
      <c r="AF2033" s="115"/>
      <c r="AG2033" s="115"/>
      <c r="AH2033" s="115"/>
      <c r="AI2033" s="115"/>
      <c r="AJ2033" s="115"/>
      <c r="AK2033" s="115"/>
      <c r="AL2033" s="115"/>
      <c r="AM2033" s="115"/>
      <c r="AN2033" s="115"/>
      <c r="AO2033" s="115"/>
      <c r="AP2033" s="115"/>
      <c r="AQ2033" s="115"/>
      <c r="AR2033" s="115"/>
      <c r="AS2033" s="115"/>
      <c r="AT2033" s="115"/>
      <c r="AU2033" s="115"/>
      <c r="AV2033" s="115"/>
      <c r="AW2033" s="115"/>
      <c r="AX2033" s="115"/>
      <c r="AY2033" s="115"/>
      <c r="AZ2033" s="115"/>
      <c r="BA2033" s="115"/>
      <c r="BB2033" s="115"/>
      <c r="BC2033" s="115"/>
      <c r="BD2033" s="115"/>
      <c r="BE2033" s="115"/>
      <c r="BF2033" s="115"/>
      <c r="BG2033" s="115"/>
      <c r="BH2033" s="115"/>
      <c r="BI2033" s="115"/>
      <c r="BJ2033" s="115"/>
      <c r="BK2033" s="122"/>
      <c r="BL2033" s="122"/>
      <c r="BM2033" s="122"/>
      <c r="BN2033" s="115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26"/>
      <c r="CC2033" s="15"/>
    </row>
    <row r="2034" spans="1:81" ht="22.5" customHeight="1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22"/>
      <c r="BL2034" s="122"/>
      <c r="BM2034" s="122"/>
      <c r="BN2034" s="115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26"/>
      <c r="CC2034" s="15"/>
    </row>
    <row r="2035" spans="1:81" x14ac:dyDescent="0.4">
      <c r="CB2035" s="26"/>
      <c r="CC2035" s="15"/>
    </row>
    <row r="2036" spans="1:81" x14ac:dyDescent="0.4">
      <c r="CB2036" s="26"/>
      <c r="CC2036" s="105"/>
    </row>
    <row r="2037" spans="1:81" x14ac:dyDescent="0.4">
      <c r="A2037" s="115"/>
      <c r="B2037" s="115"/>
      <c r="C2037" s="115"/>
      <c r="D2037" s="115"/>
      <c r="E2037" s="115"/>
      <c r="F2037" s="115"/>
      <c r="G2037" s="115"/>
      <c r="H2037" s="115"/>
      <c r="I2037" s="115"/>
      <c r="J2037" s="115"/>
      <c r="K2037" s="115"/>
      <c r="L2037" s="115"/>
      <c r="M2037" s="115"/>
      <c r="N2037" s="115"/>
      <c r="O2037" s="115"/>
      <c r="P2037" s="115"/>
      <c r="Q2037" s="115"/>
      <c r="R2037" s="115"/>
      <c r="S2037" s="115"/>
      <c r="T2037" s="115"/>
      <c r="U2037" s="115"/>
      <c r="V2037" s="115"/>
      <c r="W2037" s="115"/>
      <c r="X2037" s="115"/>
      <c r="Y2037" s="115"/>
      <c r="Z2037" s="115"/>
      <c r="AA2037" s="115"/>
      <c r="AB2037" s="115"/>
      <c r="AC2037" s="115"/>
      <c r="AD2037" s="115"/>
      <c r="AE2037" s="115"/>
      <c r="AF2037" s="115"/>
      <c r="AG2037" s="115"/>
      <c r="AH2037" s="115"/>
      <c r="AI2037" s="115"/>
      <c r="AJ2037" s="115"/>
      <c r="AK2037" s="115"/>
      <c r="AL2037" s="115"/>
      <c r="AM2037" s="115"/>
      <c r="AN2037" s="115"/>
      <c r="AO2037" s="115"/>
      <c r="AP2037" s="115"/>
      <c r="AQ2037" s="115"/>
      <c r="AR2037" s="115"/>
      <c r="AS2037" s="115"/>
      <c r="AT2037" s="115"/>
      <c r="AU2037" s="115"/>
      <c r="AV2037" s="115"/>
      <c r="AW2037" s="115"/>
      <c r="AX2037" s="115"/>
      <c r="AY2037" s="115"/>
      <c r="AZ2037" s="115"/>
      <c r="BA2037" s="115"/>
      <c r="BB2037" s="115"/>
      <c r="BC2037" s="115"/>
      <c r="BD2037" s="115"/>
      <c r="BE2037" s="115"/>
      <c r="BF2037" s="115"/>
      <c r="BG2037" s="115"/>
      <c r="BH2037" s="115"/>
      <c r="BI2037" s="115"/>
      <c r="BJ2037" s="115"/>
      <c r="BK2037" s="122"/>
      <c r="BL2037" s="122"/>
      <c r="BM2037" s="122"/>
      <c r="BN2037" s="115"/>
      <c r="BO2037" s="115"/>
      <c r="BP2037" s="115"/>
      <c r="BQ2037" s="115"/>
      <c r="BR2037" s="115"/>
      <c r="BS2037" s="115"/>
      <c r="BT2037" s="115"/>
      <c r="BU2037" s="115"/>
      <c r="BV2037" s="115"/>
      <c r="BW2037" s="115"/>
      <c r="BX2037" s="115"/>
      <c r="BY2037" s="115"/>
      <c r="BZ2037" s="115"/>
      <c r="CA2037" s="115"/>
      <c r="CB2037" s="26"/>
      <c r="CC2037" s="15"/>
    </row>
    <row r="2038" spans="1:81" x14ac:dyDescent="0.4">
      <c r="CB2038" s="26"/>
      <c r="CC2038" s="15"/>
    </row>
    <row r="2039" spans="1:81" x14ac:dyDescent="0.4">
      <c r="CB2039" s="26"/>
      <c r="CC2039" s="15"/>
    </row>
    <row r="2040" spans="1:81" x14ac:dyDescent="0.4">
      <c r="CB2040" s="26"/>
      <c r="CC2040" s="15"/>
    </row>
    <row r="2041" spans="1:81" x14ac:dyDescent="0.4">
      <c r="CB2041" s="26"/>
      <c r="CC2041" s="15"/>
    </row>
    <row r="2042" spans="1:81" x14ac:dyDescent="0.4">
      <c r="A2042" s="115"/>
      <c r="B2042" s="115"/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22"/>
      <c r="BL2042" s="122"/>
      <c r="BM2042" s="122"/>
      <c r="BN2042" s="115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26"/>
      <c r="CC2042" s="15"/>
    </row>
    <row r="2043" spans="1:81" x14ac:dyDescent="0.4">
      <c r="CB2043" s="26"/>
      <c r="CC2043" s="15"/>
    </row>
    <row r="2044" spans="1:81" x14ac:dyDescent="0.4">
      <c r="CB2044" s="26"/>
      <c r="CC2044" s="15"/>
    </row>
    <row r="2045" spans="1:81" x14ac:dyDescent="0.4">
      <c r="CB2045" s="26"/>
      <c r="CC2045" s="15"/>
    </row>
    <row r="2046" spans="1:81" x14ac:dyDescent="0.4">
      <c r="CB2046" s="26"/>
      <c r="CC2046" s="15"/>
    </row>
    <row r="2047" spans="1:81" ht="18.75" customHeight="1" x14ac:dyDescent="0.4">
      <c r="B2047" s="115"/>
      <c r="C2047" s="115"/>
      <c r="D2047" s="115"/>
      <c r="E2047" s="115"/>
      <c r="F2047" s="115"/>
      <c r="G2047" s="115"/>
      <c r="H2047" s="115"/>
      <c r="I2047" s="115"/>
      <c r="J2047" s="115"/>
      <c r="K2047" s="115"/>
      <c r="L2047" s="115"/>
      <c r="M2047" s="115"/>
      <c r="N2047" s="115"/>
      <c r="O2047" s="115"/>
      <c r="P2047" s="115"/>
      <c r="Q2047" s="115"/>
      <c r="R2047" s="115"/>
      <c r="S2047" s="115"/>
      <c r="T2047" s="115"/>
      <c r="U2047" s="115"/>
      <c r="V2047" s="115"/>
      <c r="W2047" s="115"/>
      <c r="X2047" s="115"/>
      <c r="Y2047" s="115"/>
      <c r="Z2047" s="115"/>
      <c r="AA2047" s="115"/>
      <c r="AB2047" s="115"/>
      <c r="AC2047" s="115"/>
      <c r="AD2047" s="115"/>
      <c r="AE2047" s="115"/>
      <c r="AF2047" s="115"/>
      <c r="AG2047" s="115"/>
      <c r="AH2047" s="115"/>
      <c r="AI2047" s="115"/>
      <c r="AJ2047" s="115"/>
      <c r="AK2047" s="115"/>
      <c r="AL2047" s="115"/>
      <c r="AM2047" s="115"/>
      <c r="AN2047" s="115"/>
      <c r="AO2047" s="115"/>
      <c r="AP2047" s="115"/>
      <c r="AQ2047" s="115"/>
      <c r="AR2047" s="115"/>
      <c r="AS2047" s="115"/>
      <c r="AT2047" s="115"/>
      <c r="AU2047" s="115"/>
      <c r="AV2047" s="115"/>
      <c r="AW2047" s="115"/>
      <c r="AX2047" s="115"/>
      <c r="AY2047" s="115"/>
      <c r="AZ2047" s="115"/>
      <c r="BA2047" s="115"/>
      <c r="BB2047" s="115"/>
      <c r="BC2047" s="115"/>
      <c r="BD2047" s="115"/>
      <c r="BE2047" s="115"/>
      <c r="BF2047" s="115"/>
      <c r="BG2047" s="115"/>
      <c r="BH2047" s="115"/>
      <c r="BI2047" s="115"/>
      <c r="BJ2047" s="115"/>
      <c r="BK2047" s="122"/>
      <c r="BL2047" s="122"/>
      <c r="BM2047" s="122"/>
      <c r="BN2047" s="115"/>
      <c r="BO2047" s="115"/>
      <c r="BP2047" s="115"/>
      <c r="BQ2047" s="115"/>
      <c r="BR2047" s="115"/>
      <c r="BS2047" s="115"/>
      <c r="BT2047" s="115"/>
      <c r="BU2047" s="115"/>
      <c r="BV2047" s="115"/>
      <c r="BW2047" s="115"/>
      <c r="BX2047" s="115"/>
      <c r="BY2047" s="115"/>
      <c r="BZ2047" s="115"/>
      <c r="CA2047" s="115"/>
      <c r="CB2047" s="26"/>
      <c r="CC2047" s="15"/>
    </row>
    <row r="2048" spans="1:81" x14ac:dyDescent="0.4">
      <c r="CB2048" s="26"/>
      <c r="CC2048" s="15"/>
    </row>
    <row r="2049" spans="1:81" x14ac:dyDescent="0.4">
      <c r="CB2049" s="26"/>
      <c r="CC2049" s="15"/>
    </row>
    <row r="2050" spans="1:81" x14ac:dyDescent="0.4">
      <c r="B2050" s="115"/>
      <c r="C2050" s="115"/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22"/>
      <c r="BL2050" s="122"/>
      <c r="BM2050" s="122"/>
      <c r="BN2050" s="115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26"/>
      <c r="CC2050" s="15"/>
    </row>
    <row r="2051" spans="1:81" x14ac:dyDescent="0.4">
      <c r="A2051" s="115"/>
      <c r="B2051" s="115"/>
      <c r="C2051" s="115"/>
      <c r="D2051" s="115"/>
      <c r="E2051" s="115"/>
      <c r="F2051" s="115"/>
      <c r="G2051" s="115"/>
      <c r="H2051" s="115"/>
      <c r="I2051" s="115"/>
      <c r="J2051" s="115"/>
      <c r="K2051" s="115"/>
      <c r="L2051" s="115"/>
      <c r="M2051" s="115"/>
      <c r="N2051" s="115"/>
      <c r="O2051" s="115"/>
      <c r="P2051" s="115"/>
      <c r="Q2051" s="115"/>
      <c r="R2051" s="115"/>
      <c r="S2051" s="115"/>
      <c r="T2051" s="115"/>
      <c r="U2051" s="115"/>
      <c r="V2051" s="115"/>
      <c r="W2051" s="115"/>
      <c r="X2051" s="115"/>
      <c r="Y2051" s="115"/>
      <c r="Z2051" s="115"/>
      <c r="AA2051" s="115"/>
      <c r="AB2051" s="115"/>
      <c r="AC2051" s="115"/>
      <c r="AD2051" s="115"/>
      <c r="AE2051" s="115"/>
      <c r="AF2051" s="115"/>
      <c r="AG2051" s="115"/>
      <c r="AH2051" s="115"/>
      <c r="AI2051" s="115"/>
      <c r="AJ2051" s="115"/>
      <c r="AK2051" s="115"/>
      <c r="AL2051" s="115"/>
      <c r="AM2051" s="115"/>
      <c r="AN2051" s="115"/>
      <c r="AO2051" s="115"/>
      <c r="AP2051" s="115"/>
      <c r="AQ2051" s="115"/>
      <c r="AR2051" s="115"/>
      <c r="AS2051" s="115"/>
      <c r="AT2051" s="115"/>
      <c r="AU2051" s="115"/>
      <c r="AV2051" s="115"/>
      <c r="AW2051" s="115"/>
      <c r="AX2051" s="115"/>
      <c r="AY2051" s="115"/>
      <c r="AZ2051" s="115"/>
      <c r="BA2051" s="115"/>
      <c r="BB2051" s="115"/>
      <c r="BC2051" s="115"/>
      <c r="BD2051" s="115"/>
      <c r="BE2051" s="115"/>
      <c r="BF2051" s="115"/>
      <c r="BG2051" s="115"/>
      <c r="BH2051" s="115"/>
      <c r="BI2051" s="115"/>
      <c r="BJ2051" s="115"/>
      <c r="BK2051" s="122"/>
      <c r="BL2051" s="122"/>
      <c r="BM2051" s="122"/>
      <c r="BN2051" s="115"/>
      <c r="BO2051" s="115"/>
      <c r="BP2051" s="115"/>
      <c r="BQ2051" s="115"/>
      <c r="BR2051" s="115"/>
      <c r="BS2051" s="115"/>
      <c r="BT2051" s="115"/>
      <c r="BU2051" s="115"/>
      <c r="BV2051" s="115"/>
      <c r="BW2051" s="115"/>
      <c r="BX2051" s="115"/>
      <c r="BY2051" s="115"/>
      <c r="BZ2051" s="115"/>
      <c r="CA2051" s="115"/>
      <c r="CB2051" s="26"/>
      <c r="CC2051" s="15"/>
    </row>
    <row r="2052" spans="1:81" x14ac:dyDescent="0.4">
      <c r="CB2052" s="26"/>
      <c r="CC2052" s="15"/>
    </row>
    <row r="2053" spans="1:81" x14ac:dyDescent="0.4">
      <c r="BD2053" s="115"/>
      <c r="BE2053" s="115"/>
      <c r="BF2053" s="115"/>
      <c r="BG2053" s="115"/>
      <c r="BH2053" s="115"/>
      <c r="BI2053" s="115"/>
      <c r="BJ2053" s="115"/>
      <c r="BK2053" s="122"/>
      <c r="BL2053" s="122"/>
      <c r="BM2053" s="122"/>
      <c r="BN2053" s="115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7"/>
      <c r="CC2053" s="15"/>
    </row>
    <row r="2054" spans="1:81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22"/>
      <c r="BL2054" s="122"/>
      <c r="BM2054" s="122"/>
      <c r="BN2054" s="115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26"/>
      <c r="CC2054" s="15"/>
    </row>
    <row r="2055" spans="1:81" x14ac:dyDescent="0.4">
      <c r="CB2055" s="26"/>
      <c r="CC2055" s="15"/>
    </row>
    <row r="2056" spans="1:81" x14ac:dyDescent="0.4">
      <c r="BD2056" s="115"/>
      <c r="BE2056" s="115"/>
      <c r="BF2056" s="115"/>
      <c r="BG2056" s="115"/>
      <c r="BH2056" s="115"/>
      <c r="BI2056" s="115"/>
      <c r="BJ2056" s="115"/>
      <c r="BK2056" s="122"/>
      <c r="BL2056" s="122"/>
      <c r="BM2056" s="122"/>
      <c r="BN2056" s="115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7"/>
      <c r="CC2056" s="15"/>
    </row>
    <row r="2057" spans="1:81" x14ac:dyDescent="0.4">
      <c r="CB2057" s="26"/>
      <c r="CC2057" s="15"/>
    </row>
    <row r="2058" spans="1:81" x14ac:dyDescent="0.4">
      <c r="B2058" s="115"/>
      <c r="C2058" s="115"/>
      <c r="D2058" s="115"/>
      <c r="E2058" s="115"/>
      <c r="F2058" s="115"/>
      <c r="G2058" s="115"/>
      <c r="H2058" s="115"/>
      <c r="I2058" s="115"/>
      <c r="J2058" s="115"/>
      <c r="K2058" s="115"/>
      <c r="L2058" s="115"/>
      <c r="M2058" s="115"/>
      <c r="N2058" s="115"/>
      <c r="O2058" s="115"/>
      <c r="P2058" s="115"/>
      <c r="Q2058" s="115"/>
      <c r="R2058" s="115"/>
      <c r="S2058" s="115"/>
      <c r="T2058" s="115"/>
      <c r="U2058" s="115"/>
      <c r="V2058" s="115"/>
      <c r="W2058" s="115"/>
      <c r="X2058" s="115"/>
      <c r="Y2058" s="115"/>
      <c r="Z2058" s="115"/>
      <c r="AA2058" s="115"/>
      <c r="AB2058" s="115"/>
      <c r="AC2058" s="115"/>
      <c r="AD2058" s="115"/>
      <c r="AE2058" s="115"/>
      <c r="AF2058" s="115"/>
      <c r="AG2058" s="115"/>
      <c r="AH2058" s="115"/>
      <c r="AI2058" s="115"/>
      <c r="AJ2058" s="115"/>
      <c r="AK2058" s="115"/>
      <c r="AL2058" s="115"/>
      <c r="AM2058" s="115"/>
      <c r="AN2058" s="115"/>
      <c r="AO2058" s="115"/>
      <c r="AP2058" s="115"/>
      <c r="AQ2058" s="115"/>
      <c r="AR2058" s="115"/>
      <c r="AS2058" s="115"/>
      <c r="AT2058" s="115"/>
      <c r="AU2058" s="115"/>
      <c r="AV2058" s="115"/>
      <c r="AW2058" s="115"/>
      <c r="AX2058" s="115"/>
      <c r="AY2058" s="115"/>
      <c r="AZ2058" s="115"/>
      <c r="BA2058" s="115"/>
      <c r="BB2058" s="115"/>
      <c r="BC2058" s="115"/>
      <c r="BD2058" s="115"/>
      <c r="BE2058" s="115"/>
      <c r="BF2058" s="115"/>
      <c r="BG2058" s="115"/>
      <c r="BH2058" s="115"/>
      <c r="BI2058" s="115"/>
      <c r="BJ2058" s="115"/>
      <c r="BK2058" s="122"/>
      <c r="BL2058" s="122"/>
      <c r="BM2058" s="122"/>
      <c r="BN2058" s="115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26"/>
      <c r="CC2058" s="15"/>
    </row>
    <row r="2059" spans="1:8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22"/>
      <c r="BL2059" s="122"/>
      <c r="BM2059" s="122"/>
      <c r="BN2059" s="115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26"/>
      <c r="CC2059" s="15"/>
    </row>
    <row r="2060" spans="1:8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22"/>
      <c r="BL2060" s="122"/>
      <c r="BM2060" s="122"/>
      <c r="BN2060" s="115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26"/>
      <c r="CC2060" s="15"/>
    </row>
    <row r="2061" spans="1:81" x14ac:dyDescent="0.4">
      <c r="CB2061" s="26"/>
      <c r="CC2061" s="15"/>
    </row>
    <row r="2062" spans="1:81" x14ac:dyDescent="0.4">
      <c r="B2062" s="115"/>
      <c r="C2062" s="115"/>
      <c r="D2062" s="115"/>
      <c r="E2062" s="115"/>
      <c r="F2062" s="115"/>
      <c r="G2062" s="115"/>
      <c r="H2062" s="115"/>
      <c r="I2062" s="115"/>
      <c r="J2062" s="115"/>
      <c r="K2062" s="115"/>
      <c r="L2062" s="115"/>
      <c r="M2062" s="115"/>
      <c r="N2062" s="115"/>
      <c r="O2062" s="115"/>
      <c r="P2062" s="115"/>
      <c r="Q2062" s="115"/>
      <c r="R2062" s="115"/>
      <c r="S2062" s="115"/>
      <c r="T2062" s="115"/>
      <c r="U2062" s="115"/>
      <c r="V2062" s="115"/>
      <c r="W2062" s="115"/>
      <c r="X2062" s="115"/>
      <c r="Y2062" s="115"/>
      <c r="Z2062" s="115"/>
      <c r="AA2062" s="115"/>
      <c r="AB2062" s="115"/>
      <c r="AC2062" s="115"/>
      <c r="AD2062" s="115"/>
      <c r="AE2062" s="115"/>
      <c r="AF2062" s="115"/>
      <c r="AG2062" s="115"/>
      <c r="AH2062" s="115"/>
      <c r="AI2062" s="115"/>
      <c r="AJ2062" s="115"/>
      <c r="AK2062" s="115"/>
      <c r="AL2062" s="115"/>
      <c r="AM2062" s="115"/>
      <c r="AN2062" s="115"/>
      <c r="AO2062" s="115"/>
      <c r="AP2062" s="115"/>
      <c r="AQ2062" s="115"/>
      <c r="AR2062" s="115"/>
      <c r="AS2062" s="115"/>
      <c r="AT2062" s="115"/>
      <c r="AU2062" s="115"/>
      <c r="AV2062" s="115"/>
      <c r="AW2062" s="115"/>
      <c r="AX2062" s="115"/>
      <c r="AY2062" s="115"/>
      <c r="AZ2062" s="115"/>
      <c r="BA2062" s="115"/>
      <c r="BB2062" s="115"/>
      <c r="BC2062" s="115"/>
      <c r="BD2062" s="115"/>
      <c r="BE2062" s="115"/>
      <c r="BF2062" s="115"/>
      <c r="BG2062" s="115"/>
      <c r="BH2062" s="115"/>
      <c r="BI2062" s="115"/>
      <c r="BJ2062" s="115"/>
      <c r="BK2062" s="122"/>
      <c r="BL2062" s="122"/>
      <c r="BM2062" s="122"/>
      <c r="BN2062" s="115"/>
      <c r="BO2062" s="115"/>
      <c r="BP2062" s="115"/>
      <c r="BQ2062" s="115"/>
      <c r="BR2062" s="115"/>
      <c r="BS2062" s="115"/>
      <c r="BT2062" s="115"/>
      <c r="BU2062" s="115"/>
      <c r="BV2062" s="115"/>
      <c r="BW2062" s="115"/>
      <c r="BX2062" s="115"/>
      <c r="BY2062" s="115"/>
      <c r="BZ2062" s="115"/>
      <c r="CA2062" s="115"/>
      <c r="CB2062" s="26"/>
      <c r="CC2062" s="15"/>
    </row>
    <row r="2063" spans="1:81" x14ac:dyDescent="0.4">
      <c r="CB2063" s="26"/>
      <c r="CC2063" s="15"/>
    </row>
    <row r="2064" spans="1:81" x14ac:dyDescent="0.4">
      <c r="B2064" s="115"/>
      <c r="C2064" s="115"/>
      <c r="D2064" s="115"/>
      <c r="E2064" s="115"/>
      <c r="F2064" s="115"/>
      <c r="G2064" s="115"/>
      <c r="H2064" s="115"/>
      <c r="I2064" s="115"/>
      <c r="J2064" s="115"/>
      <c r="K2064" s="115"/>
      <c r="L2064" s="115"/>
      <c r="M2064" s="115"/>
      <c r="N2064" s="115"/>
      <c r="O2064" s="115"/>
      <c r="P2064" s="115"/>
      <c r="Q2064" s="115"/>
      <c r="R2064" s="115"/>
      <c r="S2064" s="115"/>
      <c r="T2064" s="115"/>
      <c r="U2064" s="115"/>
      <c r="V2064" s="115"/>
      <c r="W2064" s="115"/>
      <c r="X2064" s="115"/>
      <c r="Y2064" s="115"/>
      <c r="Z2064" s="115"/>
      <c r="AA2064" s="115"/>
      <c r="AB2064" s="115"/>
      <c r="AC2064" s="115"/>
      <c r="AD2064" s="115"/>
      <c r="AE2064" s="115"/>
      <c r="AF2064" s="115"/>
      <c r="AG2064" s="115"/>
      <c r="AH2064" s="115"/>
      <c r="AI2064" s="115"/>
      <c r="AJ2064" s="115"/>
      <c r="AK2064" s="115"/>
      <c r="AL2064" s="115"/>
      <c r="AM2064" s="115"/>
      <c r="AN2064" s="115"/>
      <c r="AO2064" s="115"/>
      <c r="AP2064" s="115"/>
      <c r="AQ2064" s="115"/>
      <c r="AR2064" s="115"/>
      <c r="AS2064" s="115"/>
      <c r="AT2064" s="115"/>
      <c r="AU2064" s="115"/>
      <c r="AV2064" s="115"/>
      <c r="AW2064" s="115"/>
      <c r="AX2064" s="115"/>
      <c r="AY2064" s="115"/>
      <c r="AZ2064" s="115"/>
      <c r="BA2064" s="115"/>
      <c r="BB2064" s="115"/>
      <c r="BC2064" s="115"/>
      <c r="BD2064" s="115"/>
      <c r="BE2064" s="115"/>
      <c r="BF2064" s="115"/>
      <c r="BG2064" s="115"/>
      <c r="BH2064" s="115"/>
      <c r="BI2064" s="115"/>
      <c r="BJ2064" s="115"/>
      <c r="BK2064" s="122"/>
      <c r="BL2064" s="122"/>
      <c r="BM2064" s="122"/>
      <c r="BN2064" s="115"/>
      <c r="BO2064" s="115"/>
      <c r="BP2064" s="115"/>
      <c r="BQ2064" s="115"/>
      <c r="BR2064" s="115"/>
      <c r="BS2064" s="115"/>
      <c r="BT2064" s="115"/>
      <c r="BU2064" s="115"/>
      <c r="BV2064" s="115"/>
      <c r="BW2064" s="115"/>
      <c r="BX2064" s="115"/>
      <c r="BY2064" s="115"/>
      <c r="BZ2064" s="115"/>
      <c r="CA2064" s="115"/>
      <c r="CB2064" s="26"/>
      <c r="CC2064" s="15"/>
    </row>
    <row r="2065" spans="1:81" x14ac:dyDescent="0.4">
      <c r="CB2065" s="26"/>
      <c r="CC2065" s="15"/>
    </row>
    <row r="2066" spans="1:81" x14ac:dyDescent="0.4">
      <c r="CB2066" s="26"/>
      <c r="CC2066" s="15"/>
    </row>
    <row r="2067" spans="1:81" x14ac:dyDescent="0.4">
      <c r="CB2067" s="26"/>
      <c r="CC2067" s="15"/>
    </row>
    <row r="2068" spans="1:81" x14ac:dyDescent="0.4">
      <c r="CB2068" s="26"/>
      <c r="CC2068" s="15"/>
    </row>
    <row r="2069" spans="1:81" x14ac:dyDescent="0.4">
      <c r="CB2069" s="26"/>
      <c r="CC2069" s="15"/>
    </row>
    <row r="2070" spans="1:81" x14ac:dyDescent="0.4">
      <c r="CB2070" s="26"/>
      <c r="CC2070" s="15"/>
    </row>
    <row r="2071" spans="1:81" x14ac:dyDescent="0.4">
      <c r="A2071" s="115"/>
      <c r="B2071" s="115"/>
      <c r="C2071" s="115"/>
      <c r="D2071" s="115"/>
      <c r="E2071" s="115"/>
      <c r="F2071" s="115"/>
      <c r="G2071" s="115"/>
      <c r="H2071" s="115"/>
      <c r="I2071" s="115"/>
      <c r="J2071" s="115"/>
      <c r="K2071" s="115"/>
      <c r="L2071" s="115"/>
      <c r="M2071" s="115"/>
      <c r="N2071" s="115"/>
      <c r="O2071" s="115"/>
      <c r="P2071" s="115"/>
      <c r="Q2071" s="115"/>
      <c r="R2071" s="115"/>
      <c r="S2071" s="115"/>
      <c r="T2071" s="115"/>
      <c r="U2071" s="115"/>
      <c r="V2071" s="115"/>
      <c r="W2071" s="115"/>
      <c r="X2071" s="115"/>
      <c r="Y2071" s="115"/>
      <c r="Z2071" s="115"/>
      <c r="AA2071" s="115"/>
      <c r="AB2071" s="115"/>
      <c r="AC2071" s="115"/>
      <c r="AD2071" s="115"/>
      <c r="AE2071" s="115"/>
      <c r="AF2071" s="115"/>
      <c r="AG2071" s="115"/>
      <c r="AH2071" s="115"/>
      <c r="AI2071" s="115"/>
      <c r="AJ2071" s="115"/>
      <c r="AK2071" s="115"/>
      <c r="AL2071" s="115"/>
      <c r="AM2071" s="115"/>
      <c r="AN2071" s="115"/>
      <c r="AO2071" s="115"/>
      <c r="AP2071" s="115"/>
      <c r="AQ2071" s="115"/>
      <c r="AR2071" s="115"/>
      <c r="AS2071" s="115"/>
      <c r="AT2071" s="115"/>
      <c r="AU2071" s="115"/>
      <c r="AV2071" s="115"/>
      <c r="AW2071" s="115"/>
      <c r="AX2071" s="115"/>
      <c r="AY2071" s="115"/>
      <c r="AZ2071" s="115"/>
      <c r="BA2071" s="115"/>
      <c r="BB2071" s="115"/>
      <c r="BC2071" s="115"/>
      <c r="BD2071" s="115"/>
      <c r="BE2071" s="115"/>
      <c r="BF2071" s="115"/>
      <c r="BG2071" s="115"/>
      <c r="BH2071" s="115"/>
      <c r="BI2071" s="115"/>
      <c r="BJ2071" s="115"/>
      <c r="BK2071" s="122"/>
      <c r="BL2071" s="122"/>
      <c r="BM2071" s="122"/>
      <c r="BN2071" s="115"/>
      <c r="BO2071" s="115"/>
      <c r="BP2071" s="115"/>
      <c r="BQ2071" s="115"/>
      <c r="BR2071" s="115"/>
      <c r="BS2071" s="115"/>
      <c r="BT2071" s="115"/>
      <c r="BU2071" s="115"/>
      <c r="BV2071" s="115"/>
      <c r="BW2071" s="115"/>
      <c r="BX2071" s="115"/>
      <c r="BY2071" s="115"/>
      <c r="BZ2071" s="115"/>
      <c r="CA2071" s="115"/>
      <c r="CB2071" s="26"/>
      <c r="CC2071" s="15"/>
    </row>
    <row r="2072" spans="1:81" x14ac:dyDescent="0.4">
      <c r="CB2072" s="26"/>
      <c r="CC2072" s="15"/>
    </row>
    <row r="2073" spans="1:81" x14ac:dyDescent="0.4">
      <c r="CB2073" s="26"/>
      <c r="CC2073" s="15"/>
    </row>
    <row r="2074" spans="1:81" x14ac:dyDescent="0.4">
      <c r="CB2074" s="26"/>
      <c r="CC2074" s="15"/>
    </row>
    <row r="2075" spans="1:81" x14ac:dyDescent="0.4">
      <c r="CB2075" s="26"/>
      <c r="CC2075" s="15"/>
    </row>
    <row r="2076" spans="1:81" x14ac:dyDescent="0.4">
      <c r="CB2076" s="26"/>
      <c r="CC2076" s="15"/>
    </row>
    <row r="2077" spans="1:81" x14ac:dyDescent="0.4">
      <c r="BD2077" s="115"/>
      <c r="BE2077" s="115"/>
      <c r="BF2077" s="115"/>
      <c r="BG2077" s="115"/>
      <c r="BH2077" s="115"/>
      <c r="BI2077" s="115"/>
      <c r="BJ2077" s="115"/>
      <c r="BK2077" s="122"/>
      <c r="BL2077" s="122"/>
      <c r="BM2077" s="122"/>
      <c r="BN2077" s="115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7"/>
      <c r="CC2077" s="15"/>
    </row>
    <row r="2078" spans="1:81" x14ac:dyDescent="0.4">
      <c r="BD2078" s="115"/>
      <c r="BE2078" s="115"/>
      <c r="BF2078" s="115"/>
      <c r="BG2078" s="115"/>
      <c r="BH2078" s="115"/>
      <c r="BI2078" s="115"/>
      <c r="BJ2078" s="115"/>
      <c r="BK2078" s="122"/>
      <c r="BL2078" s="122"/>
      <c r="BM2078" s="122"/>
      <c r="BN2078" s="115"/>
      <c r="BO2078" s="115"/>
      <c r="BP2078" s="115"/>
      <c r="BQ2078" s="115"/>
      <c r="BR2078" s="115"/>
      <c r="BS2078" s="115"/>
      <c r="BT2078" s="115"/>
      <c r="BU2078" s="115"/>
      <c r="BV2078" s="115"/>
      <c r="BW2078" s="115"/>
      <c r="BX2078" s="115"/>
      <c r="BY2078" s="115"/>
      <c r="BZ2078" s="115"/>
      <c r="CA2078" s="115"/>
      <c r="CB2078" s="17"/>
      <c r="CC2078" s="15"/>
    </row>
    <row r="2079" spans="1:81" x14ac:dyDescent="0.4">
      <c r="CB2079" s="26"/>
      <c r="CC2079" s="15"/>
    </row>
    <row r="2080" spans="1:81" x14ac:dyDescent="0.4">
      <c r="CB2080" s="26"/>
      <c r="CC2080" s="15"/>
    </row>
    <row r="2081" spans="1:81" x14ac:dyDescent="0.4">
      <c r="A2081" s="115"/>
      <c r="B2081" s="115"/>
      <c r="C2081" s="115"/>
      <c r="D2081" s="115"/>
      <c r="E2081" s="115"/>
      <c r="F2081" s="115"/>
      <c r="G2081" s="115"/>
      <c r="H2081" s="115"/>
      <c r="I2081" s="115"/>
      <c r="J2081" s="115"/>
      <c r="K2081" s="115"/>
      <c r="L2081" s="115"/>
      <c r="M2081" s="115"/>
      <c r="N2081" s="115"/>
      <c r="O2081" s="115"/>
      <c r="P2081" s="115"/>
      <c r="Q2081" s="115"/>
      <c r="R2081" s="115"/>
      <c r="S2081" s="115"/>
      <c r="T2081" s="115"/>
      <c r="U2081" s="115"/>
      <c r="V2081" s="115"/>
      <c r="W2081" s="115"/>
      <c r="X2081" s="115"/>
      <c r="Y2081" s="115"/>
      <c r="Z2081" s="115"/>
      <c r="AA2081" s="115"/>
      <c r="AB2081" s="115"/>
      <c r="AC2081" s="115"/>
      <c r="AD2081" s="115"/>
      <c r="AE2081" s="115"/>
      <c r="AF2081" s="115"/>
      <c r="AG2081" s="115"/>
      <c r="AH2081" s="115"/>
      <c r="AI2081" s="115"/>
      <c r="AJ2081" s="115"/>
      <c r="AK2081" s="115"/>
      <c r="AL2081" s="115"/>
      <c r="AM2081" s="115"/>
      <c r="AN2081" s="115"/>
      <c r="AO2081" s="115"/>
      <c r="AP2081" s="115"/>
      <c r="AQ2081" s="115"/>
      <c r="AR2081" s="115"/>
      <c r="AS2081" s="115"/>
      <c r="AT2081" s="115"/>
      <c r="AU2081" s="115"/>
      <c r="AV2081" s="115"/>
      <c r="AW2081" s="115"/>
      <c r="AX2081" s="115"/>
      <c r="AY2081" s="115"/>
      <c r="AZ2081" s="115"/>
      <c r="BA2081" s="115"/>
      <c r="BB2081" s="115"/>
      <c r="BC2081" s="115"/>
      <c r="BD2081" s="115"/>
      <c r="BE2081" s="115"/>
      <c r="BF2081" s="115"/>
      <c r="BG2081" s="115"/>
      <c r="BH2081" s="115"/>
      <c r="BI2081" s="115"/>
      <c r="BJ2081" s="115"/>
      <c r="BK2081" s="122"/>
      <c r="BL2081" s="122"/>
      <c r="BM2081" s="122"/>
      <c r="BN2081" s="115"/>
      <c r="BO2081" s="115"/>
      <c r="BP2081" s="115"/>
      <c r="BQ2081" s="115"/>
      <c r="BR2081" s="115"/>
      <c r="BS2081" s="115"/>
      <c r="BT2081" s="115"/>
      <c r="BU2081" s="115"/>
      <c r="BV2081" s="115"/>
      <c r="BW2081" s="115"/>
      <c r="BX2081" s="115"/>
      <c r="BY2081" s="115"/>
      <c r="BZ2081" s="115"/>
      <c r="CA2081" s="115"/>
      <c r="CB2081" s="26"/>
      <c r="CC2081" s="15"/>
    </row>
    <row r="2082" spans="1:81" x14ac:dyDescent="0.4">
      <c r="A2082" s="115"/>
      <c r="B2082" s="115"/>
      <c r="C2082" s="115"/>
      <c r="D2082" s="115"/>
      <c r="E2082" s="115"/>
      <c r="F2082" s="115"/>
      <c r="G2082" s="115"/>
      <c r="H2082" s="115"/>
      <c r="I2082" s="115"/>
      <c r="J2082" s="115"/>
      <c r="K2082" s="115"/>
      <c r="L2082" s="115"/>
      <c r="M2082" s="115"/>
      <c r="N2082" s="115"/>
      <c r="O2082" s="115"/>
      <c r="P2082" s="115"/>
      <c r="Q2082" s="115"/>
      <c r="R2082" s="115"/>
      <c r="S2082" s="115"/>
      <c r="T2082" s="115"/>
      <c r="U2082" s="115"/>
      <c r="V2082" s="115"/>
      <c r="W2082" s="115"/>
      <c r="X2082" s="115"/>
      <c r="Y2082" s="115"/>
      <c r="Z2082" s="115"/>
      <c r="AA2082" s="115"/>
      <c r="AB2082" s="115"/>
      <c r="AC2082" s="115"/>
      <c r="AD2082" s="115"/>
      <c r="AE2082" s="115"/>
      <c r="AF2082" s="115"/>
      <c r="AG2082" s="115"/>
      <c r="AH2082" s="115"/>
      <c r="AI2082" s="115"/>
      <c r="AJ2082" s="115"/>
      <c r="AK2082" s="115"/>
      <c r="AL2082" s="115"/>
      <c r="AM2082" s="115"/>
      <c r="AN2082" s="115"/>
      <c r="AO2082" s="115"/>
      <c r="AP2082" s="115"/>
      <c r="AQ2082" s="115"/>
      <c r="AR2082" s="115"/>
      <c r="AS2082" s="115"/>
      <c r="AT2082" s="115"/>
      <c r="AU2082" s="115"/>
      <c r="AV2082" s="115"/>
      <c r="AW2082" s="115"/>
      <c r="AX2082" s="115"/>
      <c r="AY2082" s="115"/>
      <c r="AZ2082" s="115"/>
      <c r="BA2082" s="115"/>
      <c r="BB2082" s="115"/>
      <c r="BC2082" s="115"/>
      <c r="BD2082" s="115"/>
      <c r="BE2082" s="115"/>
      <c r="BF2082" s="115"/>
      <c r="BG2082" s="115"/>
      <c r="BH2082" s="115"/>
      <c r="BI2082" s="115"/>
      <c r="BJ2082" s="115"/>
      <c r="BK2082" s="122"/>
      <c r="BL2082" s="122"/>
      <c r="BM2082" s="122"/>
      <c r="BN2082" s="115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26"/>
      <c r="CC2082" s="13"/>
    </row>
    <row r="2083" spans="1:81" x14ac:dyDescent="0.4">
      <c r="CB2083" s="26"/>
      <c r="CC2083" s="15"/>
    </row>
    <row r="2084" spans="1:81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22"/>
      <c r="BL2084" s="122"/>
      <c r="BM2084" s="122"/>
      <c r="BN2084" s="115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26"/>
      <c r="CC2084" s="15"/>
    </row>
    <row r="2085" spans="1:81" x14ac:dyDescent="0.4">
      <c r="CB2085" s="26"/>
      <c r="CC2085" s="15"/>
    </row>
    <row r="2086" spans="1:81" x14ac:dyDescent="0.4">
      <c r="CB2086" s="26"/>
      <c r="CC2086" s="15"/>
    </row>
    <row r="2087" spans="1:81" x14ac:dyDescent="0.4">
      <c r="A2087" s="115"/>
      <c r="B2087" s="115"/>
      <c r="C2087" s="115"/>
      <c r="D2087" s="115"/>
      <c r="E2087" s="115"/>
      <c r="F2087" s="115"/>
      <c r="G2087" s="115"/>
      <c r="H2087" s="115"/>
      <c r="I2087" s="115"/>
      <c r="J2087" s="115"/>
      <c r="K2087" s="115"/>
      <c r="L2087" s="115"/>
      <c r="M2087" s="115"/>
      <c r="N2087" s="115"/>
      <c r="O2087" s="115"/>
      <c r="P2087" s="115"/>
      <c r="Q2087" s="115"/>
      <c r="R2087" s="115"/>
      <c r="S2087" s="115"/>
      <c r="T2087" s="115"/>
      <c r="U2087" s="115"/>
      <c r="V2087" s="115"/>
      <c r="W2087" s="115"/>
      <c r="X2087" s="115"/>
      <c r="Y2087" s="115"/>
      <c r="Z2087" s="115"/>
      <c r="AA2087" s="115"/>
      <c r="AB2087" s="115"/>
      <c r="AC2087" s="115"/>
      <c r="AD2087" s="115"/>
      <c r="AE2087" s="115"/>
      <c r="AF2087" s="115"/>
      <c r="AG2087" s="115"/>
      <c r="AH2087" s="115"/>
      <c r="AI2087" s="115"/>
      <c r="AJ2087" s="115"/>
      <c r="AK2087" s="115"/>
      <c r="AL2087" s="115"/>
      <c r="AM2087" s="115"/>
      <c r="AN2087" s="115"/>
      <c r="AO2087" s="115"/>
      <c r="AP2087" s="115"/>
      <c r="AQ2087" s="115"/>
      <c r="AR2087" s="115"/>
      <c r="AS2087" s="115"/>
      <c r="AT2087" s="115"/>
      <c r="AU2087" s="115"/>
      <c r="AV2087" s="115"/>
      <c r="AW2087" s="115"/>
      <c r="AX2087" s="115"/>
      <c r="AY2087" s="115"/>
      <c r="AZ2087" s="115"/>
      <c r="BA2087" s="115"/>
      <c r="BB2087" s="115"/>
      <c r="BC2087" s="115"/>
      <c r="BD2087" s="115"/>
      <c r="BE2087" s="115"/>
      <c r="BF2087" s="115"/>
      <c r="BG2087" s="115"/>
      <c r="BH2087" s="115"/>
      <c r="BI2087" s="115"/>
      <c r="BJ2087" s="115"/>
      <c r="BK2087" s="122"/>
      <c r="BL2087" s="122"/>
      <c r="BM2087" s="122"/>
      <c r="BN2087" s="115"/>
      <c r="BO2087" s="115"/>
      <c r="BP2087" s="115"/>
      <c r="BQ2087" s="115"/>
      <c r="BR2087" s="115"/>
      <c r="BS2087" s="115"/>
      <c r="BT2087" s="115"/>
      <c r="BU2087" s="115"/>
      <c r="BV2087" s="115"/>
      <c r="BW2087" s="115"/>
      <c r="BX2087" s="115"/>
      <c r="BY2087" s="115"/>
      <c r="BZ2087" s="115"/>
      <c r="CA2087" s="115"/>
      <c r="CB2087" s="26"/>
      <c r="CC2087" s="15"/>
    </row>
    <row r="2088" spans="1:81" x14ac:dyDescent="0.4">
      <c r="CB2088" s="26"/>
      <c r="CC2088" s="13"/>
    </row>
    <row r="2089" spans="1:81" x14ac:dyDescent="0.4">
      <c r="CB2089" s="26"/>
      <c r="CC2089" s="13"/>
    </row>
    <row r="2090" spans="1:81" x14ac:dyDescent="0.4">
      <c r="A2090" s="115"/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22"/>
      <c r="BL2090" s="122"/>
      <c r="BM2090" s="122"/>
      <c r="BN2090" s="115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26"/>
      <c r="CC2090" s="13"/>
    </row>
    <row r="2091" spans="1:81" x14ac:dyDescent="0.4">
      <c r="CB2091" s="26"/>
      <c r="CC2091" s="13"/>
    </row>
    <row r="2092" spans="1:81" x14ac:dyDescent="0.4">
      <c r="CB2092" s="26"/>
      <c r="CC2092" s="13"/>
    </row>
    <row r="2093" spans="1:81" x14ac:dyDescent="0.4">
      <c r="CB2093" s="26"/>
      <c r="CC2093" s="13"/>
    </row>
    <row r="2094" spans="1:81" x14ac:dyDescent="0.4">
      <c r="CB2094" s="26"/>
      <c r="CC2094" s="13"/>
    </row>
    <row r="2095" spans="1:81" x14ac:dyDescent="0.4">
      <c r="CB2095" s="26"/>
      <c r="CC2095" s="13"/>
    </row>
    <row r="2096" spans="1:81" x14ac:dyDescent="0.4">
      <c r="A2096" s="115"/>
      <c r="B2096" s="115"/>
      <c r="C2096" s="115"/>
      <c r="D2096" s="115"/>
      <c r="E2096" s="115"/>
      <c r="F2096" s="115"/>
      <c r="G2096" s="115"/>
      <c r="H2096" s="115"/>
      <c r="I2096" s="115"/>
      <c r="J2096" s="115"/>
      <c r="K2096" s="115"/>
      <c r="L2096" s="115"/>
      <c r="M2096" s="115"/>
      <c r="N2096" s="115"/>
      <c r="O2096" s="115"/>
      <c r="P2096" s="115"/>
      <c r="Q2096" s="115"/>
      <c r="R2096" s="115"/>
      <c r="S2096" s="115"/>
      <c r="T2096" s="115"/>
      <c r="U2096" s="115"/>
      <c r="V2096" s="115"/>
      <c r="W2096" s="115"/>
      <c r="X2096" s="115"/>
      <c r="Y2096" s="115"/>
      <c r="Z2096" s="115"/>
      <c r="AA2096" s="115"/>
      <c r="AB2096" s="115"/>
      <c r="AC2096" s="115"/>
      <c r="AD2096" s="115"/>
      <c r="AE2096" s="115"/>
      <c r="AF2096" s="115"/>
      <c r="AG2096" s="115"/>
      <c r="AH2096" s="115"/>
      <c r="AI2096" s="115"/>
      <c r="AJ2096" s="115"/>
      <c r="AK2096" s="115"/>
      <c r="AL2096" s="115"/>
      <c r="AM2096" s="115"/>
      <c r="AN2096" s="115"/>
      <c r="AO2096" s="115"/>
      <c r="AP2096" s="115"/>
      <c r="AQ2096" s="115"/>
      <c r="AR2096" s="115"/>
      <c r="AS2096" s="115"/>
      <c r="AT2096" s="115"/>
      <c r="AU2096" s="115"/>
      <c r="AV2096" s="115"/>
      <c r="AW2096" s="115"/>
      <c r="AX2096" s="115"/>
      <c r="AY2096" s="115"/>
      <c r="AZ2096" s="115"/>
      <c r="BA2096" s="115"/>
      <c r="BB2096" s="115"/>
      <c r="BC2096" s="115"/>
      <c r="BD2096" s="115"/>
      <c r="BE2096" s="115"/>
      <c r="BF2096" s="115"/>
      <c r="BG2096" s="115"/>
      <c r="BH2096" s="115"/>
      <c r="BI2096" s="115"/>
      <c r="BJ2096" s="115"/>
      <c r="BK2096" s="122"/>
      <c r="BL2096" s="122"/>
      <c r="BM2096" s="122"/>
      <c r="BN2096" s="115"/>
      <c r="BO2096" s="115"/>
      <c r="BP2096" s="115"/>
      <c r="BQ2096" s="115"/>
      <c r="BR2096" s="115"/>
      <c r="BS2096" s="115"/>
      <c r="BT2096" s="115"/>
      <c r="BU2096" s="115"/>
      <c r="BV2096" s="115"/>
      <c r="BW2096" s="115"/>
      <c r="BX2096" s="115"/>
      <c r="BY2096" s="115"/>
      <c r="BZ2096" s="115"/>
      <c r="CA2096" s="115"/>
      <c r="CB2096" s="26"/>
      <c r="CC2096" s="25"/>
    </row>
    <row r="2097" spans="1:81" x14ac:dyDescent="0.4">
      <c r="CB2097" s="26"/>
      <c r="CC2097" s="13"/>
    </row>
    <row r="2098" spans="1:81" x14ac:dyDescent="0.4">
      <c r="A2098" s="115"/>
      <c r="B2098" s="115"/>
      <c r="C2098" s="115"/>
      <c r="D2098" s="115"/>
      <c r="E2098" s="115"/>
      <c r="F2098" s="115"/>
      <c r="G2098" s="115"/>
      <c r="H2098" s="115"/>
      <c r="I2098" s="115"/>
      <c r="J2098" s="115"/>
      <c r="K2098" s="115"/>
      <c r="L2098" s="115"/>
      <c r="M2098" s="115"/>
      <c r="N2098" s="115"/>
      <c r="O2098" s="115"/>
      <c r="P2098" s="115"/>
      <c r="Q2098" s="115"/>
      <c r="R2098" s="115"/>
      <c r="S2098" s="115"/>
      <c r="T2098" s="115"/>
      <c r="U2098" s="115"/>
      <c r="V2098" s="115"/>
      <c r="W2098" s="115"/>
      <c r="X2098" s="115"/>
      <c r="Y2098" s="115"/>
      <c r="Z2098" s="115"/>
      <c r="AA2098" s="115"/>
      <c r="AB2098" s="115"/>
      <c r="AC2098" s="115"/>
      <c r="AD2098" s="115"/>
      <c r="AE2098" s="115"/>
      <c r="AF2098" s="115"/>
      <c r="AG2098" s="115"/>
      <c r="AH2098" s="115"/>
      <c r="AI2098" s="115"/>
      <c r="AJ2098" s="115"/>
      <c r="AK2098" s="115"/>
      <c r="AL2098" s="115"/>
      <c r="AM2098" s="115"/>
      <c r="AN2098" s="115"/>
      <c r="AO2098" s="115"/>
      <c r="AP2098" s="115"/>
      <c r="AQ2098" s="115"/>
      <c r="AR2098" s="115"/>
      <c r="AS2098" s="115"/>
      <c r="AT2098" s="115"/>
      <c r="AU2098" s="115"/>
      <c r="AV2098" s="115"/>
      <c r="AW2098" s="115"/>
      <c r="AX2098" s="115"/>
      <c r="AY2098" s="115"/>
      <c r="AZ2098" s="115"/>
      <c r="BA2098" s="115"/>
      <c r="BB2098" s="115"/>
      <c r="BC2098" s="115"/>
      <c r="BD2098" s="115"/>
      <c r="BE2098" s="115"/>
      <c r="BF2098" s="115"/>
      <c r="BG2098" s="115"/>
      <c r="BH2098" s="115"/>
      <c r="BI2098" s="115"/>
      <c r="BJ2098" s="115"/>
      <c r="BK2098" s="122"/>
      <c r="BL2098" s="122"/>
      <c r="BM2098" s="122"/>
      <c r="BN2098" s="115"/>
      <c r="BO2098" s="115"/>
      <c r="BP2098" s="115"/>
      <c r="BQ2098" s="115"/>
      <c r="BR2098" s="115"/>
      <c r="BS2098" s="115"/>
      <c r="BT2098" s="115"/>
      <c r="BU2098" s="115"/>
      <c r="BV2098" s="115"/>
      <c r="BW2098" s="115"/>
      <c r="BX2098" s="115"/>
      <c r="BY2098" s="115"/>
      <c r="BZ2098" s="115"/>
      <c r="CA2098" s="115"/>
      <c r="CB2098" s="26"/>
      <c r="CC2098" s="13"/>
    </row>
    <row r="2099" spans="1:81" x14ac:dyDescent="0.4">
      <c r="A2099" s="115"/>
      <c r="B2099" s="115"/>
      <c r="C2099" s="115"/>
      <c r="D2099" s="115"/>
      <c r="E2099" s="115"/>
      <c r="F2099" s="115"/>
      <c r="G2099" s="115"/>
      <c r="H2099" s="115"/>
      <c r="I2099" s="115"/>
      <c r="J2099" s="115"/>
      <c r="K2099" s="115"/>
      <c r="L2099" s="115"/>
      <c r="M2099" s="115"/>
      <c r="N2099" s="115"/>
      <c r="O2099" s="115"/>
      <c r="P2099" s="115"/>
      <c r="Q2099" s="115"/>
      <c r="R2099" s="115"/>
      <c r="S2099" s="115"/>
      <c r="T2099" s="115"/>
      <c r="U2099" s="115"/>
      <c r="V2099" s="115"/>
      <c r="W2099" s="115"/>
      <c r="X2099" s="115"/>
      <c r="Y2099" s="115"/>
      <c r="Z2099" s="115"/>
      <c r="AA2099" s="115"/>
      <c r="AB2099" s="115"/>
      <c r="AC2099" s="115"/>
      <c r="AD2099" s="115"/>
      <c r="AE2099" s="115"/>
      <c r="AF2099" s="115"/>
      <c r="AG2099" s="115"/>
      <c r="AH2099" s="115"/>
      <c r="AI2099" s="115"/>
      <c r="AJ2099" s="115"/>
      <c r="AK2099" s="115"/>
      <c r="AL2099" s="115"/>
      <c r="AM2099" s="115"/>
      <c r="AN2099" s="115"/>
      <c r="AO2099" s="115"/>
      <c r="AP2099" s="115"/>
      <c r="AQ2099" s="115"/>
      <c r="AR2099" s="115"/>
      <c r="AS2099" s="115"/>
      <c r="AT2099" s="115"/>
      <c r="AU2099" s="115"/>
      <c r="AV2099" s="115"/>
      <c r="AW2099" s="115"/>
      <c r="AX2099" s="115"/>
      <c r="AY2099" s="115"/>
      <c r="AZ2099" s="115"/>
      <c r="BA2099" s="115"/>
      <c r="BB2099" s="115"/>
      <c r="BC2099" s="115"/>
      <c r="BD2099" s="115"/>
      <c r="BE2099" s="115"/>
      <c r="BF2099" s="115"/>
      <c r="BG2099" s="115"/>
      <c r="BH2099" s="115"/>
      <c r="BI2099" s="115"/>
      <c r="BJ2099" s="115"/>
      <c r="BK2099" s="122"/>
      <c r="BL2099" s="122"/>
      <c r="BM2099" s="122"/>
      <c r="BN2099" s="115"/>
      <c r="BO2099" s="115"/>
      <c r="BP2099" s="115"/>
      <c r="BQ2099" s="115"/>
      <c r="BR2099" s="115"/>
      <c r="BS2099" s="115"/>
      <c r="BT2099" s="115"/>
      <c r="BU2099" s="115"/>
      <c r="BV2099" s="115"/>
      <c r="BW2099" s="115"/>
      <c r="BX2099" s="115"/>
      <c r="BY2099" s="115"/>
      <c r="BZ2099" s="115"/>
      <c r="CA2099" s="115"/>
      <c r="CB2099" s="26"/>
      <c r="CC2099" s="13"/>
    </row>
    <row r="2100" spans="1:81" x14ac:dyDescent="0.4">
      <c r="CB2100" s="26"/>
      <c r="CC2100" s="15"/>
    </row>
    <row r="2101" spans="1:81" x14ac:dyDescent="0.4">
      <c r="CB2101" s="26"/>
      <c r="CC2101" s="15"/>
    </row>
    <row r="2102" spans="1:81" x14ac:dyDescent="0.4">
      <c r="CB2102" s="26"/>
      <c r="CC2102" s="15"/>
    </row>
    <row r="2103" spans="1:81" x14ac:dyDescent="0.4">
      <c r="CB2103" s="26"/>
      <c r="CC2103" s="13"/>
    </row>
    <row r="2104" spans="1:81" x14ac:dyDescent="0.4">
      <c r="CB2104" s="26"/>
      <c r="CC2104" s="15"/>
    </row>
    <row r="2105" spans="1:81" x14ac:dyDescent="0.4">
      <c r="B2105" s="115"/>
      <c r="C2105" s="115"/>
      <c r="D2105" s="115"/>
      <c r="E2105" s="115"/>
      <c r="F2105" s="115"/>
      <c r="G2105" s="115"/>
      <c r="H2105" s="115"/>
      <c r="I2105" s="115"/>
      <c r="J2105" s="115"/>
      <c r="K2105" s="115"/>
      <c r="L2105" s="115"/>
      <c r="M2105" s="115"/>
      <c r="N2105" s="115"/>
      <c r="O2105" s="115"/>
      <c r="P2105" s="115"/>
      <c r="Q2105" s="115"/>
      <c r="R2105" s="115"/>
      <c r="S2105" s="115"/>
      <c r="T2105" s="115"/>
      <c r="U2105" s="115"/>
      <c r="V2105" s="115"/>
      <c r="W2105" s="115"/>
      <c r="X2105" s="115"/>
      <c r="Y2105" s="115"/>
      <c r="Z2105" s="115"/>
      <c r="AA2105" s="115"/>
      <c r="AB2105" s="115"/>
      <c r="AC2105" s="115"/>
      <c r="AD2105" s="115"/>
      <c r="AE2105" s="115"/>
      <c r="AF2105" s="115"/>
      <c r="AG2105" s="115"/>
      <c r="AH2105" s="115"/>
      <c r="AI2105" s="115"/>
      <c r="AJ2105" s="115"/>
      <c r="AK2105" s="115"/>
      <c r="AL2105" s="115"/>
      <c r="AM2105" s="115"/>
      <c r="AN2105" s="115"/>
      <c r="AO2105" s="115"/>
      <c r="AP2105" s="115"/>
      <c r="AQ2105" s="115"/>
      <c r="AR2105" s="115"/>
      <c r="AS2105" s="115"/>
      <c r="AT2105" s="115"/>
      <c r="AU2105" s="115"/>
      <c r="AV2105" s="115"/>
      <c r="AW2105" s="115"/>
      <c r="AX2105" s="115"/>
      <c r="AY2105" s="115"/>
      <c r="AZ2105" s="115"/>
      <c r="BA2105" s="115"/>
      <c r="BB2105" s="115"/>
      <c r="BC2105" s="115"/>
      <c r="BD2105" s="115"/>
      <c r="BE2105" s="115"/>
      <c r="BF2105" s="115"/>
      <c r="BG2105" s="115"/>
      <c r="BH2105" s="115"/>
      <c r="BI2105" s="115"/>
      <c r="BJ2105" s="115"/>
      <c r="BK2105" s="122"/>
      <c r="BL2105" s="122"/>
      <c r="BM2105" s="122"/>
      <c r="BN2105" s="115"/>
      <c r="BO2105" s="115"/>
      <c r="BP2105" s="115"/>
      <c r="BQ2105" s="115"/>
      <c r="BR2105" s="115"/>
      <c r="BS2105" s="115"/>
      <c r="BT2105" s="115"/>
      <c r="BU2105" s="115"/>
      <c r="BV2105" s="115"/>
      <c r="BW2105" s="115"/>
      <c r="BX2105" s="115"/>
      <c r="BY2105" s="115"/>
      <c r="BZ2105" s="115"/>
      <c r="CA2105" s="115"/>
      <c r="CB2105" s="17"/>
      <c r="CC2105" s="15"/>
    </row>
    <row r="2106" spans="1:81" x14ac:dyDescent="0.4">
      <c r="CB2106" s="26"/>
      <c r="CC2106" s="15"/>
    </row>
    <row r="2107" spans="1:81" x14ac:dyDescent="0.4"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22"/>
      <c r="BL2107" s="122"/>
      <c r="BM2107" s="122"/>
      <c r="BN2107" s="115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7"/>
      <c r="CC2107" s="15"/>
    </row>
    <row r="2108" spans="1:81" x14ac:dyDescent="0.4">
      <c r="CB2108" s="26"/>
      <c r="CC2108" s="15"/>
    </row>
    <row r="2109" spans="1:81" x14ac:dyDescent="0.4">
      <c r="CB2109" s="26"/>
      <c r="CC2109" s="15"/>
    </row>
    <row r="2110" spans="1:81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22"/>
      <c r="BL2110" s="122"/>
      <c r="BM2110" s="122"/>
      <c r="BN2110" s="115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7"/>
      <c r="CC2110" s="15"/>
    </row>
    <row r="2111" spans="1:81" x14ac:dyDescent="0.4">
      <c r="CB2111" s="26"/>
      <c r="CC2111" s="15"/>
    </row>
    <row r="2112" spans="1:81" x14ac:dyDescent="0.4">
      <c r="CB2112" s="26"/>
      <c r="CC2112" s="15"/>
    </row>
    <row r="2113" spans="2:81" x14ac:dyDescent="0.4">
      <c r="CB2113" s="26"/>
      <c r="CC2113" s="105"/>
    </row>
    <row r="2114" spans="2:81" x14ac:dyDescent="0.4">
      <c r="CB2114" s="26"/>
      <c r="CC2114" s="15"/>
    </row>
    <row r="2115" spans="2:81" x14ac:dyDescent="0.4">
      <c r="CB2115" s="26"/>
      <c r="CC2115" s="15"/>
    </row>
    <row r="2116" spans="2:81" x14ac:dyDescent="0.4">
      <c r="CB2116" s="26"/>
      <c r="CC2116" s="15"/>
    </row>
    <row r="2117" spans="2:81" x14ac:dyDescent="0.4">
      <c r="CB2117" s="26"/>
      <c r="CC2117" s="15"/>
    </row>
    <row r="2118" spans="2:81" x14ac:dyDescent="0.4">
      <c r="CB2118" s="26"/>
      <c r="CC2118" s="15"/>
    </row>
    <row r="2119" spans="2:81" x14ac:dyDescent="0.4">
      <c r="B2119" s="115"/>
      <c r="C2119" s="115"/>
      <c r="D2119" s="115"/>
      <c r="E2119" s="115"/>
      <c r="F2119" s="115"/>
      <c r="G2119" s="115"/>
      <c r="H2119" s="115"/>
      <c r="I2119" s="115"/>
      <c r="J2119" s="115"/>
      <c r="K2119" s="115"/>
      <c r="L2119" s="115"/>
      <c r="M2119" s="115"/>
      <c r="N2119" s="115"/>
      <c r="O2119" s="115"/>
      <c r="P2119" s="115"/>
      <c r="Q2119" s="115"/>
      <c r="R2119" s="115"/>
      <c r="S2119" s="115"/>
      <c r="T2119" s="115"/>
      <c r="U2119" s="115"/>
      <c r="V2119" s="115"/>
      <c r="W2119" s="115"/>
      <c r="X2119" s="115"/>
      <c r="Y2119" s="115"/>
      <c r="Z2119" s="115"/>
      <c r="AA2119" s="115"/>
      <c r="AB2119" s="115"/>
      <c r="AC2119" s="115"/>
      <c r="AD2119" s="115"/>
      <c r="AE2119" s="115"/>
      <c r="AF2119" s="115"/>
      <c r="AG2119" s="115"/>
      <c r="AH2119" s="115"/>
      <c r="AI2119" s="115"/>
      <c r="AJ2119" s="115"/>
      <c r="AK2119" s="115"/>
      <c r="AL2119" s="115"/>
      <c r="AM2119" s="115"/>
      <c r="AN2119" s="115"/>
      <c r="AO2119" s="115"/>
      <c r="AP2119" s="115"/>
      <c r="AQ2119" s="115"/>
      <c r="AR2119" s="115"/>
      <c r="AS2119" s="115"/>
      <c r="AT2119" s="115"/>
      <c r="AU2119" s="115"/>
      <c r="AV2119" s="115"/>
      <c r="AW2119" s="115"/>
      <c r="AX2119" s="115"/>
      <c r="AY2119" s="115"/>
      <c r="AZ2119" s="115"/>
      <c r="BA2119" s="115"/>
      <c r="BB2119" s="115"/>
      <c r="BC2119" s="115"/>
      <c r="BD2119" s="115"/>
      <c r="BE2119" s="115"/>
      <c r="BF2119" s="115"/>
      <c r="BG2119" s="115"/>
      <c r="BH2119" s="115"/>
      <c r="BI2119" s="115"/>
      <c r="BJ2119" s="115"/>
      <c r="BK2119" s="122"/>
      <c r="BL2119" s="122"/>
      <c r="BM2119" s="122"/>
      <c r="BN2119" s="115"/>
      <c r="BO2119" s="115"/>
      <c r="BP2119" s="115"/>
      <c r="BQ2119" s="115"/>
      <c r="BR2119" s="115"/>
      <c r="BS2119" s="115"/>
      <c r="BT2119" s="115"/>
      <c r="BU2119" s="115"/>
      <c r="BV2119" s="115"/>
      <c r="BW2119" s="115"/>
      <c r="BX2119" s="115"/>
      <c r="BY2119" s="115"/>
      <c r="BZ2119" s="115"/>
      <c r="CA2119" s="115"/>
      <c r="CB2119" s="119"/>
      <c r="CC2119" s="119"/>
    </row>
    <row r="2120" spans="2:81" x14ac:dyDescent="0.4">
      <c r="B2120" s="115"/>
      <c r="C2120" s="115"/>
      <c r="D2120" s="115"/>
      <c r="E2120" s="115"/>
      <c r="F2120" s="115"/>
      <c r="G2120" s="115"/>
      <c r="H2120" s="115"/>
      <c r="I2120" s="115"/>
      <c r="J2120" s="115"/>
      <c r="K2120" s="115"/>
      <c r="L2120" s="115"/>
      <c r="M2120" s="115"/>
      <c r="N2120" s="115"/>
      <c r="O2120" s="115"/>
      <c r="P2120" s="115"/>
      <c r="Q2120" s="115"/>
      <c r="R2120" s="115"/>
      <c r="S2120" s="115"/>
      <c r="T2120" s="115"/>
      <c r="U2120" s="115"/>
      <c r="V2120" s="115"/>
      <c r="W2120" s="115"/>
      <c r="X2120" s="115"/>
      <c r="Y2120" s="115"/>
      <c r="Z2120" s="115"/>
      <c r="AA2120" s="115"/>
      <c r="AB2120" s="115"/>
      <c r="AC2120" s="115"/>
      <c r="AD2120" s="115"/>
      <c r="AE2120" s="115"/>
      <c r="AF2120" s="115"/>
      <c r="AG2120" s="115"/>
      <c r="AH2120" s="115"/>
      <c r="AI2120" s="115"/>
      <c r="AJ2120" s="115"/>
      <c r="AK2120" s="115"/>
      <c r="AL2120" s="115"/>
      <c r="AM2120" s="115"/>
      <c r="AN2120" s="115"/>
      <c r="AO2120" s="115"/>
      <c r="AP2120" s="115"/>
      <c r="AQ2120" s="115"/>
      <c r="AR2120" s="115"/>
      <c r="AS2120" s="115"/>
      <c r="AT2120" s="115"/>
      <c r="AU2120" s="115"/>
      <c r="AV2120" s="115"/>
      <c r="AW2120" s="115"/>
      <c r="AX2120" s="115"/>
      <c r="AY2120" s="115"/>
      <c r="AZ2120" s="115"/>
      <c r="BA2120" s="115"/>
      <c r="BB2120" s="115"/>
      <c r="BC2120" s="115"/>
      <c r="BD2120" s="115"/>
      <c r="BE2120" s="115"/>
      <c r="BF2120" s="115"/>
      <c r="BG2120" s="115"/>
      <c r="BH2120" s="115"/>
      <c r="BI2120" s="115"/>
      <c r="BJ2120" s="115"/>
      <c r="BK2120" s="122"/>
      <c r="BL2120" s="122"/>
      <c r="BM2120" s="122"/>
      <c r="BN2120" s="115"/>
      <c r="BO2120" s="115"/>
      <c r="BP2120" s="115"/>
      <c r="BQ2120" s="115"/>
      <c r="BR2120" s="115"/>
      <c r="BS2120" s="115"/>
      <c r="BT2120" s="115"/>
      <c r="BU2120" s="115"/>
      <c r="BV2120" s="115"/>
      <c r="BW2120" s="115"/>
      <c r="BX2120" s="115"/>
      <c r="BY2120" s="115"/>
      <c r="BZ2120" s="115"/>
      <c r="CA2120" s="115"/>
      <c r="CB2120" s="119"/>
      <c r="CC2120" s="119"/>
    </row>
  </sheetData>
  <sortState xmlns:xlrd2="http://schemas.microsoft.com/office/spreadsheetml/2017/richdata2" ref="J2:K201">
    <sortCondition ref="J2:J201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A141" zoomScaleNormal="100" workbookViewId="0">
      <selection activeCell="A97" sqref="A97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85" t="s">
        <v>270</v>
      </c>
      <c r="B1" s="121"/>
      <c r="C1" s="121"/>
      <c r="D1" s="121"/>
      <c r="G1" s="120"/>
      <c r="H1" s="121"/>
      <c r="I1" s="121"/>
      <c r="J1" s="121"/>
    </row>
    <row r="2" spans="1:32" ht="19.5" x14ac:dyDescent="0.4">
      <c r="A2" s="85" t="s">
        <v>271</v>
      </c>
      <c r="B2" s="126"/>
      <c r="C2" s="126"/>
      <c r="D2" s="126"/>
      <c r="G2" s="118"/>
      <c r="H2" s="126"/>
      <c r="I2" s="126"/>
      <c r="J2" s="126"/>
      <c r="N2" s="127"/>
      <c r="O2" s="29"/>
      <c r="AE2" s="127"/>
      <c r="AF2" s="29"/>
    </row>
    <row r="3" spans="1:32" ht="19.5" x14ac:dyDescent="0.4">
      <c r="A3" s="85" t="s">
        <v>352</v>
      </c>
      <c r="B3" s="126"/>
      <c r="C3" s="126"/>
      <c r="D3" s="126"/>
      <c r="G3" s="125"/>
      <c r="H3" s="126"/>
      <c r="I3" s="126"/>
      <c r="J3" s="126"/>
      <c r="M3" s="115"/>
      <c r="N3" s="127"/>
      <c r="O3" s="29"/>
      <c r="AE3" s="127"/>
      <c r="AF3" s="29"/>
    </row>
    <row r="4" spans="1:32" ht="19.5" x14ac:dyDescent="0.4">
      <c r="A4" s="85" t="s">
        <v>201</v>
      </c>
      <c r="B4" s="126"/>
      <c r="C4" s="126"/>
      <c r="D4" s="126"/>
      <c r="G4" s="125"/>
      <c r="H4" s="126"/>
      <c r="I4" s="126"/>
      <c r="J4" s="126"/>
      <c r="L4" s="115"/>
      <c r="M4" s="115"/>
      <c r="N4" s="127"/>
      <c r="O4" s="29"/>
      <c r="AE4" s="127"/>
      <c r="AF4" s="29"/>
    </row>
    <row r="5" spans="1:32" ht="19.5" x14ac:dyDescent="0.4">
      <c r="A5" s="85" t="s">
        <v>239</v>
      </c>
      <c r="B5" s="126"/>
      <c r="C5" s="126"/>
      <c r="D5" s="126"/>
      <c r="G5" s="125"/>
      <c r="H5" s="126"/>
      <c r="I5" s="126"/>
      <c r="J5" s="126"/>
      <c r="L5" s="115"/>
      <c r="M5" s="115"/>
      <c r="N5" s="127"/>
      <c r="O5" s="29"/>
      <c r="AE5" s="127"/>
      <c r="AF5" s="29"/>
    </row>
    <row r="6" spans="1:32" ht="19.5" x14ac:dyDescent="0.4">
      <c r="A6" s="85" t="s">
        <v>240</v>
      </c>
      <c r="B6" s="126"/>
      <c r="C6" s="126"/>
      <c r="D6" s="126"/>
      <c r="G6" s="125"/>
      <c r="H6" s="126"/>
      <c r="I6" s="126"/>
      <c r="J6" s="126"/>
      <c r="K6" s="115"/>
      <c r="L6" s="115"/>
      <c r="M6" s="115"/>
      <c r="N6" s="127"/>
      <c r="O6" s="29"/>
      <c r="AE6" s="127"/>
      <c r="AF6" s="29"/>
    </row>
    <row r="7" spans="1:32" ht="19.5" x14ac:dyDescent="0.4">
      <c r="A7" s="85" t="s">
        <v>353</v>
      </c>
      <c r="B7" s="126"/>
      <c r="C7" s="126"/>
      <c r="D7" s="126"/>
      <c r="G7" s="125"/>
      <c r="H7" s="126"/>
      <c r="I7" s="126"/>
      <c r="J7" s="126"/>
      <c r="K7" s="115"/>
      <c r="L7" s="115"/>
      <c r="M7" s="115"/>
      <c r="N7" s="127"/>
      <c r="O7" s="29"/>
      <c r="AE7" s="127"/>
      <c r="AF7" s="29"/>
    </row>
    <row r="8" spans="1:32" ht="19.5" x14ac:dyDescent="0.4">
      <c r="A8" s="85" t="s">
        <v>241</v>
      </c>
      <c r="B8" s="126"/>
      <c r="C8" s="126"/>
      <c r="D8" s="126"/>
      <c r="G8" s="125"/>
      <c r="H8" s="126"/>
      <c r="I8" s="126"/>
      <c r="J8" s="126"/>
      <c r="K8" s="115"/>
      <c r="L8" s="115"/>
      <c r="M8" s="115"/>
      <c r="N8" s="127"/>
      <c r="O8" s="29"/>
      <c r="AE8" s="127"/>
      <c r="AF8" s="29"/>
    </row>
    <row r="9" spans="1:32" ht="19.5" x14ac:dyDescent="0.4">
      <c r="A9" s="85" t="s">
        <v>243</v>
      </c>
      <c r="B9" s="126"/>
      <c r="C9" s="126"/>
      <c r="D9" s="126"/>
      <c r="G9" s="125"/>
      <c r="H9" s="126"/>
      <c r="I9" s="126"/>
      <c r="J9" s="126"/>
      <c r="K9" s="115"/>
      <c r="L9" s="115"/>
      <c r="M9" s="115"/>
      <c r="N9" s="127"/>
      <c r="O9" s="29"/>
      <c r="AE9" s="127"/>
      <c r="AF9" s="29"/>
    </row>
    <row r="10" spans="1:32" ht="19.5" x14ac:dyDescent="0.4">
      <c r="A10" s="85" t="s">
        <v>244</v>
      </c>
      <c r="B10" s="126"/>
      <c r="C10" s="126"/>
      <c r="D10" s="126"/>
      <c r="G10" s="125"/>
      <c r="H10" s="126"/>
      <c r="I10" s="126"/>
      <c r="J10" s="126"/>
      <c r="K10" s="115"/>
      <c r="L10" s="115"/>
      <c r="M10" s="115"/>
      <c r="N10" s="127"/>
      <c r="O10" s="29"/>
      <c r="AE10" s="127"/>
      <c r="AF10" s="29"/>
    </row>
    <row r="11" spans="1:32" ht="19.5" x14ac:dyDescent="0.4">
      <c r="A11" s="85" t="s">
        <v>245</v>
      </c>
      <c r="B11" s="126"/>
      <c r="C11" s="126"/>
      <c r="D11" s="126"/>
      <c r="G11" s="125"/>
      <c r="H11" s="126"/>
      <c r="I11" s="126"/>
      <c r="J11" s="126"/>
      <c r="K11" s="115"/>
      <c r="L11" s="115"/>
      <c r="M11" s="115"/>
      <c r="N11" s="127"/>
      <c r="O11" s="29"/>
      <c r="AE11" s="127"/>
      <c r="AF11" s="29"/>
    </row>
    <row r="12" spans="1:32" ht="19.5" x14ac:dyDescent="0.4">
      <c r="A12" s="85" t="s">
        <v>246</v>
      </c>
      <c r="B12" s="126"/>
      <c r="C12" s="126"/>
      <c r="D12" s="126"/>
      <c r="G12" s="125"/>
      <c r="H12" s="126"/>
      <c r="I12" s="126"/>
      <c r="J12" s="126"/>
      <c r="N12" s="127"/>
      <c r="O12" s="29"/>
      <c r="AE12" s="127"/>
      <c r="AF12" s="29"/>
    </row>
    <row r="13" spans="1:32" ht="19.5" x14ac:dyDescent="0.4">
      <c r="A13" s="85" t="s">
        <v>247</v>
      </c>
      <c r="B13" s="126"/>
      <c r="C13" s="126"/>
      <c r="D13" s="126"/>
      <c r="G13" s="125"/>
      <c r="H13" s="126"/>
      <c r="I13" s="126"/>
      <c r="J13" s="126"/>
      <c r="L13" s="115"/>
      <c r="M13" s="115"/>
      <c r="N13" s="127"/>
      <c r="O13" s="29"/>
      <c r="AE13" s="127"/>
      <c r="AF13" s="29"/>
    </row>
    <row r="14" spans="1:32" ht="19.5" x14ac:dyDescent="0.4">
      <c r="A14" s="85" t="s">
        <v>272</v>
      </c>
      <c r="B14" s="126"/>
      <c r="C14" s="126"/>
      <c r="D14" s="126"/>
      <c r="G14" s="125"/>
      <c r="H14" s="126"/>
      <c r="I14" s="126"/>
      <c r="J14" s="126"/>
      <c r="K14" s="115"/>
      <c r="L14" s="115"/>
      <c r="M14" s="115"/>
      <c r="N14" s="127"/>
      <c r="O14" s="29"/>
      <c r="AE14" s="127"/>
      <c r="AF14" s="29"/>
    </row>
    <row r="15" spans="1:32" ht="19.5" x14ac:dyDescent="0.4">
      <c r="A15" s="85" t="s">
        <v>273</v>
      </c>
      <c r="B15" s="126"/>
      <c r="C15" s="126"/>
      <c r="D15" s="126"/>
      <c r="G15" s="125"/>
      <c r="H15" s="126"/>
      <c r="I15" s="126"/>
      <c r="J15" s="126"/>
      <c r="K15" s="115"/>
      <c r="L15" s="115"/>
      <c r="M15" s="115"/>
      <c r="N15" s="127"/>
      <c r="O15" s="29"/>
      <c r="AD15" s="115"/>
      <c r="AE15" s="29"/>
      <c r="AF15" s="29"/>
    </row>
    <row r="16" spans="1:32" ht="19.5" x14ac:dyDescent="0.4">
      <c r="A16" s="85" t="s">
        <v>303</v>
      </c>
      <c r="B16" s="126"/>
      <c r="C16" s="126"/>
      <c r="D16" s="126"/>
      <c r="G16" s="125"/>
      <c r="H16" s="126"/>
      <c r="I16" s="126"/>
      <c r="J16" s="126"/>
      <c r="K16" s="115"/>
      <c r="L16" s="115"/>
      <c r="M16" s="115"/>
      <c r="N16" s="127"/>
      <c r="O16" s="29"/>
      <c r="AD16" s="115"/>
      <c r="AE16" s="29"/>
      <c r="AF16" s="29"/>
    </row>
    <row r="17" spans="1:32" ht="19.5" x14ac:dyDescent="0.4">
      <c r="A17" s="85" t="s">
        <v>274</v>
      </c>
      <c r="B17" s="126"/>
      <c r="C17" s="126"/>
      <c r="D17" s="126"/>
      <c r="G17" s="125"/>
      <c r="H17" s="126"/>
      <c r="I17" s="126"/>
      <c r="J17" s="126"/>
      <c r="K17" s="115"/>
      <c r="L17" s="115"/>
      <c r="M17" s="115"/>
      <c r="N17" s="127"/>
      <c r="O17" s="29"/>
      <c r="AD17" s="115"/>
      <c r="AE17" s="29"/>
      <c r="AF17" s="29"/>
    </row>
    <row r="18" spans="1:32" ht="19.5" x14ac:dyDescent="0.4">
      <c r="A18" s="86" t="s">
        <v>304</v>
      </c>
      <c r="B18" s="126"/>
      <c r="C18" s="126"/>
      <c r="D18" s="126"/>
      <c r="G18" s="125"/>
      <c r="H18" s="126"/>
      <c r="I18" s="126"/>
      <c r="J18" s="126"/>
      <c r="K18" s="115"/>
      <c r="L18" s="115"/>
      <c r="M18" s="115"/>
      <c r="N18" s="127"/>
      <c r="O18" s="29"/>
      <c r="AD18" s="115"/>
      <c r="AE18" s="29"/>
      <c r="AF18" s="29"/>
    </row>
    <row r="19" spans="1:32" ht="19.5" x14ac:dyDescent="0.4">
      <c r="A19" s="86" t="s">
        <v>248</v>
      </c>
      <c r="B19" s="126"/>
      <c r="C19" s="126"/>
      <c r="D19" s="126"/>
      <c r="G19" s="125"/>
      <c r="H19" s="126"/>
      <c r="I19" s="126"/>
      <c r="J19" s="126"/>
      <c r="K19" s="115"/>
      <c r="L19" s="115"/>
      <c r="M19" s="115"/>
      <c r="N19" s="127"/>
      <c r="O19" s="29"/>
      <c r="AD19" s="115"/>
      <c r="AE19" s="29"/>
      <c r="AF19" s="29"/>
    </row>
    <row r="20" spans="1:32" ht="19.5" x14ac:dyDescent="0.4">
      <c r="A20" s="85" t="s">
        <v>249</v>
      </c>
      <c r="B20" s="126"/>
      <c r="C20" s="126"/>
      <c r="D20" s="126"/>
      <c r="G20" s="125"/>
      <c r="H20" s="126"/>
      <c r="I20" s="126"/>
      <c r="J20" s="126"/>
      <c r="K20" s="115"/>
      <c r="L20" s="115"/>
      <c r="M20" s="115"/>
      <c r="N20" s="127"/>
      <c r="O20" s="29"/>
      <c r="AD20" s="115"/>
      <c r="AE20" s="29"/>
      <c r="AF20" s="29"/>
    </row>
    <row r="21" spans="1:32" ht="19.5" x14ac:dyDescent="0.4">
      <c r="A21" s="85" t="s">
        <v>275</v>
      </c>
      <c r="B21" s="126"/>
      <c r="C21" s="126"/>
      <c r="D21" s="126"/>
      <c r="G21" s="125"/>
      <c r="H21" s="126"/>
      <c r="I21" s="126"/>
      <c r="J21" s="126"/>
      <c r="K21" s="115"/>
      <c r="L21" s="115"/>
      <c r="M21" s="115"/>
      <c r="N21" s="127"/>
      <c r="O21" s="29"/>
      <c r="AD21" s="115"/>
      <c r="AE21" s="29"/>
      <c r="AF21" s="29"/>
    </row>
    <row r="22" spans="1:32" ht="19.5" x14ac:dyDescent="0.4">
      <c r="A22" s="85" t="s">
        <v>276</v>
      </c>
      <c r="B22" s="126"/>
      <c r="C22" s="126"/>
      <c r="D22" s="126"/>
      <c r="G22" s="125"/>
      <c r="H22" s="126"/>
      <c r="I22" s="126"/>
      <c r="J22" s="126"/>
      <c r="K22" s="115"/>
      <c r="L22" s="115"/>
      <c r="M22" s="115"/>
      <c r="N22" s="127"/>
      <c r="O22" s="29"/>
      <c r="AD22" s="115"/>
      <c r="AE22" s="29"/>
      <c r="AF22" s="29"/>
    </row>
    <row r="23" spans="1:32" ht="19.5" x14ac:dyDescent="0.4">
      <c r="A23" s="85" t="s">
        <v>305</v>
      </c>
      <c r="B23" s="126"/>
      <c r="C23" s="126"/>
      <c r="D23" s="126"/>
      <c r="G23" s="125"/>
      <c r="H23" s="126"/>
      <c r="I23" s="126"/>
      <c r="J23" s="126"/>
      <c r="K23" s="115"/>
      <c r="L23" s="115"/>
      <c r="M23" s="115"/>
      <c r="N23" s="127"/>
      <c r="O23" s="29"/>
      <c r="AD23" s="115"/>
      <c r="AE23" s="29"/>
      <c r="AF23" s="29"/>
    </row>
    <row r="24" spans="1:32" ht="19.5" x14ac:dyDescent="0.4">
      <c r="A24" s="85" t="s">
        <v>306</v>
      </c>
      <c r="B24" s="126"/>
      <c r="C24" s="126"/>
      <c r="D24" s="126"/>
      <c r="G24" s="125"/>
      <c r="H24" s="126"/>
      <c r="I24" s="126"/>
      <c r="J24" s="126"/>
      <c r="K24" s="115"/>
      <c r="L24" s="115"/>
      <c r="M24" s="115"/>
      <c r="N24" s="127"/>
      <c r="O24" s="29"/>
      <c r="AD24" s="115"/>
      <c r="AE24" s="29"/>
      <c r="AF24" s="29"/>
    </row>
    <row r="25" spans="1:32" ht="19.5" x14ac:dyDescent="0.4">
      <c r="A25" s="85" t="s">
        <v>307</v>
      </c>
      <c r="B25" s="126"/>
      <c r="C25" s="126"/>
      <c r="D25" s="126"/>
      <c r="G25" s="125"/>
      <c r="H25" s="126"/>
      <c r="I25" s="126"/>
      <c r="J25" s="126"/>
      <c r="K25" s="115"/>
      <c r="L25" s="115"/>
      <c r="M25" s="115"/>
      <c r="N25" s="127"/>
      <c r="O25" s="29"/>
      <c r="AC25" s="115"/>
      <c r="AD25" s="115"/>
      <c r="AE25" s="127"/>
      <c r="AF25" s="29"/>
    </row>
    <row r="26" spans="1:32" ht="19.5" x14ac:dyDescent="0.4">
      <c r="A26" s="85" t="s">
        <v>337</v>
      </c>
      <c r="B26" s="126"/>
      <c r="C26" s="126"/>
      <c r="D26" s="126"/>
      <c r="G26" s="125"/>
      <c r="H26" s="126"/>
      <c r="I26" s="126"/>
      <c r="J26" s="126"/>
      <c r="K26" s="115"/>
      <c r="L26" s="115"/>
      <c r="M26" s="115"/>
      <c r="N26" s="127"/>
      <c r="O26" s="29"/>
      <c r="AC26" s="115"/>
      <c r="AD26" s="115"/>
      <c r="AE26" s="127"/>
      <c r="AF26" s="29"/>
    </row>
    <row r="27" spans="1:32" ht="19.5" x14ac:dyDescent="0.4">
      <c r="A27" s="85" t="s">
        <v>336</v>
      </c>
      <c r="B27" s="126"/>
      <c r="C27" s="126"/>
      <c r="D27" s="126"/>
      <c r="G27" s="125"/>
      <c r="H27" s="126"/>
      <c r="I27" s="126"/>
      <c r="J27" s="126"/>
      <c r="K27" s="115"/>
      <c r="L27" s="115"/>
      <c r="M27" s="115"/>
      <c r="N27" s="127"/>
      <c r="O27" s="29"/>
      <c r="AC27" s="115"/>
      <c r="AD27" s="115"/>
      <c r="AE27" s="127"/>
      <c r="AF27" s="29"/>
    </row>
    <row r="28" spans="1:32" ht="19.5" x14ac:dyDescent="0.4">
      <c r="A28" s="85" t="s">
        <v>308</v>
      </c>
      <c r="B28" s="126"/>
      <c r="C28" s="126"/>
      <c r="D28" s="126"/>
      <c r="H28" s="115"/>
      <c r="I28" s="115"/>
      <c r="J28" s="115"/>
      <c r="K28" s="115"/>
      <c r="L28" s="115"/>
      <c r="M28" s="115"/>
      <c r="N28" s="127"/>
      <c r="O28" s="29"/>
      <c r="AC28" s="115"/>
      <c r="AD28" s="115"/>
      <c r="AE28" s="127"/>
      <c r="AF28" s="29"/>
    </row>
    <row r="29" spans="1:32" ht="19.5" x14ac:dyDescent="0.4">
      <c r="A29" s="85" t="s">
        <v>309</v>
      </c>
      <c r="B29" s="126"/>
      <c r="C29" s="126"/>
      <c r="D29" s="126"/>
      <c r="H29" s="115"/>
      <c r="I29" s="115"/>
      <c r="J29" s="115"/>
      <c r="K29" s="115"/>
      <c r="L29" s="115"/>
      <c r="M29" s="115"/>
      <c r="N29" s="127"/>
      <c r="O29" s="29"/>
      <c r="AC29" s="115"/>
      <c r="AD29" s="115"/>
      <c r="AE29" s="127"/>
      <c r="AF29" s="29"/>
    </row>
    <row r="30" spans="1:32" ht="19.5" x14ac:dyDescent="0.4">
      <c r="A30" s="85" t="s">
        <v>310</v>
      </c>
      <c r="B30" s="126"/>
      <c r="C30" s="126"/>
      <c r="D30" s="126"/>
      <c r="H30" s="115"/>
      <c r="I30" s="115"/>
      <c r="J30" s="115"/>
      <c r="K30" s="115"/>
      <c r="L30" s="115"/>
      <c r="M30" s="115"/>
      <c r="N30" s="127"/>
      <c r="O30" s="29"/>
      <c r="AC30" s="115"/>
      <c r="AD30" s="115"/>
      <c r="AE30" s="127"/>
      <c r="AF30" s="29"/>
    </row>
    <row r="31" spans="1:32" ht="19.5" x14ac:dyDescent="0.4">
      <c r="A31" s="85" t="s">
        <v>338</v>
      </c>
      <c r="B31" s="126"/>
      <c r="C31" s="126"/>
      <c r="D31" s="126"/>
      <c r="H31" s="115"/>
      <c r="I31" s="115"/>
      <c r="J31" s="115"/>
      <c r="K31" s="115"/>
      <c r="L31" s="115"/>
      <c r="M31" s="115"/>
      <c r="N31" s="127"/>
      <c r="O31" s="29"/>
      <c r="AC31" s="115"/>
      <c r="AD31" s="115"/>
      <c r="AE31" s="29"/>
      <c r="AF31" s="29"/>
    </row>
    <row r="32" spans="1:32" ht="19.5" x14ac:dyDescent="0.4">
      <c r="A32" s="85" t="s">
        <v>339</v>
      </c>
      <c r="B32" s="126"/>
      <c r="C32" s="126"/>
      <c r="D32" s="126"/>
      <c r="H32" s="115"/>
      <c r="I32" s="115"/>
      <c r="J32" s="115"/>
      <c r="K32" s="115"/>
      <c r="L32" s="115"/>
      <c r="M32" s="115"/>
      <c r="N32" s="127"/>
      <c r="O32" s="29"/>
      <c r="AC32" s="115"/>
      <c r="AD32" s="115"/>
      <c r="AE32" s="29"/>
      <c r="AF32" s="29"/>
    </row>
    <row r="33" spans="1:32" ht="19.5" x14ac:dyDescent="0.4">
      <c r="A33" s="85" t="s">
        <v>288</v>
      </c>
      <c r="B33" s="126"/>
      <c r="C33" s="126"/>
      <c r="D33" s="126"/>
      <c r="H33" s="115"/>
      <c r="I33" s="115"/>
      <c r="J33" s="115"/>
      <c r="K33" s="115"/>
      <c r="L33" s="115"/>
      <c r="M33" s="115"/>
      <c r="N33" s="127"/>
      <c r="O33" s="29"/>
      <c r="AC33" s="115"/>
      <c r="AD33" s="115"/>
      <c r="AE33" s="29"/>
      <c r="AF33" s="29"/>
    </row>
    <row r="34" spans="1:32" ht="19.5" x14ac:dyDescent="0.4">
      <c r="A34" s="85" t="s">
        <v>277</v>
      </c>
      <c r="B34" s="126"/>
      <c r="C34" s="126"/>
      <c r="D34" s="126"/>
      <c r="H34" s="115"/>
      <c r="I34" s="115"/>
      <c r="J34" s="115"/>
      <c r="K34" s="115"/>
      <c r="L34" s="115"/>
      <c r="M34" s="115"/>
      <c r="N34" s="127"/>
      <c r="O34" s="29"/>
      <c r="AC34" s="115"/>
      <c r="AD34" s="115"/>
      <c r="AE34" s="29"/>
      <c r="AF34" s="29"/>
    </row>
    <row r="35" spans="1:32" ht="19.5" x14ac:dyDescent="0.4">
      <c r="A35" s="85" t="s">
        <v>335</v>
      </c>
      <c r="B35" s="126"/>
      <c r="C35" s="126"/>
      <c r="D35" s="126"/>
      <c r="H35" s="115"/>
      <c r="I35" s="115"/>
      <c r="J35" s="115"/>
      <c r="K35" s="115"/>
      <c r="L35" s="115"/>
      <c r="M35" s="115"/>
      <c r="N35" s="127"/>
      <c r="O35" s="29"/>
      <c r="AC35" s="115"/>
      <c r="AD35" s="115"/>
      <c r="AE35" s="29"/>
      <c r="AF35" s="29"/>
    </row>
    <row r="36" spans="1:32" ht="19.5" x14ac:dyDescent="0.4">
      <c r="A36" s="85" t="s">
        <v>202</v>
      </c>
      <c r="B36" s="126"/>
      <c r="C36" s="126"/>
      <c r="D36" s="126"/>
      <c r="H36" s="115"/>
      <c r="I36" s="115"/>
      <c r="J36" s="115"/>
      <c r="K36" s="115"/>
      <c r="L36" s="115"/>
      <c r="M36" s="115"/>
      <c r="N36" s="127"/>
      <c r="O36" s="29"/>
      <c r="AC36" s="115"/>
      <c r="AD36" s="115"/>
      <c r="AE36" s="29"/>
      <c r="AF36" s="29"/>
    </row>
    <row r="37" spans="1:32" ht="19.5" x14ac:dyDescent="0.4">
      <c r="A37" s="85" t="s">
        <v>203</v>
      </c>
      <c r="B37" s="126"/>
      <c r="C37" s="126"/>
      <c r="D37" s="126"/>
      <c r="H37" s="115"/>
      <c r="I37" s="115"/>
      <c r="J37" s="115"/>
      <c r="K37" s="115"/>
      <c r="L37" s="115"/>
      <c r="M37" s="115"/>
      <c r="N37" s="127"/>
      <c r="O37" s="29"/>
      <c r="AC37" s="115"/>
      <c r="AD37" s="115"/>
      <c r="AE37" s="29"/>
      <c r="AF37" s="29"/>
    </row>
    <row r="38" spans="1:32" ht="19.5" x14ac:dyDescent="0.4">
      <c r="A38" s="85" t="s">
        <v>205</v>
      </c>
      <c r="B38" s="126"/>
      <c r="C38" s="126"/>
      <c r="D38" s="126"/>
      <c r="H38" s="115"/>
      <c r="I38" s="115"/>
      <c r="J38" s="115"/>
      <c r="K38" s="115"/>
      <c r="L38" s="115"/>
      <c r="M38" s="115"/>
      <c r="N38" s="127"/>
      <c r="O38" s="29"/>
      <c r="AC38" s="115"/>
      <c r="AD38" s="115"/>
      <c r="AE38" s="29"/>
      <c r="AF38" s="29"/>
    </row>
    <row r="39" spans="1:32" ht="19.5" x14ac:dyDescent="0.4">
      <c r="A39" s="85" t="s">
        <v>206</v>
      </c>
      <c r="B39" s="126"/>
      <c r="C39" s="126"/>
      <c r="D39" s="126"/>
      <c r="H39" s="115"/>
      <c r="I39" s="115"/>
      <c r="J39" s="115"/>
      <c r="K39" s="115"/>
      <c r="L39" s="115"/>
      <c r="M39" s="115"/>
      <c r="N39" s="127"/>
      <c r="O39" s="29"/>
      <c r="AC39" s="115"/>
      <c r="AD39" s="115"/>
      <c r="AE39" s="29"/>
      <c r="AF39" s="29"/>
    </row>
    <row r="40" spans="1:32" ht="19.5" x14ac:dyDescent="0.4">
      <c r="A40" s="85" t="s">
        <v>207</v>
      </c>
      <c r="B40" s="126"/>
      <c r="C40" s="126"/>
      <c r="D40" s="126"/>
      <c r="H40" s="115"/>
      <c r="I40" s="115"/>
      <c r="J40" s="115"/>
      <c r="K40" s="115"/>
      <c r="L40" s="115"/>
      <c r="M40" s="115"/>
      <c r="N40" s="127"/>
      <c r="O40" s="29"/>
      <c r="AC40" s="115"/>
      <c r="AD40" s="115"/>
      <c r="AE40" s="29"/>
      <c r="AF40" s="29"/>
    </row>
    <row r="41" spans="1:32" ht="19.5" x14ac:dyDescent="0.4">
      <c r="A41" s="85" t="s">
        <v>208</v>
      </c>
      <c r="B41" s="126"/>
      <c r="C41" s="126"/>
      <c r="D41" s="126"/>
      <c r="H41" s="115"/>
      <c r="I41" s="115"/>
      <c r="J41" s="115"/>
      <c r="K41" s="115"/>
      <c r="L41" s="115"/>
      <c r="M41" s="115"/>
      <c r="N41" s="127"/>
      <c r="O41" s="29"/>
      <c r="AB41" s="115"/>
      <c r="AC41" s="115"/>
      <c r="AD41" s="115"/>
      <c r="AE41" s="127"/>
      <c r="AF41" s="29"/>
    </row>
    <row r="42" spans="1:32" ht="19.5" x14ac:dyDescent="0.4">
      <c r="A42" s="85" t="s">
        <v>311</v>
      </c>
      <c r="B42" s="126"/>
      <c r="C42" s="126"/>
      <c r="D42" s="126"/>
      <c r="H42" s="115"/>
      <c r="I42" s="115"/>
      <c r="J42" s="115"/>
      <c r="K42" s="115"/>
      <c r="L42" s="115"/>
      <c r="M42" s="115"/>
      <c r="N42" s="127"/>
      <c r="O42" s="29"/>
      <c r="AB42" s="115"/>
      <c r="AC42" s="115"/>
      <c r="AD42" s="115"/>
      <c r="AE42" s="127"/>
      <c r="AF42" s="29"/>
    </row>
    <row r="43" spans="1:32" ht="19.5" x14ac:dyDescent="0.4">
      <c r="A43" s="85" t="s">
        <v>312</v>
      </c>
      <c r="B43" s="126"/>
      <c r="C43" s="126"/>
      <c r="D43" s="126"/>
      <c r="H43" s="115"/>
      <c r="I43" s="115"/>
      <c r="J43" s="115"/>
      <c r="K43" s="115"/>
      <c r="L43" s="115"/>
      <c r="M43" s="115"/>
      <c r="N43" s="127"/>
      <c r="O43" s="29"/>
      <c r="AB43" s="115"/>
      <c r="AC43" s="115"/>
      <c r="AD43" s="115"/>
      <c r="AE43" s="127"/>
      <c r="AF43" s="29"/>
    </row>
    <row r="44" spans="1:32" ht="19.5" x14ac:dyDescent="0.4">
      <c r="A44" s="85" t="s">
        <v>313</v>
      </c>
      <c r="B44" s="126"/>
      <c r="C44" s="126"/>
      <c r="D44" s="126"/>
      <c r="H44" s="115"/>
      <c r="I44" s="115"/>
      <c r="J44" s="115"/>
      <c r="K44" s="115"/>
      <c r="L44" s="115"/>
      <c r="M44" s="115"/>
      <c r="N44" s="127"/>
      <c r="O44" s="29"/>
      <c r="AB44" s="115"/>
      <c r="AC44" s="115"/>
      <c r="AD44" s="115"/>
      <c r="AE44" s="127"/>
      <c r="AF44" s="29"/>
    </row>
    <row r="45" spans="1:32" ht="19.5" x14ac:dyDescent="0.4">
      <c r="A45" s="85" t="s">
        <v>289</v>
      </c>
      <c r="B45" s="126"/>
      <c r="C45" s="126"/>
      <c r="D45" s="126"/>
      <c r="H45" s="115"/>
      <c r="I45" s="115"/>
      <c r="J45" s="115"/>
      <c r="K45" s="115"/>
      <c r="L45" s="115"/>
      <c r="M45" s="115"/>
      <c r="N45" s="127"/>
      <c r="O45" s="29"/>
      <c r="AB45" s="115"/>
      <c r="AC45" s="115"/>
      <c r="AD45" s="115"/>
      <c r="AE45" s="127"/>
      <c r="AF45" s="29"/>
    </row>
    <row r="46" spans="1:32" ht="19.5" x14ac:dyDescent="0.4">
      <c r="A46" s="85" t="s">
        <v>209</v>
      </c>
      <c r="B46" s="126"/>
      <c r="C46" s="126"/>
      <c r="D46" s="126"/>
      <c r="H46" s="115"/>
      <c r="I46" s="115"/>
      <c r="J46" s="115"/>
      <c r="K46" s="115"/>
      <c r="L46" s="115"/>
      <c r="M46" s="115"/>
      <c r="N46" s="127"/>
      <c r="O46" s="29"/>
      <c r="AB46" s="115"/>
      <c r="AC46" s="115"/>
      <c r="AD46" s="115"/>
      <c r="AE46" s="127"/>
      <c r="AF46" s="29"/>
    </row>
    <row r="47" spans="1:32" ht="19.5" x14ac:dyDescent="0.4">
      <c r="A47" s="85" t="s">
        <v>315</v>
      </c>
      <c r="B47" s="126"/>
      <c r="C47" s="126"/>
      <c r="D47" s="126"/>
      <c r="H47" s="115"/>
      <c r="I47" s="115"/>
      <c r="J47" s="115"/>
      <c r="K47" s="115"/>
      <c r="L47" s="115"/>
      <c r="M47" s="115"/>
      <c r="N47" s="127"/>
      <c r="O47" s="29"/>
      <c r="AA47" s="115"/>
      <c r="AB47" s="115"/>
      <c r="AC47" s="115"/>
      <c r="AD47" s="115"/>
      <c r="AE47" s="127"/>
      <c r="AF47" s="29"/>
    </row>
    <row r="48" spans="1:32" ht="19.5" x14ac:dyDescent="0.4">
      <c r="A48" s="85" t="s">
        <v>314</v>
      </c>
      <c r="B48" s="126"/>
      <c r="C48" s="126"/>
      <c r="D48" s="126"/>
      <c r="H48" s="115"/>
      <c r="I48" s="115"/>
      <c r="J48" s="115"/>
      <c r="K48" s="115"/>
      <c r="L48" s="115"/>
      <c r="M48" s="115"/>
      <c r="N48" s="127"/>
      <c r="O48" s="29"/>
      <c r="AA48" s="115"/>
      <c r="AB48" s="115"/>
      <c r="AC48" s="115"/>
      <c r="AD48" s="115"/>
      <c r="AE48" s="127"/>
      <c r="AF48" s="29"/>
    </row>
    <row r="49" spans="1:32" ht="19.5" x14ac:dyDescent="0.4">
      <c r="A49" s="85" t="s">
        <v>316</v>
      </c>
      <c r="B49" s="126"/>
      <c r="C49" s="126"/>
      <c r="D49" s="126"/>
      <c r="H49" s="115"/>
      <c r="I49" s="115"/>
      <c r="J49" s="115"/>
      <c r="K49" s="115"/>
      <c r="L49" s="115"/>
      <c r="M49" s="115"/>
      <c r="N49" s="127"/>
      <c r="O49" s="29"/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85" t="s">
        <v>334</v>
      </c>
      <c r="B50" s="126"/>
      <c r="C50" s="126"/>
      <c r="D50" s="126"/>
      <c r="H50" s="115"/>
      <c r="I50" s="115"/>
      <c r="J50" s="115"/>
      <c r="K50" s="115"/>
      <c r="L50" s="115"/>
      <c r="M50" s="115"/>
      <c r="N50" s="127"/>
      <c r="O50" s="29"/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85" t="s">
        <v>290</v>
      </c>
      <c r="B51" s="126"/>
      <c r="C51" s="126"/>
      <c r="D51" s="126"/>
      <c r="H51" s="115"/>
      <c r="I51" s="115"/>
      <c r="J51" s="115"/>
      <c r="K51" s="115"/>
      <c r="L51" s="115"/>
      <c r="M51" s="115"/>
      <c r="N51" s="127"/>
      <c r="O51" s="29"/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86" t="s">
        <v>210</v>
      </c>
      <c r="B52" s="126"/>
      <c r="C52" s="126"/>
      <c r="D52" s="126"/>
      <c r="H52" s="115"/>
      <c r="I52" s="115"/>
      <c r="J52" s="115"/>
      <c r="K52" s="115"/>
      <c r="L52" s="115"/>
      <c r="M52" s="115"/>
      <c r="N52" s="127"/>
      <c r="O52" s="29"/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85" t="s">
        <v>278</v>
      </c>
      <c r="B53" s="126"/>
      <c r="C53" s="126"/>
      <c r="D53" s="126"/>
      <c r="H53" s="115"/>
      <c r="I53" s="115"/>
      <c r="J53" s="115"/>
      <c r="K53" s="115"/>
      <c r="L53" s="115"/>
      <c r="M53" s="115"/>
      <c r="N53" s="127"/>
      <c r="O53" s="29"/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85" t="s">
        <v>211</v>
      </c>
      <c r="B54" s="126"/>
      <c r="C54" s="126"/>
      <c r="D54" s="126"/>
      <c r="H54" s="115"/>
      <c r="I54" s="115"/>
      <c r="J54" s="115"/>
      <c r="K54" s="115"/>
      <c r="L54" s="115"/>
      <c r="M54" s="115"/>
      <c r="N54" s="127"/>
      <c r="O54" s="29"/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85" t="s">
        <v>318</v>
      </c>
      <c r="B55" s="126"/>
      <c r="C55" s="126"/>
      <c r="D55" s="126"/>
      <c r="H55" s="115"/>
      <c r="I55" s="115"/>
      <c r="J55" s="115"/>
      <c r="K55" s="115"/>
      <c r="L55" s="115"/>
      <c r="M55" s="115"/>
      <c r="N55" s="127"/>
      <c r="O55" s="29"/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85" t="s">
        <v>250</v>
      </c>
      <c r="B56" s="126"/>
      <c r="C56" s="126"/>
      <c r="D56" s="126"/>
      <c r="H56" s="115"/>
      <c r="I56" s="115"/>
      <c r="J56" s="115"/>
      <c r="K56" s="115"/>
      <c r="L56" s="115"/>
      <c r="M56" s="115"/>
      <c r="N56" s="127"/>
      <c r="O56" s="29"/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85" t="s">
        <v>212</v>
      </c>
      <c r="B57" s="126"/>
      <c r="C57" s="126"/>
      <c r="D57" s="126"/>
      <c r="H57" s="115"/>
      <c r="I57" s="115"/>
      <c r="J57" s="115"/>
      <c r="K57" s="115"/>
      <c r="L57" s="115"/>
      <c r="M57" s="115"/>
      <c r="N57" s="127"/>
      <c r="O57" s="29"/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85" t="s">
        <v>213</v>
      </c>
      <c r="B58" s="126"/>
      <c r="C58" s="126"/>
      <c r="D58" s="126"/>
      <c r="H58" s="115"/>
      <c r="I58" s="115"/>
      <c r="J58" s="115"/>
      <c r="K58" s="115"/>
      <c r="L58" s="115"/>
      <c r="M58" s="115"/>
      <c r="N58" s="127"/>
      <c r="O58" s="29"/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85" t="s">
        <v>214</v>
      </c>
      <c r="B59" s="126"/>
      <c r="C59" s="126"/>
      <c r="D59" s="126"/>
      <c r="H59" s="115"/>
      <c r="I59" s="115"/>
      <c r="J59" s="115"/>
      <c r="K59" s="115"/>
      <c r="L59" s="115"/>
      <c r="M59" s="115"/>
      <c r="N59" s="127"/>
      <c r="O59" s="29"/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85" t="s">
        <v>215</v>
      </c>
      <c r="B60" s="126"/>
      <c r="C60" s="126"/>
      <c r="D60" s="126"/>
      <c r="H60" s="115"/>
      <c r="I60" s="115"/>
      <c r="J60" s="115"/>
      <c r="K60" s="115"/>
      <c r="L60" s="115"/>
      <c r="M60" s="115"/>
      <c r="N60" s="127"/>
      <c r="O60" s="29"/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85" t="s">
        <v>252</v>
      </c>
      <c r="B61" s="126"/>
      <c r="C61" s="126"/>
      <c r="D61" s="126"/>
      <c r="H61" s="115"/>
      <c r="I61" s="115"/>
      <c r="J61" s="115"/>
      <c r="K61" s="115"/>
      <c r="L61" s="115"/>
      <c r="M61" s="115"/>
      <c r="N61" s="127"/>
      <c r="O61" s="29"/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85" t="s">
        <v>216</v>
      </c>
      <c r="B62" s="126"/>
      <c r="C62" s="126"/>
      <c r="D62" s="126"/>
      <c r="H62" s="115"/>
      <c r="I62" s="115"/>
      <c r="J62" s="115"/>
      <c r="K62" s="115"/>
      <c r="L62" s="115"/>
      <c r="M62" s="115"/>
      <c r="N62" s="127"/>
      <c r="O62" s="29"/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85" t="s">
        <v>217</v>
      </c>
      <c r="B63" s="126"/>
      <c r="C63" s="126"/>
      <c r="D63" s="126"/>
      <c r="H63" s="115"/>
      <c r="I63" s="115"/>
      <c r="J63" s="115"/>
      <c r="K63" s="115"/>
      <c r="L63" s="115"/>
      <c r="M63" s="115"/>
      <c r="N63" s="127"/>
      <c r="O63" s="29"/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85" t="s">
        <v>218</v>
      </c>
      <c r="B64" s="126"/>
      <c r="C64" s="126"/>
      <c r="D64" s="126"/>
      <c r="H64" s="115"/>
      <c r="I64" s="115"/>
      <c r="J64" s="115"/>
      <c r="K64" s="115"/>
      <c r="L64" s="115"/>
      <c r="M64" s="115"/>
      <c r="N64" s="127"/>
      <c r="O64" s="29"/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85" t="s">
        <v>220</v>
      </c>
      <c r="B65" s="126"/>
      <c r="C65" s="126"/>
      <c r="D65" s="126"/>
      <c r="H65" s="115"/>
      <c r="I65" s="115"/>
      <c r="J65" s="115"/>
      <c r="K65" s="115"/>
      <c r="L65" s="115"/>
      <c r="M65" s="115"/>
      <c r="N65" s="127"/>
      <c r="O65" s="29"/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85" t="s">
        <v>221</v>
      </c>
      <c r="B66" s="126"/>
      <c r="C66" s="126"/>
      <c r="D66" s="126"/>
      <c r="H66" s="115"/>
      <c r="I66" s="115"/>
      <c r="J66" s="115"/>
      <c r="K66" s="115"/>
      <c r="L66" s="115"/>
      <c r="M66" s="115"/>
      <c r="N66" s="127"/>
      <c r="O66" s="29"/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85" t="s">
        <v>222</v>
      </c>
      <c r="B67" s="126"/>
      <c r="C67" s="126"/>
      <c r="D67" s="126"/>
      <c r="H67" s="115"/>
      <c r="I67" s="115"/>
      <c r="J67" s="115"/>
      <c r="K67" s="115"/>
      <c r="L67" s="115"/>
      <c r="M67" s="115"/>
      <c r="N67" s="127"/>
      <c r="O67" s="29"/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85" t="s">
        <v>223</v>
      </c>
      <c r="B68" s="126"/>
      <c r="C68" s="126"/>
      <c r="D68" s="126"/>
      <c r="H68" s="115"/>
      <c r="I68" s="115"/>
      <c r="J68" s="115"/>
      <c r="K68" s="115"/>
      <c r="L68" s="115"/>
      <c r="M68" s="115"/>
      <c r="N68" s="127"/>
      <c r="O68" s="29"/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85" t="s">
        <v>224</v>
      </c>
      <c r="B69" s="126"/>
      <c r="C69" s="126"/>
      <c r="D69" s="126"/>
      <c r="H69" s="115"/>
      <c r="I69" s="115"/>
      <c r="J69" s="115"/>
      <c r="K69" s="115"/>
      <c r="L69" s="115"/>
      <c r="M69" s="115"/>
      <c r="N69" s="127"/>
      <c r="O69" s="29"/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85" t="s">
        <v>225</v>
      </c>
      <c r="B70" s="126"/>
      <c r="C70" s="126"/>
      <c r="D70" s="126"/>
      <c r="H70" s="115"/>
      <c r="I70" s="115"/>
      <c r="J70" s="115"/>
      <c r="K70" s="115"/>
      <c r="L70" s="115"/>
      <c r="M70" s="115"/>
      <c r="N70" s="127"/>
      <c r="O70" s="29"/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85" t="s">
        <v>226</v>
      </c>
      <c r="B71" s="126"/>
      <c r="C71" s="126"/>
      <c r="D71" s="126"/>
      <c r="H71" s="115"/>
      <c r="I71" s="115"/>
      <c r="J71" s="115"/>
      <c r="K71" s="115"/>
      <c r="L71" s="115"/>
      <c r="M71" s="115"/>
      <c r="N71" s="127"/>
      <c r="O71" s="29"/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85" t="s">
        <v>227</v>
      </c>
      <c r="B72" s="126"/>
      <c r="C72" s="126"/>
      <c r="D72" s="126"/>
      <c r="H72" s="115"/>
      <c r="I72" s="115"/>
      <c r="J72" s="115"/>
      <c r="K72" s="115"/>
      <c r="L72" s="115"/>
      <c r="M72" s="115"/>
      <c r="N72" s="127"/>
      <c r="O72" s="29"/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85" t="s">
        <v>228</v>
      </c>
      <c r="B73" s="126"/>
      <c r="C73" s="126"/>
      <c r="D73" s="126"/>
      <c r="H73" s="115"/>
      <c r="I73" s="115"/>
      <c r="J73" s="115"/>
      <c r="K73" s="115"/>
      <c r="L73" s="115"/>
      <c r="M73" s="115"/>
      <c r="N73" s="127"/>
      <c r="O73" s="127"/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85" t="s">
        <v>229</v>
      </c>
      <c r="B74" s="126"/>
      <c r="C74" s="126"/>
      <c r="D74" s="126"/>
      <c r="H74" s="115"/>
      <c r="I74" s="115"/>
      <c r="J74" s="115"/>
      <c r="K74" s="115"/>
      <c r="L74" s="115"/>
      <c r="M74" s="115"/>
      <c r="N74" s="127"/>
      <c r="O74" s="29"/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85" t="s">
        <v>199</v>
      </c>
      <c r="B75" s="126"/>
      <c r="C75" s="126"/>
      <c r="D75" s="126"/>
      <c r="H75" s="115"/>
      <c r="I75" s="115"/>
      <c r="J75" s="115"/>
      <c r="K75" s="115"/>
      <c r="L75" s="115"/>
      <c r="M75" s="115"/>
      <c r="N75" s="127"/>
      <c r="O75" s="29"/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85" t="s">
        <v>230</v>
      </c>
      <c r="B76" s="126"/>
      <c r="C76" s="126"/>
      <c r="D76" s="126"/>
      <c r="H76" s="115"/>
      <c r="I76" s="115"/>
      <c r="J76" s="115"/>
      <c r="K76" s="115"/>
      <c r="L76" s="115"/>
      <c r="M76" s="115"/>
      <c r="N76" s="127"/>
      <c r="O76" s="29"/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85" t="s">
        <v>231</v>
      </c>
      <c r="B77" s="126"/>
      <c r="C77" s="126"/>
      <c r="D77" s="126"/>
      <c r="H77" s="115"/>
      <c r="I77" s="115"/>
      <c r="J77" s="115"/>
      <c r="K77" s="115"/>
      <c r="L77" s="115"/>
      <c r="M77" s="115"/>
      <c r="N77" s="127"/>
      <c r="O77" s="29"/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85" t="s">
        <v>232</v>
      </c>
      <c r="B78" s="126"/>
      <c r="C78" s="126"/>
      <c r="D78" s="126"/>
      <c r="H78" s="115"/>
      <c r="I78" s="115"/>
      <c r="J78" s="115"/>
      <c r="K78" s="115"/>
      <c r="L78" s="115"/>
      <c r="M78" s="115"/>
      <c r="N78" s="127"/>
      <c r="O78" s="127"/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85" t="s">
        <v>233</v>
      </c>
      <c r="B79" s="126"/>
      <c r="C79" s="126"/>
      <c r="D79" s="126"/>
      <c r="H79" s="115"/>
      <c r="I79" s="115"/>
      <c r="J79" s="115"/>
      <c r="K79" s="115"/>
      <c r="L79" s="115"/>
      <c r="M79" s="115"/>
      <c r="N79" s="127"/>
      <c r="O79" s="127"/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85" t="s">
        <v>234</v>
      </c>
      <c r="B80" s="126"/>
      <c r="C80" s="126"/>
      <c r="D80" s="126"/>
      <c r="H80" s="115"/>
      <c r="I80" s="115"/>
      <c r="J80" s="115"/>
      <c r="K80" s="115"/>
      <c r="L80" s="115"/>
      <c r="M80" s="115"/>
      <c r="N80" s="127"/>
      <c r="O80" s="127"/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85" t="s">
        <v>235</v>
      </c>
      <c r="B81" s="126"/>
      <c r="C81" s="126"/>
      <c r="D81" s="126"/>
      <c r="H81" s="115"/>
      <c r="I81" s="115"/>
      <c r="J81" s="115"/>
      <c r="K81" s="115"/>
      <c r="L81" s="115"/>
      <c r="M81" s="115"/>
      <c r="N81" s="127"/>
      <c r="O81" s="127"/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85" t="s">
        <v>236</v>
      </c>
      <c r="B82" s="126"/>
      <c r="C82" s="126"/>
      <c r="D82" s="126"/>
      <c r="H82" s="115"/>
      <c r="I82" s="115"/>
      <c r="J82" s="115"/>
      <c r="K82" s="115"/>
      <c r="L82" s="115"/>
      <c r="M82" s="115"/>
      <c r="N82" s="127"/>
      <c r="O82" s="127"/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85" t="s">
        <v>237</v>
      </c>
      <c r="B83" s="126"/>
      <c r="C83" s="126"/>
      <c r="D83" s="126"/>
      <c r="H83" s="115"/>
      <c r="I83" s="115"/>
      <c r="J83" s="115"/>
      <c r="K83" s="115"/>
      <c r="L83" s="115"/>
      <c r="M83" s="115"/>
      <c r="N83" s="127"/>
      <c r="O83" s="127"/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85" t="s">
        <v>238</v>
      </c>
      <c r="B84" s="126"/>
      <c r="C84" s="126"/>
      <c r="D84" s="126"/>
      <c r="H84" s="115"/>
      <c r="I84" s="115"/>
      <c r="J84" s="115"/>
      <c r="K84" s="115"/>
      <c r="L84" s="115"/>
      <c r="M84" s="115"/>
      <c r="N84" s="127"/>
      <c r="O84" s="29"/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85" t="s">
        <v>317</v>
      </c>
      <c r="B85" s="126"/>
      <c r="C85" s="126"/>
      <c r="D85" s="126"/>
      <c r="H85" s="115"/>
      <c r="I85" s="115"/>
      <c r="J85" s="115"/>
      <c r="K85" s="115"/>
      <c r="L85" s="115"/>
      <c r="M85" s="115"/>
      <c r="N85" s="127"/>
      <c r="O85" s="29"/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85" t="s">
        <v>219</v>
      </c>
      <c r="B86" s="126"/>
      <c r="C86" s="126"/>
      <c r="D86" s="126"/>
      <c r="H86" s="115"/>
      <c r="I86" s="115"/>
      <c r="J86" s="115"/>
      <c r="K86" s="115"/>
      <c r="L86" s="115"/>
      <c r="M86" s="115"/>
      <c r="N86" s="127"/>
      <c r="O86" s="29"/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85" t="s">
        <v>253</v>
      </c>
      <c r="B87" s="126"/>
      <c r="C87" s="126"/>
      <c r="D87" s="126"/>
      <c r="H87" s="115"/>
      <c r="I87" s="115"/>
      <c r="J87" s="115"/>
      <c r="K87" s="115"/>
      <c r="L87" s="115"/>
      <c r="M87" s="115"/>
      <c r="N87" s="127"/>
      <c r="O87" s="29"/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85" t="s">
        <v>255</v>
      </c>
      <c r="B88" s="126"/>
      <c r="C88" s="126"/>
      <c r="D88" s="126"/>
      <c r="H88" s="115"/>
      <c r="I88" s="115"/>
      <c r="J88" s="115"/>
      <c r="K88" s="115"/>
      <c r="L88" s="115"/>
      <c r="M88" s="115"/>
      <c r="N88" s="127"/>
      <c r="O88" s="29"/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85" t="s">
        <v>256</v>
      </c>
      <c r="B89" s="126"/>
      <c r="C89" s="126"/>
      <c r="D89" s="126"/>
      <c r="H89" s="115"/>
      <c r="I89" s="115"/>
      <c r="J89" s="115"/>
      <c r="K89" s="115"/>
      <c r="L89" s="115"/>
      <c r="M89" s="115"/>
      <c r="N89" s="127"/>
      <c r="O89" s="29"/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85" t="s">
        <v>257</v>
      </c>
      <c r="B90" s="126"/>
      <c r="C90" s="126"/>
      <c r="D90" s="126"/>
      <c r="H90" s="115"/>
      <c r="I90" s="115"/>
      <c r="J90" s="115"/>
      <c r="K90" s="115"/>
      <c r="L90" s="115"/>
      <c r="M90" s="115"/>
      <c r="N90" s="127"/>
      <c r="O90" s="29"/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85" t="s">
        <v>340</v>
      </c>
      <c r="B91" s="126"/>
      <c r="C91" s="126"/>
      <c r="D91" s="126"/>
      <c r="H91" s="115"/>
      <c r="I91" s="115"/>
      <c r="J91" s="115"/>
      <c r="K91" s="115"/>
      <c r="L91" s="115"/>
      <c r="M91" s="115"/>
      <c r="N91" s="127"/>
      <c r="O91" s="29"/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85" t="s">
        <v>341</v>
      </c>
      <c r="B92" s="126"/>
      <c r="C92" s="126"/>
      <c r="D92" s="126"/>
      <c r="H92" s="115"/>
      <c r="I92" s="115"/>
      <c r="J92" s="115"/>
      <c r="K92" s="115"/>
      <c r="L92" s="115"/>
      <c r="M92" s="115"/>
      <c r="N92" s="127"/>
      <c r="O92" s="29"/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85" t="s">
        <v>254</v>
      </c>
      <c r="B93" s="126"/>
      <c r="C93" s="126"/>
      <c r="D93" s="126"/>
      <c r="H93" s="115"/>
      <c r="I93" s="115"/>
      <c r="J93" s="115"/>
      <c r="K93" s="115"/>
      <c r="L93" s="115"/>
      <c r="M93" s="115"/>
      <c r="N93" s="127"/>
      <c r="O93" s="29"/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85" t="s">
        <v>342</v>
      </c>
      <c r="B94" s="126"/>
      <c r="C94" s="126"/>
      <c r="D94" s="126"/>
      <c r="H94" s="115"/>
      <c r="I94" s="115"/>
      <c r="J94" s="115"/>
      <c r="K94" s="115"/>
      <c r="L94" s="115"/>
      <c r="M94" s="115"/>
      <c r="N94" s="127"/>
      <c r="O94" s="29"/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85" t="s">
        <v>258</v>
      </c>
      <c r="B95" s="126"/>
      <c r="C95" s="126"/>
      <c r="D95" s="126"/>
      <c r="H95" s="115"/>
      <c r="I95" s="115"/>
      <c r="J95" s="115"/>
      <c r="K95" s="115"/>
      <c r="L95" s="115"/>
      <c r="M95" s="115"/>
      <c r="N95" s="127"/>
      <c r="O95" s="29"/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85" t="s">
        <v>259</v>
      </c>
      <c r="B96" s="126"/>
      <c r="C96" s="126"/>
      <c r="D96" s="126"/>
      <c r="H96" s="115"/>
      <c r="I96" s="115"/>
      <c r="J96" s="115"/>
      <c r="K96" s="115"/>
      <c r="L96" s="115"/>
      <c r="M96" s="115"/>
      <c r="N96" s="127"/>
      <c r="O96" s="29"/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85" t="s">
        <v>260</v>
      </c>
      <c r="B97" s="126"/>
      <c r="C97" s="126"/>
      <c r="D97" s="126"/>
      <c r="H97" s="115"/>
      <c r="I97" s="115"/>
      <c r="J97" s="115"/>
      <c r="K97" s="115"/>
      <c r="L97" s="115"/>
      <c r="M97" s="115"/>
      <c r="N97" s="127"/>
      <c r="O97" s="29"/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85" t="s">
        <v>261</v>
      </c>
      <c r="B98" s="126"/>
      <c r="C98" s="126"/>
      <c r="D98" s="126"/>
      <c r="H98" s="115"/>
      <c r="I98" s="115"/>
      <c r="J98" s="115"/>
      <c r="K98" s="115"/>
      <c r="L98" s="115"/>
      <c r="M98" s="115"/>
      <c r="N98" s="127"/>
      <c r="O98" s="29"/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85" t="s">
        <v>262</v>
      </c>
      <c r="B99" s="126"/>
      <c r="C99" s="126"/>
      <c r="D99" s="126"/>
      <c r="H99" s="115"/>
      <c r="I99" s="115"/>
      <c r="J99" s="115"/>
      <c r="K99" s="115"/>
      <c r="L99" s="115"/>
      <c r="M99" s="115"/>
      <c r="N99" s="127"/>
      <c r="O99" s="29"/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85" t="s">
        <v>263</v>
      </c>
      <c r="B100" s="126"/>
      <c r="C100" s="126"/>
      <c r="D100" s="126"/>
      <c r="H100" s="115"/>
      <c r="I100" s="115"/>
      <c r="J100" s="115"/>
      <c r="K100" s="115"/>
      <c r="L100" s="115"/>
      <c r="M100" s="115"/>
      <c r="N100" s="127"/>
      <c r="O100" s="29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85" t="s">
        <v>264</v>
      </c>
      <c r="B101" s="126"/>
      <c r="C101" s="126"/>
      <c r="D101" s="126"/>
      <c r="H101" s="115"/>
      <c r="I101" s="115"/>
      <c r="J101" s="115"/>
      <c r="K101" s="115"/>
      <c r="L101" s="115"/>
      <c r="M101" s="115"/>
      <c r="N101" s="127"/>
      <c r="O101" s="29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85" t="s">
        <v>265</v>
      </c>
      <c r="B102" s="126"/>
      <c r="C102" s="126"/>
      <c r="D102" s="126"/>
      <c r="H102" s="115"/>
      <c r="I102" s="115"/>
      <c r="J102" s="115"/>
      <c r="K102" s="115"/>
      <c r="L102" s="115"/>
      <c r="M102" s="115"/>
      <c r="N102" s="127"/>
      <c r="O102" s="29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85" t="s">
        <v>266</v>
      </c>
      <c r="B103" s="126"/>
      <c r="C103" s="126"/>
      <c r="D103" s="126"/>
      <c r="H103" s="115"/>
      <c r="I103" s="115"/>
      <c r="J103" s="115"/>
      <c r="K103" s="115"/>
      <c r="L103" s="115"/>
      <c r="M103" s="115"/>
      <c r="N103" s="127"/>
      <c r="O103" s="29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85" t="s">
        <v>267</v>
      </c>
      <c r="B104" s="126"/>
      <c r="C104" s="126"/>
      <c r="D104" s="126"/>
      <c r="H104" s="115"/>
      <c r="I104" s="115"/>
      <c r="J104" s="115"/>
      <c r="K104" s="115"/>
      <c r="L104" s="115"/>
      <c r="M104" s="115"/>
      <c r="N104" s="127"/>
      <c r="O104" s="29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85" t="s">
        <v>268</v>
      </c>
      <c r="B105" s="126"/>
      <c r="C105" s="126"/>
      <c r="D105" s="126"/>
      <c r="H105" s="115"/>
      <c r="I105" s="115"/>
      <c r="J105" s="115"/>
      <c r="K105" s="115"/>
      <c r="L105" s="115"/>
      <c r="M105" s="115"/>
      <c r="N105" s="127"/>
      <c r="O105" s="29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85" t="s">
        <v>269</v>
      </c>
      <c r="B106" s="126"/>
      <c r="C106" s="126"/>
      <c r="D106" s="126"/>
      <c r="H106" s="115"/>
      <c r="I106" s="115"/>
      <c r="J106" s="115"/>
      <c r="K106" s="115"/>
      <c r="L106" s="115"/>
      <c r="M106" s="115"/>
      <c r="N106" s="127"/>
      <c r="O106" s="29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85" t="s">
        <v>344</v>
      </c>
      <c r="B107" s="126"/>
      <c r="C107" s="126"/>
      <c r="D107" s="126"/>
      <c r="H107" s="115"/>
      <c r="I107" s="115"/>
      <c r="J107" s="115"/>
      <c r="K107" s="115"/>
      <c r="L107" s="115"/>
      <c r="M107" s="115"/>
      <c r="N107" s="127"/>
      <c r="O107" s="29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85" t="s">
        <v>345</v>
      </c>
      <c r="B108" s="126"/>
      <c r="C108" s="126"/>
      <c r="D108" s="126"/>
      <c r="H108" s="115"/>
      <c r="I108" s="115"/>
      <c r="J108" s="115"/>
      <c r="K108" s="115"/>
      <c r="L108" s="115"/>
      <c r="M108" s="115"/>
      <c r="N108" s="127"/>
      <c r="O108" s="29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85" t="s">
        <v>346</v>
      </c>
      <c r="B109" s="126"/>
      <c r="C109" s="126"/>
      <c r="D109" s="126"/>
      <c r="H109" s="115"/>
      <c r="I109" s="115"/>
      <c r="J109" s="115"/>
      <c r="K109" s="115"/>
      <c r="L109" s="115"/>
      <c r="M109" s="115"/>
      <c r="N109" s="127"/>
      <c r="O109" s="29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85" t="s">
        <v>279</v>
      </c>
      <c r="B110" s="126"/>
      <c r="C110" s="126"/>
      <c r="D110" s="126"/>
      <c r="H110" s="115"/>
      <c r="I110" s="115"/>
      <c r="J110" s="115"/>
      <c r="K110" s="115"/>
      <c r="L110" s="115"/>
      <c r="M110" s="115"/>
      <c r="N110" s="127"/>
      <c r="O110" s="29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85" t="s">
        <v>319</v>
      </c>
      <c r="B111" s="126"/>
      <c r="C111" s="126"/>
      <c r="D111" s="126"/>
      <c r="H111" s="115"/>
      <c r="I111" s="115"/>
      <c r="J111" s="115"/>
      <c r="K111" s="115"/>
      <c r="L111" s="115"/>
      <c r="M111" s="115"/>
      <c r="N111" s="127"/>
      <c r="O111" s="29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85" t="s">
        <v>320</v>
      </c>
      <c r="B112" s="126"/>
      <c r="C112" s="126"/>
      <c r="D112" s="126"/>
      <c r="H112" s="115"/>
      <c r="I112" s="115"/>
      <c r="J112" s="115"/>
      <c r="K112" s="115"/>
      <c r="L112" s="115"/>
      <c r="M112" s="115"/>
      <c r="N112" s="127"/>
      <c r="O112" s="29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85" t="s">
        <v>321</v>
      </c>
      <c r="B113" s="126"/>
      <c r="C113" s="126"/>
      <c r="D113" s="126"/>
      <c r="H113" s="115"/>
      <c r="I113" s="115"/>
      <c r="J113" s="115"/>
      <c r="K113" s="115"/>
      <c r="L113" s="115"/>
      <c r="M113" s="115"/>
      <c r="N113" s="127"/>
      <c r="O113" s="29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85" t="s">
        <v>322</v>
      </c>
      <c r="B114" s="126"/>
      <c r="C114" s="126"/>
      <c r="D114" s="126"/>
      <c r="H114" s="115"/>
      <c r="I114" s="115"/>
      <c r="J114" s="115"/>
      <c r="K114" s="115"/>
      <c r="L114" s="115"/>
      <c r="M114" s="115"/>
      <c r="N114" s="127"/>
      <c r="O114" s="29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85" t="s">
        <v>280</v>
      </c>
      <c r="B115" s="126"/>
      <c r="C115" s="126"/>
      <c r="D115" s="126"/>
      <c r="H115" s="115"/>
      <c r="I115" s="115"/>
      <c r="J115" s="115"/>
      <c r="K115" s="115"/>
      <c r="L115" s="115"/>
      <c r="M115" s="115"/>
      <c r="N115" s="127"/>
      <c r="O115" s="29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85" t="s">
        <v>281</v>
      </c>
      <c r="B116" s="126"/>
      <c r="C116" s="126"/>
      <c r="D116" s="126"/>
      <c r="H116" s="115"/>
      <c r="I116" s="115"/>
      <c r="J116" s="115"/>
      <c r="K116" s="115"/>
      <c r="L116" s="115"/>
      <c r="M116" s="115"/>
      <c r="N116" s="127"/>
      <c r="O116" s="29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85" t="s">
        <v>282</v>
      </c>
      <c r="B117" s="126"/>
      <c r="C117" s="126"/>
      <c r="D117" s="126"/>
      <c r="H117" s="115"/>
      <c r="I117" s="115"/>
      <c r="J117" s="115"/>
      <c r="K117" s="115"/>
      <c r="L117" s="115"/>
      <c r="M117" s="115"/>
      <c r="N117" s="127"/>
      <c r="O117" s="29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85" t="s">
        <v>283</v>
      </c>
      <c r="B118" s="126"/>
      <c r="C118" s="126"/>
      <c r="D118" s="126"/>
      <c r="H118" s="115"/>
      <c r="I118" s="115"/>
      <c r="J118" s="115"/>
      <c r="K118" s="115"/>
      <c r="L118" s="115"/>
      <c r="M118" s="115"/>
      <c r="N118" s="127"/>
      <c r="O118" s="29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85" t="s">
        <v>284</v>
      </c>
      <c r="B119" s="126"/>
      <c r="C119" s="126"/>
      <c r="D119" s="126"/>
      <c r="H119" s="115"/>
      <c r="I119" s="115"/>
      <c r="J119" s="115"/>
      <c r="K119" s="115"/>
      <c r="L119" s="115"/>
      <c r="M119" s="115"/>
      <c r="N119" s="127"/>
      <c r="O119" s="29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85" t="s">
        <v>285</v>
      </c>
      <c r="B120" s="126"/>
      <c r="C120" s="126"/>
      <c r="D120" s="126"/>
      <c r="H120" s="115"/>
      <c r="I120" s="115"/>
      <c r="J120" s="115"/>
      <c r="K120" s="115"/>
      <c r="L120" s="115"/>
      <c r="M120" s="115"/>
      <c r="N120" s="127"/>
      <c r="O120" s="29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85" t="s">
        <v>286</v>
      </c>
      <c r="B121" s="126"/>
      <c r="C121" s="126"/>
      <c r="D121" s="126"/>
      <c r="H121" s="115"/>
      <c r="I121" s="115"/>
      <c r="J121" s="115"/>
      <c r="K121" s="115"/>
      <c r="L121" s="115"/>
      <c r="M121" s="115"/>
      <c r="N121" s="127"/>
      <c r="O121" s="29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85" t="s">
        <v>287</v>
      </c>
      <c r="B122" s="126"/>
      <c r="C122" s="126"/>
      <c r="D122" s="126"/>
      <c r="H122" s="115"/>
      <c r="I122" s="115"/>
      <c r="J122" s="115"/>
      <c r="K122" s="115"/>
      <c r="L122" s="115"/>
      <c r="M122" s="115"/>
      <c r="N122" s="127"/>
      <c r="O122" s="29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85" t="s">
        <v>291</v>
      </c>
      <c r="B123" s="126"/>
      <c r="C123" s="126"/>
      <c r="D123" s="126"/>
      <c r="H123" s="115"/>
      <c r="I123" s="115"/>
      <c r="J123" s="115"/>
      <c r="K123" s="115"/>
      <c r="L123" s="115"/>
      <c r="M123" s="115"/>
      <c r="N123" s="29"/>
      <c r="O123" s="29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85" t="s">
        <v>292</v>
      </c>
      <c r="B124" s="126"/>
      <c r="C124" s="126"/>
      <c r="D124" s="126"/>
      <c r="H124" s="115"/>
      <c r="I124" s="115"/>
      <c r="J124" s="115"/>
      <c r="K124" s="115"/>
      <c r="L124" s="115"/>
      <c r="M124" s="115"/>
      <c r="N124" s="127"/>
      <c r="O124" s="29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85" t="s">
        <v>294</v>
      </c>
      <c r="B125" s="126"/>
      <c r="C125" s="126"/>
      <c r="D125" s="126"/>
      <c r="H125" s="115"/>
      <c r="I125" s="115"/>
      <c r="J125" s="115"/>
      <c r="K125" s="115"/>
      <c r="L125" s="115"/>
      <c r="M125" s="115"/>
      <c r="N125" s="127"/>
      <c r="O125" s="29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85" t="s">
        <v>295</v>
      </c>
      <c r="B126" s="126"/>
      <c r="C126" s="126"/>
      <c r="D126" s="126"/>
      <c r="H126" s="115"/>
      <c r="I126" s="115"/>
      <c r="J126" s="115"/>
      <c r="K126" s="115"/>
      <c r="L126" s="115"/>
      <c r="M126" s="115"/>
      <c r="N126" s="127"/>
      <c r="O126" s="29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85" t="s">
        <v>296</v>
      </c>
      <c r="B127" s="126"/>
      <c r="C127" s="126"/>
      <c r="D127" s="126"/>
      <c r="H127" s="115"/>
      <c r="I127" s="115"/>
      <c r="J127" s="115"/>
      <c r="K127" s="115"/>
      <c r="L127" s="115"/>
      <c r="M127" s="115"/>
      <c r="N127" s="127"/>
      <c r="O127" s="29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85" t="s">
        <v>297</v>
      </c>
      <c r="B128" s="126"/>
      <c r="C128" s="126"/>
      <c r="D128" s="126"/>
      <c r="H128" s="115"/>
      <c r="I128" s="115"/>
      <c r="J128" s="115"/>
      <c r="K128" s="115"/>
      <c r="L128" s="115"/>
      <c r="M128" s="115"/>
      <c r="N128" s="127"/>
      <c r="O128" s="29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85" t="s">
        <v>298</v>
      </c>
      <c r="B129" s="126"/>
      <c r="C129" s="126"/>
      <c r="D129" s="126"/>
      <c r="H129" s="115"/>
      <c r="I129" s="115"/>
      <c r="J129" s="115"/>
      <c r="K129" s="115"/>
      <c r="L129" s="115"/>
      <c r="M129" s="115"/>
      <c r="N129" s="127"/>
      <c r="O129" s="29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85" t="s">
        <v>299</v>
      </c>
      <c r="B130" s="126"/>
      <c r="C130" s="126"/>
      <c r="D130" s="126"/>
      <c r="H130" s="115"/>
      <c r="I130" s="115"/>
      <c r="J130" s="115"/>
      <c r="K130" s="115"/>
      <c r="L130" s="115"/>
      <c r="M130" s="115"/>
      <c r="N130" s="29"/>
      <c r="O130" s="29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85" t="s">
        <v>293</v>
      </c>
      <c r="B131" s="126"/>
      <c r="C131" s="126"/>
      <c r="D131" s="126"/>
      <c r="H131" s="115"/>
      <c r="I131" s="115"/>
      <c r="J131" s="115"/>
      <c r="K131" s="115"/>
      <c r="L131" s="115"/>
      <c r="M131" s="115"/>
      <c r="N131" s="127"/>
      <c r="O131" s="29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85" t="s">
        <v>300</v>
      </c>
      <c r="B132" s="126"/>
      <c r="C132" s="126"/>
      <c r="D132" s="126"/>
      <c r="H132" s="115"/>
      <c r="I132" s="115"/>
      <c r="J132" s="115"/>
      <c r="K132" s="115"/>
      <c r="L132" s="115"/>
      <c r="M132" s="115"/>
      <c r="N132" s="127"/>
      <c r="O132" s="29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85" t="s">
        <v>301</v>
      </c>
      <c r="B133" s="126"/>
      <c r="C133" s="126"/>
      <c r="D133" s="126"/>
      <c r="H133" s="115"/>
      <c r="I133" s="115"/>
      <c r="J133" s="115"/>
      <c r="K133" s="115"/>
      <c r="L133" s="115"/>
      <c r="M133" s="115"/>
      <c r="N133" s="127"/>
      <c r="O133" s="29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85" t="s">
        <v>302</v>
      </c>
      <c r="B134" s="126"/>
      <c r="C134" s="126"/>
      <c r="D134" s="126"/>
      <c r="H134" s="115"/>
      <c r="I134" s="115"/>
      <c r="J134" s="115"/>
      <c r="K134" s="115"/>
      <c r="L134" s="115"/>
      <c r="M134" s="115"/>
      <c r="N134" s="127"/>
      <c r="O134" s="29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85" t="s">
        <v>323</v>
      </c>
      <c r="B135" s="126"/>
      <c r="C135" s="126"/>
      <c r="D135" s="126"/>
      <c r="H135" s="115"/>
      <c r="I135" s="115"/>
      <c r="J135" s="115"/>
      <c r="K135" s="115"/>
      <c r="L135" s="115"/>
      <c r="M135" s="115"/>
      <c r="N135" s="127"/>
      <c r="O135" s="29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85" t="s">
        <v>324</v>
      </c>
      <c r="B136" s="126"/>
      <c r="C136" s="126"/>
      <c r="D136" s="126"/>
      <c r="H136" s="115"/>
      <c r="I136" s="115"/>
      <c r="J136" s="115"/>
      <c r="K136" s="115"/>
      <c r="L136" s="115"/>
      <c r="M136" s="115"/>
      <c r="N136" s="127"/>
      <c r="O136" s="29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85" t="s">
        <v>325</v>
      </c>
      <c r="B137" s="126"/>
      <c r="C137" s="126"/>
      <c r="D137" s="126"/>
      <c r="H137" s="115"/>
      <c r="I137" s="115"/>
      <c r="J137" s="115"/>
      <c r="K137" s="115"/>
      <c r="L137" s="115"/>
      <c r="M137" s="115"/>
      <c r="N137" s="127"/>
      <c r="O137" s="29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85" t="s">
        <v>326</v>
      </c>
      <c r="B138" s="126"/>
      <c r="C138" s="126"/>
      <c r="D138" s="126"/>
      <c r="H138" s="115"/>
      <c r="I138" s="115"/>
      <c r="J138" s="115"/>
      <c r="K138" s="115"/>
      <c r="L138" s="115"/>
      <c r="M138" s="115"/>
      <c r="N138" s="127"/>
      <c r="O138" s="29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85" t="s">
        <v>328</v>
      </c>
      <c r="B139" s="126"/>
      <c r="C139" s="126"/>
      <c r="D139" s="126"/>
      <c r="H139" s="115"/>
      <c r="I139" s="115"/>
      <c r="J139" s="115"/>
      <c r="K139" s="115"/>
      <c r="L139" s="115"/>
      <c r="M139" s="115"/>
      <c r="N139" s="127"/>
      <c r="O139" s="29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85" t="s">
        <v>329</v>
      </c>
      <c r="B140" s="126"/>
      <c r="C140" s="126"/>
      <c r="D140" s="126"/>
      <c r="H140" s="115"/>
      <c r="I140" s="115"/>
      <c r="J140" s="115"/>
      <c r="K140" s="115"/>
      <c r="L140" s="115"/>
      <c r="M140" s="115"/>
      <c r="N140" s="127"/>
      <c r="O140" s="29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85" t="s">
        <v>330</v>
      </c>
      <c r="B141" s="126"/>
      <c r="C141" s="126"/>
      <c r="D141" s="126"/>
      <c r="H141" s="115"/>
      <c r="I141" s="115"/>
      <c r="J141" s="115"/>
      <c r="K141" s="115"/>
      <c r="L141" s="115"/>
      <c r="M141" s="115"/>
      <c r="N141" s="29"/>
      <c r="O141" s="29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85" t="s">
        <v>331</v>
      </c>
      <c r="B142" s="126"/>
      <c r="C142" s="126"/>
      <c r="D142" s="126"/>
      <c r="H142" s="115"/>
      <c r="I142" s="115"/>
      <c r="J142" s="115"/>
      <c r="K142" s="115"/>
      <c r="L142" s="115"/>
      <c r="M142" s="115"/>
      <c r="N142" s="127"/>
      <c r="O142" s="29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85" t="s">
        <v>332</v>
      </c>
      <c r="B143" s="126"/>
      <c r="C143" s="126"/>
      <c r="D143" s="126"/>
      <c r="H143" s="115"/>
      <c r="I143" s="115"/>
      <c r="J143" s="115"/>
      <c r="K143" s="115"/>
      <c r="L143" s="115"/>
      <c r="M143" s="115"/>
      <c r="N143" s="127"/>
      <c r="O143" s="29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85" t="s">
        <v>333</v>
      </c>
      <c r="B144" s="126"/>
      <c r="C144" s="126"/>
      <c r="D144" s="126"/>
      <c r="H144" s="115"/>
      <c r="I144" s="115"/>
      <c r="J144" s="115"/>
      <c r="K144" s="115"/>
      <c r="L144" s="115"/>
      <c r="M144" s="115"/>
      <c r="N144" s="127"/>
      <c r="O144" s="29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85" t="s">
        <v>347</v>
      </c>
      <c r="B145" s="126"/>
      <c r="C145" s="126"/>
      <c r="D145" s="126"/>
      <c r="H145" s="115"/>
      <c r="I145" s="115"/>
      <c r="J145" s="115"/>
      <c r="K145" s="115"/>
      <c r="L145" s="115"/>
      <c r="M145" s="115"/>
      <c r="N145" s="127"/>
      <c r="O145" s="29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85" t="s">
        <v>348</v>
      </c>
      <c r="B146" s="126"/>
      <c r="C146" s="126"/>
      <c r="D146" s="126"/>
      <c r="H146" s="115"/>
      <c r="I146" s="115"/>
      <c r="J146" s="115"/>
      <c r="K146" s="115"/>
      <c r="L146" s="115"/>
      <c r="M146" s="115"/>
      <c r="N146" s="29"/>
      <c r="O146" s="29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85" t="s">
        <v>349</v>
      </c>
      <c r="B147" s="126"/>
      <c r="C147" s="126"/>
      <c r="D147" s="126"/>
      <c r="H147" s="115"/>
      <c r="I147" s="115"/>
      <c r="J147" s="115"/>
      <c r="K147" s="115"/>
      <c r="L147" s="115"/>
      <c r="M147" s="115"/>
      <c r="N147" s="127"/>
      <c r="O147" s="29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85" t="s">
        <v>350</v>
      </c>
      <c r="B148" s="126"/>
      <c r="C148" s="126"/>
      <c r="D148" s="126"/>
      <c r="H148" s="115"/>
      <c r="I148" s="115"/>
      <c r="J148" s="115"/>
      <c r="K148" s="115"/>
      <c r="L148" s="115"/>
      <c r="M148" s="115"/>
      <c r="N148" s="29"/>
      <c r="O148" s="29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85" t="s">
        <v>351</v>
      </c>
      <c r="B149" s="126"/>
      <c r="C149" s="126"/>
      <c r="D149" s="126"/>
      <c r="H149" s="115"/>
      <c r="I149" s="115"/>
      <c r="J149" s="115"/>
      <c r="K149" s="115"/>
      <c r="L149" s="115"/>
      <c r="M149" s="115"/>
      <c r="N149" s="127"/>
      <c r="O149" s="29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85" t="s">
        <v>354</v>
      </c>
      <c r="B150" s="126"/>
      <c r="C150" s="126"/>
      <c r="D150" s="126"/>
      <c r="H150" s="115"/>
      <c r="I150" s="115"/>
      <c r="J150" s="115"/>
      <c r="K150" s="115"/>
      <c r="L150" s="115"/>
      <c r="M150" s="115"/>
      <c r="N150" s="127"/>
      <c r="O150" s="29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85" t="s">
        <v>356</v>
      </c>
      <c r="B151" s="126"/>
      <c r="C151" s="126"/>
      <c r="D151" s="126"/>
      <c r="H151" s="115"/>
      <c r="I151" s="115"/>
      <c r="J151" s="115"/>
      <c r="K151" s="115"/>
      <c r="L151" s="115"/>
      <c r="M151" s="115"/>
      <c r="N151" s="29"/>
      <c r="O151" s="29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85" t="s">
        <v>357</v>
      </c>
      <c r="B152" s="126"/>
      <c r="C152" s="126"/>
      <c r="D152" s="126"/>
      <c r="H152" s="115"/>
      <c r="I152" s="115"/>
      <c r="J152" s="115"/>
      <c r="K152" s="115"/>
      <c r="L152" s="115"/>
      <c r="M152" s="115"/>
      <c r="N152" s="127"/>
      <c r="O152" s="29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85" t="s">
        <v>358</v>
      </c>
      <c r="B153" s="126"/>
      <c r="C153" s="126"/>
      <c r="D153" s="126"/>
      <c r="H153" s="115"/>
      <c r="I153" s="115"/>
      <c r="J153" s="115"/>
      <c r="K153" s="115"/>
      <c r="L153" s="115"/>
      <c r="M153" s="115"/>
      <c r="N153" s="127"/>
      <c r="O153" s="29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85" t="s">
        <v>359</v>
      </c>
      <c r="B154" s="126"/>
      <c r="C154" s="126"/>
      <c r="D154" s="126"/>
      <c r="H154" s="115"/>
      <c r="I154" s="115"/>
      <c r="J154" s="115"/>
      <c r="K154" s="115"/>
      <c r="L154" s="115"/>
      <c r="M154" s="115"/>
      <c r="N154" s="127"/>
      <c r="O154" s="29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85" t="s">
        <v>360</v>
      </c>
      <c r="B155" s="126"/>
      <c r="C155" s="126"/>
      <c r="D155" s="126"/>
      <c r="H155" s="115"/>
      <c r="I155" s="115"/>
      <c r="J155" s="115"/>
      <c r="K155" s="115"/>
      <c r="L155" s="115"/>
      <c r="M155" s="115"/>
      <c r="N155" s="127"/>
      <c r="O155" s="29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85" t="s">
        <v>363</v>
      </c>
      <c r="B156" s="126"/>
      <c r="C156" s="126"/>
      <c r="D156" s="126"/>
      <c r="H156" s="115"/>
      <c r="I156" s="115"/>
      <c r="J156" s="115"/>
      <c r="K156" s="115"/>
      <c r="L156" s="115"/>
      <c r="M156" s="115"/>
      <c r="N156" s="127"/>
      <c r="O156" s="29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85" t="s">
        <v>361</v>
      </c>
      <c r="B157" s="126"/>
      <c r="C157" s="126"/>
      <c r="D157" s="126"/>
      <c r="H157" s="115"/>
      <c r="I157" s="115"/>
      <c r="J157" s="115"/>
      <c r="K157" s="115"/>
      <c r="L157" s="115"/>
      <c r="M157" s="115"/>
      <c r="N157" s="127"/>
      <c r="O157" s="29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85" t="s">
        <v>362</v>
      </c>
      <c r="B158" s="126"/>
      <c r="C158" s="126"/>
      <c r="D158" s="126"/>
      <c r="H158" s="115"/>
      <c r="I158" s="115"/>
      <c r="J158" s="115"/>
      <c r="K158" s="115"/>
      <c r="L158" s="115"/>
      <c r="M158" s="115"/>
      <c r="N158" s="127"/>
      <c r="O158" s="29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85"/>
      <c r="B159" s="126"/>
      <c r="C159" s="126"/>
      <c r="D159" s="126"/>
      <c r="H159" s="115"/>
      <c r="I159" s="115"/>
      <c r="J159" s="115"/>
      <c r="K159" s="115"/>
      <c r="L159" s="115"/>
      <c r="M159" s="115"/>
      <c r="N159" s="127"/>
      <c r="O159" s="29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85"/>
      <c r="B160" s="126"/>
      <c r="C160" s="126"/>
      <c r="D160" s="126"/>
      <c r="H160" s="115"/>
      <c r="I160" s="115"/>
      <c r="J160" s="115"/>
      <c r="K160" s="115"/>
      <c r="L160" s="115"/>
      <c r="M160" s="115"/>
      <c r="N160" s="29"/>
      <c r="O160" s="29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85"/>
      <c r="B161" s="126"/>
      <c r="C161" s="126"/>
      <c r="D161" s="126"/>
      <c r="H161" s="115"/>
      <c r="I161" s="115"/>
      <c r="J161" s="115"/>
      <c r="K161" s="115"/>
      <c r="L161" s="115"/>
      <c r="M161" s="115"/>
      <c r="N161" s="127"/>
      <c r="O161" s="29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86"/>
      <c r="B162" s="126"/>
      <c r="C162" s="126"/>
      <c r="D162" s="126"/>
      <c r="H162" s="115"/>
      <c r="I162" s="115"/>
      <c r="J162" s="115"/>
      <c r="K162" s="115"/>
      <c r="L162" s="115"/>
      <c r="M162" s="115"/>
      <c r="N162" s="127"/>
      <c r="O162" s="29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86"/>
      <c r="B163" s="126"/>
      <c r="C163" s="126"/>
      <c r="D163" s="126"/>
      <c r="H163" s="115"/>
      <c r="I163" s="115"/>
      <c r="J163" s="115"/>
      <c r="K163" s="115"/>
      <c r="L163" s="115"/>
      <c r="M163" s="115"/>
      <c r="N163" s="127"/>
      <c r="O163" s="29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86"/>
      <c r="B164" s="126"/>
      <c r="C164" s="126"/>
      <c r="D164" s="126"/>
      <c r="H164" s="115"/>
      <c r="I164" s="115"/>
      <c r="J164" s="115"/>
      <c r="K164" s="115"/>
      <c r="L164" s="115"/>
      <c r="M164" s="115"/>
      <c r="N164" s="29"/>
      <c r="O164" s="29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86"/>
      <c r="B165" s="126"/>
      <c r="C165" s="126"/>
      <c r="D165" s="126"/>
      <c r="H165" s="115"/>
      <c r="I165" s="115"/>
      <c r="J165" s="115"/>
      <c r="K165" s="115"/>
      <c r="L165" s="115"/>
      <c r="M165" s="115"/>
      <c r="N165" s="127"/>
      <c r="O165" s="29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86"/>
      <c r="B166" s="126"/>
      <c r="C166" s="126"/>
      <c r="D166" s="126"/>
      <c r="H166" s="115"/>
      <c r="I166" s="115"/>
      <c r="J166" s="115"/>
      <c r="K166" s="115"/>
      <c r="L166" s="115"/>
      <c r="M166" s="115"/>
      <c r="N166" s="29"/>
      <c r="O166" s="29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86"/>
      <c r="B167" s="126"/>
      <c r="C167" s="126"/>
      <c r="D167" s="126"/>
      <c r="H167" s="115"/>
      <c r="I167" s="115"/>
      <c r="J167" s="115"/>
      <c r="K167" s="115"/>
      <c r="L167" s="115"/>
      <c r="M167" s="115"/>
      <c r="N167" s="127"/>
      <c r="O167" s="29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86"/>
      <c r="B168" s="126"/>
      <c r="C168" s="126"/>
      <c r="D168" s="126"/>
      <c r="H168" s="115"/>
      <c r="I168" s="115"/>
      <c r="J168" s="115"/>
      <c r="K168" s="115"/>
      <c r="L168" s="115"/>
      <c r="M168" s="115"/>
      <c r="N168" s="127"/>
      <c r="O168" s="127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86"/>
      <c r="B169" s="126"/>
      <c r="C169" s="126"/>
      <c r="D169" s="126"/>
      <c r="H169" s="115"/>
      <c r="I169" s="115"/>
      <c r="J169" s="115"/>
      <c r="K169" s="115"/>
      <c r="L169" s="115"/>
      <c r="M169" s="115"/>
      <c r="N169" s="127"/>
      <c r="O169" s="127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86"/>
      <c r="B170" s="126"/>
      <c r="C170" s="126"/>
      <c r="D170" s="126"/>
      <c r="H170" s="115"/>
      <c r="I170" s="115"/>
      <c r="J170" s="115"/>
      <c r="K170" s="115"/>
      <c r="L170" s="115"/>
      <c r="M170" s="115"/>
      <c r="N170" s="127"/>
      <c r="O170" s="29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86"/>
      <c r="B171" s="126"/>
      <c r="C171" s="126"/>
      <c r="D171" s="126"/>
      <c r="H171" s="115"/>
      <c r="I171" s="115"/>
      <c r="J171" s="115"/>
      <c r="K171" s="115"/>
      <c r="L171" s="115"/>
      <c r="M171" s="115"/>
      <c r="N171" s="127"/>
      <c r="O171" s="29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86"/>
      <c r="B172" s="126"/>
      <c r="C172" s="126"/>
      <c r="D172" s="126"/>
      <c r="H172" s="115"/>
      <c r="I172" s="115"/>
      <c r="J172" s="115"/>
      <c r="K172" s="115"/>
      <c r="L172" s="115"/>
      <c r="M172" s="115"/>
      <c r="N172" s="127"/>
      <c r="O172" s="29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86"/>
      <c r="B173" s="126"/>
      <c r="C173" s="126"/>
      <c r="D173" s="126"/>
      <c r="H173" s="115"/>
      <c r="I173" s="115"/>
      <c r="J173" s="115"/>
      <c r="K173" s="115"/>
      <c r="L173" s="115"/>
      <c r="M173" s="115"/>
      <c r="N173" s="127"/>
      <c r="O173" s="29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86"/>
      <c r="B174" s="126"/>
      <c r="C174" s="126"/>
      <c r="D174" s="126"/>
      <c r="H174" s="115"/>
      <c r="I174" s="115"/>
      <c r="J174" s="115"/>
      <c r="K174" s="115"/>
      <c r="L174" s="115"/>
      <c r="M174" s="115"/>
      <c r="N174" s="127"/>
      <c r="O174" s="29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86"/>
      <c r="B175" s="126"/>
      <c r="C175" s="126"/>
      <c r="D175" s="126"/>
      <c r="H175" s="115"/>
      <c r="I175" s="115"/>
      <c r="J175" s="115"/>
      <c r="K175" s="115"/>
      <c r="L175" s="115"/>
      <c r="M175" s="115"/>
      <c r="N175" s="127"/>
      <c r="O175" s="29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86"/>
      <c r="B176" s="126"/>
      <c r="C176" s="126"/>
      <c r="D176" s="126"/>
      <c r="H176" s="115"/>
      <c r="I176" s="115"/>
      <c r="J176" s="115"/>
      <c r="K176" s="115"/>
      <c r="L176" s="115"/>
      <c r="M176" s="115"/>
      <c r="N176" s="127"/>
      <c r="O176" s="29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86"/>
      <c r="B177" s="126"/>
      <c r="C177" s="126"/>
      <c r="D177" s="126"/>
      <c r="H177" s="115"/>
      <c r="I177" s="115"/>
      <c r="J177" s="115"/>
      <c r="K177" s="115"/>
      <c r="L177" s="115"/>
      <c r="M177" s="115"/>
      <c r="N177" s="127"/>
      <c r="O177" s="29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86"/>
      <c r="B178" s="126"/>
      <c r="C178" s="126"/>
      <c r="D178" s="126"/>
      <c r="H178" s="115"/>
      <c r="I178" s="115"/>
      <c r="J178" s="115"/>
      <c r="K178" s="115"/>
      <c r="L178" s="115"/>
      <c r="M178" s="115"/>
      <c r="N178" s="127"/>
      <c r="O178" s="29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86"/>
      <c r="B179" s="126"/>
      <c r="C179" s="126"/>
      <c r="D179" s="126"/>
      <c r="H179" s="115"/>
      <c r="I179" s="115"/>
      <c r="J179" s="115"/>
      <c r="K179" s="115"/>
      <c r="L179" s="115"/>
      <c r="M179" s="115"/>
      <c r="N179" s="29"/>
      <c r="O179" s="29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86"/>
      <c r="B180" s="126"/>
      <c r="C180" s="126"/>
      <c r="D180" s="126"/>
      <c r="H180" s="115"/>
      <c r="I180" s="115"/>
      <c r="J180" s="115"/>
      <c r="K180" s="115"/>
      <c r="L180" s="115"/>
      <c r="M180" s="115"/>
      <c r="N180" s="127"/>
      <c r="O180" s="29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86"/>
      <c r="B181" s="126"/>
      <c r="C181" s="126"/>
      <c r="D181" s="126"/>
      <c r="H181" s="115"/>
      <c r="I181" s="115"/>
      <c r="J181" s="115"/>
      <c r="K181" s="115"/>
      <c r="L181" s="115"/>
      <c r="M181" s="115"/>
      <c r="N181" s="29"/>
      <c r="O181" s="29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86"/>
      <c r="B182" s="126"/>
      <c r="C182" s="126"/>
      <c r="D182" s="126"/>
      <c r="H182" s="115"/>
      <c r="I182" s="115"/>
      <c r="J182" s="115"/>
      <c r="K182" s="115"/>
      <c r="L182" s="115"/>
      <c r="M182" s="115"/>
      <c r="N182" s="127"/>
      <c r="O182" s="29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86"/>
      <c r="B183" s="126"/>
      <c r="C183" s="126"/>
      <c r="D183" s="126"/>
      <c r="H183" s="115"/>
      <c r="I183" s="115"/>
      <c r="J183" s="115"/>
      <c r="K183" s="115"/>
      <c r="L183" s="115"/>
      <c r="M183" s="115"/>
      <c r="N183" s="127"/>
      <c r="O183" s="29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25"/>
      <c r="B184" s="126"/>
      <c r="C184" s="126"/>
      <c r="D184" s="126"/>
      <c r="H184" s="115"/>
      <c r="I184" s="115"/>
      <c r="J184" s="115"/>
      <c r="K184" s="115"/>
      <c r="L184" s="115"/>
      <c r="M184" s="115"/>
      <c r="N184" s="127"/>
      <c r="O184" s="29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25"/>
      <c r="B185" s="126"/>
      <c r="C185" s="126"/>
      <c r="D185" s="126"/>
      <c r="H185" s="115"/>
      <c r="I185" s="115"/>
      <c r="J185" s="115"/>
      <c r="K185" s="115"/>
      <c r="L185" s="115"/>
      <c r="M185" s="115"/>
      <c r="N185" s="127"/>
      <c r="O185" s="29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25"/>
      <c r="B186" s="126"/>
      <c r="C186" s="126"/>
      <c r="D186" s="126"/>
      <c r="H186" s="115"/>
      <c r="I186" s="115"/>
      <c r="J186" s="115"/>
      <c r="K186" s="115"/>
      <c r="L186" s="115"/>
      <c r="M186" s="115"/>
      <c r="N186" s="29"/>
      <c r="O186" s="29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25"/>
      <c r="B187" s="126"/>
      <c r="C187" s="126"/>
      <c r="D187" s="126"/>
      <c r="H187" s="115"/>
      <c r="I187" s="115"/>
      <c r="J187" s="115"/>
      <c r="K187" s="115"/>
      <c r="L187" s="115"/>
      <c r="M187" s="115"/>
      <c r="N187" s="127"/>
      <c r="O187" s="29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25"/>
      <c r="B188" s="126"/>
      <c r="C188" s="126"/>
      <c r="D188" s="126"/>
      <c r="H188" s="115"/>
      <c r="I188" s="115"/>
      <c r="J188" s="115"/>
      <c r="K188" s="115"/>
      <c r="L188" s="115"/>
      <c r="M188" s="115"/>
      <c r="N188" s="29"/>
      <c r="O188" s="29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25"/>
      <c r="B189" s="126"/>
      <c r="C189" s="126"/>
      <c r="D189" s="126"/>
      <c r="H189" s="115"/>
      <c r="I189" s="115"/>
      <c r="J189" s="115"/>
      <c r="K189" s="115"/>
      <c r="L189" s="115"/>
      <c r="M189" s="115"/>
      <c r="N189" s="127"/>
      <c r="O189" s="29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25"/>
      <c r="B190" s="126"/>
      <c r="C190" s="126"/>
      <c r="D190" s="126"/>
      <c r="H190" s="115"/>
      <c r="I190" s="115"/>
      <c r="J190" s="115"/>
      <c r="K190" s="115"/>
      <c r="L190" s="115"/>
      <c r="M190" s="115"/>
      <c r="N190" s="29"/>
      <c r="O190" s="29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25"/>
      <c r="B191" s="126"/>
      <c r="C191" s="126"/>
      <c r="D191" s="126"/>
      <c r="H191" s="115"/>
      <c r="I191" s="115"/>
      <c r="J191" s="115"/>
      <c r="K191" s="115"/>
      <c r="L191" s="115"/>
      <c r="M191" s="115"/>
      <c r="N191" s="127"/>
      <c r="O191" s="29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25"/>
      <c r="B192" s="126"/>
      <c r="C192" s="126"/>
      <c r="D192" s="126"/>
      <c r="H192" s="115"/>
      <c r="I192" s="115"/>
      <c r="J192" s="115"/>
      <c r="K192" s="115"/>
      <c r="L192" s="115"/>
      <c r="M192" s="115"/>
      <c r="N192" s="127"/>
      <c r="O192" s="127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25"/>
      <c r="B193" s="126"/>
      <c r="C193" s="126"/>
      <c r="D193" s="126"/>
      <c r="H193" s="115"/>
      <c r="I193" s="115"/>
      <c r="J193" s="115"/>
      <c r="K193" s="115"/>
      <c r="L193" s="115"/>
      <c r="M193" s="115"/>
      <c r="N193" s="127"/>
      <c r="O193" s="127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25"/>
      <c r="B194" s="126"/>
      <c r="C194" s="126"/>
      <c r="D194" s="126"/>
      <c r="H194" s="115"/>
      <c r="I194" s="115"/>
      <c r="J194" s="115"/>
      <c r="K194" s="115"/>
      <c r="L194" s="115"/>
      <c r="M194" s="115"/>
      <c r="N194" s="127"/>
      <c r="O194" s="29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25"/>
      <c r="B195" s="126"/>
      <c r="C195" s="126"/>
      <c r="D195" s="126"/>
      <c r="H195" s="115"/>
      <c r="I195" s="115"/>
      <c r="J195" s="115"/>
      <c r="K195" s="115"/>
      <c r="L195" s="115"/>
      <c r="M195" s="115"/>
      <c r="N195" s="29"/>
      <c r="O195" s="29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25"/>
      <c r="B196" s="126"/>
      <c r="C196" s="126"/>
      <c r="D196" s="126"/>
      <c r="H196" s="115"/>
      <c r="I196" s="115"/>
      <c r="J196" s="115"/>
      <c r="K196" s="115"/>
      <c r="L196" s="115"/>
      <c r="M196" s="115"/>
      <c r="N196" s="29"/>
      <c r="O196" s="29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25"/>
      <c r="B197" s="126"/>
      <c r="C197" s="126"/>
      <c r="D197" s="126"/>
      <c r="H197" s="115"/>
      <c r="I197" s="115"/>
      <c r="J197" s="115"/>
      <c r="K197" s="115"/>
      <c r="L197" s="115"/>
      <c r="M197" s="115"/>
      <c r="N197" s="127"/>
      <c r="O197" s="29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25"/>
      <c r="B198" s="126"/>
      <c r="C198" s="126"/>
      <c r="D198" s="126"/>
      <c r="H198" s="115"/>
      <c r="I198" s="115"/>
      <c r="J198" s="115"/>
      <c r="K198" s="115"/>
      <c r="L198" s="115"/>
      <c r="M198" s="115"/>
      <c r="N198" s="29"/>
      <c r="O198" s="29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25"/>
      <c r="B199" s="126"/>
      <c r="C199" s="126"/>
      <c r="D199" s="126"/>
      <c r="H199" s="115"/>
      <c r="I199" s="115"/>
      <c r="J199" s="115"/>
      <c r="K199" s="115"/>
      <c r="L199" s="115"/>
      <c r="M199" s="115"/>
      <c r="N199" s="127"/>
      <c r="O199" s="29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25"/>
      <c r="B200" s="126"/>
      <c r="C200" s="126"/>
      <c r="D200" s="126"/>
      <c r="H200" s="115"/>
      <c r="I200" s="115"/>
      <c r="J200" s="115"/>
      <c r="K200" s="115"/>
      <c r="L200" s="115"/>
      <c r="M200" s="115"/>
      <c r="N200" s="127"/>
      <c r="O200" s="29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25"/>
      <c r="B201" s="126"/>
      <c r="C201" s="126"/>
      <c r="D201" s="126"/>
      <c r="H201" s="115"/>
      <c r="I201" s="115"/>
      <c r="J201" s="115"/>
      <c r="K201" s="115"/>
      <c r="L201" s="115"/>
      <c r="M201" s="115"/>
      <c r="N201" s="127"/>
      <c r="O201" s="29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25"/>
      <c r="B202" s="126"/>
      <c r="C202" s="126"/>
      <c r="D202" s="126"/>
      <c r="H202" s="115"/>
      <c r="I202" s="115"/>
      <c r="J202" s="115"/>
      <c r="K202" s="115"/>
      <c r="L202" s="115"/>
      <c r="M202" s="115"/>
      <c r="N202" s="127"/>
      <c r="O202" s="29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25"/>
      <c r="B203" s="126"/>
      <c r="C203" s="126"/>
      <c r="D203" s="126"/>
      <c r="H203" s="115"/>
      <c r="I203" s="115"/>
      <c r="J203" s="115"/>
      <c r="K203" s="115"/>
      <c r="L203" s="115"/>
      <c r="M203" s="115"/>
      <c r="N203" s="29"/>
      <c r="O203" s="29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25"/>
      <c r="B204" s="126"/>
      <c r="C204" s="126"/>
      <c r="D204" s="126"/>
      <c r="H204" s="115"/>
      <c r="I204" s="115"/>
      <c r="J204" s="115"/>
      <c r="K204" s="115"/>
      <c r="L204" s="115"/>
      <c r="M204" s="115"/>
      <c r="N204" s="127"/>
      <c r="O204" s="29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25"/>
      <c r="B205" s="126"/>
      <c r="C205" s="126"/>
      <c r="D205" s="126"/>
      <c r="H205" s="115"/>
      <c r="I205" s="115"/>
      <c r="J205" s="115"/>
      <c r="K205" s="115"/>
      <c r="L205" s="115"/>
      <c r="M205" s="115"/>
      <c r="N205" s="127"/>
      <c r="O205" s="29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25"/>
      <c r="B206" s="126"/>
      <c r="C206" s="126"/>
      <c r="D206" s="126"/>
      <c r="H206" s="115"/>
      <c r="I206" s="115"/>
      <c r="J206" s="115"/>
      <c r="K206" s="115"/>
      <c r="L206" s="115"/>
      <c r="M206" s="115"/>
      <c r="N206" s="127"/>
      <c r="O206" s="29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25"/>
      <c r="B207" s="126"/>
      <c r="C207" s="126"/>
      <c r="D207" s="126"/>
      <c r="H207" s="115"/>
      <c r="I207" s="115"/>
      <c r="J207" s="115"/>
      <c r="K207" s="115"/>
      <c r="L207" s="115"/>
      <c r="M207" s="115"/>
      <c r="N207" s="127"/>
      <c r="O207" s="29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25"/>
      <c r="B208" s="126"/>
      <c r="C208" s="126"/>
      <c r="D208" s="126"/>
      <c r="H208" s="115"/>
      <c r="I208" s="115"/>
      <c r="J208" s="115"/>
      <c r="K208" s="115"/>
      <c r="L208" s="115"/>
      <c r="M208" s="115"/>
      <c r="N208" s="127"/>
      <c r="O208" s="29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25"/>
      <c r="B209" s="126"/>
      <c r="C209" s="126"/>
      <c r="D209" s="126"/>
      <c r="H209" s="115"/>
      <c r="I209" s="115"/>
      <c r="J209" s="115"/>
      <c r="K209" s="115"/>
      <c r="L209" s="115"/>
      <c r="M209" s="115"/>
      <c r="N209" s="29"/>
      <c r="O209" s="29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25"/>
      <c r="B210" s="126"/>
      <c r="C210" s="126"/>
      <c r="D210" s="126"/>
      <c r="H210" s="115"/>
      <c r="I210" s="115"/>
      <c r="J210" s="115"/>
      <c r="K210" s="115"/>
      <c r="L210" s="115"/>
      <c r="M210" s="115"/>
      <c r="N210" s="127"/>
      <c r="O210" s="29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25"/>
      <c r="B211" s="126"/>
      <c r="C211" s="126"/>
      <c r="D211" s="126"/>
      <c r="H211" s="115"/>
      <c r="I211" s="115"/>
      <c r="J211" s="115"/>
      <c r="K211" s="115"/>
      <c r="L211" s="115"/>
      <c r="M211" s="115"/>
      <c r="N211" s="29"/>
      <c r="O211" s="29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25"/>
      <c r="B212" s="126"/>
      <c r="C212" s="126"/>
      <c r="D212" s="126"/>
      <c r="H212" s="115"/>
      <c r="I212" s="115"/>
      <c r="J212" s="115"/>
      <c r="K212" s="115"/>
      <c r="L212" s="115"/>
      <c r="M212" s="115"/>
      <c r="N212" s="29"/>
      <c r="O212" s="29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25"/>
      <c r="B213" s="126"/>
      <c r="C213" s="126"/>
      <c r="D213" s="126"/>
      <c r="H213" s="115"/>
      <c r="I213" s="115"/>
      <c r="J213" s="115"/>
      <c r="K213" s="115"/>
      <c r="L213" s="115"/>
      <c r="M213" s="115"/>
      <c r="N213" s="127"/>
      <c r="O213" s="29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25"/>
      <c r="B214" s="126"/>
      <c r="C214" s="126"/>
      <c r="D214" s="126"/>
      <c r="H214" s="115"/>
      <c r="I214" s="115"/>
      <c r="J214" s="115"/>
      <c r="K214" s="115"/>
      <c r="L214" s="115"/>
      <c r="M214" s="115"/>
      <c r="N214" s="127"/>
      <c r="O214" s="29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25"/>
      <c r="B215" s="126"/>
      <c r="C215" s="126"/>
      <c r="D215" s="126"/>
      <c r="H215" s="115"/>
      <c r="I215" s="115"/>
      <c r="J215" s="115"/>
      <c r="K215" s="115"/>
      <c r="L215" s="115"/>
      <c r="M215" s="115"/>
      <c r="N215" s="127"/>
      <c r="O215" s="29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25"/>
      <c r="B216" s="126"/>
      <c r="C216" s="126"/>
      <c r="D216" s="126"/>
      <c r="H216" s="115"/>
      <c r="I216" s="115"/>
      <c r="J216" s="115"/>
      <c r="K216" s="115"/>
      <c r="L216" s="115"/>
      <c r="M216" s="115"/>
      <c r="N216" s="127"/>
      <c r="O216" s="29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25"/>
      <c r="B217" s="126"/>
      <c r="C217" s="126"/>
      <c r="D217" s="126"/>
      <c r="H217" s="115"/>
      <c r="I217" s="115"/>
      <c r="J217" s="115"/>
      <c r="K217" s="115"/>
      <c r="L217" s="115"/>
      <c r="M217" s="115"/>
      <c r="N217" s="127"/>
      <c r="O217" s="29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25"/>
      <c r="B218" s="126"/>
      <c r="C218" s="126"/>
      <c r="D218" s="126"/>
      <c r="H218" s="115"/>
      <c r="I218" s="115"/>
      <c r="J218" s="115"/>
      <c r="K218" s="115"/>
      <c r="L218" s="115"/>
      <c r="M218" s="115"/>
      <c r="N218" s="127"/>
      <c r="O218" s="29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25"/>
      <c r="B219" s="126"/>
      <c r="C219" s="126"/>
      <c r="D219" s="126"/>
      <c r="H219" s="115"/>
      <c r="I219" s="115"/>
      <c r="J219" s="115"/>
      <c r="K219" s="115"/>
      <c r="L219" s="115"/>
      <c r="M219" s="115"/>
      <c r="N219" s="127"/>
      <c r="O219" s="29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25"/>
      <c r="B220" s="126"/>
      <c r="C220" s="126"/>
      <c r="D220" s="126"/>
      <c r="H220" s="115"/>
      <c r="I220" s="115"/>
      <c r="J220" s="115"/>
      <c r="K220" s="115"/>
      <c r="L220" s="115"/>
      <c r="M220" s="115"/>
      <c r="N220" s="127"/>
      <c r="O220" s="29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25"/>
      <c r="B221" s="126"/>
      <c r="C221" s="126"/>
      <c r="D221" s="126"/>
      <c r="H221" s="115"/>
      <c r="I221" s="115"/>
      <c r="J221" s="115"/>
      <c r="K221" s="115"/>
      <c r="L221" s="115"/>
      <c r="M221" s="115"/>
      <c r="N221" s="127"/>
      <c r="O221" s="29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25"/>
      <c r="B222" s="126"/>
      <c r="C222" s="126"/>
      <c r="D222" s="126"/>
      <c r="H222" s="115"/>
      <c r="I222" s="115"/>
      <c r="J222" s="115"/>
      <c r="K222" s="115"/>
      <c r="L222" s="115"/>
      <c r="M222" s="115"/>
      <c r="N222" s="29"/>
      <c r="O222" s="29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25"/>
      <c r="B223" s="126"/>
      <c r="C223" s="126"/>
      <c r="D223" s="126"/>
      <c r="H223" s="115"/>
      <c r="I223" s="115"/>
      <c r="J223" s="115"/>
      <c r="K223" s="115"/>
      <c r="L223" s="115"/>
      <c r="M223" s="115"/>
      <c r="N223" s="127"/>
      <c r="O223" s="29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25"/>
      <c r="B224" s="126"/>
      <c r="C224" s="126"/>
      <c r="D224" s="126"/>
      <c r="H224" s="115"/>
      <c r="I224" s="115"/>
      <c r="J224" s="115"/>
      <c r="K224" s="115"/>
      <c r="L224" s="115"/>
      <c r="M224" s="115"/>
      <c r="N224" s="29"/>
      <c r="O224" s="29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25"/>
      <c r="B225" s="126"/>
      <c r="C225" s="126"/>
      <c r="D225" s="126"/>
      <c r="H225" s="115"/>
      <c r="I225" s="115"/>
      <c r="J225" s="115"/>
      <c r="K225" s="115"/>
      <c r="L225" s="115"/>
      <c r="M225" s="115"/>
      <c r="N225" s="127"/>
      <c r="O225" s="29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25"/>
      <c r="B226" s="126"/>
      <c r="C226" s="126"/>
      <c r="D226" s="126"/>
      <c r="H226" s="115"/>
      <c r="I226" s="115"/>
      <c r="J226" s="115"/>
      <c r="K226" s="115"/>
      <c r="L226" s="115"/>
      <c r="M226" s="115"/>
      <c r="N226" s="127"/>
      <c r="O226" s="29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25"/>
      <c r="B227" s="126"/>
      <c r="C227" s="126"/>
      <c r="D227" s="126"/>
      <c r="H227" s="115"/>
      <c r="I227" s="115"/>
      <c r="J227" s="115"/>
      <c r="K227" s="115"/>
      <c r="L227" s="115"/>
      <c r="M227" s="115"/>
      <c r="N227" s="127"/>
      <c r="O227" s="29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25"/>
      <c r="B228" s="126"/>
      <c r="C228" s="126"/>
      <c r="D228" s="126"/>
      <c r="H228" s="115"/>
      <c r="I228" s="115"/>
      <c r="J228" s="115"/>
      <c r="K228" s="115"/>
      <c r="L228" s="115"/>
      <c r="M228" s="115"/>
      <c r="N228" s="127"/>
      <c r="O228" s="29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25"/>
      <c r="B229" s="126"/>
      <c r="C229" s="126"/>
      <c r="D229" s="126"/>
      <c r="H229" s="115"/>
      <c r="I229" s="115"/>
      <c r="J229" s="115"/>
      <c r="K229" s="115"/>
      <c r="L229" s="115"/>
      <c r="M229" s="115"/>
      <c r="N229" s="127"/>
      <c r="O229" s="29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25"/>
      <c r="B230" s="126"/>
      <c r="C230" s="126"/>
      <c r="D230" s="126"/>
      <c r="H230" s="115"/>
      <c r="I230" s="115"/>
      <c r="J230" s="115"/>
      <c r="K230" s="115"/>
      <c r="L230" s="115"/>
      <c r="M230" s="115"/>
      <c r="N230" s="127"/>
      <c r="O230" s="29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25"/>
      <c r="B231" s="126"/>
      <c r="C231" s="126"/>
      <c r="D231" s="126"/>
      <c r="H231" s="115"/>
      <c r="I231" s="115"/>
      <c r="J231" s="115"/>
      <c r="K231" s="115"/>
      <c r="L231" s="115"/>
      <c r="M231" s="115"/>
      <c r="N231" s="29"/>
      <c r="O231" s="29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25"/>
      <c r="B232" s="126"/>
      <c r="C232" s="126"/>
      <c r="D232" s="126"/>
      <c r="H232" s="115"/>
      <c r="I232" s="115"/>
      <c r="J232" s="115"/>
      <c r="K232" s="115"/>
      <c r="L232" s="115"/>
      <c r="M232" s="115"/>
      <c r="N232" s="127"/>
      <c r="O232" s="29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25"/>
      <c r="B233" s="126"/>
      <c r="C233" s="126"/>
      <c r="D233" s="126"/>
      <c r="H233" s="115"/>
      <c r="I233" s="115"/>
      <c r="J233" s="115"/>
      <c r="K233" s="115"/>
      <c r="L233" s="115"/>
      <c r="M233" s="115"/>
      <c r="N233" s="29"/>
      <c r="O233" s="29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25"/>
      <c r="B234" s="126"/>
      <c r="C234" s="126"/>
      <c r="D234" s="126"/>
      <c r="H234" s="115"/>
      <c r="I234" s="115"/>
      <c r="J234" s="115"/>
      <c r="K234" s="115"/>
      <c r="L234" s="115"/>
      <c r="M234" s="115"/>
      <c r="N234" s="127"/>
      <c r="O234" s="29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25"/>
      <c r="B235" s="126"/>
      <c r="C235" s="126"/>
      <c r="D235" s="126"/>
      <c r="H235" s="115"/>
      <c r="I235" s="115"/>
      <c r="J235" s="115"/>
      <c r="K235" s="115"/>
      <c r="L235" s="115"/>
      <c r="M235" s="115"/>
      <c r="N235" s="29"/>
      <c r="O235" s="29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25"/>
      <c r="B236" s="126"/>
      <c r="C236" s="126"/>
      <c r="D236" s="126"/>
      <c r="H236" s="115"/>
      <c r="I236" s="115"/>
      <c r="J236" s="115"/>
      <c r="K236" s="115"/>
      <c r="L236" s="115"/>
      <c r="M236" s="115"/>
      <c r="N236" s="127"/>
      <c r="O236" s="29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25"/>
      <c r="B237" s="126"/>
      <c r="C237" s="126"/>
      <c r="D237" s="126"/>
      <c r="H237" s="115"/>
      <c r="I237" s="115"/>
      <c r="J237" s="115"/>
      <c r="K237" s="115"/>
      <c r="L237" s="115"/>
      <c r="M237" s="115"/>
      <c r="N237" s="29"/>
      <c r="O237" s="29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25"/>
      <c r="B238" s="126"/>
      <c r="C238" s="126"/>
      <c r="D238" s="126"/>
      <c r="H238" s="115"/>
      <c r="I238" s="115"/>
      <c r="J238" s="115"/>
      <c r="K238" s="115"/>
      <c r="L238" s="115"/>
      <c r="M238" s="115"/>
      <c r="N238" s="29"/>
      <c r="O238" s="29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25"/>
      <c r="B239" s="126"/>
      <c r="C239" s="126"/>
      <c r="D239" s="126"/>
      <c r="H239" s="115"/>
      <c r="I239" s="115"/>
      <c r="J239" s="115"/>
      <c r="K239" s="115"/>
      <c r="L239" s="115"/>
      <c r="M239" s="115"/>
      <c r="N239" s="127"/>
      <c r="O239" s="29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25"/>
      <c r="B240" s="126"/>
      <c r="C240" s="126"/>
      <c r="D240" s="126"/>
      <c r="H240" s="115"/>
      <c r="I240" s="115"/>
      <c r="J240" s="115"/>
      <c r="K240" s="115"/>
      <c r="L240" s="115"/>
      <c r="M240" s="115"/>
      <c r="N240" s="127"/>
      <c r="O240" s="29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25"/>
      <c r="B241" s="126"/>
      <c r="C241" s="126"/>
      <c r="D241" s="126"/>
      <c r="H241" s="115"/>
      <c r="I241" s="115"/>
      <c r="J241" s="115"/>
      <c r="K241" s="115"/>
      <c r="L241" s="115"/>
      <c r="M241" s="115"/>
      <c r="N241" s="127"/>
      <c r="O241" s="29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25"/>
      <c r="B242" s="126"/>
      <c r="C242" s="126"/>
      <c r="D242" s="126"/>
      <c r="H242" s="115"/>
      <c r="I242" s="115"/>
      <c r="J242" s="115"/>
      <c r="K242" s="115"/>
      <c r="L242" s="115"/>
      <c r="M242" s="115"/>
      <c r="N242" s="127"/>
      <c r="O242" s="29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25"/>
      <c r="B243" s="126"/>
      <c r="C243" s="126"/>
      <c r="D243" s="126"/>
      <c r="H243" s="115"/>
      <c r="I243" s="115"/>
      <c r="J243" s="115"/>
      <c r="K243" s="115"/>
      <c r="L243" s="115"/>
      <c r="M243" s="115"/>
      <c r="N243" s="128"/>
      <c r="O243" s="29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25"/>
      <c r="B244" s="126"/>
      <c r="C244" s="126"/>
      <c r="D244" s="126"/>
      <c r="H244" s="115"/>
      <c r="I244" s="115"/>
      <c r="J244" s="115"/>
      <c r="K244" s="115"/>
      <c r="L244" s="115"/>
      <c r="M244" s="115"/>
      <c r="N244" s="127"/>
      <c r="O244" s="29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25"/>
      <c r="B245" s="126"/>
      <c r="C245" s="126"/>
      <c r="D245" s="126"/>
      <c r="H245" s="115"/>
      <c r="I245" s="115"/>
      <c r="J245" s="115"/>
      <c r="K245" s="115"/>
      <c r="L245" s="115"/>
      <c r="M245" s="115"/>
      <c r="N245" s="127"/>
      <c r="O245" s="29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25"/>
      <c r="B246" s="126"/>
      <c r="C246" s="126"/>
      <c r="D246" s="126"/>
      <c r="H246" s="115"/>
      <c r="I246" s="115"/>
      <c r="J246" s="115"/>
      <c r="K246" s="115"/>
      <c r="L246" s="115"/>
      <c r="M246" s="115"/>
      <c r="N246" s="128"/>
      <c r="O246" s="29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25"/>
      <c r="B247" s="126"/>
      <c r="C247" s="126"/>
      <c r="D247" s="126"/>
      <c r="H247" s="115"/>
      <c r="I247" s="115"/>
      <c r="J247" s="115"/>
      <c r="K247" s="115"/>
      <c r="L247" s="115"/>
      <c r="M247" s="115"/>
      <c r="N247" s="127"/>
      <c r="O247" s="29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25"/>
      <c r="B248" s="126"/>
      <c r="C248" s="126"/>
      <c r="D248" s="126"/>
      <c r="H248" s="115"/>
      <c r="I248" s="115"/>
      <c r="J248" s="115"/>
      <c r="K248" s="115"/>
      <c r="L248" s="115"/>
      <c r="M248" s="115"/>
      <c r="N248" s="127"/>
      <c r="O248" s="29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25"/>
      <c r="B249" s="126"/>
      <c r="C249" s="126"/>
      <c r="D249" s="126"/>
      <c r="H249" s="115"/>
      <c r="I249" s="115"/>
      <c r="J249" s="115"/>
      <c r="K249" s="115"/>
      <c r="L249" s="115"/>
      <c r="M249" s="115"/>
      <c r="N249" s="127"/>
      <c r="O249" s="29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25"/>
      <c r="B250" s="126"/>
      <c r="C250" s="126"/>
      <c r="D250" s="126"/>
      <c r="H250" s="115"/>
      <c r="I250" s="115"/>
      <c r="J250" s="115"/>
      <c r="K250" s="115"/>
      <c r="L250" s="115"/>
      <c r="M250" s="115"/>
      <c r="N250" s="128"/>
      <c r="O250" s="29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25"/>
      <c r="B251" s="126"/>
      <c r="C251" s="126"/>
      <c r="D251" s="126"/>
      <c r="H251" s="115"/>
      <c r="I251" s="115"/>
      <c r="J251" s="115"/>
      <c r="K251" s="115"/>
      <c r="L251" s="115"/>
      <c r="M251" s="115"/>
      <c r="N251" s="127"/>
      <c r="O251" s="29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25"/>
      <c r="B252" s="126"/>
      <c r="C252" s="126"/>
      <c r="D252" s="126"/>
      <c r="H252" s="115"/>
      <c r="I252" s="115"/>
      <c r="J252" s="115"/>
      <c r="K252" s="115"/>
      <c r="L252" s="115"/>
      <c r="M252" s="115"/>
      <c r="N252" s="127"/>
      <c r="O252" s="29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25"/>
      <c r="B253" s="126"/>
      <c r="C253" s="126"/>
      <c r="D253" s="126"/>
      <c r="H253" s="115"/>
      <c r="I253" s="115"/>
      <c r="J253" s="115"/>
      <c r="K253" s="115"/>
      <c r="L253" s="115"/>
      <c r="M253" s="115"/>
      <c r="N253" s="128"/>
      <c r="O253" s="29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25"/>
      <c r="B254" s="126"/>
      <c r="C254" s="126"/>
      <c r="D254" s="126"/>
      <c r="H254" s="115"/>
      <c r="I254" s="115"/>
      <c r="J254" s="115"/>
      <c r="K254" s="115"/>
      <c r="L254" s="115"/>
      <c r="M254" s="115"/>
      <c r="N254" s="127"/>
      <c r="O254" s="29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25"/>
      <c r="B255" s="126"/>
      <c r="C255" s="126"/>
      <c r="D255" s="126"/>
      <c r="N255" s="127"/>
      <c r="O255" s="29"/>
      <c r="AE255" s="127"/>
      <c r="AF255" s="29"/>
    </row>
    <row r="256" spans="1:32" ht="19.5" x14ac:dyDescent="0.4">
      <c r="A256" s="125"/>
      <c r="B256" s="126"/>
      <c r="C256" s="126"/>
      <c r="D256" s="126"/>
      <c r="H256" s="115"/>
      <c r="I256" s="115"/>
      <c r="J256" s="115"/>
      <c r="K256" s="115"/>
      <c r="L256" s="115"/>
      <c r="M256" s="115"/>
      <c r="N256" s="127"/>
      <c r="O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25"/>
      <c r="B257" s="126"/>
      <c r="C257" s="126"/>
      <c r="D257" s="126"/>
      <c r="H257" s="115"/>
      <c r="I257" s="115"/>
      <c r="J257" s="115"/>
      <c r="K257" s="115"/>
      <c r="L257" s="115"/>
      <c r="M257" s="115"/>
      <c r="N257" s="127"/>
      <c r="O257" s="29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25"/>
      <c r="B258" s="126"/>
      <c r="C258" s="126"/>
      <c r="D258" s="126"/>
      <c r="H258" s="115"/>
      <c r="I258" s="115"/>
      <c r="J258" s="115"/>
      <c r="K258" s="115"/>
      <c r="L258" s="115"/>
      <c r="M258" s="115"/>
      <c r="N258" s="127"/>
      <c r="O258" s="29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25"/>
      <c r="B259" s="126"/>
      <c r="C259" s="126"/>
      <c r="D259" s="126"/>
      <c r="H259" s="115"/>
      <c r="I259" s="115"/>
      <c r="J259" s="115"/>
      <c r="K259" s="115"/>
      <c r="L259" s="115"/>
      <c r="M259" s="115"/>
      <c r="N259" s="127"/>
      <c r="O259" s="127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25"/>
      <c r="B260" s="126"/>
      <c r="C260" s="126"/>
      <c r="D260" s="126"/>
      <c r="H260" s="115"/>
      <c r="I260" s="115"/>
      <c r="J260" s="115"/>
      <c r="K260" s="115"/>
      <c r="L260" s="115"/>
      <c r="M260" s="115"/>
      <c r="N260" s="127"/>
      <c r="O260" s="29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25"/>
      <c r="B261" s="126"/>
      <c r="C261" s="126"/>
      <c r="D261" s="126"/>
      <c r="H261" s="115"/>
      <c r="I261" s="115"/>
      <c r="J261" s="115"/>
      <c r="K261" s="115"/>
      <c r="L261" s="115"/>
      <c r="M261" s="115"/>
      <c r="N261" s="127"/>
      <c r="O261" s="29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25"/>
      <c r="B262" s="126"/>
      <c r="C262" s="126"/>
      <c r="D262" s="126"/>
      <c r="H262" s="115"/>
      <c r="I262" s="115"/>
      <c r="J262" s="115"/>
      <c r="K262" s="115"/>
      <c r="L262" s="115"/>
      <c r="M262" s="115"/>
      <c r="N262" s="127"/>
      <c r="O262" s="29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25"/>
      <c r="B263" s="126"/>
      <c r="C263" s="126"/>
      <c r="D263" s="126"/>
      <c r="H263" s="115"/>
      <c r="I263" s="115"/>
      <c r="J263" s="115"/>
      <c r="K263" s="115"/>
      <c r="L263" s="115"/>
      <c r="M263" s="115"/>
      <c r="N263" s="127"/>
      <c r="O263" s="29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25"/>
      <c r="B264" s="126"/>
      <c r="C264" s="126"/>
      <c r="D264" s="126"/>
      <c r="H264" s="115"/>
      <c r="I264" s="115"/>
      <c r="J264" s="115"/>
      <c r="K264" s="115"/>
      <c r="L264" s="115"/>
      <c r="M264" s="115"/>
      <c r="N264" s="128"/>
      <c r="O264" s="29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25"/>
      <c r="B265" s="126"/>
      <c r="C265" s="126"/>
      <c r="D265" s="126"/>
      <c r="H265" s="115"/>
      <c r="I265" s="115"/>
      <c r="J265" s="115"/>
      <c r="K265" s="115"/>
      <c r="L265" s="115"/>
      <c r="M265" s="115"/>
      <c r="N265" s="127"/>
      <c r="O265" s="29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25"/>
      <c r="B266" s="126"/>
      <c r="C266" s="126"/>
      <c r="D266" s="126"/>
      <c r="N266" s="127"/>
      <c r="O266" s="29"/>
      <c r="AE266" s="127"/>
      <c r="AF266" s="29"/>
    </row>
    <row r="267" spans="1:32" ht="19.5" x14ac:dyDescent="0.4">
      <c r="A267" s="125"/>
      <c r="B267" s="126"/>
      <c r="C267" s="126"/>
      <c r="D267" s="126"/>
      <c r="H267" s="115"/>
      <c r="I267" s="115"/>
      <c r="J267" s="115"/>
      <c r="K267" s="115"/>
      <c r="L267" s="115"/>
      <c r="M267" s="115"/>
      <c r="N267" s="127"/>
      <c r="O267" s="29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25"/>
      <c r="B268" s="126"/>
      <c r="C268" s="126"/>
      <c r="D268" s="126"/>
      <c r="H268" s="115"/>
      <c r="I268" s="115"/>
      <c r="J268" s="115"/>
      <c r="K268" s="115"/>
      <c r="L268" s="115"/>
      <c r="M268" s="115"/>
      <c r="N268" s="127"/>
      <c r="O268" s="29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25"/>
      <c r="B269" s="126"/>
      <c r="C269" s="126"/>
      <c r="D269" s="126"/>
      <c r="H269" s="115"/>
      <c r="I269" s="115"/>
      <c r="J269" s="115"/>
      <c r="K269" s="115"/>
      <c r="L269" s="115"/>
      <c r="M269" s="115"/>
      <c r="N269" s="127"/>
      <c r="O269" s="29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25"/>
      <c r="B270" s="126"/>
      <c r="C270" s="126"/>
      <c r="D270" s="126"/>
      <c r="H270" s="115"/>
      <c r="I270" s="115"/>
      <c r="J270" s="115"/>
      <c r="K270" s="115"/>
      <c r="L270" s="115"/>
      <c r="M270" s="115"/>
      <c r="N270" s="127"/>
      <c r="O270" s="29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25"/>
      <c r="B271" s="126"/>
      <c r="C271" s="126"/>
      <c r="D271" s="126"/>
      <c r="H271" s="115"/>
      <c r="I271" s="115"/>
      <c r="J271" s="115"/>
      <c r="K271" s="115"/>
      <c r="L271" s="115"/>
      <c r="M271" s="115"/>
      <c r="N271" s="127"/>
      <c r="O271" s="29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25"/>
      <c r="B272" s="126"/>
      <c r="C272" s="126"/>
      <c r="D272" s="126"/>
      <c r="H272" s="115"/>
      <c r="I272" s="115"/>
      <c r="J272" s="115"/>
      <c r="K272" s="115"/>
      <c r="L272" s="115"/>
      <c r="M272" s="115"/>
      <c r="N272" s="128"/>
      <c r="O272" s="29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25"/>
      <c r="B273" s="126"/>
      <c r="C273" s="126"/>
      <c r="D273" s="126"/>
      <c r="H273" s="115"/>
      <c r="I273" s="115"/>
      <c r="J273" s="115"/>
      <c r="K273" s="115"/>
      <c r="L273" s="115"/>
      <c r="M273" s="115"/>
      <c r="N273" s="127"/>
      <c r="O273" s="29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25"/>
      <c r="B274" s="126"/>
      <c r="C274" s="126"/>
      <c r="D274" s="126"/>
      <c r="H274" s="115"/>
      <c r="I274" s="115"/>
      <c r="J274" s="115"/>
      <c r="K274" s="115"/>
      <c r="L274" s="115"/>
      <c r="M274" s="115"/>
      <c r="N274" s="127"/>
      <c r="O274" s="29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25"/>
      <c r="B275" s="126"/>
      <c r="C275" s="126"/>
      <c r="D275" s="126"/>
      <c r="H275" s="115"/>
      <c r="I275" s="115"/>
      <c r="J275" s="115"/>
      <c r="K275" s="115"/>
      <c r="L275" s="115"/>
      <c r="M275" s="115"/>
      <c r="N275" s="128"/>
      <c r="O275" s="29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25"/>
      <c r="B276" s="126"/>
      <c r="C276" s="126"/>
      <c r="D276" s="126"/>
      <c r="H276" s="115"/>
      <c r="I276" s="115"/>
      <c r="J276" s="115"/>
      <c r="K276" s="115"/>
      <c r="L276" s="115"/>
      <c r="M276" s="115"/>
      <c r="N276" s="127"/>
      <c r="O276" s="29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25"/>
      <c r="B277" s="126"/>
      <c r="C277" s="126"/>
      <c r="D277" s="126"/>
      <c r="H277" s="115"/>
      <c r="I277" s="115"/>
      <c r="J277" s="115"/>
      <c r="K277" s="115"/>
      <c r="L277" s="115"/>
      <c r="M277" s="115"/>
      <c r="N277" s="127"/>
      <c r="O277" s="29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25"/>
      <c r="B278" s="126"/>
      <c r="C278" s="126"/>
      <c r="D278" s="126"/>
      <c r="H278" s="115"/>
      <c r="I278" s="115"/>
      <c r="J278" s="115"/>
      <c r="K278" s="115"/>
      <c r="L278" s="115"/>
      <c r="M278" s="115"/>
      <c r="N278" s="127"/>
      <c r="O278" s="29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25"/>
      <c r="B279" s="126"/>
      <c r="C279" s="126"/>
      <c r="D279" s="126"/>
      <c r="H279" s="115"/>
      <c r="I279" s="115"/>
      <c r="J279" s="115"/>
      <c r="K279" s="115"/>
      <c r="L279" s="115"/>
      <c r="M279" s="115"/>
      <c r="N279" s="127"/>
      <c r="O279" s="29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25"/>
      <c r="B280" s="126"/>
      <c r="C280" s="126"/>
      <c r="D280" s="126"/>
      <c r="H280" s="115"/>
      <c r="I280" s="115"/>
      <c r="J280" s="115"/>
      <c r="K280" s="115"/>
      <c r="L280" s="115"/>
      <c r="M280" s="115"/>
      <c r="N280" s="128"/>
      <c r="O280" s="29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25"/>
      <c r="B281" s="126"/>
      <c r="C281" s="126"/>
      <c r="D281" s="126"/>
      <c r="H281" s="115"/>
      <c r="I281" s="115"/>
      <c r="J281" s="115"/>
      <c r="K281" s="115"/>
      <c r="L281" s="115"/>
      <c r="M281" s="115"/>
      <c r="N281" s="127"/>
      <c r="O281" s="29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25"/>
      <c r="B282" s="126"/>
      <c r="C282" s="126"/>
      <c r="D282" s="126"/>
      <c r="H282" s="115"/>
      <c r="I282" s="115"/>
      <c r="J282" s="115"/>
      <c r="K282" s="115"/>
      <c r="L282" s="115"/>
      <c r="M282" s="115"/>
      <c r="N282" s="128"/>
      <c r="O282" s="29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25"/>
      <c r="B283" s="126"/>
      <c r="C283" s="126"/>
      <c r="D283" s="126"/>
      <c r="H283" s="115"/>
      <c r="I283" s="115"/>
      <c r="J283" s="115"/>
      <c r="K283" s="115"/>
      <c r="L283" s="115"/>
      <c r="M283" s="115"/>
      <c r="N283" s="127"/>
      <c r="O283" s="29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25"/>
      <c r="B284" s="126"/>
      <c r="C284" s="126"/>
      <c r="D284" s="126"/>
      <c r="H284" s="115"/>
      <c r="I284" s="115"/>
      <c r="J284" s="115"/>
      <c r="K284" s="115"/>
      <c r="L284" s="115"/>
      <c r="M284" s="115"/>
      <c r="N284" s="128"/>
      <c r="O284" s="29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25"/>
      <c r="B285" s="126"/>
      <c r="C285" s="126"/>
      <c r="D285" s="126"/>
      <c r="H285" s="115"/>
      <c r="I285" s="115"/>
      <c r="J285" s="115"/>
      <c r="K285" s="115"/>
      <c r="L285" s="115"/>
      <c r="M285" s="115"/>
      <c r="N285" s="127"/>
      <c r="O285" s="29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25"/>
      <c r="B286" s="126"/>
      <c r="C286" s="126"/>
      <c r="D286" s="126"/>
      <c r="H286" s="115"/>
      <c r="I286" s="115"/>
      <c r="J286" s="115"/>
      <c r="K286" s="115"/>
      <c r="L286" s="115"/>
      <c r="M286" s="115"/>
      <c r="N286" s="128"/>
      <c r="O286" s="29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25"/>
      <c r="B287" s="126"/>
      <c r="C287" s="126"/>
      <c r="D287" s="126"/>
      <c r="H287" s="115"/>
      <c r="I287" s="115"/>
      <c r="J287" s="115"/>
      <c r="K287" s="115"/>
      <c r="L287" s="115"/>
      <c r="M287" s="115"/>
      <c r="N287" s="128"/>
      <c r="O287" s="29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25"/>
      <c r="B288" s="126"/>
      <c r="C288" s="126"/>
      <c r="D288" s="126"/>
      <c r="H288" s="115"/>
      <c r="I288" s="115"/>
      <c r="J288" s="115"/>
      <c r="K288" s="115"/>
      <c r="L288" s="115"/>
      <c r="M288" s="115"/>
      <c r="N288" s="127"/>
      <c r="O288" s="29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25"/>
      <c r="B289" s="126"/>
      <c r="C289" s="126"/>
      <c r="D289" s="126"/>
      <c r="H289" s="115"/>
      <c r="I289" s="115"/>
      <c r="J289" s="115"/>
      <c r="K289" s="115"/>
      <c r="L289" s="115"/>
      <c r="M289" s="115"/>
      <c r="N289" s="127"/>
      <c r="O289" s="29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25"/>
      <c r="B290" s="126"/>
      <c r="C290" s="126"/>
      <c r="D290" s="126"/>
      <c r="H290" s="115"/>
      <c r="I290" s="115"/>
      <c r="J290" s="115"/>
      <c r="K290" s="115"/>
      <c r="L290" s="115"/>
      <c r="M290" s="115"/>
      <c r="N290" s="127"/>
      <c r="O290" s="29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25"/>
      <c r="B291" s="126"/>
      <c r="C291" s="126"/>
      <c r="D291" s="126"/>
      <c r="H291" s="115"/>
      <c r="I291" s="115"/>
      <c r="J291" s="115"/>
      <c r="K291" s="115"/>
      <c r="L291" s="115"/>
      <c r="M291" s="115"/>
      <c r="N291" s="127"/>
      <c r="O291" s="29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25"/>
      <c r="B292" s="126"/>
      <c r="C292" s="126"/>
      <c r="D292" s="126"/>
      <c r="H292" s="115"/>
      <c r="I292" s="115"/>
      <c r="J292" s="115"/>
      <c r="K292" s="115"/>
      <c r="L292" s="115"/>
      <c r="M292" s="115"/>
      <c r="N292" s="127"/>
      <c r="O292" s="29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25"/>
      <c r="B293" s="126"/>
      <c r="C293" s="126"/>
      <c r="D293" s="126"/>
      <c r="H293" s="115"/>
      <c r="I293" s="115"/>
      <c r="J293" s="115"/>
      <c r="K293" s="115"/>
      <c r="L293" s="115"/>
      <c r="M293" s="115"/>
      <c r="N293" s="127"/>
      <c r="O293" s="29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25"/>
      <c r="B294" s="126"/>
      <c r="C294" s="126"/>
      <c r="D294" s="126"/>
      <c r="H294" s="115"/>
      <c r="I294" s="115"/>
      <c r="J294" s="115"/>
      <c r="K294" s="115"/>
      <c r="L294" s="115"/>
      <c r="M294" s="115"/>
      <c r="N294" s="127"/>
      <c r="O294" s="29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25"/>
      <c r="B295" s="126"/>
      <c r="C295" s="126"/>
      <c r="D295" s="126"/>
      <c r="H295" s="115"/>
      <c r="I295" s="115"/>
      <c r="J295" s="115"/>
      <c r="K295" s="115"/>
      <c r="L295" s="115"/>
      <c r="M295" s="115"/>
      <c r="N295" s="127"/>
      <c r="O295" s="29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25"/>
      <c r="B296" s="126"/>
      <c r="C296" s="126"/>
      <c r="D296" s="126"/>
      <c r="H296" s="115"/>
      <c r="I296" s="115"/>
      <c r="J296" s="115"/>
      <c r="K296" s="115"/>
      <c r="L296" s="115"/>
      <c r="M296" s="115"/>
      <c r="N296" s="127"/>
      <c r="O296" s="29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25"/>
      <c r="B297" s="126"/>
      <c r="C297" s="126"/>
      <c r="D297" s="126"/>
      <c r="H297" s="115"/>
      <c r="I297" s="115"/>
      <c r="J297" s="115"/>
      <c r="K297" s="115"/>
      <c r="L297" s="115"/>
      <c r="M297" s="115"/>
      <c r="N297" s="127"/>
      <c r="O297" s="29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25"/>
      <c r="B298" s="126"/>
      <c r="C298" s="126"/>
      <c r="D298" s="126"/>
      <c r="N298" s="127"/>
      <c r="O298" s="29"/>
      <c r="AE298" s="127"/>
      <c r="AF298" s="29"/>
    </row>
    <row r="299" spans="1:32" ht="19.5" x14ac:dyDescent="0.4">
      <c r="A299" s="125"/>
      <c r="B299" s="126"/>
      <c r="C299" s="126"/>
      <c r="D299" s="126"/>
      <c r="H299" s="115"/>
      <c r="I299" s="115"/>
      <c r="J299" s="115"/>
      <c r="K299" s="115"/>
      <c r="L299" s="115"/>
      <c r="M299" s="115"/>
      <c r="N299" s="127"/>
      <c r="O299" s="29"/>
      <c r="AD299" s="115"/>
      <c r="AE299" s="29"/>
      <c r="AF299" s="29"/>
    </row>
    <row r="300" spans="1:32" ht="19.5" x14ac:dyDescent="0.4">
      <c r="A300" s="125"/>
      <c r="B300" s="126"/>
      <c r="C300" s="126"/>
      <c r="D300" s="126"/>
      <c r="H300" s="115"/>
      <c r="I300" s="115"/>
      <c r="J300" s="115"/>
      <c r="K300" s="115"/>
      <c r="L300" s="115"/>
      <c r="M300" s="115"/>
      <c r="N300" s="127"/>
      <c r="O300" s="29"/>
      <c r="AD300" s="115"/>
      <c r="AE300" s="29"/>
      <c r="AF300" s="29"/>
    </row>
    <row r="301" spans="1:32" ht="19.5" x14ac:dyDescent="0.4">
      <c r="A301" s="125"/>
      <c r="B301" s="126"/>
      <c r="C301" s="126"/>
      <c r="D301" s="126"/>
      <c r="H301" s="115"/>
      <c r="I301" s="115"/>
      <c r="J301" s="115"/>
      <c r="K301" s="115"/>
      <c r="L301" s="115"/>
      <c r="M301" s="115"/>
      <c r="N301" s="127"/>
      <c r="O301" s="29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25"/>
      <c r="B302" s="126"/>
      <c r="C302" s="126"/>
      <c r="D302" s="126"/>
      <c r="N302" s="127"/>
      <c r="O302" s="29"/>
      <c r="AE302" s="127"/>
      <c r="AF302" s="29"/>
    </row>
    <row r="303" spans="1:32" ht="19.5" x14ac:dyDescent="0.4">
      <c r="A303" s="125"/>
      <c r="B303" s="126"/>
      <c r="C303" s="126"/>
      <c r="D303" s="126"/>
      <c r="I303" s="115"/>
      <c r="J303" s="115"/>
      <c r="K303" s="115"/>
      <c r="L303" s="115"/>
      <c r="M303" s="115"/>
      <c r="N303" s="29"/>
      <c r="O303" s="29"/>
      <c r="AE303" s="127"/>
      <c r="AF303" s="29"/>
    </row>
    <row r="304" spans="1:32" ht="19.5" x14ac:dyDescent="0.4">
      <c r="A304" s="125"/>
      <c r="B304" s="126"/>
      <c r="C304" s="126"/>
      <c r="D304" s="126"/>
      <c r="H304" s="115"/>
      <c r="I304" s="115"/>
      <c r="J304" s="115"/>
      <c r="K304" s="115"/>
      <c r="L304" s="115"/>
      <c r="M304" s="115"/>
      <c r="N304" s="127"/>
      <c r="O304" s="29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25"/>
      <c r="B305" s="126"/>
      <c r="C305" s="126"/>
      <c r="D305" s="126"/>
      <c r="H305" s="115"/>
      <c r="I305" s="115"/>
      <c r="J305" s="115"/>
      <c r="K305" s="115"/>
      <c r="L305" s="115"/>
      <c r="M305" s="115"/>
      <c r="N305" s="29"/>
      <c r="O305" s="29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25"/>
      <c r="B306" s="126"/>
      <c r="C306" s="126"/>
      <c r="D306" s="126"/>
      <c r="H306" s="115"/>
      <c r="I306" s="115"/>
      <c r="J306" s="115"/>
      <c r="K306" s="115"/>
      <c r="L306" s="115"/>
      <c r="M306" s="115"/>
      <c r="N306" s="127"/>
      <c r="O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25"/>
      <c r="B307" s="126"/>
      <c r="C307" s="126"/>
      <c r="D307" s="126"/>
      <c r="H307" s="115"/>
      <c r="I307" s="115"/>
      <c r="J307" s="115"/>
      <c r="K307" s="115"/>
      <c r="L307" s="115"/>
      <c r="M307" s="115"/>
      <c r="N307" s="127"/>
      <c r="O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25"/>
      <c r="B308" s="126"/>
      <c r="C308" s="126"/>
      <c r="D308" s="126"/>
      <c r="H308" s="115"/>
      <c r="I308" s="115"/>
      <c r="J308" s="115"/>
      <c r="K308" s="115"/>
      <c r="L308" s="115"/>
      <c r="M308" s="115"/>
      <c r="N308" s="29"/>
      <c r="O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25"/>
      <c r="B309" s="126"/>
      <c r="C309" s="126"/>
      <c r="D309" s="126"/>
      <c r="H309" s="115"/>
      <c r="I309" s="115"/>
      <c r="J309" s="115"/>
      <c r="K309" s="115"/>
      <c r="L309" s="115"/>
      <c r="M309" s="115"/>
      <c r="N309" s="127"/>
      <c r="O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25"/>
      <c r="B310" s="126"/>
      <c r="C310" s="126"/>
      <c r="D310" s="126"/>
      <c r="H310" s="115"/>
      <c r="I310" s="115"/>
      <c r="J310" s="115"/>
      <c r="K310" s="115"/>
      <c r="L310" s="115"/>
      <c r="M310" s="115"/>
      <c r="N310" s="127"/>
      <c r="O310" s="29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25"/>
      <c r="B311" s="126"/>
      <c r="C311" s="126"/>
      <c r="D311" s="126"/>
      <c r="H311" s="115"/>
      <c r="I311" s="115"/>
      <c r="J311" s="115"/>
      <c r="K311" s="115"/>
      <c r="L311" s="115"/>
      <c r="M311" s="115"/>
      <c r="N311" s="29"/>
      <c r="O311" s="29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25"/>
      <c r="B312" s="126"/>
      <c r="C312" s="126"/>
      <c r="D312" s="126"/>
      <c r="H312" s="115"/>
      <c r="I312" s="115"/>
      <c r="J312" s="115"/>
      <c r="K312" s="115"/>
      <c r="L312" s="115"/>
      <c r="M312" s="115"/>
      <c r="N312" s="29"/>
      <c r="O312" s="29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25"/>
      <c r="B313" s="126"/>
      <c r="C313" s="126"/>
      <c r="D313" s="126"/>
      <c r="H313" s="115"/>
      <c r="I313" s="115"/>
      <c r="J313" s="115"/>
      <c r="K313" s="115"/>
      <c r="L313" s="115"/>
      <c r="M313" s="115"/>
      <c r="N313" s="29"/>
      <c r="O313" s="29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25"/>
      <c r="B314" s="126"/>
      <c r="C314" s="126"/>
      <c r="D314" s="126"/>
      <c r="H314" s="115"/>
      <c r="I314" s="115"/>
      <c r="J314" s="115"/>
      <c r="K314" s="115"/>
      <c r="L314" s="115"/>
      <c r="M314" s="115"/>
      <c r="N314" s="127"/>
      <c r="O314" s="29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25"/>
      <c r="B315" s="126"/>
      <c r="C315" s="126"/>
      <c r="D315" s="126"/>
      <c r="H315" s="115"/>
      <c r="I315" s="115"/>
      <c r="J315" s="115"/>
      <c r="K315" s="115"/>
      <c r="L315" s="115"/>
      <c r="M315" s="115"/>
      <c r="N315" s="127"/>
      <c r="O315" s="29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25"/>
      <c r="B316" s="126"/>
      <c r="C316" s="126"/>
      <c r="D316" s="126"/>
      <c r="H316" s="115"/>
      <c r="I316" s="115"/>
      <c r="J316" s="115"/>
      <c r="K316" s="115"/>
      <c r="L316" s="115"/>
      <c r="M316" s="115"/>
      <c r="N316" s="127"/>
      <c r="O316" s="127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25"/>
      <c r="B317" s="126"/>
      <c r="C317" s="126"/>
      <c r="D317" s="126"/>
      <c r="H317" s="115"/>
      <c r="I317" s="115"/>
      <c r="J317" s="115"/>
      <c r="K317" s="115"/>
      <c r="L317" s="115"/>
      <c r="M317" s="115"/>
      <c r="N317" s="127"/>
      <c r="O317" s="29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25"/>
      <c r="B318" s="126"/>
      <c r="C318" s="126"/>
      <c r="D318" s="126"/>
      <c r="N318" s="127"/>
      <c r="O318" s="29"/>
      <c r="AE318" s="127"/>
      <c r="AF318" s="29"/>
    </row>
    <row r="319" spans="1:32" ht="19.5" x14ac:dyDescent="0.4">
      <c r="A319" s="125"/>
      <c r="B319" s="126"/>
      <c r="C319" s="126"/>
      <c r="D319" s="126"/>
      <c r="H319" s="115"/>
      <c r="I319" s="115"/>
      <c r="J319" s="115"/>
      <c r="K319" s="115"/>
      <c r="L319" s="115"/>
      <c r="M319" s="115"/>
      <c r="N319" s="127"/>
      <c r="O319" s="29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25"/>
      <c r="B320" s="126"/>
      <c r="C320" s="126"/>
      <c r="D320" s="126"/>
      <c r="H320" s="115"/>
      <c r="I320" s="115"/>
      <c r="J320" s="115"/>
      <c r="K320" s="115"/>
      <c r="L320" s="115"/>
      <c r="M320" s="115"/>
      <c r="N320" s="127"/>
      <c r="O320" s="29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25"/>
      <c r="B321" s="126"/>
      <c r="C321" s="126"/>
      <c r="D321" s="126"/>
      <c r="H321" s="115"/>
      <c r="I321" s="115"/>
      <c r="J321" s="115"/>
      <c r="K321" s="115"/>
      <c r="L321" s="115"/>
      <c r="M321" s="115"/>
      <c r="N321" s="127"/>
      <c r="O321" s="29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25"/>
      <c r="B322" s="126"/>
      <c r="C322" s="126"/>
      <c r="D322" s="126"/>
      <c r="H322" s="115"/>
      <c r="I322" s="115"/>
      <c r="J322" s="115"/>
      <c r="K322" s="115"/>
      <c r="L322" s="115"/>
      <c r="M322" s="115"/>
      <c r="N322" s="127"/>
      <c r="O322" s="29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25"/>
      <c r="B323" s="126"/>
      <c r="C323" s="126"/>
      <c r="D323" s="126"/>
      <c r="H323" s="115"/>
      <c r="I323" s="115"/>
      <c r="J323" s="115"/>
      <c r="K323" s="115"/>
      <c r="L323" s="115"/>
      <c r="M323" s="115"/>
      <c r="N323" s="127"/>
      <c r="O323" s="29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25"/>
      <c r="B324" s="126"/>
      <c r="C324" s="126"/>
      <c r="D324" s="126"/>
      <c r="H324" s="115"/>
      <c r="I324" s="115"/>
      <c r="J324" s="115"/>
      <c r="K324" s="115"/>
      <c r="L324" s="115"/>
      <c r="M324" s="115"/>
      <c r="N324" s="127"/>
      <c r="O324" s="29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25"/>
      <c r="B325" s="126"/>
      <c r="C325" s="126"/>
      <c r="D325" s="126"/>
      <c r="H325" s="115"/>
      <c r="I325" s="115"/>
      <c r="J325" s="115"/>
      <c r="K325" s="115"/>
      <c r="L325" s="115"/>
      <c r="M325" s="115"/>
      <c r="N325" s="127"/>
      <c r="O325" s="29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25"/>
      <c r="B326" s="126"/>
      <c r="C326" s="126"/>
      <c r="D326" s="126"/>
      <c r="H326" s="115"/>
      <c r="I326" s="115"/>
      <c r="J326" s="115"/>
      <c r="K326" s="115"/>
      <c r="L326" s="115"/>
      <c r="M326" s="115"/>
      <c r="N326" s="127"/>
      <c r="O326" s="29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25"/>
      <c r="B327" s="126"/>
      <c r="C327" s="126"/>
      <c r="D327" s="126"/>
      <c r="H327" s="115"/>
      <c r="I327" s="115"/>
      <c r="J327" s="115"/>
      <c r="K327" s="115"/>
      <c r="L327" s="115"/>
      <c r="M327" s="115"/>
      <c r="N327" s="127"/>
      <c r="O327" s="29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25"/>
      <c r="B328" s="126"/>
      <c r="C328" s="126"/>
      <c r="D328" s="126"/>
      <c r="H328" s="115"/>
      <c r="I328" s="115"/>
      <c r="J328" s="115"/>
      <c r="K328" s="115"/>
      <c r="L328" s="115"/>
      <c r="M328" s="115"/>
      <c r="N328" s="127"/>
      <c r="O328" s="29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25"/>
      <c r="B329" s="126"/>
      <c r="C329" s="126"/>
      <c r="D329" s="126"/>
      <c r="N329" s="127"/>
      <c r="O329" s="29"/>
      <c r="AE329" s="127"/>
      <c r="AF329" s="29"/>
    </row>
    <row r="330" spans="1:32" ht="19.5" x14ac:dyDescent="0.4">
      <c r="A330" s="125"/>
      <c r="B330" s="126"/>
      <c r="C330" s="126"/>
      <c r="D330" s="126"/>
      <c r="H330" s="115"/>
      <c r="I330" s="115"/>
      <c r="J330" s="115"/>
      <c r="K330" s="115"/>
      <c r="L330" s="115"/>
      <c r="M330" s="115"/>
      <c r="N330" s="29"/>
      <c r="O330" s="29"/>
      <c r="AC330" s="115"/>
      <c r="AD330" s="115"/>
      <c r="AE330" s="29"/>
      <c r="AF330" s="29"/>
    </row>
    <row r="331" spans="1:32" ht="19.5" x14ac:dyDescent="0.4">
      <c r="A331" s="125"/>
      <c r="B331" s="126"/>
      <c r="C331" s="126"/>
      <c r="D331" s="126"/>
      <c r="H331" s="115"/>
      <c r="I331" s="115"/>
      <c r="J331" s="115"/>
      <c r="K331" s="115"/>
      <c r="L331" s="115"/>
      <c r="M331" s="115"/>
      <c r="N331" s="127"/>
      <c r="O331" s="29"/>
      <c r="AA331" s="115"/>
      <c r="AB331" s="115"/>
      <c r="AC331" s="115"/>
      <c r="AD331" s="115"/>
      <c r="AE331" s="127"/>
      <c r="AF331" s="29"/>
    </row>
    <row r="332" spans="1:32" ht="19.5" x14ac:dyDescent="0.4">
      <c r="A332" s="125"/>
      <c r="B332" s="126"/>
      <c r="C332" s="126"/>
      <c r="D332" s="126"/>
      <c r="H332" s="115"/>
      <c r="I332" s="115"/>
      <c r="J332" s="115"/>
      <c r="K332" s="115"/>
      <c r="L332" s="115"/>
      <c r="M332" s="115"/>
      <c r="N332" s="127"/>
      <c r="O332" s="29"/>
      <c r="AA332" s="115"/>
      <c r="AB332" s="115"/>
      <c r="AC332" s="115"/>
      <c r="AD332" s="115"/>
      <c r="AE332" s="127"/>
      <c r="AF332" s="29"/>
    </row>
    <row r="333" spans="1:32" ht="19.5" x14ac:dyDescent="0.4">
      <c r="A333" s="125"/>
      <c r="B333" s="126"/>
      <c r="C333" s="126"/>
      <c r="D333" s="126"/>
      <c r="H333" s="115"/>
      <c r="I333" s="115"/>
      <c r="J333" s="115"/>
      <c r="K333" s="115"/>
      <c r="L333" s="115"/>
      <c r="M333" s="115"/>
      <c r="N333" s="127"/>
      <c r="O333" s="29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25"/>
      <c r="B334" s="126"/>
      <c r="C334" s="126"/>
      <c r="D334" s="126"/>
      <c r="N334" s="127"/>
      <c r="O334" s="29"/>
      <c r="AE334" s="127"/>
      <c r="AF334" s="29"/>
    </row>
    <row r="335" spans="1:32" ht="19.5" x14ac:dyDescent="0.4">
      <c r="A335" s="125"/>
      <c r="B335" s="126"/>
      <c r="C335" s="126"/>
      <c r="D335" s="126"/>
      <c r="H335" s="115"/>
      <c r="I335" s="115"/>
      <c r="J335" s="115"/>
      <c r="K335" s="115"/>
      <c r="L335" s="115"/>
      <c r="M335" s="115"/>
      <c r="N335" s="127"/>
      <c r="O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25"/>
      <c r="B336" s="126"/>
      <c r="C336" s="126"/>
      <c r="D336" s="126"/>
      <c r="H336" s="115"/>
      <c r="I336" s="115"/>
      <c r="J336" s="115"/>
      <c r="K336" s="115"/>
      <c r="L336" s="115"/>
      <c r="M336" s="115"/>
      <c r="N336" s="29"/>
      <c r="O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25"/>
      <c r="B337" s="126"/>
      <c r="C337" s="126"/>
      <c r="D337" s="126"/>
      <c r="H337" s="115"/>
      <c r="I337" s="115"/>
      <c r="J337" s="115"/>
      <c r="K337" s="115"/>
      <c r="L337" s="115"/>
      <c r="M337" s="115"/>
      <c r="N337" s="127"/>
      <c r="O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25"/>
      <c r="B338" s="126"/>
      <c r="C338" s="126"/>
      <c r="D338" s="126"/>
      <c r="H338" s="115"/>
      <c r="I338" s="115"/>
      <c r="J338" s="115"/>
      <c r="K338" s="115"/>
      <c r="L338" s="115"/>
      <c r="M338" s="115"/>
      <c r="N338" s="127"/>
      <c r="O338" s="29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25"/>
      <c r="B339" s="126"/>
      <c r="C339" s="126"/>
      <c r="D339" s="126"/>
      <c r="H339" s="115"/>
      <c r="I339" s="115"/>
      <c r="J339" s="115"/>
      <c r="K339" s="115"/>
      <c r="L339" s="115"/>
      <c r="M339" s="115"/>
      <c r="N339" s="127"/>
      <c r="O339" s="29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25"/>
      <c r="B340" s="126"/>
      <c r="C340" s="126"/>
      <c r="D340" s="126"/>
      <c r="H340" s="115"/>
      <c r="I340" s="115"/>
      <c r="J340" s="115"/>
      <c r="K340" s="115"/>
      <c r="L340" s="115"/>
      <c r="M340" s="115"/>
      <c r="N340" s="127"/>
      <c r="O340" s="29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25"/>
      <c r="B341" s="126"/>
      <c r="C341" s="126"/>
      <c r="D341" s="126"/>
      <c r="H341" s="115"/>
      <c r="I341" s="115"/>
      <c r="J341" s="115"/>
      <c r="K341" s="115"/>
      <c r="L341" s="115"/>
      <c r="M341" s="115"/>
      <c r="N341" s="29"/>
      <c r="O341" s="29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25"/>
      <c r="B342" s="126"/>
      <c r="C342" s="126"/>
      <c r="D342" s="126"/>
      <c r="H342" s="115"/>
      <c r="I342" s="115"/>
      <c r="J342" s="115"/>
      <c r="K342" s="115"/>
      <c r="L342" s="115"/>
      <c r="M342" s="115"/>
      <c r="N342" s="127"/>
      <c r="O342" s="29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25"/>
      <c r="B343" s="126"/>
      <c r="C343" s="126"/>
      <c r="D343" s="126"/>
      <c r="H343" s="115"/>
      <c r="I343" s="115"/>
      <c r="J343" s="115"/>
      <c r="K343" s="115"/>
      <c r="L343" s="115"/>
      <c r="M343" s="115"/>
      <c r="N343" s="127"/>
      <c r="O343" s="29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25"/>
      <c r="B344" s="126"/>
      <c r="C344" s="126"/>
      <c r="D344" s="126"/>
      <c r="H344" s="115"/>
      <c r="I344" s="115"/>
      <c r="J344" s="115"/>
      <c r="K344" s="115"/>
      <c r="L344" s="115"/>
      <c r="M344" s="115"/>
      <c r="N344" s="29"/>
      <c r="O344" s="29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25"/>
      <c r="B345" s="126"/>
      <c r="C345" s="126"/>
      <c r="D345" s="126"/>
      <c r="H345" s="115"/>
      <c r="I345" s="115"/>
      <c r="J345" s="115"/>
      <c r="K345" s="115"/>
      <c r="L345" s="115"/>
      <c r="M345" s="115"/>
      <c r="N345" s="127"/>
      <c r="O345" s="29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25"/>
      <c r="B346" s="126"/>
      <c r="C346" s="126"/>
      <c r="D346" s="126"/>
      <c r="H346" s="115"/>
      <c r="I346" s="115"/>
      <c r="J346" s="115"/>
      <c r="K346" s="115"/>
      <c r="L346" s="115"/>
      <c r="M346" s="115"/>
      <c r="N346" s="29"/>
      <c r="O346" s="29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25"/>
      <c r="B347" s="126"/>
      <c r="C347" s="126"/>
      <c r="D347" s="126"/>
      <c r="N347" s="127"/>
      <c r="O347" s="29"/>
      <c r="AE347" s="127"/>
      <c r="AF347" s="29"/>
    </row>
    <row r="348" spans="1:32" ht="19.5" x14ac:dyDescent="0.4">
      <c r="A348" s="125"/>
      <c r="B348" s="126"/>
      <c r="C348" s="126"/>
      <c r="D348" s="126"/>
      <c r="H348" s="115"/>
      <c r="I348" s="115"/>
      <c r="J348" s="115"/>
      <c r="K348" s="115"/>
      <c r="L348" s="115"/>
      <c r="M348" s="115"/>
      <c r="N348" s="29"/>
      <c r="O348" s="29"/>
      <c r="AC348" s="115"/>
      <c r="AD348" s="115"/>
      <c r="AE348" s="29"/>
      <c r="AF348" s="29"/>
    </row>
    <row r="349" spans="1:32" ht="19.5" x14ac:dyDescent="0.4">
      <c r="A349" s="125"/>
      <c r="B349" s="126"/>
      <c r="C349" s="126"/>
      <c r="D349" s="126"/>
      <c r="H349" s="115"/>
      <c r="I349" s="115"/>
      <c r="J349" s="115"/>
      <c r="K349" s="115"/>
      <c r="L349" s="115"/>
      <c r="M349" s="115"/>
      <c r="N349" s="29"/>
      <c r="O349" s="29"/>
      <c r="AC349" s="115"/>
      <c r="AD349" s="115"/>
      <c r="AE349" s="29"/>
      <c r="AF349" s="29"/>
    </row>
    <row r="350" spans="1:32" ht="19.5" x14ac:dyDescent="0.4">
      <c r="A350" s="125"/>
      <c r="B350" s="126"/>
      <c r="C350" s="126"/>
      <c r="D350" s="126"/>
      <c r="H350" s="115"/>
      <c r="I350" s="115"/>
      <c r="J350" s="115"/>
      <c r="K350" s="115"/>
      <c r="L350" s="115"/>
      <c r="M350" s="115"/>
      <c r="N350" s="29"/>
      <c r="O350" s="29"/>
      <c r="AB350" s="115"/>
      <c r="AC350" s="115"/>
      <c r="AD350" s="115"/>
      <c r="AE350" s="29"/>
      <c r="AF350" s="29"/>
    </row>
    <row r="351" spans="1:32" ht="19.5" x14ac:dyDescent="0.4">
      <c r="A351" s="125"/>
      <c r="B351" s="126"/>
      <c r="C351" s="126"/>
      <c r="D351" s="126"/>
      <c r="H351" s="115"/>
      <c r="I351" s="115"/>
      <c r="J351" s="115"/>
      <c r="K351" s="115"/>
      <c r="L351" s="115"/>
      <c r="M351" s="115"/>
      <c r="N351" s="127"/>
      <c r="O351" s="29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25"/>
      <c r="B352" s="126"/>
      <c r="C352" s="126"/>
      <c r="D352" s="126"/>
      <c r="H352" s="115"/>
      <c r="I352" s="115"/>
      <c r="J352" s="115"/>
      <c r="K352" s="115"/>
      <c r="L352" s="115"/>
      <c r="M352" s="115"/>
      <c r="N352" s="127"/>
      <c r="O352" s="29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25"/>
      <c r="B353" s="126"/>
      <c r="C353" s="126"/>
      <c r="D353" s="126"/>
      <c r="N353" s="127"/>
      <c r="O353" s="29"/>
      <c r="AE353" s="127"/>
      <c r="AF353" s="29"/>
    </row>
    <row r="354" spans="1:32" ht="19.5" x14ac:dyDescent="0.4">
      <c r="A354" s="125"/>
      <c r="B354" s="126"/>
      <c r="C354" s="126"/>
      <c r="D354" s="126"/>
      <c r="H354" s="115"/>
      <c r="I354" s="115"/>
      <c r="J354" s="115"/>
      <c r="K354" s="115"/>
      <c r="L354" s="115"/>
      <c r="M354" s="115"/>
      <c r="N354" s="127"/>
      <c r="O354" s="29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25"/>
      <c r="B355" s="126"/>
      <c r="C355" s="126"/>
      <c r="D355" s="126"/>
      <c r="H355" s="115"/>
      <c r="I355" s="115"/>
      <c r="J355" s="115"/>
      <c r="K355" s="115"/>
      <c r="L355" s="115"/>
      <c r="M355" s="115"/>
      <c r="N355" s="127"/>
      <c r="O355" s="29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25"/>
      <c r="B356" s="126"/>
      <c r="C356" s="126"/>
      <c r="D356" s="126"/>
      <c r="H356" s="115"/>
      <c r="I356" s="115"/>
      <c r="J356" s="115"/>
      <c r="K356" s="115"/>
      <c r="L356" s="115"/>
      <c r="M356" s="115"/>
      <c r="N356" s="127"/>
      <c r="O356" s="29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25"/>
      <c r="B357" s="126"/>
      <c r="C357" s="126"/>
      <c r="D357" s="126"/>
      <c r="N357" s="127"/>
      <c r="O357" s="29"/>
      <c r="AE357" s="127"/>
      <c r="AF357" s="29"/>
    </row>
    <row r="358" spans="1:32" ht="19.5" x14ac:dyDescent="0.4">
      <c r="A358" s="125"/>
      <c r="B358" s="126"/>
      <c r="C358" s="126"/>
      <c r="D358" s="126"/>
      <c r="H358" s="115"/>
      <c r="I358" s="115"/>
      <c r="J358" s="115"/>
      <c r="K358" s="115"/>
      <c r="L358" s="115"/>
      <c r="M358" s="115"/>
      <c r="N358" s="127"/>
      <c r="O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25"/>
      <c r="B359" s="126"/>
      <c r="C359" s="126"/>
      <c r="D359" s="126"/>
      <c r="H359" s="115"/>
      <c r="I359" s="115"/>
      <c r="J359" s="115"/>
      <c r="K359" s="115"/>
      <c r="L359" s="115"/>
      <c r="M359" s="115"/>
      <c r="N359" s="29"/>
      <c r="O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25"/>
      <c r="B360" s="126"/>
      <c r="C360" s="126"/>
      <c r="D360" s="126"/>
      <c r="H360" s="115"/>
      <c r="I360" s="115"/>
      <c r="J360" s="115"/>
      <c r="K360" s="115"/>
      <c r="L360" s="115"/>
      <c r="M360" s="115"/>
      <c r="N360" s="127"/>
      <c r="O360" s="29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25"/>
      <c r="B361" s="126"/>
      <c r="C361" s="126"/>
      <c r="D361" s="126"/>
      <c r="H361" s="115"/>
      <c r="I361" s="115"/>
      <c r="J361" s="115"/>
      <c r="K361" s="115"/>
      <c r="L361" s="115"/>
      <c r="M361" s="115"/>
      <c r="N361" s="127"/>
      <c r="O361" s="29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25"/>
      <c r="B362" s="126"/>
      <c r="C362" s="126"/>
      <c r="D362" s="126"/>
      <c r="H362" s="115"/>
      <c r="I362" s="115"/>
      <c r="J362" s="115"/>
      <c r="K362" s="115"/>
      <c r="L362" s="115"/>
      <c r="M362" s="115"/>
      <c r="N362" s="127"/>
      <c r="O362" s="29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25"/>
      <c r="B363" s="126"/>
      <c r="C363" s="126"/>
      <c r="D363" s="126"/>
      <c r="H363" s="115"/>
      <c r="I363" s="115"/>
      <c r="J363" s="115"/>
      <c r="K363" s="115"/>
      <c r="L363" s="115"/>
      <c r="M363" s="115"/>
      <c r="N363" s="127"/>
      <c r="O363" s="29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25"/>
      <c r="B364" s="126"/>
      <c r="C364" s="126"/>
      <c r="D364" s="126"/>
      <c r="N364" s="127"/>
      <c r="O364" s="29"/>
      <c r="AE364" s="127"/>
      <c r="AF364" s="29"/>
    </row>
    <row r="365" spans="1:32" ht="19.5" x14ac:dyDescent="0.4">
      <c r="A365" s="125"/>
      <c r="B365" s="126"/>
      <c r="C365" s="126"/>
      <c r="D365" s="126"/>
      <c r="H365" s="115"/>
      <c r="I365" s="115"/>
      <c r="J365" s="115"/>
      <c r="K365" s="115"/>
      <c r="L365" s="115"/>
      <c r="M365" s="115"/>
      <c r="N365" s="127"/>
      <c r="O365" s="29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25"/>
      <c r="B366" s="126"/>
      <c r="C366" s="126"/>
      <c r="D366" s="126"/>
      <c r="H366" s="115"/>
      <c r="I366" s="115"/>
      <c r="J366" s="115"/>
      <c r="K366" s="115"/>
      <c r="L366" s="115"/>
      <c r="M366" s="115"/>
      <c r="N366" s="127"/>
      <c r="O366" s="29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25"/>
      <c r="B367" s="126"/>
      <c r="C367" s="126"/>
      <c r="D367" s="126"/>
      <c r="H367" s="115"/>
      <c r="I367" s="115"/>
      <c r="J367" s="115"/>
      <c r="K367" s="115"/>
      <c r="L367" s="115"/>
      <c r="M367" s="115"/>
      <c r="N367" s="127"/>
      <c r="O367" s="29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25"/>
      <c r="B368" s="126"/>
      <c r="C368" s="126"/>
      <c r="D368" s="126"/>
      <c r="H368" s="115"/>
      <c r="I368" s="115"/>
      <c r="J368" s="115"/>
      <c r="K368" s="115"/>
      <c r="L368" s="115"/>
      <c r="M368" s="115"/>
      <c r="N368" s="127"/>
      <c r="O368" s="29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25"/>
      <c r="B369" s="126"/>
      <c r="C369" s="126"/>
      <c r="D369" s="126"/>
      <c r="H369" s="115"/>
      <c r="I369" s="115"/>
      <c r="J369" s="115"/>
      <c r="K369" s="115"/>
      <c r="L369" s="115"/>
      <c r="M369" s="115"/>
      <c r="N369" s="127"/>
      <c r="O369" s="29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25"/>
      <c r="B370" s="126"/>
      <c r="C370" s="126"/>
      <c r="D370" s="126"/>
      <c r="H370" s="115"/>
      <c r="I370" s="115"/>
      <c r="J370" s="115"/>
      <c r="K370" s="115"/>
      <c r="L370" s="115"/>
      <c r="M370" s="115"/>
      <c r="N370" s="127"/>
      <c r="O370" s="29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25"/>
      <c r="B371" s="126"/>
      <c r="C371" s="126"/>
      <c r="D371" s="126"/>
      <c r="H371" s="115"/>
      <c r="I371" s="115"/>
      <c r="J371" s="115"/>
      <c r="K371" s="115"/>
      <c r="L371" s="115"/>
      <c r="M371" s="115"/>
      <c r="N371" s="127"/>
      <c r="O371" s="29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25"/>
      <c r="B372" s="126"/>
      <c r="C372" s="126"/>
      <c r="D372" s="126"/>
      <c r="H372" s="115"/>
      <c r="I372" s="115"/>
      <c r="J372" s="115"/>
      <c r="K372" s="115"/>
      <c r="L372" s="115"/>
      <c r="M372" s="115"/>
      <c r="N372" s="29"/>
      <c r="O372" s="29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25"/>
      <c r="B373" s="126"/>
      <c r="C373" s="126"/>
      <c r="D373" s="126"/>
      <c r="H373" s="115"/>
      <c r="I373" s="115"/>
      <c r="J373" s="115"/>
      <c r="K373" s="115"/>
      <c r="L373" s="115"/>
      <c r="M373" s="115"/>
      <c r="N373" s="127"/>
      <c r="O373" s="29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25"/>
      <c r="B374" s="126"/>
      <c r="C374" s="126"/>
      <c r="D374" s="126"/>
      <c r="H374" s="115"/>
      <c r="I374" s="115"/>
      <c r="J374" s="115"/>
      <c r="K374" s="115"/>
      <c r="L374" s="115"/>
      <c r="M374" s="115"/>
      <c r="N374" s="127"/>
      <c r="O374" s="29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25"/>
      <c r="B375" s="126"/>
      <c r="C375" s="126"/>
      <c r="D375" s="126"/>
      <c r="H375" s="115"/>
      <c r="I375" s="115"/>
      <c r="J375" s="115"/>
      <c r="K375" s="115"/>
      <c r="L375" s="115"/>
      <c r="M375" s="115"/>
      <c r="N375" s="29"/>
      <c r="O375" s="29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25"/>
      <c r="B376" s="126"/>
      <c r="C376" s="126"/>
      <c r="D376" s="126"/>
      <c r="N376" s="127"/>
      <c r="O376" s="29"/>
      <c r="AE376" s="127"/>
      <c r="AF376" s="29"/>
    </row>
    <row r="377" spans="1:32" ht="19.5" x14ac:dyDescent="0.4">
      <c r="A377" s="125"/>
      <c r="B377" s="126"/>
      <c r="C377" s="126"/>
      <c r="D377" s="126"/>
      <c r="N377" s="127"/>
      <c r="O377" s="29"/>
      <c r="AE377" s="127"/>
      <c r="AF377" s="29"/>
    </row>
    <row r="378" spans="1:32" ht="19.5" x14ac:dyDescent="0.4">
      <c r="A378" s="125"/>
      <c r="B378" s="126"/>
      <c r="C378" s="126"/>
      <c r="D378" s="126"/>
      <c r="H378" s="115"/>
      <c r="I378" s="115"/>
      <c r="J378" s="115"/>
      <c r="K378" s="115"/>
      <c r="L378" s="115"/>
      <c r="M378" s="115"/>
      <c r="N378" s="127"/>
      <c r="O378" s="29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25"/>
      <c r="B379" s="126"/>
      <c r="C379" s="126"/>
      <c r="D379" s="126"/>
      <c r="N379" s="127"/>
      <c r="O379" s="29"/>
      <c r="AE379" s="127"/>
      <c r="AF379" s="29"/>
    </row>
    <row r="380" spans="1:32" ht="19.5" x14ac:dyDescent="0.4">
      <c r="A380" s="125"/>
      <c r="B380" s="126"/>
      <c r="C380" s="126"/>
      <c r="D380" s="126"/>
      <c r="H380" s="115"/>
      <c r="I380" s="115"/>
      <c r="J380" s="115"/>
      <c r="K380" s="115"/>
      <c r="L380" s="115"/>
      <c r="M380" s="115"/>
      <c r="N380" s="127"/>
      <c r="O380" s="29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25"/>
      <c r="B381" s="126"/>
      <c r="C381" s="126"/>
      <c r="D381" s="126"/>
      <c r="H381" s="115"/>
      <c r="I381" s="115"/>
      <c r="J381" s="115"/>
      <c r="K381" s="115"/>
      <c r="L381" s="115"/>
      <c r="M381" s="115"/>
      <c r="N381" s="29"/>
      <c r="O381" s="29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25"/>
      <c r="B382" s="126"/>
      <c r="C382" s="126"/>
      <c r="D382" s="126"/>
      <c r="H382" s="115"/>
      <c r="I382" s="115"/>
      <c r="J382" s="115"/>
      <c r="K382" s="115"/>
      <c r="L382" s="115"/>
      <c r="M382" s="115"/>
      <c r="N382" s="127"/>
      <c r="O382" s="29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25"/>
      <c r="B383" s="126"/>
      <c r="C383" s="126"/>
      <c r="D383" s="126"/>
      <c r="H383" s="115"/>
      <c r="I383" s="115"/>
      <c r="J383" s="115"/>
      <c r="K383" s="115"/>
      <c r="L383" s="115"/>
      <c r="M383" s="115"/>
      <c r="N383" s="127"/>
      <c r="O383" s="29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25"/>
      <c r="B384" s="126"/>
      <c r="C384" s="126"/>
      <c r="D384" s="126"/>
      <c r="H384" s="115"/>
      <c r="I384" s="115"/>
      <c r="J384" s="115"/>
      <c r="K384" s="115"/>
      <c r="L384" s="115"/>
      <c r="M384" s="115"/>
      <c r="N384" s="127"/>
      <c r="O384" s="29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25"/>
      <c r="B385" s="126"/>
      <c r="C385" s="126"/>
      <c r="D385" s="126"/>
      <c r="H385" s="115"/>
      <c r="I385" s="115"/>
      <c r="J385" s="115"/>
      <c r="K385" s="115"/>
      <c r="L385" s="115"/>
      <c r="M385" s="115"/>
      <c r="N385" s="127"/>
      <c r="O385" s="29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25"/>
      <c r="B386" s="126"/>
      <c r="C386" s="126"/>
      <c r="D386" s="126"/>
      <c r="H386" s="115"/>
      <c r="I386" s="115"/>
      <c r="J386" s="115"/>
      <c r="K386" s="115"/>
      <c r="L386" s="115"/>
      <c r="M386" s="115"/>
      <c r="N386" s="127"/>
      <c r="O386" s="29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25"/>
      <c r="B387" s="126"/>
      <c r="C387" s="126"/>
      <c r="D387" s="126"/>
      <c r="H387" s="115"/>
      <c r="I387" s="115"/>
      <c r="J387" s="115"/>
      <c r="K387" s="115"/>
      <c r="L387" s="115"/>
      <c r="M387" s="115"/>
      <c r="N387" s="29"/>
      <c r="O387" s="29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25"/>
      <c r="B388" s="126"/>
      <c r="C388" s="126"/>
      <c r="D388" s="126"/>
      <c r="H388" s="115"/>
      <c r="I388" s="115"/>
      <c r="J388" s="115"/>
      <c r="K388" s="115"/>
      <c r="L388" s="115"/>
      <c r="M388" s="115"/>
      <c r="N388" s="127"/>
      <c r="O388" s="29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25"/>
      <c r="B389" s="126"/>
      <c r="C389" s="126"/>
      <c r="D389" s="126"/>
      <c r="H389" s="115"/>
      <c r="I389" s="115"/>
      <c r="J389" s="115"/>
      <c r="K389" s="115"/>
      <c r="L389" s="115"/>
      <c r="M389" s="115"/>
      <c r="N389" s="29"/>
      <c r="O389" s="29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25"/>
      <c r="B390" s="126"/>
      <c r="C390" s="126"/>
      <c r="D390" s="126"/>
      <c r="H390" s="115"/>
      <c r="I390" s="115"/>
      <c r="J390" s="115"/>
      <c r="K390" s="115"/>
      <c r="L390" s="115"/>
      <c r="M390" s="115"/>
      <c r="N390" s="29"/>
      <c r="O390" s="29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25"/>
      <c r="B391" s="126"/>
      <c r="C391" s="126"/>
      <c r="D391" s="126"/>
      <c r="H391" s="115"/>
      <c r="I391" s="115"/>
      <c r="J391" s="115"/>
      <c r="K391" s="115"/>
      <c r="L391" s="115"/>
      <c r="M391" s="115"/>
      <c r="N391" s="127"/>
      <c r="O391" s="29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25"/>
      <c r="B392" s="126"/>
      <c r="C392" s="126"/>
      <c r="D392" s="126"/>
      <c r="H392" s="115"/>
      <c r="I392" s="115"/>
      <c r="J392" s="115"/>
      <c r="K392" s="115"/>
      <c r="L392" s="115"/>
      <c r="M392" s="115"/>
      <c r="N392" s="127"/>
      <c r="O392" s="29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25"/>
      <c r="B393" s="126"/>
      <c r="C393" s="126"/>
      <c r="D393" s="126"/>
      <c r="H393" s="115"/>
      <c r="I393" s="115"/>
      <c r="J393" s="115"/>
      <c r="K393" s="115"/>
      <c r="L393" s="115"/>
      <c r="M393" s="115"/>
      <c r="N393" s="29"/>
      <c r="O393" s="29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25"/>
      <c r="B394" s="126"/>
      <c r="C394" s="126"/>
      <c r="D394" s="126"/>
      <c r="H394" s="115"/>
      <c r="I394" s="115"/>
      <c r="J394" s="115"/>
      <c r="K394" s="115"/>
      <c r="L394" s="115"/>
      <c r="M394" s="115"/>
      <c r="N394" s="127"/>
      <c r="O394" s="29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25"/>
      <c r="B395" s="126"/>
      <c r="C395" s="126"/>
      <c r="D395" s="126"/>
      <c r="H395" s="115"/>
      <c r="I395" s="115"/>
      <c r="J395" s="115"/>
      <c r="K395" s="115"/>
      <c r="L395" s="115"/>
      <c r="M395" s="115"/>
      <c r="N395" s="127"/>
      <c r="O395" s="29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25"/>
      <c r="B396" s="126"/>
      <c r="C396" s="126"/>
      <c r="D396" s="126"/>
      <c r="N396" s="127"/>
      <c r="O396" s="29"/>
      <c r="AE396" s="127"/>
      <c r="AF396" s="29"/>
    </row>
    <row r="397" spans="1:32" ht="19.5" x14ac:dyDescent="0.4">
      <c r="A397" s="125"/>
      <c r="B397" s="126"/>
      <c r="C397" s="126"/>
      <c r="D397" s="126"/>
      <c r="H397" s="115"/>
      <c r="I397" s="115"/>
      <c r="J397" s="115"/>
      <c r="K397" s="115"/>
      <c r="L397" s="115"/>
      <c r="M397" s="115"/>
      <c r="N397" s="127"/>
      <c r="O397" s="29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25"/>
      <c r="B398" s="126"/>
      <c r="C398" s="126"/>
      <c r="D398" s="126"/>
      <c r="H398" s="115"/>
      <c r="I398" s="115"/>
      <c r="J398" s="115"/>
      <c r="K398" s="115"/>
      <c r="L398" s="115"/>
      <c r="M398" s="115"/>
      <c r="N398" s="127"/>
      <c r="O398" s="29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25"/>
      <c r="B399" s="126"/>
      <c r="C399" s="126"/>
      <c r="D399" s="126"/>
      <c r="H399" s="115"/>
      <c r="I399" s="115"/>
      <c r="J399" s="115"/>
      <c r="K399" s="115"/>
      <c r="L399" s="115"/>
      <c r="M399" s="115"/>
      <c r="N399" s="127"/>
      <c r="O399" s="29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25"/>
      <c r="B400" s="126"/>
      <c r="C400" s="126"/>
      <c r="D400" s="126"/>
      <c r="H400" s="115"/>
      <c r="I400" s="115"/>
      <c r="J400" s="115"/>
      <c r="K400" s="115"/>
      <c r="L400" s="115"/>
      <c r="M400" s="115"/>
      <c r="N400" s="127"/>
      <c r="O400" s="29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25"/>
      <c r="B401" s="126"/>
      <c r="C401" s="126"/>
      <c r="D401" s="126"/>
      <c r="N401" s="127"/>
      <c r="O401" s="29"/>
      <c r="AE401" s="127"/>
      <c r="AF401" s="29"/>
    </row>
    <row r="402" spans="1:32" ht="19.5" x14ac:dyDescent="0.4">
      <c r="A402" s="125"/>
      <c r="B402" s="126"/>
      <c r="C402" s="126"/>
      <c r="D402" s="126"/>
      <c r="H402" s="115"/>
      <c r="I402" s="115"/>
      <c r="J402" s="115"/>
      <c r="K402" s="115"/>
      <c r="L402" s="115"/>
      <c r="M402" s="115"/>
      <c r="N402" s="127"/>
      <c r="O402" s="29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25"/>
      <c r="B403" s="126"/>
      <c r="C403" s="126"/>
      <c r="D403" s="126"/>
      <c r="H403" s="115"/>
      <c r="I403" s="115"/>
      <c r="J403" s="115"/>
      <c r="K403" s="115"/>
      <c r="L403" s="115"/>
      <c r="M403" s="115"/>
      <c r="N403" s="127"/>
      <c r="O403" s="29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25"/>
      <c r="B404" s="126"/>
      <c r="C404" s="126"/>
      <c r="D404" s="126"/>
      <c r="H404" s="115"/>
      <c r="I404" s="115"/>
      <c r="J404" s="115"/>
      <c r="K404" s="115"/>
      <c r="L404" s="115"/>
      <c r="M404" s="115"/>
      <c r="N404" s="29"/>
      <c r="O404" s="29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25"/>
      <c r="B405" s="126"/>
      <c r="C405" s="126"/>
      <c r="D405" s="126"/>
      <c r="N405" s="127"/>
      <c r="O405" s="29"/>
      <c r="AE405" s="127"/>
      <c r="AF405" s="29"/>
    </row>
    <row r="406" spans="1:32" ht="19.5" x14ac:dyDescent="0.4">
      <c r="A406" s="125"/>
      <c r="B406" s="126"/>
      <c r="C406" s="126"/>
      <c r="D406" s="126"/>
      <c r="H406" s="115"/>
      <c r="I406" s="115"/>
      <c r="J406" s="115"/>
      <c r="K406" s="115"/>
      <c r="L406" s="115"/>
      <c r="M406" s="115"/>
      <c r="N406" s="127"/>
      <c r="O406" s="29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25"/>
      <c r="B407" s="126"/>
      <c r="C407" s="126"/>
      <c r="D407" s="126"/>
      <c r="H407" s="115"/>
      <c r="I407" s="115"/>
      <c r="J407" s="115"/>
      <c r="K407" s="115"/>
      <c r="L407" s="115"/>
      <c r="M407" s="115"/>
      <c r="N407" s="127"/>
      <c r="O407" s="29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25"/>
      <c r="B408" s="126"/>
      <c r="C408" s="126"/>
      <c r="D408" s="126"/>
      <c r="H408" s="115"/>
      <c r="I408" s="115"/>
      <c r="J408" s="115"/>
      <c r="K408" s="115"/>
      <c r="L408" s="115"/>
      <c r="M408" s="115"/>
      <c r="N408" s="29"/>
      <c r="O408" s="29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25"/>
      <c r="B409" s="126"/>
      <c r="C409" s="126"/>
      <c r="D409" s="126"/>
      <c r="N409" s="127"/>
      <c r="O409" s="29"/>
      <c r="AE409" s="127"/>
      <c r="AF409" s="29"/>
    </row>
    <row r="410" spans="1:32" ht="19.5" x14ac:dyDescent="0.4">
      <c r="A410" s="125"/>
      <c r="B410" s="126"/>
      <c r="C410" s="126"/>
      <c r="D410" s="126"/>
      <c r="H410" s="115"/>
      <c r="I410" s="115"/>
      <c r="J410" s="115"/>
      <c r="K410" s="115"/>
      <c r="L410" s="115"/>
      <c r="M410" s="115"/>
      <c r="N410" s="29"/>
      <c r="O410" s="29"/>
      <c r="AA410" s="115"/>
      <c r="AB410" s="115"/>
      <c r="AC410" s="115"/>
      <c r="AD410" s="115"/>
      <c r="AE410" s="29"/>
      <c r="AF410" s="29"/>
    </row>
    <row r="411" spans="1:32" ht="19.5" x14ac:dyDescent="0.4">
      <c r="A411" s="125"/>
      <c r="B411" s="126"/>
      <c r="C411" s="126"/>
      <c r="D411" s="126"/>
      <c r="N411" s="127"/>
      <c r="O411" s="29"/>
      <c r="AE411" s="127"/>
      <c r="AF411" s="29"/>
    </row>
    <row r="412" spans="1:32" ht="19.5" x14ac:dyDescent="0.4">
      <c r="A412" s="125"/>
      <c r="B412" s="126"/>
      <c r="C412" s="126"/>
      <c r="D412" s="126"/>
      <c r="H412" s="115"/>
      <c r="I412" s="115"/>
      <c r="J412" s="115"/>
      <c r="K412" s="115"/>
      <c r="L412" s="115"/>
      <c r="M412" s="115"/>
      <c r="N412" s="127"/>
      <c r="O412" s="29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25"/>
      <c r="B413" s="126"/>
      <c r="C413" s="126"/>
      <c r="D413" s="126"/>
      <c r="N413" s="127"/>
      <c r="O413" s="29"/>
      <c r="AE413" s="127"/>
      <c r="AF413" s="29"/>
    </row>
    <row r="414" spans="1:32" ht="19.5" x14ac:dyDescent="0.4">
      <c r="A414" s="125"/>
      <c r="B414" s="126"/>
      <c r="C414" s="126"/>
      <c r="D414" s="126"/>
      <c r="H414" s="115"/>
      <c r="I414" s="115"/>
      <c r="J414" s="115"/>
      <c r="K414" s="115"/>
      <c r="L414" s="115"/>
      <c r="M414" s="115"/>
      <c r="N414" s="127"/>
      <c r="O414" s="29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25"/>
      <c r="B415" s="126"/>
      <c r="C415" s="126"/>
      <c r="D415" s="126"/>
      <c r="N415" s="127"/>
      <c r="O415" s="29"/>
      <c r="AE415" s="127"/>
      <c r="AF415" s="29"/>
    </row>
    <row r="416" spans="1:32" ht="19.5" x14ac:dyDescent="0.4">
      <c r="A416" s="125"/>
      <c r="B416" s="126"/>
      <c r="C416" s="126"/>
      <c r="D416" s="126"/>
      <c r="H416" s="115"/>
      <c r="I416" s="115"/>
      <c r="J416" s="115"/>
      <c r="K416" s="115"/>
      <c r="L416" s="115"/>
      <c r="M416" s="115"/>
      <c r="N416" s="127"/>
      <c r="O416" s="29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25"/>
      <c r="B417" s="126"/>
      <c r="C417" s="126"/>
      <c r="D417" s="126"/>
      <c r="H417" s="115"/>
      <c r="I417" s="115"/>
      <c r="J417" s="115"/>
      <c r="K417" s="115"/>
      <c r="L417" s="115"/>
      <c r="M417" s="115"/>
      <c r="N417" s="29"/>
      <c r="O417" s="29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25"/>
      <c r="B418" s="126"/>
      <c r="C418" s="126"/>
      <c r="D418" s="126"/>
      <c r="H418" s="115"/>
      <c r="I418" s="115"/>
      <c r="J418" s="115"/>
      <c r="K418" s="115"/>
      <c r="L418" s="115"/>
      <c r="M418" s="115"/>
      <c r="N418" s="127"/>
      <c r="O418" s="29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25"/>
      <c r="B419" s="126"/>
      <c r="C419" s="126"/>
      <c r="D419" s="126"/>
      <c r="H419" s="115"/>
      <c r="I419" s="115"/>
      <c r="J419" s="115"/>
      <c r="K419" s="115"/>
      <c r="L419" s="115"/>
      <c r="M419" s="115"/>
      <c r="N419" s="29"/>
      <c r="O419" s="29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25"/>
      <c r="B420" s="126"/>
      <c r="C420" s="126"/>
      <c r="D420" s="126"/>
      <c r="H420" s="115"/>
      <c r="I420" s="115"/>
      <c r="J420" s="115"/>
      <c r="K420" s="115"/>
      <c r="L420" s="115"/>
      <c r="M420" s="115"/>
      <c r="N420" s="29"/>
      <c r="O420" s="29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25"/>
      <c r="B421" s="126"/>
      <c r="C421" s="126"/>
      <c r="D421" s="126"/>
      <c r="H421" s="115"/>
      <c r="I421" s="115"/>
      <c r="J421" s="115"/>
      <c r="K421" s="115"/>
      <c r="L421" s="115"/>
      <c r="M421" s="115"/>
      <c r="N421" s="29"/>
      <c r="O421" s="29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25"/>
      <c r="B422" s="126"/>
      <c r="C422" s="126"/>
      <c r="D422" s="126"/>
      <c r="H422" s="115"/>
      <c r="I422" s="115"/>
      <c r="J422" s="115"/>
      <c r="K422" s="115"/>
      <c r="L422" s="115"/>
      <c r="M422" s="115"/>
      <c r="N422" s="127"/>
      <c r="O422" s="2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25"/>
      <c r="B423" s="126"/>
      <c r="C423" s="126"/>
      <c r="D423" s="126"/>
      <c r="H423" s="115"/>
      <c r="I423" s="115"/>
      <c r="J423" s="115"/>
      <c r="K423" s="115"/>
      <c r="L423" s="115"/>
      <c r="M423" s="115"/>
      <c r="N423" s="127"/>
      <c r="O423" s="2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25"/>
      <c r="B424" s="126"/>
      <c r="C424" s="126"/>
      <c r="D424" s="126"/>
      <c r="N424" s="127"/>
      <c r="O424" s="29"/>
      <c r="AE424" s="127"/>
      <c r="AF424" s="29"/>
    </row>
    <row r="425" spans="1:32" ht="19.5" x14ac:dyDescent="0.4">
      <c r="A425" s="125"/>
      <c r="B425" s="126"/>
      <c r="C425" s="126"/>
      <c r="D425" s="126"/>
      <c r="H425" s="115"/>
      <c r="I425" s="115"/>
      <c r="J425" s="115"/>
      <c r="K425" s="115"/>
      <c r="L425" s="115"/>
      <c r="M425" s="115"/>
      <c r="N425" s="29"/>
      <c r="O425" s="29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25"/>
      <c r="B426" s="126"/>
      <c r="C426" s="126"/>
      <c r="D426" s="126"/>
      <c r="H426" s="115"/>
      <c r="I426" s="115"/>
      <c r="J426" s="115"/>
      <c r="K426" s="115"/>
      <c r="L426" s="115"/>
      <c r="M426" s="115"/>
      <c r="N426" s="127"/>
      <c r="O426" s="29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25"/>
      <c r="B427" s="126"/>
      <c r="C427" s="126"/>
      <c r="D427" s="126"/>
      <c r="N427" s="127"/>
      <c r="O427" s="29"/>
      <c r="AE427" s="127"/>
      <c r="AF427" s="29"/>
    </row>
    <row r="428" spans="1:32" ht="19.5" x14ac:dyDescent="0.4">
      <c r="A428" s="125"/>
      <c r="B428" s="126"/>
      <c r="C428" s="126"/>
      <c r="D428" s="126"/>
      <c r="H428" s="115"/>
      <c r="I428" s="115"/>
      <c r="J428" s="115"/>
      <c r="K428" s="115"/>
      <c r="L428" s="115"/>
      <c r="M428" s="115"/>
      <c r="N428" s="127"/>
      <c r="O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25"/>
      <c r="B429" s="126"/>
      <c r="C429" s="126"/>
      <c r="D429" s="126"/>
      <c r="H429" s="115"/>
      <c r="I429" s="115"/>
      <c r="J429" s="115"/>
      <c r="K429" s="115"/>
      <c r="L429" s="115"/>
      <c r="M429" s="115"/>
      <c r="N429" s="127"/>
      <c r="O429" s="29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25"/>
      <c r="B430" s="126"/>
      <c r="C430" s="126"/>
      <c r="D430" s="126"/>
      <c r="H430" s="115"/>
      <c r="I430" s="115"/>
      <c r="J430" s="115"/>
      <c r="K430" s="115"/>
      <c r="L430" s="115"/>
      <c r="M430" s="115"/>
      <c r="N430" s="127"/>
      <c r="O430" s="29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25"/>
      <c r="B431" s="126"/>
      <c r="C431" s="126"/>
      <c r="D431" s="126"/>
      <c r="H431" s="115"/>
      <c r="I431" s="115"/>
      <c r="J431" s="115"/>
      <c r="K431" s="115"/>
      <c r="L431" s="115"/>
      <c r="M431" s="115"/>
      <c r="N431" s="127"/>
      <c r="O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25"/>
      <c r="B432" s="126"/>
      <c r="C432" s="126"/>
      <c r="D432" s="126"/>
      <c r="H432" s="115"/>
      <c r="I432" s="115"/>
      <c r="J432" s="115"/>
      <c r="K432" s="115"/>
      <c r="L432" s="115"/>
      <c r="M432" s="115"/>
      <c r="N432" s="29"/>
      <c r="O432" s="29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25"/>
      <c r="B433" s="126"/>
      <c r="C433" s="126"/>
      <c r="D433" s="126"/>
      <c r="H433" s="115"/>
      <c r="I433" s="115"/>
      <c r="J433" s="115"/>
      <c r="K433" s="115"/>
      <c r="L433" s="115"/>
      <c r="M433" s="115"/>
      <c r="N433" s="127"/>
      <c r="O433" s="29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25"/>
      <c r="B434" s="126"/>
      <c r="C434" s="126"/>
      <c r="D434" s="126"/>
      <c r="H434" s="115"/>
      <c r="I434" s="115"/>
      <c r="J434" s="115"/>
      <c r="K434" s="115"/>
      <c r="L434" s="115"/>
      <c r="M434" s="115"/>
      <c r="N434" s="127"/>
      <c r="O434" s="29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25"/>
      <c r="B435" s="126"/>
      <c r="C435" s="126"/>
      <c r="D435" s="126"/>
      <c r="H435" s="115"/>
      <c r="I435" s="115"/>
      <c r="J435" s="115"/>
      <c r="K435" s="115"/>
      <c r="L435" s="115"/>
      <c r="M435" s="115"/>
      <c r="N435" s="127"/>
      <c r="O435" s="29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25"/>
      <c r="B436" s="126"/>
      <c r="C436" s="126"/>
      <c r="D436" s="126"/>
      <c r="H436" s="115"/>
      <c r="I436" s="115"/>
      <c r="J436" s="115"/>
      <c r="K436" s="115"/>
      <c r="L436" s="115"/>
      <c r="M436" s="115"/>
      <c r="N436" s="127"/>
      <c r="O436" s="29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25"/>
      <c r="B437" s="126"/>
      <c r="C437" s="126"/>
      <c r="D437" s="126"/>
      <c r="H437" s="115"/>
      <c r="I437" s="115"/>
      <c r="J437" s="115"/>
      <c r="K437" s="115"/>
      <c r="L437" s="115"/>
      <c r="M437" s="115"/>
      <c r="N437" s="127"/>
      <c r="O437" s="29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25"/>
      <c r="B438" s="126"/>
      <c r="C438" s="126"/>
      <c r="D438" s="126"/>
      <c r="H438" s="115"/>
      <c r="I438" s="115"/>
      <c r="J438" s="115"/>
      <c r="K438" s="115"/>
      <c r="L438" s="115"/>
      <c r="M438" s="115"/>
      <c r="N438" s="127"/>
      <c r="O438" s="29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25"/>
      <c r="B439" s="126"/>
      <c r="C439" s="126"/>
      <c r="D439" s="126"/>
      <c r="H439" s="115"/>
      <c r="I439" s="115"/>
      <c r="J439" s="115"/>
      <c r="K439" s="115"/>
      <c r="L439" s="115"/>
      <c r="M439" s="115"/>
      <c r="N439" s="127"/>
      <c r="O439" s="29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25"/>
      <c r="B440" s="126"/>
      <c r="C440" s="126"/>
      <c r="D440" s="126"/>
      <c r="H440" s="115"/>
      <c r="I440" s="115"/>
      <c r="J440" s="115"/>
      <c r="K440" s="115"/>
      <c r="L440" s="115"/>
      <c r="M440" s="115"/>
      <c r="N440" s="127"/>
      <c r="O440" s="29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25"/>
      <c r="B441" s="126"/>
      <c r="C441" s="126"/>
      <c r="D441" s="126"/>
      <c r="H441" s="115"/>
      <c r="I441" s="115"/>
      <c r="J441" s="115"/>
      <c r="K441" s="115"/>
      <c r="L441" s="115"/>
      <c r="M441" s="115"/>
      <c r="N441" s="29"/>
      <c r="O441" s="29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25"/>
      <c r="B442" s="126"/>
      <c r="C442" s="126"/>
      <c r="D442" s="126"/>
      <c r="N442" s="127"/>
      <c r="O442" s="29"/>
      <c r="AE442" s="127"/>
      <c r="AF442" s="29"/>
    </row>
    <row r="443" spans="1:32" ht="19.5" x14ac:dyDescent="0.4">
      <c r="A443" s="125"/>
      <c r="B443" s="126"/>
      <c r="C443" s="126"/>
      <c r="D443" s="126"/>
      <c r="H443" s="115"/>
      <c r="I443" s="115"/>
      <c r="J443" s="115"/>
      <c r="K443" s="115"/>
      <c r="L443" s="115"/>
      <c r="M443" s="115"/>
      <c r="N443" s="29"/>
      <c r="O443" s="29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25"/>
      <c r="B444" s="126"/>
      <c r="C444" s="126"/>
      <c r="D444" s="126"/>
      <c r="N444" s="127"/>
      <c r="O444" s="29"/>
      <c r="AE444" s="127"/>
      <c r="AF444" s="29"/>
    </row>
    <row r="445" spans="1:32" ht="19.5" x14ac:dyDescent="0.4">
      <c r="A445" s="125"/>
      <c r="B445" s="126"/>
      <c r="C445" s="126"/>
      <c r="D445" s="126"/>
      <c r="H445" s="115"/>
      <c r="I445" s="115"/>
      <c r="J445" s="115"/>
      <c r="K445" s="115"/>
      <c r="L445" s="115"/>
      <c r="M445" s="115"/>
      <c r="N445" s="29"/>
      <c r="O445" s="29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25"/>
      <c r="B446" s="126"/>
      <c r="C446" s="126"/>
      <c r="D446" s="126"/>
      <c r="H446" s="115"/>
      <c r="I446" s="115"/>
      <c r="J446" s="115"/>
      <c r="K446" s="115"/>
      <c r="L446" s="115"/>
      <c r="M446" s="115"/>
      <c r="N446" s="127"/>
      <c r="O446" s="29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25"/>
      <c r="B447" s="126"/>
      <c r="C447" s="126"/>
      <c r="D447" s="126"/>
      <c r="H447" s="115"/>
      <c r="I447" s="115"/>
      <c r="J447" s="115"/>
      <c r="K447" s="115"/>
      <c r="L447" s="115"/>
      <c r="M447" s="115"/>
      <c r="N447" s="29"/>
      <c r="O447" s="29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25"/>
      <c r="B448" s="126"/>
      <c r="C448" s="126"/>
      <c r="D448" s="126"/>
      <c r="H448" s="115"/>
      <c r="I448" s="115"/>
      <c r="J448" s="115"/>
      <c r="K448" s="115"/>
      <c r="L448" s="115"/>
      <c r="M448" s="115"/>
      <c r="N448" s="127"/>
      <c r="O448" s="29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25"/>
      <c r="B449" s="126"/>
      <c r="C449" s="126"/>
      <c r="D449" s="126"/>
      <c r="H449" s="115"/>
      <c r="I449" s="115"/>
      <c r="J449" s="115"/>
      <c r="K449" s="115"/>
      <c r="L449" s="115"/>
      <c r="M449" s="115"/>
      <c r="N449" s="29"/>
      <c r="O449" s="29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25"/>
      <c r="B450" s="126"/>
      <c r="C450" s="126"/>
      <c r="D450" s="126"/>
      <c r="H450" s="115"/>
      <c r="I450" s="115"/>
      <c r="J450" s="115"/>
      <c r="K450" s="115"/>
      <c r="L450" s="115"/>
      <c r="M450" s="115"/>
      <c r="N450" s="127"/>
      <c r="O450" s="29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25"/>
      <c r="B451" s="126"/>
      <c r="C451" s="126"/>
      <c r="D451" s="126"/>
      <c r="H451" s="115"/>
      <c r="I451" s="115"/>
      <c r="J451" s="115"/>
      <c r="K451" s="115"/>
      <c r="L451" s="115"/>
      <c r="M451" s="115"/>
      <c r="N451" s="29"/>
      <c r="O451" s="29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25"/>
      <c r="B452" s="126"/>
      <c r="C452" s="126"/>
      <c r="D452" s="126"/>
      <c r="H452" s="115"/>
      <c r="I452" s="115"/>
      <c r="J452" s="115"/>
      <c r="K452" s="115"/>
      <c r="L452" s="115"/>
      <c r="M452" s="115"/>
      <c r="N452" s="29"/>
      <c r="O452" s="29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25"/>
      <c r="B453" s="126"/>
      <c r="C453" s="126"/>
      <c r="D453" s="126"/>
      <c r="H453" s="115"/>
      <c r="I453" s="115"/>
      <c r="J453" s="115"/>
      <c r="K453" s="115"/>
      <c r="L453" s="115"/>
      <c r="M453" s="115"/>
      <c r="N453" s="29"/>
      <c r="O453" s="29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25"/>
      <c r="B454" s="126"/>
      <c r="C454" s="126"/>
      <c r="D454" s="126"/>
      <c r="H454" s="115"/>
      <c r="I454" s="115"/>
      <c r="J454" s="115"/>
      <c r="K454" s="115"/>
      <c r="L454" s="115"/>
      <c r="M454" s="115"/>
      <c r="N454" s="127"/>
      <c r="O454" s="29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25"/>
      <c r="B455" s="126"/>
      <c r="C455" s="126"/>
      <c r="D455" s="126"/>
      <c r="N455" s="127"/>
      <c r="O455" s="29"/>
      <c r="AE455" s="127"/>
      <c r="AF455" s="29"/>
    </row>
    <row r="456" spans="1:32" ht="19.5" x14ac:dyDescent="0.4">
      <c r="A456" s="125"/>
      <c r="B456" s="126"/>
      <c r="C456" s="126"/>
      <c r="D456" s="126"/>
      <c r="H456" s="115"/>
      <c r="I456" s="115"/>
      <c r="J456" s="115"/>
      <c r="K456" s="115"/>
      <c r="L456" s="115"/>
      <c r="M456" s="115"/>
      <c r="N456" s="127"/>
      <c r="O456" s="29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25"/>
      <c r="B457" s="126"/>
      <c r="C457" s="126"/>
      <c r="D457" s="126"/>
      <c r="H457" s="115"/>
      <c r="I457" s="115"/>
      <c r="J457" s="115"/>
      <c r="K457" s="115"/>
      <c r="L457" s="115"/>
      <c r="M457" s="115"/>
      <c r="N457" s="127"/>
      <c r="O457" s="29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25"/>
      <c r="B458" s="126"/>
      <c r="C458" s="126"/>
      <c r="D458" s="126"/>
      <c r="H458" s="115"/>
      <c r="I458" s="115"/>
      <c r="J458" s="115"/>
      <c r="K458" s="115"/>
      <c r="L458" s="115"/>
      <c r="M458" s="115"/>
      <c r="N458" s="29"/>
      <c r="O458" s="29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25"/>
      <c r="B459" s="126"/>
      <c r="C459" s="126"/>
      <c r="D459" s="126"/>
      <c r="H459" s="115"/>
      <c r="I459" s="115"/>
      <c r="J459" s="115"/>
      <c r="K459" s="115"/>
      <c r="L459" s="115"/>
      <c r="M459" s="115"/>
      <c r="N459" s="127"/>
      <c r="O459" s="29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25"/>
      <c r="B460" s="126"/>
      <c r="C460" s="126"/>
      <c r="D460" s="126"/>
      <c r="H460" s="115"/>
      <c r="I460" s="115"/>
      <c r="J460" s="115"/>
      <c r="K460" s="115"/>
      <c r="L460" s="115"/>
      <c r="M460" s="115"/>
      <c r="N460" s="29"/>
      <c r="O460" s="29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25"/>
      <c r="B461" s="126"/>
      <c r="C461" s="126"/>
      <c r="D461" s="126"/>
      <c r="H461" s="115"/>
      <c r="I461" s="115"/>
      <c r="J461" s="115"/>
      <c r="K461" s="115"/>
      <c r="L461" s="115"/>
      <c r="M461" s="115"/>
      <c r="N461" s="127"/>
      <c r="O461" s="29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25"/>
      <c r="B462" s="126"/>
      <c r="C462" s="126"/>
      <c r="D462" s="126"/>
      <c r="N462" s="127"/>
      <c r="O462" s="29"/>
      <c r="AE462" s="127"/>
      <c r="AF462" s="29"/>
    </row>
    <row r="463" spans="1:32" ht="19.5" x14ac:dyDescent="0.4">
      <c r="A463" s="125"/>
      <c r="B463" s="126"/>
      <c r="C463" s="126"/>
      <c r="D463" s="126"/>
      <c r="N463" s="127"/>
      <c r="O463" s="29"/>
      <c r="AE463" s="127"/>
      <c r="AF463" s="29"/>
    </row>
    <row r="464" spans="1:32" ht="19.5" x14ac:dyDescent="0.4">
      <c r="A464" s="125"/>
      <c r="B464" s="126"/>
      <c r="C464" s="126"/>
      <c r="D464" s="126"/>
      <c r="H464" s="115"/>
      <c r="I464" s="115"/>
      <c r="J464" s="115"/>
      <c r="K464" s="115"/>
      <c r="L464" s="115"/>
      <c r="M464" s="115"/>
      <c r="N464" s="127"/>
      <c r="O464" s="29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25"/>
      <c r="B465" s="126"/>
      <c r="C465" s="126"/>
      <c r="D465" s="126"/>
      <c r="H465" s="115"/>
      <c r="I465" s="115"/>
      <c r="J465" s="115"/>
      <c r="K465" s="115"/>
      <c r="L465" s="115"/>
      <c r="M465" s="115"/>
      <c r="N465" s="127"/>
      <c r="O465" s="29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25"/>
      <c r="B466" s="126"/>
      <c r="C466" s="126"/>
      <c r="D466" s="126"/>
      <c r="H466" s="115"/>
      <c r="I466" s="115"/>
      <c r="J466" s="115"/>
      <c r="K466" s="115"/>
      <c r="L466" s="115"/>
      <c r="M466" s="115"/>
      <c r="N466" s="29"/>
      <c r="O466" s="29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25"/>
      <c r="B467" s="126"/>
      <c r="C467" s="126"/>
      <c r="D467" s="126"/>
      <c r="N467" s="127"/>
      <c r="O467" s="29"/>
      <c r="AE467" s="127"/>
      <c r="AF467" s="29"/>
    </row>
    <row r="468" spans="1:32" ht="19.5" x14ac:dyDescent="0.4">
      <c r="A468" s="125"/>
      <c r="B468" s="126"/>
      <c r="C468" s="126"/>
      <c r="D468" s="126"/>
      <c r="H468" s="115"/>
      <c r="I468" s="115"/>
      <c r="J468" s="115"/>
      <c r="K468" s="115"/>
      <c r="L468" s="115"/>
      <c r="M468" s="115"/>
      <c r="N468" s="127"/>
      <c r="O468" s="29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25"/>
      <c r="B469" s="126"/>
      <c r="C469" s="126"/>
      <c r="D469" s="126"/>
      <c r="H469" s="115"/>
      <c r="I469" s="115"/>
      <c r="J469" s="115"/>
      <c r="K469" s="115"/>
      <c r="L469" s="115"/>
      <c r="M469" s="115"/>
      <c r="N469" s="127"/>
      <c r="O469" s="29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25"/>
      <c r="B470" s="126"/>
      <c r="C470" s="126"/>
      <c r="D470" s="126"/>
      <c r="N470" s="127"/>
      <c r="O470" s="29"/>
      <c r="AE470" s="127"/>
      <c r="AF470" s="29"/>
    </row>
    <row r="471" spans="1:32" ht="19.5" x14ac:dyDescent="0.4">
      <c r="A471" s="125"/>
      <c r="B471" s="126"/>
      <c r="C471" s="126"/>
      <c r="D471" s="126"/>
      <c r="H471" s="115"/>
      <c r="I471" s="115"/>
      <c r="J471" s="115"/>
      <c r="K471" s="115"/>
      <c r="L471" s="115"/>
      <c r="M471" s="115"/>
      <c r="N471" s="127"/>
      <c r="O471" s="29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25"/>
      <c r="B472" s="126"/>
      <c r="C472" s="126"/>
      <c r="D472" s="126"/>
      <c r="N472" s="127"/>
      <c r="O472" s="29"/>
      <c r="AE472" s="127"/>
      <c r="AF472" s="29"/>
    </row>
    <row r="473" spans="1:32" ht="19.5" x14ac:dyDescent="0.4">
      <c r="A473" s="125"/>
      <c r="B473" s="126"/>
      <c r="C473" s="126"/>
      <c r="D473" s="126"/>
      <c r="H473" s="115"/>
      <c r="I473" s="115"/>
      <c r="J473" s="115"/>
      <c r="K473" s="115"/>
      <c r="L473" s="115"/>
      <c r="M473" s="115"/>
      <c r="N473" s="29"/>
      <c r="O473" s="29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25"/>
      <c r="B474" s="126"/>
      <c r="C474" s="126"/>
      <c r="D474" s="126"/>
      <c r="H474" s="115"/>
      <c r="I474" s="115"/>
      <c r="J474" s="115"/>
      <c r="K474" s="115"/>
      <c r="L474" s="115"/>
      <c r="M474" s="115"/>
      <c r="N474" s="127"/>
      <c r="O474" s="29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25"/>
      <c r="B475" s="126"/>
      <c r="C475" s="126"/>
      <c r="D475" s="126"/>
      <c r="H475" s="115"/>
      <c r="I475" s="115"/>
      <c r="J475" s="115"/>
      <c r="K475" s="115"/>
      <c r="L475" s="115"/>
      <c r="M475" s="115"/>
      <c r="N475" s="127"/>
      <c r="O475" s="29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25"/>
      <c r="B476" s="126"/>
      <c r="C476" s="126"/>
      <c r="D476" s="126"/>
      <c r="H476" s="115"/>
      <c r="I476" s="115"/>
      <c r="J476" s="115"/>
      <c r="K476" s="115"/>
      <c r="L476" s="115"/>
      <c r="M476" s="115"/>
      <c r="N476" s="127"/>
      <c r="O476" s="29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25"/>
      <c r="B477" s="126"/>
      <c r="C477" s="126"/>
      <c r="D477" s="126"/>
      <c r="H477" s="115"/>
      <c r="I477" s="115"/>
      <c r="J477" s="115"/>
      <c r="K477" s="115"/>
      <c r="L477" s="115"/>
      <c r="M477" s="115"/>
      <c r="N477" s="127"/>
      <c r="O477" s="29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25"/>
      <c r="B478" s="126"/>
      <c r="C478" s="126"/>
      <c r="D478" s="126"/>
      <c r="H478" s="115"/>
      <c r="I478" s="115"/>
      <c r="J478" s="115"/>
      <c r="K478" s="115"/>
      <c r="L478" s="115"/>
      <c r="M478" s="115"/>
      <c r="N478" s="127"/>
      <c r="O478" s="29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25"/>
      <c r="B479" s="126"/>
      <c r="C479" s="126"/>
      <c r="D479" s="126"/>
      <c r="N479" s="127"/>
      <c r="O479" s="29"/>
      <c r="AE479" s="127"/>
      <c r="AF479" s="29"/>
    </row>
    <row r="480" spans="1:32" ht="19.5" x14ac:dyDescent="0.4">
      <c r="A480" s="125"/>
      <c r="B480" s="126"/>
      <c r="C480" s="126"/>
      <c r="D480" s="126"/>
      <c r="H480" s="115"/>
      <c r="I480" s="115"/>
      <c r="J480" s="115"/>
      <c r="K480" s="115"/>
      <c r="L480" s="115"/>
      <c r="M480" s="115"/>
      <c r="N480" s="127"/>
      <c r="O480" s="29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25"/>
      <c r="B481" s="126"/>
      <c r="C481" s="126"/>
      <c r="D481" s="126"/>
      <c r="N481" s="127"/>
      <c r="O481" s="29"/>
      <c r="AE481" s="127"/>
      <c r="AF481" s="29"/>
    </row>
    <row r="482" spans="1:32" ht="19.5" x14ac:dyDescent="0.4">
      <c r="A482" s="125"/>
      <c r="B482" s="126"/>
      <c r="C482" s="126"/>
      <c r="D482" s="126"/>
      <c r="N482" s="127"/>
      <c r="O482" s="29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127"/>
      <c r="O483" s="29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127"/>
      <c r="O484" s="29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127"/>
      <c r="O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127"/>
      <c r="O486" s="29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127"/>
      <c r="O487" s="29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127"/>
      <c r="O488" s="29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127"/>
      <c r="O489" s="29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127"/>
      <c r="O490" s="29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127"/>
      <c r="O491" s="29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127"/>
      <c r="O492" s="29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127"/>
      <c r="O493" s="29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127"/>
      <c r="O494" s="29"/>
      <c r="AE494" s="127"/>
      <c r="AF494" s="29"/>
    </row>
    <row r="495" spans="1:32" x14ac:dyDescent="0.4">
      <c r="N495" s="127"/>
      <c r="O495" s="29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127"/>
      <c r="O496" s="29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127"/>
      <c r="O497" s="29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127"/>
      <c r="O498" s="29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127"/>
      <c r="O499" s="29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127"/>
      <c r="O500" s="29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29"/>
      <c r="O501" s="29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127"/>
      <c r="O502" s="29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127"/>
      <c r="O503" s="29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29"/>
      <c r="O504" s="29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127"/>
      <c r="O505" s="29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127"/>
      <c r="O506" s="29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127"/>
      <c r="O507" s="29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127"/>
      <c r="O508" s="29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127"/>
      <c r="O509" s="29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A1:A720">
    <sortCondition ref="A1:A720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2026-04-13T09:34:10Z</cp:lastPrinted>
  <dcterms:created xsi:type="dcterms:W3CDTF">2020-05-08T06:29:04Z</dcterms:created>
  <dcterms:modified xsi:type="dcterms:W3CDTF">2026-04-14T01:07:36Z</dcterms:modified>
</cp:coreProperties>
</file>