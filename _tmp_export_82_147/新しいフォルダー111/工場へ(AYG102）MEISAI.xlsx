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1-01\Documents\輸出データ作成セット\ベトナム工場へ\"/>
    </mc:Choice>
  </mc:AlternateContent>
  <xr:revisionPtr revIDLastSave="0" documentId="13_ncr:1_{19797E1B-58B6-4CA0-AD4E-E17916AB8A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輸出明細" sheetId="1" r:id="rId1"/>
    <sheet name="Sheet1" sheetId="2" r:id="rId2"/>
    <sheet name="合計" sheetId="3" r:id="rId3"/>
    <sheet name="Sheet2" sheetId="4" r:id="rId4"/>
  </sheets>
  <definedNames>
    <definedName name="_xlnm.Print_Area" localSheetId="1">Sheet1!$B$2:$M$27</definedName>
    <definedName name="_xlnm.Print_Area" localSheetId="0">輸出明細!$A$1:$Z$209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3" l="1"/>
  <c r="D29" i="3"/>
  <c r="C29" i="3"/>
  <c r="B29" i="3"/>
  <c r="K181" i="3"/>
  <c r="K179" i="3"/>
  <c r="K177" i="3"/>
  <c r="K174" i="3"/>
  <c r="K171" i="3"/>
  <c r="K167" i="3"/>
  <c r="K163" i="3"/>
  <c r="K156" i="3"/>
  <c r="K148" i="3"/>
  <c r="K144" i="3"/>
  <c r="K141" i="3"/>
  <c r="K134" i="3"/>
  <c r="K124" i="3"/>
  <c r="K74" i="3"/>
  <c r="K70" i="3"/>
  <c r="K54" i="3"/>
  <c r="K45" i="3"/>
  <c r="K42" i="3"/>
  <c r="K34" i="3"/>
  <c r="K27" i="3"/>
  <c r="K22" i="3"/>
  <c r="K20" i="3"/>
  <c r="K15" i="3"/>
  <c r="K10" i="3"/>
  <c r="K5" i="3"/>
  <c r="K182" i="3" s="1"/>
  <c r="K3" i="3"/>
  <c r="V299" i="3"/>
  <c r="T299" i="3"/>
  <c r="J26" i="4"/>
  <c r="I26" i="4"/>
  <c r="H26" i="4"/>
  <c r="J27" i="4" s="1"/>
  <c r="H478" i="1"/>
  <c r="G478" i="1"/>
  <c r="U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C477" i="1"/>
  <c r="Y476" i="1" s="1"/>
  <c r="Y454" i="1"/>
  <c r="Y453" i="1"/>
  <c r="Y452" i="1"/>
  <c r="AT581" i="3"/>
  <c r="AS581" i="3"/>
  <c r="AT576" i="3"/>
  <c r="AS576" i="3"/>
  <c r="AT574" i="3"/>
  <c r="AS574" i="3"/>
  <c r="AT560" i="3"/>
  <c r="AS560" i="3"/>
  <c r="AT542" i="3"/>
  <c r="AS542" i="3"/>
  <c r="AT531" i="3"/>
  <c r="AS531" i="3"/>
  <c r="AT497" i="3"/>
  <c r="AS497" i="3"/>
  <c r="AT484" i="3"/>
  <c r="AS484" i="3"/>
  <c r="AT446" i="3"/>
  <c r="AS446" i="3"/>
  <c r="AT437" i="3"/>
  <c r="AS437" i="3"/>
  <c r="AT423" i="3"/>
  <c r="AS423" i="3"/>
  <c r="AT390" i="3"/>
  <c r="AS390" i="3"/>
  <c r="AT337" i="3"/>
  <c r="AS337" i="3"/>
  <c r="AT325" i="3"/>
  <c r="AS325" i="3"/>
  <c r="AT302" i="3"/>
  <c r="AS302" i="3"/>
  <c r="AT287" i="3"/>
  <c r="AS287" i="3"/>
  <c r="AT263" i="3"/>
  <c r="AS263" i="3"/>
  <c r="AT245" i="3"/>
  <c r="AS245" i="3"/>
  <c r="AT225" i="3"/>
  <c r="AS225" i="3"/>
  <c r="AT211" i="3"/>
  <c r="AS211" i="3"/>
  <c r="AT202" i="3"/>
  <c r="AS202" i="3"/>
  <c r="AT133" i="3"/>
  <c r="AS133" i="3"/>
  <c r="B61" i="1"/>
  <c r="A241" i="1"/>
  <c r="A151" i="1"/>
  <c r="AB43" i="1"/>
  <c r="AS582" i="3" l="1"/>
  <c r="AT582" i="3"/>
  <c r="S478" i="1"/>
  <c r="Y474" i="1" s="1"/>
  <c r="H449" i="1"/>
  <c r="G449" i="1"/>
  <c r="U447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C448" i="1"/>
  <c r="Y425" i="1"/>
  <c r="Y424" i="1"/>
  <c r="Y423" i="1"/>
  <c r="H419" i="1"/>
  <c r="G419" i="1"/>
  <c r="U417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C418" i="1"/>
  <c r="Y395" i="1"/>
  <c r="Y394" i="1"/>
  <c r="Y393" i="1"/>
  <c r="U387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C388" i="1"/>
  <c r="Y365" i="1"/>
  <c r="Y364" i="1"/>
  <c r="Y363" i="1"/>
  <c r="F26" i="2"/>
  <c r="E26" i="2"/>
  <c r="D26" i="2"/>
  <c r="D27" i="2" s="1"/>
  <c r="S449" i="1" l="1"/>
  <c r="S419" i="1"/>
  <c r="U28" i="1"/>
  <c r="AE28" i="1" l="1"/>
  <c r="AD28" i="1"/>
  <c r="Y335" i="1" l="1"/>
  <c r="Y334" i="1"/>
  <c r="Y333" i="1"/>
  <c r="Y305" i="1"/>
  <c r="Y304" i="1"/>
  <c r="Y303" i="1"/>
  <c r="Y275" i="1"/>
  <c r="Y274" i="1"/>
  <c r="Y273" i="1"/>
  <c r="Y245" i="1"/>
  <c r="Y244" i="1"/>
  <c r="Y243" i="1"/>
  <c r="Y215" i="1"/>
  <c r="Y214" i="1"/>
  <c r="Y213" i="1"/>
  <c r="Y185" i="1"/>
  <c r="Y184" i="1"/>
  <c r="Y183" i="1"/>
  <c r="Y155" i="1"/>
  <c r="Y154" i="1"/>
  <c r="Y153" i="1"/>
  <c r="Y125" i="1"/>
  <c r="Y124" i="1"/>
  <c r="Y123" i="1"/>
  <c r="Y95" i="1"/>
  <c r="Y94" i="1"/>
  <c r="Y93" i="1"/>
  <c r="Y65" i="1"/>
  <c r="Y64" i="1"/>
  <c r="Y63" i="1"/>
  <c r="Y33" i="1"/>
  <c r="Y35" i="1"/>
  <c r="Y34" i="1"/>
  <c r="Y4" i="1"/>
  <c r="Y5" i="1"/>
  <c r="Y3" i="1"/>
  <c r="AC28" i="1" l="1"/>
  <c r="AC29" i="1" s="1"/>
  <c r="G59" i="1"/>
  <c r="U328" i="1"/>
  <c r="U298" i="1"/>
  <c r="U268" i="1"/>
  <c r="U238" i="1"/>
  <c r="U208" i="1"/>
  <c r="U178" i="1"/>
  <c r="U148" i="1"/>
  <c r="U118" i="1"/>
  <c r="U88" i="1"/>
  <c r="U58" i="1"/>
  <c r="G28" i="1"/>
  <c r="AB46" i="1" l="1"/>
  <c r="A61" i="1"/>
  <c r="B31" i="1"/>
  <c r="A31" i="1"/>
  <c r="H89" i="1"/>
  <c r="G89" i="1"/>
  <c r="S88" i="1"/>
  <c r="R88" i="1"/>
  <c r="Q88" i="1"/>
  <c r="P88" i="1"/>
  <c r="O88" i="1"/>
  <c r="N88" i="1"/>
  <c r="M88" i="1"/>
  <c r="L88" i="1"/>
  <c r="K88" i="1"/>
  <c r="I88" i="1"/>
  <c r="H88" i="1"/>
  <c r="G88" i="1"/>
  <c r="C88" i="1"/>
  <c r="H59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C58" i="1"/>
  <c r="S59" i="1" l="1"/>
  <c r="S89" i="1"/>
  <c r="H359" i="1"/>
  <c r="G359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C358" i="1"/>
  <c r="S359" i="1" l="1"/>
  <c r="C328" i="1"/>
  <c r="C298" i="1"/>
  <c r="C268" i="1"/>
  <c r="C238" i="1"/>
  <c r="C208" i="1"/>
  <c r="C28" i="1"/>
  <c r="C178" i="1"/>
  <c r="C148" i="1"/>
  <c r="C118" i="1"/>
  <c r="Y27" i="1" l="1"/>
  <c r="G328" i="1"/>
  <c r="H329" i="1"/>
  <c r="G329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H299" i="1"/>
  <c r="G299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H269" i="1"/>
  <c r="G269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H239" i="1"/>
  <c r="G239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H209" i="1"/>
  <c r="G209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G118" i="1"/>
  <c r="H119" i="1"/>
  <c r="G119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H149" i="1"/>
  <c r="G149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G178" i="1"/>
  <c r="H179" i="1"/>
  <c r="G179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J28" i="1"/>
  <c r="K28" i="1"/>
  <c r="L28" i="1"/>
  <c r="M28" i="1"/>
  <c r="N28" i="1"/>
  <c r="O28" i="1"/>
  <c r="P28" i="1"/>
  <c r="Q28" i="1"/>
  <c r="R28" i="1"/>
  <c r="S28" i="1"/>
  <c r="I28" i="1"/>
  <c r="G29" i="1"/>
  <c r="H29" i="1"/>
  <c r="H28" i="1"/>
  <c r="S239" i="1" l="1"/>
  <c r="S329" i="1"/>
  <c r="S299" i="1"/>
  <c r="S269" i="1"/>
  <c r="S29" i="1"/>
  <c r="S119" i="1"/>
  <c r="S149" i="1"/>
  <c r="S179" i="1"/>
  <c r="S209" i="1"/>
  <c r="AB45" i="1"/>
  <c r="AB50" i="1"/>
  <c r="AB40" i="1"/>
  <c r="AB36" i="1"/>
  <c r="AB47" i="1"/>
  <c r="AB42" i="1"/>
  <c r="AB38" i="1"/>
  <c r="AB34" i="1"/>
  <c r="AB41" i="1"/>
  <c r="AB37" i="1"/>
  <c r="AB33" i="1"/>
  <c r="AB44" i="1"/>
  <c r="AB39" i="1"/>
  <c r="AB35" i="1"/>
  <c r="AB49" i="1"/>
  <c r="B301" i="1"/>
  <c r="A301" i="1"/>
  <c r="B271" i="1"/>
  <c r="A271" i="1"/>
  <c r="B241" i="1"/>
  <c r="B211" i="1"/>
  <c r="A211" i="1"/>
  <c r="B91" i="1"/>
  <c r="A91" i="1"/>
  <c r="B121" i="1"/>
  <c r="A121" i="1"/>
  <c r="B151" i="1"/>
  <c r="B331" i="1" s="1"/>
  <c r="A331" i="1"/>
  <c r="Y25" i="1" l="1"/>
  <c r="AC42" i="1"/>
</calcChain>
</file>

<file path=xl/sharedStrings.xml><?xml version="1.0" encoding="utf-8"?>
<sst xmlns="http://schemas.openxmlformats.org/spreadsheetml/2006/main" count="2706" uniqueCount="395">
  <si>
    <t>②</t>
    <phoneticPr fontId="2"/>
  </si>
  <si>
    <t>①</t>
    <phoneticPr fontId="2"/>
  </si>
  <si>
    <t>⑭</t>
    <phoneticPr fontId="2"/>
  </si>
  <si>
    <t>⑬</t>
    <phoneticPr fontId="2"/>
  </si>
  <si>
    <t>③</t>
    <phoneticPr fontId="2"/>
  </si>
  <si>
    <t>⑤</t>
    <phoneticPr fontId="2"/>
  </si>
  <si>
    <t>⑥</t>
    <phoneticPr fontId="2"/>
  </si>
  <si>
    <t>⑦</t>
    <phoneticPr fontId="2"/>
  </si>
  <si>
    <t>⑧</t>
    <phoneticPr fontId="2"/>
  </si>
  <si>
    <t>⑨</t>
    <phoneticPr fontId="2"/>
  </si>
  <si>
    <t>⑩</t>
    <phoneticPr fontId="2"/>
  </si>
  <si>
    <t>⑪</t>
    <phoneticPr fontId="2"/>
  </si>
  <si>
    <t>⑫</t>
    <phoneticPr fontId="2"/>
  </si>
  <si>
    <t>C/No.</t>
    <phoneticPr fontId="2"/>
  </si>
  <si>
    <t>重量</t>
    <rPh sb="0" eb="2">
      <t>ジュウリョウ</t>
    </rPh>
    <phoneticPr fontId="2"/>
  </si>
  <si>
    <t>管理番号</t>
    <rPh sb="0" eb="2">
      <t>カンリ</t>
    </rPh>
    <rPh sb="2" eb="4">
      <t>バンゴウ</t>
    </rPh>
    <phoneticPr fontId="2"/>
  </si>
  <si>
    <t>店番号</t>
    <rPh sb="0" eb="1">
      <t>ミセ</t>
    </rPh>
    <rPh sb="1" eb="3">
      <t>バンゴウ</t>
    </rPh>
    <phoneticPr fontId="2"/>
  </si>
  <si>
    <t>品目</t>
    <rPh sb="0" eb="2">
      <t>ヒンモク</t>
    </rPh>
    <phoneticPr fontId="2"/>
  </si>
  <si>
    <t>ミシン</t>
    <phoneticPr fontId="2"/>
  </si>
  <si>
    <t>材質</t>
    <rPh sb="0" eb="2">
      <t>ザイシツ</t>
    </rPh>
    <phoneticPr fontId="2"/>
  </si>
  <si>
    <t>刺/絽/縮</t>
    <rPh sb="0" eb="1">
      <t>トゲ</t>
    </rPh>
    <rPh sb="2" eb="3">
      <t>ロ</t>
    </rPh>
    <rPh sb="4" eb="5">
      <t>チヂミ</t>
    </rPh>
    <phoneticPr fontId="2"/>
  </si>
  <si>
    <t>絵羽</t>
    <rPh sb="0" eb="2">
      <t>エバ</t>
    </rPh>
    <phoneticPr fontId="2"/>
  </si>
  <si>
    <t>胴裏</t>
    <rPh sb="0" eb="1">
      <t>ドウ</t>
    </rPh>
    <rPh sb="1" eb="2">
      <t>ウラ</t>
    </rPh>
    <phoneticPr fontId="2"/>
  </si>
  <si>
    <t>八掛</t>
    <rPh sb="0" eb="1">
      <t>ハチ</t>
    </rPh>
    <rPh sb="1" eb="2">
      <t>カ</t>
    </rPh>
    <phoneticPr fontId="2"/>
  </si>
  <si>
    <t>比翼</t>
    <rPh sb="0" eb="2">
      <t>ヒヨク</t>
    </rPh>
    <phoneticPr fontId="2"/>
  </si>
  <si>
    <t>衿裏</t>
    <rPh sb="0" eb="1">
      <t>エリ</t>
    </rPh>
    <rPh sb="1" eb="2">
      <t>ウラ</t>
    </rPh>
    <phoneticPr fontId="2"/>
  </si>
  <si>
    <t>背伏</t>
    <rPh sb="0" eb="1">
      <t>セ</t>
    </rPh>
    <rPh sb="1" eb="2">
      <t>フ</t>
    </rPh>
    <phoneticPr fontId="2"/>
  </si>
  <si>
    <t>半襟</t>
    <rPh sb="0" eb="2">
      <t>ハンエリ</t>
    </rPh>
    <phoneticPr fontId="2"/>
  </si>
  <si>
    <t>衿芯</t>
    <rPh sb="0" eb="1">
      <t>エリ</t>
    </rPh>
    <rPh sb="1" eb="2">
      <t>シン</t>
    </rPh>
    <phoneticPr fontId="2"/>
  </si>
  <si>
    <t>居敷当</t>
    <rPh sb="0" eb="1">
      <t>キョ</t>
    </rPh>
    <rPh sb="1" eb="2">
      <t>シ</t>
    </rPh>
    <rPh sb="2" eb="3">
      <t>ア</t>
    </rPh>
    <phoneticPr fontId="2"/>
  </si>
  <si>
    <t>衣文抜</t>
    <rPh sb="0" eb="2">
      <t>エモン</t>
    </rPh>
    <rPh sb="2" eb="3">
      <t>ヌ</t>
    </rPh>
    <phoneticPr fontId="2"/>
  </si>
  <si>
    <t>肩裏</t>
    <rPh sb="0" eb="1">
      <t>カタ</t>
    </rPh>
    <rPh sb="1" eb="2">
      <t>ウラ</t>
    </rPh>
    <phoneticPr fontId="2"/>
  </si>
  <si>
    <t>納期</t>
    <rPh sb="0" eb="2">
      <t>ノウキ</t>
    </rPh>
    <phoneticPr fontId="2"/>
  </si>
  <si>
    <t>K/R/J</t>
    <phoneticPr fontId="2"/>
  </si>
  <si>
    <t>S  E</t>
    <phoneticPr fontId="1"/>
  </si>
  <si>
    <t>P  R</t>
    <phoneticPr fontId="1"/>
  </si>
  <si>
    <t>TM</t>
    <phoneticPr fontId="1"/>
  </si>
  <si>
    <t>KM</t>
    <phoneticPr fontId="1"/>
  </si>
  <si>
    <t>HM</t>
    <phoneticPr fontId="1"/>
  </si>
  <si>
    <t>FR</t>
    <phoneticPr fontId="1"/>
  </si>
  <si>
    <t>NA</t>
    <phoneticPr fontId="1"/>
  </si>
  <si>
    <t>MK</t>
    <phoneticPr fontId="1"/>
  </si>
  <si>
    <t>MH</t>
    <phoneticPr fontId="1"/>
  </si>
  <si>
    <t>MW</t>
    <phoneticPr fontId="1"/>
  </si>
  <si>
    <t>TK</t>
    <phoneticPr fontId="1"/>
  </si>
  <si>
    <t>MS</t>
    <phoneticPr fontId="1"/>
  </si>
  <si>
    <t>胴裏</t>
    <rPh sb="0" eb="2">
      <t>ドウウラ</t>
    </rPh>
    <phoneticPr fontId="1"/>
  </si>
  <si>
    <t>合計</t>
    <rPh sb="0" eb="2">
      <t>ゴウケイ</t>
    </rPh>
    <phoneticPr fontId="1"/>
  </si>
  <si>
    <t>八掛</t>
    <rPh sb="0" eb="2">
      <t>ハッカケ</t>
    </rPh>
    <phoneticPr fontId="1"/>
  </si>
  <si>
    <t>比翼</t>
    <rPh sb="0" eb="2">
      <t>ヒヨク</t>
    </rPh>
    <phoneticPr fontId="1"/>
  </si>
  <si>
    <t>衿裏</t>
    <rPh sb="0" eb="1">
      <t>エリ</t>
    </rPh>
    <rPh sb="1" eb="2">
      <t>ウラ</t>
    </rPh>
    <phoneticPr fontId="1"/>
  </si>
  <si>
    <t>背伏</t>
    <rPh sb="0" eb="1">
      <t>セ</t>
    </rPh>
    <rPh sb="1" eb="2">
      <t>フ</t>
    </rPh>
    <phoneticPr fontId="1"/>
  </si>
  <si>
    <t>半衿</t>
    <rPh sb="0" eb="2">
      <t>ハンエリ</t>
    </rPh>
    <phoneticPr fontId="1"/>
  </si>
  <si>
    <t>衿芯</t>
    <rPh sb="0" eb="1">
      <t>エリ</t>
    </rPh>
    <rPh sb="1" eb="2">
      <t>シン</t>
    </rPh>
    <phoneticPr fontId="1"/>
  </si>
  <si>
    <t>居敷当</t>
    <rPh sb="0" eb="3">
      <t>イシキアテ</t>
    </rPh>
    <phoneticPr fontId="1"/>
  </si>
  <si>
    <t>衣文抜</t>
    <rPh sb="0" eb="2">
      <t>エモン</t>
    </rPh>
    <rPh sb="2" eb="3">
      <t>ヌ</t>
    </rPh>
    <phoneticPr fontId="1"/>
  </si>
  <si>
    <t>肩裏</t>
    <rPh sb="0" eb="1">
      <t>カタ</t>
    </rPh>
    <rPh sb="1" eb="2">
      <t>ウラ</t>
    </rPh>
    <phoneticPr fontId="1"/>
  </si>
  <si>
    <t>YK</t>
    <phoneticPr fontId="1"/>
  </si>
  <si>
    <t>CO</t>
    <phoneticPr fontId="1"/>
  </si>
  <si>
    <t>UC</t>
    <phoneticPr fontId="1"/>
  </si>
  <si>
    <t>TO</t>
    <phoneticPr fontId="1"/>
  </si>
  <si>
    <t>MY</t>
    <phoneticPr fontId="1"/>
  </si>
  <si>
    <t>UE</t>
    <phoneticPr fontId="1"/>
  </si>
  <si>
    <t>M</t>
  </si>
  <si>
    <t>M</t>
    <phoneticPr fontId="1"/>
  </si>
  <si>
    <t>R　(絽）</t>
    <rPh sb="3" eb="4">
      <t>ロ</t>
    </rPh>
    <phoneticPr fontId="1"/>
  </si>
  <si>
    <t>E　(刺繍）</t>
    <rPh sb="3" eb="5">
      <t>シシュウ</t>
    </rPh>
    <phoneticPr fontId="1"/>
  </si>
  <si>
    <t>M  (縮緬）</t>
    <rPh sb="4" eb="6">
      <t>チリメン</t>
    </rPh>
    <phoneticPr fontId="1"/>
  </si>
  <si>
    <t>B　(絵羽）</t>
    <rPh sb="3" eb="5">
      <t>エバ</t>
    </rPh>
    <phoneticPr fontId="1"/>
  </si>
  <si>
    <t>Ｐ  (ポリ)</t>
  </si>
  <si>
    <t>S   (正絹)</t>
    <rPh sb="5" eb="7">
      <t>ショウケン</t>
    </rPh>
    <phoneticPr fontId="1"/>
  </si>
  <si>
    <t>バッグ</t>
    <phoneticPr fontId="1"/>
  </si>
  <si>
    <t>パッキング</t>
    <phoneticPr fontId="1"/>
  </si>
  <si>
    <t>サンプル</t>
    <phoneticPr fontId="1"/>
  </si>
  <si>
    <t>IR</t>
    <phoneticPr fontId="1"/>
  </si>
  <si>
    <t>HA</t>
    <phoneticPr fontId="1"/>
  </si>
  <si>
    <t>2K</t>
    <phoneticPr fontId="1"/>
  </si>
  <si>
    <t>2J</t>
    <phoneticPr fontId="1"/>
  </si>
  <si>
    <t>CK</t>
    <phoneticPr fontId="1"/>
  </si>
  <si>
    <t>CJ</t>
    <phoneticPr fontId="1"/>
  </si>
  <si>
    <t>TE</t>
    <phoneticPr fontId="1"/>
  </si>
  <si>
    <t>留袖</t>
    <rPh sb="0" eb="2">
      <t>トメソデ</t>
    </rPh>
    <phoneticPr fontId="1"/>
  </si>
  <si>
    <t>振袖</t>
    <rPh sb="0" eb="2">
      <t>フリソデ</t>
    </rPh>
    <phoneticPr fontId="1"/>
  </si>
  <si>
    <t>訪問着</t>
    <rPh sb="0" eb="3">
      <t>ホウモンギ</t>
    </rPh>
    <phoneticPr fontId="1"/>
  </si>
  <si>
    <t>附下</t>
    <rPh sb="0" eb="2">
      <t>ツケサゲ</t>
    </rPh>
    <phoneticPr fontId="1"/>
  </si>
  <si>
    <t>喪服　冬</t>
    <rPh sb="0" eb="2">
      <t>モフク</t>
    </rPh>
    <rPh sb="3" eb="4">
      <t>フユ</t>
    </rPh>
    <phoneticPr fontId="1"/>
  </si>
  <si>
    <t>喪服　夏</t>
    <rPh sb="0" eb="2">
      <t>モフク</t>
    </rPh>
    <rPh sb="3" eb="4">
      <t>ナツ</t>
    </rPh>
    <phoneticPr fontId="1"/>
  </si>
  <si>
    <t>小紋</t>
    <rPh sb="0" eb="2">
      <t>コモン</t>
    </rPh>
    <phoneticPr fontId="1"/>
  </si>
  <si>
    <t>色無地</t>
    <rPh sb="0" eb="3">
      <t>イロムジ</t>
    </rPh>
    <phoneticPr fontId="1"/>
  </si>
  <si>
    <t>紬</t>
    <rPh sb="0" eb="1">
      <t>ツムギ</t>
    </rPh>
    <phoneticPr fontId="1"/>
  </si>
  <si>
    <t>コート</t>
    <phoneticPr fontId="1"/>
  </si>
  <si>
    <t>羽織</t>
    <rPh sb="0" eb="2">
      <t>ハオリ</t>
    </rPh>
    <phoneticPr fontId="1"/>
  </si>
  <si>
    <t>長襦袢</t>
    <rPh sb="0" eb="3">
      <t>ナガジュバン</t>
    </rPh>
    <phoneticPr fontId="1"/>
  </si>
  <si>
    <t>浴衣</t>
    <rPh sb="0" eb="2">
      <t>ユカタ</t>
    </rPh>
    <phoneticPr fontId="1"/>
  </si>
  <si>
    <t>紳士着物</t>
    <rPh sb="0" eb="2">
      <t>シンシ</t>
    </rPh>
    <rPh sb="2" eb="4">
      <t>キモノ</t>
    </rPh>
    <phoneticPr fontId="1"/>
  </si>
  <si>
    <t>紳士羽織</t>
    <rPh sb="0" eb="2">
      <t>シンシ</t>
    </rPh>
    <rPh sb="2" eb="4">
      <t>ハオリ</t>
    </rPh>
    <phoneticPr fontId="1"/>
  </si>
  <si>
    <t>紳士浴衣</t>
    <rPh sb="0" eb="2">
      <t>シンシ</t>
    </rPh>
    <rPh sb="2" eb="4">
      <t>ユカタ</t>
    </rPh>
    <phoneticPr fontId="1"/>
  </si>
  <si>
    <t>二部式着物</t>
    <rPh sb="0" eb="2">
      <t>ニブ</t>
    </rPh>
    <rPh sb="2" eb="3">
      <t>シキ</t>
    </rPh>
    <rPh sb="3" eb="5">
      <t>キモノ</t>
    </rPh>
    <phoneticPr fontId="1"/>
  </si>
  <si>
    <t>二部式襦袢</t>
    <rPh sb="0" eb="2">
      <t>ニブ</t>
    </rPh>
    <rPh sb="2" eb="3">
      <t>シキ</t>
    </rPh>
    <rPh sb="3" eb="5">
      <t>ジュバン</t>
    </rPh>
    <phoneticPr fontId="1"/>
  </si>
  <si>
    <t>子供着物</t>
    <rPh sb="0" eb="2">
      <t>コドモ</t>
    </rPh>
    <rPh sb="2" eb="4">
      <t>キモノ</t>
    </rPh>
    <phoneticPr fontId="1"/>
  </si>
  <si>
    <t>子供襦袢</t>
    <rPh sb="0" eb="2">
      <t>コドモ</t>
    </rPh>
    <rPh sb="2" eb="4">
      <t>ジュバン</t>
    </rPh>
    <phoneticPr fontId="1"/>
  </si>
  <si>
    <t>打掛・白無垢</t>
    <rPh sb="0" eb="2">
      <t>ウチカケ</t>
    </rPh>
    <rPh sb="3" eb="6">
      <t>シロムク</t>
    </rPh>
    <phoneticPr fontId="1"/>
  </si>
  <si>
    <t>打掛（刺繍用）</t>
    <rPh sb="0" eb="2">
      <t>ウチカケ</t>
    </rPh>
    <rPh sb="3" eb="5">
      <t>シシュウ</t>
    </rPh>
    <rPh sb="5" eb="6">
      <t>ヨウ</t>
    </rPh>
    <phoneticPr fontId="1"/>
  </si>
  <si>
    <t>留袖（刺繍用）</t>
    <rPh sb="0" eb="2">
      <t>トメソデ</t>
    </rPh>
    <rPh sb="3" eb="5">
      <t>シシュウ</t>
    </rPh>
    <rPh sb="5" eb="6">
      <t>ヨウ</t>
    </rPh>
    <phoneticPr fontId="1"/>
  </si>
  <si>
    <t>合計</t>
    <rPh sb="0" eb="2">
      <t>ゴウケイ</t>
    </rPh>
    <phoneticPr fontId="1"/>
  </si>
  <si>
    <t>CT1</t>
    <phoneticPr fontId="1"/>
  </si>
  <si>
    <t>袷</t>
    <rPh sb="0" eb="1">
      <t>アワセ</t>
    </rPh>
    <phoneticPr fontId="1"/>
  </si>
  <si>
    <t>単</t>
    <rPh sb="0" eb="1">
      <t>ヒトエ</t>
    </rPh>
    <phoneticPr fontId="1"/>
  </si>
  <si>
    <t>襦袢</t>
    <rPh sb="0" eb="2">
      <t>ジュバン</t>
    </rPh>
    <phoneticPr fontId="1"/>
  </si>
  <si>
    <t>CT12</t>
    <phoneticPr fontId="1"/>
  </si>
  <si>
    <t>CT11</t>
    <phoneticPr fontId="1"/>
  </si>
  <si>
    <t>CT10</t>
    <phoneticPr fontId="1"/>
  </si>
  <si>
    <t>CT9</t>
    <phoneticPr fontId="1"/>
  </si>
  <si>
    <t>CT8</t>
    <phoneticPr fontId="1"/>
  </si>
  <si>
    <t>CT7</t>
    <phoneticPr fontId="1"/>
  </si>
  <si>
    <t>CT6</t>
    <phoneticPr fontId="1"/>
  </si>
  <si>
    <t>CT5</t>
    <phoneticPr fontId="1"/>
  </si>
  <si>
    <t>CT4</t>
    <phoneticPr fontId="1"/>
  </si>
  <si>
    <t>CT3</t>
    <phoneticPr fontId="1"/>
  </si>
  <si>
    <t>CT2</t>
    <phoneticPr fontId="1"/>
  </si>
  <si>
    <t>品目</t>
    <rPh sb="0" eb="2">
      <t>ヒンモク</t>
    </rPh>
    <phoneticPr fontId="1"/>
  </si>
  <si>
    <t>コード</t>
    <phoneticPr fontId="1"/>
  </si>
  <si>
    <t>振袖・掛下</t>
    <rPh sb="0" eb="2">
      <t>フリソデ</t>
    </rPh>
    <rPh sb="3" eb="5">
      <t>カケシタ</t>
    </rPh>
    <phoneticPr fontId="1"/>
  </si>
  <si>
    <t>合計</t>
    <rPh sb="0" eb="2">
      <t>ゴウケイ</t>
    </rPh>
    <phoneticPr fontId="1"/>
  </si>
  <si>
    <t>留袖・色留袖</t>
    <rPh sb="0" eb="2">
      <t>トメソデ</t>
    </rPh>
    <rPh sb="3" eb="4">
      <t>イロ</t>
    </rPh>
    <rPh sb="4" eb="6">
      <t>トメソデ</t>
    </rPh>
    <phoneticPr fontId="1"/>
  </si>
  <si>
    <t>s枚数</t>
    <rPh sb="1" eb="3">
      <t>マイスウ</t>
    </rPh>
    <phoneticPr fontId="1"/>
  </si>
  <si>
    <t>p枚数</t>
    <rPh sb="1" eb="3">
      <t>マイスウ</t>
    </rPh>
    <phoneticPr fontId="1"/>
  </si>
  <si>
    <t>c枚数</t>
    <rPh sb="1" eb="3">
      <t>マイスウ</t>
    </rPh>
    <phoneticPr fontId="1"/>
  </si>
  <si>
    <t>合計</t>
    <rPh sb="0" eb="2">
      <t>ゴウケイ</t>
    </rPh>
    <phoneticPr fontId="1"/>
  </si>
  <si>
    <t>サンプル</t>
    <phoneticPr fontId="1"/>
  </si>
  <si>
    <t>付属品</t>
    <rPh sb="0" eb="2">
      <t>フゾク</t>
    </rPh>
    <rPh sb="2" eb="3">
      <t>ヒン</t>
    </rPh>
    <phoneticPr fontId="1"/>
  </si>
  <si>
    <t>合計</t>
    <rPh sb="0" eb="2">
      <t>ゴウケイ</t>
    </rPh>
    <phoneticPr fontId="1"/>
  </si>
  <si>
    <t>長襦袢.振袖</t>
    <rPh sb="4" eb="6">
      <t>フリソデ</t>
    </rPh>
    <phoneticPr fontId="1"/>
  </si>
  <si>
    <t>NF</t>
    <phoneticPr fontId="1"/>
  </si>
  <si>
    <t>材質</t>
    <phoneticPr fontId="2"/>
  </si>
  <si>
    <t>店番号</t>
    <phoneticPr fontId="2"/>
  </si>
  <si>
    <t>サンプル　　7</t>
    <phoneticPr fontId="1"/>
  </si>
  <si>
    <t>品目</t>
    <phoneticPr fontId="2"/>
  </si>
  <si>
    <t>CT13</t>
    <phoneticPr fontId="1"/>
  </si>
  <si>
    <t>CT14</t>
    <phoneticPr fontId="1"/>
  </si>
  <si>
    <t>CT15</t>
    <phoneticPr fontId="1"/>
  </si>
  <si>
    <t>刺/絽/縮</t>
    <phoneticPr fontId="2"/>
  </si>
  <si>
    <t>K</t>
    <phoneticPr fontId="2"/>
  </si>
  <si>
    <t>納期</t>
    <rPh sb="0" eb="2">
      <t>ノウキ</t>
    </rPh>
    <phoneticPr fontId="1"/>
  </si>
  <si>
    <t>品名</t>
    <rPh sb="0" eb="2">
      <t>ヒンメイ</t>
    </rPh>
    <phoneticPr fontId="1"/>
  </si>
  <si>
    <t>総合計</t>
  </si>
  <si>
    <t>K</t>
    <phoneticPr fontId="1"/>
  </si>
  <si>
    <t>R</t>
    <phoneticPr fontId="1"/>
  </si>
  <si>
    <t>J</t>
    <phoneticPr fontId="1"/>
  </si>
  <si>
    <t>2023/11/28 個数</t>
  </si>
  <si>
    <t>2023/12/3 個数</t>
  </si>
  <si>
    <t>2023/12/10 個数</t>
  </si>
  <si>
    <t>2023/12/13 個数</t>
  </si>
  <si>
    <t>2023/12/18 個数</t>
  </si>
  <si>
    <t>2023/12/4 個数</t>
  </si>
  <si>
    <t>2023/12/5 個数</t>
  </si>
  <si>
    <t>2023/12/6 個数</t>
  </si>
  <si>
    <t>2023/12/7 個数</t>
  </si>
  <si>
    <t>2023/12/8 個数</t>
  </si>
  <si>
    <t>2023/12/9 個数</t>
  </si>
  <si>
    <t>2023/12/17 個数</t>
  </si>
  <si>
    <t>2023/12/23 個数</t>
  </si>
  <si>
    <t>K</t>
    <phoneticPr fontId="1"/>
  </si>
  <si>
    <t>R</t>
    <phoneticPr fontId="1"/>
  </si>
  <si>
    <t>J</t>
    <phoneticPr fontId="1"/>
  </si>
  <si>
    <t>2023/12/11 個数</t>
  </si>
  <si>
    <t>2023/12/12 個数</t>
  </si>
  <si>
    <t>2023/12/14 個数</t>
  </si>
  <si>
    <t>2023/12/15 個数</t>
  </si>
  <si>
    <t>2023/12/16 個数</t>
  </si>
  <si>
    <t>2023/12/19 個数</t>
  </si>
  <si>
    <t>2023/12/20 個数</t>
  </si>
  <si>
    <t>2023/12/25 個数</t>
  </si>
  <si>
    <t>2024/1/8 個数</t>
  </si>
  <si>
    <t>AYG072</t>
    <phoneticPr fontId="1"/>
  </si>
  <si>
    <t>AYG085</t>
    <phoneticPr fontId="1"/>
  </si>
  <si>
    <t>AYG086</t>
    <phoneticPr fontId="1"/>
  </si>
  <si>
    <t>A545</t>
    <phoneticPr fontId="1"/>
  </si>
  <si>
    <t>S</t>
    <phoneticPr fontId="1"/>
  </si>
  <si>
    <t>M032</t>
    <phoneticPr fontId="1"/>
  </si>
  <si>
    <t>M078</t>
    <phoneticPr fontId="1"/>
  </si>
  <si>
    <t>A700</t>
    <phoneticPr fontId="1"/>
  </si>
  <si>
    <t>M079</t>
    <phoneticPr fontId="1"/>
  </si>
  <si>
    <t>M070</t>
    <phoneticPr fontId="1"/>
  </si>
  <si>
    <t>M074</t>
    <phoneticPr fontId="1"/>
  </si>
  <si>
    <t>AYG099</t>
    <phoneticPr fontId="1"/>
  </si>
  <si>
    <t>M037</t>
    <phoneticPr fontId="1"/>
  </si>
  <si>
    <t>A913</t>
    <phoneticPr fontId="1"/>
  </si>
  <si>
    <t>A318</t>
    <phoneticPr fontId="1"/>
  </si>
  <si>
    <t>A335</t>
    <phoneticPr fontId="1"/>
  </si>
  <si>
    <t>P</t>
    <phoneticPr fontId="1"/>
  </si>
  <si>
    <t>A550</t>
    <phoneticPr fontId="1"/>
  </si>
  <si>
    <t>A336</t>
    <phoneticPr fontId="1"/>
  </si>
  <si>
    <t>2025/3/16 個数</t>
  </si>
  <si>
    <t>2025/3/17 個数</t>
  </si>
  <si>
    <t>2025/3/18 個数</t>
  </si>
  <si>
    <t>2025/3/23 個数</t>
  </si>
  <si>
    <t>2025/3/26 個数</t>
  </si>
  <si>
    <t>2025/3/27 個数</t>
  </si>
  <si>
    <t>A330</t>
    <phoneticPr fontId="1"/>
  </si>
  <si>
    <t>2025/3/19 個数</t>
  </si>
  <si>
    <t>2025/3/22 個数</t>
  </si>
  <si>
    <t>2025/3/24 個数</t>
  </si>
  <si>
    <t>2025/3/25 個数</t>
  </si>
  <si>
    <t>2025/3/28 個数</t>
  </si>
  <si>
    <t>2025/3/29 個数</t>
  </si>
  <si>
    <t>2025/3/31 個数</t>
  </si>
  <si>
    <t>2025/4/3 個数</t>
  </si>
  <si>
    <t>AYG102</t>
    <phoneticPr fontId="1"/>
  </si>
  <si>
    <t>07020176</t>
    <phoneticPr fontId="1"/>
  </si>
  <si>
    <t>07020208</t>
    <phoneticPr fontId="1"/>
  </si>
  <si>
    <t>07020209</t>
    <phoneticPr fontId="1"/>
  </si>
  <si>
    <t>07020211</t>
    <phoneticPr fontId="1"/>
  </si>
  <si>
    <t>07020212</t>
    <phoneticPr fontId="1"/>
  </si>
  <si>
    <t>07020231</t>
    <phoneticPr fontId="1"/>
  </si>
  <si>
    <t>07020245</t>
    <phoneticPr fontId="1"/>
  </si>
  <si>
    <t>07020246</t>
    <phoneticPr fontId="1"/>
  </si>
  <si>
    <t>07020368</t>
    <phoneticPr fontId="1"/>
  </si>
  <si>
    <t>A199</t>
    <phoneticPr fontId="1"/>
  </si>
  <si>
    <t>07020369</t>
    <phoneticPr fontId="1"/>
  </si>
  <si>
    <t>07020379</t>
    <phoneticPr fontId="1"/>
  </si>
  <si>
    <t>07020405</t>
    <phoneticPr fontId="1"/>
  </si>
  <si>
    <t>07020406</t>
    <phoneticPr fontId="1"/>
  </si>
  <si>
    <t>A120</t>
    <phoneticPr fontId="1"/>
  </si>
  <si>
    <t>07020409</t>
    <phoneticPr fontId="1"/>
  </si>
  <si>
    <t>07020410</t>
    <phoneticPr fontId="1"/>
  </si>
  <si>
    <t>A501</t>
    <phoneticPr fontId="1"/>
  </si>
  <si>
    <t>07020411</t>
    <phoneticPr fontId="1"/>
  </si>
  <si>
    <t>07020258</t>
    <phoneticPr fontId="1"/>
  </si>
  <si>
    <t>07020259</t>
    <phoneticPr fontId="1"/>
  </si>
  <si>
    <t>07020331</t>
    <phoneticPr fontId="1"/>
  </si>
  <si>
    <t>A505</t>
    <phoneticPr fontId="1"/>
  </si>
  <si>
    <t>07020367</t>
    <phoneticPr fontId="1"/>
  </si>
  <si>
    <t>07020271</t>
    <phoneticPr fontId="1"/>
  </si>
  <si>
    <t>07020272</t>
    <phoneticPr fontId="1"/>
  </si>
  <si>
    <t>07020374</t>
    <phoneticPr fontId="1"/>
  </si>
  <si>
    <t>07020375</t>
    <phoneticPr fontId="1"/>
  </si>
  <si>
    <t>07020382</t>
    <phoneticPr fontId="1"/>
  </si>
  <si>
    <t>A611</t>
    <phoneticPr fontId="1"/>
  </si>
  <si>
    <t>07020383</t>
    <phoneticPr fontId="1"/>
  </si>
  <si>
    <t>07020419</t>
    <phoneticPr fontId="1"/>
  </si>
  <si>
    <t>07020273</t>
    <phoneticPr fontId="1"/>
  </si>
  <si>
    <t>07020278</t>
    <phoneticPr fontId="1"/>
  </si>
  <si>
    <t>07020279</t>
    <phoneticPr fontId="1"/>
  </si>
  <si>
    <t>07020280</t>
    <phoneticPr fontId="1"/>
  </si>
  <si>
    <t>07020281</t>
    <phoneticPr fontId="1"/>
  </si>
  <si>
    <t>A623</t>
    <phoneticPr fontId="1"/>
  </si>
  <si>
    <t>07020288</t>
    <phoneticPr fontId="1"/>
  </si>
  <si>
    <t>07020289</t>
    <phoneticPr fontId="1"/>
  </si>
  <si>
    <t>07020308</t>
    <phoneticPr fontId="1"/>
  </si>
  <si>
    <t>07020309</t>
    <phoneticPr fontId="1"/>
  </si>
  <si>
    <t>07020333</t>
    <phoneticPr fontId="1"/>
  </si>
  <si>
    <t>07020335</t>
    <phoneticPr fontId="1"/>
  </si>
  <si>
    <t>A755</t>
    <phoneticPr fontId="1"/>
  </si>
  <si>
    <t>07020389</t>
    <phoneticPr fontId="1"/>
  </si>
  <si>
    <t>07020390</t>
    <phoneticPr fontId="1"/>
  </si>
  <si>
    <t>07020391</t>
    <phoneticPr fontId="1"/>
  </si>
  <si>
    <t>07020420</t>
    <phoneticPr fontId="1"/>
  </si>
  <si>
    <t>07020425</t>
    <phoneticPr fontId="1"/>
  </si>
  <si>
    <t>07020426</t>
    <phoneticPr fontId="1"/>
  </si>
  <si>
    <t>07020422</t>
    <phoneticPr fontId="1"/>
  </si>
  <si>
    <t>07020435</t>
    <phoneticPr fontId="1"/>
  </si>
  <si>
    <t>A529</t>
    <phoneticPr fontId="1"/>
  </si>
  <si>
    <t>07020427</t>
    <phoneticPr fontId="1"/>
  </si>
  <si>
    <t>07020428</t>
    <phoneticPr fontId="1"/>
  </si>
  <si>
    <t>07020437</t>
    <phoneticPr fontId="1"/>
  </si>
  <si>
    <t>07020434</t>
    <phoneticPr fontId="1"/>
  </si>
  <si>
    <t>07020430</t>
    <phoneticPr fontId="1"/>
  </si>
  <si>
    <t>07020429</t>
    <phoneticPr fontId="1"/>
  </si>
  <si>
    <t>07020436</t>
    <phoneticPr fontId="1"/>
  </si>
  <si>
    <t>07020144</t>
    <phoneticPr fontId="1"/>
  </si>
  <si>
    <t>07020143</t>
    <phoneticPr fontId="1"/>
  </si>
  <si>
    <t>07020240</t>
    <phoneticPr fontId="1"/>
  </si>
  <si>
    <t>07020265</t>
    <phoneticPr fontId="1"/>
  </si>
  <si>
    <t>07020384</t>
    <phoneticPr fontId="1"/>
  </si>
  <si>
    <t>07020385</t>
    <phoneticPr fontId="1"/>
  </si>
  <si>
    <t>07020386</t>
    <phoneticPr fontId="1"/>
  </si>
  <si>
    <t>07020387</t>
    <phoneticPr fontId="1"/>
  </si>
  <si>
    <t>07020388</t>
    <phoneticPr fontId="1"/>
  </si>
  <si>
    <t>07020395</t>
    <phoneticPr fontId="1"/>
  </si>
  <si>
    <t>07020398</t>
    <phoneticPr fontId="1"/>
  </si>
  <si>
    <t>07020399</t>
    <phoneticPr fontId="1"/>
  </si>
  <si>
    <t>07020401</t>
    <phoneticPr fontId="1"/>
  </si>
  <si>
    <t>07020402</t>
    <phoneticPr fontId="1"/>
  </si>
  <si>
    <t>07020403</t>
    <phoneticPr fontId="1"/>
  </si>
  <si>
    <t>07020484</t>
    <phoneticPr fontId="1"/>
  </si>
  <si>
    <t>07020485</t>
    <phoneticPr fontId="1"/>
  </si>
  <si>
    <t>07020461</t>
    <phoneticPr fontId="1"/>
  </si>
  <si>
    <t>07020462</t>
  </si>
  <si>
    <t>07020463</t>
  </si>
  <si>
    <t>07020464</t>
  </si>
  <si>
    <t>07020465</t>
  </si>
  <si>
    <t>07020466</t>
  </si>
  <si>
    <t>07020467</t>
  </si>
  <si>
    <t>07020468</t>
  </si>
  <si>
    <t>07020469</t>
  </si>
  <si>
    <t>07020470</t>
  </si>
  <si>
    <t>07020471</t>
  </si>
  <si>
    <t>07020472</t>
  </si>
  <si>
    <t>07020473</t>
  </si>
  <si>
    <t>07020474</t>
  </si>
  <si>
    <t>07020475</t>
  </si>
  <si>
    <t>重量</t>
    <rPh sb="0" eb="2">
      <t>ジュウリョウ</t>
    </rPh>
    <phoneticPr fontId="1"/>
  </si>
  <si>
    <t>07020376</t>
    <phoneticPr fontId="1"/>
  </si>
  <si>
    <t>07020377</t>
    <phoneticPr fontId="1"/>
  </si>
  <si>
    <t>07020378</t>
    <phoneticPr fontId="1"/>
  </si>
  <si>
    <t>M063</t>
    <phoneticPr fontId="1"/>
  </si>
  <si>
    <t>07020444</t>
    <phoneticPr fontId="1"/>
  </si>
  <si>
    <t>07020458</t>
    <phoneticPr fontId="1"/>
  </si>
  <si>
    <t>07020459</t>
    <phoneticPr fontId="1"/>
  </si>
  <si>
    <t>07020460</t>
    <phoneticPr fontId="1"/>
  </si>
  <si>
    <t>07020478</t>
    <phoneticPr fontId="1"/>
  </si>
  <si>
    <t>07020481</t>
    <phoneticPr fontId="1"/>
  </si>
  <si>
    <t>07020483</t>
    <phoneticPr fontId="1"/>
  </si>
  <si>
    <t>07020506</t>
    <phoneticPr fontId="1"/>
  </si>
  <si>
    <t>07020508</t>
    <phoneticPr fontId="1"/>
  </si>
  <si>
    <t>A997</t>
    <phoneticPr fontId="1"/>
  </si>
  <si>
    <t>07020511</t>
    <phoneticPr fontId="1"/>
  </si>
  <si>
    <t>07020517</t>
    <phoneticPr fontId="1"/>
  </si>
  <si>
    <t>07020030</t>
    <phoneticPr fontId="1"/>
  </si>
  <si>
    <t>07020036</t>
    <phoneticPr fontId="1"/>
  </si>
  <si>
    <t>07030038</t>
    <phoneticPr fontId="1"/>
  </si>
  <si>
    <t>07030039</t>
    <phoneticPr fontId="1"/>
  </si>
  <si>
    <t>07030040</t>
    <phoneticPr fontId="1"/>
  </si>
  <si>
    <t>07030041</t>
    <phoneticPr fontId="1"/>
  </si>
  <si>
    <t>07030043</t>
    <phoneticPr fontId="1"/>
  </si>
  <si>
    <t>07030044</t>
    <phoneticPr fontId="1"/>
  </si>
  <si>
    <t>07030046</t>
    <phoneticPr fontId="1"/>
  </si>
  <si>
    <t>C</t>
    <phoneticPr fontId="1"/>
  </si>
  <si>
    <t>M100</t>
    <phoneticPr fontId="1"/>
  </si>
  <si>
    <t>07020073</t>
    <phoneticPr fontId="1"/>
  </si>
  <si>
    <t>07020074</t>
    <phoneticPr fontId="1"/>
  </si>
  <si>
    <t>07020497</t>
    <phoneticPr fontId="1"/>
  </si>
  <si>
    <t>07020524</t>
    <phoneticPr fontId="1"/>
  </si>
  <si>
    <t>07030035</t>
    <phoneticPr fontId="1"/>
  </si>
  <si>
    <t>07030036</t>
    <phoneticPr fontId="1"/>
  </si>
  <si>
    <t>07030042</t>
    <phoneticPr fontId="1"/>
  </si>
  <si>
    <t>07030045</t>
    <phoneticPr fontId="1"/>
  </si>
  <si>
    <t>07030047</t>
    <phoneticPr fontId="1"/>
  </si>
  <si>
    <t>07020244</t>
    <phoneticPr fontId="1"/>
  </si>
  <si>
    <t>07020394</t>
    <phoneticPr fontId="1"/>
  </si>
  <si>
    <t>07020396</t>
    <phoneticPr fontId="1"/>
  </si>
  <si>
    <t>07020397</t>
    <phoneticPr fontId="1"/>
  </si>
  <si>
    <t>07020408</t>
    <phoneticPr fontId="1"/>
  </si>
  <si>
    <t>07020412</t>
    <phoneticPr fontId="1"/>
  </si>
  <si>
    <t>07020413</t>
    <phoneticPr fontId="1"/>
  </si>
  <si>
    <t>07020414</t>
    <phoneticPr fontId="1"/>
  </si>
  <si>
    <t>07020415</t>
    <phoneticPr fontId="1"/>
  </si>
  <si>
    <t>07020416</t>
    <phoneticPr fontId="1"/>
  </si>
  <si>
    <t>07020431</t>
    <phoneticPr fontId="1"/>
  </si>
  <si>
    <t>07020432</t>
    <phoneticPr fontId="1"/>
  </si>
  <si>
    <t>07020439</t>
    <phoneticPr fontId="1"/>
  </si>
  <si>
    <t>07020440</t>
    <phoneticPr fontId="1"/>
  </si>
  <si>
    <t>07020441</t>
    <phoneticPr fontId="1"/>
  </si>
  <si>
    <t>07020442</t>
    <phoneticPr fontId="1"/>
  </si>
  <si>
    <t>07020443</t>
    <phoneticPr fontId="1"/>
  </si>
  <si>
    <t>07020480</t>
    <phoneticPr fontId="1"/>
  </si>
  <si>
    <t>07030005</t>
    <phoneticPr fontId="1"/>
  </si>
  <si>
    <t>07030006</t>
    <phoneticPr fontId="1"/>
  </si>
  <si>
    <t>07030012</t>
    <phoneticPr fontId="1"/>
  </si>
  <si>
    <t>A307</t>
    <phoneticPr fontId="1"/>
  </si>
  <si>
    <t>07030004</t>
    <phoneticPr fontId="1"/>
  </si>
  <si>
    <t>A328</t>
    <phoneticPr fontId="1"/>
  </si>
  <si>
    <t>07030011</t>
    <phoneticPr fontId="1"/>
  </si>
  <si>
    <t>07030013</t>
    <phoneticPr fontId="1"/>
  </si>
  <si>
    <t>07030014</t>
    <phoneticPr fontId="1"/>
  </si>
  <si>
    <t>07030015</t>
    <phoneticPr fontId="1"/>
  </si>
  <si>
    <t>07030016</t>
    <phoneticPr fontId="1"/>
  </si>
  <si>
    <t>07030017</t>
    <phoneticPr fontId="1"/>
  </si>
  <si>
    <t>07030018</t>
    <phoneticPr fontId="1"/>
  </si>
  <si>
    <t>07030019</t>
    <phoneticPr fontId="1"/>
  </si>
  <si>
    <t>07030026</t>
    <phoneticPr fontId="1"/>
  </si>
  <si>
    <t>07030027</t>
    <phoneticPr fontId="1"/>
  </si>
  <si>
    <t>07030028</t>
    <phoneticPr fontId="1"/>
  </si>
  <si>
    <t>07030063</t>
    <phoneticPr fontId="1"/>
  </si>
  <si>
    <t>07030064</t>
    <phoneticPr fontId="1"/>
  </si>
  <si>
    <t>07030066</t>
    <phoneticPr fontId="1"/>
  </si>
  <si>
    <t>07030067</t>
    <phoneticPr fontId="1"/>
  </si>
  <si>
    <t>2025/3/20 個数</t>
  </si>
  <si>
    <t>2025/3/21 個数</t>
  </si>
  <si>
    <t>2025/3/30 個数</t>
  </si>
  <si>
    <t>2025/4/1 個数</t>
  </si>
  <si>
    <t>2025/4/5 個数</t>
  </si>
  <si>
    <t>2025/4/6 個数</t>
  </si>
  <si>
    <t>2025/4/8 個数</t>
  </si>
  <si>
    <t>2025/4/13 個数</t>
  </si>
  <si>
    <t>2025/4/23 個数</t>
  </si>
  <si>
    <t>2025/4/25 個数</t>
  </si>
  <si>
    <t>2025/4/27 個数</t>
  </si>
  <si>
    <t>2025/5/21 個数</t>
  </si>
  <si>
    <t>H 1</t>
    <phoneticPr fontId="1"/>
  </si>
  <si>
    <t>H1</t>
    <phoneticPr fontId="1"/>
  </si>
  <si>
    <t>H2   C1</t>
    <phoneticPr fontId="1"/>
  </si>
  <si>
    <t>H1  C1</t>
    <phoneticPr fontId="1"/>
  </si>
  <si>
    <t>H4   C1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</si>
</sst>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H&quot;\100"/>
    <numFmt numFmtId="177" formatCode="#,##0.0;[Red]\-#,##0.0"/>
    <numFmt numFmtId="178" formatCode="00000"/>
    <numFmt numFmtId="179" formatCode="0_);[Red]\(0\)"/>
  </numFmts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8"/>
      <name val="ＭＳ ゴシック"/>
      <family val="3"/>
      <charset val="128"/>
    </font>
    <font>
      <b/>
      <sz val="8"/>
      <color rgb="FFFF0000"/>
      <name val="ＭＳ ゴシック"/>
      <family val="3"/>
      <charset val="128"/>
    </font>
    <font>
      <b/>
      <sz val="8"/>
      <color rgb="FFFFFF0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b/>
      <sz val="11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</fills>
  <borders count="9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double">
        <color rgb="FFC00000"/>
      </bottom>
      <diagonal/>
    </border>
    <border>
      <left/>
      <right style="medium">
        <color rgb="FFC00000"/>
      </right>
      <top style="medium">
        <color rgb="FFC00000"/>
      </top>
      <bottom style="double">
        <color rgb="FFC00000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/>
      <right style="medium">
        <color rgb="FFFFC000"/>
      </right>
      <top/>
      <bottom style="medium">
        <color rgb="FFFFC000"/>
      </bottom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1454817346722"/>
      </top>
      <bottom style="medium">
        <color theme="7" tint="0.39991454817346722"/>
      </bottom>
      <diagonal/>
    </border>
    <border>
      <left/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 style="medium">
        <color theme="7" tint="0.39991454817346722"/>
      </right>
      <top style="medium">
        <color theme="7" tint="0.39991454817346722"/>
      </top>
      <bottom style="medium">
        <color theme="7" tint="0.39994506668294322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 style="medium">
        <color theme="7" tint="0.39988402966399123"/>
      </right>
      <top/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/>
      <diagonal/>
    </border>
    <border>
      <left/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/>
      <top/>
      <bottom style="medium">
        <color theme="7" tint="0.39988402966399123"/>
      </bottom>
      <diagonal/>
    </border>
    <border>
      <left/>
      <right style="medium">
        <color theme="7" tint="0.39988402966399123"/>
      </right>
      <top/>
      <bottom style="medium">
        <color theme="7" tint="0.39988402966399123"/>
      </bottom>
      <diagonal/>
    </border>
    <border>
      <left/>
      <right/>
      <top style="medium">
        <color theme="7" tint="0.39991454817346722"/>
      </top>
      <bottom style="medium">
        <color theme="7" tint="0.39988402966399123"/>
      </bottom>
      <diagonal/>
    </border>
    <border>
      <left/>
      <right style="thin">
        <color theme="7" tint="0.39994506668294322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/>
      <diagonal/>
    </border>
    <border>
      <left style="medium">
        <color theme="7" tint="0.39991454817346722"/>
      </left>
      <right/>
      <top style="thin">
        <color theme="7" tint="0.399914548173467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/>
      <bottom style="thin">
        <color theme="7" tint="0.39994506668294322"/>
      </bottom>
      <diagonal/>
    </border>
    <border>
      <left style="medium">
        <color theme="7" tint="0.39994506668294322"/>
      </left>
      <right style="medium">
        <color theme="7" tint="0.39991454817346722"/>
      </right>
      <top/>
      <bottom style="thin">
        <color theme="7" tint="0.39991454817346722"/>
      </bottom>
      <diagonal/>
    </border>
    <border>
      <left style="medium">
        <color theme="7" tint="0.39991454817346722"/>
      </left>
      <right/>
      <top/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4506668294322"/>
      </right>
      <top style="thin">
        <color theme="7" tint="0.39991454817346722"/>
      </top>
      <bottom style="thin">
        <color theme="7" tint="0.39991454817346722"/>
      </bottom>
      <diagonal/>
    </border>
  </borders>
  <cellStyleXfs count="2">
    <xf numFmtId="0" fontId="0" fillId="0" borderId="0">
      <alignment vertical="center"/>
    </xf>
    <xf numFmtId="38" fontId="3" fillId="0" borderId="0" applyFont="0" applyFill="0" applyBorder="0" applyAlignment="0" applyProtection="0"/>
  </cellStyleXfs>
  <cellXfs count="162">
    <xf numFmtId="0" fontId="0" fillId="0" borderId="0" xfId="0">
      <alignment vertic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76" fontId="4" fillId="2" borderId="1" xfId="0" applyNumberFormat="1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 applyProtection="1">
      <alignment horizontal="center" vertical="center" shrinkToFit="1"/>
      <protection locked="0"/>
    </xf>
    <xf numFmtId="0" fontId="5" fillId="2" borderId="4" xfId="0" applyFont="1" applyFill="1" applyBorder="1" applyAlignment="1">
      <alignment horizontal="center" vertical="center" shrinkToFit="1"/>
    </xf>
    <xf numFmtId="178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3" borderId="7" xfId="0" applyFont="1" applyFill="1" applyBorder="1" applyAlignment="1" applyProtection="1">
      <alignment horizontal="center" vertical="center" shrinkToFit="1"/>
      <protection locked="0" hidden="1"/>
    </xf>
    <xf numFmtId="0" fontId="7" fillId="3" borderId="8" xfId="0" applyFont="1" applyFill="1" applyBorder="1" applyAlignment="1" applyProtection="1">
      <alignment horizontal="center" vertical="center" shrinkToFit="1"/>
      <protection locked="0" hidden="1"/>
    </xf>
    <xf numFmtId="0" fontId="7" fillId="3" borderId="11" xfId="0" applyFont="1" applyFill="1" applyBorder="1" applyAlignment="1" applyProtection="1">
      <alignment horizontal="center" vertical="center" shrinkToFit="1"/>
      <protection locked="0" hidden="1"/>
    </xf>
    <xf numFmtId="0" fontId="7" fillId="3" borderId="12" xfId="0" applyFont="1" applyFill="1" applyBorder="1" applyAlignment="1" applyProtection="1">
      <alignment horizontal="center" vertical="center" shrinkToFit="1"/>
      <protection locked="0" hidden="1"/>
    </xf>
    <xf numFmtId="0" fontId="7" fillId="3" borderId="13" xfId="0" applyFont="1" applyFill="1" applyBorder="1" applyAlignment="1" applyProtection="1">
      <alignment horizontal="center" vertical="center" shrinkToFit="1"/>
      <protection locked="0" hidden="1"/>
    </xf>
    <xf numFmtId="0" fontId="7" fillId="3" borderId="14" xfId="0" applyFont="1" applyFill="1" applyBorder="1" applyAlignment="1" applyProtection="1">
      <alignment horizontal="center" vertical="center" shrinkToFit="1"/>
      <protection locked="0" hidden="1"/>
    </xf>
    <xf numFmtId="0" fontId="7" fillId="3" borderId="15" xfId="0" applyFont="1" applyFill="1" applyBorder="1" applyAlignment="1" applyProtection="1">
      <alignment horizontal="center" vertical="center" shrinkToFit="1"/>
      <protection locked="0" hidden="1"/>
    </xf>
    <xf numFmtId="0" fontId="7" fillId="3" borderId="16" xfId="0" applyFont="1" applyFill="1" applyBorder="1" applyAlignment="1" applyProtection="1">
      <alignment horizontal="center" vertical="center" shrinkToFit="1"/>
      <protection locked="0" hidden="1"/>
    </xf>
    <xf numFmtId="0" fontId="7" fillId="3" borderId="19" xfId="0" applyFont="1" applyFill="1" applyBorder="1" applyAlignment="1" applyProtection="1">
      <alignment horizontal="center" vertical="center" shrinkToFit="1"/>
      <protection locked="0" hidden="1"/>
    </xf>
    <xf numFmtId="0" fontId="7" fillId="3" borderId="20" xfId="0" applyFont="1" applyFill="1" applyBorder="1" applyAlignment="1" applyProtection="1">
      <alignment horizontal="center" vertical="center" shrinkToFit="1"/>
      <protection locked="0" hidden="1"/>
    </xf>
    <xf numFmtId="0" fontId="7" fillId="3" borderId="21" xfId="0" applyFont="1" applyFill="1" applyBorder="1" applyAlignment="1" applyProtection="1">
      <alignment horizontal="center" vertical="center" shrinkToFit="1"/>
      <protection locked="0" hidden="1"/>
    </xf>
    <xf numFmtId="56" fontId="0" fillId="0" borderId="0" xfId="0" applyNumberFormat="1" applyAlignment="1">
      <alignment horizontal="center"/>
    </xf>
    <xf numFmtId="14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4" fontId="7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0" borderId="0" xfId="0" applyFont="1" applyAlignment="1">
      <alignment horizontal="center" vertical="center" shrinkToFit="1"/>
    </xf>
    <xf numFmtId="177" fontId="7" fillId="0" borderId="0" xfId="1" applyNumberFormat="1" applyFont="1" applyFill="1" applyBorder="1" applyAlignment="1" applyProtection="1">
      <alignment horizontal="center" vertical="center" shrinkToFit="1"/>
    </xf>
    <xf numFmtId="0" fontId="7" fillId="0" borderId="0" xfId="0" applyFont="1" applyAlignment="1" applyProtection="1">
      <alignment horizontal="center" vertical="center" shrinkToFit="1"/>
      <protection locked="0" hidden="1"/>
    </xf>
    <xf numFmtId="14" fontId="7" fillId="3" borderId="15" xfId="0" applyNumberFormat="1" applyFont="1" applyFill="1" applyBorder="1" applyAlignment="1" applyProtection="1">
      <alignment horizontal="center" vertical="center" shrinkToFit="1"/>
      <protection locked="0" hidden="1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0" fillId="0" borderId="44" xfId="0" applyBorder="1">
      <alignment vertical="center"/>
    </xf>
    <xf numFmtId="0" fontId="0" fillId="0" borderId="23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46" xfId="0" applyBorder="1">
      <alignment vertical="center"/>
    </xf>
    <xf numFmtId="0" fontId="8" fillId="0" borderId="47" xfId="0" applyFont="1" applyBorder="1">
      <alignment vertical="center"/>
    </xf>
    <xf numFmtId="0" fontId="0" fillId="0" borderId="49" xfId="0" applyBorder="1">
      <alignment vertical="center"/>
    </xf>
    <xf numFmtId="0" fontId="8" fillId="0" borderId="50" xfId="0" applyFont="1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54" xfId="0" applyBorder="1">
      <alignment vertical="center"/>
    </xf>
    <xf numFmtId="0" fontId="8" fillId="0" borderId="55" xfId="0" applyFont="1" applyBorder="1">
      <alignment vertical="center"/>
    </xf>
    <xf numFmtId="0" fontId="0" fillId="0" borderId="57" xfId="0" applyBorder="1">
      <alignment vertical="center"/>
    </xf>
    <xf numFmtId="0" fontId="0" fillId="0" borderId="58" xfId="0" applyBorder="1">
      <alignment vertical="center"/>
    </xf>
    <xf numFmtId="0" fontId="0" fillId="0" borderId="59" xfId="0" applyBorder="1">
      <alignment vertical="center"/>
    </xf>
    <xf numFmtId="0" fontId="0" fillId="0" borderId="60" xfId="0" applyBorder="1">
      <alignment vertical="center"/>
    </xf>
    <xf numFmtId="0" fontId="0" fillId="0" borderId="61" xfId="0" applyBorder="1" applyAlignment="1">
      <alignment horizontal="right" vertical="center"/>
    </xf>
    <xf numFmtId="14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0" fontId="9" fillId="4" borderId="48" xfId="0" applyFont="1" applyFill="1" applyBorder="1">
      <alignment vertical="center"/>
    </xf>
    <xf numFmtId="0" fontId="0" fillId="4" borderId="66" xfId="0" applyFill="1" applyBorder="1">
      <alignment vertical="center"/>
    </xf>
    <xf numFmtId="0" fontId="0" fillId="4" borderId="67" xfId="0" applyFill="1" applyBorder="1">
      <alignment vertical="center"/>
    </xf>
    <xf numFmtId="0" fontId="9" fillId="4" borderId="51" xfId="0" applyFont="1" applyFill="1" applyBorder="1">
      <alignment vertical="center"/>
    </xf>
    <xf numFmtId="0" fontId="0" fillId="4" borderId="68" xfId="0" applyFill="1" applyBorder="1">
      <alignment vertical="center"/>
    </xf>
    <xf numFmtId="0" fontId="0" fillId="4" borderId="69" xfId="0" applyFill="1" applyBorder="1">
      <alignment vertical="center"/>
    </xf>
    <xf numFmtId="0" fontId="9" fillId="4" borderId="56" xfId="0" applyFont="1" applyFill="1" applyBorder="1">
      <alignment vertical="center"/>
    </xf>
    <xf numFmtId="0" fontId="0" fillId="4" borderId="70" xfId="0" applyFill="1" applyBorder="1">
      <alignment vertical="center"/>
    </xf>
    <xf numFmtId="0" fontId="0" fillId="4" borderId="71" xfId="0" applyFill="1" applyBorder="1">
      <alignment vertical="center"/>
    </xf>
    <xf numFmtId="0" fontId="0" fillId="4" borderId="64" xfId="0" applyFill="1" applyBorder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178" fontId="0" fillId="5" borderId="0" xfId="0" applyNumberFormat="1" applyFill="1">
      <alignment vertical="center"/>
    </xf>
    <xf numFmtId="0" fontId="0" fillId="0" borderId="60" xfId="0" applyBorder="1" applyAlignment="1">
      <alignment horizontal="right" vertical="center"/>
    </xf>
    <xf numFmtId="0" fontId="0" fillId="4" borderId="72" xfId="0" applyFill="1" applyBorder="1">
      <alignment vertical="center"/>
    </xf>
    <xf numFmtId="0" fontId="0" fillId="4" borderId="73" xfId="0" applyFill="1" applyBorder="1">
      <alignment vertical="center"/>
    </xf>
    <xf numFmtId="0" fontId="0" fillId="4" borderId="74" xfId="0" applyFill="1" applyBorder="1">
      <alignment vertical="center"/>
    </xf>
    <xf numFmtId="0" fontId="0" fillId="4" borderId="75" xfId="0" applyFill="1" applyBorder="1">
      <alignment vertical="center"/>
    </xf>
    <xf numFmtId="0" fontId="0" fillId="0" borderId="50" xfId="0" applyBorder="1" applyAlignment="1">
      <alignment horizontal="right" vertical="center"/>
    </xf>
    <xf numFmtId="0" fontId="0" fillId="0" borderId="50" xfId="0" applyBorder="1">
      <alignment vertical="center"/>
    </xf>
    <xf numFmtId="49" fontId="0" fillId="0" borderId="0" xfId="0" applyNumberFormat="1" applyAlignment="1">
      <alignment horizontal="center"/>
    </xf>
    <xf numFmtId="49" fontId="4" fillId="2" borderId="2" xfId="0" applyNumberFormat="1" applyFont="1" applyFill="1" applyBorder="1" applyAlignment="1">
      <alignment horizontal="center" vertical="center" shrinkToFit="1"/>
    </xf>
    <xf numFmtId="4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0" borderId="0" xfId="0" applyNumberFormat="1" applyFont="1" applyAlignment="1" applyProtection="1">
      <alignment horizontal="center" vertical="center" shrinkToFit="1"/>
      <protection locked="0" hidden="1"/>
    </xf>
    <xf numFmtId="49" fontId="0" fillId="0" borderId="0" xfId="0" applyNumberFormat="1">
      <alignment vertical="center"/>
    </xf>
    <xf numFmtId="0" fontId="0" fillId="4" borderId="83" xfId="0" applyFill="1" applyBorder="1">
      <alignment vertical="center"/>
    </xf>
    <xf numFmtId="0" fontId="0" fillId="4" borderId="84" xfId="0" applyFill="1" applyBorder="1">
      <alignment vertical="center"/>
    </xf>
    <xf numFmtId="0" fontId="0" fillId="0" borderId="85" xfId="0" applyBorder="1">
      <alignment vertical="center"/>
    </xf>
    <xf numFmtId="0" fontId="8" fillId="0" borderId="86" xfId="0" applyFont="1" applyBorder="1">
      <alignment vertical="center"/>
    </xf>
    <xf numFmtId="0" fontId="9" fillId="4" borderId="87" xfId="0" applyFont="1" applyFill="1" applyBorder="1">
      <alignment vertical="center"/>
    </xf>
    <xf numFmtId="0" fontId="0" fillId="4" borderId="88" xfId="0" applyFill="1" applyBorder="1">
      <alignment vertical="center"/>
    </xf>
    <xf numFmtId="0" fontId="0" fillId="4" borderId="89" xfId="0" applyFill="1" applyBorder="1">
      <alignment vertical="center"/>
    </xf>
    <xf numFmtId="0" fontId="0" fillId="0" borderId="90" xfId="0" applyBorder="1">
      <alignment vertical="center"/>
    </xf>
    <xf numFmtId="0" fontId="8" fillId="0" borderId="91" xfId="0" applyFont="1" applyBorder="1">
      <alignment vertical="center"/>
    </xf>
    <xf numFmtId="0" fontId="0" fillId="0" borderId="91" xfId="0" applyBorder="1">
      <alignment vertical="center"/>
    </xf>
    <xf numFmtId="0" fontId="0" fillId="4" borderId="91" xfId="0" applyFill="1" applyBorder="1">
      <alignment vertical="center"/>
    </xf>
    <xf numFmtId="0" fontId="0" fillId="4" borderId="92" xfId="0" applyFill="1" applyBorder="1">
      <alignment vertical="center"/>
    </xf>
    <xf numFmtId="0" fontId="8" fillId="4" borderId="91" xfId="0" applyFont="1" applyFill="1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14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0" fillId="0" borderId="0" xfId="0" applyNumberFormat="1" applyAlignment="1">
      <alignment horizontal="center"/>
    </xf>
    <xf numFmtId="179" fontId="5" fillId="2" borderId="2" xfId="0" applyNumberFormat="1" applyFont="1" applyFill="1" applyBorder="1" applyAlignment="1">
      <alignment horizontal="center" vertical="center" shrinkToFit="1"/>
    </xf>
    <xf numFmtId="17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4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0" borderId="0" xfId="0" applyNumberFormat="1" applyFont="1" applyAlignment="1" applyProtection="1">
      <alignment horizontal="center" vertical="center" shrinkToFit="1"/>
      <protection locked="0" hidden="1"/>
    </xf>
    <xf numFmtId="179" fontId="0" fillId="0" borderId="0" xfId="0" applyNumberFormat="1">
      <alignment vertical="center"/>
    </xf>
    <xf numFmtId="56" fontId="0" fillId="0" borderId="0" xfId="0" applyNumberFormat="1">
      <alignment vertical="center"/>
    </xf>
    <xf numFmtId="0" fontId="10" fillId="0" borderId="0" xfId="0" applyFont="1">
      <alignment vertical="center"/>
    </xf>
    <xf numFmtId="0" fontId="9" fillId="0" borderId="11" xfId="0" applyFont="1" applyBorder="1">
      <alignment vertical="center"/>
    </xf>
    <xf numFmtId="56" fontId="9" fillId="0" borderId="11" xfId="0" applyNumberFormat="1" applyFont="1" applyBorder="1">
      <alignment vertical="center"/>
    </xf>
    <xf numFmtId="0" fontId="9" fillId="0" borderId="0" xfId="0" applyFont="1">
      <alignment vertical="center"/>
    </xf>
    <xf numFmtId="0" fontId="7" fillId="3" borderId="0" xfId="0" applyFont="1" applyFill="1" applyAlignment="1" applyProtection="1">
      <alignment horizontal="center" vertical="center" shrinkToFit="1"/>
      <protection locked="0" hidden="1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4" fontId="10" fillId="0" borderId="0" xfId="0" applyNumberFormat="1" applyFont="1">
      <alignment vertical="center"/>
    </xf>
    <xf numFmtId="56" fontId="9" fillId="0" borderId="0" xfId="0" applyNumberFormat="1" applyFont="1">
      <alignment vertical="center"/>
    </xf>
    <xf numFmtId="0" fontId="9" fillId="0" borderId="0" xfId="0" applyFont="1" applyAlignment="1">
      <alignment horizontal="center" vertical="center"/>
    </xf>
    <xf numFmtId="14" fontId="7" fillId="0" borderId="0" xfId="0" applyNumberFormat="1" applyFont="1" applyAlignment="1" applyProtection="1">
      <alignment horizontal="center" vertical="center" shrinkToFit="1"/>
      <protection locked="0" hidden="1"/>
    </xf>
    <xf numFmtId="14" fontId="11" fillId="0" borderId="0" xfId="0" applyNumberFormat="1" applyFont="1" applyAlignment="1" applyProtection="1">
      <alignment horizontal="center" vertical="center" shrinkToFit="1"/>
      <protection locked="0" hidden="1"/>
    </xf>
    <xf numFmtId="14" fontId="11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14" fontId="11" fillId="3" borderId="0" xfId="0" applyNumberFormat="1" applyFont="1" applyFill="1" applyAlignment="1" applyProtection="1">
      <alignment horizontal="center" vertical="center" shrinkToFit="1"/>
      <protection locked="0" hidden="1"/>
    </xf>
    <xf numFmtId="14" fontId="7" fillId="3" borderId="16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4" fontId="11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7" fillId="0" borderId="5" xfId="0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shrinkToFit="1"/>
    </xf>
    <xf numFmtId="0" fontId="7" fillId="0" borderId="17" xfId="0" applyFont="1" applyBorder="1" applyAlignment="1">
      <alignment horizontal="center" vertical="center" shrinkToFit="1"/>
    </xf>
    <xf numFmtId="177" fontId="7" fillId="6" borderId="6" xfId="1" applyNumberFormat="1" applyFont="1" applyFill="1" applyBorder="1" applyAlignment="1" applyProtection="1">
      <alignment horizontal="center" vertical="center" shrinkToFit="1"/>
    </xf>
    <xf numFmtId="177" fontId="7" fillId="6" borderId="10" xfId="1" applyNumberFormat="1" applyFont="1" applyFill="1" applyBorder="1" applyAlignment="1" applyProtection="1">
      <alignment horizontal="center" vertical="center" shrinkToFit="1"/>
    </xf>
    <xf numFmtId="177" fontId="7" fillId="6" borderId="18" xfId="1" applyNumberFormat="1" applyFont="1" applyFill="1" applyBorder="1" applyAlignment="1" applyProtection="1">
      <alignment horizontal="center" vertical="center" shrinkToFit="1"/>
    </xf>
    <xf numFmtId="177" fontId="7" fillId="7" borderId="6" xfId="1" applyNumberFormat="1" applyFont="1" applyFill="1" applyBorder="1" applyAlignment="1" applyProtection="1">
      <alignment horizontal="center" vertical="center" shrinkToFit="1"/>
    </xf>
    <xf numFmtId="177" fontId="7" fillId="7" borderId="10" xfId="1" applyNumberFormat="1" applyFont="1" applyFill="1" applyBorder="1" applyAlignment="1" applyProtection="1">
      <alignment horizontal="center" vertical="center" shrinkToFit="1"/>
    </xf>
    <xf numFmtId="177" fontId="7" fillId="7" borderId="18" xfId="1" applyNumberFormat="1" applyFont="1" applyFill="1" applyBorder="1" applyAlignment="1" applyProtection="1">
      <alignment horizontal="center" vertical="center" shrinkToFit="1"/>
    </xf>
    <xf numFmtId="0" fontId="0" fillId="4" borderId="76" xfId="0" applyFill="1" applyBorder="1" applyAlignment="1">
      <alignment horizontal="center" vertical="center"/>
    </xf>
    <xf numFmtId="0" fontId="0" fillId="4" borderId="81" xfId="0" applyFill="1" applyBorder="1" applyAlignment="1">
      <alignment horizontal="center" vertical="center"/>
    </xf>
    <xf numFmtId="0" fontId="0" fillId="4" borderId="8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3" xfId="0" applyBorder="1" applyAlignment="1">
      <alignment horizontal="right" vertical="center"/>
    </xf>
    <xf numFmtId="0" fontId="0" fillId="0" borderId="45" xfId="0" applyBorder="1" applyAlignment="1">
      <alignment horizontal="right" vertical="center"/>
    </xf>
    <xf numFmtId="0" fontId="0" fillId="0" borderId="63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4" borderId="62" xfId="0" applyFill="1" applyBorder="1" applyAlignment="1">
      <alignment horizontal="center" vertical="center"/>
    </xf>
  </cellXfs>
  <cellStyles count="2">
    <cellStyle name="桁区切り 2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66675</xdr:colOff>
      <xdr:row>9</xdr:row>
      <xdr:rowOff>28575</xdr:rowOff>
    </xdr:from>
    <xdr:to>
      <xdr:col>24</xdr:col>
      <xdr:colOff>590550</xdr:colOff>
      <xdr:row>20</xdr:row>
      <xdr:rowOff>171450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819775" y="2276475"/>
          <a:ext cx="914400" cy="2867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  <xdr:twoCellAnchor>
    <xdr:from>
      <xdr:col>23</xdr:col>
      <xdr:colOff>66675</xdr:colOff>
      <xdr:row>458</xdr:row>
      <xdr:rowOff>28575</xdr:rowOff>
    </xdr:from>
    <xdr:to>
      <xdr:col>24</xdr:col>
      <xdr:colOff>590550</xdr:colOff>
      <xdr:row>469</xdr:row>
      <xdr:rowOff>171450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7F01BB9-B601-4D93-8888-5FD46271659C}"/>
            </a:ext>
          </a:extLst>
        </xdr:cNvPr>
        <xdr:cNvSpPr txBox="1"/>
      </xdr:nvSpPr>
      <xdr:spPr>
        <a:xfrm>
          <a:off x="16411934" y="2310981"/>
          <a:ext cx="910267" cy="28925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466724</xdr:colOff>
      <xdr:row>0</xdr:row>
      <xdr:rowOff>19049</xdr:rowOff>
    </xdr:from>
    <xdr:to>
      <xdr:col>12</xdr:col>
      <xdr:colOff>13187</xdr:colOff>
      <xdr:row>26</xdr:row>
      <xdr:rowOff>95249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C0AD756-06AB-4683-B256-430D7F983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7324" y="19049"/>
          <a:ext cx="2975463" cy="6524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78"/>
  <sheetViews>
    <sheetView tabSelected="1" zoomScale="106" zoomScaleNormal="106" workbookViewId="0">
      <selection activeCell="F8" sqref="F8"/>
    </sheetView>
  </sheetViews>
  <sheetFormatPr defaultRowHeight="18.75" x14ac:dyDescent="0.4"/>
  <cols>
    <col min="1" max="2" width="9" customWidth="1"/>
    <col min="3" max="3" width="10.875" style="89" customWidth="1"/>
    <col min="4" max="4" width="9" style="113" customWidth="1"/>
    <col min="5" max="5" width="9" customWidth="1"/>
    <col min="6" max="6" width="9.875" customWidth="1"/>
    <col min="7" max="9" width="9" customWidth="1"/>
    <col min="10" max="11" width="10.5" customWidth="1"/>
    <col min="12" max="12" width="10.875" customWidth="1"/>
    <col min="13" max="15" width="10.5" customWidth="1"/>
    <col min="16" max="16" width="10.875" customWidth="1"/>
    <col min="17" max="17" width="10.5" customWidth="1"/>
    <col min="18" max="18" width="9.5" customWidth="1"/>
    <col min="19" max="19" width="9.625" customWidth="1"/>
    <col min="20" max="20" width="10.5" customWidth="1"/>
    <col min="22" max="22" width="5.125" customWidth="1"/>
    <col min="23" max="23" width="2.625" customWidth="1"/>
    <col min="24" max="24" width="5.125" customWidth="1"/>
    <col min="25" max="25" width="8.75" customWidth="1"/>
    <col min="26" max="26" width="3.25" customWidth="1"/>
    <col min="27" max="27" width="15.125" bestFit="1" customWidth="1"/>
    <col min="28" max="28" width="7.125" bestFit="1" customWidth="1"/>
  </cols>
  <sheetData>
    <row r="1" spans="1:32" ht="19.5" thickBot="1" x14ac:dyDescent="0.45">
      <c r="A1" s="1" t="s">
        <v>208</v>
      </c>
      <c r="B1" s="24">
        <v>45720</v>
      </c>
      <c r="C1" s="83" t="s">
        <v>0</v>
      </c>
      <c r="D1" s="107"/>
      <c r="E1" s="2" t="s">
        <v>1</v>
      </c>
      <c r="F1" s="3"/>
      <c r="G1" s="2"/>
      <c r="H1" s="2" t="s">
        <v>4</v>
      </c>
      <c r="I1" s="3" t="s">
        <v>3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3" t="s">
        <v>12</v>
      </c>
      <c r="R1" s="2" t="s">
        <v>3</v>
      </c>
      <c r="S1" s="3" t="s">
        <v>2</v>
      </c>
      <c r="T1" s="2"/>
      <c r="U1" s="3"/>
    </row>
    <row r="2" spans="1:32" ht="19.5" thickBot="1" x14ac:dyDescent="0.45">
      <c r="A2" s="4" t="s">
        <v>13</v>
      </c>
      <c r="B2" s="5" t="s">
        <v>14</v>
      </c>
      <c r="C2" s="84" t="s">
        <v>15</v>
      </c>
      <c r="D2" s="108" t="s">
        <v>16</v>
      </c>
      <c r="E2" s="5" t="s">
        <v>17</v>
      </c>
      <c r="F2" s="7" t="s">
        <v>18</v>
      </c>
      <c r="G2" s="5" t="s">
        <v>19</v>
      </c>
      <c r="H2" s="5" t="s">
        <v>20</v>
      </c>
      <c r="I2" s="8" t="s">
        <v>21</v>
      </c>
      <c r="J2" s="5" t="s">
        <v>22</v>
      </c>
      <c r="K2" s="5" t="s">
        <v>23</v>
      </c>
      <c r="L2" s="9" t="s">
        <v>24</v>
      </c>
      <c r="M2" s="9" t="s">
        <v>25</v>
      </c>
      <c r="N2" s="9" t="s">
        <v>26</v>
      </c>
      <c r="O2" s="10" t="s">
        <v>27</v>
      </c>
      <c r="P2" s="9" t="s">
        <v>28</v>
      </c>
      <c r="Q2" s="9" t="s">
        <v>29</v>
      </c>
      <c r="R2" s="9" t="s">
        <v>30</v>
      </c>
      <c r="S2" s="5" t="s">
        <v>31</v>
      </c>
      <c r="T2" s="11" t="s">
        <v>32</v>
      </c>
      <c r="U2" s="6" t="s">
        <v>33</v>
      </c>
      <c r="X2" s="135" t="s">
        <v>105</v>
      </c>
      <c r="Y2" s="136"/>
      <c r="AA2" s="59" t="s">
        <v>120</v>
      </c>
      <c r="AB2" s="60" t="s">
        <v>121</v>
      </c>
      <c r="AC2" s="61" t="s">
        <v>125</v>
      </c>
      <c r="AD2" s="61" t="s">
        <v>126</v>
      </c>
      <c r="AE2" s="76" t="s">
        <v>127</v>
      </c>
      <c r="AF2" s="81" t="s">
        <v>129</v>
      </c>
    </row>
    <row r="3" spans="1:32" ht="20.25" thickTop="1" x14ac:dyDescent="0.4">
      <c r="A3" s="137">
        <v>1</v>
      </c>
      <c r="B3" s="140">
        <v>19</v>
      </c>
      <c r="C3" s="85" t="s">
        <v>209</v>
      </c>
      <c r="D3" s="109" t="s">
        <v>179</v>
      </c>
      <c r="E3" s="15" t="s">
        <v>40</v>
      </c>
      <c r="F3" s="14"/>
      <c r="G3" s="12" t="s">
        <v>178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25">
        <v>45738</v>
      </c>
      <c r="U3" s="13" t="s">
        <v>148</v>
      </c>
      <c r="V3">
        <v>1</v>
      </c>
      <c r="X3" s="51" t="s">
        <v>106</v>
      </c>
      <c r="Y3" s="52">
        <f>COUNTIF(U3:U27,"K")</f>
        <v>6</v>
      </c>
      <c r="AA3" s="47" t="s">
        <v>124</v>
      </c>
      <c r="AB3" s="48" t="s">
        <v>60</v>
      </c>
      <c r="AC3" s="63"/>
      <c r="AD3" s="64"/>
      <c r="AE3" s="77"/>
      <c r="AF3" s="82"/>
    </row>
    <row r="4" spans="1:32" ht="19.5" x14ac:dyDescent="0.4">
      <c r="A4" s="138"/>
      <c r="B4" s="141"/>
      <c r="C4" s="85" t="s">
        <v>210</v>
      </c>
      <c r="D4" s="109" t="s">
        <v>186</v>
      </c>
      <c r="E4" s="15" t="s">
        <v>36</v>
      </c>
      <c r="F4" s="16"/>
      <c r="G4" s="12" t="s">
        <v>178</v>
      </c>
      <c r="H4" s="15"/>
      <c r="I4" s="13"/>
      <c r="J4" s="15"/>
      <c r="K4" s="15"/>
      <c r="L4" s="17"/>
      <c r="M4" s="17">
        <v>1</v>
      </c>
      <c r="N4" s="13">
        <v>1</v>
      </c>
      <c r="O4" s="17"/>
      <c r="P4" s="17"/>
      <c r="Q4" s="17">
        <v>1</v>
      </c>
      <c r="R4" s="17"/>
      <c r="S4" s="15"/>
      <c r="T4" s="25">
        <v>45750</v>
      </c>
      <c r="U4" s="13" t="s">
        <v>147</v>
      </c>
      <c r="V4">
        <v>2</v>
      </c>
      <c r="X4" s="51" t="s">
        <v>107</v>
      </c>
      <c r="Y4" s="52">
        <f>COUNTIF(U3:U27,"R")</f>
        <v>5</v>
      </c>
      <c r="AA4" s="49" t="s">
        <v>122</v>
      </c>
      <c r="AB4" s="50" t="s">
        <v>39</v>
      </c>
      <c r="AC4" s="66"/>
      <c r="AD4" s="67"/>
      <c r="AE4" s="78"/>
      <c r="AF4" s="82"/>
    </row>
    <row r="5" spans="1:32" ht="20.25" thickBot="1" x14ac:dyDescent="0.45">
      <c r="A5" s="138"/>
      <c r="B5" s="141"/>
      <c r="C5" s="85" t="s">
        <v>211</v>
      </c>
      <c r="D5" s="109" t="s">
        <v>186</v>
      </c>
      <c r="E5" s="15" t="s">
        <v>37</v>
      </c>
      <c r="F5" s="16"/>
      <c r="G5" s="12" t="s">
        <v>178</v>
      </c>
      <c r="H5" s="13"/>
      <c r="I5" s="13"/>
      <c r="J5" s="15"/>
      <c r="K5" s="15"/>
      <c r="L5" s="17"/>
      <c r="M5" s="17">
        <v>1</v>
      </c>
      <c r="N5" s="13">
        <v>1</v>
      </c>
      <c r="O5" s="17"/>
      <c r="P5" s="17"/>
      <c r="Q5" s="17">
        <v>1</v>
      </c>
      <c r="R5" s="17"/>
      <c r="S5" s="15"/>
      <c r="T5" s="25">
        <v>45750</v>
      </c>
      <c r="U5" s="13" t="s">
        <v>147</v>
      </c>
      <c r="V5">
        <v>3</v>
      </c>
      <c r="X5" s="53" t="s">
        <v>108</v>
      </c>
      <c r="Y5" s="54">
        <f>COUNTIF(U3:U27,"J")</f>
        <v>5</v>
      </c>
      <c r="AA5" s="49" t="s">
        <v>83</v>
      </c>
      <c r="AB5" s="50" t="s">
        <v>38</v>
      </c>
      <c r="AC5" s="66"/>
      <c r="AD5" s="67"/>
      <c r="AE5" s="78"/>
      <c r="AF5" s="82"/>
    </row>
    <row r="6" spans="1:32" ht="19.5" x14ac:dyDescent="0.4">
      <c r="A6" s="138"/>
      <c r="B6" s="141"/>
      <c r="C6" s="85" t="s">
        <v>212</v>
      </c>
      <c r="D6" s="109" t="s">
        <v>186</v>
      </c>
      <c r="E6" s="15" t="s">
        <v>40</v>
      </c>
      <c r="F6" s="16"/>
      <c r="G6" s="12" t="s">
        <v>178</v>
      </c>
      <c r="H6" s="15" t="s">
        <v>147</v>
      </c>
      <c r="I6" s="13"/>
      <c r="J6" s="13"/>
      <c r="K6" s="15"/>
      <c r="L6" s="17"/>
      <c r="M6" s="17"/>
      <c r="N6" s="13"/>
      <c r="O6" s="17">
        <v>1</v>
      </c>
      <c r="P6" s="17">
        <v>1</v>
      </c>
      <c r="Q6" s="17"/>
      <c r="R6" s="17"/>
      <c r="S6" s="15"/>
      <c r="T6" s="25">
        <v>45750</v>
      </c>
      <c r="U6" s="13" t="s">
        <v>148</v>
      </c>
      <c r="V6">
        <v>4</v>
      </c>
      <c r="AA6" s="49" t="s">
        <v>84</v>
      </c>
      <c r="AB6" s="50" t="s">
        <v>44</v>
      </c>
      <c r="AC6" s="66"/>
      <c r="AD6" s="67"/>
      <c r="AE6" s="78"/>
      <c r="AF6" s="82"/>
    </row>
    <row r="7" spans="1:32" ht="19.5" x14ac:dyDescent="0.4">
      <c r="A7" s="138"/>
      <c r="B7" s="141"/>
      <c r="C7" s="85" t="s">
        <v>213</v>
      </c>
      <c r="D7" s="109" t="s">
        <v>183</v>
      </c>
      <c r="E7" s="15" t="s">
        <v>74</v>
      </c>
      <c r="F7" s="16"/>
      <c r="G7" s="12" t="s">
        <v>178</v>
      </c>
      <c r="H7" s="15"/>
      <c r="I7" s="13"/>
      <c r="J7" s="15"/>
      <c r="K7" s="15">
        <v>1</v>
      </c>
      <c r="L7" s="17"/>
      <c r="M7" s="17">
        <v>1</v>
      </c>
      <c r="N7" s="13">
        <v>1</v>
      </c>
      <c r="O7" s="17"/>
      <c r="P7" s="17"/>
      <c r="Q7" s="17"/>
      <c r="R7" s="17"/>
      <c r="S7" s="15"/>
      <c r="T7" s="25">
        <v>45733</v>
      </c>
      <c r="U7" s="13" t="s">
        <v>147</v>
      </c>
      <c r="V7">
        <v>5</v>
      </c>
      <c r="AA7" s="49" t="s">
        <v>85</v>
      </c>
      <c r="AB7" s="50" t="s">
        <v>43</v>
      </c>
      <c r="AC7" s="66"/>
      <c r="AD7" s="67"/>
      <c r="AE7" s="78"/>
      <c r="AF7" s="82"/>
    </row>
    <row r="8" spans="1:32" ht="19.5" x14ac:dyDescent="0.4">
      <c r="A8" s="138"/>
      <c r="B8" s="141"/>
      <c r="C8" s="85" t="s">
        <v>214</v>
      </c>
      <c r="D8" s="109" t="s">
        <v>179</v>
      </c>
      <c r="E8" s="15" t="s">
        <v>38</v>
      </c>
      <c r="F8" s="16"/>
      <c r="G8" s="12" t="s">
        <v>178</v>
      </c>
      <c r="H8" s="13"/>
      <c r="I8" s="13"/>
      <c r="J8" s="15">
        <v>1</v>
      </c>
      <c r="K8" s="15">
        <v>1</v>
      </c>
      <c r="L8" s="17"/>
      <c r="M8" s="17"/>
      <c r="N8" s="13"/>
      <c r="O8" s="17"/>
      <c r="P8" s="17"/>
      <c r="Q8" s="17"/>
      <c r="R8" s="17"/>
      <c r="S8" s="15"/>
      <c r="T8" s="25">
        <v>45739</v>
      </c>
      <c r="U8" s="13" t="s">
        <v>142</v>
      </c>
      <c r="V8">
        <v>6</v>
      </c>
      <c r="AA8" s="49" t="s">
        <v>86</v>
      </c>
      <c r="AB8" s="50" t="s">
        <v>45</v>
      </c>
      <c r="AC8" s="66"/>
      <c r="AD8" s="67"/>
      <c r="AE8" s="78"/>
      <c r="AF8" s="82"/>
    </row>
    <row r="9" spans="1:32" ht="19.5" x14ac:dyDescent="0.4">
      <c r="A9" s="138"/>
      <c r="B9" s="141"/>
      <c r="C9" s="85" t="s">
        <v>215</v>
      </c>
      <c r="D9" s="109" t="s">
        <v>187</v>
      </c>
      <c r="E9" s="15" t="s">
        <v>39</v>
      </c>
      <c r="F9" s="16"/>
      <c r="G9" s="12" t="s">
        <v>178</v>
      </c>
      <c r="H9" s="15"/>
      <c r="I9" s="13"/>
      <c r="J9" s="15"/>
      <c r="K9" s="15">
        <v>1</v>
      </c>
      <c r="L9" s="17"/>
      <c r="M9" s="17"/>
      <c r="N9" s="13"/>
      <c r="O9" s="17"/>
      <c r="P9" s="17"/>
      <c r="Q9" s="17"/>
      <c r="R9" s="17"/>
      <c r="S9" s="15"/>
      <c r="T9" s="25">
        <v>45735</v>
      </c>
      <c r="U9" s="13" t="s">
        <v>146</v>
      </c>
      <c r="V9">
        <v>7</v>
      </c>
      <c r="AA9" s="49" t="s">
        <v>87</v>
      </c>
      <c r="AB9" s="50" t="s">
        <v>37</v>
      </c>
      <c r="AC9" s="66"/>
      <c r="AD9" s="67"/>
      <c r="AE9" s="78"/>
      <c r="AF9" s="82">
        <v>1</v>
      </c>
    </row>
    <row r="10" spans="1:32" ht="19.5" x14ac:dyDescent="0.4">
      <c r="A10" s="138"/>
      <c r="B10" s="141"/>
      <c r="C10" s="85" t="s">
        <v>216</v>
      </c>
      <c r="D10" s="109" t="s">
        <v>187</v>
      </c>
      <c r="E10" s="15" t="s">
        <v>133</v>
      </c>
      <c r="F10" s="16"/>
      <c r="G10" s="12" t="s">
        <v>178</v>
      </c>
      <c r="H10" s="15"/>
      <c r="I10" s="13"/>
      <c r="J10" s="15"/>
      <c r="K10" s="15"/>
      <c r="L10" s="17"/>
      <c r="M10" s="17"/>
      <c r="N10" s="13"/>
      <c r="O10" s="17">
        <v>1</v>
      </c>
      <c r="P10" s="17">
        <v>1</v>
      </c>
      <c r="Q10" s="17"/>
      <c r="R10" s="17">
        <v>1</v>
      </c>
      <c r="S10" s="15"/>
      <c r="T10" s="25">
        <v>45735</v>
      </c>
      <c r="U10" s="13" t="s">
        <v>148</v>
      </c>
      <c r="V10">
        <v>8</v>
      </c>
      <c r="AA10" s="49" t="s">
        <v>88</v>
      </c>
      <c r="AB10" s="50" t="s">
        <v>74</v>
      </c>
      <c r="AC10" s="66"/>
      <c r="AD10" s="67"/>
      <c r="AE10" s="78"/>
      <c r="AF10" s="82"/>
    </row>
    <row r="11" spans="1:32" ht="19.5" x14ac:dyDescent="0.4">
      <c r="A11" s="138"/>
      <c r="B11" s="141"/>
      <c r="C11" s="85" t="s">
        <v>217</v>
      </c>
      <c r="D11" s="109" t="s">
        <v>183</v>
      </c>
      <c r="E11" s="15" t="s">
        <v>44</v>
      </c>
      <c r="F11" s="16"/>
      <c r="G11" s="12" t="s">
        <v>178</v>
      </c>
      <c r="H11" s="15"/>
      <c r="I11" s="13"/>
      <c r="J11" s="15"/>
      <c r="K11" s="15">
        <v>1</v>
      </c>
      <c r="L11" s="17"/>
      <c r="M11" s="17">
        <v>1</v>
      </c>
      <c r="N11" s="13">
        <v>1</v>
      </c>
      <c r="O11" s="17"/>
      <c r="P11" s="17"/>
      <c r="Q11" s="17"/>
      <c r="R11" s="17"/>
      <c r="S11" s="15"/>
      <c r="T11" s="25">
        <v>45735</v>
      </c>
      <c r="U11" s="13" t="s">
        <v>147</v>
      </c>
      <c r="V11">
        <v>9</v>
      </c>
      <c r="AA11" s="49" t="s">
        <v>89</v>
      </c>
      <c r="AB11" s="50" t="s">
        <v>36</v>
      </c>
      <c r="AC11" s="66"/>
      <c r="AD11" s="67"/>
      <c r="AE11" s="78"/>
      <c r="AF11" s="82"/>
    </row>
    <row r="12" spans="1:32" ht="19.5" x14ac:dyDescent="0.4">
      <c r="A12" s="138"/>
      <c r="B12" s="141"/>
      <c r="C12" s="85" t="s">
        <v>219</v>
      </c>
      <c r="D12" s="109" t="s">
        <v>218</v>
      </c>
      <c r="E12" s="15" t="s">
        <v>38</v>
      </c>
      <c r="F12" s="16"/>
      <c r="G12" s="12" t="s">
        <v>178</v>
      </c>
      <c r="H12" s="15"/>
      <c r="I12" s="15"/>
      <c r="J12" s="15">
        <v>1</v>
      </c>
      <c r="K12" s="15">
        <v>1</v>
      </c>
      <c r="L12" s="17"/>
      <c r="M12" s="17"/>
      <c r="N12" s="17"/>
      <c r="O12" s="17"/>
      <c r="P12" s="17"/>
      <c r="Q12" s="17"/>
      <c r="R12" s="17"/>
      <c r="S12" s="15"/>
      <c r="T12" s="25">
        <v>45741</v>
      </c>
      <c r="U12" s="13" t="s">
        <v>146</v>
      </c>
      <c r="V12">
        <v>10</v>
      </c>
      <c r="AA12" s="49" t="s">
        <v>90</v>
      </c>
      <c r="AB12" s="50" t="s">
        <v>58</v>
      </c>
      <c r="AC12" s="66"/>
      <c r="AD12" s="67"/>
      <c r="AE12" s="78"/>
      <c r="AF12" s="82"/>
    </row>
    <row r="13" spans="1:32" ht="19.5" x14ac:dyDescent="0.4">
      <c r="A13" s="138"/>
      <c r="B13" s="141"/>
      <c r="C13" s="85" t="s">
        <v>220</v>
      </c>
      <c r="D13" s="109" t="s">
        <v>177</v>
      </c>
      <c r="E13" s="15" t="s">
        <v>58</v>
      </c>
      <c r="F13" s="16"/>
      <c r="G13" s="12" t="s">
        <v>178</v>
      </c>
      <c r="H13" s="15"/>
      <c r="I13" s="15"/>
      <c r="J13" s="15"/>
      <c r="K13" s="15"/>
      <c r="L13" s="17"/>
      <c r="M13" s="17"/>
      <c r="N13" s="17"/>
      <c r="O13" s="17"/>
      <c r="P13" s="17"/>
      <c r="Q13" s="17"/>
      <c r="R13" s="17"/>
      <c r="S13" s="15">
        <v>1</v>
      </c>
      <c r="T13" s="25">
        <v>45744</v>
      </c>
      <c r="U13" s="13" t="s">
        <v>146</v>
      </c>
      <c r="V13">
        <v>11</v>
      </c>
      <c r="AA13" s="49" t="s">
        <v>91</v>
      </c>
      <c r="AB13" s="50" t="s">
        <v>75</v>
      </c>
      <c r="AC13" s="66"/>
      <c r="AD13" s="67"/>
      <c r="AE13" s="78"/>
      <c r="AF13" s="82"/>
    </row>
    <row r="14" spans="1:32" ht="19.5" x14ac:dyDescent="0.4">
      <c r="A14" s="138"/>
      <c r="B14" s="141"/>
      <c r="C14" s="85" t="s">
        <v>221</v>
      </c>
      <c r="D14" s="109" t="s">
        <v>177</v>
      </c>
      <c r="E14" s="15" t="s">
        <v>60</v>
      </c>
      <c r="F14" s="16"/>
      <c r="G14" s="12" t="s">
        <v>178</v>
      </c>
      <c r="H14" s="15"/>
      <c r="I14" s="15"/>
      <c r="J14" s="15">
        <v>1</v>
      </c>
      <c r="K14" s="15"/>
      <c r="L14" s="17">
        <v>1</v>
      </c>
      <c r="M14" s="17"/>
      <c r="N14" s="17"/>
      <c r="O14" s="17"/>
      <c r="P14" s="17"/>
      <c r="Q14" s="17"/>
      <c r="R14" s="17"/>
      <c r="S14" s="15"/>
      <c r="T14" s="25">
        <v>45745</v>
      </c>
      <c r="U14" s="13" t="s">
        <v>146</v>
      </c>
      <c r="V14">
        <v>12</v>
      </c>
      <c r="AA14" s="55" t="s">
        <v>92</v>
      </c>
      <c r="AB14" s="56" t="s">
        <v>40</v>
      </c>
      <c r="AC14" s="69"/>
      <c r="AD14" s="90"/>
      <c r="AE14" s="91"/>
      <c r="AF14" s="82"/>
    </row>
    <row r="15" spans="1:32" x14ac:dyDescent="0.4">
      <c r="A15" s="138"/>
      <c r="B15" s="141"/>
      <c r="C15" s="85" t="s">
        <v>222</v>
      </c>
      <c r="D15" s="109" t="s">
        <v>177</v>
      </c>
      <c r="E15" s="15" t="s">
        <v>40</v>
      </c>
      <c r="F15" s="16"/>
      <c r="G15" s="12" t="s">
        <v>178</v>
      </c>
      <c r="H15" s="15"/>
      <c r="I15" s="15"/>
      <c r="J15" s="15"/>
      <c r="K15" s="15"/>
      <c r="L15" s="17"/>
      <c r="M15" s="17"/>
      <c r="N15" s="17"/>
      <c r="O15" s="17">
        <v>1</v>
      </c>
      <c r="P15" s="17">
        <v>1</v>
      </c>
      <c r="Q15" s="17">
        <v>1</v>
      </c>
      <c r="R15" s="17">
        <v>1</v>
      </c>
      <c r="S15" s="15"/>
      <c r="T15" s="25">
        <v>45752</v>
      </c>
      <c r="U15" s="13" t="s">
        <v>148</v>
      </c>
      <c r="V15">
        <v>13</v>
      </c>
      <c r="AA15" s="97" t="s">
        <v>132</v>
      </c>
      <c r="AB15" s="98" t="s">
        <v>133</v>
      </c>
      <c r="AC15" s="102"/>
      <c r="AD15" s="100"/>
      <c r="AE15" s="101"/>
      <c r="AF15" s="82"/>
    </row>
    <row r="16" spans="1:32" x14ac:dyDescent="0.4">
      <c r="A16" s="138"/>
      <c r="B16" s="141"/>
      <c r="C16" s="85" t="s">
        <v>224</v>
      </c>
      <c r="D16" s="109" t="s">
        <v>223</v>
      </c>
      <c r="E16" s="15" t="s">
        <v>74</v>
      </c>
      <c r="F16" s="16"/>
      <c r="G16" s="12" t="s">
        <v>178</v>
      </c>
      <c r="H16" s="15"/>
      <c r="I16" s="15"/>
      <c r="J16" s="15"/>
      <c r="K16" s="15"/>
      <c r="L16" s="17"/>
      <c r="M16" s="17">
        <v>1</v>
      </c>
      <c r="N16" s="17">
        <v>1</v>
      </c>
      <c r="O16" s="17"/>
      <c r="P16" s="17"/>
      <c r="Q16" s="17"/>
      <c r="R16" s="17"/>
      <c r="S16" s="15"/>
      <c r="T16" s="25">
        <v>45746</v>
      </c>
      <c r="U16" s="13" t="s">
        <v>147</v>
      </c>
      <c r="V16">
        <v>14</v>
      </c>
      <c r="AA16" s="97"/>
      <c r="AB16" s="99"/>
      <c r="AC16" s="100"/>
      <c r="AD16" s="100"/>
      <c r="AE16" s="101"/>
      <c r="AF16" s="82"/>
    </row>
    <row r="17" spans="1:32" ht="19.5" x14ac:dyDescent="0.4">
      <c r="A17" s="138"/>
      <c r="B17" s="141"/>
      <c r="C17" s="85" t="s">
        <v>225</v>
      </c>
      <c r="D17" s="106" t="s">
        <v>223</v>
      </c>
      <c r="E17" s="15" t="s">
        <v>74</v>
      </c>
      <c r="F17" s="16"/>
      <c r="G17" s="15" t="s">
        <v>178</v>
      </c>
      <c r="H17" s="15"/>
      <c r="I17" s="15"/>
      <c r="J17" s="15">
        <v>1</v>
      </c>
      <c r="K17" s="15">
        <v>1</v>
      </c>
      <c r="L17" s="17"/>
      <c r="M17" s="17"/>
      <c r="N17" s="17"/>
      <c r="O17" s="17"/>
      <c r="P17" s="17"/>
      <c r="Q17" s="17"/>
      <c r="R17" s="17"/>
      <c r="S17" s="15"/>
      <c r="T17" s="25">
        <v>45746</v>
      </c>
      <c r="U17" s="15" t="s">
        <v>146</v>
      </c>
      <c r="V17">
        <v>15</v>
      </c>
      <c r="AA17" s="92" t="s">
        <v>93</v>
      </c>
      <c r="AB17" s="93" t="s">
        <v>57</v>
      </c>
      <c r="AC17" s="94"/>
      <c r="AD17" s="95"/>
      <c r="AE17" s="96"/>
      <c r="AF17" s="82"/>
    </row>
    <row r="18" spans="1:32" ht="19.5" x14ac:dyDescent="0.4">
      <c r="A18" s="138"/>
      <c r="B18" s="141"/>
      <c r="C18" s="85" t="s">
        <v>227</v>
      </c>
      <c r="D18" s="110" t="s">
        <v>226</v>
      </c>
      <c r="E18" s="18" t="s">
        <v>40</v>
      </c>
      <c r="F18" s="16"/>
      <c r="G18" s="18" t="s">
        <v>178</v>
      </c>
      <c r="H18" s="15"/>
      <c r="I18" s="15"/>
      <c r="J18" s="18"/>
      <c r="K18" s="15"/>
      <c r="L18" s="19"/>
      <c r="M18" s="19"/>
      <c r="N18" s="19"/>
      <c r="O18" s="19">
        <v>1</v>
      </c>
      <c r="P18" s="19">
        <v>1</v>
      </c>
      <c r="Q18" s="19"/>
      <c r="R18" s="19"/>
      <c r="S18" s="15"/>
      <c r="T18" s="25">
        <v>45745</v>
      </c>
      <c r="U18" s="15" t="s">
        <v>148</v>
      </c>
      <c r="V18" s="73">
        <v>16</v>
      </c>
      <c r="AA18" s="49" t="s">
        <v>94</v>
      </c>
      <c r="AB18" s="50" t="s">
        <v>41</v>
      </c>
      <c r="AC18" s="66"/>
      <c r="AD18" s="67"/>
      <c r="AE18" s="78"/>
      <c r="AF18" s="82"/>
    </row>
    <row r="19" spans="1:32" ht="19.5" x14ac:dyDescent="0.4">
      <c r="A19" s="138"/>
      <c r="B19" s="141"/>
      <c r="C19" s="85"/>
      <c r="D19" s="110"/>
      <c r="E19" s="18"/>
      <c r="F19" s="16"/>
      <c r="G19" s="18"/>
      <c r="H19" s="15"/>
      <c r="I19" s="15"/>
      <c r="J19" s="18"/>
      <c r="K19" s="15"/>
      <c r="L19" s="19"/>
      <c r="M19" s="19"/>
      <c r="N19" s="19"/>
      <c r="O19" s="19"/>
      <c r="P19" s="19"/>
      <c r="Q19" s="19"/>
      <c r="R19" s="19"/>
      <c r="S19" s="15"/>
      <c r="T19" s="30"/>
      <c r="U19" s="15"/>
      <c r="V19">
        <v>17</v>
      </c>
      <c r="AA19" s="49" t="s">
        <v>95</v>
      </c>
      <c r="AB19" s="50" t="s">
        <v>42</v>
      </c>
      <c r="AC19" s="66"/>
      <c r="AD19" s="67"/>
      <c r="AE19" s="78"/>
      <c r="AF19" s="82"/>
    </row>
    <row r="20" spans="1:32" ht="19.5" x14ac:dyDescent="0.4">
      <c r="A20" s="138"/>
      <c r="B20" s="141"/>
      <c r="C20" s="86"/>
      <c r="D20" s="110"/>
      <c r="E20" s="18"/>
      <c r="F20" s="16"/>
      <c r="G20" s="18"/>
      <c r="H20" s="15"/>
      <c r="I20" s="15"/>
      <c r="J20" s="18"/>
      <c r="K20" s="15"/>
      <c r="L20" s="19"/>
      <c r="M20" s="19"/>
      <c r="N20" s="19"/>
      <c r="O20" s="19"/>
      <c r="P20" s="19"/>
      <c r="Q20" s="19"/>
      <c r="R20" s="19"/>
      <c r="S20" s="15"/>
      <c r="T20" s="30"/>
      <c r="U20" s="15"/>
      <c r="V20">
        <v>18</v>
      </c>
      <c r="AA20" s="49" t="s">
        <v>96</v>
      </c>
      <c r="AB20" s="50" t="s">
        <v>61</v>
      </c>
      <c r="AC20" s="66"/>
      <c r="AD20" s="67"/>
      <c r="AE20" s="78"/>
      <c r="AF20" s="82"/>
    </row>
    <row r="21" spans="1:32" ht="19.5" x14ac:dyDescent="0.4">
      <c r="A21" s="138"/>
      <c r="B21" s="141"/>
      <c r="C21" s="86"/>
      <c r="D21" s="110"/>
      <c r="E21" s="18"/>
      <c r="F21" s="16"/>
      <c r="G21" s="18"/>
      <c r="H21" s="15"/>
      <c r="I21" s="15"/>
      <c r="J21" s="18"/>
      <c r="K21" s="15"/>
      <c r="L21" s="19"/>
      <c r="M21" s="19"/>
      <c r="N21" s="19"/>
      <c r="O21" s="19"/>
      <c r="P21" s="19"/>
      <c r="Q21" s="19"/>
      <c r="R21" s="19"/>
      <c r="S21" s="15"/>
      <c r="T21" s="30"/>
      <c r="U21" s="15"/>
      <c r="V21">
        <v>19</v>
      </c>
      <c r="AA21" s="49" t="s">
        <v>97</v>
      </c>
      <c r="AB21" s="50" t="s">
        <v>76</v>
      </c>
      <c r="AC21" s="66"/>
      <c r="AD21" s="67"/>
      <c r="AE21" s="78"/>
      <c r="AF21" s="82"/>
    </row>
    <row r="22" spans="1:32" ht="19.5" x14ac:dyDescent="0.4">
      <c r="A22" s="138"/>
      <c r="B22" s="141"/>
      <c r="C22" s="86"/>
      <c r="D22" s="110"/>
      <c r="E22" s="18"/>
      <c r="F22" s="16"/>
      <c r="G22" s="18"/>
      <c r="H22" s="15"/>
      <c r="I22" s="15"/>
      <c r="J22" s="18"/>
      <c r="K22" s="15"/>
      <c r="L22" s="19"/>
      <c r="M22" s="19"/>
      <c r="N22" s="19"/>
      <c r="O22" s="19"/>
      <c r="P22" s="19"/>
      <c r="Q22" s="19"/>
      <c r="R22" s="19"/>
      <c r="S22" s="15"/>
      <c r="T22" s="30"/>
      <c r="U22" s="15"/>
      <c r="V22">
        <v>20</v>
      </c>
      <c r="AA22" s="49" t="s">
        <v>98</v>
      </c>
      <c r="AB22" s="50" t="s">
        <v>77</v>
      </c>
      <c r="AC22" s="66"/>
      <c r="AD22" s="67"/>
      <c r="AE22" s="78"/>
      <c r="AF22" s="82"/>
    </row>
    <row r="23" spans="1:32" ht="19.5" x14ac:dyDescent="0.4">
      <c r="A23" s="138"/>
      <c r="B23" s="141"/>
      <c r="C23" s="86"/>
      <c r="D23" s="110"/>
      <c r="E23" s="18"/>
      <c r="F23" s="16"/>
      <c r="G23" s="18"/>
      <c r="H23" s="15"/>
      <c r="I23" s="15"/>
      <c r="J23" s="18"/>
      <c r="K23" s="15"/>
      <c r="L23" s="19"/>
      <c r="M23" s="19"/>
      <c r="N23" s="19"/>
      <c r="O23" s="19"/>
      <c r="P23" s="19"/>
      <c r="Q23" s="19"/>
      <c r="R23" s="19"/>
      <c r="S23" s="15"/>
      <c r="T23" s="30"/>
      <c r="U23" s="15"/>
      <c r="V23">
        <v>21</v>
      </c>
      <c r="AA23" s="49" t="s">
        <v>99</v>
      </c>
      <c r="AB23" s="50" t="s">
        <v>78</v>
      </c>
      <c r="AC23" s="66"/>
      <c r="AD23" s="67"/>
      <c r="AE23" s="78"/>
      <c r="AF23" s="82"/>
    </row>
    <row r="24" spans="1:32" ht="19.5" x14ac:dyDescent="0.4">
      <c r="A24" s="138"/>
      <c r="B24" s="141"/>
      <c r="C24" s="86"/>
      <c r="D24" s="106"/>
      <c r="E24" s="15"/>
      <c r="F24" s="16"/>
      <c r="G24" s="15"/>
      <c r="H24" s="15"/>
      <c r="I24" s="15"/>
      <c r="J24" s="15"/>
      <c r="K24" s="15"/>
      <c r="L24" s="17"/>
      <c r="M24" s="17"/>
      <c r="N24" s="17"/>
      <c r="O24" s="17"/>
      <c r="P24" s="17"/>
      <c r="Q24" s="17"/>
      <c r="R24" s="17"/>
      <c r="S24" s="15"/>
      <c r="T24" s="17"/>
      <c r="U24" s="15"/>
      <c r="V24">
        <v>22</v>
      </c>
      <c r="X24" t="s">
        <v>130</v>
      </c>
      <c r="AA24" s="49" t="s">
        <v>100</v>
      </c>
      <c r="AB24" s="50" t="s">
        <v>79</v>
      </c>
      <c r="AC24" s="66"/>
      <c r="AD24" s="67"/>
      <c r="AE24" s="78"/>
      <c r="AF24" s="82"/>
    </row>
    <row r="25" spans="1:32" ht="19.5" x14ac:dyDescent="0.4">
      <c r="A25" s="138"/>
      <c r="B25" s="141"/>
      <c r="C25" s="85"/>
      <c r="D25" s="109"/>
      <c r="E25" s="13"/>
      <c r="F25" s="16"/>
      <c r="G25" s="13"/>
      <c r="H25" s="18"/>
      <c r="I25" s="15"/>
      <c r="J25" s="13"/>
      <c r="K25" s="13"/>
      <c r="L25" s="20"/>
      <c r="M25" s="20"/>
      <c r="N25" s="20"/>
      <c r="O25" s="20"/>
      <c r="P25" s="20"/>
      <c r="Q25" s="20"/>
      <c r="R25" s="20"/>
      <c r="S25" s="15"/>
      <c r="T25" s="20"/>
      <c r="U25" s="15"/>
      <c r="V25">
        <v>23</v>
      </c>
      <c r="X25" t="s">
        <v>131</v>
      </c>
      <c r="Y25">
        <f>S29+S59+S89+S119+S149+S179+S209+S239+S269+S299+S329+S359</f>
        <v>277</v>
      </c>
      <c r="AA25" s="49" t="s">
        <v>101</v>
      </c>
      <c r="AB25" s="50" t="s">
        <v>59</v>
      </c>
      <c r="AC25" s="66"/>
      <c r="AD25" s="67"/>
      <c r="AE25" s="78"/>
      <c r="AF25" s="82"/>
    </row>
    <row r="26" spans="1:32" ht="19.5" x14ac:dyDescent="0.4">
      <c r="A26" s="138"/>
      <c r="B26" s="141"/>
      <c r="C26" s="86"/>
      <c r="D26" s="106"/>
      <c r="E26" s="15"/>
      <c r="F26" s="16"/>
      <c r="G26" s="15"/>
      <c r="H26" s="15"/>
      <c r="I26" s="15"/>
      <c r="J26" s="15"/>
      <c r="K26" s="15"/>
      <c r="L26" s="17"/>
      <c r="M26" s="17"/>
      <c r="N26" s="17"/>
      <c r="O26" s="17"/>
      <c r="P26" s="17"/>
      <c r="Q26" s="17"/>
      <c r="R26" s="17"/>
      <c r="S26" s="15"/>
      <c r="T26" s="17"/>
      <c r="U26" s="15"/>
      <c r="V26">
        <v>24</v>
      </c>
      <c r="AA26" s="49" t="s">
        <v>102</v>
      </c>
      <c r="AB26" s="50" t="s">
        <v>62</v>
      </c>
      <c r="AC26" s="66"/>
      <c r="AD26" s="67"/>
      <c r="AE26" s="78"/>
      <c r="AF26" s="82"/>
    </row>
    <row r="27" spans="1:32" ht="20.25" thickBot="1" x14ac:dyDescent="0.45">
      <c r="A27" s="139"/>
      <c r="B27" s="142"/>
      <c r="C27" s="87"/>
      <c r="D27" s="111"/>
      <c r="E27" s="21"/>
      <c r="F27" s="22"/>
      <c r="G27" s="21"/>
      <c r="H27" s="21"/>
      <c r="I27" s="21"/>
      <c r="J27" s="21"/>
      <c r="K27" s="21"/>
      <c r="L27" s="23"/>
      <c r="M27" s="23"/>
      <c r="N27" s="23"/>
      <c r="O27" s="23"/>
      <c r="P27" s="23"/>
      <c r="Q27" s="23"/>
      <c r="R27" s="23"/>
      <c r="S27" s="21"/>
      <c r="T27" s="23"/>
      <c r="U27" s="21"/>
      <c r="V27">
        <v>25</v>
      </c>
      <c r="X27" s="74" t="s">
        <v>128</v>
      </c>
      <c r="Y27" s="75">
        <f>C28+C58+C88+C118+C148+C178+C208+C238+C268+C298+C328+C358+C388+C418+C448+C477</f>
        <v>154</v>
      </c>
      <c r="AA27" s="55" t="s">
        <v>103</v>
      </c>
      <c r="AB27" s="56" t="s">
        <v>80</v>
      </c>
      <c r="AC27" s="69"/>
      <c r="AD27" s="70"/>
      <c r="AE27" s="79"/>
      <c r="AF27" s="82"/>
    </row>
    <row r="28" spans="1:32" ht="19.5" thickBot="1" x14ac:dyDescent="0.45">
      <c r="A28" s="27"/>
      <c r="B28" s="28"/>
      <c r="C28" s="88">
        <f>COUNTA(C3:C27)</f>
        <v>16</v>
      </c>
      <c r="D28" s="112"/>
      <c r="E28" s="29"/>
      <c r="F28" s="29" t="s">
        <v>34</v>
      </c>
      <c r="G28" s="29">
        <f>COUNTIF(G3:G27,"S")</f>
        <v>16</v>
      </c>
      <c r="H28" s="29">
        <f>COUNTIF(H3:H27,"E")</f>
        <v>0</v>
      </c>
      <c r="I28" s="29">
        <f t="shared" ref="I28:S28" si="0">SUM(I3:I27)</f>
        <v>0</v>
      </c>
      <c r="J28" s="29">
        <f t="shared" si="0"/>
        <v>4</v>
      </c>
      <c r="K28" s="29">
        <f t="shared" si="0"/>
        <v>6</v>
      </c>
      <c r="L28" s="29">
        <f t="shared" si="0"/>
        <v>1</v>
      </c>
      <c r="M28" s="29">
        <f t="shared" si="0"/>
        <v>5</v>
      </c>
      <c r="N28" s="29">
        <f t="shared" si="0"/>
        <v>5</v>
      </c>
      <c r="O28" s="29">
        <f t="shared" si="0"/>
        <v>4</v>
      </c>
      <c r="P28" s="29">
        <f t="shared" si="0"/>
        <v>4</v>
      </c>
      <c r="Q28" s="29">
        <f t="shared" si="0"/>
        <v>3</v>
      </c>
      <c r="R28" s="29">
        <f t="shared" si="0"/>
        <v>2</v>
      </c>
      <c r="S28" s="29">
        <f t="shared" si="0"/>
        <v>1</v>
      </c>
      <c r="T28" s="29" t="s">
        <v>64</v>
      </c>
      <c r="U28" s="29">
        <f>COUNTIF(H3:H27,"M")</f>
        <v>0</v>
      </c>
      <c r="AA28" s="151" t="s">
        <v>104</v>
      </c>
      <c r="AB28" s="152"/>
      <c r="AC28" s="72">
        <f>SUM(AC3:AC27)</f>
        <v>0</v>
      </c>
      <c r="AD28" s="72">
        <f>SUM(AD3:AD27)</f>
        <v>0</v>
      </c>
      <c r="AE28" s="80">
        <f>SUM(AE3:AE27)</f>
        <v>0</v>
      </c>
    </row>
    <row r="29" spans="1:32" ht="19.5" thickBot="1" x14ac:dyDescent="0.45">
      <c r="A29" s="27"/>
      <c r="B29" s="28"/>
      <c r="C29" s="88"/>
      <c r="D29" s="112"/>
      <c r="E29" s="29"/>
      <c r="F29" s="29" t="s">
        <v>35</v>
      </c>
      <c r="G29" s="29">
        <f>COUNTIF(G3:G27,"P")</f>
        <v>0</v>
      </c>
      <c r="H29" s="29">
        <f>COUNTIF(H3:H27,"R")</f>
        <v>1</v>
      </c>
      <c r="I29" s="29"/>
      <c r="J29" s="29"/>
      <c r="K29" s="29"/>
      <c r="L29" s="29"/>
      <c r="M29" s="29"/>
      <c r="N29" s="29"/>
      <c r="O29" s="29"/>
      <c r="P29" s="29"/>
      <c r="Q29" s="29"/>
      <c r="R29" s="29" t="s">
        <v>130</v>
      </c>
      <c r="S29" s="29">
        <f>SUM(J28:S28)</f>
        <v>35</v>
      </c>
      <c r="T29" s="29"/>
      <c r="U29" s="29"/>
      <c r="X29" t="s">
        <v>136</v>
      </c>
      <c r="AA29" s="153"/>
      <c r="AB29" s="154"/>
      <c r="AC29" s="146">
        <f>SUM(AC28:AE28)</f>
        <v>0</v>
      </c>
      <c r="AD29" s="147"/>
      <c r="AE29" s="148"/>
    </row>
    <row r="30" spans="1:32" ht="8.25" customHeight="1" x14ac:dyDescent="0.4">
      <c r="A30" s="27"/>
      <c r="B30" s="28"/>
      <c r="C30" s="88"/>
      <c r="D30" s="112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</row>
    <row r="31" spans="1:32" ht="19.5" thickBot="1" x14ac:dyDescent="0.45">
      <c r="A31" s="1" t="str">
        <f>A1</f>
        <v>AYG102</v>
      </c>
      <c r="B31" s="24">
        <f>B1</f>
        <v>45720</v>
      </c>
      <c r="C31" s="83" t="s">
        <v>0</v>
      </c>
      <c r="D31" s="107"/>
      <c r="E31" s="2" t="s">
        <v>1</v>
      </c>
      <c r="F31" s="3"/>
      <c r="G31" s="2"/>
      <c r="H31" s="2" t="s">
        <v>4</v>
      </c>
      <c r="I31" s="3" t="s">
        <v>3</v>
      </c>
      <c r="J31" s="2" t="s">
        <v>5</v>
      </c>
      <c r="K31" s="2" t="s">
        <v>6</v>
      </c>
      <c r="L31" s="2" t="s">
        <v>7</v>
      </c>
      <c r="M31" s="2" t="s">
        <v>8</v>
      </c>
      <c r="N31" s="2" t="s">
        <v>9</v>
      </c>
      <c r="O31" s="2" t="s">
        <v>10</v>
      </c>
      <c r="P31" s="2" t="s">
        <v>11</v>
      </c>
      <c r="Q31" s="3" t="s">
        <v>12</v>
      </c>
      <c r="R31" s="2" t="s">
        <v>3</v>
      </c>
      <c r="S31" s="3" t="s">
        <v>2</v>
      </c>
      <c r="T31" s="2"/>
      <c r="U31" s="3"/>
    </row>
    <row r="32" spans="1:32" ht="19.5" thickBot="1" x14ac:dyDescent="0.45">
      <c r="A32" s="4" t="s">
        <v>13</v>
      </c>
      <c r="B32" s="5" t="s">
        <v>14</v>
      </c>
      <c r="C32" s="84" t="s">
        <v>15</v>
      </c>
      <c r="D32" s="108" t="s">
        <v>16</v>
      </c>
      <c r="E32" s="5" t="s">
        <v>17</v>
      </c>
      <c r="F32" s="7" t="s">
        <v>18</v>
      </c>
      <c r="G32" s="5" t="s">
        <v>134</v>
      </c>
      <c r="H32" s="5" t="s">
        <v>20</v>
      </c>
      <c r="I32" s="8" t="s">
        <v>21</v>
      </c>
      <c r="J32" s="5" t="s">
        <v>22</v>
      </c>
      <c r="K32" s="5" t="s">
        <v>23</v>
      </c>
      <c r="L32" s="9" t="s">
        <v>24</v>
      </c>
      <c r="M32" s="9" t="s">
        <v>25</v>
      </c>
      <c r="N32" s="9" t="s">
        <v>26</v>
      </c>
      <c r="O32" s="10" t="s">
        <v>27</v>
      </c>
      <c r="P32" s="9" t="s">
        <v>28</v>
      </c>
      <c r="Q32" s="9" t="s">
        <v>29</v>
      </c>
      <c r="R32" s="9" t="s">
        <v>30</v>
      </c>
      <c r="S32" s="5" t="s">
        <v>31</v>
      </c>
      <c r="T32" s="11" t="s">
        <v>32</v>
      </c>
      <c r="U32" s="6" t="s">
        <v>33</v>
      </c>
      <c r="X32" s="135" t="s">
        <v>119</v>
      </c>
      <c r="Y32" s="136"/>
      <c r="AA32" s="155" t="s">
        <v>47</v>
      </c>
      <c r="AB32" s="156"/>
    </row>
    <row r="33" spans="1:29" ht="19.5" thickTop="1" x14ac:dyDescent="0.4">
      <c r="A33" s="137">
        <v>2</v>
      </c>
      <c r="B33" s="140">
        <v>24.2</v>
      </c>
      <c r="C33" s="85" t="s">
        <v>228</v>
      </c>
      <c r="D33" s="109" t="s">
        <v>180</v>
      </c>
      <c r="E33" s="15" t="s">
        <v>37</v>
      </c>
      <c r="F33" s="14"/>
      <c r="G33" s="12" t="s">
        <v>178</v>
      </c>
      <c r="H33" s="13"/>
      <c r="I33" s="13"/>
      <c r="J33" s="13"/>
      <c r="K33" s="13"/>
      <c r="L33" s="13"/>
      <c r="M33" s="13">
        <v>1</v>
      </c>
      <c r="N33" s="13">
        <v>1</v>
      </c>
      <c r="O33" s="13"/>
      <c r="P33" s="13"/>
      <c r="Q33" s="13"/>
      <c r="R33" s="13"/>
      <c r="S33" s="13"/>
      <c r="T33" s="25">
        <v>45753</v>
      </c>
      <c r="U33" s="13" t="s">
        <v>147</v>
      </c>
      <c r="V33">
        <v>1</v>
      </c>
      <c r="X33" s="51" t="s">
        <v>106</v>
      </c>
      <c r="Y33" s="52">
        <f>COUNTIF(U33:U57,"K")</f>
        <v>7</v>
      </c>
      <c r="AA33" s="31" t="s">
        <v>46</v>
      </c>
      <c r="AB33" s="32">
        <f>J28+J178+J148+J118+J208+J238+J268+J298+J328+J358</f>
        <v>52</v>
      </c>
    </row>
    <row r="34" spans="1:29" x14ac:dyDescent="0.4">
      <c r="A34" s="138"/>
      <c r="B34" s="141"/>
      <c r="C34" s="85" t="s">
        <v>229</v>
      </c>
      <c r="D34" s="109" t="s">
        <v>180</v>
      </c>
      <c r="E34" s="15" t="s">
        <v>36</v>
      </c>
      <c r="F34" s="16"/>
      <c r="G34" s="12" t="s">
        <v>178</v>
      </c>
      <c r="H34" s="15"/>
      <c r="I34" s="13"/>
      <c r="J34" s="15">
        <v>1</v>
      </c>
      <c r="K34" s="15">
        <v>1</v>
      </c>
      <c r="L34" s="17"/>
      <c r="M34" s="17"/>
      <c r="N34" s="13"/>
      <c r="O34" s="17"/>
      <c r="P34" s="17"/>
      <c r="Q34" s="17"/>
      <c r="R34" s="17"/>
      <c r="S34" s="15"/>
      <c r="T34" s="25">
        <v>45753</v>
      </c>
      <c r="U34" s="13" t="s">
        <v>146</v>
      </c>
      <c r="V34">
        <v>2</v>
      </c>
      <c r="X34" s="51" t="s">
        <v>107</v>
      </c>
      <c r="Y34" s="52">
        <f>COUNTIF(U33:U57,"R")</f>
        <v>3</v>
      </c>
      <c r="AA34" s="31" t="s">
        <v>48</v>
      </c>
      <c r="AB34" s="32">
        <f>K28+K178+K148+K118+K208+K238+K268+K298+K328+K358</f>
        <v>39</v>
      </c>
    </row>
    <row r="35" spans="1:29" ht="19.5" thickBot="1" x14ac:dyDescent="0.45">
      <c r="A35" s="138"/>
      <c r="B35" s="141"/>
      <c r="C35" s="85" t="s">
        <v>230</v>
      </c>
      <c r="D35" s="109" t="s">
        <v>231</v>
      </c>
      <c r="E35" s="15" t="s">
        <v>37</v>
      </c>
      <c r="F35" s="16"/>
      <c r="G35" s="12" t="s">
        <v>178</v>
      </c>
      <c r="H35" s="13"/>
      <c r="I35" s="13"/>
      <c r="J35" s="15"/>
      <c r="K35" s="15"/>
      <c r="L35" s="17"/>
      <c r="M35" s="17">
        <v>1</v>
      </c>
      <c r="N35" s="13">
        <v>1</v>
      </c>
      <c r="O35" s="17"/>
      <c r="P35" s="17"/>
      <c r="Q35" s="17">
        <v>1</v>
      </c>
      <c r="R35" s="17"/>
      <c r="S35" s="15"/>
      <c r="T35" s="25">
        <v>45736</v>
      </c>
      <c r="U35" s="13" t="s">
        <v>147</v>
      </c>
      <c r="V35">
        <v>3</v>
      </c>
      <c r="X35" s="53" t="s">
        <v>108</v>
      </c>
      <c r="Y35" s="54">
        <f>COUNTIF(U33:U57,"J")</f>
        <v>1</v>
      </c>
      <c r="AA35" s="31" t="s">
        <v>49</v>
      </c>
      <c r="AB35" s="32">
        <f>L28+L178+L148+L118+L208+L238+L268+L298+L328+L358</f>
        <v>3</v>
      </c>
    </row>
    <row r="36" spans="1:29" x14ac:dyDescent="0.4">
      <c r="A36" s="138"/>
      <c r="B36" s="141"/>
      <c r="C36" s="85" t="s">
        <v>232</v>
      </c>
      <c r="D36" s="109" t="s">
        <v>179</v>
      </c>
      <c r="E36" s="15" t="s">
        <v>37</v>
      </c>
      <c r="F36" s="16"/>
      <c r="G36" s="12" t="s">
        <v>178</v>
      </c>
      <c r="H36" s="15"/>
      <c r="I36" s="13"/>
      <c r="J36" s="13"/>
      <c r="K36" s="15"/>
      <c r="L36" s="17"/>
      <c r="M36" s="17">
        <v>1</v>
      </c>
      <c r="N36" s="13">
        <v>1</v>
      </c>
      <c r="O36" s="17"/>
      <c r="P36" s="17"/>
      <c r="Q36" s="17">
        <v>1</v>
      </c>
      <c r="R36" s="17"/>
      <c r="S36" s="15"/>
      <c r="T36" s="25">
        <v>45735</v>
      </c>
      <c r="U36" s="13" t="s">
        <v>147</v>
      </c>
      <c r="V36">
        <v>4</v>
      </c>
      <c r="AA36" s="31" t="s">
        <v>50</v>
      </c>
      <c r="AB36" s="32">
        <f>M28+M178+M148+M118+M208+M238+M268+M298+M328+M358</f>
        <v>20</v>
      </c>
    </row>
    <row r="37" spans="1:29" x14ac:dyDescent="0.4">
      <c r="A37" s="138"/>
      <c r="B37" s="141"/>
      <c r="C37" s="85" t="s">
        <v>233</v>
      </c>
      <c r="D37" s="109" t="s">
        <v>231</v>
      </c>
      <c r="E37" s="15" t="s">
        <v>38</v>
      </c>
      <c r="F37" s="16"/>
      <c r="G37" s="12" t="s">
        <v>178</v>
      </c>
      <c r="H37" s="15"/>
      <c r="I37" s="13"/>
      <c r="J37" s="15"/>
      <c r="K37" s="15">
        <v>1</v>
      </c>
      <c r="L37" s="17"/>
      <c r="M37" s="17"/>
      <c r="N37" s="13"/>
      <c r="O37" s="17"/>
      <c r="P37" s="17"/>
      <c r="Q37" s="17"/>
      <c r="R37" s="17"/>
      <c r="S37" s="15"/>
      <c r="T37" s="25">
        <v>45744</v>
      </c>
      <c r="U37" s="13" t="s">
        <v>146</v>
      </c>
      <c r="V37">
        <v>5</v>
      </c>
      <c r="AA37" s="31" t="s">
        <v>51</v>
      </c>
      <c r="AB37" s="32">
        <f>N28+N178+N148+N118+N208+N238+N268+N298+N328+N358</f>
        <v>28</v>
      </c>
    </row>
    <row r="38" spans="1:29" x14ac:dyDescent="0.4">
      <c r="A38" s="138"/>
      <c r="B38" s="141"/>
      <c r="C38" s="85" t="s">
        <v>234</v>
      </c>
      <c r="D38" s="109" t="s">
        <v>231</v>
      </c>
      <c r="E38" s="15" t="s">
        <v>40</v>
      </c>
      <c r="F38" s="16"/>
      <c r="G38" s="12" t="s">
        <v>178</v>
      </c>
      <c r="H38" s="13"/>
      <c r="I38" s="13"/>
      <c r="J38" s="15"/>
      <c r="K38" s="15"/>
      <c r="L38" s="17"/>
      <c r="M38" s="17"/>
      <c r="N38" s="13"/>
      <c r="O38" s="17">
        <v>1</v>
      </c>
      <c r="P38" s="17">
        <v>1</v>
      </c>
      <c r="Q38" s="17"/>
      <c r="R38" s="17">
        <v>1</v>
      </c>
      <c r="S38" s="15"/>
      <c r="T38" s="25">
        <v>45744</v>
      </c>
      <c r="U38" s="13" t="s">
        <v>148</v>
      </c>
      <c r="V38">
        <v>6</v>
      </c>
      <c r="AA38" s="31" t="s">
        <v>52</v>
      </c>
      <c r="AB38" s="32">
        <f>O28+O178+O148+O118+O208+O238+O268+O298+O328+O358</f>
        <v>20</v>
      </c>
    </row>
    <row r="39" spans="1:29" x14ac:dyDescent="0.4">
      <c r="A39" s="138"/>
      <c r="B39" s="141"/>
      <c r="C39" s="85" t="s">
        <v>235</v>
      </c>
      <c r="D39" s="109" t="s">
        <v>181</v>
      </c>
      <c r="E39" s="15" t="s">
        <v>39</v>
      </c>
      <c r="F39" s="16"/>
      <c r="G39" s="12" t="s">
        <v>178</v>
      </c>
      <c r="H39" s="15"/>
      <c r="I39" s="13"/>
      <c r="J39" s="15">
        <v>1</v>
      </c>
      <c r="K39" s="15"/>
      <c r="L39" s="17">
        <v>1</v>
      </c>
      <c r="M39" s="17"/>
      <c r="N39" s="13"/>
      <c r="O39" s="17"/>
      <c r="P39" s="17"/>
      <c r="Q39" s="17"/>
      <c r="R39" s="17"/>
      <c r="S39" s="15"/>
      <c r="T39" s="25">
        <v>45740</v>
      </c>
      <c r="U39" s="13" t="s">
        <v>146</v>
      </c>
      <c r="V39">
        <v>7</v>
      </c>
      <c r="AA39" s="31" t="s">
        <v>53</v>
      </c>
      <c r="AB39" s="32">
        <f>P28+P178+P148+P118+P208+P238+P268+P298+P328+P358</f>
        <v>19</v>
      </c>
    </row>
    <row r="40" spans="1:29" x14ac:dyDescent="0.4">
      <c r="A40" s="138"/>
      <c r="B40" s="141"/>
      <c r="C40" s="85" t="s">
        <v>236</v>
      </c>
      <c r="D40" s="109" t="s">
        <v>181</v>
      </c>
      <c r="E40" s="15" t="s">
        <v>39</v>
      </c>
      <c r="F40" s="16"/>
      <c r="G40" s="12" t="s">
        <v>178</v>
      </c>
      <c r="H40" s="15"/>
      <c r="I40" s="13"/>
      <c r="J40" s="15">
        <v>1</v>
      </c>
      <c r="K40" s="15"/>
      <c r="L40" s="17">
        <v>1</v>
      </c>
      <c r="M40" s="17"/>
      <c r="N40" s="13"/>
      <c r="O40" s="17"/>
      <c r="P40" s="17"/>
      <c r="Q40" s="17"/>
      <c r="R40" s="17"/>
      <c r="S40" s="15"/>
      <c r="T40" s="25">
        <v>45740</v>
      </c>
      <c r="U40" s="13" t="s">
        <v>146</v>
      </c>
      <c r="V40">
        <v>8</v>
      </c>
      <c r="AA40" s="31" t="s">
        <v>54</v>
      </c>
      <c r="AB40" s="32">
        <f>Q28+Q178+Q148+Q118+Q208+Q238+Q268+Q298+Q328+Q358</f>
        <v>30</v>
      </c>
    </row>
    <row r="41" spans="1:29" x14ac:dyDescent="0.4">
      <c r="A41" s="138"/>
      <c r="B41" s="141"/>
      <c r="C41" s="85" t="s">
        <v>237</v>
      </c>
      <c r="D41" s="109" t="s">
        <v>238</v>
      </c>
      <c r="E41" s="15" t="s">
        <v>36</v>
      </c>
      <c r="F41" s="16"/>
      <c r="G41" s="12" t="s">
        <v>178</v>
      </c>
      <c r="H41" s="15"/>
      <c r="I41" s="13"/>
      <c r="J41" s="15">
        <v>1</v>
      </c>
      <c r="K41" s="15"/>
      <c r="L41" s="17"/>
      <c r="M41" s="17"/>
      <c r="N41" s="13"/>
      <c r="O41" s="17"/>
      <c r="P41" s="17"/>
      <c r="Q41" s="17"/>
      <c r="R41" s="17"/>
      <c r="S41" s="15"/>
      <c r="T41" s="25">
        <v>45745</v>
      </c>
      <c r="U41" s="13" t="s">
        <v>146</v>
      </c>
      <c r="V41">
        <v>9</v>
      </c>
      <c r="AA41" s="31" t="s">
        <v>55</v>
      </c>
      <c r="AB41" s="32">
        <f>R28+R178+R148+R118+R208+R238+R268+R298+R328+R358</f>
        <v>12</v>
      </c>
      <c r="AC41" t="s">
        <v>123</v>
      </c>
    </row>
    <row r="42" spans="1:29" ht="19.5" thickBot="1" x14ac:dyDescent="0.45">
      <c r="A42" s="138"/>
      <c r="B42" s="141"/>
      <c r="C42" s="85" t="s">
        <v>239</v>
      </c>
      <c r="D42" s="109" t="s">
        <v>238</v>
      </c>
      <c r="E42" s="15" t="s">
        <v>75</v>
      </c>
      <c r="F42" s="16"/>
      <c r="G42" s="12" t="s">
        <v>178</v>
      </c>
      <c r="H42" s="15"/>
      <c r="I42" s="15"/>
      <c r="J42" s="15"/>
      <c r="K42" s="15"/>
      <c r="L42" s="17"/>
      <c r="M42" s="17"/>
      <c r="N42" s="17"/>
      <c r="O42" s="17"/>
      <c r="P42" s="17"/>
      <c r="Q42" s="17"/>
      <c r="R42" s="17"/>
      <c r="S42" s="15">
        <v>1</v>
      </c>
      <c r="T42" s="25">
        <v>45745</v>
      </c>
      <c r="U42" s="13" t="s">
        <v>146</v>
      </c>
      <c r="V42">
        <v>10</v>
      </c>
      <c r="AA42" s="33" t="s">
        <v>56</v>
      </c>
      <c r="AB42" s="34">
        <f>S28+S178+S148+S118+S208+S238+S268+S298+S328+S358</f>
        <v>5</v>
      </c>
      <c r="AC42" s="73">
        <f>SUM(AB33:AB42)</f>
        <v>228</v>
      </c>
    </row>
    <row r="43" spans="1:29" ht="19.5" thickBot="1" x14ac:dyDescent="0.45">
      <c r="A43" s="138"/>
      <c r="B43" s="141"/>
      <c r="C43" s="85" t="s">
        <v>240</v>
      </c>
      <c r="D43" s="109" t="s">
        <v>181</v>
      </c>
      <c r="E43" s="15" t="s">
        <v>39</v>
      </c>
      <c r="F43" s="16"/>
      <c r="G43" s="12" t="s">
        <v>178</v>
      </c>
      <c r="H43" s="15"/>
      <c r="I43" s="15"/>
      <c r="J43" s="15">
        <v>1</v>
      </c>
      <c r="K43" s="15"/>
      <c r="L43" s="17">
        <v>1</v>
      </c>
      <c r="M43" s="17"/>
      <c r="N43" s="17"/>
      <c r="O43" s="17"/>
      <c r="P43" s="17"/>
      <c r="Q43" s="17"/>
      <c r="R43" s="17"/>
      <c r="S43" s="15"/>
      <c r="T43" s="25">
        <v>45745</v>
      </c>
      <c r="U43" s="13" t="s">
        <v>146</v>
      </c>
      <c r="V43">
        <v>11</v>
      </c>
      <c r="AA43" s="103" t="s">
        <v>66</v>
      </c>
      <c r="AB43" s="104">
        <f>H27+H57+H87+H117+H147+H177+H207+H237+H267+H297+H327+H357</f>
        <v>0</v>
      </c>
    </row>
    <row r="44" spans="1:29" x14ac:dyDescent="0.4">
      <c r="A44" s="138"/>
      <c r="B44" s="141"/>
      <c r="C44" s="85"/>
      <c r="D44" s="109"/>
      <c r="E44" s="15"/>
      <c r="F44" s="16"/>
      <c r="G44" s="12"/>
      <c r="H44" s="15"/>
      <c r="I44" s="15"/>
      <c r="J44" s="15"/>
      <c r="K44" s="15"/>
      <c r="L44" s="17"/>
      <c r="M44" s="17"/>
      <c r="N44" s="17"/>
      <c r="O44" s="17"/>
      <c r="P44" s="17"/>
      <c r="Q44" s="17"/>
      <c r="R44" s="17"/>
      <c r="S44" s="15"/>
      <c r="T44" s="25"/>
      <c r="U44" s="13"/>
      <c r="V44">
        <v>12</v>
      </c>
      <c r="AA44" s="103" t="s">
        <v>66</v>
      </c>
      <c r="AB44" s="104">
        <f>H28+H58+H88+H118+H148+H178+H208+H238+H268+H298+H328+H358</f>
        <v>0</v>
      </c>
    </row>
    <row r="45" spans="1:29" x14ac:dyDescent="0.4">
      <c r="A45" s="138"/>
      <c r="B45" s="141"/>
      <c r="C45" s="85"/>
      <c r="D45" s="109"/>
      <c r="E45" s="15"/>
      <c r="F45" s="16"/>
      <c r="G45" s="12"/>
      <c r="H45" s="15"/>
      <c r="I45" s="15"/>
      <c r="J45" s="15"/>
      <c r="K45" s="15"/>
      <c r="L45" s="17"/>
      <c r="M45" s="17"/>
      <c r="N45" s="17"/>
      <c r="O45" s="17"/>
      <c r="P45" s="17"/>
      <c r="Q45" s="17"/>
      <c r="R45" s="17"/>
      <c r="S45" s="15"/>
      <c r="T45" s="25"/>
      <c r="U45" s="13"/>
      <c r="V45">
        <v>13</v>
      </c>
      <c r="AA45" s="35" t="s">
        <v>65</v>
      </c>
      <c r="AB45" s="36">
        <f>H29+H59+H89+H119+H149+H179+H209+H239+H269+H299+H329+H359</f>
        <v>7</v>
      </c>
    </row>
    <row r="46" spans="1:29" x14ac:dyDescent="0.4">
      <c r="A46" s="138"/>
      <c r="B46" s="141"/>
      <c r="C46" s="85"/>
      <c r="D46" s="109"/>
      <c r="E46" s="15"/>
      <c r="F46" s="16"/>
      <c r="G46" s="12"/>
      <c r="H46" s="15"/>
      <c r="I46" s="15"/>
      <c r="J46" s="15"/>
      <c r="K46" s="15"/>
      <c r="L46" s="17"/>
      <c r="M46" s="17"/>
      <c r="N46" s="17"/>
      <c r="O46" s="17"/>
      <c r="P46" s="17"/>
      <c r="Q46" s="17"/>
      <c r="R46" s="17"/>
      <c r="S46" s="15"/>
      <c r="T46" s="25"/>
      <c r="U46" s="13"/>
      <c r="V46">
        <v>14</v>
      </c>
      <c r="AA46" s="35" t="s">
        <v>67</v>
      </c>
      <c r="AB46" s="36">
        <f>U28+U58+U88+U118+U148+U178+U208+U238+U268+U298+U328+U357</f>
        <v>0</v>
      </c>
    </row>
    <row r="47" spans="1:29" ht="19.5" thickBot="1" x14ac:dyDescent="0.45">
      <c r="A47" s="138"/>
      <c r="B47" s="141"/>
      <c r="C47" s="85"/>
      <c r="D47" s="106"/>
      <c r="E47" s="15"/>
      <c r="F47" s="16"/>
      <c r="G47" s="15"/>
      <c r="H47" s="15"/>
      <c r="I47" s="15"/>
      <c r="J47" s="15"/>
      <c r="K47" s="15"/>
      <c r="L47" s="17"/>
      <c r="M47" s="17"/>
      <c r="N47" s="17"/>
      <c r="O47" s="17"/>
      <c r="P47" s="17"/>
      <c r="Q47" s="17"/>
      <c r="R47" s="17"/>
      <c r="S47" s="15"/>
      <c r="T47" s="25"/>
      <c r="U47" s="15"/>
      <c r="V47">
        <v>15</v>
      </c>
      <c r="AA47" s="37" t="s">
        <v>68</v>
      </c>
      <c r="AB47" s="38">
        <f>I28+I58+I88+I118+I148+I178+I208+I238+I268+I298+I328+I358</f>
        <v>0</v>
      </c>
    </row>
    <row r="48" spans="1:29" ht="19.5" thickBot="1" x14ac:dyDescent="0.45">
      <c r="A48" s="138"/>
      <c r="B48" s="141"/>
      <c r="C48" s="85"/>
      <c r="D48" s="110"/>
      <c r="E48" s="18"/>
      <c r="F48" s="16"/>
      <c r="G48" s="18"/>
      <c r="H48" s="15"/>
      <c r="I48" s="15"/>
      <c r="J48" s="18"/>
      <c r="K48" s="15"/>
      <c r="L48" s="19"/>
      <c r="M48" s="19"/>
      <c r="N48" s="19"/>
      <c r="O48" s="19"/>
      <c r="P48" s="19"/>
      <c r="Q48" s="19"/>
      <c r="R48" s="19"/>
      <c r="S48" s="15"/>
      <c r="T48" s="25"/>
      <c r="U48" s="15"/>
      <c r="V48" s="73">
        <v>16</v>
      </c>
    </row>
    <row r="49" spans="1:28" x14ac:dyDescent="0.4">
      <c r="A49" s="138"/>
      <c r="B49" s="141"/>
      <c r="C49" s="85"/>
      <c r="D49" s="110"/>
      <c r="E49" s="18"/>
      <c r="F49" s="16"/>
      <c r="G49" s="18"/>
      <c r="H49" s="15"/>
      <c r="I49" s="15"/>
      <c r="J49" s="18"/>
      <c r="K49" s="15"/>
      <c r="L49" s="19"/>
      <c r="M49" s="19"/>
      <c r="N49" s="19"/>
      <c r="O49" s="19"/>
      <c r="P49" s="19"/>
      <c r="Q49" s="19"/>
      <c r="R49" s="19"/>
      <c r="S49" s="15"/>
      <c r="T49" s="26"/>
      <c r="U49" s="15"/>
      <c r="V49">
        <v>17</v>
      </c>
      <c r="AA49" s="39" t="s">
        <v>70</v>
      </c>
      <c r="AB49" s="40">
        <f>G28+G58+G88+G118+G148+G178+G208+G238+G268+G298+G328+G358</f>
        <v>151</v>
      </c>
    </row>
    <row r="50" spans="1:28" ht="19.5" thickBot="1" x14ac:dyDescent="0.45">
      <c r="A50" s="138"/>
      <c r="B50" s="141"/>
      <c r="C50" s="86"/>
      <c r="D50" s="110"/>
      <c r="E50" s="18"/>
      <c r="F50" s="16"/>
      <c r="G50" s="18"/>
      <c r="H50" s="15"/>
      <c r="I50" s="15"/>
      <c r="J50" s="18"/>
      <c r="K50" s="15"/>
      <c r="L50" s="19"/>
      <c r="M50" s="19"/>
      <c r="N50" s="19"/>
      <c r="O50" s="19"/>
      <c r="P50" s="19"/>
      <c r="Q50" s="19"/>
      <c r="R50" s="19"/>
      <c r="S50" s="15"/>
      <c r="T50" s="26"/>
      <c r="U50" s="15"/>
      <c r="V50">
        <v>18</v>
      </c>
      <c r="AA50" s="41" t="s">
        <v>69</v>
      </c>
      <c r="AB50" s="42">
        <f>G29+G59+G89+G119+G149+G179+G209+G239+G269+G299+G329+G359</f>
        <v>2</v>
      </c>
    </row>
    <row r="51" spans="1:28" ht="19.5" thickBot="1" x14ac:dyDescent="0.45">
      <c r="A51" s="138"/>
      <c r="B51" s="141"/>
      <c r="C51" s="86"/>
      <c r="D51" s="110"/>
      <c r="E51" s="18"/>
      <c r="F51" s="16"/>
      <c r="G51" s="18"/>
      <c r="H51" s="15"/>
      <c r="I51" s="15"/>
      <c r="J51" s="18"/>
      <c r="K51" s="15"/>
      <c r="L51" s="19"/>
      <c r="M51" s="19"/>
      <c r="N51" s="19"/>
      <c r="O51" s="19"/>
      <c r="P51" s="19"/>
      <c r="Q51" s="19"/>
      <c r="R51" s="19"/>
      <c r="S51" s="15"/>
      <c r="T51" s="26"/>
      <c r="U51" s="15"/>
      <c r="V51">
        <v>19</v>
      </c>
    </row>
    <row r="52" spans="1:28" x14ac:dyDescent="0.4">
      <c r="A52" s="138"/>
      <c r="B52" s="141"/>
      <c r="C52" s="86"/>
      <c r="D52" s="110"/>
      <c r="E52" s="18"/>
      <c r="F52" s="16"/>
      <c r="G52" s="18"/>
      <c r="H52" s="15"/>
      <c r="I52" s="15"/>
      <c r="J52" s="18"/>
      <c r="K52" s="15"/>
      <c r="L52" s="19"/>
      <c r="M52" s="19"/>
      <c r="N52" s="19"/>
      <c r="O52" s="19"/>
      <c r="P52" s="19"/>
      <c r="Q52" s="19"/>
      <c r="R52" s="19"/>
      <c r="S52" s="15"/>
      <c r="T52" s="26"/>
      <c r="U52" s="15"/>
      <c r="V52">
        <v>20</v>
      </c>
      <c r="AA52" s="43" t="s">
        <v>72</v>
      </c>
      <c r="AB52" s="157">
        <v>76</v>
      </c>
    </row>
    <row r="53" spans="1:28" ht="19.5" thickBot="1" x14ac:dyDescent="0.45">
      <c r="A53" s="138"/>
      <c r="B53" s="141"/>
      <c r="C53" s="86"/>
      <c r="D53" s="110"/>
      <c r="E53" s="18"/>
      <c r="F53" s="16"/>
      <c r="G53" s="18"/>
      <c r="H53" s="15"/>
      <c r="I53" s="15"/>
      <c r="J53" s="18"/>
      <c r="K53" s="15"/>
      <c r="L53" s="19"/>
      <c r="M53" s="19"/>
      <c r="N53" s="19"/>
      <c r="O53" s="19"/>
      <c r="P53" s="19"/>
      <c r="Q53" s="19"/>
      <c r="R53" s="19"/>
      <c r="S53" s="15"/>
      <c r="T53" s="26"/>
      <c r="U53" s="15"/>
      <c r="V53">
        <v>21</v>
      </c>
      <c r="AA53" s="44" t="s">
        <v>71</v>
      </c>
      <c r="AB53" s="158"/>
    </row>
    <row r="54" spans="1:28" ht="19.5" thickBot="1" x14ac:dyDescent="0.45">
      <c r="A54" s="138"/>
      <c r="B54" s="141"/>
      <c r="C54" s="86"/>
      <c r="D54" s="106"/>
      <c r="E54" s="15"/>
      <c r="F54" s="16"/>
      <c r="G54" s="15"/>
      <c r="H54" s="15"/>
      <c r="I54" s="15"/>
      <c r="J54" s="15"/>
      <c r="K54" s="15"/>
      <c r="L54" s="17"/>
      <c r="M54" s="17"/>
      <c r="N54" s="17"/>
      <c r="O54" s="17"/>
      <c r="P54" s="17"/>
      <c r="Q54" s="17"/>
      <c r="R54" s="17"/>
      <c r="S54" s="15"/>
      <c r="T54" s="26"/>
      <c r="U54" s="15"/>
      <c r="V54">
        <v>22</v>
      </c>
    </row>
    <row r="55" spans="1:28" x14ac:dyDescent="0.4">
      <c r="A55" s="138"/>
      <c r="B55" s="141"/>
      <c r="C55" s="85"/>
      <c r="D55" s="109"/>
      <c r="E55" s="13"/>
      <c r="F55" s="16"/>
      <c r="G55" s="13"/>
      <c r="H55" s="18"/>
      <c r="I55" s="15"/>
      <c r="J55" s="13"/>
      <c r="K55" s="13"/>
      <c r="L55" s="20"/>
      <c r="M55" s="20"/>
      <c r="N55" s="20"/>
      <c r="O55" s="20"/>
      <c r="P55" s="20"/>
      <c r="Q55" s="20"/>
      <c r="R55" s="20"/>
      <c r="S55" s="15"/>
      <c r="T55" s="26"/>
      <c r="U55" s="15"/>
      <c r="V55">
        <v>23</v>
      </c>
      <c r="AA55" s="135" t="s">
        <v>73</v>
      </c>
      <c r="AB55" s="45"/>
    </row>
    <row r="56" spans="1:28" ht="19.5" thickBot="1" x14ac:dyDescent="0.45">
      <c r="A56" s="138"/>
      <c r="B56" s="141"/>
      <c r="C56" s="86"/>
      <c r="D56" s="106"/>
      <c r="E56" s="15"/>
      <c r="F56" s="16"/>
      <c r="G56" s="15"/>
      <c r="H56" s="15"/>
      <c r="I56" s="15"/>
      <c r="J56" s="15"/>
      <c r="K56" s="15"/>
      <c r="L56" s="17"/>
      <c r="M56" s="17"/>
      <c r="N56" s="17"/>
      <c r="O56" s="17"/>
      <c r="P56" s="17"/>
      <c r="Q56" s="17"/>
      <c r="R56" s="17"/>
      <c r="S56" s="15"/>
      <c r="T56" s="26"/>
      <c r="U56" s="15"/>
      <c r="V56">
        <v>24</v>
      </c>
      <c r="AA56" s="150"/>
      <c r="AB56" s="46"/>
    </row>
    <row r="57" spans="1:28" ht="19.5" thickBot="1" x14ac:dyDescent="0.45">
      <c r="A57" s="139"/>
      <c r="B57" s="142"/>
      <c r="C57" s="87"/>
      <c r="D57" s="111"/>
      <c r="E57" s="21"/>
      <c r="F57" s="22"/>
      <c r="G57" s="21"/>
      <c r="H57" s="21"/>
      <c r="I57" s="21"/>
      <c r="J57" s="21"/>
      <c r="K57" s="21"/>
      <c r="L57" s="23"/>
      <c r="M57" s="23"/>
      <c r="N57" s="23"/>
      <c r="O57" s="23"/>
      <c r="P57" s="23"/>
      <c r="Q57" s="23"/>
      <c r="R57" s="23"/>
      <c r="S57" s="21"/>
      <c r="T57" s="26"/>
      <c r="U57" s="21"/>
      <c r="V57">
        <v>25</v>
      </c>
      <c r="AA57" s="135"/>
      <c r="AB57" s="45">
        <v>7</v>
      </c>
    </row>
    <row r="58" spans="1:28" ht="19.5" thickBot="1" x14ac:dyDescent="0.45">
      <c r="A58" s="27"/>
      <c r="B58" s="28"/>
      <c r="C58" s="88">
        <f>COUNTA(C33:C57)</f>
        <v>11</v>
      </c>
      <c r="D58" s="112"/>
      <c r="E58" s="29"/>
      <c r="F58" s="29" t="s">
        <v>34</v>
      </c>
      <c r="G58" s="29">
        <f>COUNTIF(G33:G57,"S")</f>
        <v>11</v>
      </c>
      <c r="H58" s="29">
        <f>COUNTIF(H33:H57,"E")</f>
        <v>0</v>
      </c>
      <c r="I58" s="29">
        <f>SUM(I33:I57)</f>
        <v>0</v>
      </c>
      <c r="J58" s="29">
        <f t="shared" ref="J58:S58" si="1">SUM(J33:J57)</f>
        <v>5</v>
      </c>
      <c r="K58" s="29">
        <f t="shared" si="1"/>
        <v>2</v>
      </c>
      <c r="L58" s="29">
        <f t="shared" si="1"/>
        <v>3</v>
      </c>
      <c r="M58" s="29">
        <f t="shared" si="1"/>
        <v>3</v>
      </c>
      <c r="N58" s="29">
        <f t="shared" si="1"/>
        <v>3</v>
      </c>
      <c r="O58" s="29">
        <f t="shared" si="1"/>
        <v>1</v>
      </c>
      <c r="P58" s="29">
        <f t="shared" si="1"/>
        <v>1</v>
      </c>
      <c r="Q58" s="29">
        <f t="shared" si="1"/>
        <v>2</v>
      </c>
      <c r="R58" s="29">
        <f t="shared" si="1"/>
        <v>1</v>
      </c>
      <c r="S58" s="29">
        <f t="shared" si="1"/>
        <v>1</v>
      </c>
      <c r="T58" s="29" t="s">
        <v>64</v>
      </c>
      <c r="U58" s="29">
        <f>COUNTIF(H33:H57,"M")</f>
        <v>0</v>
      </c>
      <c r="AA58" s="150"/>
      <c r="AB58" s="46"/>
    </row>
    <row r="59" spans="1:28" x14ac:dyDescent="0.4">
      <c r="A59" s="27"/>
      <c r="B59" s="28"/>
      <c r="C59" s="88"/>
      <c r="D59" s="112"/>
      <c r="E59" s="29"/>
      <c r="F59" s="29" t="s">
        <v>35</v>
      </c>
      <c r="G59" s="29">
        <f>COUNTIF(G33:G57,"P")</f>
        <v>0</v>
      </c>
      <c r="H59" s="29">
        <f>COUNTIF(H33:H57,"R")</f>
        <v>0</v>
      </c>
      <c r="I59" s="29"/>
      <c r="J59" s="29"/>
      <c r="K59" s="29"/>
      <c r="L59" s="29"/>
      <c r="M59" s="29"/>
      <c r="N59" s="29"/>
      <c r="O59" s="29"/>
      <c r="P59" s="29"/>
      <c r="Q59" s="29"/>
      <c r="R59" s="29" t="s">
        <v>130</v>
      </c>
      <c r="S59" s="29">
        <f>SUM(J58:S58)</f>
        <v>22</v>
      </c>
      <c r="T59" s="29"/>
      <c r="U59" s="29"/>
    </row>
    <row r="60" spans="1:28" ht="7.5" customHeight="1" x14ac:dyDescent="0.4"/>
    <row r="61" spans="1:28" ht="19.5" thickBot="1" x14ac:dyDescent="0.45">
      <c r="A61" s="1" t="str">
        <f>A1</f>
        <v>AYG102</v>
      </c>
      <c r="B61" s="24">
        <f>B1</f>
        <v>45720</v>
      </c>
      <c r="C61" s="83" t="s">
        <v>0</v>
      </c>
      <c r="D61" s="107"/>
      <c r="E61" s="2" t="s">
        <v>1</v>
      </c>
      <c r="F61" s="3"/>
      <c r="G61" s="2"/>
      <c r="H61" s="2" t="s">
        <v>4</v>
      </c>
      <c r="I61" s="3" t="s">
        <v>3</v>
      </c>
      <c r="J61" s="2" t="s">
        <v>5</v>
      </c>
      <c r="K61" s="2" t="s">
        <v>6</v>
      </c>
      <c r="L61" s="2" t="s">
        <v>7</v>
      </c>
      <c r="M61" s="2" t="s">
        <v>8</v>
      </c>
      <c r="N61" s="2" t="s">
        <v>9</v>
      </c>
      <c r="O61" s="2" t="s">
        <v>10</v>
      </c>
      <c r="P61" s="2" t="s">
        <v>11</v>
      </c>
      <c r="Q61" s="3" t="s">
        <v>12</v>
      </c>
      <c r="R61" s="2" t="s">
        <v>3</v>
      </c>
      <c r="S61" s="3" t="s">
        <v>2</v>
      </c>
      <c r="T61" s="2"/>
      <c r="U61" s="3"/>
    </row>
    <row r="62" spans="1:28" ht="19.5" thickBot="1" x14ac:dyDescent="0.45">
      <c r="A62" s="4" t="s">
        <v>13</v>
      </c>
      <c r="B62" s="5" t="s">
        <v>14</v>
      </c>
      <c r="C62" s="84" t="s">
        <v>15</v>
      </c>
      <c r="D62" s="108" t="s">
        <v>16</v>
      </c>
      <c r="E62" s="5" t="s">
        <v>17</v>
      </c>
      <c r="F62" s="7" t="s">
        <v>18</v>
      </c>
      <c r="G62" s="5" t="s">
        <v>134</v>
      </c>
      <c r="H62" s="5" t="s">
        <v>20</v>
      </c>
      <c r="I62" s="8" t="s">
        <v>21</v>
      </c>
      <c r="J62" s="5" t="s">
        <v>22</v>
      </c>
      <c r="K62" s="5" t="s">
        <v>23</v>
      </c>
      <c r="L62" s="9" t="s">
        <v>24</v>
      </c>
      <c r="M62" s="9" t="s">
        <v>25</v>
      </c>
      <c r="N62" s="9" t="s">
        <v>26</v>
      </c>
      <c r="O62" s="10" t="s">
        <v>27</v>
      </c>
      <c r="P62" s="9" t="s">
        <v>28</v>
      </c>
      <c r="Q62" s="9" t="s">
        <v>29</v>
      </c>
      <c r="R62" s="9" t="s">
        <v>30</v>
      </c>
      <c r="S62" s="5" t="s">
        <v>31</v>
      </c>
      <c r="T62" s="11" t="s">
        <v>32</v>
      </c>
      <c r="U62" s="6" t="s">
        <v>33</v>
      </c>
      <c r="X62" s="135" t="s">
        <v>118</v>
      </c>
      <c r="Y62" s="136"/>
    </row>
    <row r="63" spans="1:28" ht="20.25" thickTop="1" thickBot="1" x14ac:dyDescent="0.45">
      <c r="A63" s="137">
        <v>3</v>
      </c>
      <c r="B63" s="143">
        <v>21.6</v>
      </c>
      <c r="C63" s="85" t="s">
        <v>241</v>
      </c>
      <c r="D63" s="109" t="s">
        <v>179</v>
      </c>
      <c r="E63" s="15" t="s">
        <v>37</v>
      </c>
      <c r="F63" s="14"/>
      <c r="G63" s="12" t="s">
        <v>178</v>
      </c>
      <c r="H63" s="13"/>
      <c r="I63" s="13"/>
      <c r="J63" s="13"/>
      <c r="K63" s="13"/>
      <c r="L63" s="13"/>
      <c r="M63" s="13">
        <v>1</v>
      </c>
      <c r="N63" s="13">
        <v>1</v>
      </c>
      <c r="O63" s="13"/>
      <c r="P63" s="13"/>
      <c r="Q63" s="13">
        <v>1</v>
      </c>
      <c r="R63" s="13"/>
      <c r="S63" s="13"/>
      <c r="T63" s="25">
        <v>45741</v>
      </c>
      <c r="U63" s="13" t="s">
        <v>147</v>
      </c>
      <c r="V63">
        <v>1</v>
      </c>
      <c r="X63" s="51" t="s">
        <v>106</v>
      </c>
      <c r="Y63" s="52">
        <f>COUNTIF(U63:U87,"K")</f>
        <v>5</v>
      </c>
      <c r="AA63" s="59" t="s">
        <v>120</v>
      </c>
      <c r="AB63" s="60" t="s">
        <v>121</v>
      </c>
    </row>
    <row r="64" spans="1:28" x14ac:dyDescent="0.4">
      <c r="A64" s="138"/>
      <c r="B64" s="144"/>
      <c r="C64" s="85" t="s">
        <v>242</v>
      </c>
      <c r="D64" s="109" t="s">
        <v>179</v>
      </c>
      <c r="E64" s="15" t="s">
        <v>36</v>
      </c>
      <c r="F64" s="16"/>
      <c r="G64" s="12" t="s">
        <v>178</v>
      </c>
      <c r="H64" s="15"/>
      <c r="I64" s="15"/>
      <c r="J64" s="13"/>
      <c r="K64" s="15"/>
      <c r="L64" s="13"/>
      <c r="M64" s="17">
        <v>1</v>
      </c>
      <c r="N64" s="17">
        <v>1</v>
      </c>
      <c r="O64" s="17"/>
      <c r="P64" s="17"/>
      <c r="Q64" s="17">
        <v>1</v>
      </c>
      <c r="R64" s="17"/>
      <c r="S64" s="15"/>
      <c r="T64" s="25">
        <v>45732</v>
      </c>
      <c r="U64" s="13" t="s">
        <v>147</v>
      </c>
      <c r="V64">
        <v>2</v>
      </c>
      <c r="X64" s="51" t="s">
        <v>107</v>
      </c>
      <c r="Y64" s="52">
        <f>COUNTIF(U63:U87,"R")</f>
        <v>6</v>
      </c>
      <c r="AA64" s="47" t="s">
        <v>81</v>
      </c>
      <c r="AB64" s="48" t="s">
        <v>60</v>
      </c>
    </row>
    <row r="65" spans="1:28" ht="19.5" thickBot="1" x14ac:dyDescent="0.45">
      <c r="A65" s="138"/>
      <c r="B65" s="144"/>
      <c r="C65" s="85" t="s">
        <v>243</v>
      </c>
      <c r="D65" s="109" t="s">
        <v>179</v>
      </c>
      <c r="E65" s="15" t="s">
        <v>40</v>
      </c>
      <c r="F65" s="16"/>
      <c r="G65" s="12" t="s">
        <v>178</v>
      </c>
      <c r="H65" s="15"/>
      <c r="I65" s="15"/>
      <c r="J65" s="13"/>
      <c r="K65" s="15"/>
      <c r="L65" s="13"/>
      <c r="M65" s="17"/>
      <c r="N65" s="17"/>
      <c r="O65" s="17">
        <v>1</v>
      </c>
      <c r="P65" s="17">
        <v>1</v>
      </c>
      <c r="Q65" s="17">
        <v>1</v>
      </c>
      <c r="R65" s="17"/>
      <c r="S65" s="15"/>
      <c r="T65" s="25">
        <v>45739</v>
      </c>
      <c r="U65" s="13" t="s">
        <v>148</v>
      </c>
      <c r="V65">
        <v>3</v>
      </c>
      <c r="X65" s="53" t="s">
        <v>108</v>
      </c>
      <c r="Y65" s="54">
        <f>COUNTIF(U63:U87,"J")</f>
        <v>3</v>
      </c>
      <c r="AA65" s="49" t="s">
        <v>82</v>
      </c>
      <c r="AB65" s="50" t="s">
        <v>39</v>
      </c>
    </row>
    <row r="66" spans="1:28" x14ac:dyDescent="0.4">
      <c r="A66" s="138"/>
      <c r="B66" s="144"/>
      <c r="C66" s="85" t="s">
        <v>244</v>
      </c>
      <c r="D66" s="109" t="s">
        <v>179</v>
      </c>
      <c r="E66" s="15" t="s">
        <v>36</v>
      </c>
      <c r="F66" s="16"/>
      <c r="G66" s="12" t="s">
        <v>178</v>
      </c>
      <c r="H66" s="13"/>
      <c r="I66" s="15"/>
      <c r="J66" s="13"/>
      <c r="K66" s="15"/>
      <c r="L66" s="13"/>
      <c r="M66" s="17">
        <v>1</v>
      </c>
      <c r="N66" s="17">
        <v>1</v>
      </c>
      <c r="O66" s="17"/>
      <c r="P66" s="17"/>
      <c r="Q66" s="17">
        <v>1</v>
      </c>
      <c r="R66" s="17"/>
      <c r="S66" s="15"/>
      <c r="T66" s="25">
        <v>45738</v>
      </c>
      <c r="U66" s="13" t="s">
        <v>147</v>
      </c>
      <c r="V66">
        <v>4</v>
      </c>
      <c r="AA66" s="49" t="s">
        <v>83</v>
      </c>
      <c r="AB66" s="50" t="s">
        <v>38</v>
      </c>
    </row>
    <row r="67" spans="1:28" x14ac:dyDescent="0.4">
      <c r="A67" s="138"/>
      <c r="B67" s="144"/>
      <c r="C67" s="85" t="s">
        <v>245</v>
      </c>
      <c r="D67" s="109" t="s">
        <v>179</v>
      </c>
      <c r="E67" s="15" t="s">
        <v>75</v>
      </c>
      <c r="F67" s="16"/>
      <c r="G67" s="12" t="s">
        <v>178</v>
      </c>
      <c r="H67" s="15"/>
      <c r="I67" s="15"/>
      <c r="J67" s="13"/>
      <c r="K67" s="15"/>
      <c r="L67" s="13"/>
      <c r="M67" s="17"/>
      <c r="N67" s="17"/>
      <c r="O67" s="17"/>
      <c r="P67" s="17"/>
      <c r="Q67" s="17"/>
      <c r="R67" s="17"/>
      <c r="S67" s="15"/>
      <c r="T67" s="25">
        <v>45738</v>
      </c>
      <c r="U67" s="13" t="s">
        <v>147</v>
      </c>
      <c r="V67">
        <v>5</v>
      </c>
      <c r="AA67" s="49" t="s">
        <v>84</v>
      </c>
      <c r="AB67" s="50" t="s">
        <v>44</v>
      </c>
    </row>
    <row r="68" spans="1:28" x14ac:dyDescent="0.4">
      <c r="A68" s="138"/>
      <c r="B68" s="144"/>
      <c r="C68" s="85" t="s">
        <v>247</v>
      </c>
      <c r="D68" s="109" t="s">
        <v>246</v>
      </c>
      <c r="E68" s="15" t="s">
        <v>43</v>
      </c>
      <c r="F68" s="16"/>
      <c r="G68" s="12" t="s">
        <v>178</v>
      </c>
      <c r="H68" s="15"/>
      <c r="I68" s="15"/>
      <c r="J68" s="13">
        <v>1</v>
      </c>
      <c r="K68" s="15"/>
      <c r="L68" s="13"/>
      <c r="M68" s="17"/>
      <c r="N68" s="17"/>
      <c r="O68" s="17"/>
      <c r="P68" s="17"/>
      <c r="Q68" s="17"/>
      <c r="R68" s="17"/>
      <c r="S68" s="15"/>
      <c r="T68" s="25">
        <v>45745</v>
      </c>
      <c r="U68" s="13" t="s">
        <v>142</v>
      </c>
      <c r="V68">
        <v>6</v>
      </c>
      <c r="AA68" s="49" t="s">
        <v>85</v>
      </c>
      <c r="AB68" s="50" t="s">
        <v>43</v>
      </c>
    </row>
    <row r="69" spans="1:28" x14ac:dyDescent="0.4">
      <c r="A69" s="138"/>
      <c r="B69" s="144"/>
      <c r="C69" s="85" t="s">
        <v>248</v>
      </c>
      <c r="D69" s="109" t="s">
        <v>246</v>
      </c>
      <c r="E69" s="15" t="s">
        <v>40</v>
      </c>
      <c r="F69" s="16"/>
      <c r="G69" s="12" t="s">
        <v>178</v>
      </c>
      <c r="H69" s="15"/>
      <c r="I69" s="15"/>
      <c r="J69" s="13"/>
      <c r="K69" s="15"/>
      <c r="L69" s="13"/>
      <c r="M69" s="17"/>
      <c r="N69" s="17"/>
      <c r="O69" s="17">
        <v>1</v>
      </c>
      <c r="P69" s="17">
        <v>1</v>
      </c>
      <c r="Q69" s="17">
        <v>1</v>
      </c>
      <c r="R69" s="17">
        <v>1</v>
      </c>
      <c r="S69" s="15"/>
      <c r="T69" s="25">
        <v>45745</v>
      </c>
      <c r="U69" s="13" t="s">
        <v>148</v>
      </c>
      <c r="V69">
        <v>7</v>
      </c>
      <c r="AA69" s="49" t="s">
        <v>86</v>
      </c>
      <c r="AB69" s="50" t="s">
        <v>45</v>
      </c>
    </row>
    <row r="70" spans="1:28" x14ac:dyDescent="0.4">
      <c r="A70" s="138"/>
      <c r="B70" s="144"/>
      <c r="C70" s="85" t="s">
        <v>249</v>
      </c>
      <c r="D70" s="109" t="s">
        <v>238</v>
      </c>
      <c r="E70" s="15" t="s">
        <v>39</v>
      </c>
      <c r="F70" s="16"/>
      <c r="G70" s="12" t="s">
        <v>178</v>
      </c>
      <c r="H70" s="15"/>
      <c r="I70" s="15"/>
      <c r="J70" s="13">
        <v>1</v>
      </c>
      <c r="K70" s="15">
        <v>1</v>
      </c>
      <c r="L70" s="13"/>
      <c r="M70" s="17"/>
      <c r="N70" s="17"/>
      <c r="O70" s="17"/>
      <c r="P70" s="17"/>
      <c r="Q70" s="17"/>
      <c r="R70" s="17"/>
      <c r="S70" s="15"/>
      <c r="T70" s="25">
        <v>45739</v>
      </c>
      <c r="U70" s="13" t="s">
        <v>146</v>
      </c>
      <c r="V70">
        <v>8</v>
      </c>
      <c r="AA70" s="49" t="s">
        <v>87</v>
      </c>
      <c r="AB70" s="50" t="s">
        <v>37</v>
      </c>
    </row>
    <row r="71" spans="1:28" x14ac:dyDescent="0.4">
      <c r="A71" s="138"/>
      <c r="B71" s="144"/>
      <c r="C71" s="85" t="s">
        <v>250</v>
      </c>
      <c r="D71" s="109" t="s">
        <v>238</v>
      </c>
      <c r="E71" s="15" t="s">
        <v>133</v>
      </c>
      <c r="F71" s="16"/>
      <c r="G71" s="12" t="s">
        <v>178</v>
      </c>
      <c r="H71" s="15"/>
      <c r="I71" s="15"/>
      <c r="J71" s="13"/>
      <c r="K71" s="15"/>
      <c r="L71" s="13"/>
      <c r="M71" s="17"/>
      <c r="N71" s="17">
        <v>1</v>
      </c>
      <c r="O71" s="17">
        <v>1</v>
      </c>
      <c r="P71" s="17">
        <v>1</v>
      </c>
      <c r="Q71" s="17">
        <v>1</v>
      </c>
      <c r="R71" s="17">
        <v>1</v>
      </c>
      <c r="S71" s="15"/>
      <c r="T71" s="25">
        <v>45739</v>
      </c>
      <c r="U71" s="13" t="s">
        <v>148</v>
      </c>
      <c r="V71">
        <v>9</v>
      </c>
      <c r="AA71" s="49" t="s">
        <v>88</v>
      </c>
      <c r="AB71" s="50" t="s">
        <v>74</v>
      </c>
    </row>
    <row r="72" spans="1:28" x14ac:dyDescent="0.4">
      <c r="A72" s="138"/>
      <c r="B72" s="144"/>
      <c r="C72" s="85" t="s">
        <v>251</v>
      </c>
      <c r="D72" s="109" t="s">
        <v>231</v>
      </c>
      <c r="E72" s="15" t="s">
        <v>37</v>
      </c>
      <c r="F72" s="16"/>
      <c r="G72" s="12" t="s">
        <v>178</v>
      </c>
      <c r="H72" s="15"/>
      <c r="I72" s="15"/>
      <c r="J72" s="13"/>
      <c r="K72" s="15"/>
      <c r="L72" s="13"/>
      <c r="M72" s="17">
        <v>1</v>
      </c>
      <c r="N72" s="17"/>
      <c r="O72" s="17"/>
      <c r="P72" s="17"/>
      <c r="Q72" s="17">
        <v>1</v>
      </c>
      <c r="R72" s="17"/>
      <c r="S72" s="15"/>
      <c r="T72" s="25">
        <v>45734</v>
      </c>
      <c r="U72" s="13" t="s">
        <v>147</v>
      </c>
      <c r="V72">
        <v>10</v>
      </c>
      <c r="AA72" s="49" t="s">
        <v>89</v>
      </c>
      <c r="AB72" s="50" t="s">
        <v>36</v>
      </c>
    </row>
    <row r="73" spans="1:28" x14ac:dyDescent="0.4">
      <c r="A73" s="138"/>
      <c r="B73" s="144"/>
      <c r="C73" s="85" t="s">
        <v>252</v>
      </c>
      <c r="D73" s="109" t="s">
        <v>179</v>
      </c>
      <c r="E73" s="15" t="s">
        <v>75</v>
      </c>
      <c r="F73" s="16"/>
      <c r="G73" s="15" t="s">
        <v>178</v>
      </c>
      <c r="H73" s="15"/>
      <c r="I73" s="15"/>
      <c r="J73" s="15"/>
      <c r="K73" s="15"/>
      <c r="L73" s="17"/>
      <c r="M73" s="17"/>
      <c r="N73" s="17"/>
      <c r="O73" s="17"/>
      <c r="P73" s="17"/>
      <c r="Q73" s="17"/>
      <c r="R73" s="17"/>
      <c r="S73" s="15"/>
      <c r="T73" s="25">
        <v>45739</v>
      </c>
      <c r="U73" s="15" t="s">
        <v>147</v>
      </c>
      <c r="V73">
        <v>11</v>
      </c>
      <c r="AA73" s="49" t="s">
        <v>90</v>
      </c>
      <c r="AB73" s="50" t="s">
        <v>58</v>
      </c>
    </row>
    <row r="74" spans="1:28" x14ac:dyDescent="0.4">
      <c r="A74" s="138"/>
      <c r="B74" s="144"/>
      <c r="C74" s="85" t="s">
        <v>254</v>
      </c>
      <c r="D74" s="109" t="s">
        <v>253</v>
      </c>
      <c r="E74" s="15" t="s">
        <v>39</v>
      </c>
      <c r="F74" s="16"/>
      <c r="G74" s="15" t="s">
        <v>178</v>
      </c>
      <c r="H74" s="15"/>
      <c r="I74" s="15"/>
      <c r="J74" s="15"/>
      <c r="K74" s="15">
        <v>1</v>
      </c>
      <c r="L74" s="17"/>
      <c r="M74" s="17"/>
      <c r="N74" s="17"/>
      <c r="O74" s="17"/>
      <c r="P74" s="17"/>
      <c r="Q74" s="17"/>
      <c r="R74" s="17"/>
      <c r="S74" s="15"/>
      <c r="T74" s="25">
        <v>45745</v>
      </c>
      <c r="U74" s="15" t="s">
        <v>146</v>
      </c>
      <c r="V74">
        <v>12</v>
      </c>
      <c r="AA74" s="49" t="s">
        <v>91</v>
      </c>
      <c r="AB74" s="50" t="s">
        <v>75</v>
      </c>
    </row>
    <row r="75" spans="1:28" x14ac:dyDescent="0.4">
      <c r="A75" s="138"/>
      <c r="B75" s="144"/>
      <c r="C75" s="85" t="s">
        <v>255</v>
      </c>
      <c r="D75" s="109" t="s">
        <v>253</v>
      </c>
      <c r="E75" s="15" t="s">
        <v>39</v>
      </c>
      <c r="F75" s="16"/>
      <c r="G75" s="15" t="s">
        <v>178</v>
      </c>
      <c r="H75" s="15"/>
      <c r="I75" s="15"/>
      <c r="J75" s="15">
        <v>1</v>
      </c>
      <c r="K75" s="15">
        <v>1</v>
      </c>
      <c r="L75" s="17"/>
      <c r="M75" s="17"/>
      <c r="N75" s="17"/>
      <c r="O75" s="17"/>
      <c r="P75" s="17"/>
      <c r="Q75" s="17"/>
      <c r="R75" s="17"/>
      <c r="S75" s="15"/>
      <c r="T75" s="25">
        <v>45745</v>
      </c>
      <c r="U75" s="15" t="s">
        <v>146</v>
      </c>
      <c r="V75">
        <v>13</v>
      </c>
      <c r="AA75" s="49" t="s">
        <v>92</v>
      </c>
      <c r="AB75" s="50" t="s">
        <v>40</v>
      </c>
    </row>
    <row r="76" spans="1:28" x14ac:dyDescent="0.4">
      <c r="A76" s="138"/>
      <c r="B76" s="144"/>
      <c r="C76" s="85" t="s">
        <v>256</v>
      </c>
      <c r="D76" s="109" t="s">
        <v>253</v>
      </c>
      <c r="E76" s="15" t="s">
        <v>39</v>
      </c>
      <c r="F76" s="16"/>
      <c r="G76" s="15" t="s">
        <v>178</v>
      </c>
      <c r="H76" s="15"/>
      <c r="I76" s="15"/>
      <c r="J76" s="15">
        <v>1</v>
      </c>
      <c r="K76" s="15">
        <v>1</v>
      </c>
      <c r="L76" s="17"/>
      <c r="M76" s="17"/>
      <c r="N76" s="17"/>
      <c r="O76" s="17"/>
      <c r="P76" s="17"/>
      <c r="Q76" s="17"/>
      <c r="R76" s="17"/>
      <c r="S76" s="15"/>
      <c r="T76" s="25">
        <v>45745</v>
      </c>
      <c r="U76" s="15" t="s">
        <v>146</v>
      </c>
      <c r="V76">
        <v>14</v>
      </c>
      <c r="AA76" s="49" t="s">
        <v>93</v>
      </c>
      <c r="AB76" s="50" t="s">
        <v>57</v>
      </c>
    </row>
    <row r="77" spans="1:28" x14ac:dyDescent="0.4">
      <c r="A77" s="138"/>
      <c r="B77" s="144"/>
      <c r="C77" s="85"/>
      <c r="D77" s="109"/>
      <c r="E77" s="15"/>
      <c r="F77" s="16"/>
      <c r="G77" s="15"/>
      <c r="H77" s="15"/>
      <c r="I77" s="15"/>
      <c r="J77" s="15"/>
      <c r="K77" s="15"/>
      <c r="L77" s="17"/>
      <c r="M77" s="17"/>
      <c r="N77" s="17"/>
      <c r="O77" s="17"/>
      <c r="P77" s="17"/>
      <c r="Q77" s="17"/>
      <c r="R77" s="17"/>
      <c r="S77" s="15"/>
      <c r="T77" s="25"/>
      <c r="U77" s="15"/>
      <c r="V77">
        <v>15</v>
      </c>
      <c r="AA77" s="49" t="s">
        <v>94</v>
      </c>
      <c r="AB77" s="50" t="s">
        <v>41</v>
      </c>
    </row>
    <row r="78" spans="1:28" x14ac:dyDescent="0.4">
      <c r="A78" s="138"/>
      <c r="B78" s="144"/>
      <c r="C78" s="85"/>
      <c r="D78" s="109"/>
      <c r="E78" s="15"/>
      <c r="F78" s="16"/>
      <c r="G78" s="15"/>
      <c r="H78" s="15"/>
      <c r="I78" s="15"/>
      <c r="J78" s="15"/>
      <c r="K78" s="15"/>
      <c r="L78" s="19"/>
      <c r="M78" s="19"/>
      <c r="N78" s="19"/>
      <c r="O78" s="19"/>
      <c r="P78" s="19"/>
      <c r="Q78" s="19"/>
      <c r="R78" s="19"/>
      <c r="S78" s="15"/>
      <c r="T78" s="25"/>
      <c r="U78" s="15"/>
      <c r="V78">
        <v>16</v>
      </c>
      <c r="AA78" s="49" t="s">
        <v>95</v>
      </c>
      <c r="AB78" s="50" t="s">
        <v>42</v>
      </c>
    </row>
    <row r="79" spans="1:28" x14ac:dyDescent="0.4">
      <c r="A79" s="138"/>
      <c r="B79" s="144"/>
      <c r="C79" s="85"/>
      <c r="D79" s="109"/>
      <c r="E79" s="18"/>
      <c r="F79" s="16"/>
      <c r="G79" s="18"/>
      <c r="H79" s="15"/>
      <c r="I79" s="15"/>
      <c r="J79" s="18"/>
      <c r="K79" s="15"/>
      <c r="L79" s="19"/>
      <c r="M79" s="19"/>
      <c r="N79" s="19"/>
      <c r="O79" s="19"/>
      <c r="P79" s="19"/>
      <c r="Q79" s="19"/>
      <c r="R79" s="19"/>
      <c r="S79" s="15"/>
      <c r="T79" s="25"/>
      <c r="U79" s="15"/>
      <c r="V79">
        <v>17</v>
      </c>
      <c r="AA79" s="49" t="s">
        <v>96</v>
      </c>
      <c r="AB79" s="50" t="s">
        <v>61</v>
      </c>
    </row>
    <row r="80" spans="1:28" x14ac:dyDescent="0.4">
      <c r="A80" s="138"/>
      <c r="B80" s="144"/>
      <c r="C80" s="85"/>
      <c r="D80" s="110"/>
      <c r="E80" s="18"/>
      <c r="F80" s="16"/>
      <c r="G80" s="18"/>
      <c r="H80" s="15"/>
      <c r="I80" s="15"/>
      <c r="J80" s="18"/>
      <c r="K80" s="15"/>
      <c r="L80" s="19"/>
      <c r="M80" s="19"/>
      <c r="N80" s="19"/>
      <c r="O80" s="19"/>
      <c r="P80" s="19"/>
      <c r="Q80" s="19"/>
      <c r="R80" s="19"/>
      <c r="S80" s="15"/>
      <c r="T80" s="25"/>
      <c r="U80" s="15"/>
      <c r="V80" s="73">
        <v>18</v>
      </c>
      <c r="AA80" s="49" t="s">
        <v>97</v>
      </c>
      <c r="AB80" s="50" t="s">
        <v>76</v>
      </c>
    </row>
    <row r="81" spans="1:28" x14ac:dyDescent="0.4">
      <c r="A81" s="138"/>
      <c r="B81" s="144"/>
      <c r="C81" s="85"/>
      <c r="D81" s="110"/>
      <c r="E81" s="18"/>
      <c r="F81" s="16"/>
      <c r="G81" s="18"/>
      <c r="H81" s="15"/>
      <c r="I81" s="15"/>
      <c r="J81" s="18"/>
      <c r="K81" s="15"/>
      <c r="L81" s="19"/>
      <c r="M81" s="19"/>
      <c r="N81" s="19"/>
      <c r="O81" s="19"/>
      <c r="P81" s="19"/>
      <c r="Q81" s="19"/>
      <c r="R81" s="19"/>
      <c r="S81" s="15"/>
      <c r="T81" s="25"/>
      <c r="U81" s="15"/>
      <c r="V81">
        <v>19</v>
      </c>
      <c r="AA81" s="49" t="s">
        <v>98</v>
      </c>
      <c r="AB81" s="50" t="s">
        <v>77</v>
      </c>
    </row>
    <row r="82" spans="1:28" x14ac:dyDescent="0.4">
      <c r="A82" s="138"/>
      <c r="B82" s="144"/>
      <c r="C82" s="85"/>
      <c r="D82" s="110"/>
      <c r="E82" s="18"/>
      <c r="F82" s="16"/>
      <c r="G82" s="18"/>
      <c r="H82" s="15"/>
      <c r="I82" s="15"/>
      <c r="J82" s="18"/>
      <c r="K82" s="15"/>
      <c r="L82" s="19"/>
      <c r="M82" s="19"/>
      <c r="N82" s="19"/>
      <c r="O82" s="19"/>
      <c r="P82" s="19"/>
      <c r="Q82" s="19"/>
      <c r="R82" s="19"/>
      <c r="S82" s="15"/>
      <c r="T82" s="25"/>
      <c r="U82" s="15"/>
      <c r="V82">
        <v>20</v>
      </c>
      <c r="AA82" s="49" t="s">
        <v>99</v>
      </c>
      <c r="AB82" s="50" t="s">
        <v>78</v>
      </c>
    </row>
    <row r="83" spans="1:28" x14ac:dyDescent="0.4">
      <c r="A83" s="138"/>
      <c r="B83" s="144"/>
      <c r="C83" s="86"/>
      <c r="D83" s="110"/>
      <c r="E83" s="18"/>
      <c r="F83" s="16"/>
      <c r="G83" s="18"/>
      <c r="H83" s="15"/>
      <c r="I83" s="15"/>
      <c r="J83" s="18"/>
      <c r="K83" s="15"/>
      <c r="L83" s="19"/>
      <c r="M83" s="19"/>
      <c r="N83" s="19"/>
      <c r="O83" s="19"/>
      <c r="P83" s="19"/>
      <c r="Q83" s="19"/>
      <c r="R83" s="19"/>
      <c r="S83" s="15"/>
      <c r="T83" s="26"/>
      <c r="U83" s="15"/>
      <c r="V83">
        <v>21</v>
      </c>
      <c r="AA83" s="49" t="s">
        <v>100</v>
      </c>
      <c r="AB83" s="50" t="s">
        <v>79</v>
      </c>
    </row>
    <row r="84" spans="1:28" x14ac:dyDescent="0.4">
      <c r="A84" s="138"/>
      <c r="B84" s="144"/>
      <c r="C84" s="86"/>
      <c r="D84" s="106"/>
      <c r="E84" s="15"/>
      <c r="F84" s="16"/>
      <c r="G84" s="15"/>
      <c r="H84" s="15"/>
      <c r="I84" s="15"/>
      <c r="J84" s="15"/>
      <c r="K84" s="15"/>
      <c r="L84" s="17"/>
      <c r="M84" s="17"/>
      <c r="N84" s="17"/>
      <c r="O84" s="17"/>
      <c r="P84" s="17"/>
      <c r="Q84" s="17"/>
      <c r="R84" s="17"/>
      <c r="S84" s="15"/>
      <c r="T84" s="26"/>
      <c r="U84" s="15"/>
      <c r="V84">
        <v>22</v>
      </c>
      <c r="AA84" s="49" t="s">
        <v>101</v>
      </c>
      <c r="AB84" s="50" t="s">
        <v>59</v>
      </c>
    </row>
    <row r="85" spans="1:28" x14ac:dyDescent="0.4">
      <c r="A85" s="138"/>
      <c r="B85" s="144"/>
      <c r="C85" s="85"/>
      <c r="D85" s="109"/>
      <c r="E85" s="13"/>
      <c r="F85" s="16"/>
      <c r="G85" s="13"/>
      <c r="H85" s="18"/>
      <c r="I85" s="15"/>
      <c r="J85" s="13"/>
      <c r="K85" s="13"/>
      <c r="L85" s="20"/>
      <c r="M85" s="20"/>
      <c r="N85" s="20"/>
      <c r="O85" s="20"/>
      <c r="P85" s="20"/>
      <c r="Q85" s="20"/>
      <c r="R85" s="20"/>
      <c r="S85" s="15"/>
      <c r="T85" s="26"/>
      <c r="U85" s="15"/>
      <c r="V85">
        <v>23</v>
      </c>
      <c r="AA85" s="49" t="s">
        <v>102</v>
      </c>
      <c r="AB85" s="50" t="s">
        <v>62</v>
      </c>
    </row>
    <row r="86" spans="1:28" ht="19.5" thickBot="1" x14ac:dyDescent="0.45">
      <c r="A86" s="138"/>
      <c r="B86" s="144"/>
      <c r="C86" s="86"/>
      <c r="D86" s="106"/>
      <c r="E86" s="15"/>
      <c r="F86" s="16"/>
      <c r="G86" s="15"/>
      <c r="H86" s="15"/>
      <c r="I86" s="15"/>
      <c r="J86" s="15"/>
      <c r="K86" s="15"/>
      <c r="L86" s="17"/>
      <c r="M86" s="17"/>
      <c r="N86" s="17"/>
      <c r="O86" s="17"/>
      <c r="P86" s="17"/>
      <c r="Q86" s="17"/>
      <c r="R86" s="17"/>
      <c r="S86" s="15"/>
      <c r="T86" s="26"/>
      <c r="U86" s="15"/>
      <c r="V86">
        <v>24</v>
      </c>
      <c r="AA86" s="55" t="s">
        <v>103</v>
      </c>
      <c r="AB86" s="56" t="s">
        <v>80</v>
      </c>
    </row>
    <row r="87" spans="1:28" ht="19.5" thickBot="1" x14ac:dyDescent="0.45">
      <c r="A87" s="139"/>
      <c r="B87" s="145"/>
      <c r="C87" s="87"/>
      <c r="D87" s="111"/>
      <c r="E87" s="21"/>
      <c r="F87" s="22"/>
      <c r="G87" s="21"/>
      <c r="H87" s="21"/>
      <c r="I87" s="21"/>
      <c r="J87" s="21"/>
      <c r="K87" s="21"/>
      <c r="L87" s="23"/>
      <c r="M87" s="23"/>
      <c r="N87" s="23"/>
      <c r="O87" s="23"/>
      <c r="P87" s="23"/>
      <c r="Q87" s="23"/>
      <c r="R87" s="23"/>
      <c r="S87" s="21"/>
      <c r="T87" s="23"/>
      <c r="U87" s="21"/>
      <c r="V87">
        <v>25</v>
      </c>
      <c r="AA87" s="57" t="s">
        <v>47</v>
      </c>
      <c r="AB87" s="58"/>
    </row>
    <row r="88" spans="1:28" x14ac:dyDescent="0.4">
      <c r="A88" s="27"/>
      <c r="B88" s="28"/>
      <c r="C88" s="88">
        <f>COUNTA(C63:C87)</f>
        <v>14</v>
      </c>
      <c r="D88" s="112"/>
      <c r="E88" s="29"/>
      <c r="F88" s="29" t="s">
        <v>34</v>
      </c>
      <c r="G88" s="29">
        <f>COUNTIF(G63:G87,"S")</f>
        <v>14</v>
      </c>
      <c r="H88" s="29">
        <f>COUNTIF(H63:H87,"E")</f>
        <v>0</v>
      </c>
      <c r="I88" s="29">
        <f>SUM(I63:I87)</f>
        <v>0</v>
      </c>
      <c r="J88" s="29"/>
      <c r="K88" s="29">
        <f t="shared" ref="K88:S88" si="2">SUM(K63:K87)</f>
        <v>4</v>
      </c>
      <c r="L88" s="29">
        <f t="shared" si="2"/>
        <v>0</v>
      </c>
      <c r="M88" s="29">
        <f t="shared" si="2"/>
        <v>4</v>
      </c>
      <c r="N88" s="29">
        <f t="shared" si="2"/>
        <v>4</v>
      </c>
      <c r="O88" s="29">
        <f t="shared" si="2"/>
        <v>3</v>
      </c>
      <c r="P88" s="29">
        <f t="shared" si="2"/>
        <v>3</v>
      </c>
      <c r="Q88" s="29">
        <f t="shared" si="2"/>
        <v>7</v>
      </c>
      <c r="R88" s="29">
        <f t="shared" si="2"/>
        <v>2</v>
      </c>
      <c r="S88" s="29">
        <f t="shared" si="2"/>
        <v>0</v>
      </c>
      <c r="T88" s="29" t="s">
        <v>63</v>
      </c>
      <c r="U88" s="29">
        <f>COUNTIF(H63:H87,"M")</f>
        <v>0</v>
      </c>
    </row>
    <row r="89" spans="1:28" x14ac:dyDescent="0.4">
      <c r="A89" s="27"/>
      <c r="B89" s="28"/>
      <c r="C89" s="88"/>
      <c r="D89" s="112"/>
      <c r="E89" s="29"/>
      <c r="F89" s="29" t="s">
        <v>35</v>
      </c>
      <c r="G89" s="29">
        <f>COUNTIF(G63:G87,"P")</f>
        <v>0</v>
      </c>
      <c r="H89" s="29">
        <f>COUNTIF(H63:H87,"R")</f>
        <v>0</v>
      </c>
      <c r="I89" s="29"/>
      <c r="J89" s="29"/>
      <c r="K89" s="29"/>
      <c r="L89" s="29"/>
      <c r="M89" s="29"/>
      <c r="N89" s="29"/>
      <c r="O89" s="29"/>
      <c r="P89" s="29"/>
      <c r="Q89" s="29"/>
      <c r="R89" s="29" t="s">
        <v>130</v>
      </c>
      <c r="S89" s="29">
        <f>SUM(J88:S88)</f>
        <v>27</v>
      </c>
      <c r="T89" s="29"/>
      <c r="U89" s="29"/>
    </row>
    <row r="90" spans="1:28" ht="5.25" customHeight="1" x14ac:dyDescent="0.4"/>
    <row r="91" spans="1:28" ht="19.5" thickBot="1" x14ac:dyDescent="0.45">
      <c r="A91" s="1" t="str">
        <f>A1</f>
        <v>AYG102</v>
      </c>
      <c r="B91" s="24">
        <f>B1</f>
        <v>45720</v>
      </c>
      <c r="C91" s="83" t="s">
        <v>0</v>
      </c>
      <c r="D91" s="107"/>
      <c r="E91" s="2" t="s">
        <v>1</v>
      </c>
      <c r="F91" s="3"/>
      <c r="G91" s="2"/>
      <c r="H91" s="2" t="s">
        <v>4</v>
      </c>
      <c r="I91" s="3" t="s">
        <v>3</v>
      </c>
      <c r="J91" s="2" t="s">
        <v>5</v>
      </c>
      <c r="K91" s="2" t="s">
        <v>6</v>
      </c>
      <c r="L91" s="2" t="s">
        <v>7</v>
      </c>
      <c r="M91" s="2" t="s">
        <v>8</v>
      </c>
      <c r="N91" s="2" t="s">
        <v>9</v>
      </c>
      <c r="O91" s="2" t="s">
        <v>10</v>
      </c>
      <c r="P91" s="2" t="s">
        <v>11</v>
      </c>
      <c r="Q91" s="3" t="s">
        <v>12</v>
      </c>
      <c r="R91" s="2" t="s">
        <v>3</v>
      </c>
      <c r="S91" s="3" t="s">
        <v>2</v>
      </c>
      <c r="T91" s="2"/>
      <c r="U91" s="3"/>
    </row>
    <row r="92" spans="1:28" ht="19.5" thickBot="1" x14ac:dyDescent="0.45">
      <c r="A92" s="4" t="s">
        <v>13</v>
      </c>
      <c r="B92" s="5" t="s">
        <v>14</v>
      </c>
      <c r="C92" s="84" t="s">
        <v>15</v>
      </c>
      <c r="D92" s="108" t="s">
        <v>16</v>
      </c>
      <c r="E92" s="5" t="s">
        <v>17</v>
      </c>
      <c r="F92" s="7" t="s">
        <v>18</v>
      </c>
      <c r="G92" s="5" t="s">
        <v>19</v>
      </c>
      <c r="H92" s="5" t="s">
        <v>141</v>
      </c>
      <c r="I92" s="8" t="s">
        <v>21</v>
      </c>
      <c r="J92" s="5" t="s">
        <v>22</v>
      </c>
      <c r="K92" s="5" t="s">
        <v>23</v>
      </c>
      <c r="L92" s="9" t="s">
        <v>24</v>
      </c>
      <c r="M92" s="9" t="s">
        <v>25</v>
      </c>
      <c r="N92" s="9" t="s">
        <v>26</v>
      </c>
      <c r="O92" s="10" t="s">
        <v>27</v>
      </c>
      <c r="P92" s="9" t="s">
        <v>28</v>
      </c>
      <c r="Q92" s="9" t="s">
        <v>29</v>
      </c>
      <c r="R92" s="9" t="s">
        <v>30</v>
      </c>
      <c r="S92" s="5" t="s">
        <v>31</v>
      </c>
      <c r="T92" s="11" t="s">
        <v>32</v>
      </c>
      <c r="U92" s="6" t="s">
        <v>33</v>
      </c>
      <c r="X92" s="135" t="s">
        <v>117</v>
      </c>
      <c r="Y92" s="136"/>
    </row>
    <row r="93" spans="1:28" ht="20.25" thickTop="1" thickBot="1" x14ac:dyDescent="0.45">
      <c r="A93" s="137">
        <v>4</v>
      </c>
      <c r="B93" s="140">
        <v>21</v>
      </c>
      <c r="C93" s="85" t="s">
        <v>257</v>
      </c>
      <c r="D93" s="109" t="s">
        <v>189</v>
      </c>
      <c r="E93" s="15" t="s">
        <v>41</v>
      </c>
      <c r="F93" s="14"/>
      <c r="G93" s="12" t="s">
        <v>178</v>
      </c>
      <c r="H93" s="13"/>
      <c r="I93" s="13"/>
      <c r="J93" s="13">
        <v>1</v>
      </c>
      <c r="K93" s="13"/>
      <c r="L93" s="13"/>
      <c r="M93" s="13"/>
      <c r="N93" s="13"/>
      <c r="O93" s="13"/>
      <c r="P93" s="13"/>
      <c r="Q93" s="13"/>
      <c r="R93" s="13"/>
      <c r="S93" s="13"/>
      <c r="T93" s="25">
        <v>45743</v>
      </c>
      <c r="U93" s="13" t="s">
        <v>146</v>
      </c>
      <c r="V93">
        <v>1</v>
      </c>
      <c r="X93" s="51" t="s">
        <v>106</v>
      </c>
      <c r="Y93" s="52">
        <f>COUNTIF(U93:U117,"K")</f>
        <v>9</v>
      </c>
      <c r="AA93" s="59" t="s">
        <v>120</v>
      </c>
      <c r="AB93" s="60" t="s">
        <v>121</v>
      </c>
    </row>
    <row r="94" spans="1:28" x14ac:dyDescent="0.4">
      <c r="A94" s="138"/>
      <c r="B94" s="141"/>
      <c r="C94" s="85" t="s">
        <v>258</v>
      </c>
      <c r="D94" s="109" t="s">
        <v>246</v>
      </c>
      <c r="E94" s="15" t="s">
        <v>39</v>
      </c>
      <c r="F94" s="16"/>
      <c r="G94" s="12" t="s">
        <v>178</v>
      </c>
      <c r="H94" s="15"/>
      <c r="I94" s="15"/>
      <c r="J94" s="15">
        <v>1</v>
      </c>
      <c r="K94" s="15"/>
      <c r="L94" s="17"/>
      <c r="M94" s="17"/>
      <c r="N94" s="17"/>
      <c r="O94" s="17"/>
      <c r="P94" s="17"/>
      <c r="Q94" s="17"/>
      <c r="R94" s="17"/>
      <c r="S94" s="15"/>
      <c r="T94" s="25">
        <v>45746</v>
      </c>
      <c r="U94" s="13" t="s">
        <v>146</v>
      </c>
      <c r="V94">
        <v>2</v>
      </c>
      <c r="X94" s="51" t="s">
        <v>107</v>
      </c>
      <c r="Y94" s="52">
        <f>COUNTIF(U93:U117,"R")</f>
        <v>1</v>
      </c>
      <c r="AA94" s="47" t="s">
        <v>81</v>
      </c>
      <c r="AB94" s="48" t="s">
        <v>60</v>
      </c>
    </row>
    <row r="95" spans="1:28" ht="19.5" thickBot="1" x14ac:dyDescent="0.45">
      <c r="A95" s="138"/>
      <c r="B95" s="141"/>
      <c r="C95" s="85" t="s">
        <v>259</v>
      </c>
      <c r="D95" s="109" t="s">
        <v>246</v>
      </c>
      <c r="E95" s="15" t="s">
        <v>133</v>
      </c>
      <c r="F95" s="16"/>
      <c r="G95" s="12" t="s">
        <v>178</v>
      </c>
      <c r="H95" s="15"/>
      <c r="I95" s="15"/>
      <c r="J95" s="15"/>
      <c r="K95" s="15"/>
      <c r="L95" s="17"/>
      <c r="M95" s="17"/>
      <c r="N95" s="17"/>
      <c r="O95" s="17">
        <v>1</v>
      </c>
      <c r="P95" s="17">
        <v>1</v>
      </c>
      <c r="Q95" s="17">
        <v>1</v>
      </c>
      <c r="R95" s="17">
        <v>1</v>
      </c>
      <c r="S95" s="15"/>
      <c r="T95" s="25">
        <v>45746</v>
      </c>
      <c r="U95" s="13" t="s">
        <v>148</v>
      </c>
      <c r="V95">
        <v>3</v>
      </c>
      <c r="X95" s="53" t="s">
        <v>108</v>
      </c>
      <c r="Y95" s="54">
        <f>COUNTIF(U93:U117,"J")</f>
        <v>4</v>
      </c>
      <c r="AA95" s="49" t="s">
        <v>122</v>
      </c>
      <c r="AB95" s="50" t="s">
        <v>39</v>
      </c>
    </row>
    <row r="96" spans="1:28" x14ac:dyDescent="0.4">
      <c r="A96" s="138"/>
      <c r="B96" s="141"/>
      <c r="C96" s="85" t="s">
        <v>260</v>
      </c>
      <c r="D96" s="109" t="s">
        <v>189</v>
      </c>
      <c r="E96" s="15" t="s">
        <v>37</v>
      </c>
      <c r="F96" s="16"/>
      <c r="G96" s="12" t="s">
        <v>178</v>
      </c>
      <c r="H96" s="15"/>
      <c r="I96" s="15"/>
      <c r="J96" s="15"/>
      <c r="K96" s="15"/>
      <c r="L96" s="17"/>
      <c r="M96" s="17">
        <v>1</v>
      </c>
      <c r="N96" s="17">
        <v>1</v>
      </c>
      <c r="O96" s="17"/>
      <c r="P96" s="17"/>
      <c r="Q96" s="17">
        <v>1</v>
      </c>
      <c r="R96" s="17"/>
      <c r="S96" s="15"/>
      <c r="T96" s="25">
        <v>45743</v>
      </c>
      <c r="U96" s="13" t="s">
        <v>147</v>
      </c>
      <c r="V96">
        <v>4</v>
      </c>
      <c r="AA96" s="49" t="s">
        <v>83</v>
      </c>
      <c r="AB96" s="50" t="s">
        <v>38</v>
      </c>
    </row>
    <row r="97" spans="1:28" x14ac:dyDescent="0.4">
      <c r="A97" s="138"/>
      <c r="B97" s="141"/>
      <c r="C97" s="85" t="s">
        <v>261</v>
      </c>
      <c r="D97" s="109" t="s">
        <v>262</v>
      </c>
      <c r="E97" s="15" t="s">
        <v>39</v>
      </c>
      <c r="F97" s="16"/>
      <c r="G97" s="12" t="s">
        <v>178</v>
      </c>
      <c r="H97" s="15"/>
      <c r="I97" s="15"/>
      <c r="J97" s="15">
        <v>1</v>
      </c>
      <c r="K97" s="15"/>
      <c r="L97" s="17"/>
      <c r="M97" s="17"/>
      <c r="N97" s="17"/>
      <c r="O97" s="17"/>
      <c r="P97" s="17"/>
      <c r="Q97" s="17"/>
      <c r="R97" s="17"/>
      <c r="S97" s="15"/>
      <c r="T97" s="25">
        <v>45745</v>
      </c>
      <c r="U97" s="13" t="s">
        <v>146</v>
      </c>
      <c r="V97">
        <v>5</v>
      </c>
      <c r="AA97" s="49" t="s">
        <v>84</v>
      </c>
      <c r="AB97" s="50" t="s">
        <v>44</v>
      </c>
    </row>
    <row r="98" spans="1:28" x14ac:dyDescent="0.4">
      <c r="A98" s="138"/>
      <c r="B98" s="141"/>
      <c r="C98" s="85" t="s">
        <v>263</v>
      </c>
      <c r="D98" s="109" t="s">
        <v>246</v>
      </c>
      <c r="E98" s="15" t="s">
        <v>39</v>
      </c>
      <c r="F98" s="16"/>
      <c r="G98" s="12" t="s">
        <v>178</v>
      </c>
      <c r="H98" s="13"/>
      <c r="I98" s="15"/>
      <c r="J98" s="15">
        <v>1</v>
      </c>
      <c r="K98" s="15"/>
      <c r="L98" s="17"/>
      <c r="M98" s="17"/>
      <c r="N98" s="17"/>
      <c r="O98" s="17"/>
      <c r="P98" s="17"/>
      <c r="Q98" s="17"/>
      <c r="R98" s="17"/>
      <c r="S98" s="15"/>
      <c r="T98" s="25">
        <v>45746</v>
      </c>
      <c r="U98" s="13" t="s">
        <v>146</v>
      </c>
      <c r="V98">
        <v>6</v>
      </c>
      <c r="AA98" s="49" t="s">
        <v>85</v>
      </c>
      <c r="AB98" s="50" t="s">
        <v>43</v>
      </c>
    </row>
    <row r="99" spans="1:28" x14ac:dyDescent="0.4">
      <c r="A99" s="138"/>
      <c r="B99" s="141"/>
      <c r="C99" s="85" t="s">
        <v>264</v>
      </c>
      <c r="D99" s="109" t="s">
        <v>246</v>
      </c>
      <c r="E99" s="15" t="s">
        <v>133</v>
      </c>
      <c r="F99" s="16"/>
      <c r="G99" s="12" t="s">
        <v>178</v>
      </c>
      <c r="H99" s="15"/>
      <c r="I99" s="15"/>
      <c r="J99" s="15"/>
      <c r="K99" s="15"/>
      <c r="L99" s="17"/>
      <c r="M99" s="17"/>
      <c r="N99" s="17"/>
      <c r="O99" s="17">
        <v>1</v>
      </c>
      <c r="P99" s="17">
        <v>1</v>
      </c>
      <c r="Q99" s="17">
        <v>1</v>
      </c>
      <c r="R99" s="17">
        <v>1</v>
      </c>
      <c r="S99" s="15"/>
      <c r="T99" s="25">
        <v>45746</v>
      </c>
      <c r="U99" s="13" t="s">
        <v>148</v>
      </c>
      <c r="V99">
        <v>7</v>
      </c>
      <c r="AA99" s="49" t="s">
        <v>86</v>
      </c>
      <c r="AB99" s="50" t="s">
        <v>45</v>
      </c>
    </row>
    <row r="100" spans="1:28" x14ac:dyDescent="0.4">
      <c r="A100" s="138"/>
      <c r="B100" s="141"/>
      <c r="C100" s="85" t="s">
        <v>265</v>
      </c>
      <c r="D100" s="109" t="s">
        <v>262</v>
      </c>
      <c r="E100" s="15" t="s">
        <v>39</v>
      </c>
      <c r="F100" s="16"/>
      <c r="G100" s="12" t="s">
        <v>178</v>
      </c>
      <c r="H100" s="15"/>
      <c r="I100" s="15"/>
      <c r="J100" s="15">
        <v>1</v>
      </c>
      <c r="K100" s="15"/>
      <c r="L100" s="17"/>
      <c r="M100" s="17"/>
      <c r="N100" s="17"/>
      <c r="O100" s="17"/>
      <c r="P100" s="17"/>
      <c r="Q100" s="17"/>
      <c r="R100" s="17"/>
      <c r="S100" s="15"/>
      <c r="T100" s="25">
        <v>45745</v>
      </c>
      <c r="U100" s="15" t="s">
        <v>146</v>
      </c>
      <c r="V100">
        <v>8</v>
      </c>
      <c r="AA100" s="49" t="s">
        <v>87</v>
      </c>
      <c r="AB100" s="50" t="s">
        <v>37</v>
      </c>
    </row>
    <row r="101" spans="1:28" x14ac:dyDescent="0.4">
      <c r="A101" s="138"/>
      <c r="B101" s="141"/>
      <c r="C101" s="85" t="s">
        <v>266</v>
      </c>
      <c r="D101" s="109" t="s">
        <v>262</v>
      </c>
      <c r="E101" s="15" t="s">
        <v>39</v>
      </c>
      <c r="F101" s="16"/>
      <c r="G101" s="12" t="s">
        <v>178</v>
      </c>
      <c r="H101" s="15"/>
      <c r="I101" s="15"/>
      <c r="J101" s="15">
        <v>1</v>
      </c>
      <c r="K101" s="15"/>
      <c r="L101" s="17"/>
      <c r="M101" s="17"/>
      <c r="N101" s="17"/>
      <c r="O101" s="17"/>
      <c r="P101" s="17"/>
      <c r="Q101" s="17"/>
      <c r="R101" s="17"/>
      <c r="S101" s="15"/>
      <c r="T101" s="25">
        <v>45745</v>
      </c>
      <c r="U101" s="15" t="s">
        <v>146</v>
      </c>
      <c r="V101">
        <v>9</v>
      </c>
      <c r="AA101" s="49" t="s">
        <v>88</v>
      </c>
      <c r="AB101" s="50" t="s">
        <v>74</v>
      </c>
    </row>
    <row r="102" spans="1:28" x14ac:dyDescent="0.4">
      <c r="A102" s="138"/>
      <c r="B102" s="141"/>
      <c r="C102" s="85" t="s">
        <v>267</v>
      </c>
      <c r="D102" s="109" t="s">
        <v>246</v>
      </c>
      <c r="E102" s="15" t="s">
        <v>40</v>
      </c>
      <c r="F102" s="16"/>
      <c r="G102" s="12" t="s">
        <v>178</v>
      </c>
      <c r="H102" s="15"/>
      <c r="I102" s="15"/>
      <c r="J102" s="15"/>
      <c r="K102" s="15"/>
      <c r="L102" s="17"/>
      <c r="M102" s="17"/>
      <c r="N102" s="17"/>
      <c r="O102" s="17">
        <v>1</v>
      </c>
      <c r="P102" s="17">
        <v>1</v>
      </c>
      <c r="Q102" s="17">
        <v>1</v>
      </c>
      <c r="R102" s="17">
        <v>1</v>
      </c>
      <c r="S102" s="15"/>
      <c r="T102" s="25">
        <v>45747</v>
      </c>
      <c r="U102" s="15" t="s">
        <v>148</v>
      </c>
      <c r="V102">
        <v>10</v>
      </c>
      <c r="AA102" s="49" t="s">
        <v>89</v>
      </c>
      <c r="AB102" s="50" t="s">
        <v>36</v>
      </c>
    </row>
    <row r="103" spans="1:28" x14ac:dyDescent="0.4">
      <c r="A103" s="138"/>
      <c r="B103" s="141"/>
      <c r="C103" s="85" t="s">
        <v>268</v>
      </c>
      <c r="D103" s="109" t="s">
        <v>246</v>
      </c>
      <c r="E103" s="15" t="s">
        <v>38</v>
      </c>
      <c r="F103" s="16"/>
      <c r="G103" s="12" t="s">
        <v>178</v>
      </c>
      <c r="H103" s="15"/>
      <c r="I103" s="15"/>
      <c r="J103" s="15">
        <v>1</v>
      </c>
      <c r="K103" s="15"/>
      <c r="L103" s="17"/>
      <c r="M103" s="17"/>
      <c r="N103" s="17"/>
      <c r="O103" s="17"/>
      <c r="P103" s="17"/>
      <c r="Q103" s="17"/>
      <c r="R103" s="17"/>
      <c r="S103" s="15"/>
      <c r="T103" s="25">
        <v>45747</v>
      </c>
      <c r="U103" s="15" t="s">
        <v>146</v>
      </c>
      <c r="V103">
        <v>11</v>
      </c>
      <c r="AA103" s="49" t="s">
        <v>90</v>
      </c>
      <c r="AB103" s="50" t="s">
        <v>58</v>
      </c>
    </row>
    <row r="104" spans="1:28" x14ac:dyDescent="0.4">
      <c r="A104" s="138"/>
      <c r="B104" s="141"/>
      <c r="C104" s="85" t="s">
        <v>269</v>
      </c>
      <c r="D104" s="109" t="s">
        <v>262</v>
      </c>
      <c r="E104" s="15" t="s">
        <v>39</v>
      </c>
      <c r="F104" s="16"/>
      <c r="G104" s="12" t="s">
        <v>178</v>
      </c>
      <c r="H104" s="15"/>
      <c r="I104" s="15"/>
      <c r="J104" s="15">
        <v>1</v>
      </c>
      <c r="K104" s="15"/>
      <c r="L104" s="17"/>
      <c r="M104" s="17"/>
      <c r="N104" s="17"/>
      <c r="O104" s="17"/>
      <c r="P104" s="17"/>
      <c r="Q104" s="17"/>
      <c r="R104" s="17"/>
      <c r="S104" s="15"/>
      <c r="T104" s="25">
        <v>45745</v>
      </c>
      <c r="U104" s="15" t="s">
        <v>146</v>
      </c>
      <c r="V104">
        <v>12</v>
      </c>
      <c r="AA104" s="49" t="s">
        <v>91</v>
      </c>
      <c r="AB104" s="50" t="s">
        <v>75</v>
      </c>
    </row>
    <row r="105" spans="1:28" x14ac:dyDescent="0.4">
      <c r="A105" s="138"/>
      <c r="B105" s="141"/>
      <c r="C105" s="85" t="s">
        <v>270</v>
      </c>
      <c r="D105" s="109" t="s">
        <v>177</v>
      </c>
      <c r="E105" s="15" t="s">
        <v>133</v>
      </c>
      <c r="F105" s="16"/>
      <c r="G105" s="12" t="s">
        <v>178</v>
      </c>
      <c r="H105" s="15"/>
      <c r="I105" s="15"/>
      <c r="J105" s="15"/>
      <c r="K105" s="15"/>
      <c r="L105" s="17"/>
      <c r="M105" s="17"/>
      <c r="N105" s="17"/>
      <c r="O105" s="17">
        <v>1</v>
      </c>
      <c r="P105" s="17">
        <v>1</v>
      </c>
      <c r="Q105" s="17">
        <v>1</v>
      </c>
      <c r="R105" s="17">
        <v>1</v>
      </c>
      <c r="S105" s="15"/>
      <c r="T105" s="25">
        <v>45770</v>
      </c>
      <c r="U105" s="132" t="s">
        <v>148</v>
      </c>
      <c r="V105">
        <v>13</v>
      </c>
      <c r="AA105" s="49" t="s">
        <v>92</v>
      </c>
      <c r="AB105" s="50" t="s">
        <v>40</v>
      </c>
    </row>
    <row r="106" spans="1:28" x14ac:dyDescent="0.4">
      <c r="A106" s="138"/>
      <c r="B106" s="141"/>
      <c r="C106" s="85" t="s">
        <v>271</v>
      </c>
      <c r="D106" s="109" t="s">
        <v>177</v>
      </c>
      <c r="E106" s="15" t="s">
        <v>39</v>
      </c>
      <c r="F106" s="16"/>
      <c r="G106" s="12" t="s">
        <v>178</v>
      </c>
      <c r="H106" s="15"/>
      <c r="I106" s="15"/>
      <c r="J106" s="15">
        <v>1</v>
      </c>
      <c r="K106" s="15"/>
      <c r="L106" s="17"/>
      <c r="M106" s="17"/>
      <c r="N106" s="17"/>
      <c r="O106" s="17"/>
      <c r="P106" s="17"/>
      <c r="Q106" s="17"/>
      <c r="R106" s="17"/>
      <c r="S106" s="15"/>
      <c r="T106" s="25">
        <v>45770</v>
      </c>
      <c r="U106" s="15" t="s">
        <v>146</v>
      </c>
      <c r="V106">
        <v>14</v>
      </c>
      <c r="AA106" s="49" t="s">
        <v>93</v>
      </c>
      <c r="AB106" s="50" t="s">
        <v>57</v>
      </c>
    </row>
    <row r="107" spans="1:28" x14ac:dyDescent="0.4">
      <c r="A107" s="138"/>
      <c r="B107" s="141"/>
      <c r="C107" s="85"/>
      <c r="D107" s="109"/>
      <c r="E107" s="15"/>
      <c r="F107" s="16"/>
      <c r="G107" s="15"/>
      <c r="H107" s="15"/>
      <c r="I107" s="15"/>
      <c r="J107" s="15"/>
      <c r="K107" s="15"/>
      <c r="L107" s="17"/>
      <c r="M107" s="17"/>
      <c r="N107" s="17"/>
      <c r="O107" s="17"/>
      <c r="P107" s="17"/>
      <c r="Q107" s="17"/>
      <c r="R107" s="17"/>
      <c r="S107" s="15"/>
      <c r="T107" s="25"/>
      <c r="U107" s="15"/>
      <c r="V107">
        <v>15</v>
      </c>
      <c r="AA107" s="49" t="s">
        <v>94</v>
      </c>
      <c r="AB107" s="50" t="s">
        <v>41</v>
      </c>
    </row>
    <row r="108" spans="1:28" x14ac:dyDescent="0.4">
      <c r="A108" s="138"/>
      <c r="B108" s="141"/>
      <c r="C108" s="85"/>
      <c r="D108" s="109"/>
      <c r="E108" s="15"/>
      <c r="F108" s="16"/>
      <c r="G108" s="15"/>
      <c r="H108" s="15"/>
      <c r="I108" s="15"/>
      <c r="J108" s="18"/>
      <c r="K108" s="15"/>
      <c r="L108" s="19"/>
      <c r="M108" s="19"/>
      <c r="N108" s="19"/>
      <c r="O108" s="19"/>
      <c r="P108" s="19"/>
      <c r="Q108" s="19"/>
      <c r="R108" s="19"/>
      <c r="S108" s="15"/>
      <c r="T108" s="25"/>
      <c r="U108" s="15"/>
      <c r="V108">
        <v>16</v>
      </c>
      <c r="AA108" s="49" t="s">
        <v>95</v>
      </c>
      <c r="AB108" s="50" t="s">
        <v>42</v>
      </c>
    </row>
    <row r="109" spans="1:28" x14ac:dyDescent="0.4">
      <c r="A109" s="138"/>
      <c r="B109" s="141"/>
      <c r="C109" s="85"/>
      <c r="D109" s="110"/>
      <c r="E109" s="15"/>
      <c r="F109" s="16"/>
      <c r="G109" s="18"/>
      <c r="H109" s="15"/>
      <c r="I109" s="15"/>
      <c r="J109" s="18"/>
      <c r="K109" s="15"/>
      <c r="L109" s="19"/>
      <c r="M109" s="19"/>
      <c r="N109" s="19"/>
      <c r="O109" s="19"/>
      <c r="P109" s="19"/>
      <c r="Q109" s="19"/>
      <c r="R109" s="19"/>
      <c r="S109" s="15"/>
      <c r="T109" s="26"/>
      <c r="U109" s="15"/>
      <c r="V109">
        <v>17</v>
      </c>
      <c r="AA109" s="49" t="s">
        <v>96</v>
      </c>
      <c r="AB109" s="50" t="s">
        <v>61</v>
      </c>
    </row>
    <row r="110" spans="1:28" x14ac:dyDescent="0.4">
      <c r="A110" s="138"/>
      <c r="B110" s="141"/>
      <c r="C110" s="86"/>
      <c r="D110" s="110"/>
      <c r="E110" s="15"/>
      <c r="F110" s="16"/>
      <c r="G110" s="18"/>
      <c r="H110" s="15"/>
      <c r="I110" s="15"/>
      <c r="J110" s="18"/>
      <c r="K110" s="15"/>
      <c r="L110" s="19"/>
      <c r="M110" s="19"/>
      <c r="N110" s="19"/>
      <c r="O110" s="19"/>
      <c r="P110" s="19"/>
      <c r="Q110" s="19"/>
      <c r="R110" s="19"/>
      <c r="S110" s="15"/>
      <c r="T110" s="26"/>
      <c r="U110" s="15"/>
      <c r="V110">
        <v>18</v>
      </c>
      <c r="AA110" s="49" t="s">
        <v>97</v>
      </c>
      <c r="AB110" s="50" t="s">
        <v>76</v>
      </c>
    </row>
    <row r="111" spans="1:28" x14ac:dyDescent="0.4">
      <c r="A111" s="138"/>
      <c r="B111" s="141"/>
      <c r="C111" s="86"/>
      <c r="D111" s="110"/>
      <c r="E111" s="15"/>
      <c r="F111" s="16"/>
      <c r="G111" s="18"/>
      <c r="H111" s="15"/>
      <c r="I111" s="15"/>
      <c r="J111" s="18"/>
      <c r="K111" s="15"/>
      <c r="L111" s="19"/>
      <c r="M111" s="19"/>
      <c r="N111" s="19"/>
      <c r="O111" s="19"/>
      <c r="P111" s="19"/>
      <c r="Q111" s="19"/>
      <c r="R111" s="19"/>
      <c r="S111" s="15"/>
      <c r="T111" s="26"/>
      <c r="U111" s="15"/>
      <c r="V111" s="73">
        <v>19</v>
      </c>
      <c r="AA111" s="49" t="s">
        <v>98</v>
      </c>
      <c r="AB111" s="50" t="s">
        <v>77</v>
      </c>
    </row>
    <row r="112" spans="1:28" x14ac:dyDescent="0.4">
      <c r="A112" s="138"/>
      <c r="B112" s="141"/>
      <c r="C112" s="86"/>
      <c r="D112" s="110"/>
      <c r="E112" s="18"/>
      <c r="F112" s="16"/>
      <c r="G112" s="18"/>
      <c r="H112" s="15"/>
      <c r="I112" s="15"/>
      <c r="J112" s="18"/>
      <c r="K112" s="15"/>
      <c r="L112" s="19"/>
      <c r="M112" s="19"/>
      <c r="N112" s="19"/>
      <c r="O112" s="19"/>
      <c r="P112" s="19"/>
      <c r="Q112" s="19"/>
      <c r="R112" s="19"/>
      <c r="S112" s="15"/>
      <c r="T112" s="19"/>
      <c r="U112" s="15"/>
      <c r="V112">
        <v>20</v>
      </c>
      <c r="AA112" s="49" t="s">
        <v>99</v>
      </c>
      <c r="AB112" s="50" t="s">
        <v>78</v>
      </c>
    </row>
    <row r="113" spans="1:28" x14ac:dyDescent="0.4">
      <c r="A113" s="138"/>
      <c r="B113" s="141"/>
      <c r="C113" s="86"/>
      <c r="D113" s="110"/>
      <c r="E113" s="18"/>
      <c r="F113" s="16"/>
      <c r="G113" s="18"/>
      <c r="H113" s="15"/>
      <c r="I113" s="15"/>
      <c r="J113" s="18"/>
      <c r="K113" s="15"/>
      <c r="L113" s="19"/>
      <c r="M113" s="19"/>
      <c r="N113" s="19"/>
      <c r="O113" s="19"/>
      <c r="P113" s="19"/>
      <c r="Q113" s="19"/>
      <c r="R113" s="19"/>
      <c r="S113" s="15"/>
      <c r="T113" s="19"/>
      <c r="U113" s="15"/>
      <c r="V113">
        <v>21</v>
      </c>
      <c r="AA113" s="49" t="s">
        <v>100</v>
      </c>
      <c r="AB113" s="50" t="s">
        <v>79</v>
      </c>
    </row>
    <row r="114" spans="1:28" x14ac:dyDescent="0.4">
      <c r="A114" s="138"/>
      <c r="B114" s="141"/>
      <c r="C114" s="86"/>
      <c r="D114" s="106"/>
      <c r="E114" s="15"/>
      <c r="F114" s="16"/>
      <c r="G114" s="15"/>
      <c r="H114" s="15"/>
      <c r="I114" s="15"/>
      <c r="J114" s="15"/>
      <c r="K114" s="15"/>
      <c r="L114" s="17"/>
      <c r="M114" s="17"/>
      <c r="N114" s="17"/>
      <c r="O114" s="17"/>
      <c r="P114" s="17"/>
      <c r="Q114" s="17"/>
      <c r="R114" s="17"/>
      <c r="S114" s="15"/>
      <c r="T114" s="17"/>
      <c r="U114" s="15"/>
      <c r="V114">
        <v>22</v>
      </c>
      <c r="AA114" s="49" t="s">
        <v>101</v>
      </c>
      <c r="AB114" s="50" t="s">
        <v>59</v>
      </c>
    </row>
    <row r="115" spans="1:28" x14ac:dyDescent="0.4">
      <c r="A115" s="138"/>
      <c r="B115" s="141"/>
      <c r="C115" s="85"/>
      <c r="D115" s="109"/>
      <c r="E115" s="13"/>
      <c r="F115" s="16"/>
      <c r="G115" s="13"/>
      <c r="H115" s="18"/>
      <c r="I115" s="15"/>
      <c r="J115" s="13"/>
      <c r="K115" s="13"/>
      <c r="L115" s="20"/>
      <c r="M115" s="20"/>
      <c r="N115" s="20"/>
      <c r="O115" s="20"/>
      <c r="P115" s="20"/>
      <c r="Q115" s="20"/>
      <c r="R115" s="20"/>
      <c r="S115" s="15"/>
      <c r="T115" s="20"/>
      <c r="U115" s="15"/>
      <c r="V115">
        <v>23</v>
      </c>
      <c r="AA115" s="49" t="s">
        <v>102</v>
      </c>
      <c r="AB115" s="50" t="s">
        <v>62</v>
      </c>
    </row>
    <row r="116" spans="1:28" ht="20.25" customHeight="1" thickBot="1" x14ac:dyDescent="0.45">
      <c r="A116" s="138"/>
      <c r="B116" s="141"/>
      <c r="C116" s="86"/>
      <c r="D116" s="106"/>
      <c r="E116" s="15"/>
      <c r="F116" s="16"/>
      <c r="G116" s="15"/>
      <c r="H116" s="15"/>
      <c r="I116" s="15"/>
      <c r="J116" s="15"/>
      <c r="K116" s="15"/>
      <c r="L116" s="17"/>
      <c r="M116" s="17"/>
      <c r="N116" s="17"/>
      <c r="O116" s="17"/>
      <c r="P116" s="17"/>
      <c r="Q116" s="17"/>
      <c r="R116" s="17"/>
      <c r="S116" s="15"/>
      <c r="T116" s="17"/>
      <c r="U116" s="15"/>
      <c r="V116">
        <v>24</v>
      </c>
      <c r="AA116" s="55" t="s">
        <v>103</v>
      </c>
      <c r="AB116" s="56" t="s">
        <v>80</v>
      </c>
    </row>
    <row r="117" spans="1:28" ht="19.5" thickBot="1" x14ac:dyDescent="0.45">
      <c r="A117" s="139"/>
      <c r="B117" s="142"/>
      <c r="C117" s="87"/>
      <c r="D117" s="111"/>
      <c r="E117" s="21"/>
      <c r="F117" s="22"/>
      <c r="G117" s="21"/>
      <c r="H117" s="21"/>
      <c r="I117" s="21"/>
      <c r="J117" s="21"/>
      <c r="K117" s="21"/>
      <c r="L117" s="23"/>
      <c r="M117" s="23"/>
      <c r="N117" s="23"/>
      <c r="O117" s="23"/>
      <c r="P117" s="23"/>
      <c r="Q117" s="23"/>
      <c r="R117" s="23"/>
      <c r="S117" s="21"/>
      <c r="T117" s="23"/>
      <c r="U117" s="21"/>
      <c r="V117">
        <v>25</v>
      </c>
      <c r="AA117" s="57" t="s">
        <v>47</v>
      </c>
      <c r="AB117" s="58"/>
    </row>
    <row r="118" spans="1:28" x14ac:dyDescent="0.4">
      <c r="A118" s="27"/>
      <c r="B118" s="28"/>
      <c r="C118" s="88">
        <f>COUNTA(C93:C117)</f>
        <v>14</v>
      </c>
      <c r="D118" s="112"/>
      <c r="E118" s="29"/>
      <c r="F118" s="29" t="s">
        <v>34</v>
      </c>
      <c r="G118" s="29">
        <f>COUNTIF(G93:G117,"S")</f>
        <v>14</v>
      </c>
      <c r="H118" s="29">
        <f>COUNTIF(H93:H117,"E")</f>
        <v>0</v>
      </c>
      <c r="I118" s="29">
        <f>SUM(I93:I117)</f>
        <v>0</v>
      </c>
      <c r="J118" s="29">
        <f t="shared" ref="J118" si="3">SUM(J93:J117)</f>
        <v>9</v>
      </c>
      <c r="K118" s="29">
        <f t="shared" ref="K118" si="4">SUM(K93:K117)</f>
        <v>0</v>
      </c>
      <c r="L118" s="29">
        <f t="shared" ref="L118" si="5">SUM(L93:L117)</f>
        <v>0</v>
      </c>
      <c r="M118" s="29">
        <f t="shared" ref="M118" si="6">SUM(M93:M117)</f>
        <v>1</v>
      </c>
      <c r="N118" s="29">
        <f t="shared" ref="N118" si="7">SUM(N93:N117)</f>
        <v>1</v>
      </c>
      <c r="O118" s="29">
        <f t="shared" ref="O118" si="8">SUM(O93:O117)</f>
        <v>4</v>
      </c>
      <c r="P118" s="29">
        <f t="shared" ref="P118" si="9">SUM(P93:P117)</f>
        <v>4</v>
      </c>
      <c r="Q118" s="29">
        <f t="shared" ref="Q118" si="10">SUM(Q93:Q117)</f>
        <v>5</v>
      </c>
      <c r="R118" s="29">
        <f t="shared" ref="R118" si="11">SUM(R93:R117)</f>
        <v>4</v>
      </c>
      <c r="S118" s="29">
        <f t="shared" ref="S118" si="12">SUM(S93:S117)</f>
        <v>0</v>
      </c>
      <c r="T118" s="29" t="s">
        <v>63</v>
      </c>
      <c r="U118" s="29">
        <f>COUNTIF(H93:H117,"M")</f>
        <v>0</v>
      </c>
    </row>
    <row r="119" spans="1:28" ht="18" customHeight="1" x14ac:dyDescent="0.4">
      <c r="A119" s="27"/>
      <c r="B119" s="28"/>
      <c r="C119" s="88"/>
      <c r="D119" s="112"/>
      <c r="E119" s="29"/>
      <c r="F119" s="29" t="s">
        <v>35</v>
      </c>
      <c r="G119" s="29">
        <f>COUNTIF(G93:G117,"P")</f>
        <v>0</v>
      </c>
      <c r="H119" s="29">
        <f>COUNTIF(H93:H117,"R")</f>
        <v>0</v>
      </c>
      <c r="I119" s="29"/>
      <c r="J119" s="29"/>
      <c r="K119" s="29"/>
      <c r="L119" s="29"/>
      <c r="M119" s="29"/>
      <c r="N119" s="29"/>
      <c r="O119" s="29"/>
      <c r="P119" s="29"/>
      <c r="Q119" s="29"/>
      <c r="R119" s="29" t="s">
        <v>130</v>
      </c>
      <c r="S119" s="29">
        <f>SUM(J118:S118)</f>
        <v>28</v>
      </c>
      <c r="T119" s="29"/>
      <c r="U119" s="29"/>
    </row>
    <row r="120" spans="1:28" ht="6" customHeight="1" x14ac:dyDescent="0.4"/>
    <row r="121" spans="1:28" ht="19.5" thickBot="1" x14ac:dyDescent="0.45">
      <c r="A121" s="1" t="str">
        <f>A1</f>
        <v>AYG102</v>
      </c>
      <c r="B121" s="24">
        <f>B1</f>
        <v>45720</v>
      </c>
      <c r="C121" s="83" t="s">
        <v>0</v>
      </c>
      <c r="D121" s="107"/>
      <c r="E121" s="2" t="s">
        <v>1</v>
      </c>
      <c r="F121" s="3"/>
      <c r="G121" s="2"/>
      <c r="H121" s="2" t="s">
        <v>4</v>
      </c>
      <c r="I121" s="3" t="s">
        <v>3</v>
      </c>
      <c r="J121" s="2" t="s">
        <v>5</v>
      </c>
      <c r="K121" s="2" t="s">
        <v>6</v>
      </c>
      <c r="L121" s="2" t="s">
        <v>7</v>
      </c>
      <c r="M121" s="2" t="s">
        <v>8</v>
      </c>
      <c r="N121" s="2" t="s">
        <v>9</v>
      </c>
      <c r="O121" s="2" t="s">
        <v>10</v>
      </c>
      <c r="P121" s="2" t="s">
        <v>11</v>
      </c>
      <c r="Q121" s="3" t="s">
        <v>12</v>
      </c>
      <c r="R121" s="2" t="s">
        <v>3</v>
      </c>
      <c r="S121" s="3" t="s">
        <v>2</v>
      </c>
      <c r="T121" s="2"/>
      <c r="U121" s="3"/>
    </row>
    <row r="122" spans="1:28" ht="19.5" thickBot="1" x14ac:dyDescent="0.45">
      <c r="A122" s="4" t="s">
        <v>13</v>
      </c>
      <c r="B122" s="5" t="s">
        <v>14</v>
      </c>
      <c r="C122" s="84" t="s">
        <v>15</v>
      </c>
      <c r="D122" s="108" t="s">
        <v>16</v>
      </c>
      <c r="E122" s="5" t="s">
        <v>17</v>
      </c>
      <c r="F122" s="7" t="s">
        <v>18</v>
      </c>
      <c r="G122" s="5" t="s">
        <v>134</v>
      </c>
      <c r="H122" s="5" t="s">
        <v>20</v>
      </c>
      <c r="I122" s="8" t="s">
        <v>21</v>
      </c>
      <c r="J122" s="5" t="s">
        <v>22</v>
      </c>
      <c r="K122" s="5" t="s">
        <v>23</v>
      </c>
      <c r="L122" s="9" t="s">
        <v>24</v>
      </c>
      <c r="M122" s="9" t="s">
        <v>25</v>
      </c>
      <c r="N122" s="9" t="s">
        <v>26</v>
      </c>
      <c r="O122" s="10" t="s">
        <v>27</v>
      </c>
      <c r="P122" s="9" t="s">
        <v>28</v>
      </c>
      <c r="Q122" s="9" t="s">
        <v>29</v>
      </c>
      <c r="R122" s="9" t="s">
        <v>30</v>
      </c>
      <c r="S122" s="5" t="s">
        <v>31</v>
      </c>
      <c r="T122" s="11" t="s">
        <v>32</v>
      </c>
      <c r="U122" s="6" t="s">
        <v>33</v>
      </c>
      <c r="X122" s="135" t="s">
        <v>116</v>
      </c>
      <c r="Y122" s="136"/>
    </row>
    <row r="123" spans="1:28" ht="20.25" thickTop="1" thickBot="1" x14ac:dyDescent="0.45">
      <c r="A123" s="137">
        <v>5</v>
      </c>
      <c r="B123" s="140">
        <v>23.8</v>
      </c>
      <c r="C123" s="85" t="s">
        <v>272</v>
      </c>
      <c r="D123" s="106" t="s">
        <v>182</v>
      </c>
      <c r="E123" s="15" t="s">
        <v>37</v>
      </c>
      <c r="F123" s="14"/>
      <c r="G123" s="12" t="s">
        <v>178</v>
      </c>
      <c r="H123" s="13"/>
      <c r="I123" s="13"/>
      <c r="J123" s="13"/>
      <c r="K123" s="13">
        <v>1</v>
      </c>
      <c r="L123" s="13"/>
      <c r="M123" s="13"/>
      <c r="N123" s="13"/>
      <c r="O123" s="13"/>
      <c r="P123" s="13"/>
      <c r="Q123" s="13"/>
      <c r="R123" s="13"/>
      <c r="S123" s="13"/>
      <c r="T123" s="25">
        <v>45737</v>
      </c>
      <c r="U123" s="13" t="s">
        <v>147</v>
      </c>
      <c r="V123">
        <v>1</v>
      </c>
      <c r="X123" s="51" t="s">
        <v>106</v>
      </c>
      <c r="Y123" s="52">
        <f>COUNTIF(U123:U147,"K")</f>
        <v>11</v>
      </c>
      <c r="AA123" s="59" t="s">
        <v>120</v>
      </c>
      <c r="AB123" s="60" t="s">
        <v>121</v>
      </c>
    </row>
    <row r="124" spans="1:28" x14ac:dyDescent="0.4">
      <c r="A124" s="138"/>
      <c r="B124" s="141"/>
      <c r="C124" s="85" t="s">
        <v>273</v>
      </c>
      <c r="D124" s="106" t="s">
        <v>180</v>
      </c>
      <c r="E124" s="15" t="s">
        <v>75</v>
      </c>
      <c r="F124" s="16"/>
      <c r="G124" s="15" t="s">
        <v>178</v>
      </c>
      <c r="H124" s="15"/>
      <c r="I124" s="15"/>
      <c r="J124" s="15"/>
      <c r="K124" s="15"/>
      <c r="L124" s="17"/>
      <c r="M124" s="17"/>
      <c r="N124" s="17"/>
      <c r="O124" s="17"/>
      <c r="P124" s="17"/>
      <c r="Q124" s="17"/>
      <c r="R124" s="17"/>
      <c r="S124" s="15">
        <v>1</v>
      </c>
      <c r="T124" s="25">
        <v>45753</v>
      </c>
      <c r="U124" s="13" t="s">
        <v>142</v>
      </c>
      <c r="V124">
        <v>2</v>
      </c>
      <c r="X124" s="51" t="s">
        <v>107</v>
      </c>
      <c r="Y124" s="52">
        <f>COUNTIF(U123:U147,"R")</f>
        <v>3</v>
      </c>
      <c r="AA124" s="47" t="s">
        <v>81</v>
      </c>
      <c r="AB124" s="48" t="s">
        <v>60</v>
      </c>
    </row>
    <row r="125" spans="1:28" ht="19.5" thickBot="1" x14ac:dyDescent="0.45">
      <c r="A125" s="138"/>
      <c r="B125" s="141"/>
      <c r="C125" s="85" t="s">
        <v>274</v>
      </c>
      <c r="D125" s="106" t="s">
        <v>238</v>
      </c>
      <c r="E125" s="15" t="s">
        <v>37</v>
      </c>
      <c r="F125" s="16"/>
      <c r="G125" s="15" t="s">
        <v>178</v>
      </c>
      <c r="H125" s="13"/>
      <c r="I125" s="15"/>
      <c r="J125" s="15">
        <v>1</v>
      </c>
      <c r="K125" s="15">
        <v>1</v>
      </c>
      <c r="L125" s="17"/>
      <c r="M125" s="17"/>
      <c r="N125" s="17"/>
      <c r="O125" s="17"/>
      <c r="P125" s="17"/>
      <c r="Q125" s="17"/>
      <c r="R125" s="17"/>
      <c r="S125" s="15"/>
      <c r="T125" s="25">
        <v>45745</v>
      </c>
      <c r="U125" s="13" t="s">
        <v>146</v>
      </c>
      <c r="V125">
        <v>3</v>
      </c>
      <c r="X125" s="53" t="s">
        <v>108</v>
      </c>
      <c r="Y125" s="54">
        <f>COUNTIF(U123:U147,"J")</f>
        <v>1</v>
      </c>
      <c r="AA125" s="49" t="s">
        <v>82</v>
      </c>
      <c r="AB125" s="50" t="s">
        <v>39</v>
      </c>
    </row>
    <row r="126" spans="1:28" x14ac:dyDescent="0.4">
      <c r="A126" s="138"/>
      <c r="B126" s="141"/>
      <c r="C126" s="85" t="s">
        <v>275</v>
      </c>
      <c r="D126" s="106" t="s">
        <v>231</v>
      </c>
      <c r="E126" s="15" t="s">
        <v>37</v>
      </c>
      <c r="F126" s="16"/>
      <c r="G126" s="15" t="s">
        <v>178</v>
      </c>
      <c r="H126" s="15"/>
      <c r="I126" s="15"/>
      <c r="J126" s="15">
        <v>1</v>
      </c>
      <c r="K126" s="15">
        <v>1</v>
      </c>
      <c r="L126" s="17"/>
      <c r="M126" s="17"/>
      <c r="N126" s="17"/>
      <c r="O126" s="17"/>
      <c r="P126" s="17"/>
      <c r="Q126" s="17"/>
      <c r="R126" s="17"/>
      <c r="S126" s="15"/>
      <c r="T126" s="25">
        <v>45734</v>
      </c>
      <c r="U126" s="13" t="s">
        <v>146</v>
      </c>
      <c r="V126">
        <v>4</v>
      </c>
      <c r="AA126" s="49" t="s">
        <v>83</v>
      </c>
      <c r="AB126" s="50" t="s">
        <v>38</v>
      </c>
    </row>
    <row r="127" spans="1:28" x14ac:dyDescent="0.4">
      <c r="A127" s="138"/>
      <c r="B127" s="141"/>
      <c r="C127" s="85" t="s">
        <v>276</v>
      </c>
      <c r="D127" s="106" t="s">
        <v>231</v>
      </c>
      <c r="E127" s="15" t="s">
        <v>75</v>
      </c>
      <c r="F127" s="16"/>
      <c r="G127" s="15" t="s">
        <v>178</v>
      </c>
      <c r="H127" s="15"/>
      <c r="I127" s="15"/>
      <c r="J127" s="15"/>
      <c r="K127" s="15"/>
      <c r="L127" s="17"/>
      <c r="M127" s="17"/>
      <c r="N127" s="17"/>
      <c r="O127" s="17"/>
      <c r="P127" s="17"/>
      <c r="Q127" s="17"/>
      <c r="R127" s="17"/>
      <c r="S127" s="15">
        <v>1</v>
      </c>
      <c r="T127" s="25">
        <v>45734</v>
      </c>
      <c r="U127" s="13" t="s">
        <v>146</v>
      </c>
      <c r="V127">
        <v>5</v>
      </c>
      <c r="AA127" s="49" t="s">
        <v>84</v>
      </c>
      <c r="AB127" s="50" t="s">
        <v>44</v>
      </c>
    </row>
    <row r="128" spans="1:28" x14ac:dyDescent="0.4">
      <c r="A128" s="138"/>
      <c r="B128" s="141"/>
      <c r="C128" s="85" t="s">
        <v>277</v>
      </c>
      <c r="D128" s="106" t="s">
        <v>231</v>
      </c>
      <c r="E128" s="15" t="s">
        <v>37</v>
      </c>
      <c r="F128" s="16"/>
      <c r="G128" s="13" t="s">
        <v>178</v>
      </c>
      <c r="H128" s="13"/>
      <c r="I128" s="15"/>
      <c r="J128" s="15">
        <v>1</v>
      </c>
      <c r="K128" s="15">
        <v>1</v>
      </c>
      <c r="L128" s="17"/>
      <c r="M128" s="17"/>
      <c r="N128" s="17"/>
      <c r="O128" s="17"/>
      <c r="P128" s="17"/>
      <c r="Q128" s="17"/>
      <c r="R128" s="17"/>
      <c r="S128" s="15"/>
      <c r="T128" s="25">
        <v>45745</v>
      </c>
      <c r="U128" s="13" t="s">
        <v>146</v>
      </c>
      <c r="V128">
        <v>6</v>
      </c>
      <c r="AA128" s="49" t="s">
        <v>85</v>
      </c>
      <c r="AB128" s="50" t="s">
        <v>43</v>
      </c>
    </row>
    <row r="129" spans="1:28" x14ac:dyDescent="0.4">
      <c r="A129" s="138"/>
      <c r="B129" s="141"/>
      <c r="C129" s="85" t="s">
        <v>278</v>
      </c>
      <c r="D129" s="106" t="s">
        <v>231</v>
      </c>
      <c r="E129" s="15" t="s">
        <v>37</v>
      </c>
      <c r="F129" s="16"/>
      <c r="G129" s="15" t="s">
        <v>178</v>
      </c>
      <c r="H129" s="15"/>
      <c r="I129" s="15"/>
      <c r="J129" s="15"/>
      <c r="K129" s="15"/>
      <c r="L129" s="17"/>
      <c r="M129" s="17">
        <v>1</v>
      </c>
      <c r="N129" s="17">
        <v>1</v>
      </c>
      <c r="O129" s="17"/>
      <c r="P129" s="17"/>
      <c r="Q129" s="17">
        <v>1</v>
      </c>
      <c r="R129" s="17"/>
      <c r="S129" s="15"/>
      <c r="T129" s="25">
        <v>45734</v>
      </c>
      <c r="U129" s="13" t="s">
        <v>147</v>
      </c>
      <c r="V129">
        <v>7</v>
      </c>
      <c r="AA129" s="49" t="s">
        <v>86</v>
      </c>
      <c r="AB129" s="50" t="s">
        <v>45</v>
      </c>
    </row>
    <row r="130" spans="1:28" x14ac:dyDescent="0.4">
      <c r="A130" s="138"/>
      <c r="B130" s="141"/>
      <c r="C130" s="85" t="s">
        <v>279</v>
      </c>
      <c r="D130" s="106" t="s">
        <v>177</v>
      </c>
      <c r="E130" s="15" t="s">
        <v>38</v>
      </c>
      <c r="F130" s="16"/>
      <c r="G130" s="15" t="s">
        <v>178</v>
      </c>
      <c r="H130" s="15"/>
      <c r="I130" s="15"/>
      <c r="J130" s="15">
        <v>1</v>
      </c>
      <c r="K130" s="15">
        <v>1</v>
      </c>
      <c r="L130" s="17"/>
      <c r="M130" s="17"/>
      <c r="N130" s="17"/>
      <c r="O130" s="17"/>
      <c r="P130" s="17"/>
      <c r="Q130" s="17"/>
      <c r="R130" s="17"/>
      <c r="S130" s="15"/>
      <c r="T130" s="25">
        <v>45746</v>
      </c>
      <c r="U130" s="13" t="s">
        <v>146</v>
      </c>
      <c r="V130">
        <v>8</v>
      </c>
      <c r="AA130" s="49" t="s">
        <v>87</v>
      </c>
      <c r="AB130" s="50" t="s">
        <v>37</v>
      </c>
    </row>
    <row r="131" spans="1:28" x14ac:dyDescent="0.4">
      <c r="A131" s="138"/>
      <c r="B131" s="141"/>
      <c r="C131" s="85" t="s">
        <v>280</v>
      </c>
      <c r="D131" s="106" t="s">
        <v>188</v>
      </c>
      <c r="E131" s="15" t="s">
        <v>37</v>
      </c>
      <c r="F131" s="16"/>
      <c r="G131" s="15" t="s">
        <v>178</v>
      </c>
      <c r="H131" s="15"/>
      <c r="I131" s="15"/>
      <c r="J131" s="15">
        <v>1</v>
      </c>
      <c r="K131" s="15">
        <v>1</v>
      </c>
      <c r="L131" s="17"/>
      <c r="M131" s="17"/>
      <c r="N131" s="17"/>
      <c r="O131" s="17"/>
      <c r="P131" s="17"/>
      <c r="Q131" s="17"/>
      <c r="R131" s="17"/>
      <c r="S131" s="86"/>
      <c r="T131" s="25">
        <v>45745</v>
      </c>
      <c r="U131" s="13" t="s">
        <v>146</v>
      </c>
      <c r="V131">
        <v>9</v>
      </c>
      <c r="AA131" s="49" t="s">
        <v>88</v>
      </c>
      <c r="AB131" s="50" t="s">
        <v>74</v>
      </c>
    </row>
    <row r="132" spans="1:28" x14ac:dyDescent="0.4">
      <c r="A132" s="138"/>
      <c r="B132" s="141"/>
      <c r="C132" s="85" t="s">
        <v>281</v>
      </c>
      <c r="D132" s="106" t="s">
        <v>188</v>
      </c>
      <c r="E132" s="15" t="s">
        <v>37</v>
      </c>
      <c r="F132" s="16"/>
      <c r="G132" s="15" t="s">
        <v>178</v>
      </c>
      <c r="H132" s="15"/>
      <c r="I132" s="15"/>
      <c r="J132" s="15">
        <v>1</v>
      </c>
      <c r="K132" s="15">
        <v>1</v>
      </c>
      <c r="L132" s="17"/>
      <c r="M132" s="17"/>
      <c r="N132" s="17"/>
      <c r="O132" s="17"/>
      <c r="P132" s="17"/>
      <c r="Q132" s="17"/>
      <c r="R132" s="17"/>
      <c r="S132" s="15"/>
      <c r="T132" s="25">
        <v>45745</v>
      </c>
      <c r="U132" s="13" t="s">
        <v>146</v>
      </c>
      <c r="V132">
        <v>10</v>
      </c>
      <c r="AA132" s="49" t="s">
        <v>89</v>
      </c>
      <c r="AB132" s="50" t="s">
        <v>36</v>
      </c>
    </row>
    <row r="133" spans="1:28" x14ac:dyDescent="0.4">
      <c r="A133" s="138"/>
      <c r="B133" s="141"/>
      <c r="C133" s="85" t="s">
        <v>282</v>
      </c>
      <c r="D133" s="106" t="s">
        <v>188</v>
      </c>
      <c r="E133" s="15" t="s">
        <v>75</v>
      </c>
      <c r="F133" s="16"/>
      <c r="G133" s="15" t="s">
        <v>178</v>
      </c>
      <c r="H133" s="15"/>
      <c r="I133" s="15"/>
      <c r="J133" s="15"/>
      <c r="K133" s="15"/>
      <c r="L133" s="17"/>
      <c r="M133" s="17"/>
      <c r="N133" s="17"/>
      <c r="O133" s="17"/>
      <c r="P133" s="17"/>
      <c r="Q133" s="17"/>
      <c r="R133" s="17"/>
      <c r="S133" s="15">
        <v>1</v>
      </c>
      <c r="T133" s="25">
        <v>45745</v>
      </c>
      <c r="U133" s="13" t="s">
        <v>146</v>
      </c>
      <c r="V133">
        <v>11</v>
      </c>
      <c r="AA133" s="49" t="s">
        <v>90</v>
      </c>
      <c r="AB133" s="50" t="s">
        <v>58</v>
      </c>
    </row>
    <row r="134" spans="1:28" x14ac:dyDescent="0.4">
      <c r="A134" s="138"/>
      <c r="B134" s="141"/>
      <c r="C134" s="85" t="s">
        <v>283</v>
      </c>
      <c r="D134" s="106" t="s">
        <v>188</v>
      </c>
      <c r="E134" s="15" t="s">
        <v>37</v>
      </c>
      <c r="F134" s="16"/>
      <c r="G134" s="15" t="s">
        <v>178</v>
      </c>
      <c r="H134" s="15"/>
      <c r="I134" s="15"/>
      <c r="J134" s="15">
        <v>1</v>
      </c>
      <c r="K134" s="15">
        <v>1</v>
      </c>
      <c r="L134" s="17"/>
      <c r="M134" s="17"/>
      <c r="N134" s="17"/>
      <c r="O134" s="17"/>
      <c r="P134" s="17"/>
      <c r="Q134" s="17"/>
      <c r="R134" s="17"/>
      <c r="S134" s="15"/>
      <c r="T134" s="25">
        <v>45745</v>
      </c>
      <c r="U134" s="13" t="s">
        <v>146</v>
      </c>
      <c r="V134">
        <v>12</v>
      </c>
      <c r="AA134" s="49" t="s">
        <v>91</v>
      </c>
      <c r="AB134" s="50" t="s">
        <v>75</v>
      </c>
    </row>
    <row r="135" spans="1:28" x14ac:dyDescent="0.4">
      <c r="A135" s="138"/>
      <c r="B135" s="141"/>
      <c r="C135" s="85" t="s">
        <v>284</v>
      </c>
      <c r="D135" s="106" t="s">
        <v>188</v>
      </c>
      <c r="E135" s="15" t="s">
        <v>37</v>
      </c>
      <c r="F135" s="16"/>
      <c r="G135" s="15" t="s">
        <v>178</v>
      </c>
      <c r="H135" s="15"/>
      <c r="I135" s="15"/>
      <c r="J135" s="15">
        <v>1</v>
      </c>
      <c r="K135" s="15">
        <v>1</v>
      </c>
      <c r="L135" s="17"/>
      <c r="M135" s="17"/>
      <c r="N135" s="17"/>
      <c r="O135" s="17"/>
      <c r="P135" s="17"/>
      <c r="Q135" s="17"/>
      <c r="R135" s="17"/>
      <c r="S135" s="15"/>
      <c r="T135" s="25">
        <v>45745</v>
      </c>
      <c r="U135" s="13" t="s">
        <v>146</v>
      </c>
      <c r="V135">
        <v>13</v>
      </c>
      <c r="AA135" s="49" t="s">
        <v>92</v>
      </c>
      <c r="AB135" s="50" t="s">
        <v>40</v>
      </c>
    </row>
    <row r="136" spans="1:28" x14ac:dyDescent="0.4">
      <c r="A136" s="138"/>
      <c r="B136" s="141"/>
      <c r="C136" s="85" t="s">
        <v>285</v>
      </c>
      <c r="D136" s="106" t="s">
        <v>180</v>
      </c>
      <c r="E136" s="15" t="s">
        <v>36</v>
      </c>
      <c r="F136" s="16"/>
      <c r="G136" s="15" t="s">
        <v>178</v>
      </c>
      <c r="H136" s="15"/>
      <c r="I136" s="15"/>
      <c r="J136" s="15"/>
      <c r="K136" s="15"/>
      <c r="L136" s="17"/>
      <c r="M136" s="17">
        <v>1</v>
      </c>
      <c r="N136" s="17">
        <v>1</v>
      </c>
      <c r="O136" s="17"/>
      <c r="P136" s="17"/>
      <c r="Q136" s="17"/>
      <c r="R136" s="17"/>
      <c r="S136" s="15"/>
      <c r="T136" s="25">
        <v>45743</v>
      </c>
      <c r="U136" s="13" t="s">
        <v>147</v>
      </c>
      <c r="V136">
        <v>14</v>
      </c>
      <c r="AA136" s="49" t="s">
        <v>93</v>
      </c>
      <c r="AB136" s="50" t="s">
        <v>57</v>
      </c>
    </row>
    <row r="137" spans="1:28" x14ac:dyDescent="0.4">
      <c r="A137" s="138"/>
      <c r="B137" s="141"/>
      <c r="C137" s="85" t="s">
        <v>286</v>
      </c>
      <c r="D137" s="106" t="s">
        <v>182</v>
      </c>
      <c r="E137" s="15" t="s">
        <v>40</v>
      </c>
      <c r="F137" s="16"/>
      <c r="G137" s="15" t="s">
        <v>178</v>
      </c>
      <c r="H137" s="15"/>
      <c r="I137" s="15"/>
      <c r="J137" s="15"/>
      <c r="K137" s="15"/>
      <c r="L137" s="17"/>
      <c r="M137" s="17"/>
      <c r="N137" s="17"/>
      <c r="O137" s="17">
        <v>1</v>
      </c>
      <c r="P137" s="17">
        <v>1</v>
      </c>
      <c r="Q137" s="17">
        <v>1</v>
      </c>
      <c r="R137" s="17"/>
      <c r="S137" s="15"/>
      <c r="T137" s="25">
        <v>45740</v>
      </c>
      <c r="U137" s="25" t="s">
        <v>148</v>
      </c>
      <c r="V137">
        <v>15</v>
      </c>
      <c r="AA137" s="49" t="s">
        <v>94</v>
      </c>
      <c r="AB137" s="50" t="s">
        <v>41</v>
      </c>
    </row>
    <row r="138" spans="1:28" x14ac:dyDescent="0.4">
      <c r="A138" s="138"/>
      <c r="B138" s="141"/>
      <c r="C138" s="85"/>
      <c r="D138" s="106"/>
      <c r="E138" s="15"/>
      <c r="F138" s="16"/>
      <c r="G138" s="15"/>
      <c r="H138" s="15"/>
      <c r="I138" s="15"/>
      <c r="J138" s="18"/>
      <c r="K138" s="15"/>
      <c r="L138" s="19"/>
      <c r="M138" s="19"/>
      <c r="N138" s="19"/>
      <c r="O138" s="19"/>
      <c r="P138" s="19"/>
      <c r="Q138" s="19"/>
      <c r="R138" s="19"/>
      <c r="S138" s="15"/>
      <c r="T138" s="25"/>
      <c r="U138" s="15"/>
      <c r="V138" s="73">
        <v>16</v>
      </c>
      <c r="AA138" s="49" t="s">
        <v>95</v>
      </c>
      <c r="AB138" s="50" t="s">
        <v>42</v>
      </c>
    </row>
    <row r="139" spans="1:28" x14ac:dyDescent="0.4">
      <c r="A139" s="138"/>
      <c r="B139" s="141"/>
      <c r="C139" s="86"/>
      <c r="D139" s="106"/>
      <c r="E139" s="15"/>
      <c r="F139" s="16"/>
      <c r="G139" s="15"/>
      <c r="H139" s="15"/>
      <c r="I139" s="15"/>
      <c r="J139" s="18"/>
      <c r="K139" s="15"/>
      <c r="L139" s="19"/>
      <c r="M139" s="19"/>
      <c r="N139" s="19"/>
      <c r="O139" s="19"/>
      <c r="P139" s="19"/>
      <c r="Q139" s="19"/>
      <c r="R139" s="19"/>
      <c r="S139" s="15"/>
      <c r="T139" s="26"/>
      <c r="U139" s="15"/>
      <c r="V139">
        <v>17</v>
      </c>
      <c r="AA139" s="49" t="s">
        <v>96</v>
      </c>
      <c r="AB139" s="50" t="s">
        <v>61</v>
      </c>
    </row>
    <row r="140" spans="1:28" x14ac:dyDescent="0.4">
      <c r="A140" s="138"/>
      <c r="B140" s="141"/>
      <c r="C140" s="86"/>
      <c r="D140" s="106"/>
      <c r="E140" s="15"/>
      <c r="F140" s="16"/>
      <c r="G140" s="15"/>
      <c r="H140" s="15"/>
      <c r="I140" s="15"/>
      <c r="J140" s="18"/>
      <c r="K140" s="15"/>
      <c r="L140" s="19"/>
      <c r="M140" s="19"/>
      <c r="N140" s="19"/>
      <c r="O140" s="19"/>
      <c r="P140" s="19"/>
      <c r="Q140" s="19"/>
      <c r="R140" s="19"/>
      <c r="S140" s="15"/>
      <c r="T140" s="26"/>
      <c r="U140" s="15"/>
      <c r="V140">
        <v>18</v>
      </c>
      <c r="AA140" s="49" t="s">
        <v>97</v>
      </c>
      <c r="AB140" s="50" t="s">
        <v>76</v>
      </c>
    </row>
    <row r="141" spans="1:28" x14ac:dyDescent="0.4">
      <c r="A141" s="138"/>
      <c r="B141" s="141"/>
      <c r="C141" s="85"/>
      <c r="D141" s="106"/>
      <c r="E141" s="106"/>
      <c r="F141" s="16"/>
      <c r="G141" s="12"/>
      <c r="H141" s="15"/>
      <c r="I141" s="15"/>
      <c r="J141" s="18"/>
      <c r="K141" s="15"/>
      <c r="L141" s="19"/>
      <c r="M141" s="19"/>
      <c r="N141" s="19"/>
      <c r="O141" s="19"/>
      <c r="P141" s="19"/>
      <c r="Q141" s="19"/>
      <c r="R141" s="19"/>
      <c r="S141" s="15"/>
      <c r="T141" s="25"/>
      <c r="U141" s="13"/>
      <c r="V141">
        <v>19</v>
      </c>
      <c r="AA141" s="49" t="s">
        <v>98</v>
      </c>
      <c r="AB141" s="50" t="s">
        <v>77</v>
      </c>
    </row>
    <row r="142" spans="1:28" x14ac:dyDescent="0.4">
      <c r="A142" s="138"/>
      <c r="B142" s="141"/>
      <c r="C142" s="85"/>
      <c r="D142" s="106"/>
      <c r="E142" s="106"/>
      <c r="F142" s="16"/>
      <c r="G142" s="12"/>
      <c r="H142" s="15"/>
      <c r="I142" s="15"/>
      <c r="J142" s="18"/>
      <c r="K142" s="15"/>
      <c r="L142" s="19"/>
      <c r="M142" s="19"/>
      <c r="N142" s="19"/>
      <c r="O142" s="19"/>
      <c r="P142" s="19"/>
      <c r="Q142" s="19"/>
      <c r="R142" s="19"/>
      <c r="S142" s="15"/>
      <c r="T142" s="25"/>
      <c r="U142" s="13"/>
      <c r="V142">
        <v>20</v>
      </c>
      <c r="AA142" s="49" t="s">
        <v>99</v>
      </c>
      <c r="AB142" s="50" t="s">
        <v>78</v>
      </c>
    </row>
    <row r="143" spans="1:28" x14ac:dyDescent="0.4">
      <c r="A143" s="138"/>
      <c r="B143" s="141"/>
      <c r="C143" s="85"/>
      <c r="D143" s="106"/>
      <c r="E143" s="106"/>
      <c r="F143" s="16"/>
      <c r="G143" s="12"/>
      <c r="H143" s="15"/>
      <c r="I143" s="15"/>
      <c r="J143" s="18"/>
      <c r="K143" s="15"/>
      <c r="L143" s="19"/>
      <c r="M143" s="19"/>
      <c r="N143" s="19"/>
      <c r="O143" s="19"/>
      <c r="P143" s="19"/>
      <c r="Q143" s="19"/>
      <c r="R143" s="19"/>
      <c r="S143" s="15"/>
      <c r="T143" s="25"/>
      <c r="U143" s="13"/>
      <c r="V143">
        <v>21</v>
      </c>
      <c r="AA143" s="49" t="s">
        <v>100</v>
      </c>
      <c r="AB143" s="50" t="s">
        <v>79</v>
      </c>
    </row>
    <row r="144" spans="1:28" x14ac:dyDescent="0.4">
      <c r="A144" s="138"/>
      <c r="B144" s="141"/>
      <c r="C144" s="85"/>
      <c r="D144" s="106"/>
      <c r="E144" s="106"/>
      <c r="F144" s="16"/>
      <c r="G144" s="12"/>
      <c r="H144" s="15"/>
      <c r="I144" s="15"/>
      <c r="J144" s="15"/>
      <c r="K144" s="15"/>
      <c r="L144" s="17"/>
      <c r="M144" s="17"/>
      <c r="N144" s="17"/>
      <c r="O144" s="17"/>
      <c r="P144" s="17"/>
      <c r="Q144" s="17"/>
      <c r="R144" s="17"/>
      <c r="S144" s="15"/>
      <c r="T144" s="25"/>
      <c r="U144" s="13"/>
      <c r="V144">
        <v>22</v>
      </c>
      <c r="AA144" s="49" t="s">
        <v>101</v>
      </c>
      <c r="AB144" s="50" t="s">
        <v>59</v>
      </c>
    </row>
    <row r="145" spans="1:28" x14ac:dyDescent="0.4">
      <c r="A145" s="138"/>
      <c r="B145" s="141"/>
      <c r="C145" s="85"/>
      <c r="D145" s="106"/>
      <c r="E145" s="106"/>
      <c r="F145" s="16"/>
      <c r="G145" s="12"/>
      <c r="H145" s="18"/>
      <c r="I145" s="15"/>
      <c r="J145" s="13"/>
      <c r="K145" s="13"/>
      <c r="L145" s="20"/>
      <c r="M145" s="20"/>
      <c r="N145" s="20"/>
      <c r="O145" s="20"/>
      <c r="P145" s="20"/>
      <c r="Q145" s="20"/>
      <c r="R145" s="20"/>
      <c r="S145" s="15"/>
      <c r="T145" s="25"/>
      <c r="U145" s="13"/>
      <c r="V145">
        <v>23</v>
      </c>
      <c r="AA145" s="49" t="s">
        <v>102</v>
      </c>
      <c r="AB145" s="50" t="s">
        <v>62</v>
      </c>
    </row>
    <row r="146" spans="1:28" ht="19.5" thickBot="1" x14ac:dyDescent="0.45">
      <c r="A146" s="138"/>
      <c r="B146" s="141"/>
      <c r="C146" s="85"/>
      <c r="D146" s="106"/>
      <c r="E146" s="106"/>
      <c r="F146" s="16"/>
      <c r="G146" s="12"/>
      <c r="H146" s="15"/>
      <c r="I146" s="15"/>
      <c r="J146" s="15"/>
      <c r="K146" s="15"/>
      <c r="L146" s="17"/>
      <c r="M146" s="17"/>
      <c r="N146" s="17"/>
      <c r="O146" s="17"/>
      <c r="P146" s="17"/>
      <c r="Q146" s="17"/>
      <c r="R146" s="17"/>
      <c r="S146" s="15"/>
      <c r="T146" s="25"/>
      <c r="U146" s="13"/>
      <c r="V146">
        <v>24</v>
      </c>
      <c r="AA146" s="55" t="s">
        <v>103</v>
      </c>
      <c r="AB146" s="56" t="s">
        <v>80</v>
      </c>
    </row>
    <row r="147" spans="1:28" ht="19.5" thickBot="1" x14ac:dyDescent="0.45">
      <c r="A147" s="139"/>
      <c r="B147" s="142"/>
      <c r="C147" s="85"/>
      <c r="D147" s="106"/>
      <c r="E147" s="106"/>
      <c r="F147" s="22"/>
      <c r="G147" s="12"/>
      <c r="H147" s="21"/>
      <c r="I147" s="21"/>
      <c r="J147" s="21"/>
      <c r="K147" s="21"/>
      <c r="L147" s="23"/>
      <c r="M147" s="23"/>
      <c r="N147" s="23"/>
      <c r="O147" s="23"/>
      <c r="P147" s="23"/>
      <c r="Q147" s="23"/>
      <c r="R147" s="23"/>
      <c r="S147" s="21"/>
      <c r="T147" s="25"/>
      <c r="U147" s="13"/>
      <c r="V147">
        <v>25</v>
      </c>
      <c r="AA147" s="57" t="s">
        <v>47</v>
      </c>
      <c r="AB147" s="58"/>
    </row>
    <row r="148" spans="1:28" x14ac:dyDescent="0.4">
      <c r="A148" s="27"/>
      <c r="B148" s="28"/>
      <c r="C148" s="88">
        <f>COUNTA(C123:C147)</f>
        <v>15</v>
      </c>
      <c r="D148" s="112"/>
      <c r="E148" s="29"/>
      <c r="F148" s="29" t="s">
        <v>34</v>
      </c>
      <c r="G148" s="29">
        <f>COUNTIF(G123:G147,"S")</f>
        <v>15</v>
      </c>
      <c r="H148" s="29">
        <f>COUNTIF(H123:H147,"E")</f>
        <v>0</v>
      </c>
      <c r="I148" s="29">
        <f>SUM(I123:I147)</f>
        <v>0</v>
      </c>
      <c r="J148" s="29">
        <f t="shared" ref="J148" si="13">SUM(J123:J147)</f>
        <v>8</v>
      </c>
      <c r="K148" s="29">
        <f t="shared" ref="K148" si="14">SUM(K123:K147)</f>
        <v>9</v>
      </c>
      <c r="L148" s="29">
        <f t="shared" ref="L148" si="15">SUM(L123:L147)</f>
        <v>0</v>
      </c>
      <c r="M148" s="29">
        <f t="shared" ref="M148" si="16">SUM(M123:M147)</f>
        <v>2</v>
      </c>
      <c r="N148" s="29">
        <f t="shared" ref="N148" si="17">SUM(N123:N147)</f>
        <v>2</v>
      </c>
      <c r="O148" s="29">
        <f t="shared" ref="O148" si="18">SUM(O123:O147)</f>
        <v>1</v>
      </c>
      <c r="P148" s="29">
        <f t="shared" ref="P148" si="19">SUM(P123:P147)</f>
        <v>1</v>
      </c>
      <c r="Q148" s="29">
        <f t="shared" ref="Q148" si="20">SUM(Q123:Q147)</f>
        <v>2</v>
      </c>
      <c r="R148" s="29">
        <f t="shared" ref="R148" si="21">SUM(R123:R147)</f>
        <v>0</v>
      </c>
      <c r="S148" s="29">
        <f t="shared" ref="S148" si="22">SUM(S123:S147)</f>
        <v>3</v>
      </c>
      <c r="T148" s="29" t="s">
        <v>63</v>
      </c>
      <c r="U148" s="29">
        <f>COUNTIF(H123:H147,"M")</f>
        <v>0</v>
      </c>
    </row>
    <row r="149" spans="1:28" x14ac:dyDescent="0.4">
      <c r="A149" s="27"/>
      <c r="B149" s="28"/>
      <c r="C149" s="88"/>
      <c r="D149" s="112"/>
      <c r="E149" s="29"/>
      <c r="F149" s="29" t="s">
        <v>35</v>
      </c>
      <c r="G149" s="29">
        <f>COUNTIF(G123:G147,"P")</f>
        <v>0</v>
      </c>
      <c r="H149" s="29">
        <f>COUNTIF(H123:H147,"R")</f>
        <v>0</v>
      </c>
      <c r="I149" s="29"/>
      <c r="J149" s="29"/>
      <c r="K149" s="29"/>
      <c r="L149" s="29"/>
      <c r="M149" s="29"/>
      <c r="N149" s="29"/>
      <c r="O149" s="29"/>
      <c r="P149" s="29"/>
      <c r="Q149" s="29"/>
      <c r="R149" s="29" t="s">
        <v>130</v>
      </c>
      <c r="S149" s="29">
        <f>SUM(J148:S148)</f>
        <v>28</v>
      </c>
      <c r="T149" s="29"/>
      <c r="U149" s="29"/>
    </row>
    <row r="150" spans="1:28" ht="6.75" customHeight="1" x14ac:dyDescent="0.4">
      <c r="A150" s="27"/>
      <c r="B150" s="28"/>
      <c r="C150" s="88"/>
      <c r="D150" s="112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</row>
    <row r="151" spans="1:28" ht="19.5" thickBot="1" x14ac:dyDescent="0.45">
      <c r="A151" s="1" t="str">
        <f>A1</f>
        <v>AYG102</v>
      </c>
      <c r="B151" s="24">
        <f>B1</f>
        <v>45720</v>
      </c>
      <c r="C151" s="83" t="s">
        <v>0</v>
      </c>
      <c r="D151" s="107"/>
      <c r="E151" s="2" t="s">
        <v>1</v>
      </c>
      <c r="F151" s="3"/>
      <c r="G151" s="2"/>
      <c r="H151" s="2" t="s">
        <v>4</v>
      </c>
      <c r="I151" s="3" t="s">
        <v>3</v>
      </c>
      <c r="J151" s="2" t="s">
        <v>5</v>
      </c>
      <c r="K151" s="2" t="s">
        <v>6</v>
      </c>
      <c r="L151" s="2" t="s">
        <v>7</v>
      </c>
      <c r="M151" s="2" t="s">
        <v>8</v>
      </c>
      <c r="N151" s="2" t="s">
        <v>9</v>
      </c>
      <c r="O151" s="2" t="s">
        <v>10</v>
      </c>
      <c r="P151" s="2" t="s">
        <v>11</v>
      </c>
      <c r="Q151" s="3" t="s">
        <v>12</v>
      </c>
      <c r="R151" s="2" t="s">
        <v>3</v>
      </c>
      <c r="S151" s="3" t="s">
        <v>2</v>
      </c>
      <c r="T151" s="2"/>
      <c r="U151" s="3"/>
    </row>
    <row r="152" spans="1:28" ht="19.5" thickBot="1" x14ac:dyDescent="0.45">
      <c r="A152" s="4" t="s">
        <v>13</v>
      </c>
      <c r="B152" s="5" t="s">
        <v>302</v>
      </c>
      <c r="C152" s="84" t="s">
        <v>15</v>
      </c>
      <c r="D152" s="108" t="s">
        <v>16</v>
      </c>
      <c r="E152" s="5" t="s">
        <v>17</v>
      </c>
      <c r="F152" s="7" t="s">
        <v>18</v>
      </c>
      <c r="G152" s="5" t="s">
        <v>19</v>
      </c>
      <c r="H152" s="5" t="s">
        <v>20</v>
      </c>
      <c r="I152" s="8" t="s">
        <v>21</v>
      </c>
      <c r="J152" s="5" t="s">
        <v>22</v>
      </c>
      <c r="K152" s="5" t="s">
        <v>23</v>
      </c>
      <c r="L152" s="9" t="s">
        <v>24</v>
      </c>
      <c r="M152" s="9" t="s">
        <v>25</v>
      </c>
      <c r="N152" s="9" t="s">
        <v>26</v>
      </c>
      <c r="O152" s="10" t="s">
        <v>27</v>
      </c>
      <c r="P152" s="9" t="s">
        <v>28</v>
      </c>
      <c r="Q152" s="9" t="s">
        <v>29</v>
      </c>
      <c r="R152" s="9" t="s">
        <v>30</v>
      </c>
      <c r="S152" s="5" t="s">
        <v>31</v>
      </c>
      <c r="T152" s="11" t="s">
        <v>32</v>
      </c>
      <c r="U152" s="6" t="s">
        <v>33</v>
      </c>
      <c r="X152" s="135" t="s">
        <v>115</v>
      </c>
      <c r="Y152" s="136"/>
    </row>
    <row r="153" spans="1:28" ht="20.25" thickTop="1" thickBot="1" x14ac:dyDescent="0.45">
      <c r="A153" s="137">
        <v>6</v>
      </c>
      <c r="B153" s="143">
        <v>24.2</v>
      </c>
      <c r="C153" s="85" t="s">
        <v>287</v>
      </c>
      <c r="D153" s="106" t="s">
        <v>199</v>
      </c>
      <c r="E153" s="106" t="s">
        <v>38</v>
      </c>
      <c r="F153" s="14"/>
      <c r="G153" s="12" t="s">
        <v>178</v>
      </c>
      <c r="H153" s="13"/>
      <c r="I153" s="13"/>
      <c r="J153" s="13"/>
      <c r="K153" s="13"/>
      <c r="L153" s="13"/>
      <c r="M153" s="13"/>
      <c r="N153" s="13">
        <v>1</v>
      </c>
      <c r="O153" s="13"/>
      <c r="P153" s="13"/>
      <c r="Q153" s="13"/>
      <c r="R153" s="13"/>
      <c r="S153" s="13"/>
      <c r="T153" s="25">
        <v>45745</v>
      </c>
      <c r="U153" s="13" t="s">
        <v>147</v>
      </c>
      <c r="V153">
        <v>1</v>
      </c>
      <c r="X153" s="51" t="s">
        <v>106</v>
      </c>
      <c r="Y153" s="52">
        <f>COUNTIF(U153:U177,"K")</f>
        <v>8</v>
      </c>
      <c r="AA153" s="59" t="s">
        <v>120</v>
      </c>
      <c r="AB153" s="60" t="s">
        <v>121</v>
      </c>
    </row>
    <row r="154" spans="1:28" x14ac:dyDescent="0.4">
      <c r="A154" s="138"/>
      <c r="B154" s="144"/>
      <c r="C154" s="85" t="s">
        <v>288</v>
      </c>
      <c r="D154" s="106" t="s">
        <v>199</v>
      </c>
      <c r="E154" s="106" t="s">
        <v>38</v>
      </c>
      <c r="F154" s="16"/>
      <c r="G154" s="12" t="s">
        <v>178</v>
      </c>
      <c r="H154" s="15"/>
      <c r="I154" s="15"/>
      <c r="J154" s="13"/>
      <c r="K154" s="15"/>
      <c r="L154" s="13"/>
      <c r="M154" s="17"/>
      <c r="N154" s="17">
        <v>1</v>
      </c>
      <c r="O154" s="17"/>
      <c r="P154" s="17"/>
      <c r="Q154" s="17"/>
      <c r="R154" s="17"/>
      <c r="S154" s="15"/>
      <c r="T154" s="25">
        <v>45745</v>
      </c>
      <c r="U154" s="13" t="s">
        <v>147</v>
      </c>
      <c r="V154">
        <v>2</v>
      </c>
      <c r="X154" s="51" t="s">
        <v>107</v>
      </c>
      <c r="Y154" s="52">
        <f>COUNTIF(U153:U177,"R")</f>
        <v>7</v>
      </c>
      <c r="AA154" s="47" t="s">
        <v>81</v>
      </c>
      <c r="AB154" s="48" t="s">
        <v>60</v>
      </c>
    </row>
    <row r="155" spans="1:28" ht="19.5" thickBot="1" x14ac:dyDescent="0.45">
      <c r="A155" s="138"/>
      <c r="B155" s="144"/>
      <c r="C155" s="85" t="s">
        <v>289</v>
      </c>
      <c r="D155" s="106" t="s">
        <v>199</v>
      </c>
      <c r="E155" s="106" t="s">
        <v>38</v>
      </c>
      <c r="F155" s="16"/>
      <c r="G155" s="12" t="s">
        <v>178</v>
      </c>
      <c r="H155" s="13"/>
      <c r="I155" s="15"/>
      <c r="J155" s="13"/>
      <c r="K155" s="15"/>
      <c r="L155" s="13"/>
      <c r="M155" s="17"/>
      <c r="N155" s="17">
        <v>1</v>
      </c>
      <c r="O155" s="17"/>
      <c r="P155" s="17"/>
      <c r="Q155" s="17"/>
      <c r="R155" s="17"/>
      <c r="S155" s="15"/>
      <c r="T155" s="25">
        <v>45745</v>
      </c>
      <c r="U155" s="13" t="s">
        <v>147</v>
      </c>
      <c r="V155">
        <v>3</v>
      </c>
      <c r="X155" s="53" t="s">
        <v>108</v>
      </c>
      <c r="Y155" s="54">
        <f>COUNTIF(U153:U177,"J")</f>
        <v>0</v>
      </c>
      <c r="AA155" s="49" t="s">
        <v>82</v>
      </c>
      <c r="AB155" s="50" t="s">
        <v>39</v>
      </c>
    </row>
    <row r="156" spans="1:28" x14ac:dyDescent="0.4">
      <c r="A156" s="138"/>
      <c r="B156" s="144"/>
      <c r="C156" s="85" t="s">
        <v>290</v>
      </c>
      <c r="D156" s="106" t="s">
        <v>199</v>
      </c>
      <c r="E156" s="106" t="s">
        <v>44</v>
      </c>
      <c r="F156" s="16"/>
      <c r="G156" s="12" t="s">
        <v>178</v>
      </c>
      <c r="H156" s="15"/>
      <c r="I156" s="15"/>
      <c r="J156" s="13"/>
      <c r="K156" s="15"/>
      <c r="L156" s="13"/>
      <c r="M156" s="17"/>
      <c r="N156" s="17">
        <v>1</v>
      </c>
      <c r="O156" s="17"/>
      <c r="P156" s="17"/>
      <c r="Q156" s="17"/>
      <c r="R156" s="17"/>
      <c r="S156" s="15"/>
      <c r="T156" s="25">
        <v>45745</v>
      </c>
      <c r="U156" s="13" t="s">
        <v>147</v>
      </c>
      <c r="V156">
        <v>4</v>
      </c>
      <c r="AA156" s="49" t="s">
        <v>83</v>
      </c>
      <c r="AB156" s="50" t="s">
        <v>38</v>
      </c>
    </row>
    <row r="157" spans="1:28" x14ac:dyDescent="0.4">
      <c r="A157" s="138"/>
      <c r="B157" s="144"/>
      <c r="C157" s="85" t="s">
        <v>291</v>
      </c>
      <c r="D157" s="106" t="s">
        <v>199</v>
      </c>
      <c r="E157" s="106" t="s">
        <v>38</v>
      </c>
      <c r="F157" s="16"/>
      <c r="G157" s="12" t="s">
        <v>178</v>
      </c>
      <c r="H157" s="15"/>
      <c r="I157" s="15"/>
      <c r="J157" s="13"/>
      <c r="K157" s="15"/>
      <c r="L157" s="13"/>
      <c r="M157" s="17"/>
      <c r="N157" s="17">
        <v>1</v>
      </c>
      <c r="O157" s="17"/>
      <c r="P157" s="17"/>
      <c r="Q157" s="17"/>
      <c r="R157" s="17"/>
      <c r="S157" s="15"/>
      <c r="T157" s="25">
        <v>45745</v>
      </c>
      <c r="U157" s="13" t="s">
        <v>147</v>
      </c>
      <c r="V157">
        <v>5</v>
      </c>
      <c r="AA157" s="49" t="s">
        <v>84</v>
      </c>
      <c r="AB157" s="50" t="s">
        <v>44</v>
      </c>
    </row>
    <row r="158" spans="1:28" x14ac:dyDescent="0.4">
      <c r="A158" s="138"/>
      <c r="B158" s="144"/>
      <c r="C158" s="85" t="s">
        <v>292</v>
      </c>
      <c r="D158" s="106" t="s">
        <v>199</v>
      </c>
      <c r="E158" s="106" t="s">
        <v>44</v>
      </c>
      <c r="F158" s="16"/>
      <c r="G158" s="12" t="s">
        <v>178</v>
      </c>
      <c r="H158" s="13"/>
      <c r="I158" s="15"/>
      <c r="J158" s="13"/>
      <c r="K158" s="15"/>
      <c r="L158" s="13"/>
      <c r="M158" s="17"/>
      <c r="N158" s="17">
        <v>1</v>
      </c>
      <c r="O158" s="17"/>
      <c r="P158" s="17"/>
      <c r="Q158" s="17"/>
      <c r="R158" s="17"/>
      <c r="S158" s="15"/>
      <c r="T158" s="25">
        <v>45745</v>
      </c>
      <c r="U158" s="13" t="s">
        <v>147</v>
      </c>
      <c r="V158">
        <v>6</v>
      </c>
      <c r="AA158" s="49" t="s">
        <v>85</v>
      </c>
      <c r="AB158" s="50" t="s">
        <v>43</v>
      </c>
    </row>
    <row r="159" spans="1:28" x14ac:dyDescent="0.4">
      <c r="A159" s="138"/>
      <c r="B159" s="144"/>
      <c r="C159" s="85" t="s">
        <v>293</v>
      </c>
      <c r="D159" s="106" t="s">
        <v>199</v>
      </c>
      <c r="E159" s="106" t="s">
        <v>44</v>
      </c>
      <c r="F159" s="16"/>
      <c r="G159" s="12" t="s">
        <v>178</v>
      </c>
      <c r="H159" s="15"/>
      <c r="I159" s="15"/>
      <c r="J159" s="13"/>
      <c r="K159" s="15"/>
      <c r="L159" s="13"/>
      <c r="M159" s="17"/>
      <c r="N159" s="17">
        <v>1</v>
      </c>
      <c r="O159" s="17"/>
      <c r="P159" s="17"/>
      <c r="Q159" s="17"/>
      <c r="R159" s="17"/>
      <c r="S159" s="15"/>
      <c r="T159" s="25">
        <v>45745</v>
      </c>
      <c r="U159" s="13" t="s">
        <v>147</v>
      </c>
      <c r="V159">
        <v>7</v>
      </c>
      <c r="AA159" s="49" t="s">
        <v>86</v>
      </c>
      <c r="AB159" s="50" t="s">
        <v>45</v>
      </c>
    </row>
    <row r="160" spans="1:28" x14ac:dyDescent="0.4">
      <c r="A160" s="138"/>
      <c r="B160" s="144"/>
      <c r="C160" s="85" t="s">
        <v>294</v>
      </c>
      <c r="D160" s="106" t="s">
        <v>199</v>
      </c>
      <c r="E160" s="106" t="s">
        <v>38</v>
      </c>
      <c r="F160" s="16"/>
      <c r="G160" s="12" t="s">
        <v>178</v>
      </c>
      <c r="H160" s="15"/>
      <c r="I160" s="15"/>
      <c r="J160" s="13">
        <v>1</v>
      </c>
      <c r="K160" s="15"/>
      <c r="L160" s="13"/>
      <c r="M160" s="17"/>
      <c r="N160" s="17"/>
      <c r="O160" s="17"/>
      <c r="P160" s="17"/>
      <c r="Q160" s="17"/>
      <c r="R160" s="17"/>
      <c r="S160" s="15"/>
      <c r="T160" s="25">
        <v>45745</v>
      </c>
      <c r="U160" s="13" t="s">
        <v>142</v>
      </c>
      <c r="V160">
        <v>8</v>
      </c>
      <c r="AA160" s="49" t="s">
        <v>87</v>
      </c>
      <c r="AB160" s="50" t="s">
        <v>37</v>
      </c>
    </row>
    <row r="161" spans="1:28" x14ac:dyDescent="0.4">
      <c r="A161" s="138"/>
      <c r="B161" s="144"/>
      <c r="C161" s="85" t="s">
        <v>295</v>
      </c>
      <c r="D161" s="106" t="s">
        <v>199</v>
      </c>
      <c r="E161" s="106" t="s">
        <v>60</v>
      </c>
      <c r="F161" s="16"/>
      <c r="G161" s="12" t="s">
        <v>178</v>
      </c>
      <c r="H161" s="15"/>
      <c r="I161" s="15"/>
      <c r="J161" s="13">
        <v>1</v>
      </c>
      <c r="K161" s="15"/>
      <c r="L161" s="13">
        <v>1</v>
      </c>
      <c r="M161" s="17"/>
      <c r="N161" s="17"/>
      <c r="O161" s="17"/>
      <c r="P161" s="17"/>
      <c r="Q161" s="17"/>
      <c r="R161" s="17"/>
      <c r="S161" s="15"/>
      <c r="T161" s="25">
        <v>45745</v>
      </c>
      <c r="U161" s="13" t="s">
        <v>146</v>
      </c>
      <c r="V161">
        <v>9</v>
      </c>
      <c r="AA161" s="49" t="s">
        <v>88</v>
      </c>
      <c r="AB161" s="50" t="s">
        <v>74</v>
      </c>
    </row>
    <row r="162" spans="1:28" x14ac:dyDescent="0.4">
      <c r="A162" s="138"/>
      <c r="B162" s="144"/>
      <c r="C162" s="85" t="s">
        <v>296</v>
      </c>
      <c r="D162" s="106" t="s">
        <v>199</v>
      </c>
      <c r="E162" s="106" t="s">
        <v>38</v>
      </c>
      <c r="F162" s="106"/>
      <c r="G162" s="12" t="s">
        <v>178</v>
      </c>
      <c r="H162" s="15"/>
      <c r="I162" s="15"/>
      <c r="J162" s="13">
        <v>1</v>
      </c>
      <c r="K162" s="15"/>
      <c r="L162" s="13"/>
      <c r="M162" s="17"/>
      <c r="N162" s="17"/>
      <c r="O162" s="17"/>
      <c r="P162" s="17"/>
      <c r="Q162" s="17"/>
      <c r="R162" s="17"/>
      <c r="S162" s="15"/>
      <c r="T162" s="25">
        <v>45745</v>
      </c>
      <c r="U162" s="13" t="s">
        <v>146</v>
      </c>
      <c r="V162">
        <v>10</v>
      </c>
      <c r="AA162" s="49" t="s">
        <v>89</v>
      </c>
      <c r="AB162" s="50" t="s">
        <v>36</v>
      </c>
    </row>
    <row r="163" spans="1:28" x14ac:dyDescent="0.4">
      <c r="A163" s="138"/>
      <c r="B163" s="144"/>
      <c r="C163" s="85" t="s">
        <v>297</v>
      </c>
      <c r="D163" s="106" t="s">
        <v>199</v>
      </c>
      <c r="E163" s="106" t="s">
        <v>38</v>
      </c>
      <c r="F163" s="16"/>
      <c r="G163" s="12" t="s">
        <v>178</v>
      </c>
      <c r="H163" s="15"/>
      <c r="I163" s="15"/>
      <c r="J163" s="15">
        <v>1</v>
      </c>
      <c r="K163" s="15"/>
      <c r="L163" s="17"/>
      <c r="M163" s="17"/>
      <c r="N163" s="17"/>
      <c r="O163" s="17"/>
      <c r="P163" s="17"/>
      <c r="Q163" s="17"/>
      <c r="R163" s="17"/>
      <c r="S163" s="15"/>
      <c r="T163" s="25">
        <v>45745</v>
      </c>
      <c r="U163" s="13" t="s">
        <v>146</v>
      </c>
      <c r="V163">
        <v>11</v>
      </c>
      <c r="AA163" s="49" t="s">
        <v>90</v>
      </c>
      <c r="AB163" s="50" t="s">
        <v>58</v>
      </c>
    </row>
    <row r="164" spans="1:28" x14ac:dyDescent="0.4">
      <c r="A164" s="138"/>
      <c r="B164" s="144"/>
      <c r="C164" s="85" t="s">
        <v>298</v>
      </c>
      <c r="D164" s="106" t="s">
        <v>199</v>
      </c>
      <c r="E164" s="106" t="s">
        <v>38</v>
      </c>
      <c r="F164" s="16"/>
      <c r="G164" s="12" t="s">
        <v>178</v>
      </c>
      <c r="H164" s="15"/>
      <c r="I164" s="15"/>
      <c r="J164" s="15">
        <v>1</v>
      </c>
      <c r="K164" s="15"/>
      <c r="L164" s="17"/>
      <c r="M164" s="17"/>
      <c r="N164" s="17"/>
      <c r="O164" s="17"/>
      <c r="P164" s="17"/>
      <c r="Q164" s="17"/>
      <c r="R164" s="17"/>
      <c r="S164" s="15"/>
      <c r="T164" s="25">
        <v>45745</v>
      </c>
      <c r="U164" s="13" t="s">
        <v>146</v>
      </c>
      <c r="V164">
        <v>12</v>
      </c>
      <c r="AA164" s="49" t="s">
        <v>91</v>
      </c>
      <c r="AB164" s="50" t="s">
        <v>75</v>
      </c>
    </row>
    <row r="165" spans="1:28" x14ac:dyDescent="0.4">
      <c r="A165" s="138"/>
      <c r="B165" s="144"/>
      <c r="C165" s="85" t="s">
        <v>299</v>
      </c>
      <c r="D165" s="106" t="s">
        <v>199</v>
      </c>
      <c r="E165" s="106" t="s">
        <v>38</v>
      </c>
      <c r="F165" s="16"/>
      <c r="G165" s="12" t="s">
        <v>178</v>
      </c>
      <c r="H165" s="15"/>
      <c r="I165" s="15"/>
      <c r="J165" s="15">
        <v>1</v>
      </c>
      <c r="K165" s="15"/>
      <c r="L165" s="17"/>
      <c r="M165" s="17"/>
      <c r="N165" s="17"/>
      <c r="O165" s="17"/>
      <c r="P165" s="17"/>
      <c r="Q165" s="17"/>
      <c r="R165" s="17"/>
      <c r="S165" s="15"/>
      <c r="T165" s="25">
        <v>45745</v>
      </c>
      <c r="U165" s="13" t="s">
        <v>146</v>
      </c>
      <c r="V165">
        <v>13</v>
      </c>
      <c r="AA165" s="49" t="s">
        <v>92</v>
      </c>
      <c r="AB165" s="50" t="s">
        <v>40</v>
      </c>
    </row>
    <row r="166" spans="1:28" x14ac:dyDescent="0.4">
      <c r="A166" s="138"/>
      <c r="B166" s="144"/>
      <c r="C166" s="85" t="s">
        <v>300</v>
      </c>
      <c r="D166" s="106" t="s">
        <v>199</v>
      </c>
      <c r="E166" s="106" t="s">
        <v>38</v>
      </c>
      <c r="F166" s="16"/>
      <c r="G166" s="12" t="s">
        <v>178</v>
      </c>
      <c r="H166" s="15"/>
      <c r="I166" s="15"/>
      <c r="J166" s="15">
        <v>1</v>
      </c>
      <c r="K166" s="15"/>
      <c r="L166" s="17"/>
      <c r="M166" s="17"/>
      <c r="N166" s="17"/>
      <c r="O166" s="17"/>
      <c r="P166" s="17"/>
      <c r="Q166" s="17"/>
      <c r="R166" s="17"/>
      <c r="S166" s="15"/>
      <c r="T166" s="25">
        <v>45745</v>
      </c>
      <c r="U166" s="13" t="s">
        <v>146</v>
      </c>
      <c r="V166">
        <v>14</v>
      </c>
      <c r="AA166" s="49" t="s">
        <v>93</v>
      </c>
      <c r="AB166" s="50" t="s">
        <v>57</v>
      </c>
    </row>
    <row r="167" spans="1:28" x14ac:dyDescent="0.4">
      <c r="A167" s="138"/>
      <c r="B167" s="144"/>
      <c r="C167" s="85" t="s">
        <v>301</v>
      </c>
      <c r="D167" s="106" t="s">
        <v>199</v>
      </c>
      <c r="E167" s="106" t="s">
        <v>38</v>
      </c>
      <c r="F167" s="16"/>
      <c r="G167" s="12" t="s">
        <v>178</v>
      </c>
      <c r="H167" s="15"/>
      <c r="I167" s="15"/>
      <c r="J167" s="15">
        <v>1</v>
      </c>
      <c r="K167" s="15"/>
      <c r="L167" s="17"/>
      <c r="M167" s="17"/>
      <c r="N167" s="17"/>
      <c r="O167" s="17"/>
      <c r="P167" s="17"/>
      <c r="Q167" s="17"/>
      <c r="R167" s="17"/>
      <c r="S167" s="15"/>
      <c r="T167" s="25">
        <v>45745</v>
      </c>
      <c r="U167" s="13" t="s">
        <v>146</v>
      </c>
      <c r="V167">
        <v>15</v>
      </c>
      <c r="AA167" s="49" t="s">
        <v>94</v>
      </c>
      <c r="AB167" s="50" t="s">
        <v>41</v>
      </c>
    </row>
    <row r="168" spans="1:28" x14ac:dyDescent="0.4">
      <c r="A168" s="138"/>
      <c r="B168" s="144"/>
      <c r="C168" s="85"/>
      <c r="D168" s="106"/>
      <c r="E168" s="106"/>
      <c r="F168" s="16"/>
      <c r="G168" s="12"/>
      <c r="H168" s="15"/>
      <c r="I168" s="15"/>
      <c r="J168" s="18"/>
      <c r="K168" s="15"/>
      <c r="L168" s="19"/>
      <c r="M168" s="19"/>
      <c r="N168" s="19"/>
      <c r="O168" s="19"/>
      <c r="P168" s="19"/>
      <c r="Q168" s="19"/>
      <c r="R168" s="19"/>
      <c r="S168" s="15"/>
      <c r="T168" s="25"/>
      <c r="U168" s="13"/>
      <c r="V168">
        <v>16</v>
      </c>
      <c r="AA168" s="49" t="s">
        <v>95</v>
      </c>
      <c r="AB168" s="50" t="s">
        <v>42</v>
      </c>
    </row>
    <row r="169" spans="1:28" x14ac:dyDescent="0.4">
      <c r="A169" s="138"/>
      <c r="B169" s="144"/>
      <c r="C169" s="86"/>
      <c r="D169" s="106"/>
      <c r="E169" s="15"/>
      <c r="F169" s="16"/>
      <c r="G169" s="15"/>
      <c r="H169" s="15"/>
      <c r="I169" s="15"/>
      <c r="J169" s="18"/>
      <c r="K169" s="15"/>
      <c r="L169" s="19"/>
      <c r="M169" s="19"/>
      <c r="N169" s="19"/>
      <c r="O169" s="19"/>
      <c r="P169" s="19"/>
      <c r="Q169" s="19"/>
      <c r="R169" s="19"/>
      <c r="S169" s="15"/>
      <c r="T169" s="26"/>
      <c r="U169" s="15"/>
      <c r="V169" s="73">
        <v>17</v>
      </c>
      <c r="AA169" s="49" t="s">
        <v>96</v>
      </c>
      <c r="AB169" s="50" t="s">
        <v>61</v>
      </c>
    </row>
    <row r="170" spans="1:28" x14ac:dyDescent="0.4">
      <c r="A170" s="138"/>
      <c r="B170" s="144"/>
      <c r="C170" s="86"/>
      <c r="D170" s="106"/>
      <c r="E170" s="15"/>
      <c r="F170" s="16"/>
      <c r="G170" s="15"/>
      <c r="H170" s="15"/>
      <c r="I170" s="15"/>
      <c r="J170" s="18"/>
      <c r="K170" s="15"/>
      <c r="L170" s="19"/>
      <c r="M170" s="19"/>
      <c r="N170" s="19"/>
      <c r="O170" s="19"/>
      <c r="P170" s="19"/>
      <c r="Q170" s="19"/>
      <c r="R170" s="19"/>
      <c r="S170" s="15"/>
      <c r="T170" s="26"/>
      <c r="U170" s="15"/>
      <c r="V170">
        <v>18</v>
      </c>
      <c r="AA170" s="49" t="s">
        <v>97</v>
      </c>
      <c r="AB170" s="50" t="s">
        <v>76</v>
      </c>
    </row>
    <row r="171" spans="1:28" x14ac:dyDescent="0.4">
      <c r="A171" s="138"/>
      <c r="B171" s="144"/>
      <c r="C171" s="86"/>
      <c r="D171" s="110"/>
      <c r="E171" s="18"/>
      <c r="F171" s="16"/>
      <c r="G171" s="18"/>
      <c r="H171" s="15"/>
      <c r="I171" s="15"/>
      <c r="J171" s="18"/>
      <c r="K171" s="15"/>
      <c r="L171" s="19"/>
      <c r="M171" s="19"/>
      <c r="N171" s="19"/>
      <c r="O171" s="19"/>
      <c r="P171" s="19"/>
      <c r="Q171" s="19"/>
      <c r="R171" s="19"/>
      <c r="S171" s="15"/>
      <c r="T171" s="26"/>
      <c r="U171" s="15"/>
      <c r="V171">
        <v>19</v>
      </c>
      <c r="AA171" s="49" t="s">
        <v>98</v>
      </c>
      <c r="AB171" s="50" t="s">
        <v>77</v>
      </c>
    </row>
    <row r="172" spans="1:28" x14ac:dyDescent="0.4">
      <c r="A172" s="138"/>
      <c r="B172" s="144"/>
      <c r="C172" s="86"/>
      <c r="D172" s="110"/>
      <c r="E172" s="18"/>
      <c r="F172" s="16"/>
      <c r="G172" s="18"/>
      <c r="H172" s="15"/>
      <c r="I172" s="15"/>
      <c r="J172" s="18"/>
      <c r="K172" s="15"/>
      <c r="L172" s="19"/>
      <c r="M172" s="19"/>
      <c r="N172" s="19"/>
      <c r="O172" s="19"/>
      <c r="P172" s="19"/>
      <c r="Q172" s="19"/>
      <c r="R172" s="19"/>
      <c r="S172" s="15"/>
      <c r="T172" s="26"/>
      <c r="U172" s="15"/>
      <c r="V172">
        <v>20</v>
      </c>
      <c r="AA172" s="49" t="s">
        <v>99</v>
      </c>
      <c r="AB172" s="50" t="s">
        <v>78</v>
      </c>
    </row>
    <row r="173" spans="1:28" x14ac:dyDescent="0.4">
      <c r="A173" s="138"/>
      <c r="B173" s="144"/>
      <c r="C173" s="86"/>
      <c r="D173" s="110"/>
      <c r="E173" s="18"/>
      <c r="F173" s="16"/>
      <c r="G173" s="18"/>
      <c r="H173" s="15"/>
      <c r="I173" s="15"/>
      <c r="J173" s="18"/>
      <c r="K173" s="15"/>
      <c r="L173" s="19"/>
      <c r="M173" s="19"/>
      <c r="N173" s="19"/>
      <c r="O173" s="19"/>
      <c r="P173" s="19"/>
      <c r="Q173" s="19"/>
      <c r="R173" s="19"/>
      <c r="S173" s="15"/>
      <c r="T173" s="26"/>
      <c r="U173" s="15"/>
      <c r="V173">
        <v>21</v>
      </c>
      <c r="AA173" s="49" t="s">
        <v>100</v>
      </c>
      <c r="AB173" s="50" t="s">
        <v>79</v>
      </c>
    </row>
    <row r="174" spans="1:28" x14ac:dyDescent="0.4">
      <c r="A174" s="138"/>
      <c r="B174" s="144"/>
      <c r="C174" s="86"/>
      <c r="D174" s="106"/>
      <c r="E174" s="15"/>
      <c r="F174" s="16"/>
      <c r="G174" s="15"/>
      <c r="H174" s="15"/>
      <c r="I174" s="15"/>
      <c r="J174" s="15"/>
      <c r="K174" s="15"/>
      <c r="L174" s="17"/>
      <c r="M174" s="17"/>
      <c r="N174" s="17"/>
      <c r="O174" s="17"/>
      <c r="P174" s="17"/>
      <c r="Q174" s="17"/>
      <c r="R174" s="17"/>
      <c r="S174" s="15"/>
      <c r="T174" s="26"/>
      <c r="U174" s="15"/>
      <c r="V174">
        <v>22</v>
      </c>
      <c r="AA174" s="49" t="s">
        <v>101</v>
      </c>
      <c r="AB174" s="50" t="s">
        <v>59</v>
      </c>
    </row>
    <row r="175" spans="1:28" x14ac:dyDescent="0.4">
      <c r="A175" s="138"/>
      <c r="B175" s="144"/>
      <c r="C175" s="85"/>
      <c r="D175" s="109"/>
      <c r="E175" s="13"/>
      <c r="F175" s="16"/>
      <c r="G175" s="13"/>
      <c r="H175" s="18"/>
      <c r="I175" s="15"/>
      <c r="J175" s="13"/>
      <c r="K175" s="13"/>
      <c r="L175" s="20"/>
      <c r="M175" s="20"/>
      <c r="N175" s="20"/>
      <c r="O175" s="20"/>
      <c r="P175" s="20"/>
      <c r="Q175" s="20"/>
      <c r="R175" s="20"/>
      <c r="S175" s="15"/>
      <c r="T175" s="26"/>
      <c r="U175" s="15"/>
      <c r="V175">
        <v>23</v>
      </c>
      <c r="AA175" s="49" t="s">
        <v>102</v>
      </c>
      <c r="AB175" s="50" t="s">
        <v>62</v>
      </c>
    </row>
    <row r="176" spans="1:28" ht="19.5" thickBot="1" x14ac:dyDescent="0.45">
      <c r="A176" s="138"/>
      <c r="B176" s="144"/>
      <c r="C176" s="86"/>
      <c r="D176" s="106"/>
      <c r="E176" s="15"/>
      <c r="F176" s="16"/>
      <c r="G176" s="15"/>
      <c r="H176" s="15"/>
      <c r="I176" s="15"/>
      <c r="J176" s="15"/>
      <c r="K176" s="15"/>
      <c r="L176" s="17"/>
      <c r="M176" s="17"/>
      <c r="N176" s="17"/>
      <c r="O176" s="17"/>
      <c r="P176" s="17"/>
      <c r="Q176" s="17"/>
      <c r="R176" s="17"/>
      <c r="S176" s="15"/>
      <c r="T176" s="26"/>
      <c r="U176" s="15"/>
      <c r="V176">
        <v>24</v>
      </c>
      <c r="AA176" s="55" t="s">
        <v>103</v>
      </c>
      <c r="AB176" s="56" t="s">
        <v>80</v>
      </c>
    </row>
    <row r="177" spans="1:28" ht="19.5" thickBot="1" x14ac:dyDescent="0.45">
      <c r="A177" s="139"/>
      <c r="B177" s="145"/>
      <c r="C177" s="87"/>
      <c r="D177" s="111"/>
      <c r="E177" s="21"/>
      <c r="F177" s="22"/>
      <c r="G177" s="21"/>
      <c r="H177" s="21"/>
      <c r="I177" s="21"/>
      <c r="J177" s="21"/>
      <c r="K177" s="21"/>
      <c r="L177" s="23"/>
      <c r="M177" s="23"/>
      <c r="N177" s="23"/>
      <c r="O177" s="23"/>
      <c r="P177" s="23"/>
      <c r="Q177" s="23"/>
      <c r="R177" s="23"/>
      <c r="S177" s="21"/>
      <c r="T177" s="62"/>
      <c r="U177" s="21"/>
      <c r="V177">
        <v>25</v>
      </c>
      <c r="AA177" s="57" t="s">
        <v>47</v>
      </c>
      <c r="AB177" s="58"/>
    </row>
    <row r="178" spans="1:28" x14ac:dyDescent="0.4">
      <c r="A178" s="27"/>
      <c r="B178" s="28"/>
      <c r="C178" s="88">
        <f>COUNTA(C153:C177)</f>
        <v>15</v>
      </c>
      <c r="D178" s="112"/>
      <c r="E178" s="29"/>
      <c r="F178" s="29" t="s">
        <v>34</v>
      </c>
      <c r="G178" s="29">
        <f>COUNTIF(G153:G177,"S")</f>
        <v>15</v>
      </c>
      <c r="H178" s="29">
        <f>COUNTIF(H153:H177,"E")</f>
        <v>0</v>
      </c>
      <c r="I178" s="29">
        <f>SUM(I153:I177)</f>
        <v>0</v>
      </c>
      <c r="J178" s="29">
        <f t="shared" ref="J178" si="23">SUM(J153:J177)</f>
        <v>8</v>
      </c>
      <c r="K178" s="29">
        <f t="shared" ref="K178" si="24">SUM(K153:K177)</f>
        <v>0</v>
      </c>
      <c r="L178" s="29">
        <f t="shared" ref="L178" si="25">SUM(L153:L177)</f>
        <v>1</v>
      </c>
      <c r="M178" s="29">
        <f t="shared" ref="M178" si="26">SUM(M153:M177)</f>
        <v>0</v>
      </c>
      <c r="N178" s="29">
        <f t="shared" ref="N178" si="27">SUM(N153:N177)</f>
        <v>7</v>
      </c>
      <c r="O178" s="29">
        <f t="shared" ref="O178" si="28">SUM(O153:O177)</f>
        <v>0</v>
      </c>
      <c r="P178" s="29">
        <f t="shared" ref="P178" si="29">SUM(P153:P177)</f>
        <v>0</v>
      </c>
      <c r="Q178" s="29">
        <f t="shared" ref="Q178" si="30">SUM(Q153:Q177)</f>
        <v>0</v>
      </c>
      <c r="R178" s="29">
        <f t="shared" ref="R178" si="31">SUM(R153:R177)</f>
        <v>0</v>
      </c>
      <c r="S178" s="29">
        <f t="shared" ref="S178" si="32">SUM(S153:S177)</f>
        <v>0</v>
      </c>
      <c r="T178" s="29" t="s">
        <v>63</v>
      </c>
      <c r="U178" s="29">
        <f>COUNTIF(H153:H177,"M")</f>
        <v>0</v>
      </c>
    </row>
    <row r="179" spans="1:28" x14ac:dyDescent="0.4">
      <c r="A179" s="27"/>
      <c r="B179" s="28"/>
      <c r="C179" s="88"/>
      <c r="D179" s="112"/>
      <c r="E179" s="29"/>
      <c r="F179" s="29" t="s">
        <v>35</v>
      </c>
      <c r="G179" s="29">
        <f>COUNTIF(G153:G177,"P")</f>
        <v>0</v>
      </c>
      <c r="H179" s="29">
        <f>COUNTIF(H153:H177,"R")</f>
        <v>0</v>
      </c>
      <c r="I179" s="29"/>
      <c r="J179" s="29"/>
      <c r="K179" s="29"/>
      <c r="L179" s="29"/>
      <c r="M179" s="29"/>
      <c r="N179" s="29"/>
      <c r="O179" s="29"/>
      <c r="P179" s="29"/>
      <c r="Q179" s="29"/>
      <c r="R179" s="29" t="s">
        <v>130</v>
      </c>
      <c r="S179" s="29">
        <f>SUM(J178:S178)</f>
        <v>16</v>
      </c>
      <c r="T179" s="29"/>
      <c r="U179" s="29"/>
    </row>
    <row r="180" spans="1:28" ht="6.75" customHeight="1" x14ac:dyDescent="0.4"/>
    <row r="181" spans="1:28" ht="19.5" thickBot="1" x14ac:dyDescent="0.45">
      <c r="A181" s="1" t="s">
        <v>185</v>
      </c>
      <c r="B181" s="24">
        <v>45687</v>
      </c>
      <c r="C181" s="83" t="s">
        <v>0</v>
      </c>
      <c r="D181" s="107"/>
      <c r="E181" s="2" t="s">
        <v>1</v>
      </c>
      <c r="F181" s="3"/>
      <c r="G181" s="2"/>
      <c r="H181" s="2" t="s">
        <v>4</v>
      </c>
      <c r="I181" s="3" t="s">
        <v>3</v>
      </c>
      <c r="J181" s="2" t="s">
        <v>5</v>
      </c>
      <c r="K181" s="2" t="s">
        <v>6</v>
      </c>
      <c r="L181" s="2" t="s">
        <v>7</v>
      </c>
      <c r="M181" s="2" t="s">
        <v>8</v>
      </c>
      <c r="N181" s="2" t="s">
        <v>9</v>
      </c>
      <c r="O181" s="2" t="s">
        <v>10</v>
      </c>
      <c r="P181" s="2" t="s">
        <v>11</v>
      </c>
      <c r="Q181" s="3" t="s">
        <v>12</v>
      </c>
      <c r="R181" s="2" t="s">
        <v>3</v>
      </c>
      <c r="S181" s="3" t="s">
        <v>2</v>
      </c>
      <c r="T181" s="2"/>
      <c r="U181" s="3"/>
    </row>
    <row r="182" spans="1:28" ht="19.5" thickBot="1" x14ac:dyDescent="0.45">
      <c r="A182" s="4" t="s">
        <v>13</v>
      </c>
      <c r="B182" s="5" t="s">
        <v>14</v>
      </c>
      <c r="C182" s="84" t="s">
        <v>15</v>
      </c>
      <c r="D182" s="108" t="s">
        <v>135</v>
      </c>
      <c r="E182" s="5" t="s">
        <v>137</v>
      </c>
      <c r="F182" s="7" t="s">
        <v>18</v>
      </c>
      <c r="G182" s="5" t="s">
        <v>19</v>
      </c>
      <c r="H182" s="5" t="s">
        <v>20</v>
      </c>
      <c r="I182" s="8" t="s">
        <v>21</v>
      </c>
      <c r="J182" s="5" t="s">
        <v>22</v>
      </c>
      <c r="K182" s="5" t="s">
        <v>23</v>
      </c>
      <c r="L182" s="9" t="s">
        <v>24</v>
      </c>
      <c r="M182" s="9" t="s">
        <v>25</v>
      </c>
      <c r="N182" s="9" t="s">
        <v>26</v>
      </c>
      <c r="O182" s="10" t="s">
        <v>27</v>
      </c>
      <c r="P182" s="9" t="s">
        <v>28</v>
      </c>
      <c r="Q182" s="9" t="s">
        <v>29</v>
      </c>
      <c r="R182" s="9" t="s">
        <v>30</v>
      </c>
      <c r="S182" s="5" t="s">
        <v>31</v>
      </c>
      <c r="T182" s="11" t="s">
        <v>32</v>
      </c>
      <c r="U182" s="6" t="s">
        <v>33</v>
      </c>
      <c r="X182" s="135" t="s">
        <v>114</v>
      </c>
      <c r="Y182" s="136"/>
    </row>
    <row r="183" spans="1:28" ht="20.25" thickTop="1" thickBot="1" x14ac:dyDescent="0.45">
      <c r="A183" s="137">
        <v>7</v>
      </c>
      <c r="B183" s="143">
        <v>20.399999999999999</v>
      </c>
      <c r="C183" s="85" t="s">
        <v>303</v>
      </c>
      <c r="D183" s="110" t="s">
        <v>181</v>
      </c>
      <c r="E183" s="18" t="s">
        <v>39</v>
      </c>
      <c r="F183" s="16"/>
      <c r="G183" s="18" t="s">
        <v>178</v>
      </c>
      <c r="H183" s="15"/>
      <c r="I183" s="15"/>
      <c r="J183" s="18"/>
      <c r="K183" s="15">
        <v>1</v>
      </c>
      <c r="L183" s="19"/>
      <c r="M183" s="19"/>
      <c r="N183" s="19"/>
      <c r="O183" s="19"/>
      <c r="P183" s="19"/>
      <c r="Q183" s="19"/>
      <c r="R183" s="19"/>
      <c r="S183" s="15"/>
      <c r="T183" s="25">
        <v>45740</v>
      </c>
      <c r="U183" s="15" t="s">
        <v>142</v>
      </c>
      <c r="V183">
        <v>1</v>
      </c>
      <c r="X183" s="51" t="s">
        <v>106</v>
      </c>
      <c r="Y183" s="52">
        <f>COUNTIF(U183:U207,"K")</f>
        <v>5</v>
      </c>
      <c r="AA183" s="59" t="s">
        <v>120</v>
      </c>
      <c r="AB183" s="60" t="s">
        <v>121</v>
      </c>
    </row>
    <row r="184" spans="1:28" x14ac:dyDescent="0.4">
      <c r="A184" s="138"/>
      <c r="B184" s="144"/>
      <c r="C184" s="85" t="s">
        <v>304</v>
      </c>
      <c r="D184" s="110" t="s">
        <v>181</v>
      </c>
      <c r="E184" s="15" t="s">
        <v>39</v>
      </c>
      <c r="F184" s="16"/>
      <c r="G184" s="18" t="s">
        <v>178</v>
      </c>
      <c r="H184" s="15"/>
      <c r="I184" s="15"/>
      <c r="J184" s="18"/>
      <c r="K184" s="15">
        <v>1</v>
      </c>
      <c r="L184" s="19"/>
      <c r="M184" s="19"/>
      <c r="N184" s="19"/>
      <c r="O184" s="19"/>
      <c r="P184" s="19"/>
      <c r="Q184" s="19"/>
      <c r="R184" s="19"/>
      <c r="S184" s="15"/>
      <c r="T184" s="25">
        <v>45740</v>
      </c>
      <c r="U184" s="15" t="s">
        <v>146</v>
      </c>
      <c r="V184">
        <v>2</v>
      </c>
      <c r="X184" s="51" t="s">
        <v>107</v>
      </c>
      <c r="Y184" s="52">
        <f>COUNTIF(U183:U207,"R")</f>
        <v>6</v>
      </c>
      <c r="AA184" s="47" t="s">
        <v>81</v>
      </c>
      <c r="AB184" s="48" t="s">
        <v>60</v>
      </c>
    </row>
    <row r="185" spans="1:28" ht="19.5" thickBot="1" x14ac:dyDescent="0.45">
      <c r="A185" s="138"/>
      <c r="B185" s="144"/>
      <c r="C185" s="85" t="s">
        <v>305</v>
      </c>
      <c r="D185" s="110" t="s">
        <v>181</v>
      </c>
      <c r="E185" s="15" t="s">
        <v>39</v>
      </c>
      <c r="F185" s="16"/>
      <c r="G185" s="18" t="s">
        <v>178</v>
      </c>
      <c r="H185" s="15"/>
      <c r="I185" s="15"/>
      <c r="J185" s="15"/>
      <c r="K185" s="15">
        <v>1</v>
      </c>
      <c r="L185" s="17"/>
      <c r="M185" s="17"/>
      <c r="N185" s="17"/>
      <c r="O185" s="17"/>
      <c r="P185" s="17"/>
      <c r="Q185" s="17"/>
      <c r="R185" s="17"/>
      <c r="S185" s="15"/>
      <c r="T185" s="25">
        <v>45740</v>
      </c>
      <c r="U185" s="15" t="s">
        <v>146</v>
      </c>
      <c r="V185">
        <v>3</v>
      </c>
      <c r="X185" s="53" t="s">
        <v>108</v>
      </c>
      <c r="Y185" s="54">
        <f>COUNTIF(U183:U207,"J")</f>
        <v>3</v>
      </c>
      <c r="AA185" s="49" t="s">
        <v>82</v>
      </c>
      <c r="AB185" s="50" t="s">
        <v>39</v>
      </c>
    </row>
    <row r="186" spans="1:28" x14ac:dyDescent="0.4">
      <c r="A186" s="138"/>
      <c r="B186" s="144"/>
      <c r="C186" s="85" t="s">
        <v>307</v>
      </c>
      <c r="D186" s="110" t="s">
        <v>306</v>
      </c>
      <c r="E186" s="15" t="s">
        <v>40</v>
      </c>
      <c r="F186" s="16"/>
      <c r="G186" s="18" t="s">
        <v>178</v>
      </c>
      <c r="H186" s="15"/>
      <c r="I186" s="15"/>
      <c r="J186" s="15"/>
      <c r="K186" s="15"/>
      <c r="L186" s="17"/>
      <c r="M186" s="17"/>
      <c r="N186" s="17">
        <v>1</v>
      </c>
      <c r="O186" s="17">
        <v>1</v>
      </c>
      <c r="P186" s="17">
        <v>1</v>
      </c>
      <c r="Q186" s="17">
        <v>1</v>
      </c>
      <c r="R186" s="17">
        <v>1</v>
      </c>
      <c r="S186" s="15"/>
      <c r="T186" s="25">
        <v>45760</v>
      </c>
      <c r="U186" s="25" t="s">
        <v>148</v>
      </c>
      <c r="V186">
        <v>4</v>
      </c>
      <c r="AA186" s="49" t="s">
        <v>83</v>
      </c>
      <c r="AB186" s="50" t="s">
        <v>38</v>
      </c>
    </row>
    <row r="187" spans="1:28" x14ac:dyDescent="0.4">
      <c r="A187" s="138"/>
      <c r="B187" s="144"/>
      <c r="C187" s="85" t="s">
        <v>308</v>
      </c>
      <c r="D187" s="106" t="s">
        <v>199</v>
      </c>
      <c r="E187" s="13" t="s">
        <v>38</v>
      </c>
      <c r="F187" s="16"/>
      <c r="G187" s="18" t="s">
        <v>178</v>
      </c>
      <c r="H187" s="15"/>
      <c r="I187" s="15"/>
      <c r="J187" s="15"/>
      <c r="K187" s="15"/>
      <c r="L187" s="17"/>
      <c r="M187" s="17"/>
      <c r="N187" s="17">
        <v>1</v>
      </c>
      <c r="O187" s="17"/>
      <c r="P187" s="17"/>
      <c r="Q187" s="17"/>
      <c r="R187" s="17"/>
      <c r="S187" s="15"/>
      <c r="T187" s="25">
        <v>45736</v>
      </c>
      <c r="U187" s="25" t="s">
        <v>147</v>
      </c>
      <c r="V187">
        <v>5</v>
      </c>
      <c r="AA187" s="49" t="s">
        <v>84</v>
      </c>
      <c r="AB187" s="50" t="s">
        <v>44</v>
      </c>
    </row>
    <row r="188" spans="1:28" x14ac:dyDescent="0.4">
      <c r="A188" s="138"/>
      <c r="B188" s="144"/>
      <c r="C188" s="85" t="s">
        <v>309</v>
      </c>
      <c r="D188" s="106" t="s">
        <v>199</v>
      </c>
      <c r="E188" s="13" t="s">
        <v>38</v>
      </c>
      <c r="F188" s="16"/>
      <c r="G188" s="18" t="s">
        <v>178</v>
      </c>
      <c r="H188" s="13"/>
      <c r="I188" s="15"/>
      <c r="J188" s="15"/>
      <c r="K188" s="15"/>
      <c r="L188" s="17"/>
      <c r="M188" s="17"/>
      <c r="N188" s="17">
        <v>1</v>
      </c>
      <c r="O188" s="17"/>
      <c r="P188" s="17"/>
      <c r="Q188" s="17"/>
      <c r="R188" s="17"/>
      <c r="S188" s="15"/>
      <c r="T188" s="25">
        <v>45736</v>
      </c>
      <c r="U188" s="25" t="s">
        <v>147</v>
      </c>
      <c r="V188">
        <v>6</v>
      </c>
      <c r="AA188" s="49" t="s">
        <v>85</v>
      </c>
      <c r="AB188" s="50" t="s">
        <v>43</v>
      </c>
    </row>
    <row r="189" spans="1:28" x14ac:dyDescent="0.4">
      <c r="A189" s="138"/>
      <c r="B189" s="144"/>
      <c r="C189" s="85" t="s">
        <v>310</v>
      </c>
      <c r="D189" s="106" t="s">
        <v>199</v>
      </c>
      <c r="E189" s="13" t="s">
        <v>38</v>
      </c>
      <c r="F189" s="16"/>
      <c r="G189" s="18" t="s">
        <v>178</v>
      </c>
      <c r="H189" s="15"/>
      <c r="I189" s="15"/>
      <c r="J189" s="15"/>
      <c r="K189" s="15"/>
      <c r="L189" s="17"/>
      <c r="M189" s="17"/>
      <c r="N189" s="17">
        <v>1</v>
      </c>
      <c r="O189" s="17"/>
      <c r="P189" s="17"/>
      <c r="Q189" s="17"/>
      <c r="R189" s="17"/>
      <c r="S189" s="15"/>
      <c r="T189" s="25">
        <v>45736</v>
      </c>
      <c r="U189" s="25" t="s">
        <v>147</v>
      </c>
      <c r="V189">
        <v>7</v>
      </c>
      <c r="AA189" s="49" t="s">
        <v>86</v>
      </c>
      <c r="AB189" s="50" t="s">
        <v>45</v>
      </c>
    </row>
    <row r="190" spans="1:28" x14ac:dyDescent="0.4">
      <c r="A190" s="138"/>
      <c r="B190" s="144"/>
      <c r="C190" s="85" t="s">
        <v>311</v>
      </c>
      <c r="D190" s="106" t="s">
        <v>180</v>
      </c>
      <c r="E190" s="13" t="s">
        <v>37</v>
      </c>
      <c r="F190" s="16"/>
      <c r="G190" s="18" t="s">
        <v>178</v>
      </c>
      <c r="H190" s="15"/>
      <c r="I190" s="15"/>
      <c r="J190" s="15">
        <v>1</v>
      </c>
      <c r="K190" s="15">
        <v>1</v>
      </c>
      <c r="L190" s="17"/>
      <c r="M190" s="17"/>
      <c r="N190" s="17"/>
      <c r="O190" s="17"/>
      <c r="P190" s="17"/>
      <c r="Q190" s="17"/>
      <c r="R190" s="17"/>
      <c r="S190" s="15"/>
      <c r="T190" s="25">
        <v>45743</v>
      </c>
      <c r="U190" s="25" t="s">
        <v>146</v>
      </c>
      <c r="V190">
        <v>8</v>
      </c>
      <c r="AA190" s="49" t="s">
        <v>87</v>
      </c>
      <c r="AB190" s="50" t="s">
        <v>37</v>
      </c>
    </row>
    <row r="191" spans="1:28" x14ac:dyDescent="0.4">
      <c r="A191" s="138"/>
      <c r="B191" s="144"/>
      <c r="C191" s="85" t="s">
        <v>312</v>
      </c>
      <c r="D191" s="106" t="s">
        <v>180</v>
      </c>
      <c r="E191" s="13" t="s">
        <v>38</v>
      </c>
      <c r="F191" s="16"/>
      <c r="G191" s="18" t="s">
        <v>178</v>
      </c>
      <c r="H191" s="15"/>
      <c r="I191" s="15"/>
      <c r="J191" s="15"/>
      <c r="K191" s="15">
        <v>1</v>
      </c>
      <c r="L191" s="17"/>
      <c r="M191" s="17">
        <v>1</v>
      </c>
      <c r="N191" s="17">
        <v>1</v>
      </c>
      <c r="O191" s="17"/>
      <c r="P191" s="17"/>
      <c r="Q191" s="17">
        <v>1</v>
      </c>
      <c r="R191" s="17"/>
      <c r="S191" s="15"/>
      <c r="T191" s="25">
        <v>45743</v>
      </c>
      <c r="U191" s="25" t="s">
        <v>147</v>
      </c>
      <c r="V191">
        <v>9</v>
      </c>
      <c r="AA191" s="49" t="s">
        <v>88</v>
      </c>
      <c r="AB191" s="50" t="s">
        <v>74</v>
      </c>
    </row>
    <row r="192" spans="1:28" x14ac:dyDescent="0.4">
      <c r="A192" s="138"/>
      <c r="B192" s="144"/>
      <c r="C192" s="85" t="s">
        <v>313</v>
      </c>
      <c r="D192" s="106" t="s">
        <v>180</v>
      </c>
      <c r="E192" s="13" t="s">
        <v>40</v>
      </c>
      <c r="F192" s="16"/>
      <c r="G192" s="18" t="s">
        <v>178</v>
      </c>
      <c r="H192" s="15"/>
      <c r="I192" s="15"/>
      <c r="J192" s="15"/>
      <c r="K192" s="15"/>
      <c r="L192" s="17"/>
      <c r="M192" s="17"/>
      <c r="N192" s="17"/>
      <c r="O192" s="17">
        <v>1</v>
      </c>
      <c r="P192" s="17">
        <v>1</v>
      </c>
      <c r="Q192" s="17">
        <v>1</v>
      </c>
      <c r="R192" s="17">
        <v>1</v>
      </c>
      <c r="S192" s="15"/>
      <c r="T192" s="25">
        <v>45743</v>
      </c>
      <c r="U192" s="15" t="s">
        <v>148</v>
      </c>
      <c r="V192">
        <v>10</v>
      </c>
      <c r="AA192" s="49" t="s">
        <v>89</v>
      </c>
      <c r="AB192" s="50" t="s">
        <v>36</v>
      </c>
    </row>
    <row r="193" spans="1:28" x14ac:dyDescent="0.4">
      <c r="A193" s="138"/>
      <c r="B193" s="144"/>
      <c r="C193" s="85" t="s">
        <v>314</v>
      </c>
      <c r="D193" s="106" t="s">
        <v>182</v>
      </c>
      <c r="E193" s="13" t="s">
        <v>37</v>
      </c>
      <c r="F193" s="16"/>
      <c r="G193" s="18" t="s">
        <v>178</v>
      </c>
      <c r="H193" s="15"/>
      <c r="I193" s="15"/>
      <c r="J193" s="15"/>
      <c r="K193" s="15"/>
      <c r="L193" s="17"/>
      <c r="M193" s="17">
        <v>1</v>
      </c>
      <c r="N193" s="17">
        <v>1</v>
      </c>
      <c r="O193" s="17"/>
      <c r="P193" s="17"/>
      <c r="Q193" s="17">
        <v>1</v>
      </c>
      <c r="R193" s="17"/>
      <c r="S193" s="15"/>
      <c r="T193" s="25">
        <v>45798</v>
      </c>
      <c r="U193" s="15" t="s">
        <v>147</v>
      </c>
      <c r="V193">
        <v>11</v>
      </c>
      <c r="AA193" s="49" t="s">
        <v>90</v>
      </c>
      <c r="AB193" s="50" t="s">
        <v>58</v>
      </c>
    </row>
    <row r="194" spans="1:28" x14ac:dyDescent="0.4">
      <c r="A194" s="138"/>
      <c r="B194" s="144"/>
      <c r="C194" s="85" t="s">
        <v>315</v>
      </c>
      <c r="D194" s="106" t="s">
        <v>316</v>
      </c>
      <c r="E194" s="13" t="s">
        <v>36</v>
      </c>
      <c r="F194" s="16"/>
      <c r="G194" s="18" t="s">
        <v>178</v>
      </c>
      <c r="H194" s="15"/>
      <c r="I194" s="15"/>
      <c r="J194" s="15"/>
      <c r="K194" s="15"/>
      <c r="L194" s="17"/>
      <c r="M194" s="17">
        <v>1</v>
      </c>
      <c r="N194" s="17">
        <v>1</v>
      </c>
      <c r="O194" s="17"/>
      <c r="P194" s="17"/>
      <c r="Q194" s="17">
        <v>1</v>
      </c>
      <c r="R194" s="17"/>
      <c r="S194" s="15"/>
      <c r="T194" s="25">
        <v>45739</v>
      </c>
      <c r="U194" s="15" t="s">
        <v>147</v>
      </c>
      <c r="V194">
        <v>12</v>
      </c>
      <c r="AA194" s="49" t="s">
        <v>91</v>
      </c>
      <c r="AB194" s="50" t="s">
        <v>75</v>
      </c>
    </row>
    <row r="195" spans="1:28" x14ac:dyDescent="0.4">
      <c r="A195" s="138"/>
      <c r="B195" s="144"/>
      <c r="C195" s="85" t="s">
        <v>317</v>
      </c>
      <c r="D195" s="106" t="s">
        <v>181</v>
      </c>
      <c r="E195" s="15" t="s">
        <v>39</v>
      </c>
      <c r="F195" s="16"/>
      <c r="G195" s="18" t="s">
        <v>178</v>
      </c>
      <c r="H195" s="15"/>
      <c r="I195" s="15"/>
      <c r="J195" s="15">
        <v>1</v>
      </c>
      <c r="K195" s="15"/>
      <c r="L195" s="17">
        <v>1</v>
      </c>
      <c r="M195" s="17"/>
      <c r="N195" s="17"/>
      <c r="O195" s="17"/>
      <c r="P195" s="17"/>
      <c r="Q195" s="17"/>
      <c r="R195" s="17"/>
      <c r="S195" s="15"/>
      <c r="T195" s="25">
        <v>45747</v>
      </c>
      <c r="U195" s="15" t="s">
        <v>146</v>
      </c>
      <c r="V195">
        <v>13</v>
      </c>
      <c r="AA195" s="49" t="s">
        <v>92</v>
      </c>
      <c r="AB195" s="50" t="s">
        <v>40</v>
      </c>
    </row>
    <row r="196" spans="1:28" x14ac:dyDescent="0.4">
      <c r="A196" s="138"/>
      <c r="B196" s="144"/>
      <c r="C196" s="85" t="s">
        <v>318</v>
      </c>
      <c r="D196" s="106" t="s">
        <v>226</v>
      </c>
      <c r="E196" s="15" t="s">
        <v>40</v>
      </c>
      <c r="F196" s="16"/>
      <c r="G196" s="18" t="s">
        <v>178</v>
      </c>
      <c r="H196" s="15"/>
      <c r="I196" s="15"/>
      <c r="J196" s="15"/>
      <c r="K196" s="15"/>
      <c r="L196" s="17"/>
      <c r="M196" s="17"/>
      <c r="N196" s="17"/>
      <c r="O196" s="17">
        <v>1</v>
      </c>
      <c r="P196" s="17"/>
      <c r="Q196" s="17"/>
      <c r="R196" s="17"/>
      <c r="S196" s="15"/>
      <c r="T196" s="25">
        <v>45755</v>
      </c>
      <c r="U196" s="15" t="s">
        <v>148</v>
      </c>
      <c r="V196">
        <v>14</v>
      </c>
      <c r="AA196" s="49" t="s">
        <v>93</v>
      </c>
      <c r="AB196" s="50" t="s">
        <v>57</v>
      </c>
    </row>
    <row r="197" spans="1:28" x14ac:dyDescent="0.4">
      <c r="A197" s="138"/>
      <c r="B197" s="144"/>
      <c r="C197" s="85"/>
      <c r="D197" s="106"/>
      <c r="E197" s="15"/>
      <c r="F197" s="16"/>
      <c r="G197" s="15"/>
      <c r="H197" s="15"/>
      <c r="I197" s="15"/>
      <c r="J197" s="15"/>
      <c r="K197" s="15"/>
      <c r="L197" s="17"/>
      <c r="M197" s="17"/>
      <c r="N197" s="17"/>
      <c r="O197" s="17"/>
      <c r="P197" s="17"/>
      <c r="Q197" s="17"/>
      <c r="R197" s="17"/>
      <c r="S197" s="15"/>
      <c r="T197" s="25"/>
      <c r="U197" s="15"/>
      <c r="V197">
        <v>15</v>
      </c>
      <c r="AA197" s="49" t="s">
        <v>94</v>
      </c>
      <c r="AB197" s="50" t="s">
        <v>41</v>
      </c>
    </row>
    <row r="198" spans="1:28" x14ac:dyDescent="0.4">
      <c r="A198" s="138"/>
      <c r="B198" s="144"/>
      <c r="C198" s="85"/>
      <c r="D198" s="106"/>
      <c r="E198" s="15"/>
      <c r="F198" s="16"/>
      <c r="G198" s="15"/>
      <c r="H198" s="15"/>
      <c r="I198" s="15"/>
      <c r="J198" s="15"/>
      <c r="K198" s="15"/>
      <c r="L198" s="19"/>
      <c r="M198" s="19"/>
      <c r="N198" s="19"/>
      <c r="O198" s="19"/>
      <c r="P198" s="19"/>
      <c r="Q198" s="19"/>
      <c r="R198" s="19"/>
      <c r="S198" s="15"/>
      <c r="T198" s="25"/>
      <c r="U198" s="15"/>
      <c r="V198">
        <v>16</v>
      </c>
      <c r="AA198" s="49" t="s">
        <v>95</v>
      </c>
      <c r="AB198" s="50" t="s">
        <v>42</v>
      </c>
    </row>
    <row r="199" spans="1:28" x14ac:dyDescent="0.4">
      <c r="A199" s="138"/>
      <c r="B199" s="144"/>
      <c r="C199" s="85"/>
      <c r="D199" s="106"/>
      <c r="E199" s="18"/>
      <c r="F199" s="16"/>
      <c r="G199" s="18"/>
      <c r="H199" s="15"/>
      <c r="I199" s="15"/>
      <c r="J199" s="18"/>
      <c r="K199" s="15"/>
      <c r="L199" s="19"/>
      <c r="M199" s="19"/>
      <c r="N199" s="19"/>
      <c r="O199" s="19"/>
      <c r="P199" s="19"/>
      <c r="Q199" s="19"/>
      <c r="R199" s="19"/>
      <c r="S199" s="15"/>
      <c r="T199" s="25"/>
      <c r="U199" s="15"/>
      <c r="V199">
        <v>17</v>
      </c>
      <c r="AA199" s="49" t="s">
        <v>96</v>
      </c>
      <c r="AB199" s="50" t="s">
        <v>61</v>
      </c>
    </row>
    <row r="200" spans="1:28" x14ac:dyDescent="0.4">
      <c r="A200" s="138"/>
      <c r="B200" s="144"/>
      <c r="C200" s="85"/>
      <c r="D200" s="110"/>
      <c r="E200" s="18"/>
      <c r="F200" s="16"/>
      <c r="G200" s="18"/>
      <c r="H200" s="15"/>
      <c r="I200" s="15"/>
      <c r="J200" s="18"/>
      <c r="K200" s="15"/>
      <c r="L200" s="19"/>
      <c r="M200" s="19"/>
      <c r="N200" s="19"/>
      <c r="O200" s="19"/>
      <c r="P200" s="19"/>
      <c r="Q200" s="19"/>
      <c r="R200" s="19"/>
      <c r="S200" s="15"/>
      <c r="T200" s="25"/>
      <c r="U200" s="15"/>
      <c r="V200">
        <v>18</v>
      </c>
      <c r="AA200" s="49" t="s">
        <v>97</v>
      </c>
      <c r="AB200" s="50" t="s">
        <v>76</v>
      </c>
    </row>
    <row r="201" spans="1:28" x14ac:dyDescent="0.4">
      <c r="A201" s="138"/>
      <c r="B201" s="144"/>
      <c r="C201" s="85"/>
      <c r="D201" s="110"/>
      <c r="E201" s="18"/>
      <c r="F201" s="16"/>
      <c r="G201" s="18"/>
      <c r="H201" s="15"/>
      <c r="I201" s="15"/>
      <c r="J201" s="18"/>
      <c r="K201" s="15"/>
      <c r="L201" s="19"/>
      <c r="M201" s="19"/>
      <c r="N201" s="19"/>
      <c r="O201" s="19"/>
      <c r="P201" s="19"/>
      <c r="Q201" s="19"/>
      <c r="R201" s="19"/>
      <c r="S201" s="15"/>
      <c r="T201" s="26"/>
      <c r="U201" s="15"/>
      <c r="V201" s="73">
        <v>19</v>
      </c>
      <c r="AA201" s="49" t="s">
        <v>98</v>
      </c>
      <c r="AB201" s="50" t="s">
        <v>77</v>
      </c>
    </row>
    <row r="202" spans="1:28" x14ac:dyDescent="0.4">
      <c r="A202" s="138"/>
      <c r="B202" s="144"/>
      <c r="C202" s="86"/>
      <c r="D202" s="110"/>
      <c r="E202" s="18"/>
      <c r="F202" s="16"/>
      <c r="G202" s="18"/>
      <c r="H202" s="15"/>
      <c r="I202" s="15"/>
      <c r="J202" s="18"/>
      <c r="K202" s="15"/>
      <c r="L202" s="19"/>
      <c r="M202" s="19"/>
      <c r="N202" s="19"/>
      <c r="O202" s="19"/>
      <c r="P202" s="19"/>
      <c r="Q202" s="19"/>
      <c r="R202" s="19"/>
      <c r="S202" s="15"/>
      <c r="T202" s="26"/>
      <c r="U202" s="15"/>
      <c r="V202">
        <v>20</v>
      </c>
      <c r="AA202" s="49" t="s">
        <v>99</v>
      </c>
      <c r="AB202" s="50" t="s">
        <v>78</v>
      </c>
    </row>
    <row r="203" spans="1:28" x14ac:dyDescent="0.4">
      <c r="A203" s="138"/>
      <c r="B203" s="144"/>
      <c r="C203" s="86"/>
      <c r="D203" s="110"/>
      <c r="E203" s="18"/>
      <c r="F203" s="16"/>
      <c r="G203" s="18"/>
      <c r="H203" s="15"/>
      <c r="I203" s="15"/>
      <c r="J203" s="18"/>
      <c r="K203" s="15"/>
      <c r="L203" s="19"/>
      <c r="M203" s="19"/>
      <c r="N203" s="19"/>
      <c r="O203" s="19"/>
      <c r="P203" s="19"/>
      <c r="Q203" s="19"/>
      <c r="R203" s="19"/>
      <c r="S203" s="15"/>
      <c r="T203" s="26"/>
      <c r="U203" s="15"/>
      <c r="V203">
        <v>21</v>
      </c>
      <c r="AA203" s="49" t="s">
        <v>100</v>
      </c>
      <c r="AB203" s="50" t="s">
        <v>79</v>
      </c>
    </row>
    <row r="204" spans="1:28" x14ac:dyDescent="0.4">
      <c r="A204" s="138"/>
      <c r="B204" s="144"/>
      <c r="C204" s="86"/>
      <c r="D204" s="106"/>
      <c r="E204" s="15"/>
      <c r="F204" s="16"/>
      <c r="G204" s="15"/>
      <c r="H204" s="15"/>
      <c r="I204" s="15"/>
      <c r="J204" s="15"/>
      <c r="K204" s="15"/>
      <c r="L204" s="17"/>
      <c r="M204" s="17"/>
      <c r="N204" s="17"/>
      <c r="O204" s="17"/>
      <c r="P204" s="17"/>
      <c r="Q204" s="17"/>
      <c r="R204" s="17"/>
      <c r="S204" s="15"/>
      <c r="T204" s="26"/>
      <c r="U204" s="15"/>
      <c r="V204">
        <v>22</v>
      </c>
      <c r="AA204" s="49" t="s">
        <v>101</v>
      </c>
      <c r="AB204" s="50" t="s">
        <v>59</v>
      </c>
    </row>
    <row r="205" spans="1:28" x14ac:dyDescent="0.4">
      <c r="A205" s="138"/>
      <c r="B205" s="144"/>
      <c r="C205" s="85"/>
      <c r="D205" s="109"/>
      <c r="E205" s="13"/>
      <c r="F205" s="16"/>
      <c r="G205" s="13"/>
      <c r="H205" s="18"/>
      <c r="I205" s="15"/>
      <c r="J205" s="13"/>
      <c r="K205" s="13"/>
      <c r="L205" s="20"/>
      <c r="M205" s="20"/>
      <c r="N205" s="20"/>
      <c r="O205" s="20"/>
      <c r="P205" s="20"/>
      <c r="Q205" s="20"/>
      <c r="R205" s="20"/>
      <c r="S205" s="15"/>
      <c r="T205" s="26"/>
      <c r="U205" s="15"/>
      <c r="V205">
        <v>23</v>
      </c>
      <c r="AA205" s="49" t="s">
        <v>102</v>
      </c>
      <c r="AB205" s="50" t="s">
        <v>62</v>
      </c>
    </row>
    <row r="206" spans="1:28" ht="19.5" thickBot="1" x14ac:dyDescent="0.45">
      <c r="A206" s="138"/>
      <c r="B206" s="144"/>
      <c r="C206" s="86"/>
      <c r="D206" s="106"/>
      <c r="E206" s="15"/>
      <c r="F206" s="16"/>
      <c r="G206" s="15"/>
      <c r="H206" s="15"/>
      <c r="I206" s="15"/>
      <c r="J206" s="15"/>
      <c r="K206" s="15"/>
      <c r="L206" s="17"/>
      <c r="M206" s="17"/>
      <c r="N206" s="17"/>
      <c r="O206" s="17"/>
      <c r="P206" s="17"/>
      <c r="Q206" s="17"/>
      <c r="R206" s="17"/>
      <c r="S206" s="15"/>
      <c r="T206" s="17"/>
      <c r="U206" s="15"/>
      <c r="V206">
        <v>24</v>
      </c>
      <c r="AA206" s="55" t="s">
        <v>103</v>
      </c>
      <c r="AB206" s="56" t="s">
        <v>80</v>
      </c>
    </row>
    <row r="207" spans="1:28" ht="19.5" thickBot="1" x14ac:dyDescent="0.45">
      <c r="A207" s="139"/>
      <c r="B207" s="145"/>
      <c r="C207" s="87"/>
      <c r="D207" s="111"/>
      <c r="E207" s="21"/>
      <c r="F207" s="22"/>
      <c r="G207" s="21"/>
      <c r="H207" s="21"/>
      <c r="I207" s="21"/>
      <c r="J207" s="21"/>
      <c r="K207" s="21"/>
      <c r="L207" s="23"/>
      <c r="M207" s="23"/>
      <c r="N207" s="23"/>
      <c r="O207" s="23"/>
      <c r="P207" s="23"/>
      <c r="Q207" s="23"/>
      <c r="R207" s="23"/>
      <c r="S207" s="21"/>
      <c r="T207" s="23"/>
      <c r="U207" s="21"/>
      <c r="V207">
        <v>25</v>
      </c>
      <c r="AA207" s="57" t="s">
        <v>47</v>
      </c>
      <c r="AB207" s="58"/>
    </row>
    <row r="208" spans="1:28" x14ac:dyDescent="0.4">
      <c r="A208" s="27"/>
      <c r="B208" s="28">
        <v>0</v>
      </c>
      <c r="C208" s="88">
        <f>COUNTA(C183:C207)</f>
        <v>14</v>
      </c>
      <c r="D208" s="112"/>
      <c r="E208" s="29"/>
      <c r="F208" s="29" t="s">
        <v>34</v>
      </c>
      <c r="G208" s="29">
        <f>COUNTIF(G183:G207,"S")</f>
        <v>14</v>
      </c>
      <c r="H208" s="29">
        <f>COUNTIF(H183:H207,"E")</f>
        <v>0</v>
      </c>
      <c r="I208" s="29">
        <f>SUM(I183:I207)</f>
        <v>0</v>
      </c>
      <c r="J208" s="29">
        <f t="shared" ref="J208" si="33">SUM(J183:J207)</f>
        <v>2</v>
      </c>
      <c r="K208" s="29">
        <f t="shared" ref="K208" si="34">SUM(K183:K207)</f>
        <v>5</v>
      </c>
      <c r="L208" s="29">
        <f t="shared" ref="L208" si="35">SUM(L183:L207)</f>
        <v>1</v>
      </c>
      <c r="M208" s="29">
        <f t="shared" ref="M208" si="36">SUM(M183:M207)</f>
        <v>3</v>
      </c>
      <c r="N208" s="29">
        <f t="shared" ref="N208" si="37">SUM(N183:N207)</f>
        <v>7</v>
      </c>
      <c r="O208" s="29">
        <f t="shared" ref="O208" si="38">SUM(O183:O207)</f>
        <v>3</v>
      </c>
      <c r="P208" s="29">
        <f t="shared" ref="P208" si="39">SUM(P183:P207)</f>
        <v>2</v>
      </c>
      <c r="Q208" s="29">
        <f t="shared" ref="Q208" si="40">SUM(Q183:Q207)</f>
        <v>5</v>
      </c>
      <c r="R208" s="29">
        <f t="shared" ref="R208" si="41">SUM(R183:R207)</f>
        <v>2</v>
      </c>
      <c r="S208" s="29">
        <f t="shared" ref="S208" si="42">SUM(S183:S207)</f>
        <v>0</v>
      </c>
      <c r="T208" s="29" t="s">
        <v>63</v>
      </c>
      <c r="U208" s="29">
        <f>COUNTIF(H183:H207,"M")</f>
        <v>0</v>
      </c>
    </row>
    <row r="209" spans="1:28" x14ac:dyDescent="0.4">
      <c r="A209" s="27"/>
      <c r="B209" s="28"/>
      <c r="C209" s="88"/>
      <c r="D209" s="112"/>
      <c r="E209" s="29"/>
      <c r="F209" s="29" t="s">
        <v>35</v>
      </c>
      <c r="G209" s="29">
        <f>COUNTIF(G183:G207,"P")</f>
        <v>0</v>
      </c>
      <c r="H209" s="29">
        <f>COUNTIF(H183:H207,"R")</f>
        <v>0</v>
      </c>
      <c r="I209" s="29"/>
      <c r="J209" s="29"/>
      <c r="K209" s="29"/>
      <c r="L209" s="29"/>
      <c r="M209" s="29"/>
      <c r="N209" s="29"/>
      <c r="O209" s="29"/>
      <c r="P209" s="29"/>
      <c r="Q209" s="29"/>
      <c r="R209" s="29" t="s">
        <v>130</v>
      </c>
      <c r="S209" s="29">
        <f>SUM(J208:S208)</f>
        <v>30</v>
      </c>
      <c r="T209" s="29"/>
      <c r="U209" s="29"/>
    </row>
    <row r="210" spans="1:28" ht="6" customHeight="1" x14ac:dyDescent="0.4"/>
    <row r="211" spans="1:28" ht="19.5" thickBot="1" x14ac:dyDescent="0.45">
      <c r="A211" s="1" t="str">
        <f>A1</f>
        <v>AYG102</v>
      </c>
      <c r="B211" s="24">
        <f>B1</f>
        <v>45720</v>
      </c>
      <c r="C211" s="83" t="s">
        <v>0</v>
      </c>
      <c r="D211" s="107"/>
      <c r="E211" s="2" t="s">
        <v>1</v>
      </c>
      <c r="F211" s="3"/>
      <c r="G211" s="2"/>
      <c r="H211" s="2" t="s">
        <v>4</v>
      </c>
      <c r="I211" s="3" t="s">
        <v>3</v>
      </c>
      <c r="J211" s="2" t="s">
        <v>5</v>
      </c>
      <c r="K211" s="2" t="s">
        <v>6</v>
      </c>
      <c r="L211" s="2" t="s">
        <v>7</v>
      </c>
      <c r="M211" s="2" t="s">
        <v>8</v>
      </c>
      <c r="N211" s="2" t="s">
        <v>9</v>
      </c>
      <c r="O211" s="2" t="s">
        <v>10</v>
      </c>
      <c r="P211" s="2" t="s">
        <v>11</v>
      </c>
      <c r="Q211" s="3" t="s">
        <v>12</v>
      </c>
      <c r="R211" s="2" t="s">
        <v>3</v>
      </c>
      <c r="S211" s="3" t="s">
        <v>2</v>
      </c>
      <c r="T211" s="2"/>
      <c r="U211" s="3"/>
    </row>
    <row r="212" spans="1:28" ht="19.5" thickBot="1" x14ac:dyDescent="0.45">
      <c r="A212" s="4" t="s">
        <v>13</v>
      </c>
      <c r="B212" s="5" t="s">
        <v>14</v>
      </c>
      <c r="C212" s="84" t="s">
        <v>15</v>
      </c>
      <c r="D212" s="108" t="s">
        <v>16</v>
      </c>
      <c r="E212" s="5" t="s">
        <v>17</v>
      </c>
      <c r="F212" s="7" t="s">
        <v>18</v>
      </c>
      <c r="G212" s="5" t="s">
        <v>19</v>
      </c>
      <c r="H212" s="5" t="s">
        <v>20</v>
      </c>
      <c r="I212" s="8" t="s">
        <v>21</v>
      </c>
      <c r="J212" s="5" t="s">
        <v>22</v>
      </c>
      <c r="K212" s="5" t="s">
        <v>23</v>
      </c>
      <c r="L212" s="9" t="s">
        <v>24</v>
      </c>
      <c r="M212" s="9" t="s">
        <v>25</v>
      </c>
      <c r="N212" s="9" t="s">
        <v>26</v>
      </c>
      <c r="O212" s="10" t="s">
        <v>27</v>
      </c>
      <c r="P212" s="9" t="s">
        <v>28</v>
      </c>
      <c r="Q212" s="9" t="s">
        <v>29</v>
      </c>
      <c r="R212" s="9" t="s">
        <v>30</v>
      </c>
      <c r="S212" s="5" t="s">
        <v>31</v>
      </c>
      <c r="T212" s="11" t="s">
        <v>32</v>
      </c>
      <c r="U212" s="6" t="s">
        <v>33</v>
      </c>
      <c r="X212" s="135" t="s">
        <v>113</v>
      </c>
      <c r="Y212" s="136"/>
    </row>
    <row r="213" spans="1:28" ht="20.25" thickTop="1" thickBot="1" x14ac:dyDescent="0.45">
      <c r="A213" s="137">
        <v>8</v>
      </c>
      <c r="B213" s="143">
        <v>22.2</v>
      </c>
      <c r="C213" s="85" t="s">
        <v>319</v>
      </c>
      <c r="D213" s="106" t="s">
        <v>184</v>
      </c>
      <c r="E213" s="106" t="s">
        <v>40</v>
      </c>
      <c r="F213" s="14"/>
      <c r="G213" s="12" t="s">
        <v>190</v>
      </c>
      <c r="H213" s="13"/>
      <c r="I213" s="13"/>
      <c r="J213" s="13"/>
      <c r="K213" s="13"/>
      <c r="L213" s="13"/>
      <c r="M213" s="13"/>
      <c r="N213" s="13"/>
      <c r="O213" s="13">
        <v>1</v>
      </c>
      <c r="P213" s="13">
        <v>1</v>
      </c>
      <c r="Q213" s="13">
        <v>1</v>
      </c>
      <c r="R213" s="13"/>
      <c r="S213" s="13"/>
      <c r="T213" s="25">
        <v>45742</v>
      </c>
      <c r="U213" s="13" t="s">
        <v>148</v>
      </c>
      <c r="V213">
        <v>1</v>
      </c>
      <c r="X213" s="51" t="s">
        <v>106</v>
      </c>
      <c r="Y213" s="52">
        <f>COUNTIF(U213:U237,"K")</f>
        <v>12</v>
      </c>
      <c r="AA213" s="59" t="s">
        <v>120</v>
      </c>
      <c r="AB213" s="60" t="s">
        <v>121</v>
      </c>
    </row>
    <row r="214" spans="1:28" x14ac:dyDescent="0.4">
      <c r="A214" s="138"/>
      <c r="B214" s="144"/>
      <c r="C214" s="85" t="s">
        <v>320</v>
      </c>
      <c r="D214" s="106" t="s">
        <v>184</v>
      </c>
      <c r="E214" s="106" t="s">
        <v>36</v>
      </c>
      <c r="F214" s="16"/>
      <c r="G214" s="12" t="s">
        <v>178</v>
      </c>
      <c r="H214" s="15"/>
      <c r="I214" s="15"/>
      <c r="J214" s="13">
        <v>1</v>
      </c>
      <c r="K214" s="15">
        <v>1</v>
      </c>
      <c r="L214" s="13"/>
      <c r="M214" s="17"/>
      <c r="N214" s="17"/>
      <c r="O214" s="17"/>
      <c r="P214" s="17"/>
      <c r="Q214" s="17"/>
      <c r="R214" s="17"/>
      <c r="S214" s="15"/>
      <c r="T214" s="25">
        <v>45743</v>
      </c>
      <c r="U214" s="13" t="s">
        <v>142</v>
      </c>
      <c r="V214">
        <v>2</v>
      </c>
      <c r="X214" s="51" t="s">
        <v>107</v>
      </c>
      <c r="Y214" s="52">
        <f>COUNTIF(U213:U237,"R")</f>
        <v>3</v>
      </c>
      <c r="AA214" s="47" t="s">
        <v>81</v>
      </c>
      <c r="AB214" s="48" t="s">
        <v>60</v>
      </c>
    </row>
    <row r="215" spans="1:28" ht="19.5" thickBot="1" x14ac:dyDescent="0.45">
      <c r="A215" s="138"/>
      <c r="B215" s="144"/>
      <c r="C215" s="85" t="s">
        <v>321</v>
      </c>
      <c r="D215" s="106" t="s">
        <v>189</v>
      </c>
      <c r="E215" s="106" t="s">
        <v>40</v>
      </c>
      <c r="F215" s="16"/>
      <c r="G215" s="12" t="s">
        <v>178</v>
      </c>
      <c r="H215" s="13"/>
      <c r="I215" s="15"/>
      <c r="J215" s="13"/>
      <c r="K215" s="15"/>
      <c r="L215" s="13"/>
      <c r="M215" s="17"/>
      <c r="N215" s="17"/>
      <c r="O215" s="17">
        <v>1</v>
      </c>
      <c r="P215" s="17">
        <v>1</v>
      </c>
      <c r="Q215" s="17">
        <v>1</v>
      </c>
      <c r="R215" s="17"/>
      <c r="S215" s="15"/>
      <c r="T215" s="25">
        <v>45742</v>
      </c>
      <c r="U215" s="13" t="s">
        <v>148</v>
      </c>
      <c r="V215">
        <v>3</v>
      </c>
      <c r="X215" s="53" t="s">
        <v>108</v>
      </c>
      <c r="Y215" s="54">
        <f>COUNTIF(U213:U237,"J")</f>
        <v>3</v>
      </c>
      <c r="AA215" s="49" t="s">
        <v>82</v>
      </c>
      <c r="AB215" s="50" t="s">
        <v>39</v>
      </c>
    </row>
    <row r="216" spans="1:28" x14ac:dyDescent="0.4">
      <c r="A216" s="138"/>
      <c r="B216" s="144"/>
      <c r="C216" s="85" t="s">
        <v>322</v>
      </c>
      <c r="D216" s="106" t="s">
        <v>192</v>
      </c>
      <c r="E216" s="106" t="s">
        <v>74</v>
      </c>
      <c r="F216" s="16"/>
      <c r="G216" s="12" t="s">
        <v>178</v>
      </c>
      <c r="H216" s="15"/>
      <c r="I216" s="15"/>
      <c r="J216" s="13">
        <v>1</v>
      </c>
      <c r="K216" s="15">
        <v>1</v>
      </c>
      <c r="L216" s="13"/>
      <c r="M216" s="17"/>
      <c r="N216" s="17"/>
      <c r="O216" s="17"/>
      <c r="P216" s="17"/>
      <c r="Q216" s="17"/>
      <c r="R216" s="17"/>
      <c r="S216" s="15"/>
      <c r="T216" s="25">
        <v>45743</v>
      </c>
      <c r="U216" s="13" t="s">
        <v>146</v>
      </c>
      <c r="V216">
        <v>4</v>
      </c>
      <c r="AA216" s="49" t="s">
        <v>83</v>
      </c>
      <c r="AB216" s="50" t="s">
        <v>38</v>
      </c>
    </row>
    <row r="217" spans="1:28" x14ac:dyDescent="0.4">
      <c r="A217" s="138"/>
      <c r="B217" s="144"/>
      <c r="C217" s="85" t="s">
        <v>323</v>
      </c>
      <c r="D217" s="106" t="s">
        <v>192</v>
      </c>
      <c r="E217" s="106" t="s">
        <v>37</v>
      </c>
      <c r="F217" s="16"/>
      <c r="G217" s="12" t="s">
        <v>178</v>
      </c>
      <c r="H217" s="15"/>
      <c r="I217" s="15"/>
      <c r="J217" s="13">
        <v>1</v>
      </c>
      <c r="K217" s="15">
        <v>1</v>
      </c>
      <c r="L217" s="13"/>
      <c r="M217" s="17"/>
      <c r="N217" s="17"/>
      <c r="O217" s="17"/>
      <c r="P217" s="17"/>
      <c r="Q217" s="17"/>
      <c r="R217" s="17"/>
      <c r="S217" s="15"/>
      <c r="T217" s="25">
        <v>45743</v>
      </c>
      <c r="U217" s="13" t="s">
        <v>146</v>
      </c>
      <c r="V217">
        <v>5</v>
      </c>
      <c r="AA217" s="49" t="s">
        <v>84</v>
      </c>
      <c r="AB217" s="50" t="s">
        <v>44</v>
      </c>
    </row>
    <row r="218" spans="1:28" x14ac:dyDescent="0.4">
      <c r="A218" s="138"/>
      <c r="B218" s="144"/>
      <c r="C218" s="85" t="s">
        <v>324</v>
      </c>
      <c r="D218" s="106" t="s">
        <v>192</v>
      </c>
      <c r="E218" s="106" t="s">
        <v>37</v>
      </c>
      <c r="F218" s="16"/>
      <c r="G218" s="12" t="s">
        <v>178</v>
      </c>
      <c r="H218" s="13"/>
      <c r="I218" s="15"/>
      <c r="J218" s="13">
        <v>1</v>
      </c>
      <c r="K218" s="15"/>
      <c r="L218" s="13"/>
      <c r="M218" s="17"/>
      <c r="N218" s="17"/>
      <c r="O218" s="17"/>
      <c r="P218" s="17"/>
      <c r="Q218" s="17"/>
      <c r="R218" s="17"/>
      <c r="S218" s="15"/>
      <c r="T218" s="25">
        <v>45743</v>
      </c>
      <c r="U218" s="13" t="s">
        <v>146</v>
      </c>
      <c r="V218">
        <v>6</v>
      </c>
      <c r="AA218" s="49" t="s">
        <v>85</v>
      </c>
      <c r="AB218" s="50" t="s">
        <v>43</v>
      </c>
    </row>
    <row r="219" spans="1:28" x14ac:dyDescent="0.4">
      <c r="A219" s="138"/>
      <c r="B219" s="144"/>
      <c r="C219" s="85" t="s">
        <v>325</v>
      </c>
      <c r="D219" s="106" t="s">
        <v>192</v>
      </c>
      <c r="E219" s="106" t="s">
        <v>36</v>
      </c>
      <c r="F219" s="16"/>
      <c r="G219" s="12" t="s">
        <v>178</v>
      </c>
      <c r="H219" s="15"/>
      <c r="I219" s="15"/>
      <c r="J219" s="13">
        <v>1</v>
      </c>
      <c r="K219" s="15">
        <v>1</v>
      </c>
      <c r="L219" s="13"/>
      <c r="M219" s="17"/>
      <c r="N219" s="17"/>
      <c r="O219" s="17"/>
      <c r="P219" s="17"/>
      <c r="Q219" s="17"/>
      <c r="R219" s="17"/>
      <c r="S219" s="15"/>
      <c r="T219" s="25">
        <v>45743</v>
      </c>
      <c r="U219" s="13" t="s">
        <v>146</v>
      </c>
      <c r="V219">
        <v>7</v>
      </c>
      <c r="AA219" s="49" t="s">
        <v>86</v>
      </c>
      <c r="AB219" s="50" t="s">
        <v>45</v>
      </c>
    </row>
    <row r="220" spans="1:28" x14ac:dyDescent="0.4">
      <c r="A220" s="138"/>
      <c r="B220" s="144"/>
      <c r="C220" s="85" t="s">
        <v>326</v>
      </c>
      <c r="D220" s="106" t="s">
        <v>192</v>
      </c>
      <c r="E220" s="106" t="s">
        <v>37</v>
      </c>
      <c r="F220" s="16"/>
      <c r="G220" s="12" t="s">
        <v>178</v>
      </c>
      <c r="H220" s="15"/>
      <c r="I220" s="15"/>
      <c r="J220" s="13">
        <v>1</v>
      </c>
      <c r="K220" s="15">
        <v>1</v>
      </c>
      <c r="L220" s="13"/>
      <c r="M220" s="17"/>
      <c r="N220" s="17"/>
      <c r="O220" s="17"/>
      <c r="P220" s="17"/>
      <c r="Q220" s="17"/>
      <c r="R220" s="17"/>
      <c r="S220" s="15"/>
      <c r="T220" s="25">
        <v>45743</v>
      </c>
      <c r="U220" s="13" t="s">
        <v>146</v>
      </c>
      <c r="V220">
        <v>8</v>
      </c>
      <c r="AA220" s="49" t="s">
        <v>87</v>
      </c>
      <c r="AB220" s="50" t="s">
        <v>37</v>
      </c>
    </row>
    <row r="221" spans="1:28" x14ac:dyDescent="0.4">
      <c r="A221" s="138"/>
      <c r="B221" s="144"/>
      <c r="C221" s="85" t="s">
        <v>327</v>
      </c>
      <c r="D221" s="106" t="s">
        <v>192</v>
      </c>
      <c r="E221" s="106" t="s">
        <v>57</v>
      </c>
      <c r="F221" s="16"/>
      <c r="G221" s="12" t="s">
        <v>328</v>
      </c>
      <c r="H221" s="15"/>
      <c r="I221" s="15"/>
      <c r="J221" s="13"/>
      <c r="K221" s="15"/>
      <c r="L221" s="13"/>
      <c r="M221" s="17"/>
      <c r="N221" s="17"/>
      <c r="O221" s="17"/>
      <c r="P221" s="17"/>
      <c r="Q221" s="17"/>
      <c r="R221" s="17"/>
      <c r="S221" s="15"/>
      <c r="T221" s="25">
        <v>45753</v>
      </c>
      <c r="U221" s="13" t="s">
        <v>147</v>
      </c>
      <c r="V221">
        <v>9</v>
      </c>
      <c r="AA221" s="49" t="s">
        <v>88</v>
      </c>
      <c r="AB221" s="50" t="s">
        <v>74</v>
      </c>
    </row>
    <row r="222" spans="1:28" x14ac:dyDescent="0.4">
      <c r="A222" s="138"/>
      <c r="B222" s="144"/>
      <c r="C222" s="85" t="s">
        <v>330</v>
      </c>
      <c r="D222" s="106" t="s">
        <v>329</v>
      </c>
      <c r="E222" s="106" t="s">
        <v>41</v>
      </c>
      <c r="F222" s="106"/>
      <c r="G222" s="12" t="s">
        <v>178</v>
      </c>
      <c r="H222" s="15"/>
      <c r="I222" s="15"/>
      <c r="J222" s="13">
        <v>1</v>
      </c>
      <c r="K222" s="15"/>
      <c r="L222" s="13"/>
      <c r="M222" s="17"/>
      <c r="N222" s="17"/>
      <c r="O222" s="17"/>
      <c r="P222" s="17"/>
      <c r="Q222" s="17"/>
      <c r="R222" s="17"/>
      <c r="S222" s="15"/>
      <c r="T222" s="25">
        <v>45748</v>
      </c>
      <c r="U222" s="13" t="s">
        <v>146</v>
      </c>
      <c r="V222">
        <v>10</v>
      </c>
      <c r="AA222" s="49" t="s">
        <v>89</v>
      </c>
      <c r="AB222" s="50" t="s">
        <v>36</v>
      </c>
    </row>
    <row r="223" spans="1:28" x14ac:dyDescent="0.4">
      <c r="A223" s="138"/>
      <c r="B223" s="144"/>
      <c r="C223" s="85" t="s">
        <v>331</v>
      </c>
      <c r="D223" s="106" t="s">
        <v>329</v>
      </c>
      <c r="E223" s="106" t="s">
        <v>42</v>
      </c>
      <c r="F223" s="16"/>
      <c r="G223" s="12" t="s">
        <v>178</v>
      </c>
      <c r="H223" s="15"/>
      <c r="I223" s="15"/>
      <c r="J223" s="15"/>
      <c r="K223" s="15"/>
      <c r="L223" s="17"/>
      <c r="M223" s="17"/>
      <c r="N223" s="17"/>
      <c r="O223" s="17"/>
      <c r="P223" s="17"/>
      <c r="Q223" s="17"/>
      <c r="R223" s="17"/>
      <c r="S223" s="15">
        <v>1</v>
      </c>
      <c r="T223" s="25">
        <v>45748</v>
      </c>
      <c r="U223" s="13" t="s">
        <v>146</v>
      </c>
      <c r="V223">
        <v>11</v>
      </c>
      <c r="AA223" s="49" t="s">
        <v>90</v>
      </c>
      <c r="AB223" s="50" t="s">
        <v>58</v>
      </c>
    </row>
    <row r="224" spans="1:28" x14ac:dyDescent="0.4">
      <c r="A224" s="138"/>
      <c r="B224" s="144"/>
      <c r="C224" s="85" t="s">
        <v>332</v>
      </c>
      <c r="D224" s="106" t="s">
        <v>182</v>
      </c>
      <c r="E224" s="106" t="s">
        <v>38</v>
      </c>
      <c r="F224" s="16"/>
      <c r="G224" s="12" t="s">
        <v>178</v>
      </c>
      <c r="H224" s="15"/>
      <c r="I224" s="15"/>
      <c r="J224" s="15">
        <v>1</v>
      </c>
      <c r="K224" s="15"/>
      <c r="L224" s="17"/>
      <c r="M224" s="17"/>
      <c r="N224" s="17"/>
      <c r="O224" s="17"/>
      <c r="P224" s="17"/>
      <c r="Q224" s="17"/>
      <c r="R224" s="17"/>
      <c r="S224" s="15"/>
      <c r="T224" s="25">
        <v>45772</v>
      </c>
      <c r="U224" s="13" t="s">
        <v>146</v>
      </c>
      <c r="V224">
        <v>12</v>
      </c>
      <c r="AA224" s="49" t="s">
        <v>91</v>
      </c>
      <c r="AB224" s="50" t="s">
        <v>75</v>
      </c>
    </row>
    <row r="225" spans="1:28" x14ac:dyDescent="0.4">
      <c r="A225" s="138"/>
      <c r="B225" s="144"/>
      <c r="C225" s="85" t="s">
        <v>333</v>
      </c>
      <c r="D225" s="106" t="s">
        <v>182</v>
      </c>
      <c r="E225" s="106" t="s">
        <v>40</v>
      </c>
      <c r="F225" s="16"/>
      <c r="G225" s="12" t="s">
        <v>178</v>
      </c>
      <c r="H225" s="15"/>
      <c r="I225" s="15"/>
      <c r="J225" s="15"/>
      <c r="K225" s="15"/>
      <c r="L225" s="17"/>
      <c r="M225" s="17"/>
      <c r="N225" s="17"/>
      <c r="O225" s="17">
        <v>1</v>
      </c>
      <c r="P225" s="17">
        <v>1</v>
      </c>
      <c r="Q225" s="17">
        <v>1</v>
      </c>
      <c r="R225" s="17"/>
      <c r="S225" s="15"/>
      <c r="T225" s="25">
        <v>45772</v>
      </c>
      <c r="U225" s="13" t="s">
        <v>148</v>
      </c>
      <c r="V225">
        <v>13</v>
      </c>
      <c r="AA225" s="49" t="s">
        <v>92</v>
      </c>
      <c r="AB225" s="50" t="s">
        <v>40</v>
      </c>
    </row>
    <row r="226" spans="1:28" x14ac:dyDescent="0.4">
      <c r="A226" s="138"/>
      <c r="B226" s="144"/>
      <c r="C226" s="85" t="s">
        <v>334</v>
      </c>
      <c r="D226" s="106" t="s">
        <v>191</v>
      </c>
      <c r="E226" s="106" t="s">
        <v>36</v>
      </c>
      <c r="F226" s="16"/>
      <c r="G226" s="12" t="s">
        <v>178</v>
      </c>
      <c r="H226" s="15"/>
      <c r="I226" s="15"/>
      <c r="J226" s="15"/>
      <c r="K226" s="15"/>
      <c r="L226" s="17"/>
      <c r="M226" s="17"/>
      <c r="N226" s="17"/>
      <c r="O226" s="17"/>
      <c r="P226" s="17"/>
      <c r="Q226" s="17">
        <v>1</v>
      </c>
      <c r="R226" s="17"/>
      <c r="S226" s="15"/>
      <c r="T226" s="25">
        <v>45755</v>
      </c>
      <c r="U226" s="13" t="s">
        <v>147</v>
      </c>
      <c r="V226">
        <v>14</v>
      </c>
      <c r="AA226" s="49" t="s">
        <v>93</v>
      </c>
      <c r="AB226" s="50" t="s">
        <v>57</v>
      </c>
    </row>
    <row r="227" spans="1:28" x14ac:dyDescent="0.4">
      <c r="A227" s="138"/>
      <c r="B227" s="144"/>
      <c r="C227" s="85" t="s">
        <v>335</v>
      </c>
      <c r="D227" s="106" t="s">
        <v>191</v>
      </c>
      <c r="E227" s="106" t="s">
        <v>39</v>
      </c>
      <c r="F227" s="16"/>
      <c r="G227" s="12" t="s">
        <v>178</v>
      </c>
      <c r="H227" s="15"/>
      <c r="I227" s="15"/>
      <c r="J227" s="15">
        <v>1</v>
      </c>
      <c r="K227" s="15">
        <v>1</v>
      </c>
      <c r="L227" s="17"/>
      <c r="M227" s="17"/>
      <c r="N227" s="17"/>
      <c r="O227" s="17"/>
      <c r="P227" s="17"/>
      <c r="Q227" s="17"/>
      <c r="R227" s="17"/>
      <c r="S227" s="15"/>
      <c r="T227" s="25">
        <v>45774</v>
      </c>
      <c r="U227" s="13" t="s">
        <v>146</v>
      </c>
      <c r="V227">
        <v>15</v>
      </c>
      <c r="AA227" s="49" t="s">
        <v>94</v>
      </c>
      <c r="AB227" s="50" t="s">
        <v>41</v>
      </c>
    </row>
    <row r="228" spans="1:28" x14ac:dyDescent="0.4">
      <c r="A228" s="138"/>
      <c r="B228" s="144"/>
      <c r="C228" s="85" t="s">
        <v>336</v>
      </c>
      <c r="D228" s="106" t="s">
        <v>192</v>
      </c>
      <c r="E228" s="106" t="s">
        <v>60</v>
      </c>
      <c r="F228" s="16"/>
      <c r="G228" s="12" t="s">
        <v>178</v>
      </c>
      <c r="H228" s="15"/>
      <c r="I228" s="15"/>
      <c r="J228" s="18">
        <v>1</v>
      </c>
      <c r="K228" s="15">
        <v>1</v>
      </c>
      <c r="L228" s="19"/>
      <c r="M228" s="19"/>
      <c r="N228" s="19"/>
      <c r="O228" s="19"/>
      <c r="P228" s="19"/>
      <c r="Q228" s="19"/>
      <c r="R228" s="19"/>
      <c r="S228" s="15"/>
      <c r="T228" s="25">
        <v>45743</v>
      </c>
      <c r="U228" s="13" t="s">
        <v>146</v>
      </c>
      <c r="V228">
        <v>16</v>
      </c>
      <c r="AA228" s="49" t="s">
        <v>95</v>
      </c>
      <c r="AB228" s="50" t="s">
        <v>42</v>
      </c>
    </row>
    <row r="229" spans="1:28" x14ac:dyDescent="0.4">
      <c r="A229" s="138"/>
      <c r="B229" s="144"/>
      <c r="C229" s="85" t="s">
        <v>337</v>
      </c>
      <c r="D229" s="106" t="s">
        <v>192</v>
      </c>
      <c r="E229" s="106" t="s">
        <v>37</v>
      </c>
      <c r="F229" s="16"/>
      <c r="G229" s="12" t="s">
        <v>178</v>
      </c>
      <c r="H229" s="15"/>
      <c r="I229" s="15"/>
      <c r="J229" s="18">
        <v>1</v>
      </c>
      <c r="K229" s="15">
        <v>1</v>
      </c>
      <c r="L229" s="19"/>
      <c r="M229" s="19"/>
      <c r="N229" s="19"/>
      <c r="O229" s="19"/>
      <c r="P229" s="19"/>
      <c r="Q229" s="19"/>
      <c r="R229" s="19"/>
      <c r="S229" s="15"/>
      <c r="T229" s="25">
        <v>45743</v>
      </c>
      <c r="U229" s="13" t="s">
        <v>146</v>
      </c>
      <c r="V229">
        <v>17</v>
      </c>
      <c r="AA229" s="49" t="s">
        <v>96</v>
      </c>
      <c r="AB229" s="50" t="s">
        <v>61</v>
      </c>
    </row>
    <row r="230" spans="1:28" x14ac:dyDescent="0.4">
      <c r="A230" s="138"/>
      <c r="B230" s="144"/>
      <c r="C230" s="85" t="s">
        <v>338</v>
      </c>
      <c r="D230" s="110" t="s">
        <v>192</v>
      </c>
      <c r="E230" s="18" t="s">
        <v>36</v>
      </c>
      <c r="F230" s="16"/>
      <c r="G230" s="18" t="s">
        <v>178</v>
      </c>
      <c r="H230" s="15"/>
      <c r="I230" s="15"/>
      <c r="J230" s="18"/>
      <c r="K230" s="15"/>
      <c r="L230" s="19"/>
      <c r="M230" s="19">
        <v>1</v>
      </c>
      <c r="N230" s="19"/>
      <c r="O230" s="19"/>
      <c r="P230" s="19"/>
      <c r="Q230" s="19">
        <v>1</v>
      </c>
      <c r="R230" s="19"/>
      <c r="S230" s="15"/>
      <c r="T230" s="26">
        <v>45753</v>
      </c>
      <c r="U230" s="15" t="s">
        <v>147</v>
      </c>
      <c r="V230">
        <v>18</v>
      </c>
      <c r="AA230" s="49" t="s">
        <v>97</v>
      </c>
      <c r="AB230" s="50" t="s">
        <v>76</v>
      </c>
    </row>
    <row r="231" spans="1:28" x14ac:dyDescent="0.4">
      <c r="A231" s="138"/>
      <c r="B231" s="144"/>
      <c r="C231" s="85"/>
      <c r="D231" s="110"/>
      <c r="E231" s="18"/>
      <c r="F231" s="16"/>
      <c r="G231" s="18"/>
      <c r="H231" s="15"/>
      <c r="I231" s="15"/>
      <c r="J231" s="18"/>
      <c r="K231" s="15"/>
      <c r="L231" s="19"/>
      <c r="M231" s="19"/>
      <c r="N231" s="19"/>
      <c r="O231" s="19"/>
      <c r="P231" s="19"/>
      <c r="Q231" s="19"/>
      <c r="R231" s="19"/>
      <c r="S231" s="15"/>
      <c r="T231" s="26"/>
      <c r="U231" s="15"/>
      <c r="V231">
        <v>19</v>
      </c>
      <c r="AA231" s="49" t="s">
        <v>98</v>
      </c>
      <c r="AB231" s="50" t="s">
        <v>77</v>
      </c>
    </row>
    <row r="232" spans="1:28" x14ac:dyDescent="0.4">
      <c r="A232" s="138"/>
      <c r="B232" s="144"/>
      <c r="C232" s="86"/>
      <c r="D232" s="110"/>
      <c r="E232" s="18"/>
      <c r="F232" s="16"/>
      <c r="G232" s="18"/>
      <c r="H232" s="15"/>
      <c r="I232" s="15"/>
      <c r="J232" s="18"/>
      <c r="K232" s="15"/>
      <c r="L232" s="19"/>
      <c r="M232" s="19"/>
      <c r="N232" s="19"/>
      <c r="O232" s="19"/>
      <c r="P232" s="19"/>
      <c r="Q232" s="19"/>
      <c r="R232" s="19"/>
      <c r="S232" s="15"/>
      <c r="T232" s="30"/>
      <c r="U232" s="15"/>
      <c r="V232">
        <v>20</v>
      </c>
      <c r="AA232" s="49" t="s">
        <v>99</v>
      </c>
      <c r="AB232" s="50" t="s">
        <v>78</v>
      </c>
    </row>
    <row r="233" spans="1:28" x14ac:dyDescent="0.4">
      <c r="A233" s="138"/>
      <c r="B233" s="144"/>
      <c r="C233" s="86"/>
      <c r="D233" s="110"/>
      <c r="E233" s="18"/>
      <c r="F233" s="16"/>
      <c r="G233" s="18"/>
      <c r="H233" s="15"/>
      <c r="I233" s="15"/>
      <c r="J233" s="18"/>
      <c r="K233" s="15"/>
      <c r="L233" s="19"/>
      <c r="M233" s="19"/>
      <c r="N233" s="19"/>
      <c r="O233" s="19"/>
      <c r="P233" s="19"/>
      <c r="Q233" s="19"/>
      <c r="R233" s="19"/>
      <c r="S233" s="15"/>
      <c r="T233" s="30"/>
      <c r="U233" s="15"/>
      <c r="V233">
        <v>21</v>
      </c>
      <c r="AA233" s="49" t="s">
        <v>100</v>
      </c>
      <c r="AB233" s="50" t="s">
        <v>79</v>
      </c>
    </row>
    <row r="234" spans="1:28" x14ac:dyDescent="0.4">
      <c r="A234" s="138"/>
      <c r="B234" s="144"/>
      <c r="C234" s="86"/>
      <c r="D234" s="106"/>
      <c r="E234" s="15"/>
      <c r="F234" s="16"/>
      <c r="G234" s="15"/>
      <c r="H234" s="15"/>
      <c r="I234" s="15"/>
      <c r="J234" s="15"/>
      <c r="K234" s="15"/>
      <c r="L234" s="17"/>
      <c r="M234" s="17"/>
      <c r="N234" s="17"/>
      <c r="O234" s="17"/>
      <c r="P234" s="17"/>
      <c r="Q234" s="17"/>
      <c r="R234" s="17"/>
      <c r="S234" s="15"/>
      <c r="T234" s="17"/>
      <c r="U234" s="15"/>
      <c r="V234">
        <v>22</v>
      </c>
      <c r="AA234" s="49" t="s">
        <v>101</v>
      </c>
      <c r="AB234" s="50" t="s">
        <v>59</v>
      </c>
    </row>
    <row r="235" spans="1:28" x14ac:dyDescent="0.4">
      <c r="A235" s="138"/>
      <c r="B235" s="144"/>
      <c r="C235" s="85"/>
      <c r="D235" s="109"/>
      <c r="E235" s="13"/>
      <c r="F235" s="16"/>
      <c r="G235" s="13"/>
      <c r="H235" s="18"/>
      <c r="I235" s="15"/>
      <c r="J235" s="13"/>
      <c r="K235" s="13"/>
      <c r="L235" s="20"/>
      <c r="M235" s="20"/>
      <c r="N235" s="20"/>
      <c r="O235" s="20"/>
      <c r="P235" s="20"/>
      <c r="Q235" s="20"/>
      <c r="R235" s="20"/>
      <c r="S235" s="15"/>
      <c r="T235" s="20"/>
      <c r="U235" s="15"/>
      <c r="V235">
        <v>23</v>
      </c>
      <c r="AA235" s="49" t="s">
        <v>102</v>
      </c>
      <c r="AB235" s="50" t="s">
        <v>62</v>
      </c>
    </row>
    <row r="236" spans="1:28" ht="19.5" thickBot="1" x14ac:dyDescent="0.45">
      <c r="A236" s="138"/>
      <c r="B236" s="144"/>
      <c r="C236" s="86"/>
      <c r="D236" s="106"/>
      <c r="E236" s="15"/>
      <c r="F236" s="16"/>
      <c r="G236" s="15"/>
      <c r="H236" s="15"/>
      <c r="I236" s="15"/>
      <c r="J236" s="15"/>
      <c r="K236" s="15"/>
      <c r="L236" s="17"/>
      <c r="M236" s="17"/>
      <c r="N236" s="17"/>
      <c r="O236" s="17"/>
      <c r="P236" s="17"/>
      <c r="Q236" s="17"/>
      <c r="R236" s="17"/>
      <c r="S236" s="15"/>
      <c r="T236" s="17"/>
      <c r="U236" s="15"/>
      <c r="V236">
        <v>24</v>
      </c>
      <c r="AA236" s="55" t="s">
        <v>103</v>
      </c>
      <c r="AB236" s="56" t="s">
        <v>80</v>
      </c>
    </row>
    <row r="237" spans="1:28" ht="19.5" thickBot="1" x14ac:dyDescent="0.45">
      <c r="A237" s="139"/>
      <c r="B237" s="145"/>
      <c r="C237" s="87"/>
      <c r="D237" s="111"/>
      <c r="E237" s="21"/>
      <c r="F237" s="22"/>
      <c r="G237" s="21"/>
      <c r="H237" s="21"/>
      <c r="I237" s="21"/>
      <c r="J237" s="21"/>
      <c r="K237" s="21"/>
      <c r="L237" s="23"/>
      <c r="M237" s="23"/>
      <c r="N237" s="23"/>
      <c r="O237" s="23"/>
      <c r="P237" s="23"/>
      <c r="Q237" s="23"/>
      <c r="R237" s="23"/>
      <c r="S237" s="21"/>
      <c r="T237" s="23"/>
      <c r="U237" s="21"/>
      <c r="V237">
        <v>25</v>
      </c>
      <c r="AA237" s="57" t="s">
        <v>47</v>
      </c>
      <c r="AB237" s="58"/>
    </row>
    <row r="238" spans="1:28" x14ac:dyDescent="0.4">
      <c r="A238" s="27"/>
      <c r="B238" s="28"/>
      <c r="C238" s="88">
        <f>COUNTA(C213:C237)</f>
        <v>18</v>
      </c>
      <c r="D238" s="112"/>
      <c r="E238" s="29"/>
      <c r="F238" s="29" t="s">
        <v>34</v>
      </c>
      <c r="G238" s="29">
        <f>COUNTIF(G213:G237,"S")</f>
        <v>16</v>
      </c>
      <c r="H238" s="29">
        <f>COUNTIF(H213:H237,"E")</f>
        <v>0</v>
      </c>
      <c r="I238" s="29">
        <f>SUM(I213:I237)</f>
        <v>0</v>
      </c>
      <c r="J238" s="29">
        <f t="shared" ref="J238" si="43">SUM(J213:J237)</f>
        <v>11</v>
      </c>
      <c r="K238" s="29">
        <f t="shared" ref="K238" si="44">SUM(K213:K237)</f>
        <v>8</v>
      </c>
      <c r="L238" s="29">
        <f t="shared" ref="L238" si="45">SUM(L213:L237)</f>
        <v>0</v>
      </c>
      <c r="M238" s="29">
        <f t="shared" ref="M238" si="46">SUM(M213:M237)</f>
        <v>1</v>
      </c>
      <c r="N238" s="29">
        <f t="shared" ref="N238" si="47">SUM(N213:N237)</f>
        <v>0</v>
      </c>
      <c r="O238" s="29">
        <f t="shared" ref="O238" si="48">SUM(O213:O237)</f>
        <v>3</v>
      </c>
      <c r="P238" s="29">
        <f t="shared" ref="P238" si="49">SUM(P213:P237)</f>
        <v>3</v>
      </c>
      <c r="Q238" s="29">
        <f t="shared" ref="Q238" si="50">SUM(Q213:Q237)</f>
        <v>5</v>
      </c>
      <c r="R238" s="29">
        <f t="shared" ref="R238" si="51">SUM(R213:R237)</f>
        <v>0</v>
      </c>
      <c r="S238" s="29">
        <f t="shared" ref="S238" si="52">SUM(S213:S237)</f>
        <v>1</v>
      </c>
      <c r="T238" s="29" t="s">
        <v>63</v>
      </c>
      <c r="U238" s="29">
        <f>COUNTIF(H213:H237,"M")</f>
        <v>0</v>
      </c>
    </row>
    <row r="239" spans="1:28" x14ac:dyDescent="0.4">
      <c r="A239" s="27"/>
      <c r="B239" s="28"/>
      <c r="C239" s="88"/>
      <c r="D239" s="112"/>
      <c r="E239" s="29"/>
      <c r="F239" s="29" t="s">
        <v>35</v>
      </c>
      <c r="G239" s="29">
        <f>COUNTIF(G213:G237,"P")</f>
        <v>1</v>
      </c>
      <c r="H239" s="29">
        <f>COUNTIF(H213:H237,"R")</f>
        <v>0</v>
      </c>
      <c r="I239" s="29"/>
      <c r="J239" s="29"/>
      <c r="K239" s="29"/>
      <c r="L239" s="29"/>
      <c r="M239" s="29"/>
      <c r="N239" s="29"/>
      <c r="O239" s="29"/>
      <c r="P239" s="29"/>
      <c r="Q239" s="29"/>
      <c r="R239" s="29" t="s">
        <v>130</v>
      </c>
      <c r="S239" s="29">
        <f>SUM(J238:S238)</f>
        <v>32</v>
      </c>
      <c r="T239" s="29"/>
      <c r="U239" s="29"/>
    </row>
    <row r="240" spans="1:28" ht="6" customHeight="1" x14ac:dyDescent="0.4"/>
    <row r="241" spans="1:28" ht="19.5" thickBot="1" x14ac:dyDescent="0.45">
      <c r="A241" s="1" t="str">
        <f>A1</f>
        <v>AYG102</v>
      </c>
      <c r="B241" s="24">
        <f>B1</f>
        <v>45720</v>
      </c>
      <c r="C241" s="83" t="s">
        <v>0</v>
      </c>
      <c r="D241" s="107"/>
      <c r="E241" s="2" t="s">
        <v>1</v>
      </c>
      <c r="F241" s="3"/>
      <c r="G241" s="2"/>
      <c r="H241" s="2" t="s">
        <v>4</v>
      </c>
      <c r="I241" s="3" t="s">
        <v>3</v>
      </c>
      <c r="J241" s="2" t="s">
        <v>5</v>
      </c>
      <c r="K241" s="2" t="s">
        <v>6</v>
      </c>
      <c r="L241" s="2" t="s">
        <v>7</v>
      </c>
      <c r="M241" s="2" t="s">
        <v>8</v>
      </c>
      <c r="N241" s="2" t="s">
        <v>9</v>
      </c>
      <c r="O241" s="2" t="s">
        <v>10</v>
      </c>
      <c r="P241" s="2" t="s">
        <v>11</v>
      </c>
      <c r="Q241" s="3" t="s">
        <v>12</v>
      </c>
      <c r="R241" s="2" t="s">
        <v>3</v>
      </c>
      <c r="S241" s="3" t="s">
        <v>2</v>
      </c>
      <c r="T241" s="2"/>
      <c r="U241" s="3"/>
    </row>
    <row r="242" spans="1:28" ht="19.5" thickBot="1" x14ac:dyDescent="0.45">
      <c r="A242" s="4" t="s">
        <v>13</v>
      </c>
      <c r="B242" s="5" t="s">
        <v>14</v>
      </c>
      <c r="C242" s="84" t="s">
        <v>15</v>
      </c>
      <c r="D242" s="108" t="s">
        <v>16</v>
      </c>
      <c r="E242" s="5" t="s">
        <v>17</v>
      </c>
      <c r="F242" s="7" t="s">
        <v>18</v>
      </c>
      <c r="G242" s="5" t="s">
        <v>134</v>
      </c>
      <c r="H242" s="5" t="s">
        <v>20</v>
      </c>
      <c r="I242" s="8" t="s">
        <v>21</v>
      </c>
      <c r="J242" s="5" t="s">
        <v>22</v>
      </c>
      <c r="K242" s="5" t="s">
        <v>23</v>
      </c>
      <c r="L242" s="9" t="s">
        <v>24</v>
      </c>
      <c r="M242" s="9" t="s">
        <v>25</v>
      </c>
      <c r="N242" s="9" t="s">
        <v>26</v>
      </c>
      <c r="O242" s="10" t="s">
        <v>27</v>
      </c>
      <c r="P242" s="9" t="s">
        <v>28</v>
      </c>
      <c r="Q242" s="9" t="s">
        <v>29</v>
      </c>
      <c r="R242" s="9" t="s">
        <v>30</v>
      </c>
      <c r="S242" s="5" t="s">
        <v>31</v>
      </c>
      <c r="T242" s="11" t="s">
        <v>32</v>
      </c>
      <c r="U242" s="6" t="s">
        <v>33</v>
      </c>
      <c r="X242" s="149" t="s">
        <v>112</v>
      </c>
      <c r="Y242" s="149"/>
    </row>
    <row r="243" spans="1:28" ht="20.25" thickTop="1" thickBot="1" x14ac:dyDescent="0.45">
      <c r="A243" s="137">
        <v>9</v>
      </c>
      <c r="B243" s="143">
        <v>23.2</v>
      </c>
      <c r="C243" s="85" t="s">
        <v>339</v>
      </c>
      <c r="D243" s="109" t="s">
        <v>187</v>
      </c>
      <c r="E243" s="13" t="s">
        <v>41</v>
      </c>
      <c r="F243" s="14"/>
      <c r="G243" s="12" t="s">
        <v>178</v>
      </c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26">
        <v>45753</v>
      </c>
      <c r="U243" s="13" t="s">
        <v>147</v>
      </c>
      <c r="V243">
        <v>1</v>
      </c>
      <c r="X243" t="s">
        <v>106</v>
      </c>
      <c r="Y243">
        <f>COUNTIF(U243:U267,"K")</f>
        <v>9</v>
      </c>
      <c r="AA243" s="59" t="s">
        <v>120</v>
      </c>
      <c r="AB243" s="60" t="s">
        <v>121</v>
      </c>
    </row>
    <row r="244" spans="1:28" x14ac:dyDescent="0.4">
      <c r="A244" s="138"/>
      <c r="B244" s="144"/>
      <c r="C244" s="85" t="s">
        <v>340</v>
      </c>
      <c r="D244" s="109" t="s">
        <v>177</v>
      </c>
      <c r="E244" s="13" t="s">
        <v>36</v>
      </c>
      <c r="F244" s="16"/>
      <c r="G244" s="12" t="s">
        <v>178</v>
      </c>
      <c r="H244" s="15"/>
      <c r="I244" s="15"/>
      <c r="J244" s="15">
        <v>1</v>
      </c>
      <c r="K244" s="15">
        <v>1</v>
      </c>
      <c r="L244" s="17"/>
      <c r="M244" s="17"/>
      <c r="N244" s="17"/>
      <c r="O244" s="17"/>
      <c r="P244" s="17"/>
      <c r="Q244" s="17"/>
      <c r="R244" s="17"/>
      <c r="S244" s="15"/>
      <c r="T244" s="26">
        <v>45746</v>
      </c>
      <c r="U244" s="13" t="s">
        <v>142</v>
      </c>
      <c r="V244">
        <v>2</v>
      </c>
      <c r="X244" t="s">
        <v>107</v>
      </c>
      <c r="Y244">
        <f>COUNTIF(U243:U267,"R")</f>
        <v>10</v>
      </c>
      <c r="AA244" s="47" t="s">
        <v>81</v>
      </c>
      <c r="AB244" s="48" t="s">
        <v>60</v>
      </c>
    </row>
    <row r="245" spans="1:28" x14ac:dyDescent="0.4">
      <c r="A245" s="138"/>
      <c r="B245" s="144"/>
      <c r="C245" s="85" t="s">
        <v>341</v>
      </c>
      <c r="D245" s="109" t="s">
        <v>177</v>
      </c>
      <c r="E245" s="13" t="s">
        <v>36</v>
      </c>
      <c r="F245" s="16"/>
      <c r="G245" s="12" t="s">
        <v>178</v>
      </c>
      <c r="H245" s="15"/>
      <c r="I245" s="15"/>
      <c r="J245" s="15"/>
      <c r="K245" s="15"/>
      <c r="L245" s="17"/>
      <c r="M245" s="17">
        <v>1</v>
      </c>
      <c r="N245" s="17"/>
      <c r="O245" s="17"/>
      <c r="P245" s="17"/>
      <c r="Q245" s="17">
        <v>1</v>
      </c>
      <c r="R245" s="17"/>
      <c r="S245" s="15"/>
      <c r="T245" s="26">
        <v>45746</v>
      </c>
      <c r="U245" s="13" t="s">
        <v>147</v>
      </c>
      <c r="V245">
        <v>3</v>
      </c>
      <c r="X245" t="s">
        <v>108</v>
      </c>
      <c r="Y245">
        <f>COUNTIF(U243:U267,"J")</f>
        <v>2</v>
      </c>
      <c r="AA245" s="49" t="s">
        <v>82</v>
      </c>
      <c r="AB245" s="50" t="s">
        <v>39</v>
      </c>
    </row>
    <row r="246" spans="1:28" x14ac:dyDescent="0.4">
      <c r="A246" s="138"/>
      <c r="B246" s="144"/>
      <c r="C246" s="85" t="s">
        <v>342</v>
      </c>
      <c r="D246" s="109" t="s">
        <v>177</v>
      </c>
      <c r="E246" s="13" t="s">
        <v>36</v>
      </c>
      <c r="F246" s="16"/>
      <c r="G246" s="12" t="s">
        <v>178</v>
      </c>
      <c r="H246" s="15"/>
      <c r="I246" s="15"/>
      <c r="J246" s="15"/>
      <c r="K246" s="15"/>
      <c r="L246" s="17"/>
      <c r="M246" s="17">
        <v>1</v>
      </c>
      <c r="N246" s="17"/>
      <c r="O246" s="17"/>
      <c r="P246" s="17"/>
      <c r="Q246" s="17">
        <v>1</v>
      </c>
      <c r="R246" s="17"/>
      <c r="S246" s="15"/>
      <c r="T246" s="26">
        <v>45755</v>
      </c>
      <c r="U246" s="13" t="s">
        <v>147</v>
      </c>
      <c r="V246">
        <v>4</v>
      </c>
      <c r="AA246" s="49" t="s">
        <v>83</v>
      </c>
      <c r="AB246" s="50" t="s">
        <v>38</v>
      </c>
    </row>
    <row r="247" spans="1:28" x14ac:dyDescent="0.4">
      <c r="A247" s="138"/>
      <c r="B247" s="144"/>
      <c r="C247" s="85" t="s">
        <v>343</v>
      </c>
      <c r="D247" s="109" t="s">
        <v>180</v>
      </c>
      <c r="E247" s="13" t="s">
        <v>38</v>
      </c>
      <c r="F247" s="16"/>
      <c r="G247" s="12" t="s">
        <v>178</v>
      </c>
      <c r="H247" s="15"/>
      <c r="I247" s="15"/>
      <c r="J247" s="15">
        <v>1</v>
      </c>
      <c r="K247" s="15">
        <v>1</v>
      </c>
      <c r="L247" s="17"/>
      <c r="M247" s="17"/>
      <c r="N247" s="17"/>
      <c r="O247" s="17"/>
      <c r="P247" s="17"/>
      <c r="Q247" s="17"/>
      <c r="R247" s="17"/>
      <c r="S247" s="15"/>
      <c r="T247" s="26">
        <v>45738</v>
      </c>
      <c r="U247" s="13" t="s">
        <v>146</v>
      </c>
      <c r="V247">
        <v>5</v>
      </c>
      <c r="AA247" s="49" t="s">
        <v>84</v>
      </c>
      <c r="AB247" s="50" t="s">
        <v>44</v>
      </c>
    </row>
    <row r="248" spans="1:28" x14ac:dyDescent="0.4">
      <c r="A248" s="138"/>
      <c r="B248" s="144"/>
      <c r="C248" s="85" t="s">
        <v>344</v>
      </c>
      <c r="D248" s="109" t="s">
        <v>179</v>
      </c>
      <c r="E248" s="13" t="s">
        <v>36</v>
      </c>
      <c r="F248" s="16"/>
      <c r="G248" s="12" t="s">
        <v>178</v>
      </c>
      <c r="H248" s="13"/>
      <c r="I248" s="15"/>
      <c r="J248" s="15"/>
      <c r="K248" s="15"/>
      <c r="L248" s="17"/>
      <c r="M248" s="17">
        <v>1</v>
      </c>
      <c r="N248" s="17">
        <v>1</v>
      </c>
      <c r="O248" s="17"/>
      <c r="P248" s="17"/>
      <c r="Q248" s="17">
        <v>1</v>
      </c>
      <c r="R248" s="17"/>
      <c r="S248" s="15"/>
      <c r="T248" s="26">
        <v>45740</v>
      </c>
      <c r="U248" s="13" t="s">
        <v>147</v>
      </c>
      <c r="V248">
        <v>6</v>
      </c>
      <c r="AA248" s="49" t="s">
        <v>85</v>
      </c>
      <c r="AB248" s="50" t="s">
        <v>43</v>
      </c>
    </row>
    <row r="249" spans="1:28" x14ac:dyDescent="0.4">
      <c r="A249" s="138"/>
      <c r="B249" s="144"/>
      <c r="C249" s="85" t="s">
        <v>345</v>
      </c>
      <c r="D249" s="109" t="s">
        <v>179</v>
      </c>
      <c r="E249" s="13" t="s">
        <v>36</v>
      </c>
      <c r="F249" s="16"/>
      <c r="G249" s="12" t="s">
        <v>178</v>
      </c>
      <c r="H249" s="15"/>
      <c r="I249" s="15"/>
      <c r="J249" s="15">
        <v>1</v>
      </c>
      <c r="K249" s="15">
        <v>1</v>
      </c>
      <c r="L249" s="17"/>
      <c r="M249" s="17"/>
      <c r="N249" s="17"/>
      <c r="O249" s="17"/>
      <c r="P249" s="17"/>
      <c r="Q249" s="17"/>
      <c r="R249" s="17"/>
      <c r="S249" s="15"/>
      <c r="T249" s="26">
        <v>45745</v>
      </c>
      <c r="U249" s="13" t="s">
        <v>146</v>
      </c>
      <c r="V249">
        <v>7</v>
      </c>
      <c r="AA249" s="49" t="s">
        <v>86</v>
      </c>
      <c r="AB249" s="50" t="s">
        <v>45</v>
      </c>
    </row>
    <row r="250" spans="1:28" x14ac:dyDescent="0.4">
      <c r="A250" s="138"/>
      <c r="B250" s="144"/>
      <c r="C250" s="85" t="s">
        <v>346</v>
      </c>
      <c r="D250" s="109" t="s">
        <v>179</v>
      </c>
      <c r="E250" s="13" t="s">
        <v>37</v>
      </c>
      <c r="F250" s="16"/>
      <c r="G250" s="12" t="s">
        <v>178</v>
      </c>
      <c r="H250" s="15"/>
      <c r="I250" s="15"/>
      <c r="J250" s="15">
        <v>1</v>
      </c>
      <c r="K250" s="15">
        <v>1</v>
      </c>
      <c r="L250" s="17"/>
      <c r="M250" s="17"/>
      <c r="N250" s="17"/>
      <c r="O250" s="17"/>
      <c r="P250" s="17"/>
      <c r="Q250" s="17"/>
      <c r="R250" s="17"/>
      <c r="S250" s="15"/>
      <c r="T250" s="26">
        <v>45745</v>
      </c>
      <c r="U250" s="13" t="s">
        <v>146</v>
      </c>
      <c r="V250">
        <v>8</v>
      </c>
      <c r="AA250" s="49" t="s">
        <v>87</v>
      </c>
      <c r="AB250" s="50" t="s">
        <v>37</v>
      </c>
    </row>
    <row r="251" spans="1:28" x14ac:dyDescent="0.4">
      <c r="A251" s="138"/>
      <c r="B251" s="144"/>
      <c r="C251" s="85" t="s">
        <v>347</v>
      </c>
      <c r="D251" s="109" t="s">
        <v>179</v>
      </c>
      <c r="E251" s="13" t="s">
        <v>38</v>
      </c>
      <c r="F251" s="16"/>
      <c r="G251" s="12" t="s">
        <v>178</v>
      </c>
      <c r="H251" s="15"/>
      <c r="I251" s="15"/>
      <c r="J251" s="15">
        <v>1</v>
      </c>
      <c r="K251" s="15">
        <v>1</v>
      </c>
      <c r="L251" s="17"/>
      <c r="M251" s="17"/>
      <c r="N251" s="17"/>
      <c r="O251" s="17"/>
      <c r="P251" s="17"/>
      <c r="Q251" s="17"/>
      <c r="R251" s="17"/>
      <c r="S251" s="15"/>
      <c r="T251" s="26">
        <v>45745</v>
      </c>
      <c r="U251" s="13" t="s">
        <v>146</v>
      </c>
      <c r="V251">
        <v>9</v>
      </c>
      <c r="AA251" s="49" t="s">
        <v>88</v>
      </c>
      <c r="AB251" s="50" t="s">
        <v>74</v>
      </c>
    </row>
    <row r="252" spans="1:28" x14ac:dyDescent="0.4">
      <c r="A252" s="138"/>
      <c r="B252" s="144"/>
      <c r="C252" s="85" t="s">
        <v>348</v>
      </c>
      <c r="D252" s="109" t="s">
        <v>179</v>
      </c>
      <c r="E252" s="13" t="s">
        <v>38</v>
      </c>
      <c r="F252" s="16"/>
      <c r="G252" s="12" t="s">
        <v>178</v>
      </c>
      <c r="H252" s="15"/>
      <c r="I252" s="15"/>
      <c r="J252" s="15">
        <v>1</v>
      </c>
      <c r="K252" s="15">
        <v>1</v>
      </c>
      <c r="L252" s="17"/>
      <c r="M252" s="17"/>
      <c r="N252" s="17"/>
      <c r="O252" s="17"/>
      <c r="P252" s="17"/>
      <c r="Q252" s="17"/>
      <c r="R252" s="17"/>
      <c r="S252" s="15"/>
      <c r="T252" s="26">
        <v>45742</v>
      </c>
      <c r="U252" s="13" t="s">
        <v>146</v>
      </c>
      <c r="V252">
        <v>10</v>
      </c>
      <c r="AA252" s="49" t="s">
        <v>89</v>
      </c>
      <c r="AB252" s="50" t="s">
        <v>36</v>
      </c>
    </row>
    <row r="253" spans="1:28" x14ac:dyDescent="0.4">
      <c r="A253" s="138"/>
      <c r="B253" s="144"/>
      <c r="C253" s="85" t="s">
        <v>349</v>
      </c>
      <c r="D253" s="109" t="s">
        <v>238</v>
      </c>
      <c r="E253" s="13" t="s">
        <v>39</v>
      </c>
      <c r="F253" s="16"/>
      <c r="G253" s="12" t="s">
        <v>178</v>
      </c>
      <c r="H253" s="15"/>
      <c r="I253" s="15"/>
      <c r="J253" s="15"/>
      <c r="K253" s="15">
        <v>1</v>
      </c>
      <c r="L253" s="17"/>
      <c r="M253" s="17"/>
      <c r="N253" s="17"/>
      <c r="O253" s="17"/>
      <c r="P253" s="17"/>
      <c r="Q253" s="17"/>
      <c r="R253" s="17"/>
      <c r="S253" s="15"/>
      <c r="T253" s="26">
        <v>45747</v>
      </c>
      <c r="U253" s="13" t="s">
        <v>146</v>
      </c>
      <c r="V253">
        <v>11</v>
      </c>
      <c r="AA253" s="49" t="s">
        <v>90</v>
      </c>
      <c r="AB253" s="50" t="s">
        <v>58</v>
      </c>
    </row>
    <row r="254" spans="1:28" x14ac:dyDescent="0.4">
      <c r="A254" s="138"/>
      <c r="B254" s="144"/>
      <c r="C254" s="85" t="s">
        <v>350</v>
      </c>
      <c r="D254" s="109" t="s">
        <v>238</v>
      </c>
      <c r="E254" s="13" t="s">
        <v>39</v>
      </c>
      <c r="F254" s="16"/>
      <c r="G254" s="12" t="s">
        <v>178</v>
      </c>
      <c r="H254" s="15"/>
      <c r="I254" s="15"/>
      <c r="J254" s="15"/>
      <c r="K254" s="15"/>
      <c r="L254" s="17"/>
      <c r="M254" s="17"/>
      <c r="N254" s="17"/>
      <c r="O254" s="17"/>
      <c r="P254" s="17"/>
      <c r="Q254" s="17"/>
      <c r="R254" s="17"/>
      <c r="S254" s="15"/>
      <c r="T254" s="26">
        <v>45747</v>
      </c>
      <c r="U254" s="13" t="s">
        <v>146</v>
      </c>
      <c r="V254">
        <v>12</v>
      </c>
      <c r="AA254" s="49" t="s">
        <v>91</v>
      </c>
      <c r="AB254" s="50" t="s">
        <v>75</v>
      </c>
    </row>
    <row r="255" spans="1:28" x14ac:dyDescent="0.4">
      <c r="A255" s="138"/>
      <c r="B255" s="144"/>
      <c r="C255" s="85" t="s">
        <v>351</v>
      </c>
      <c r="D255" s="109" t="s">
        <v>179</v>
      </c>
      <c r="E255" s="13" t="s">
        <v>75</v>
      </c>
      <c r="F255" s="16"/>
      <c r="G255" s="12" t="s">
        <v>178</v>
      </c>
      <c r="H255" s="15"/>
      <c r="I255" s="15"/>
      <c r="J255" s="15"/>
      <c r="K255" s="15"/>
      <c r="L255" s="17"/>
      <c r="M255" s="17"/>
      <c r="N255" s="17"/>
      <c r="O255" s="17"/>
      <c r="P255" s="17"/>
      <c r="Q255" s="17"/>
      <c r="R255" s="17"/>
      <c r="S255" s="15"/>
      <c r="T255" s="26">
        <v>45742</v>
      </c>
      <c r="U255" s="13" t="s">
        <v>147</v>
      </c>
      <c r="V255">
        <v>13</v>
      </c>
      <c r="AA255" s="49" t="s">
        <v>92</v>
      </c>
      <c r="AB255" s="50" t="s">
        <v>40</v>
      </c>
    </row>
    <row r="256" spans="1:28" x14ac:dyDescent="0.4">
      <c r="A256" s="138"/>
      <c r="B256" s="144"/>
      <c r="C256" s="85" t="s">
        <v>352</v>
      </c>
      <c r="D256" s="109" t="s">
        <v>179</v>
      </c>
      <c r="E256" s="13" t="s">
        <v>40</v>
      </c>
      <c r="F256" s="16"/>
      <c r="G256" s="15" t="s">
        <v>178</v>
      </c>
      <c r="H256" s="15"/>
      <c r="I256" s="15"/>
      <c r="J256" s="15"/>
      <c r="K256" s="15"/>
      <c r="L256" s="17"/>
      <c r="M256" s="17"/>
      <c r="N256" s="17"/>
      <c r="O256" s="17">
        <v>1</v>
      </c>
      <c r="P256" s="17">
        <v>1</v>
      </c>
      <c r="Q256" s="17">
        <v>1</v>
      </c>
      <c r="R256" s="17">
        <v>1</v>
      </c>
      <c r="S256" s="15"/>
      <c r="T256" s="26">
        <v>45742</v>
      </c>
      <c r="U256" s="13" t="s">
        <v>148</v>
      </c>
      <c r="V256">
        <v>14</v>
      </c>
      <c r="AA256" s="49" t="s">
        <v>93</v>
      </c>
      <c r="AB256" s="50" t="s">
        <v>57</v>
      </c>
    </row>
    <row r="257" spans="1:28" x14ac:dyDescent="0.4">
      <c r="A257" s="138"/>
      <c r="B257" s="144"/>
      <c r="C257" s="85" t="s">
        <v>353</v>
      </c>
      <c r="D257" s="109" t="s">
        <v>179</v>
      </c>
      <c r="E257" s="13" t="s">
        <v>75</v>
      </c>
      <c r="F257" s="16"/>
      <c r="G257" s="15" t="s">
        <v>178</v>
      </c>
      <c r="H257" s="15"/>
      <c r="I257" s="15"/>
      <c r="J257" s="15"/>
      <c r="K257" s="15"/>
      <c r="L257" s="17"/>
      <c r="M257" s="17"/>
      <c r="N257" s="17"/>
      <c r="O257" s="17"/>
      <c r="P257" s="17"/>
      <c r="Q257" s="17"/>
      <c r="R257" s="17"/>
      <c r="S257" s="15"/>
      <c r="T257" s="26">
        <v>45742</v>
      </c>
      <c r="U257" s="13" t="s">
        <v>147</v>
      </c>
      <c r="V257">
        <v>15</v>
      </c>
      <c r="AA257" s="49" t="s">
        <v>94</v>
      </c>
      <c r="AB257" s="50" t="s">
        <v>41</v>
      </c>
    </row>
    <row r="258" spans="1:28" x14ac:dyDescent="0.4">
      <c r="A258" s="138"/>
      <c r="B258" s="144"/>
      <c r="C258" s="85" t="s">
        <v>354</v>
      </c>
      <c r="D258" s="109" t="s">
        <v>179</v>
      </c>
      <c r="E258" s="15" t="s">
        <v>36</v>
      </c>
      <c r="F258" s="16"/>
      <c r="G258" s="15" t="s">
        <v>178</v>
      </c>
      <c r="H258" s="15"/>
      <c r="I258" s="15"/>
      <c r="J258" s="15"/>
      <c r="K258" s="15"/>
      <c r="L258" s="19"/>
      <c r="M258" s="19">
        <v>1</v>
      </c>
      <c r="N258" s="19">
        <v>1</v>
      </c>
      <c r="O258" s="19"/>
      <c r="P258" s="19"/>
      <c r="Q258" s="19"/>
      <c r="R258" s="19"/>
      <c r="S258" s="15"/>
      <c r="T258" s="26">
        <v>45742</v>
      </c>
      <c r="U258" s="13" t="s">
        <v>147</v>
      </c>
      <c r="V258">
        <v>16</v>
      </c>
      <c r="AA258" s="49" t="s">
        <v>95</v>
      </c>
      <c r="AB258" s="50" t="s">
        <v>42</v>
      </c>
    </row>
    <row r="259" spans="1:28" x14ac:dyDescent="0.4">
      <c r="A259" s="138"/>
      <c r="B259" s="144"/>
      <c r="C259" s="85" t="s">
        <v>355</v>
      </c>
      <c r="D259" s="110" t="s">
        <v>183</v>
      </c>
      <c r="E259" s="18" t="s">
        <v>58</v>
      </c>
      <c r="F259" s="16"/>
      <c r="G259" s="18" t="s">
        <v>178</v>
      </c>
      <c r="H259" s="15"/>
      <c r="I259" s="15"/>
      <c r="J259" s="18"/>
      <c r="K259" s="15"/>
      <c r="L259" s="19"/>
      <c r="M259" s="19"/>
      <c r="N259" s="19"/>
      <c r="O259" s="19"/>
      <c r="P259" s="19"/>
      <c r="Q259" s="19"/>
      <c r="R259" s="19"/>
      <c r="S259" s="15"/>
      <c r="T259" s="26">
        <v>45742</v>
      </c>
      <c r="U259" s="15" t="s">
        <v>147</v>
      </c>
      <c r="V259">
        <v>17</v>
      </c>
      <c r="AA259" s="49" t="s">
        <v>96</v>
      </c>
      <c r="AB259" s="50" t="s">
        <v>61</v>
      </c>
    </row>
    <row r="260" spans="1:28" x14ac:dyDescent="0.4">
      <c r="A260" s="138"/>
      <c r="B260" s="144"/>
      <c r="C260" s="85" t="s">
        <v>356</v>
      </c>
      <c r="D260" s="110" t="s">
        <v>180</v>
      </c>
      <c r="E260" s="18" t="s">
        <v>37</v>
      </c>
      <c r="F260" s="16"/>
      <c r="G260" s="18" t="s">
        <v>178</v>
      </c>
      <c r="H260" s="15"/>
      <c r="I260" s="15"/>
      <c r="J260" s="18"/>
      <c r="K260" s="15"/>
      <c r="L260" s="19"/>
      <c r="M260" s="19">
        <v>1</v>
      </c>
      <c r="N260" s="19">
        <v>1</v>
      </c>
      <c r="O260" s="19"/>
      <c r="P260" s="19"/>
      <c r="Q260" s="19">
        <v>1</v>
      </c>
      <c r="R260" s="19"/>
      <c r="S260" s="15"/>
      <c r="T260" s="26">
        <v>45743</v>
      </c>
      <c r="U260" s="15" t="s">
        <v>147</v>
      </c>
      <c r="V260">
        <v>18</v>
      </c>
      <c r="AA260" s="49" t="s">
        <v>97</v>
      </c>
      <c r="AB260" s="50" t="s">
        <v>76</v>
      </c>
    </row>
    <row r="261" spans="1:28" x14ac:dyDescent="0.4">
      <c r="A261" s="138"/>
      <c r="B261" s="144"/>
      <c r="C261" s="85" t="s">
        <v>357</v>
      </c>
      <c r="D261" s="110" t="s">
        <v>179</v>
      </c>
      <c r="E261" s="18" t="s">
        <v>36</v>
      </c>
      <c r="F261" s="16"/>
      <c r="G261" s="18" t="s">
        <v>178</v>
      </c>
      <c r="H261" s="15"/>
      <c r="I261" s="15"/>
      <c r="J261" s="18"/>
      <c r="K261" s="15"/>
      <c r="L261" s="19"/>
      <c r="M261" s="19">
        <v>1</v>
      </c>
      <c r="N261" s="19">
        <v>1</v>
      </c>
      <c r="O261" s="19"/>
      <c r="P261" s="19"/>
      <c r="Q261" s="19">
        <v>1</v>
      </c>
      <c r="R261" s="19"/>
      <c r="S261" s="15"/>
      <c r="T261" s="26">
        <v>45745</v>
      </c>
      <c r="U261" s="15" t="s">
        <v>147</v>
      </c>
      <c r="V261">
        <v>19</v>
      </c>
      <c r="AA261" s="49" t="s">
        <v>98</v>
      </c>
      <c r="AB261" s="50" t="s">
        <v>77</v>
      </c>
    </row>
    <row r="262" spans="1:28" x14ac:dyDescent="0.4">
      <c r="A262" s="138"/>
      <c r="B262" s="144"/>
      <c r="C262" s="86" t="s">
        <v>358</v>
      </c>
      <c r="D262" s="110" t="s">
        <v>179</v>
      </c>
      <c r="E262" s="18" t="s">
        <v>40</v>
      </c>
      <c r="F262" s="16"/>
      <c r="G262" s="18" t="s">
        <v>178</v>
      </c>
      <c r="H262" s="15"/>
      <c r="I262" s="15"/>
      <c r="J262" s="18"/>
      <c r="K262" s="15"/>
      <c r="L262" s="19"/>
      <c r="M262" s="19"/>
      <c r="N262" s="19"/>
      <c r="O262" s="19">
        <v>1</v>
      </c>
      <c r="P262" s="19">
        <v>1</v>
      </c>
      <c r="Q262" s="19">
        <v>1</v>
      </c>
      <c r="R262" s="19">
        <v>1</v>
      </c>
      <c r="S262" s="15"/>
      <c r="T262" s="26">
        <v>45745</v>
      </c>
      <c r="U262" s="15" t="s">
        <v>148</v>
      </c>
      <c r="V262">
        <v>20</v>
      </c>
      <c r="AA262" s="49" t="s">
        <v>99</v>
      </c>
      <c r="AB262" s="50" t="s">
        <v>78</v>
      </c>
    </row>
    <row r="263" spans="1:28" x14ac:dyDescent="0.4">
      <c r="A263" s="138"/>
      <c r="B263" s="144"/>
      <c r="C263" s="86" t="s">
        <v>359</v>
      </c>
      <c r="D263" s="110" t="s">
        <v>360</v>
      </c>
      <c r="E263" s="18" t="s">
        <v>39</v>
      </c>
      <c r="F263" s="16"/>
      <c r="G263" s="18" t="s">
        <v>178</v>
      </c>
      <c r="H263" s="15"/>
      <c r="I263" s="15"/>
      <c r="J263" s="18">
        <v>1</v>
      </c>
      <c r="K263" s="15">
        <v>1</v>
      </c>
      <c r="L263" s="19"/>
      <c r="M263" s="19"/>
      <c r="N263" s="19"/>
      <c r="O263" s="19"/>
      <c r="P263" s="19"/>
      <c r="Q263" s="19"/>
      <c r="R263" s="19"/>
      <c r="S263" s="15"/>
      <c r="T263" s="26">
        <v>45752</v>
      </c>
      <c r="U263" s="15" t="s">
        <v>146</v>
      </c>
      <c r="V263">
        <v>21</v>
      </c>
      <c r="AA263" s="49" t="s">
        <v>100</v>
      </c>
      <c r="AB263" s="50" t="s">
        <v>79</v>
      </c>
    </row>
    <row r="264" spans="1:28" x14ac:dyDescent="0.4">
      <c r="A264" s="138"/>
      <c r="B264" s="144"/>
      <c r="C264" s="86"/>
      <c r="D264" s="106"/>
      <c r="E264" s="15"/>
      <c r="F264" s="16"/>
      <c r="G264" s="15"/>
      <c r="H264" s="15"/>
      <c r="I264" s="15"/>
      <c r="J264" s="15"/>
      <c r="K264" s="15"/>
      <c r="L264" s="17"/>
      <c r="M264" s="17"/>
      <c r="N264" s="17"/>
      <c r="O264" s="17"/>
      <c r="P264" s="17"/>
      <c r="Q264" s="17"/>
      <c r="R264" s="17"/>
      <c r="S264" s="15"/>
      <c r="T264" s="26"/>
      <c r="U264" s="15"/>
      <c r="V264">
        <v>22</v>
      </c>
      <c r="AA264" s="49" t="s">
        <v>101</v>
      </c>
      <c r="AB264" s="50" t="s">
        <v>59</v>
      </c>
    </row>
    <row r="265" spans="1:28" x14ac:dyDescent="0.4">
      <c r="A265" s="138"/>
      <c r="B265" s="144"/>
      <c r="C265" s="85"/>
      <c r="D265" s="109"/>
      <c r="E265" s="13"/>
      <c r="F265" s="16"/>
      <c r="G265" s="13"/>
      <c r="H265" s="18"/>
      <c r="I265" s="15"/>
      <c r="J265" s="13"/>
      <c r="K265" s="13"/>
      <c r="L265" s="20"/>
      <c r="M265" s="20"/>
      <c r="N265" s="20"/>
      <c r="O265" s="20"/>
      <c r="P265" s="20"/>
      <c r="Q265" s="20"/>
      <c r="R265" s="20"/>
      <c r="S265" s="15"/>
      <c r="T265" s="26"/>
      <c r="U265" s="15"/>
      <c r="V265">
        <v>23</v>
      </c>
      <c r="AA265" s="49" t="s">
        <v>102</v>
      </c>
      <c r="AB265" s="50" t="s">
        <v>62</v>
      </c>
    </row>
    <row r="266" spans="1:28" ht="19.5" thickBot="1" x14ac:dyDescent="0.45">
      <c r="A266" s="138"/>
      <c r="B266" s="144"/>
      <c r="C266" s="86"/>
      <c r="D266" s="106"/>
      <c r="E266" s="15"/>
      <c r="F266" s="16"/>
      <c r="G266" s="15"/>
      <c r="H266" s="15"/>
      <c r="I266" s="15"/>
      <c r="J266" s="15"/>
      <c r="K266" s="15"/>
      <c r="L266" s="17"/>
      <c r="M266" s="17"/>
      <c r="N266" s="17"/>
      <c r="O266" s="17"/>
      <c r="P266" s="17"/>
      <c r="Q266" s="17"/>
      <c r="R266" s="17"/>
      <c r="S266" s="15"/>
      <c r="T266" s="26"/>
      <c r="U266" s="15"/>
      <c r="V266">
        <v>24</v>
      </c>
      <c r="AA266" s="55" t="s">
        <v>103</v>
      </c>
      <c r="AB266" s="56" t="s">
        <v>80</v>
      </c>
    </row>
    <row r="267" spans="1:28" ht="19.5" thickBot="1" x14ac:dyDescent="0.45">
      <c r="A267" s="139"/>
      <c r="B267" s="145"/>
      <c r="C267" s="87"/>
      <c r="D267" s="111"/>
      <c r="E267" s="21"/>
      <c r="F267" s="22"/>
      <c r="G267" s="21"/>
      <c r="H267" s="21"/>
      <c r="I267" s="21"/>
      <c r="J267" s="21"/>
      <c r="K267" s="21"/>
      <c r="L267" s="23"/>
      <c r="M267" s="23"/>
      <c r="N267" s="23"/>
      <c r="O267" s="23"/>
      <c r="P267" s="23"/>
      <c r="Q267" s="23"/>
      <c r="R267" s="23"/>
      <c r="S267" s="21"/>
      <c r="T267" s="23"/>
      <c r="U267" s="21"/>
      <c r="V267">
        <v>25</v>
      </c>
      <c r="AA267" s="57" t="s">
        <v>47</v>
      </c>
      <c r="AB267" s="58"/>
    </row>
    <row r="268" spans="1:28" x14ac:dyDescent="0.4">
      <c r="A268" s="27"/>
      <c r="B268" s="28"/>
      <c r="C268" s="88">
        <f>COUNTA(C243:C267)</f>
        <v>21</v>
      </c>
      <c r="D268" s="112"/>
      <c r="E268" s="29"/>
      <c r="F268" s="29" t="s">
        <v>34</v>
      </c>
      <c r="G268" s="29">
        <f>COUNTIF(G243:G267,"S")</f>
        <v>21</v>
      </c>
      <c r="H268" s="29">
        <f>COUNTIF(H243:H267,"E")</f>
        <v>0</v>
      </c>
      <c r="I268" s="29">
        <f>SUM(I243:I267)</f>
        <v>0</v>
      </c>
      <c r="J268" s="29">
        <f t="shared" ref="J268" si="53">SUM(J243:J267)</f>
        <v>7</v>
      </c>
      <c r="K268" s="29">
        <f t="shared" ref="K268" si="54">SUM(K243:K267)</f>
        <v>8</v>
      </c>
      <c r="L268" s="29">
        <f t="shared" ref="L268" si="55">SUM(L243:L267)</f>
        <v>0</v>
      </c>
      <c r="M268" s="29">
        <f t="shared" ref="M268" si="56">SUM(M243:M267)</f>
        <v>6</v>
      </c>
      <c r="N268" s="29">
        <f t="shared" ref="N268" si="57">SUM(N243:N267)</f>
        <v>4</v>
      </c>
      <c r="O268" s="29">
        <f t="shared" ref="O268" si="58">SUM(O243:O267)</f>
        <v>2</v>
      </c>
      <c r="P268" s="29">
        <f t="shared" ref="P268" si="59">SUM(P243:P267)</f>
        <v>2</v>
      </c>
      <c r="Q268" s="29">
        <f t="shared" ref="Q268" si="60">SUM(Q243:Q267)</f>
        <v>7</v>
      </c>
      <c r="R268" s="29">
        <f t="shared" ref="R268" si="61">SUM(R243:R267)</f>
        <v>2</v>
      </c>
      <c r="S268" s="29">
        <f t="shared" ref="S268" si="62">SUM(S243:S267)</f>
        <v>0</v>
      </c>
      <c r="T268" s="29" t="s">
        <v>63</v>
      </c>
      <c r="U268" s="29">
        <f>COUNTIF(H243:H267,"M")</f>
        <v>0</v>
      </c>
    </row>
    <row r="269" spans="1:28" x14ac:dyDescent="0.4">
      <c r="A269" s="27"/>
      <c r="B269" s="28"/>
      <c r="C269" s="88"/>
      <c r="D269" s="112"/>
      <c r="E269" s="29"/>
      <c r="F269" s="29" t="s">
        <v>35</v>
      </c>
      <c r="G269" s="29">
        <f>COUNTIF(G243:G267,"P")</f>
        <v>0</v>
      </c>
      <c r="H269" s="29">
        <f>COUNTIF(H243:H267,"R")</f>
        <v>0</v>
      </c>
      <c r="I269" s="29"/>
      <c r="J269" s="29"/>
      <c r="K269" s="29"/>
      <c r="L269" s="29"/>
      <c r="M269" s="29"/>
      <c r="N269" s="29"/>
      <c r="O269" s="29"/>
      <c r="P269" s="29"/>
      <c r="Q269" s="29"/>
      <c r="R269" s="29" t="s">
        <v>130</v>
      </c>
      <c r="S269" s="29">
        <f>SUM(J268:S268)</f>
        <v>38</v>
      </c>
      <c r="T269" s="29"/>
      <c r="U269" s="29"/>
    </row>
    <row r="270" spans="1:28" ht="7.5" customHeight="1" x14ac:dyDescent="0.4">
      <c r="A270" s="27"/>
      <c r="B270" s="28"/>
      <c r="C270" s="88"/>
      <c r="D270" s="112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</row>
    <row r="271" spans="1:28" ht="19.5" thickBot="1" x14ac:dyDescent="0.45">
      <c r="A271" s="1" t="str">
        <f>A1</f>
        <v>AYG102</v>
      </c>
      <c r="B271" s="24">
        <f>B1</f>
        <v>45720</v>
      </c>
      <c r="C271" s="83" t="s">
        <v>0</v>
      </c>
      <c r="D271" s="107"/>
      <c r="E271" s="2" t="s">
        <v>1</v>
      </c>
      <c r="F271" s="3"/>
      <c r="G271" s="2"/>
      <c r="H271" s="2" t="s">
        <v>4</v>
      </c>
      <c r="I271" s="3" t="s">
        <v>3</v>
      </c>
      <c r="J271" s="2" t="s">
        <v>5</v>
      </c>
      <c r="K271" s="2" t="s">
        <v>6</v>
      </c>
      <c r="L271" s="2" t="s">
        <v>7</v>
      </c>
      <c r="M271" s="2" t="s">
        <v>8</v>
      </c>
      <c r="N271" s="2" t="s">
        <v>9</v>
      </c>
      <c r="O271" s="2" t="s">
        <v>10</v>
      </c>
      <c r="P271" s="2" t="s">
        <v>11</v>
      </c>
      <c r="Q271" s="3" t="s">
        <v>12</v>
      </c>
      <c r="R271" s="2" t="s">
        <v>3</v>
      </c>
      <c r="S271" s="3" t="s">
        <v>2</v>
      </c>
      <c r="T271" s="2"/>
      <c r="U271" s="3"/>
    </row>
    <row r="272" spans="1:28" ht="19.5" thickBot="1" x14ac:dyDescent="0.45">
      <c r="A272" s="4" t="s">
        <v>13</v>
      </c>
      <c r="B272" s="5" t="s">
        <v>14</v>
      </c>
      <c r="C272" s="84" t="s">
        <v>15</v>
      </c>
      <c r="D272" s="108" t="s">
        <v>16</v>
      </c>
      <c r="E272" s="5" t="s">
        <v>17</v>
      </c>
      <c r="F272" s="7" t="s">
        <v>18</v>
      </c>
      <c r="G272" s="5" t="s">
        <v>19</v>
      </c>
      <c r="H272" s="5" t="s">
        <v>20</v>
      </c>
      <c r="I272" s="8" t="s">
        <v>21</v>
      </c>
      <c r="J272" s="5" t="s">
        <v>22</v>
      </c>
      <c r="K272" s="5" t="s">
        <v>23</v>
      </c>
      <c r="L272" s="9" t="s">
        <v>24</v>
      </c>
      <c r="M272" s="9" t="s">
        <v>25</v>
      </c>
      <c r="N272" s="9" t="s">
        <v>26</v>
      </c>
      <c r="O272" s="10" t="s">
        <v>27</v>
      </c>
      <c r="P272" s="9" t="s">
        <v>28</v>
      </c>
      <c r="Q272" s="9" t="s">
        <v>29</v>
      </c>
      <c r="R272" s="9" t="s">
        <v>30</v>
      </c>
      <c r="S272" s="5" t="s">
        <v>31</v>
      </c>
      <c r="T272" s="11" t="s">
        <v>32</v>
      </c>
      <c r="U272" s="6" t="s">
        <v>33</v>
      </c>
      <c r="X272" s="135" t="s">
        <v>111</v>
      </c>
      <c r="Y272" s="136"/>
    </row>
    <row r="273" spans="1:28" ht="20.25" thickTop="1" thickBot="1" x14ac:dyDescent="0.45">
      <c r="A273" s="137">
        <v>10</v>
      </c>
      <c r="B273" s="143">
        <v>17</v>
      </c>
      <c r="C273" s="85" t="s">
        <v>361</v>
      </c>
      <c r="D273" s="109" t="s">
        <v>362</v>
      </c>
      <c r="E273" s="13" t="s">
        <v>74</v>
      </c>
      <c r="F273" s="14"/>
      <c r="G273" s="12" t="s">
        <v>178</v>
      </c>
      <c r="H273" s="13"/>
      <c r="I273" s="13"/>
      <c r="J273" s="13"/>
      <c r="K273" s="13"/>
      <c r="L273" s="13"/>
      <c r="M273" s="13">
        <v>1</v>
      </c>
      <c r="N273" s="13">
        <v>1</v>
      </c>
      <c r="O273" s="13"/>
      <c r="P273" s="13"/>
      <c r="Q273" s="13"/>
      <c r="R273" s="13"/>
      <c r="S273" s="13"/>
      <c r="T273" s="26">
        <v>45747</v>
      </c>
      <c r="U273" s="13" t="s">
        <v>147</v>
      </c>
      <c r="V273">
        <v>1</v>
      </c>
      <c r="X273" s="51" t="s">
        <v>106</v>
      </c>
      <c r="Y273" s="52">
        <f>COUNTIF(U273:U297,"K")</f>
        <v>3</v>
      </c>
      <c r="AA273" s="59" t="s">
        <v>120</v>
      </c>
      <c r="AB273" s="60" t="s">
        <v>121</v>
      </c>
    </row>
    <row r="274" spans="1:28" x14ac:dyDescent="0.4">
      <c r="A274" s="138"/>
      <c r="B274" s="144"/>
      <c r="C274" s="85" t="s">
        <v>363</v>
      </c>
      <c r="D274" s="109" t="s">
        <v>187</v>
      </c>
      <c r="E274" s="13" t="s">
        <v>37</v>
      </c>
      <c r="F274" s="16"/>
      <c r="G274" s="12" t="s">
        <v>178</v>
      </c>
      <c r="H274" s="15"/>
      <c r="I274" s="15"/>
      <c r="J274" s="15">
        <v>1</v>
      </c>
      <c r="K274" s="15">
        <v>1</v>
      </c>
      <c r="L274" s="17"/>
      <c r="M274" s="17"/>
      <c r="N274" s="17"/>
      <c r="O274" s="17"/>
      <c r="P274" s="17"/>
      <c r="Q274" s="17"/>
      <c r="R274" s="17"/>
      <c r="S274" s="15"/>
      <c r="T274" s="26">
        <v>45752</v>
      </c>
      <c r="U274" s="13" t="s">
        <v>142</v>
      </c>
      <c r="V274">
        <v>2</v>
      </c>
      <c r="X274" s="51" t="s">
        <v>107</v>
      </c>
      <c r="Y274" s="52">
        <f>COUNTIF(U273:U297,"R")</f>
        <v>10</v>
      </c>
      <c r="AA274" s="47" t="s">
        <v>81</v>
      </c>
      <c r="AB274" s="48" t="s">
        <v>60</v>
      </c>
    </row>
    <row r="275" spans="1:28" ht="19.5" thickBot="1" x14ac:dyDescent="0.45">
      <c r="A275" s="138"/>
      <c r="B275" s="144"/>
      <c r="C275" s="85" t="s">
        <v>364</v>
      </c>
      <c r="D275" s="109" t="s">
        <v>360</v>
      </c>
      <c r="E275" s="13" t="s">
        <v>74</v>
      </c>
      <c r="F275" s="16"/>
      <c r="G275" s="12" t="s">
        <v>178</v>
      </c>
      <c r="H275" s="15"/>
      <c r="I275" s="15"/>
      <c r="J275" s="15">
        <v>1</v>
      </c>
      <c r="K275" s="15">
        <v>1</v>
      </c>
      <c r="L275" s="17"/>
      <c r="M275" s="17"/>
      <c r="N275" s="17"/>
      <c r="O275" s="17"/>
      <c r="P275" s="17"/>
      <c r="Q275" s="17"/>
      <c r="R275" s="17"/>
      <c r="S275" s="15"/>
      <c r="T275" s="26">
        <v>45752</v>
      </c>
      <c r="U275" s="13" t="s">
        <v>146</v>
      </c>
      <c r="V275">
        <v>3</v>
      </c>
      <c r="X275" s="53" t="s">
        <v>108</v>
      </c>
      <c r="Y275" s="54">
        <f>COUNTIF(U273:U297,"J")</f>
        <v>3</v>
      </c>
      <c r="AA275" s="49" t="s">
        <v>82</v>
      </c>
      <c r="AB275" s="50" t="s">
        <v>39</v>
      </c>
    </row>
    <row r="276" spans="1:28" x14ac:dyDescent="0.4">
      <c r="A276" s="138"/>
      <c r="B276" s="144"/>
      <c r="C276" s="85" t="s">
        <v>365</v>
      </c>
      <c r="D276" s="109" t="s">
        <v>360</v>
      </c>
      <c r="E276" s="13" t="s">
        <v>44</v>
      </c>
      <c r="F276" s="16"/>
      <c r="G276" s="12" t="s">
        <v>178</v>
      </c>
      <c r="H276" s="15"/>
      <c r="I276" s="15"/>
      <c r="J276" s="15">
        <v>1</v>
      </c>
      <c r="K276" s="15">
        <v>1</v>
      </c>
      <c r="L276" s="17"/>
      <c r="M276" s="17"/>
      <c r="N276" s="17"/>
      <c r="O276" s="17"/>
      <c r="P276" s="17"/>
      <c r="Q276" s="17"/>
      <c r="R276" s="17"/>
      <c r="S276" s="15"/>
      <c r="T276" s="26">
        <v>45752</v>
      </c>
      <c r="U276" s="13" t="s">
        <v>146</v>
      </c>
      <c r="V276">
        <v>4</v>
      </c>
      <c r="AA276" s="49" t="s">
        <v>83</v>
      </c>
      <c r="AB276" s="50" t="s">
        <v>38</v>
      </c>
    </row>
    <row r="277" spans="1:28" x14ac:dyDescent="0.4">
      <c r="A277" s="138"/>
      <c r="B277" s="144"/>
      <c r="C277" s="85" t="s">
        <v>366</v>
      </c>
      <c r="D277" s="109" t="s">
        <v>177</v>
      </c>
      <c r="E277" s="13" t="s">
        <v>75</v>
      </c>
      <c r="F277" s="16"/>
      <c r="G277" s="12" t="s">
        <v>178</v>
      </c>
      <c r="H277" s="15"/>
      <c r="I277" s="15"/>
      <c r="J277" s="15"/>
      <c r="K277" s="15"/>
      <c r="L277" s="17"/>
      <c r="M277" s="17"/>
      <c r="N277" s="17"/>
      <c r="O277" s="17"/>
      <c r="P277" s="17"/>
      <c r="Q277" s="17"/>
      <c r="R277" s="17"/>
      <c r="S277" s="15"/>
      <c r="T277" s="26">
        <v>45745</v>
      </c>
      <c r="U277" s="13" t="s">
        <v>147</v>
      </c>
      <c r="V277">
        <v>5</v>
      </c>
      <c r="AA277" s="49" t="s">
        <v>84</v>
      </c>
      <c r="AB277" s="50" t="s">
        <v>44</v>
      </c>
    </row>
    <row r="278" spans="1:28" x14ac:dyDescent="0.4">
      <c r="A278" s="138"/>
      <c r="B278" s="144"/>
      <c r="C278" s="85" t="s">
        <v>367</v>
      </c>
      <c r="D278" s="109" t="s">
        <v>177</v>
      </c>
      <c r="E278" s="13" t="s">
        <v>75</v>
      </c>
      <c r="F278" s="16"/>
      <c r="G278" s="12" t="s">
        <v>178</v>
      </c>
      <c r="H278" s="13"/>
      <c r="I278" s="15"/>
      <c r="J278" s="15"/>
      <c r="K278" s="15"/>
      <c r="L278" s="17"/>
      <c r="M278" s="17"/>
      <c r="N278" s="17"/>
      <c r="O278" s="17"/>
      <c r="P278" s="17"/>
      <c r="Q278" s="17"/>
      <c r="R278" s="17"/>
      <c r="S278" s="15"/>
      <c r="T278" s="26">
        <v>45745</v>
      </c>
      <c r="U278" s="13" t="s">
        <v>147</v>
      </c>
      <c r="V278">
        <v>6</v>
      </c>
      <c r="AA278" s="49" t="s">
        <v>85</v>
      </c>
      <c r="AB278" s="50" t="s">
        <v>43</v>
      </c>
    </row>
    <row r="279" spans="1:28" x14ac:dyDescent="0.4">
      <c r="A279" s="138"/>
      <c r="B279" s="144"/>
      <c r="C279" s="85" t="s">
        <v>368</v>
      </c>
      <c r="D279" s="109" t="s">
        <v>177</v>
      </c>
      <c r="E279" s="13" t="s">
        <v>75</v>
      </c>
      <c r="F279" s="16"/>
      <c r="G279" s="12" t="s">
        <v>178</v>
      </c>
      <c r="H279" s="15" t="s">
        <v>147</v>
      </c>
      <c r="I279" s="15"/>
      <c r="J279" s="15"/>
      <c r="K279" s="15"/>
      <c r="L279" s="17"/>
      <c r="M279" s="17"/>
      <c r="N279" s="17"/>
      <c r="O279" s="17"/>
      <c r="P279" s="17"/>
      <c r="Q279" s="17"/>
      <c r="R279" s="17"/>
      <c r="S279" s="15"/>
      <c r="T279" s="26">
        <v>45745</v>
      </c>
      <c r="U279" s="13" t="s">
        <v>147</v>
      </c>
      <c r="V279">
        <v>7</v>
      </c>
      <c r="AA279" s="49" t="s">
        <v>86</v>
      </c>
      <c r="AB279" s="50" t="s">
        <v>45</v>
      </c>
    </row>
    <row r="280" spans="1:28" x14ac:dyDescent="0.4">
      <c r="A280" s="138"/>
      <c r="B280" s="144"/>
      <c r="C280" s="85" t="s">
        <v>369</v>
      </c>
      <c r="D280" s="109" t="s">
        <v>177</v>
      </c>
      <c r="E280" s="13" t="s">
        <v>58</v>
      </c>
      <c r="F280" s="16"/>
      <c r="G280" s="12" t="s">
        <v>178</v>
      </c>
      <c r="H280" s="15" t="s">
        <v>147</v>
      </c>
      <c r="I280" s="15"/>
      <c r="J280" s="15"/>
      <c r="K280" s="15"/>
      <c r="L280" s="17"/>
      <c r="M280" s="17"/>
      <c r="N280" s="17"/>
      <c r="O280" s="17"/>
      <c r="P280" s="17"/>
      <c r="Q280" s="17"/>
      <c r="R280" s="17"/>
      <c r="S280" s="15"/>
      <c r="T280" s="26">
        <v>45745</v>
      </c>
      <c r="U280" s="13" t="s">
        <v>147</v>
      </c>
      <c r="V280">
        <v>8</v>
      </c>
      <c r="AA280" s="49" t="s">
        <v>87</v>
      </c>
      <c r="AB280" s="50" t="s">
        <v>37</v>
      </c>
    </row>
    <row r="281" spans="1:28" x14ac:dyDescent="0.4">
      <c r="A281" s="138"/>
      <c r="B281" s="144"/>
      <c r="C281" s="85" t="s">
        <v>370</v>
      </c>
      <c r="D281" s="109" t="s">
        <v>177</v>
      </c>
      <c r="E281" s="13" t="s">
        <v>75</v>
      </c>
      <c r="F281" s="16"/>
      <c r="G281" s="12" t="s">
        <v>178</v>
      </c>
      <c r="H281" s="15" t="s">
        <v>147</v>
      </c>
      <c r="I281" s="15"/>
      <c r="J281" s="15"/>
      <c r="K281" s="15"/>
      <c r="L281" s="17"/>
      <c r="M281" s="17"/>
      <c r="N281" s="17"/>
      <c r="O281" s="17"/>
      <c r="P281" s="17"/>
      <c r="Q281" s="17"/>
      <c r="R281" s="17"/>
      <c r="S281" s="15"/>
      <c r="T281" s="26">
        <v>45745</v>
      </c>
      <c r="U281" s="13" t="s">
        <v>147</v>
      </c>
      <c r="V281">
        <v>9</v>
      </c>
      <c r="AA281" s="49" t="s">
        <v>88</v>
      </c>
      <c r="AB281" s="50" t="s">
        <v>74</v>
      </c>
    </row>
    <row r="282" spans="1:28" x14ac:dyDescent="0.4">
      <c r="A282" s="138"/>
      <c r="B282" s="144"/>
      <c r="C282" s="85" t="s">
        <v>371</v>
      </c>
      <c r="D282" s="109" t="s">
        <v>177</v>
      </c>
      <c r="E282" s="13" t="s">
        <v>75</v>
      </c>
      <c r="F282" s="16"/>
      <c r="G282" s="12" t="s">
        <v>178</v>
      </c>
      <c r="H282" s="15" t="s">
        <v>147</v>
      </c>
      <c r="I282" s="15"/>
      <c r="J282" s="15"/>
      <c r="K282" s="15"/>
      <c r="L282" s="17"/>
      <c r="M282" s="17"/>
      <c r="N282" s="17"/>
      <c r="O282" s="17"/>
      <c r="P282" s="17"/>
      <c r="Q282" s="17"/>
      <c r="R282" s="17"/>
      <c r="S282" s="15"/>
      <c r="T282" s="26">
        <v>45752</v>
      </c>
      <c r="U282" s="13" t="s">
        <v>147</v>
      </c>
      <c r="V282">
        <v>10</v>
      </c>
      <c r="AA282" s="49" t="s">
        <v>89</v>
      </c>
      <c r="AB282" s="50" t="s">
        <v>36</v>
      </c>
    </row>
    <row r="283" spans="1:28" x14ac:dyDescent="0.4">
      <c r="A283" s="138"/>
      <c r="B283" s="144"/>
      <c r="C283" s="85" t="s">
        <v>372</v>
      </c>
      <c r="D283" s="109" t="s">
        <v>177</v>
      </c>
      <c r="E283" s="13" t="s">
        <v>75</v>
      </c>
      <c r="F283" s="16"/>
      <c r="G283" s="12" t="s">
        <v>178</v>
      </c>
      <c r="H283" s="15" t="s">
        <v>147</v>
      </c>
      <c r="I283" s="15"/>
      <c r="J283" s="15"/>
      <c r="K283" s="15"/>
      <c r="L283" s="17"/>
      <c r="M283" s="17"/>
      <c r="N283" s="17"/>
      <c r="O283" s="17"/>
      <c r="P283" s="17"/>
      <c r="Q283" s="17"/>
      <c r="R283" s="17"/>
      <c r="S283" s="15"/>
      <c r="T283" s="26">
        <v>45745</v>
      </c>
      <c r="U283" s="13" t="s">
        <v>147</v>
      </c>
      <c r="V283">
        <v>11</v>
      </c>
      <c r="AA283" s="49" t="s">
        <v>90</v>
      </c>
      <c r="AB283" s="50" t="s">
        <v>58</v>
      </c>
    </row>
    <row r="284" spans="1:28" x14ac:dyDescent="0.4">
      <c r="A284" s="138"/>
      <c r="B284" s="144"/>
      <c r="C284" s="85" t="s">
        <v>373</v>
      </c>
      <c r="D284" s="109" t="s">
        <v>177</v>
      </c>
      <c r="E284" s="13" t="s">
        <v>58</v>
      </c>
      <c r="F284" s="16"/>
      <c r="G284" s="12" t="s">
        <v>178</v>
      </c>
      <c r="H284" s="15" t="s">
        <v>147</v>
      </c>
      <c r="I284" s="15"/>
      <c r="J284" s="15"/>
      <c r="K284" s="15"/>
      <c r="L284" s="17"/>
      <c r="M284" s="17"/>
      <c r="N284" s="17"/>
      <c r="O284" s="17"/>
      <c r="P284" s="17"/>
      <c r="Q284" s="17"/>
      <c r="R284" s="17"/>
      <c r="S284" s="15"/>
      <c r="T284" s="26">
        <v>45752</v>
      </c>
      <c r="U284" s="13" t="s">
        <v>147</v>
      </c>
      <c r="V284">
        <v>12</v>
      </c>
      <c r="AA284" s="49" t="s">
        <v>91</v>
      </c>
      <c r="AB284" s="50" t="s">
        <v>75</v>
      </c>
    </row>
    <row r="285" spans="1:28" x14ac:dyDescent="0.4">
      <c r="A285" s="138"/>
      <c r="B285" s="144"/>
      <c r="C285" s="85" t="s">
        <v>374</v>
      </c>
      <c r="D285" s="109" t="s">
        <v>360</v>
      </c>
      <c r="E285" s="13" t="s">
        <v>133</v>
      </c>
      <c r="F285" s="16"/>
      <c r="G285" s="12" t="s">
        <v>190</v>
      </c>
      <c r="H285" s="15"/>
      <c r="I285" s="15"/>
      <c r="J285" s="15"/>
      <c r="K285" s="15"/>
      <c r="L285" s="17"/>
      <c r="M285" s="17"/>
      <c r="N285" s="17"/>
      <c r="O285" s="17">
        <v>1</v>
      </c>
      <c r="P285" s="17">
        <v>1</v>
      </c>
      <c r="Q285" s="17"/>
      <c r="R285" s="17"/>
      <c r="S285" s="15"/>
      <c r="T285" s="26">
        <v>45760</v>
      </c>
      <c r="U285" s="13" t="s">
        <v>148</v>
      </c>
      <c r="V285">
        <v>13</v>
      </c>
      <c r="AA285" s="49" t="s">
        <v>92</v>
      </c>
      <c r="AB285" s="50" t="s">
        <v>40</v>
      </c>
    </row>
    <row r="286" spans="1:28" x14ac:dyDescent="0.4">
      <c r="A286" s="138"/>
      <c r="B286" s="144"/>
      <c r="C286" s="85" t="s">
        <v>375</v>
      </c>
      <c r="D286" s="109" t="s">
        <v>360</v>
      </c>
      <c r="E286" s="15" t="s">
        <v>36</v>
      </c>
      <c r="F286" s="16"/>
      <c r="G286" s="12" t="s">
        <v>178</v>
      </c>
      <c r="H286" s="15"/>
      <c r="I286" s="15"/>
      <c r="J286" s="15"/>
      <c r="K286" s="15"/>
      <c r="L286" s="17"/>
      <c r="M286" s="17">
        <v>1</v>
      </c>
      <c r="N286" s="17">
        <v>1</v>
      </c>
      <c r="O286" s="17"/>
      <c r="P286" s="17"/>
      <c r="Q286" s="17">
        <v>1</v>
      </c>
      <c r="R286" s="17"/>
      <c r="S286" s="15"/>
      <c r="T286" s="26">
        <v>45760</v>
      </c>
      <c r="U286" s="15" t="s">
        <v>147</v>
      </c>
      <c r="V286">
        <v>14</v>
      </c>
      <c r="AA286" s="49" t="s">
        <v>93</v>
      </c>
      <c r="AB286" s="50" t="s">
        <v>57</v>
      </c>
    </row>
    <row r="287" spans="1:28" x14ac:dyDescent="0.4">
      <c r="A287" s="138"/>
      <c r="B287" s="144"/>
      <c r="C287" s="85" t="s">
        <v>376</v>
      </c>
      <c r="D287" s="109" t="s">
        <v>179</v>
      </c>
      <c r="E287" s="15" t="s">
        <v>40</v>
      </c>
      <c r="F287" s="16"/>
      <c r="G287" s="15" t="s">
        <v>178</v>
      </c>
      <c r="H287" s="15"/>
      <c r="I287" s="15"/>
      <c r="J287" s="15"/>
      <c r="K287" s="15"/>
      <c r="L287" s="17"/>
      <c r="M287" s="17"/>
      <c r="N287" s="17"/>
      <c r="O287" s="17">
        <v>1</v>
      </c>
      <c r="P287" s="17">
        <v>1</v>
      </c>
      <c r="Q287" s="17">
        <v>1</v>
      </c>
      <c r="R287" s="17">
        <v>1</v>
      </c>
      <c r="S287" s="15"/>
      <c r="T287" s="26">
        <v>45745</v>
      </c>
      <c r="U287" s="15" t="s">
        <v>148</v>
      </c>
      <c r="V287">
        <v>15</v>
      </c>
      <c r="AA287" s="49" t="s">
        <v>94</v>
      </c>
      <c r="AB287" s="50" t="s">
        <v>41</v>
      </c>
    </row>
    <row r="288" spans="1:28" x14ac:dyDescent="0.4">
      <c r="A288" s="138"/>
      <c r="B288" s="144"/>
      <c r="C288" s="85" t="s">
        <v>377</v>
      </c>
      <c r="D288" s="109" t="s">
        <v>188</v>
      </c>
      <c r="E288" s="15" t="s">
        <v>40</v>
      </c>
      <c r="F288" s="16"/>
      <c r="G288" s="15" t="s">
        <v>178</v>
      </c>
      <c r="H288" s="15"/>
      <c r="I288" s="15"/>
      <c r="J288" s="15"/>
      <c r="K288" s="15"/>
      <c r="L288" s="19"/>
      <c r="M288" s="19"/>
      <c r="N288" s="19"/>
      <c r="O288" s="19">
        <v>1</v>
      </c>
      <c r="P288" s="19">
        <v>1</v>
      </c>
      <c r="Q288" s="19">
        <v>1</v>
      </c>
      <c r="R288" s="19">
        <v>1</v>
      </c>
      <c r="S288" s="15"/>
      <c r="T288" s="26">
        <v>45745</v>
      </c>
      <c r="U288" s="15" t="s">
        <v>148</v>
      </c>
      <c r="V288">
        <v>16</v>
      </c>
      <c r="AA288" s="49" t="s">
        <v>95</v>
      </c>
      <c r="AB288" s="50" t="s">
        <v>42</v>
      </c>
    </row>
    <row r="289" spans="1:28" x14ac:dyDescent="0.4">
      <c r="A289" s="138"/>
      <c r="B289" s="144"/>
      <c r="C289" s="85"/>
      <c r="D289" s="109"/>
      <c r="E289" s="18"/>
      <c r="F289" s="16"/>
      <c r="G289" s="18"/>
      <c r="H289" s="15"/>
      <c r="I289" s="15"/>
      <c r="J289" s="18"/>
      <c r="K289" s="15"/>
      <c r="L289" s="19"/>
      <c r="M289" s="19"/>
      <c r="N289" s="19"/>
      <c r="O289" s="19"/>
      <c r="P289" s="19"/>
      <c r="Q289" s="19"/>
      <c r="R289" s="19"/>
      <c r="S289" s="15"/>
      <c r="T289" s="26"/>
      <c r="U289" s="15"/>
      <c r="V289">
        <v>17</v>
      </c>
      <c r="AA289" s="49" t="s">
        <v>96</v>
      </c>
      <c r="AB289" s="50" t="s">
        <v>61</v>
      </c>
    </row>
    <row r="290" spans="1:28" x14ac:dyDescent="0.4">
      <c r="A290" s="138"/>
      <c r="B290" s="144"/>
      <c r="C290" s="85"/>
      <c r="D290" s="109"/>
      <c r="E290" s="18"/>
      <c r="F290" s="16"/>
      <c r="G290" s="18"/>
      <c r="H290" s="15"/>
      <c r="I290" s="15"/>
      <c r="J290" s="18"/>
      <c r="K290" s="15"/>
      <c r="L290" s="19"/>
      <c r="M290" s="19"/>
      <c r="N290" s="19"/>
      <c r="O290" s="19"/>
      <c r="P290" s="19"/>
      <c r="Q290" s="19"/>
      <c r="R290" s="19"/>
      <c r="S290" s="15"/>
      <c r="T290" s="26"/>
      <c r="U290" s="15"/>
      <c r="V290">
        <v>18</v>
      </c>
      <c r="AA290" s="49" t="s">
        <v>97</v>
      </c>
      <c r="AB290" s="50" t="s">
        <v>76</v>
      </c>
    </row>
    <row r="291" spans="1:28" x14ac:dyDescent="0.4">
      <c r="A291" s="138"/>
      <c r="B291" s="144"/>
      <c r="C291" s="86"/>
      <c r="D291" s="110"/>
      <c r="E291" s="18"/>
      <c r="F291" s="16"/>
      <c r="G291" s="18"/>
      <c r="H291" s="15"/>
      <c r="I291" s="15"/>
      <c r="J291" s="18"/>
      <c r="K291" s="15"/>
      <c r="L291" s="19"/>
      <c r="M291" s="19"/>
      <c r="N291" s="19"/>
      <c r="O291" s="19"/>
      <c r="P291" s="19"/>
      <c r="Q291" s="19"/>
      <c r="R291" s="19"/>
      <c r="S291" s="15"/>
      <c r="T291" s="26"/>
      <c r="U291" s="15"/>
      <c r="V291">
        <v>19</v>
      </c>
      <c r="AA291" s="49" t="s">
        <v>98</v>
      </c>
      <c r="AB291" s="50" t="s">
        <v>77</v>
      </c>
    </row>
    <row r="292" spans="1:28" x14ac:dyDescent="0.4">
      <c r="A292" s="138"/>
      <c r="B292" s="144"/>
      <c r="C292" s="86"/>
      <c r="D292" s="110"/>
      <c r="E292" s="18"/>
      <c r="F292" s="16"/>
      <c r="G292" s="18"/>
      <c r="H292" s="15"/>
      <c r="I292" s="15"/>
      <c r="J292" s="18"/>
      <c r="K292" s="15"/>
      <c r="L292" s="19"/>
      <c r="M292" s="19"/>
      <c r="N292" s="19"/>
      <c r="O292" s="19"/>
      <c r="P292" s="19"/>
      <c r="Q292" s="19"/>
      <c r="R292" s="19"/>
      <c r="S292" s="15"/>
      <c r="T292" s="26"/>
      <c r="U292" s="15"/>
      <c r="V292">
        <v>20</v>
      </c>
      <c r="AA292" s="49" t="s">
        <v>99</v>
      </c>
      <c r="AB292" s="50" t="s">
        <v>78</v>
      </c>
    </row>
    <row r="293" spans="1:28" x14ac:dyDescent="0.4">
      <c r="A293" s="138"/>
      <c r="B293" s="144"/>
      <c r="C293" s="86"/>
      <c r="D293" s="110"/>
      <c r="E293" s="18"/>
      <c r="F293" s="16"/>
      <c r="G293" s="18"/>
      <c r="H293" s="15"/>
      <c r="I293" s="15"/>
      <c r="J293" s="18"/>
      <c r="K293" s="15"/>
      <c r="L293" s="19"/>
      <c r="M293" s="19"/>
      <c r="N293" s="19"/>
      <c r="O293" s="19"/>
      <c r="P293" s="19"/>
      <c r="Q293" s="19"/>
      <c r="R293" s="19"/>
      <c r="S293" s="15"/>
      <c r="T293" s="26"/>
      <c r="U293" s="15"/>
      <c r="V293">
        <v>21</v>
      </c>
      <c r="AA293" s="49" t="s">
        <v>100</v>
      </c>
      <c r="AB293" s="50" t="s">
        <v>79</v>
      </c>
    </row>
    <row r="294" spans="1:28" x14ac:dyDescent="0.4">
      <c r="A294" s="138"/>
      <c r="B294" s="144"/>
      <c r="C294" s="86"/>
      <c r="D294" s="106"/>
      <c r="E294" s="15"/>
      <c r="F294" s="16"/>
      <c r="G294" s="15"/>
      <c r="H294" s="15"/>
      <c r="I294" s="15"/>
      <c r="J294" s="15"/>
      <c r="K294" s="15"/>
      <c r="L294" s="17"/>
      <c r="M294" s="17"/>
      <c r="N294" s="17"/>
      <c r="O294" s="17"/>
      <c r="P294" s="17"/>
      <c r="Q294" s="17"/>
      <c r="R294" s="17"/>
      <c r="S294" s="15"/>
      <c r="T294" s="26"/>
      <c r="U294" s="15"/>
      <c r="V294">
        <v>22</v>
      </c>
      <c r="AA294" s="49" t="s">
        <v>101</v>
      </c>
      <c r="AB294" s="50" t="s">
        <v>59</v>
      </c>
    </row>
    <row r="295" spans="1:28" x14ac:dyDescent="0.4">
      <c r="A295" s="138"/>
      <c r="B295" s="144"/>
      <c r="C295" s="85"/>
      <c r="D295" s="109"/>
      <c r="E295" s="13"/>
      <c r="F295" s="16"/>
      <c r="G295" s="13"/>
      <c r="H295" s="18"/>
      <c r="I295" s="15"/>
      <c r="J295" s="13"/>
      <c r="K295" s="13"/>
      <c r="L295" s="20"/>
      <c r="M295" s="20"/>
      <c r="N295" s="20"/>
      <c r="O295" s="20"/>
      <c r="P295" s="20"/>
      <c r="Q295" s="20"/>
      <c r="R295" s="20"/>
      <c r="S295" s="15"/>
      <c r="T295" s="26"/>
      <c r="U295" s="15"/>
      <c r="V295">
        <v>23</v>
      </c>
      <c r="AA295" s="49" t="s">
        <v>102</v>
      </c>
      <c r="AB295" s="50" t="s">
        <v>62</v>
      </c>
    </row>
    <row r="296" spans="1:28" ht="19.5" thickBot="1" x14ac:dyDescent="0.45">
      <c r="A296" s="138"/>
      <c r="B296" s="144"/>
      <c r="C296" s="86"/>
      <c r="D296" s="106"/>
      <c r="E296" s="15"/>
      <c r="F296" s="16"/>
      <c r="G296" s="15"/>
      <c r="H296" s="15"/>
      <c r="I296" s="15"/>
      <c r="J296" s="15"/>
      <c r="K296" s="15"/>
      <c r="L296" s="17"/>
      <c r="M296" s="17"/>
      <c r="N296" s="17"/>
      <c r="O296" s="17"/>
      <c r="P296" s="17"/>
      <c r="Q296" s="17"/>
      <c r="R296" s="17"/>
      <c r="S296" s="15"/>
      <c r="T296" s="26"/>
      <c r="U296" s="15"/>
      <c r="V296">
        <v>24</v>
      </c>
      <c r="AA296" s="55" t="s">
        <v>103</v>
      </c>
      <c r="AB296" s="56" t="s">
        <v>80</v>
      </c>
    </row>
    <row r="297" spans="1:28" ht="19.5" thickBot="1" x14ac:dyDescent="0.45">
      <c r="A297" s="139"/>
      <c r="B297" s="145"/>
      <c r="C297" s="87"/>
      <c r="D297" s="111"/>
      <c r="E297" s="21"/>
      <c r="F297" s="22"/>
      <c r="G297" s="21"/>
      <c r="H297" s="21"/>
      <c r="I297" s="21"/>
      <c r="J297" s="21"/>
      <c r="K297" s="21"/>
      <c r="L297" s="23"/>
      <c r="M297" s="23"/>
      <c r="N297" s="23"/>
      <c r="O297" s="23"/>
      <c r="P297" s="23"/>
      <c r="Q297" s="23"/>
      <c r="R297" s="23"/>
      <c r="S297" s="21"/>
      <c r="T297" s="23"/>
      <c r="U297" s="21"/>
      <c r="V297">
        <v>25</v>
      </c>
      <c r="AA297" s="57" t="s">
        <v>47</v>
      </c>
      <c r="AB297" s="58"/>
    </row>
    <row r="298" spans="1:28" x14ac:dyDescent="0.4">
      <c r="A298" s="27"/>
      <c r="B298" s="28">
        <v>8</v>
      </c>
      <c r="C298" s="88">
        <f>COUNTA(C273:C297)</f>
        <v>16</v>
      </c>
      <c r="D298" s="112"/>
      <c r="E298" s="29"/>
      <c r="F298" s="29" t="s">
        <v>34</v>
      </c>
      <c r="G298" s="29">
        <f>COUNTIF(G273:G297,"S")</f>
        <v>15</v>
      </c>
      <c r="H298" s="29">
        <f>COUNTIF(H273:H297,"E")</f>
        <v>0</v>
      </c>
      <c r="I298" s="29">
        <f>SUM(I273:I297)</f>
        <v>0</v>
      </c>
      <c r="J298" s="29">
        <f t="shared" ref="J298" si="63">SUM(J273:J297)</f>
        <v>3</v>
      </c>
      <c r="K298" s="29">
        <f t="shared" ref="K298" si="64">SUM(K273:K297)</f>
        <v>3</v>
      </c>
      <c r="L298" s="29">
        <f t="shared" ref="L298" si="65">SUM(L273:L297)</f>
        <v>0</v>
      </c>
      <c r="M298" s="29">
        <f t="shared" ref="M298" si="66">SUM(M273:M297)</f>
        <v>2</v>
      </c>
      <c r="N298" s="29">
        <f t="shared" ref="N298" si="67">SUM(N273:N297)</f>
        <v>2</v>
      </c>
      <c r="O298" s="29">
        <f t="shared" ref="O298" si="68">SUM(O273:O297)</f>
        <v>3</v>
      </c>
      <c r="P298" s="29">
        <f t="shared" ref="P298" si="69">SUM(P273:P297)</f>
        <v>3</v>
      </c>
      <c r="Q298" s="29">
        <f t="shared" ref="Q298" si="70">SUM(Q273:Q297)</f>
        <v>3</v>
      </c>
      <c r="R298" s="29">
        <f t="shared" ref="R298" si="71">SUM(R273:R297)</f>
        <v>2</v>
      </c>
      <c r="S298" s="29">
        <f t="shared" ref="S298" si="72">SUM(S273:S297)</f>
        <v>0</v>
      </c>
      <c r="T298" s="29" t="s">
        <v>63</v>
      </c>
      <c r="U298" s="29">
        <f>COUNTIF(H273:H297,"M")</f>
        <v>0</v>
      </c>
    </row>
    <row r="299" spans="1:28" x14ac:dyDescent="0.4">
      <c r="A299" s="27"/>
      <c r="B299" s="28"/>
      <c r="C299" s="88"/>
      <c r="D299" s="112"/>
      <c r="E299" s="29"/>
      <c r="F299" s="29" t="s">
        <v>35</v>
      </c>
      <c r="G299" s="29">
        <f>COUNTIF(G273:G297,"P")</f>
        <v>1</v>
      </c>
      <c r="H299" s="29">
        <f>COUNTIF(H273:H297,"R")</f>
        <v>6</v>
      </c>
      <c r="I299" s="29"/>
      <c r="J299" s="29"/>
      <c r="K299" s="29"/>
      <c r="L299" s="29"/>
      <c r="M299" s="29"/>
      <c r="N299" s="29"/>
      <c r="O299" s="29"/>
      <c r="P299" s="29"/>
      <c r="Q299" s="29"/>
      <c r="R299" s="29" t="s">
        <v>130</v>
      </c>
      <c r="S299" s="29">
        <f>SUM(J298:S298)</f>
        <v>21</v>
      </c>
      <c r="T299" s="29"/>
      <c r="U299" s="29"/>
    </row>
    <row r="300" spans="1:28" ht="6" customHeight="1" x14ac:dyDescent="0.4"/>
    <row r="301" spans="1:28" ht="19.5" thickBot="1" x14ac:dyDescent="0.45">
      <c r="A301" s="1" t="str">
        <f>A1</f>
        <v>AYG102</v>
      </c>
      <c r="B301" s="24">
        <f>B1</f>
        <v>45720</v>
      </c>
      <c r="C301" s="83" t="s">
        <v>0</v>
      </c>
      <c r="D301" s="107"/>
      <c r="E301" s="2" t="s">
        <v>1</v>
      </c>
      <c r="F301" s="3"/>
      <c r="G301" s="2"/>
      <c r="H301" s="2" t="s">
        <v>4</v>
      </c>
      <c r="I301" s="3" t="s">
        <v>3</v>
      </c>
      <c r="J301" s="2" t="s">
        <v>5</v>
      </c>
      <c r="K301" s="2" t="s">
        <v>6</v>
      </c>
      <c r="L301" s="2" t="s">
        <v>7</v>
      </c>
      <c r="M301" s="2" t="s">
        <v>8</v>
      </c>
      <c r="N301" s="2" t="s">
        <v>9</v>
      </c>
      <c r="O301" s="2" t="s">
        <v>10</v>
      </c>
      <c r="P301" s="2" t="s">
        <v>11</v>
      </c>
      <c r="Q301" s="3" t="s">
        <v>12</v>
      </c>
      <c r="R301" s="2" t="s">
        <v>3</v>
      </c>
      <c r="S301" s="3" t="s">
        <v>2</v>
      </c>
      <c r="T301" s="2"/>
      <c r="U301" s="3"/>
    </row>
    <row r="302" spans="1:28" ht="19.5" thickBot="1" x14ac:dyDescent="0.45">
      <c r="A302" s="4" t="s">
        <v>13</v>
      </c>
      <c r="B302" s="5" t="s">
        <v>14</v>
      </c>
      <c r="C302" s="84" t="s">
        <v>15</v>
      </c>
      <c r="D302" s="108" t="s">
        <v>16</v>
      </c>
      <c r="E302" s="5" t="s">
        <v>17</v>
      </c>
      <c r="F302" s="7" t="s">
        <v>18</v>
      </c>
      <c r="G302" s="5" t="s">
        <v>19</v>
      </c>
      <c r="H302" s="5" t="s">
        <v>20</v>
      </c>
      <c r="I302" s="8" t="s">
        <v>21</v>
      </c>
      <c r="J302" s="5" t="s">
        <v>22</v>
      </c>
      <c r="K302" s="5" t="s">
        <v>23</v>
      </c>
      <c r="L302" s="9" t="s">
        <v>24</v>
      </c>
      <c r="M302" s="9" t="s">
        <v>25</v>
      </c>
      <c r="N302" s="9" t="s">
        <v>26</v>
      </c>
      <c r="O302" s="10" t="s">
        <v>27</v>
      </c>
      <c r="P302" s="9" t="s">
        <v>28</v>
      </c>
      <c r="Q302" s="9" t="s">
        <v>29</v>
      </c>
      <c r="R302" s="9" t="s">
        <v>30</v>
      </c>
      <c r="S302" s="5" t="s">
        <v>31</v>
      </c>
      <c r="T302" s="11" t="s">
        <v>32</v>
      </c>
      <c r="U302" s="6" t="s">
        <v>33</v>
      </c>
      <c r="X302" s="135" t="s">
        <v>110</v>
      </c>
      <c r="Y302" s="136"/>
    </row>
    <row r="303" spans="1:28" ht="20.25" thickTop="1" thickBot="1" x14ac:dyDescent="0.45">
      <c r="A303" s="137">
        <v>11</v>
      </c>
      <c r="B303" s="143"/>
      <c r="C303" s="85"/>
      <c r="D303" s="109"/>
      <c r="E303" s="13"/>
      <c r="F303" s="14"/>
      <c r="G303" s="12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26"/>
      <c r="U303" s="13"/>
      <c r="V303">
        <v>1</v>
      </c>
      <c r="X303" s="51" t="s">
        <v>106</v>
      </c>
      <c r="Y303" s="52">
        <f>COUNTIF(U303:U327,"K")</f>
        <v>0</v>
      </c>
      <c r="AA303" s="59" t="s">
        <v>120</v>
      </c>
      <c r="AB303" s="60" t="s">
        <v>121</v>
      </c>
    </row>
    <row r="304" spans="1:28" x14ac:dyDescent="0.4">
      <c r="A304" s="138"/>
      <c r="B304" s="144"/>
      <c r="C304" s="85"/>
      <c r="D304" s="109"/>
      <c r="E304" s="13"/>
      <c r="F304" s="16"/>
      <c r="G304" s="12"/>
      <c r="H304" s="15"/>
      <c r="I304" s="15"/>
      <c r="J304" s="15"/>
      <c r="K304" s="15"/>
      <c r="L304" s="17"/>
      <c r="M304" s="13"/>
      <c r="N304" s="13"/>
      <c r="O304" s="17"/>
      <c r="P304" s="17"/>
      <c r="Q304" s="17"/>
      <c r="R304" s="17"/>
      <c r="S304" s="15"/>
      <c r="T304" s="26"/>
      <c r="U304" s="13"/>
      <c r="V304">
        <v>2</v>
      </c>
      <c r="X304" s="51" t="s">
        <v>107</v>
      </c>
      <c r="Y304" s="52">
        <f>COUNTIF(U303:U327,"R")</f>
        <v>0</v>
      </c>
      <c r="AA304" s="47" t="s">
        <v>81</v>
      </c>
      <c r="AB304" s="48" t="s">
        <v>60</v>
      </c>
    </row>
    <row r="305" spans="1:28" ht="19.5" thickBot="1" x14ac:dyDescent="0.45">
      <c r="A305" s="138"/>
      <c r="B305" s="144"/>
      <c r="C305" s="85"/>
      <c r="D305" s="109"/>
      <c r="E305" s="13"/>
      <c r="F305" s="16"/>
      <c r="G305" s="12"/>
      <c r="H305" s="15"/>
      <c r="I305" s="15"/>
      <c r="J305" s="15"/>
      <c r="K305" s="15"/>
      <c r="L305" s="17"/>
      <c r="M305" s="13"/>
      <c r="N305" s="13"/>
      <c r="O305" s="17"/>
      <c r="P305" s="17"/>
      <c r="Q305" s="17"/>
      <c r="R305" s="17"/>
      <c r="S305" s="15"/>
      <c r="T305" s="26"/>
      <c r="U305" s="13"/>
      <c r="V305">
        <v>3</v>
      </c>
      <c r="X305" s="53" t="s">
        <v>108</v>
      </c>
      <c r="Y305" s="54">
        <f>COUNTIF(U303:U327,"J")</f>
        <v>0</v>
      </c>
      <c r="AA305" s="49" t="s">
        <v>82</v>
      </c>
      <c r="AB305" s="50" t="s">
        <v>39</v>
      </c>
    </row>
    <row r="306" spans="1:28" x14ac:dyDescent="0.4">
      <c r="A306" s="138"/>
      <c r="B306" s="144"/>
      <c r="C306" s="85"/>
      <c r="D306" s="109"/>
      <c r="E306" s="13"/>
      <c r="F306" s="16"/>
      <c r="G306" s="12"/>
      <c r="H306" s="15"/>
      <c r="I306" s="15"/>
      <c r="J306" s="15"/>
      <c r="K306" s="15"/>
      <c r="L306" s="17"/>
      <c r="M306" s="13"/>
      <c r="N306" s="13"/>
      <c r="O306" s="17"/>
      <c r="P306" s="17"/>
      <c r="Q306" s="17"/>
      <c r="R306" s="17"/>
      <c r="S306" s="15"/>
      <c r="T306" s="26"/>
      <c r="U306" s="13"/>
      <c r="V306">
        <v>4</v>
      </c>
      <c r="AA306" s="49" t="s">
        <v>83</v>
      </c>
      <c r="AB306" s="50" t="s">
        <v>38</v>
      </c>
    </row>
    <row r="307" spans="1:28" x14ac:dyDescent="0.4">
      <c r="A307" s="138"/>
      <c r="B307" s="144"/>
      <c r="C307" s="85"/>
      <c r="D307" s="109"/>
      <c r="E307" s="13"/>
      <c r="F307" s="16"/>
      <c r="G307" s="12"/>
      <c r="H307" s="15"/>
      <c r="I307" s="15"/>
      <c r="J307" s="15"/>
      <c r="K307" s="15"/>
      <c r="L307" s="17"/>
      <c r="M307" s="13"/>
      <c r="N307" s="13"/>
      <c r="O307" s="17"/>
      <c r="P307" s="17"/>
      <c r="Q307" s="17"/>
      <c r="R307" s="17"/>
      <c r="S307" s="15"/>
      <c r="T307" s="26"/>
      <c r="U307" s="13"/>
      <c r="V307">
        <v>5</v>
      </c>
      <c r="AA307" s="49" t="s">
        <v>84</v>
      </c>
      <c r="AB307" s="50" t="s">
        <v>44</v>
      </c>
    </row>
    <row r="308" spans="1:28" x14ac:dyDescent="0.4">
      <c r="A308" s="138"/>
      <c r="B308" s="144"/>
      <c r="C308" s="85"/>
      <c r="D308" s="109"/>
      <c r="E308" s="13"/>
      <c r="F308" s="16"/>
      <c r="G308" s="12"/>
      <c r="H308" s="13"/>
      <c r="I308" s="15"/>
      <c r="J308" s="15"/>
      <c r="K308" s="15"/>
      <c r="L308" s="17"/>
      <c r="M308" s="13"/>
      <c r="N308" s="13"/>
      <c r="O308" s="17"/>
      <c r="P308" s="17"/>
      <c r="Q308" s="17"/>
      <c r="R308" s="17"/>
      <c r="S308" s="15"/>
      <c r="T308" s="26"/>
      <c r="U308" s="13"/>
      <c r="V308">
        <v>6</v>
      </c>
      <c r="AA308" s="49" t="s">
        <v>85</v>
      </c>
      <c r="AB308" s="50" t="s">
        <v>43</v>
      </c>
    </row>
    <row r="309" spans="1:28" x14ac:dyDescent="0.4">
      <c r="A309" s="138"/>
      <c r="B309" s="144"/>
      <c r="C309" s="85"/>
      <c r="D309" s="109"/>
      <c r="E309" s="13"/>
      <c r="F309" s="16"/>
      <c r="G309" s="12"/>
      <c r="H309" s="15"/>
      <c r="I309" s="15"/>
      <c r="J309" s="15"/>
      <c r="K309" s="15"/>
      <c r="L309" s="17"/>
      <c r="M309" s="13"/>
      <c r="N309" s="13"/>
      <c r="O309" s="17"/>
      <c r="P309" s="17"/>
      <c r="Q309" s="17"/>
      <c r="R309" s="17"/>
      <c r="S309" s="15"/>
      <c r="T309" s="26"/>
      <c r="U309" s="13"/>
      <c r="V309">
        <v>7</v>
      </c>
      <c r="AA309" s="49" t="s">
        <v>86</v>
      </c>
      <c r="AB309" s="50" t="s">
        <v>45</v>
      </c>
    </row>
    <row r="310" spans="1:28" x14ac:dyDescent="0.4">
      <c r="A310" s="138"/>
      <c r="B310" s="144"/>
      <c r="C310" s="85"/>
      <c r="D310" s="109"/>
      <c r="E310" s="13"/>
      <c r="F310" s="16"/>
      <c r="G310" s="12"/>
      <c r="H310" s="15"/>
      <c r="I310" s="15"/>
      <c r="J310" s="15"/>
      <c r="K310" s="15"/>
      <c r="L310" s="17"/>
      <c r="M310" s="13"/>
      <c r="N310" s="13"/>
      <c r="O310" s="17"/>
      <c r="P310" s="17"/>
      <c r="Q310" s="17"/>
      <c r="R310" s="17"/>
      <c r="S310" s="15"/>
      <c r="T310" s="26"/>
      <c r="U310" s="13"/>
      <c r="V310">
        <v>8</v>
      </c>
      <c r="AA310" s="49" t="s">
        <v>87</v>
      </c>
      <c r="AB310" s="50" t="s">
        <v>37</v>
      </c>
    </row>
    <row r="311" spans="1:28" x14ac:dyDescent="0.4">
      <c r="A311" s="138"/>
      <c r="B311" s="144"/>
      <c r="C311" s="85"/>
      <c r="D311" s="109"/>
      <c r="E311" s="13"/>
      <c r="F311" s="16"/>
      <c r="G311" s="12"/>
      <c r="H311" s="15"/>
      <c r="I311" s="15"/>
      <c r="J311" s="15"/>
      <c r="K311" s="15"/>
      <c r="L311" s="17"/>
      <c r="M311" s="13"/>
      <c r="N311" s="13"/>
      <c r="O311" s="17"/>
      <c r="P311" s="17"/>
      <c r="Q311" s="17"/>
      <c r="R311" s="17"/>
      <c r="S311" s="15"/>
      <c r="T311" s="26"/>
      <c r="U311" s="13"/>
      <c r="V311">
        <v>9</v>
      </c>
      <c r="AA311" s="49" t="s">
        <v>88</v>
      </c>
      <c r="AB311" s="50" t="s">
        <v>74</v>
      </c>
    </row>
    <row r="312" spans="1:28" x14ac:dyDescent="0.4">
      <c r="A312" s="138"/>
      <c r="B312" s="144"/>
      <c r="C312" s="85"/>
      <c r="D312" s="109"/>
      <c r="E312" s="13"/>
      <c r="F312" s="16"/>
      <c r="G312" s="12"/>
      <c r="H312" s="15"/>
      <c r="I312" s="15"/>
      <c r="J312" s="15"/>
      <c r="K312" s="15"/>
      <c r="L312" s="17"/>
      <c r="M312" s="13"/>
      <c r="N312" s="13"/>
      <c r="O312" s="17"/>
      <c r="P312" s="17"/>
      <c r="Q312" s="17"/>
      <c r="R312" s="17"/>
      <c r="S312" s="15"/>
      <c r="T312" s="26"/>
      <c r="U312" s="13"/>
      <c r="V312">
        <v>10</v>
      </c>
      <c r="AA312" s="49" t="s">
        <v>89</v>
      </c>
      <c r="AB312" s="50" t="s">
        <v>36</v>
      </c>
    </row>
    <row r="313" spans="1:28" x14ac:dyDescent="0.4">
      <c r="A313" s="138"/>
      <c r="B313" s="144"/>
      <c r="C313" s="85"/>
      <c r="D313" s="109"/>
      <c r="E313" s="13"/>
      <c r="F313" s="16"/>
      <c r="G313" s="12"/>
      <c r="H313" s="15"/>
      <c r="I313" s="15"/>
      <c r="J313" s="15"/>
      <c r="K313" s="15"/>
      <c r="L313" s="17"/>
      <c r="M313" s="13"/>
      <c r="N313" s="13"/>
      <c r="O313" s="17"/>
      <c r="P313" s="17"/>
      <c r="Q313" s="17"/>
      <c r="R313" s="17"/>
      <c r="S313" s="15"/>
      <c r="T313" s="26"/>
      <c r="U313" s="13"/>
      <c r="V313">
        <v>11</v>
      </c>
      <c r="AA313" s="49" t="s">
        <v>90</v>
      </c>
      <c r="AB313" s="50" t="s">
        <v>58</v>
      </c>
    </row>
    <row r="314" spans="1:28" x14ac:dyDescent="0.4">
      <c r="A314" s="138"/>
      <c r="B314" s="144"/>
      <c r="C314" s="85"/>
      <c r="D314" s="109"/>
      <c r="E314" s="13"/>
      <c r="F314" s="16"/>
      <c r="G314" s="12"/>
      <c r="H314" s="15"/>
      <c r="I314" s="15"/>
      <c r="J314" s="15"/>
      <c r="K314" s="15"/>
      <c r="L314" s="17"/>
      <c r="M314" s="13"/>
      <c r="N314" s="13"/>
      <c r="O314" s="17"/>
      <c r="P314" s="17"/>
      <c r="Q314" s="17"/>
      <c r="R314" s="17"/>
      <c r="S314" s="15"/>
      <c r="T314" s="26"/>
      <c r="U314" s="13"/>
      <c r="V314">
        <v>12</v>
      </c>
      <c r="AA314" s="49" t="s">
        <v>91</v>
      </c>
      <c r="AB314" s="50" t="s">
        <v>75</v>
      </c>
    </row>
    <row r="315" spans="1:28" x14ac:dyDescent="0.4">
      <c r="A315" s="138"/>
      <c r="B315" s="144"/>
      <c r="C315" s="85"/>
      <c r="D315" s="109"/>
      <c r="E315" s="13"/>
      <c r="F315" s="16"/>
      <c r="G315" s="12"/>
      <c r="H315" s="15"/>
      <c r="I315" s="15"/>
      <c r="J315" s="15"/>
      <c r="K315" s="15"/>
      <c r="L315" s="17"/>
      <c r="M315" s="13"/>
      <c r="N315" s="13"/>
      <c r="O315" s="17"/>
      <c r="P315" s="17"/>
      <c r="Q315" s="17"/>
      <c r="R315" s="17"/>
      <c r="S315" s="15"/>
      <c r="T315" s="26"/>
      <c r="U315" s="13"/>
      <c r="V315">
        <v>13</v>
      </c>
      <c r="AA315" s="49" t="s">
        <v>92</v>
      </c>
      <c r="AB315" s="50" t="s">
        <v>40</v>
      </c>
    </row>
    <row r="316" spans="1:28" x14ac:dyDescent="0.4">
      <c r="A316" s="138"/>
      <c r="B316" s="144"/>
      <c r="C316" s="85"/>
      <c r="D316" s="109"/>
      <c r="E316" s="13"/>
      <c r="F316" s="16"/>
      <c r="G316" s="12"/>
      <c r="H316" s="15"/>
      <c r="I316" s="15"/>
      <c r="J316" s="15"/>
      <c r="K316" s="15"/>
      <c r="L316" s="17"/>
      <c r="M316" s="13"/>
      <c r="N316" s="13"/>
      <c r="O316" s="17"/>
      <c r="P316" s="17"/>
      <c r="Q316" s="17"/>
      <c r="R316" s="17"/>
      <c r="S316" s="15"/>
      <c r="T316" s="26"/>
      <c r="U316" s="13"/>
      <c r="V316">
        <v>14</v>
      </c>
      <c r="AA316" s="49" t="s">
        <v>93</v>
      </c>
      <c r="AB316" s="50" t="s">
        <v>57</v>
      </c>
    </row>
    <row r="317" spans="1:28" x14ac:dyDescent="0.4">
      <c r="A317" s="138"/>
      <c r="B317" s="144"/>
      <c r="C317" s="85"/>
      <c r="D317" s="109"/>
      <c r="E317" s="13"/>
      <c r="F317" s="16"/>
      <c r="G317" s="12"/>
      <c r="H317" s="15"/>
      <c r="I317" s="15"/>
      <c r="J317" s="15"/>
      <c r="K317" s="15"/>
      <c r="L317" s="17"/>
      <c r="M317" s="13"/>
      <c r="N317" s="13"/>
      <c r="O317" s="17"/>
      <c r="P317" s="17"/>
      <c r="Q317" s="17"/>
      <c r="R317" s="17"/>
      <c r="S317" s="15"/>
      <c r="T317" s="26"/>
      <c r="U317" s="13"/>
      <c r="V317">
        <v>15</v>
      </c>
      <c r="AA317" s="49" t="s">
        <v>94</v>
      </c>
      <c r="AB317" s="50" t="s">
        <v>41</v>
      </c>
    </row>
    <row r="318" spans="1:28" x14ac:dyDescent="0.4">
      <c r="A318" s="138"/>
      <c r="B318" s="144"/>
      <c r="C318" s="85"/>
      <c r="D318" s="109"/>
      <c r="E318" s="13"/>
      <c r="F318" s="16"/>
      <c r="G318" s="12"/>
      <c r="H318" s="15"/>
      <c r="I318" s="15"/>
      <c r="J318" s="15"/>
      <c r="K318" s="15"/>
      <c r="L318" s="19"/>
      <c r="M318" s="13"/>
      <c r="N318" s="13"/>
      <c r="O318" s="19"/>
      <c r="P318" s="19"/>
      <c r="Q318" s="19"/>
      <c r="R318" s="19"/>
      <c r="S318" s="15"/>
      <c r="T318" s="26"/>
      <c r="U318" s="13"/>
      <c r="V318">
        <v>16</v>
      </c>
      <c r="AA318" s="49" t="s">
        <v>95</v>
      </c>
      <c r="AB318" s="50" t="s">
        <v>42</v>
      </c>
    </row>
    <row r="319" spans="1:28" x14ac:dyDescent="0.4">
      <c r="A319" s="138"/>
      <c r="B319" s="144"/>
      <c r="C319" s="86"/>
      <c r="D319" s="110"/>
      <c r="E319" s="18"/>
      <c r="F319" s="16"/>
      <c r="G319" s="15"/>
      <c r="H319" s="15"/>
      <c r="I319" s="15"/>
      <c r="J319" s="18"/>
      <c r="K319" s="15"/>
      <c r="L319" s="19"/>
      <c r="M319" s="19"/>
      <c r="N319" s="19"/>
      <c r="O319" s="19"/>
      <c r="P319" s="19"/>
      <c r="Q319" s="19"/>
      <c r="R319" s="19"/>
      <c r="S319" s="15"/>
      <c r="T319" s="26"/>
      <c r="U319" s="15"/>
      <c r="V319">
        <v>17</v>
      </c>
      <c r="AA319" s="49" t="s">
        <v>96</v>
      </c>
      <c r="AB319" s="50" t="s">
        <v>61</v>
      </c>
    </row>
    <row r="320" spans="1:28" x14ac:dyDescent="0.4">
      <c r="A320" s="138"/>
      <c r="B320" s="144"/>
      <c r="C320" s="86"/>
      <c r="D320" s="110"/>
      <c r="E320" s="18"/>
      <c r="F320" s="16"/>
      <c r="G320" s="18"/>
      <c r="H320" s="15"/>
      <c r="I320" s="15"/>
      <c r="J320" s="18"/>
      <c r="K320" s="15"/>
      <c r="L320" s="19"/>
      <c r="M320" s="19"/>
      <c r="N320" s="19"/>
      <c r="O320" s="19"/>
      <c r="P320" s="19"/>
      <c r="Q320" s="19"/>
      <c r="R320" s="19"/>
      <c r="S320" s="15"/>
      <c r="T320" s="26"/>
      <c r="U320" s="15"/>
      <c r="V320">
        <v>18</v>
      </c>
      <c r="AA320" s="49" t="s">
        <v>97</v>
      </c>
      <c r="AB320" s="50" t="s">
        <v>76</v>
      </c>
    </row>
    <row r="321" spans="1:28" x14ac:dyDescent="0.4">
      <c r="A321" s="138"/>
      <c r="B321" s="144"/>
      <c r="C321" s="86"/>
      <c r="D321" s="110"/>
      <c r="E321" s="18"/>
      <c r="F321" s="16"/>
      <c r="G321" s="18"/>
      <c r="H321" s="15"/>
      <c r="I321" s="15"/>
      <c r="J321" s="18"/>
      <c r="K321" s="15"/>
      <c r="L321" s="19"/>
      <c r="M321" s="19"/>
      <c r="N321" s="19"/>
      <c r="O321" s="19"/>
      <c r="P321" s="19"/>
      <c r="Q321" s="19"/>
      <c r="R321" s="19"/>
      <c r="S321" s="15"/>
      <c r="T321" s="26"/>
      <c r="U321" s="15"/>
      <c r="V321">
        <v>19</v>
      </c>
      <c r="AA321" s="49" t="s">
        <v>98</v>
      </c>
      <c r="AB321" s="50" t="s">
        <v>77</v>
      </c>
    </row>
    <row r="322" spans="1:28" x14ac:dyDescent="0.4">
      <c r="A322" s="138"/>
      <c r="B322" s="144"/>
      <c r="C322" s="86"/>
      <c r="D322" s="110"/>
      <c r="E322" s="18"/>
      <c r="F322" s="16"/>
      <c r="G322" s="18"/>
      <c r="H322" s="15"/>
      <c r="I322" s="15"/>
      <c r="J322" s="18"/>
      <c r="K322" s="15"/>
      <c r="L322" s="19"/>
      <c r="M322" s="19"/>
      <c r="N322" s="19"/>
      <c r="O322" s="19"/>
      <c r="P322" s="19"/>
      <c r="Q322" s="19"/>
      <c r="R322" s="19"/>
      <c r="S322" s="15"/>
      <c r="T322" s="26"/>
      <c r="U322" s="15"/>
      <c r="V322">
        <v>20</v>
      </c>
      <c r="AA322" s="49" t="s">
        <v>99</v>
      </c>
      <c r="AB322" s="50" t="s">
        <v>78</v>
      </c>
    </row>
    <row r="323" spans="1:28" x14ac:dyDescent="0.4">
      <c r="A323" s="138"/>
      <c r="B323" s="144"/>
      <c r="C323" s="86"/>
      <c r="D323" s="110"/>
      <c r="E323" s="18"/>
      <c r="F323" s="16"/>
      <c r="G323" s="18"/>
      <c r="H323" s="15"/>
      <c r="I323" s="15"/>
      <c r="J323" s="18"/>
      <c r="K323" s="15"/>
      <c r="L323" s="19"/>
      <c r="M323" s="19"/>
      <c r="N323" s="19"/>
      <c r="O323" s="19"/>
      <c r="P323" s="19"/>
      <c r="Q323" s="19"/>
      <c r="R323" s="19"/>
      <c r="S323" s="15"/>
      <c r="T323" s="26"/>
      <c r="U323" s="15"/>
      <c r="V323">
        <v>21</v>
      </c>
      <c r="AA323" s="49" t="s">
        <v>100</v>
      </c>
      <c r="AB323" s="50" t="s">
        <v>79</v>
      </c>
    </row>
    <row r="324" spans="1:28" x14ac:dyDescent="0.4">
      <c r="A324" s="138"/>
      <c r="B324" s="144"/>
      <c r="C324" s="86"/>
      <c r="D324" s="106"/>
      <c r="E324" s="15"/>
      <c r="F324" s="16"/>
      <c r="G324" s="15"/>
      <c r="H324" s="15"/>
      <c r="I324" s="15"/>
      <c r="J324" s="15"/>
      <c r="K324" s="15"/>
      <c r="L324" s="17"/>
      <c r="M324" s="17"/>
      <c r="N324" s="17"/>
      <c r="O324" s="17"/>
      <c r="P324" s="17"/>
      <c r="Q324" s="17"/>
      <c r="R324" s="17"/>
      <c r="S324" s="15"/>
      <c r="T324" s="26"/>
      <c r="U324" s="15"/>
      <c r="V324">
        <v>22</v>
      </c>
      <c r="AA324" s="49" t="s">
        <v>101</v>
      </c>
      <c r="AB324" s="50" t="s">
        <v>59</v>
      </c>
    </row>
    <row r="325" spans="1:28" x14ac:dyDescent="0.4">
      <c r="A325" s="138"/>
      <c r="B325" s="144"/>
      <c r="C325" s="85"/>
      <c r="D325" s="109"/>
      <c r="E325" s="13"/>
      <c r="F325" s="16"/>
      <c r="G325" s="13"/>
      <c r="H325" s="18"/>
      <c r="I325" s="15"/>
      <c r="J325" s="13"/>
      <c r="K325" s="13"/>
      <c r="L325" s="20"/>
      <c r="M325" s="20"/>
      <c r="N325" s="20"/>
      <c r="O325" s="20"/>
      <c r="P325" s="20"/>
      <c r="Q325" s="20"/>
      <c r="R325" s="20"/>
      <c r="S325" s="15"/>
      <c r="T325" s="26"/>
      <c r="U325" s="15"/>
      <c r="V325">
        <v>23</v>
      </c>
      <c r="AA325" s="49" t="s">
        <v>102</v>
      </c>
      <c r="AB325" s="50" t="s">
        <v>62</v>
      </c>
    </row>
    <row r="326" spans="1:28" ht="19.5" thickBot="1" x14ac:dyDescent="0.45">
      <c r="A326" s="138"/>
      <c r="B326" s="144"/>
      <c r="C326" s="86"/>
      <c r="D326" s="106"/>
      <c r="E326" s="15"/>
      <c r="F326" s="16"/>
      <c r="G326" s="15"/>
      <c r="H326" s="15"/>
      <c r="I326" s="15"/>
      <c r="J326" s="15"/>
      <c r="K326" s="15"/>
      <c r="L326" s="17"/>
      <c r="M326" s="17"/>
      <c r="N326" s="17"/>
      <c r="O326" s="17"/>
      <c r="P326" s="17"/>
      <c r="Q326" s="17"/>
      <c r="R326" s="17"/>
      <c r="S326" s="15"/>
      <c r="T326" s="26"/>
      <c r="U326" s="15"/>
      <c r="V326">
        <v>24</v>
      </c>
      <c r="AA326" s="55" t="s">
        <v>103</v>
      </c>
      <c r="AB326" s="56" t="s">
        <v>80</v>
      </c>
    </row>
    <row r="327" spans="1:28" ht="19.5" thickBot="1" x14ac:dyDescent="0.45">
      <c r="A327" s="139"/>
      <c r="B327" s="145"/>
      <c r="C327" s="87"/>
      <c r="D327" s="111"/>
      <c r="E327" s="21"/>
      <c r="F327" s="22"/>
      <c r="G327" s="21"/>
      <c r="H327" s="21"/>
      <c r="I327" s="21"/>
      <c r="J327" s="21"/>
      <c r="K327" s="21"/>
      <c r="L327" s="23"/>
      <c r="M327" s="23"/>
      <c r="N327" s="23"/>
      <c r="O327" s="23"/>
      <c r="P327" s="23"/>
      <c r="Q327" s="23"/>
      <c r="R327" s="23"/>
      <c r="S327" s="21"/>
      <c r="T327" s="23"/>
      <c r="U327" s="21"/>
      <c r="V327">
        <v>25</v>
      </c>
      <c r="AA327" s="57" t="s">
        <v>47</v>
      </c>
      <c r="AB327" s="58"/>
    </row>
    <row r="328" spans="1:28" x14ac:dyDescent="0.4">
      <c r="A328" s="27"/>
      <c r="B328" s="28"/>
      <c r="C328" s="88">
        <f>COUNTA(C303:C327)</f>
        <v>0</v>
      </c>
      <c r="D328" s="112"/>
      <c r="E328" s="29"/>
      <c r="F328" s="29" t="s">
        <v>34</v>
      </c>
      <c r="G328" s="29">
        <f>COUNTIF(G303:G327,"S")</f>
        <v>0</v>
      </c>
      <c r="H328" s="29">
        <f>COUNTIF(H303:H327,"E")</f>
        <v>0</v>
      </c>
      <c r="I328" s="29">
        <f>SUM(I303:I327)</f>
        <v>0</v>
      </c>
      <c r="J328" s="29">
        <f t="shared" ref="J328" si="73">SUM(J303:J327)</f>
        <v>0</v>
      </c>
      <c r="K328" s="29">
        <f t="shared" ref="K328" si="74">SUM(K303:K327)</f>
        <v>0</v>
      </c>
      <c r="L328" s="29">
        <f t="shared" ref="L328" si="75">SUM(L303:L327)</f>
        <v>0</v>
      </c>
      <c r="M328" s="29">
        <f t="shared" ref="M328" si="76">SUM(M303:M327)</f>
        <v>0</v>
      </c>
      <c r="N328" s="29">
        <f t="shared" ref="N328" si="77">SUM(N303:N327)</f>
        <v>0</v>
      </c>
      <c r="O328" s="29">
        <f t="shared" ref="O328" si="78">SUM(O303:O327)</f>
        <v>0</v>
      </c>
      <c r="P328" s="29">
        <f t="shared" ref="P328" si="79">SUM(P303:P327)</f>
        <v>0</v>
      </c>
      <c r="Q328" s="29">
        <f t="shared" ref="Q328" si="80">SUM(Q303:Q327)</f>
        <v>0</v>
      </c>
      <c r="R328" s="29">
        <f t="shared" ref="R328" si="81">SUM(R303:R327)</f>
        <v>0</v>
      </c>
      <c r="S328" s="29">
        <f t="shared" ref="S328" si="82">SUM(S303:S327)</f>
        <v>0</v>
      </c>
      <c r="T328" s="29" t="s">
        <v>63</v>
      </c>
      <c r="U328" s="29">
        <f>COUNTIF(H303:H327,"M")</f>
        <v>0</v>
      </c>
    </row>
    <row r="329" spans="1:28" x14ac:dyDescent="0.4">
      <c r="A329" s="27"/>
      <c r="B329" s="28"/>
      <c r="C329" s="88"/>
      <c r="D329" s="112"/>
      <c r="E329" s="29"/>
      <c r="F329" s="29" t="s">
        <v>35</v>
      </c>
      <c r="G329" s="29">
        <f>COUNTIF(G303:G327,"P")</f>
        <v>0</v>
      </c>
      <c r="H329" s="29">
        <f>COUNTIF(H303:H327,"R")</f>
        <v>0</v>
      </c>
      <c r="I329" s="29"/>
      <c r="J329" s="29"/>
      <c r="K329" s="29"/>
      <c r="L329" s="29"/>
      <c r="M329" s="29"/>
      <c r="N329" s="29"/>
      <c r="O329" s="29"/>
      <c r="P329" s="29"/>
      <c r="Q329" s="29"/>
      <c r="R329" s="29" t="s">
        <v>130</v>
      </c>
      <c r="S329" s="29">
        <f>SUM(J328:S328)</f>
        <v>0</v>
      </c>
      <c r="T329" s="29"/>
      <c r="U329" s="29"/>
    </row>
    <row r="330" spans="1:28" ht="5.25" customHeight="1" x14ac:dyDescent="0.4"/>
    <row r="331" spans="1:28" ht="19.5" thickBot="1" x14ac:dyDescent="0.45">
      <c r="A331" s="1" t="str">
        <f>A151</f>
        <v>AYG102</v>
      </c>
      <c r="B331" s="24">
        <f>B151</f>
        <v>45720</v>
      </c>
      <c r="C331" s="83" t="s">
        <v>0</v>
      </c>
      <c r="D331" s="107"/>
      <c r="E331" s="2" t="s">
        <v>1</v>
      </c>
      <c r="F331" s="3"/>
      <c r="G331" s="2"/>
      <c r="H331" s="2" t="s">
        <v>4</v>
      </c>
      <c r="I331" s="3" t="s">
        <v>3</v>
      </c>
      <c r="J331" s="2" t="s">
        <v>5</v>
      </c>
      <c r="K331" s="2" t="s">
        <v>6</v>
      </c>
      <c r="L331" s="2" t="s">
        <v>7</v>
      </c>
      <c r="M331" s="2" t="s">
        <v>8</v>
      </c>
      <c r="N331" s="2" t="s">
        <v>9</v>
      </c>
      <c r="O331" s="2" t="s">
        <v>10</v>
      </c>
      <c r="P331" s="2" t="s">
        <v>11</v>
      </c>
      <c r="Q331" s="3" t="s">
        <v>12</v>
      </c>
      <c r="R331" s="2" t="s">
        <v>3</v>
      </c>
      <c r="S331" s="3" t="s">
        <v>2</v>
      </c>
      <c r="T331" s="2"/>
      <c r="U331" s="3"/>
    </row>
    <row r="332" spans="1:28" ht="19.5" thickBot="1" x14ac:dyDescent="0.45">
      <c r="A332" s="4" t="s">
        <v>13</v>
      </c>
      <c r="B332" s="5" t="s">
        <v>14</v>
      </c>
      <c r="C332" s="84" t="s">
        <v>15</v>
      </c>
      <c r="D332" s="108" t="s">
        <v>16</v>
      </c>
      <c r="E332" s="5" t="s">
        <v>17</v>
      </c>
      <c r="F332" s="7" t="s">
        <v>18</v>
      </c>
      <c r="G332" s="5" t="s">
        <v>19</v>
      </c>
      <c r="H332" s="5" t="s">
        <v>20</v>
      </c>
      <c r="I332" s="8" t="s">
        <v>21</v>
      </c>
      <c r="J332" s="5" t="s">
        <v>22</v>
      </c>
      <c r="K332" s="5" t="s">
        <v>23</v>
      </c>
      <c r="L332" s="9" t="s">
        <v>24</v>
      </c>
      <c r="M332" s="9" t="s">
        <v>25</v>
      </c>
      <c r="N332" s="9" t="s">
        <v>26</v>
      </c>
      <c r="O332" s="10" t="s">
        <v>27</v>
      </c>
      <c r="P332" s="9" t="s">
        <v>28</v>
      </c>
      <c r="Q332" s="9" t="s">
        <v>29</v>
      </c>
      <c r="R332" s="9" t="s">
        <v>30</v>
      </c>
      <c r="S332" s="5" t="s">
        <v>31</v>
      </c>
      <c r="T332" s="11" t="s">
        <v>32</v>
      </c>
      <c r="U332" s="6" t="s">
        <v>33</v>
      </c>
      <c r="X332" s="135" t="s">
        <v>109</v>
      </c>
      <c r="Y332" s="136"/>
    </row>
    <row r="333" spans="1:28" ht="20.25" thickTop="1" thickBot="1" x14ac:dyDescent="0.45">
      <c r="A333" s="137">
        <v>12</v>
      </c>
      <c r="B333" s="143"/>
      <c r="C333" s="86"/>
      <c r="D333" s="109"/>
      <c r="E333" s="109"/>
      <c r="F333" s="14"/>
      <c r="G333" s="12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26"/>
      <c r="U333" s="13"/>
      <c r="V333">
        <v>1</v>
      </c>
      <c r="X333" s="51" t="s">
        <v>106</v>
      </c>
      <c r="Y333" s="52">
        <f>COUNTIF(U333:U356,"K")</f>
        <v>0</v>
      </c>
      <c r="AA333" s="59" t="s">
        <v>120</v>
      </c>
      <c r="AB333" s="60" t="s">
        <v>121</v>
      </c>
    </row>
    <row r="334" spans="1:28" x14ac:dyDescent="0.4">
      <c r="A334" s="138"/>
      <c r="B334" s="144"/>
      <c r="C334" s="86"/>
      <c r="D334" s="109"/>
      <c r="E334" s="109"/>
      <c r="F334" s="16"/>
      <c r="G334" s="12"/>
      <c r="H334" s="15"/>
      <c r="I334" s="15"/>
      <c r="J334" s="15"/>
      <c r="K334" s="15"/>
      <c r="L334" s="17"/>
      <c r="M334" s="17"/>
      <c r="N334" s="17"/>
      <c r="O334" s="17"/>
      <c r="P334" s="17"/>
      <c r="Q334" s="17"/>
      <c r="R334" s="17"/>
      <c r="S334" s="15"/>
      <c r="T334" s="26"/>
      <c r="U334" s="13"/>
      <c r="V334">
        <v>2</v>
      </c>
      <c r="X334" s="51" t="s">
        <v>107</v>
      </c>
      <c r="Y334" s="52">
        <f>COUNTIF(U333:U356,"R")</f>
        <v>0</v>
      </c>
      <c r="AA334" s="47" t="s">
        <v>81</v>
      </c>
      <c r="AB334" s="48" t="s">
        <v>60</v>
      </c>
    </row>
    <row r="335" spans="1:28" ht="19.5" thickBot="1" x14ac:dyDescent="0.45">
      <c r="A335" s="138"/>
      <c r="B335" s="144"/>
      <c r="C335" s="86"/>
      <c r="D335" s="109"/>
      <c r="E335" s="109"/>
      <c r="F335" s="16"/>
      <c r="G335" s="12"/>
      <c r="H335" s="15"/>
      <c r="I335" s="15"/>
      <c r="J335" s="15"/>
      <c r="K335" s="15"/>
      <c r="L335" s="17"/>
      <c r="M335" s="17"/>
      <c r="N335" s="17"/>
      <c r="O335" s="17"/>
      <c r="P335" s="17"/>
      <c r="Q335" s="17"/>
      <c r="R335" s="17"/>
      <c r="S335" s="15"/>
      <c r="T335" s="26"/>
      <c r="U335" s="13"/>
      <c r="V335">
        <v>3</v>
      </c>
      <c r="X335" s="53" t="s">
        <v>108</v>
      </c>
      <c r="Y335" s="54">
        <f>COUNTIF(U333:U356,"J")</f>
        <v>0</v>
      </c>
      <c r="AA335" s="49" t="s">
        <v>82</v>
      </c>
      <c r="AB335" s="50" t="s">
        <v>39</v>
      </c>
    </row>
    <row r="336" spans="1:28" x14ac:dyDescent="0.4">
      <c r="A336" s="138"/>
      <c r="B336" s="144"/>
      <c r="C336" s="86"/>
      <c r="D336" s="109"/>
      <c r="E336" s="109"/>
      <c r="F336" s="16"/>
      <c r="G336" s="12"/>
      <c r="H336" s="15"/>
      <c r="I336" s="15"/>
      <c r="J336" s="15"/>
      <c r="K336" s="15"/>
      <c r="L336" s="17"/>
      <c r="M336" s="17"/>
      <c r="N336" s="17"/>
      <c r="O336" s="17"/>
      <c r="P336" s="17"/>
      <c r="Q336" s="17"/>
      <c r="R336" s="17"/>
      <c r="S336" s="15"/>
      <c r="T336" s="26"/>
      <c r="U336" s="13"/>
      <c r="V336">
        <v>4</v>
      </c>
      <c r="AA336" s="49" t="s">
        <v>83</v>
      </c>
      <c r="AB336" s="50" t="s">
        <v>38</v>
      </c>
    </row>
    <row r="337" spans="1:28" x14ac:dyDescent="0.4">
      <c r="A337" s="138"/>
      <c r="B337" s="144"/>
      <c r="C337" s="86"/>
      <c r="D337" s="109"/>
      <c r="E337" s="109"/>
      <c r="F337" s="16"/>
      <c r="G337" s="12"/>
      <c r="H337" s="15"/>
      <c r="I337" s="15"/>
      <c r="J337" s="15"/>
      <c r="K337" s="15"/>
      <c r="L337" s="17"/>
      <c r="M337" s="17"/>
      <c r="N337" s="17"/>
      <c r="O337" s="17"/>
      <c r="P337" s="17"/>
      <c r="Q337" s="17"/>
      <c r="R337" s="17"/>
      <c r="S337" s="15"/>
      <c r="T337" s="26"/>
      <c r="U337" s="13"/>
      <c r="V337">
        <v>5</v>
      </c>
      <c r="AA337" s="49" t="s">
        <v>84</v>
      </c>
      <c r="AB337" s="50" t="s">
        <v>44</v>
      </c>
    </row>
    <row r="338" spans="1:28" x14ac:dyDescent="0.4">
      <c r="A338" s="138"/>
      <c r="B338" s="144"/>
      <c r="C338" s="86"/>
      <c r="D338" s="109"/>
      <c r="E338" s="109"/>
      <c r="F338" s="16"/>
      <c r="G338" s="12"/>
      <c r="H338" s="13"/>
      <c r="I338" s="15"/>
      <c r="J338" s="15"/>
      <c r="K338" s="15"/>
      <c r="L338" s="17"/>
      <c r="M338" s="17"/>
      <c r="N338" s="17"/>
      <c r="O338" s="17"/>
      <c r="P338" s="17"/>
      <c r="Q338" s="17"/>
      <c r="R338" s="17"/>
      <c r="S338" s="15"/>
      <c r="T338" s="26"/>
      <c r="U338" s="13"/>
      <c r="V338">
        <v>6</v>
      </c>
      <c r="AA338" s="49" t="s">
        <v>85</v>
      </c>
      <c r="AB338" s="50" t="s">
        <v>43</v>
      </c>
    </row>
    <row r="339" spans="1:28" x14ac:dyDescent="0.4">
      <c r="A339" s="138"/>
      <c r="B339" s="144"/>
      <c r="C339" s="86"/>
      <c r="D339" s="109"/>
      <c r="E339" s="109"/>
      <c r="F339" s="16"/>
      <c r="G339" s="12"/>
      <c r="H339" s="15"/>
      <c r="I339" s="15"/>
      <c r="J339" s="15"/>
      <c r="K339" s="15"/>
      <c r="L339" s="17"/>
      <c r="M339" s="17"/>
      <c r="N339" s="17"/>
      <c r="O339" s="17"/>
      <c r="P339" s="17"/>
      <c r="Q339" s="17"/>
      <c r="R339" s="17"/>
      <c r="S339" s="15"/>
      <c r="T339" s="26"/>
      <c r="U339" s="13"/>
      <c r="V339">
        <v>7</v>
      </c>
      <c r="AA339" s="49" t="s">
        <v>86</v>
      </c>
      <c r="AB339" s="50" t="s">
        <v>45</v>
      </c>
    </row>
    <row r="340" spans="1:28" x14ac:dyDescent="0.4">
      <c r="A340" s="138"/>
      <c r="B340" s="144"/>
      <c r="C340" s="86"/>
      <c r="D340" s="109"/>
      <c r="E340" s="109"/>
      <c r="F340" s="16"/>
      <c r="G340" s="12"/>
      <c r="H340" s="15"/>
      <c r="I340" s="15"/>
      <c r="J340" s="15"/>
      <c r="K340" s="15"/>
      <c r="L340" s="17"/>
      <c r="M340" s="17"/>
      <c r="N340" s="17"/>
      <c r="O340" s="17"/>
      <c r="P340" s="17"/>
      <c r="Q340" s="17"/>
      <c r="R340" s="17"/>
      <c r="S340" s="15"/>
      <c r="T340" s="26"/>
      <c r="U340" s="13"/>
      <c r="V340">
        <v>8</v>
      </c>
      <c r="AA340" s="49" t="s">
        <v>87</v>
      </c>
      <c r="AB340" s="50" t="s">
        <v>37</v>
      </c>
    </row>
    <row r="341" spans="1:28" x14ac:dyDescent="0.4">
      <c r="A341" s="138"/>
      <c r="B341" s="144"/>
      <c r="C341" s="86"/>
      <c r="D341" s="109"/>
      <c r="E341" s="15"/>
      <c r="F341" s="16"/>
      <c r="G341" s="15"/>
      <c r="H341" s="15"/>
      <c r="I341" s="15"/>
      <c r="J341" s="15"/>
      <c r="K341" s="15"/>
      <c r="L341" s="17"/>
      <c r="M341" s="17"/>
      <c r="N341" s="17"/>
      <c r="O341" s="17"/>
      <c r="P341" s="17"/>
      <c r="Q341" s="17"/>
      <c r="R341" s="17"/>
      <c r="S341" s="15"/>
      <c r="T341" s="26"/>
      <c r="U341" s="13"/>
      <c r="V341">
        <v>9</v>
      </c>
      <c r="AA341" s="49" t="s">
        <v>88</v>
      </c>
      <c r="AB341" s="50" t="s">
        <v>74</v>
      </c>
    </row>
    <row r="342" spans="1:28" x14ac:dyDescent="0.4">
      <c r="A342" s="138"/>
      <c r="B342" s="144"/>
      <c r="C342" s="86"/>
      <c r="D342" s="109"/>
      <c r="E342" s="15"/>
      <c r="F342" s="16"/>
      <c r="G342" s="15"/>
      <c r="H342" s="15"/>
      <c r="I342" s="15"/>
      <c r="J342" s="15"/>
      <c r="K342" s="15"/>
      <c r="L342" s="17"/>
      <c r="M342" s="17"/>
      <c r="N342" s="17"/>
      <c r="O342" s="17"/>
      <c r="P342" s="17"/>
      <c r="Q342" s="17"/>
      <c r="R342" s="17"/>
      <c r="S342" s="15"/>
      <c r="T342" s="26"/>
      <c r="U342" s="13"/>
      <c r="V342">
        <v>10</v>
      </c>
      <c r="AA342" s="49" t="s">
        <v>89</v>
      </c>
      <c r="AB342" s="50" t="s">
        <v>36</v>
      </c>
    </row>
    <row r="343" spans="1:28" x14ac:dyDescent="0.4">
      <c r="A343" s="138"/>
      <c r="B343" s="144"/>
      <c r="C343" s="86"/>
      <c r="D343" s="109"/>
      <c r="E343" s="15"/>
      <c r="F343" s="16"/>
      <c r="G343" s="15"/>
      <c r="H343" s="15"/>
      <c r="I343" s="15"/>
      <c r="J343" s="15"/>
      <c r="K343" s="15"/>
      <c r="L343" s="17"/>
      <c r="M343" s="17"/>
      <c r="N343" s="17"/>
      <c r="O343" s="17"/>
      <c r="P343" s="17"/>
      <c r="Q343" s="17"/>
      <c r="R343" s="17"/>
      <c r="S343" s="15"/>
      <c r="T343" s="26"/>
      <c r="U343" s="15"/>
      <c r="V343">
        <v>11</v>
      </c>
      <c r="AA343" s="49" t="s">
        <v>90</v>
      </c>
      <c r="AB343" s="50" t="s">
        <v>58</v>
      </c>
    </row>
    <row r="344" spans="1:28" x14ac:dyDescent="0.4">
      <c r="A344" s="138"/>
      <c r="B344" s="144"/>
      <c r="C344" s="86"/>
      <c r="D344" s="109"/>
      <c r="E344" s="15"/>
      <c r="F344" s="16"/>
      <c r="G344" s="15"/>
      <c r="H344" s="15"/>
      <c r="I344" s="15"/>
      <c r="J344" s="15"/>
      <c r="K344" s="15"/>
      <c r="L344" s="17"/>
      <c r="M344" s="17"/>
      <c r="N344" s="17"/>
      <c r="O344" s="17"/>
      <c r="P344" s="17"/>
      <c r="Q344" s="17"/>
      <c r="R344" s="17"/>
      <c r="S344" s="15"/>
      <c r="T344" s="26"/>
      <c r="U344" s="15"/>
      <c r="V344">
        <v>12</v>
      </c>
      <c r="AA344" s="49" t="s">
        <v>91</v>
      </c>
      <c r="AB344" s="50" t="s">
        <v>75</v>
      </c>
    </row>
    <row r="345" spans="1:28" x14ac:dyDescent="0.4">
      <c r="A345" s="138"/>
      <c r="B345" s="144"/>
      <c r="C345" s="86"/>
      <c r="D345" s="109"/>
      <c r="E345" s="15"/>
      <c r="F345" s="16"/>
      <c r="G345" s="15"/>
      <c r="H345" s="15"/>
      <c r="I345" s="15"/>
      <c r="J345" s="15"/>
      <c r="K345" s="15"/>
      <c r="L345" s="17"/>
      <c r="M345" s="17"/>
      <c r="N345" s="17"/>
      <c r="O345" s="17"/>
      <c r="P345" s="17"/>
      <c r="Q345" s="17"/>
      <c r="R345" s="17"/>
      <c r="S345" s="15"/>
      <c r="T345" s="26"/>
      <c r="U345" s="15"/>
      <c r="V345">
        <v>13</v>
      </c>
      <c r="AA345" s="49" t="s">
        <v>92</v>
      </c>
      <c r="AB345" s="50" t="s">
        <v>40</v>
      </c>
    </row>
    <row r="346" spans="1:28" x14ac:dyDescent="0.4">
      <c r="A346" s="138"/>
      <c r="B346" s="144"/>
      <c r="C346" s="86"/>
      <c r="D346" s="109"/>
      <c r="E346" s="15"/>
      <c r="F346" s="16"/>
      <c r="G346" s="15"/>
      <c r="H346" s="15"/>
      <c r="I346" s="15"/>
      <c r="J346" s="15"/>
      <c r="K346" s="15"/>
      <c r="L346" s="17"/>
      <c r="M346" s="17"/>
      <c r="N346" s="17"/>
      <c r="O346" s="17"/>
      <c r="P346" s="17"/>
      <c r="Q346" s="17"/>
      <c r="R346" s="17"/>
      <c r="S346" s="15"/>
      <c r="T346" s="26"/>
      <c r="U346" s="15"/>
      <c r="V346">
        <v>14</v>
      </c>
      <c r="AA346" s="49" t="s">
        <v>93</v>
      </c>
      <c r="AB346" s="50" t="s">
        <v>57</v>
      </c>
    </row>
    <row r="347" spans="1:28" x14ac:dyDescent="0.4">
      <c r="A347" s="138"/>
      <c r="B347" s="144"/>
      <c r="C347" s="86"/>
      <c r="D347" s="109"/>
      <c r="E347" s="15"/>
      <c r="F347" s="16"/>
      <c r="G347" s="15"/>
      <c r="H347" s="15"/>
      <c r="I347" s="15"/>
      <c r="J347" s="15"/>
      <c r="K347" s="15"/>
      <c r="L347" s="17"/>
      <c r="M347" s="17"/>
      <c r="N347" s="17"/>
      <c r="O347" s="17"/>
      <c r="P347" s="17"/>
      <c r="Q347" s="17"/>
      <c r="R347" s="17"/>
      <c r="S347" s="15"/>
      <c r="T347" s="26"/>
      <c r="U347" s="15"/>
      <c r="V347">
        <v>15</v>
      </c>
      <c r="AA347" s="49" t="s">
        <v>94</v>
      </c>
      <c r="AB347" s="50" t="s">
        <v>41</v>
      </c>
    </row>
    <row r="348" spans="1:28" x14ac:dyDescent="0.4">
      <c r="A348" s="138"/>
      <c r="B348" s="144"/>
      <c r="C348" s="86"/>
      <c r="D348" s="109"/>
      <c r="E348" s="15"/>
      <c r="F348" s="16"/>
      <c r="G348" s="15"/>
      <c r="H348" s="15"/>
      <c r="I348" s="15"/>
      <c r="J348" s="15"/>
      <c r="K348" s="15"/>
      <c r="L348" s="19"/>
      <c r="M348" s="19"/>
      <c r="N348" s="19"/>
      <c r="O348" s="19"/>
      <c r="P348" s="19"/>
      <c r="Q348" s="19"/>
      <c r="R348" s="19"/>
      <c r="S348" s="15"/>
      <c r="T348" s="26"/>
      <c r="U348" s="15"/>
      <c r="V348">
        <v>16</v>
      </c>
      <c r="AA348" s="49" t="s">
        <v>95</v>
      </c>
      <c r="AB348" s="50" t="s">
        <v>42</v>
      </c>
    </row>
    <row r="349" spans="1:28" x14ac:dyDescent="0.4">
      <c r="A349" s="138"/>
      <c r="B349" s="144"/>
      <c r="C349" s="86"/>
      <c r="D349" s="110"/>
      <c r="E349" s="18"/>
      <c r="F349" s="16"/>
      <c r="G349" s="15"/>
      <c r="H349" s="15"/>
      <c r="I349" s="15"/>
      <c r="J349" s="18"/>
      <c r="K349" s="15"/>
      <c r="L349" s="19"/>
      <c r="M349" s="19"/>
      <c r="N349" s="19"/>
      <c r="O349" s="19"/>
      <c r="P349" s="19"/>
      <c r="Q349" s="19"/>
      <c r="R349" s="19"/>
      <c r="S349" s="15"/>
      <c r="T349" s="26"/>
      <c r="U349" s="15"/>
      <c r="V349">
        <v>17</v>
      </c>
      <c r="AA349" s="49" t="s">
        <v>96</v>
      </c>
      <c r="AB349" s="50" t="s">
        <v>61</v>
      </c>
    </row>
    <row r="350" spans="1:28" x14ac:dyDescent="0.4">
      <c r="A350" s="138"/>
      <c r="B350" s="144"/>
      <c r="C350" s="86"/>
      <c r="D350" s="110"/>
      <c r="E350" s="18"/>
      <c r="F350" s="16"/>
      <c r="G350" s="18"/>
      <c r="H350" s="15"/>
      <c r="I350" s="15"/>
      <c r="J350" s="18"/>
      <c r="K350" s="15"/>
      <c r="L350" s="19"/>
      <c r="M350" s="19"/>
      <c r="N350" s="19"/>
      <c r="O350" s="19"/>
      <c r="P350" s="19"/>
      <c r="Q350" s="19"/>
      <c r="R350" s="19"/>
      <c r="S350" s="15"/>
      <c r="T350" s="26"/>
      <c r="U350" s="15"/>
      <c r="V350">
        <v>18</v>
      </c>
      <c r="AA350" s="49" t="s">
        <v>97</v>
      </c>
      <c r="AB350" s="50" t="s">
        <v>76</v>
      </c>
    </row>
    <row r="351" spans="1:28" x14ac:dyDescent="0.4">
      <c r="A351" s="138"/>
      <c r="B351" s="144"/>
      <c r="C351" s="86"/>
      <c r="D351" s="110"/>
      <c r="E351" s="18"/>
      <c r="F351" s="16"/>
      <c r="G351" s="18"/>
      <c r="H351" s="15"/>
      <c r="I351" s="15"/>
      <c r="J351" s="18"/>
      <c r="K351" s="15"/>
      <c r="L351" s="19"/>
      <c r="M351" s="19"/>
      <c r="N351" s="19"/>
      <c r="O351" s="19"/>
      <c r="P351" s="19"/>
      <c r="Q351" s="19"/>
      <c r="R351" s="19"/>
      <c r="S351" s="15"/>
      <c r="T351" s="26"/>
      <c r="U351" s="15"/>
      <c r="V351">
        <v>19</v>
      </c>
      <c r="AA351" s="49" t="s">
        <v>98</v>
      </c>
      <c r="AB351" s="50" t="s">
        <v>77</v>
      </c>
    </row>
    <row r="352" spans="1:28" x14ac:dyDescent="0.4">
      <c r="A352" s="138"/>
      <c r="B352" s="144"/>
      <c r="C352" s="86"/>
      <c r="D352" s="110"/>
      <c r="E352" s="18"/>
      <c r="F352" s="16"/>
      <c r="G352" s="18"/>
      <c r="H352" s="15"/>
      <c r="I352" s="15"/>
      <c r="J352" s="18"/>
      <c r="K352" s="15"/>
      <c r="L352" s="19"/>
      <c r="M352" s="19"/>
      <c r="N352" s="19"/>
      <c r="O352" s="19"/>
      <c r="P352" s="19"/>
      <c r="Q352" s="19"/>
      <c r="R352" s="19"/>
      <c r="S352" s="15"/>
      <c r="T352" s="26"/>
      <c r="U352" s="15"/>
      <c r="V352">
        <v>20</v>
      </c>
      <c r="AA352" s="49" t="s">
        <v>99</v>
      </c>
      <c r="AB352" s="50" t="s">
        <v>78</v>
      </c>
    </row>
    <row r="353" spans="1:28" x14ac:dyDescent="0.4">
      <c r="A353" s="138"/>
      <c r="B353" s="144"/>
      <c r="C353" s="86"/>
      <c r="D353" s="110"/>
      <c r="E353" s="18"/>
      <c r="F353" s="16"/>
      <c r="G353" s="18"/>
      <c r="H353" s="15"/>
      <c r="I353" s="15"/>
      <c r="J353" s="18"/>
      <c r="K353" s="15"/>
      <c r="L353" s="19"/>
      <c r="M353" s="19"/>
      <c r="N353" s="19"/>
      <c r="O353" s="19"/>
      <c r="P353" s="19"/>
      <c r="Q353" s="19"/>
      <c r="R353" s="19"/>
      <c r="S353" s="15"/>
      <c r="T353" s="26"/>
      <c r="U353" s="15"/>
      <c r="V353">
        <v>21</v>
      </c>
      <c r="AA353" s="49" t="s">
        <v>100</v>
      </c>
      <c r="AB353" s="50" t="s">
        <v>79</v>
      </c>
    </row>
    <row r="354" spans="1:28" x14ac:dyDescent="0.4">
      <c r="A354" s="138"/>
      <c r="B354" s="144"/>
      <c r="C354" s="86"/>
      <c r="D354" s="106"/>
      <c r="E354" s="15"/>
      <c r="F354" s="16"/>
      <c r="G354" s="15"/>
      <c r="H354" s="15"/>
      <c r="I354" s="15"/>
      <c r="J354" s="15"/>
      <c r="K354" s="15"/>
      <c r="L354" s="17"/>
      <c r="M354" s="17"/>
      <c r="N354" s="17"/>
      <c r="O354" s="17"/>
      <c r="P354" s="17"/>
      <c r="Q354" s="17"/>
      <c r="R354" s="17"/>
      <c r="S354" s="15"/>
      <c r="T354" s="26"/>
      <c r="U354" s="15"/>
      <c r="V354">
        <v>22</v>
      </c>
      <c r="AA354" s="49" t="s">
        <v>101</v>
      </c>
      <c r="AB354" s="50" t="s">
        <v>59</v>
      </c>
    </row>
    <row r="355" spans="1:28" x14ac:dyDescent="0.4">
      <c r="A355" s="138"/>
      <c r="B355" s="144"/>
      <c r="C355" s="85"/>
      <c r="D355" s="109"/>
      <c r="E355" s="13"/>
      <c r="F355" s="16"/>
      <c r="G355" s="13"/>
      <c r="H355" s="18"/>
      <c r="I355" s="15"/>
      <c r="J355" s="13"/>
      <c r="K355" s="13"/>
      <c r="L355" s="20"/>
      <c r="M355" s="20"/>
      <c r="N355" s="20"/>
      <c r="O355" s="20"/>
      <c r="P355" s="20"/>
      <c r="Q355" s="20"/>
      <c r="R355" s="20"/>
      <c r="S355" s="15"/>
      <c r="T355" s="26"/>
      <c r="U355" s="15"/>
      <c r="V355">
        <v>23</v>
      </c>
      <c r="AA355" s="49" t="s">
        <v>102</v>
      </c>
      <c r="AB355" s="50" t="s">
        <v>62</v>
      </c>
    </row>
    <row r="356" spans="1:28" ht="19.5" thickBot="1" x14ac:dyDescent="0.45">
      <c r="A356" s="138"/>
      <c r="B356" s="144"/>
      <c r="C356" s="86"/>
      <c r="D356" s="106"/>
      <c r="E356" s="15"/>
      <c r="F356" s="16"/>
      <c r="G356" s="15"/>
      <c r="H356" s="15"/>
      <c r="I356" s="15"/>
      <c r="J356" s="15"/>
      <c r="K356" s="15"/>
      <c r="L356" s="17"/>
      <c r="M356" s="17"/>
      <c r="N356" s="17"/>
      <c r="O356" s="17"/>
      <c r="P356" s="17"/>
      <c r="Q356" s="17"/>
      <c r="R356" s="17"/>
      <c r="S356" s="15"/>
      <c r="T356" s="26"/>
      <c r="U356" s="21"/>
      <c r="V356">
        <v>24</v>
      </c>
      <c r="AA356" s="55" t="s">
        <v>103</v>
      </c>
      <c r="AB356" s="56" t="s">
        <v>80</v>
      </c>
    </row>
    <row r="357" spans="1:28" ht="19.5" thickBot="1" x14ac:dyDescent="0.45">
      <c r="A357" s="139"/>
      <c r="B357" s="145"/>
      <c r="C357" s="87"/>
      <c r="D357" s="111"/>
      <c r="E357" s="21"/>
      <c r="F357" s="22"/>
      <c r="G357" s="21"/>
      <c r="H357" s="21"/>
      <c r="I357" s="21"/>
      <c r="J357" s="21"/>
      <c r="K357" s="21"/>
      <c r="L357" s="23"/>
      <c r="M357" s="23"/>
      <c r="N357" s="23"/>
      <c r="O357" s="23"/>
      <c r="P357" s="23"/>
      <c r="Q357" s="23"/>
      <c r="R357" s="23"/>
      <c r="S357" s="21"/>
      <c r="T357" s="23"/>
      <c r="U357" s="29"/>
      <c r="V357">
        <v>25</v>
      </c>
      <c r="AA357" s="57" t="s">
        <v>47</v>
      </c>
      <c r="AB357" s="58"/>
    </row>
    <row r="358" spans="1:28" x14ac:dyDescent="0.4">
      <c r="A358" s="27"/>
      <c r="B358" s="28"/>
      <c r="C358" s="88">
        <f>COUNTA(C333:C357)</f>
        <v>0</v>
      </c>
      <c r="D358" s="112"/>
      <c r="E358" s="29"/>
      <c r="F358" s="29" t="s">
        <v>34</v>
      </c>
      <c r="G358" s="29">
        <f>COUNTIF(G333:G357,"S")</f>
        <v>0</v>
      </c>
      <c r="H358" s="29">
        <f>COUNTIF(H333:H357,"E")</f>
        <v>0</v>
      </c>
      <c r="I358" s="29">
        <f>SUM(I333:I357)</f>
        <v>0</v>
      </c>
      <c r="J358" s="29">
        <f t="shared" ref="J358:S358" si="83">SUM(J333:J357)</f>
        <v>0</v>
      </c>
      <c r="K358" s="29">
        <f t="shared" si="83"/>
        <v>0</v>
      </c>
      <c r="L358" s="29">
        <f t="shared" si="83"/>
        <v>0</v>
      </c>
      <c r="M358" s="29">
        <f t="shared" si="83"/>
        <v>0</v>
      </c>
      <c r="N358" s="29">
        <f t="shared" si="83"/>
        <v>0</v>
      </c>
      <c r="O358" s="29">
        <f t="shared" si="83"/>
        <v>0</v>
      </c>
      <c r="P358" s="29">
        <f t="shared" si="83"/>
        <v>0</v>
      </c>
      <c r="Q358" s="29">
        <f t="shared" si="83"/>
        <v>0</v>
      </c>
      <c r="R358" s="29">
        <f t="shared" si="83"/>
        <v>0</v>
      </c>
      <c r="S358" s="29">
        <f t="shared" si="83"/>
        <v>0</v>
      </c>
      <c r="T358" s="29" t="s">
        <v>63</v>
      </c>
      <c r="U358" s="29"/>
    </row>
    <row r="359" spans="1:28" x14ac:dyDescent="0.15">
      <c r="A359" s="27"/>
      <c r="B359" s="28"/>
      <c r="C359" s="88"/>
      <c r="D359" s="112"/>
      <c r="E359" s="29"/>
      <c r="F359" s="29" t="s">
        <v>35</v>
      </c>
      <c r="G359" s="29">
        <f>COUNTIF(G333:G357,"P")</f>
        <v>0</v>
      </c>
      <c r="H359" s="29">
        <f>COUNTIF(H333:H357,"R")</f>
        <v>0</v>
      </c>
      <c r="I359" s="29"/>
      <c r="J359" s="29"/>
      <c r="K359" s="29"/>
      <c r="L359" s="29"/>
      <c r="M359" s="29"/>
      <c r="N359" s="29"/>
      <c r="O359" s="29"/>
      <c r="P359" s="29"/>
      <c r="Q359" s="29"/>
      <c r="R359" s="29" t="s">
        <v>130</v>
      </c>
      <c r="S359" s="29">
        <f>SUM(J358:S358)</f>
        <v>0</v>
      </c>
      <c r="T359" s="29"/>
      <c r="U359" s="3"/>
    </row>
    <row r="360" spans="1:28" ht="12" customHeight="1" thickBot="1" x14ac:dyDescent="0.2">
      <c r="A360" s="27"/>
      <c r="B360" s="28"/>
      <c r="C360" s="88"/>
      <c r="D360" s="112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3"/>
    </row>
    <row r="361" spans="1:28" ht="19.5" thickBot="1" x14ac:dyDescent="0.45">
      <c r="A361" s="1" t="s">
        <v>174</v>
      </c>
      <c r="B361" s="24">
        <v>45372</v>
      </c>
      <c r="C361" s="83" t="s">
        <v>0</v>
      </c>
      <c r="D361" s="107"/>
      <c r="E361" s="2" t="s">
        <v>1</v>
      </c>
      <c r="F361" s="3"/>
      <c r="G361" s="2"/>
      <c r="H361" s="2" t="s">
        <v>4</v>
      </c>
      <c r="I361" s="3" t="s">
        <v>3</v>
      </c>
      <c r="J361" s="2" t="s">
        <v>5</v>
      </c>
      <c r="K361" s="2" t="s">
        <v>6</v>
      </c>
      <c r="L361" s="2" t="s">
        <v>7</v>
      </c>
      <c r="M361" s="2" t="s">
        <v>8</v>
      </c>
      <c r="N361" s="2" t="s">
        <v>9</v>
      </c>
      <c r="O361" s="2" t="s">
        <v>10</v>
      </c>
      <c r="P361" s="2" t="s">
        <v>11</v>
      </c>
      <c r="Q361" s="3" t="s">
        <v>12</v>
      </c>
      <c r="R361" s="2" t="s">
        <v>3</v>
      </c>
      <c r="S361" s="3" t="s">
        <v>2</v>
      </c>
      <c r="T361" s="2"/>
      <c r="U361" s="6" t="s">
        <v>33</v>
      </c>
    </row>
    <row r="362" spans="1:28" ht="20.25" thickTop="1" thickBot="1" x14ac:dyDescent="0.45">
      <c r="A362" s="4" t="s">
        <v>13</v>
      </c>
      <c r="B362" s="5" t="s">
        <v>14</v>
      </c>
      <c r="C362" s="84" t="s">
        <v>15</v>
      </c>
      <c r="D362" s="108" t="s">
        <v>16</v>
      </c>
      <c r="E362" s="5" t="s">
        <v>17</v>
      </c>
      <c r="F362" s="7" t="s">
        <v>18</v>
      </c>
      <c r="G362" s="5" t="s">
        <v>19</v>
      </c>
      <c r="H362" s="5" t="s">
        <v>20</v>
      </c>
      <c r="I362" s="8" t="s">
        <v>21</v>
      </c>
      <c r="J362" s="5" t="s">
        <v>22</v>
      </c>
      <c r="K362" s="5" t="s">
        <v>23</v>
      </c>
      <c r="L362" s="9" t="s">
        <v>24</v>
      </c>
      <c r="M362" s="9" t="s">
        <v>25</v>
      </c>
      <c r="N362" s="9" t="s">
        <v>26</v>
      </c>
      <c r="O362" s="10" t="s">
        <v>27</v>
      </c>
      <c r="P362" s="9" t="s">
        <v>28</v>
      </c>
      <c r="Q362" s="9" t="s">
        <v>29</v>
      </c>
      <c r="R362" s="9" t="s">
        <v>30</v>
      </c>
      <c r="S362" s="5" t="s">
        <v>31</v>
      </c>
      <c r="T362" s="11" t="s">
        <v>32</v>
      </c>
      <c r="U362" s="13"/>
      <c r="X362" s="135" t="s">
        <v>138</v>
      </c>
      <c r="Y362" s="136"/>
    </row>
    <row r="363" spans="1:28" ht="19.5" thickTop="1" x14ac:dyDescent="0.4">
      <c r="A363" s="137">
        <v>13</v>
      </c>
      <c r="B363" s="143"/>
      <c r="C363" s="86"/>
      <c r="D363" s="109"/>
      <c r="E363" s="13"/>
      <c r="F363" s="14"/>
      <c r="G363" s="12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26"/>
      <c r="U363" s="15"/>
      <c r="V363">
        <v>1</v>
      </c>
      <c r="X363" s="51" t="s">
        <v>106</v>
      </c>
      <c r="Y363" s="52">
        <f>COUNTIF(U362:U386,"K")</f>
        <v>0</v>
      </c>
    </row>
    <row r="364" spans="1:28" x14ac:dyDescent="0.4">
      <c r="A364" s="138"/>
      <c r="B364" s="144"/>
      <c r="C364" s="86"/>
      <c r="D364" s="106"/>
      <c r="E364" s="15"/>
      <c r="F364" s="16"/>
      <c r="G364" s="15"/>
      <c r="H364" s="15"/>
      <c r="I364" s="15"/>
      <c r="J364" s="15"/>
      <c r="K364" s="15"/>
      <c r="L364" s="17"/>
      <c r="M364" s="17"/>
      <c r="N364" s="17"/>
      <c r="O364" s="17"/>
      <c r="P364" s="17"/>
      <c r="Q364" s="17"/>
      <c r="R364" s="17"/>
      <c r="S364" s="15"/>
      <c r="T364" s="26"/>
      <c r="U364" s="15"/>
      <c r="V364">
        <v>2</v>
      </c>
      <c r="X364" s="51" t="s">
        <v>107</v>
      </c>
      <c r="Y364" s="52">
        <f>COUNTIF(U362:U386,"R")</f>
        <v>0</v>
      </c>
    </row>
    <row r="365" spans="1:28" ht="19.5" thickBot="1" x14ac:dyDescent="0.45">
      <c r="A365" s="138"/>
      <c r="B365" s="144"/>
      <c r="C365" s="86"/>
      <c r="D365" s="109"/>
      <c r="E365" s="15"/>
      <c r="F365" s="16"/>
      <c r="G365" s="15"/>
      <c r="H365" s="15"/>
      <c r="I365" s="15"/>
      <c r="J365" s="15"/>
      <c r="K365" s="15"/>
      <c r="L365" s="17"/>
      <c r="M365" s="17"/>
      <c r="N365" s="17"/>
      <c r="O365" s="17"/>
      <c r="P365" s="17"/>
      <c r="Q365" s="17"/>
      <c r="R365" s="17"/>
      <c r="S365" s="15"/>
      <c r="T365" s="26"/>
      <c r="U365" s="15"/>
      <c r="V365">
        <v>3</v>
      </c>
      <c r="X365" s="53" t="s">
        <v>108</v>
      </c>
      <c r="Y365" s="54">
        <f>COUNTIF(U362:U386,"J")</f>
        <v>0</v>
      </c>
    </row>
    <row r="366" spans="1:28" x14ac:dyDescent="0.4">
      <c r="A366" s="138"/>
      <c r="B366" s="144"/>
      <c r="C366" s="86"/>
      <c r="D366" s="109"/>
      <c r="E366" s="15"/>
      <c r="F366" s="16"/>
      <c r="G366" s="15"/>
      <c r="H366" s="15"/>
      <c r="I366" s="15"/>
      <c r="J366" s="15"/>
      <c r="K366" s="15"/>
      <c r="L366" s="17"/>
      <c r="M366" s="17"/>
      <c r="N366" s="17"/>
      <c r="O366" s="17"/>
      <c r="P366" s="17"/>
      <c r="Q366" s="17"/>
      <c r="R366" s="17"/>
      <c r="S366" s="15"/>
      <c r="T366" s="26"/>
      <c r="U366" s="15"/>
      <c r="V366">
        <v>4</v>
      </c>
    </row>
    <row r="367" spans="1:28" x14ac:dyDescent="0.4">
      <c r="A367" s="138"/>
      <c r="B367" s="144"/>
      <c r="C367" s="86"/>
      <c r="D367" s="109"/>
      <c r="E367" s="15"/>
      <c r="F367" s="16"/>
      <c r="G367" s="15"/>
      <c r="H367" s="15"/>
      <c r="I367" s="15"/>
      <c r="J367" s="15"/>
      <c r="K367" s="15"/>
      <c r="L367" s="17"/>
      <c r="M367" s="17"/>
      <c r="N367" s="17"/>
      <c r="O367" s="17"/>
      <c r="P367" s="17"/>
      <c r="Q367" s="17"/>
      <c r="R367" s="17"/>
      <c r="S367" s="15"/>
      <c r="T367" s="26"/>
      <c r="U367" s="15"/>
      <c r="V367">
        <v>5</v>
      </c>
    </row>
    <row r="368" spans="1:28" x14ac:dyDescent="0.4">
      <c r="A368" s="138"/>
      <c r="B368" s="144"/>
      <c r="C368" s="86"/>
      <c r="D368" s="109"/>
      <c r="E368" s="15"/>
      <c r="F368" s="16"/>
      <c r="G368" s="15"/>
      <c r="H368" s="13"/>
      <c r="I368" s="15"/>
      <c r="J368" s="15"/>
      <c r="K368" s="15"/>
      <c r="L368" s="17"/>
      <c r="M368" s="17"/>
      <c r="N368" s="17"/>
      <c r="O368" s="17"/>
      <c r="P368" s="17"/>
      <c r="Q368" s="17"/>
      <c r="R368" s="17"/>
      <c r="S368" s="15"/>
      <c r="T368" s="26"/>
      <c r="U368" s="15"/>
      <c r="V368">
        <v>6</v>
      </c>
    </row>
    <row r="369" spans="1:22" x14ac:dyDescent="0.4">
      <c r="A369" s="138"/>
      <c r="B369" s="144"/>
      <c r="C369" s="86"/>
      <c r="D369" s="109"/>
      <c r="E369" s="15"/>
      <c r="F369" s="16"/>
      <c r="G369" s="15"/>
      <c r="H369" s="15"/>
      <c r="I369" s="15"/>
      <c r="J369" s="15"/>
      <c r="K369" s="15"/>
      <c r="L369" s="17"/>
      <c r="M369" s="17"/>
      <c r="N369" s="17"/>
      <c r="O369" s="17"/>
      <c r="P369" s="17"/>
      <c r="Q369" s="17"/>
      <c r="R369" s="17"/>
      <c r="S369" s="15"/>
      <c r="T369" s="26"/>
      <c r="U369" s="15"/>
      <c r="V369">
        <v>7</v>
      </c>
    </row>
    <row r="370" spans="1:22" x14ac:dyDescent="0.4">
      <c r="A370" s="138"/>
      <c r="B370" s="144"/>
      <c r="C370" s="86"/>
      <c r="D370" s="109"/>
      <c r="E370" s="15"/>
      <c r="F370" s="16"/>
      <c r="G370" s="15"/>
      <c r="H370" s="15"/>
      <c r="I370" s="15"/>
      <c r="J370" s="15"/>
      <c r="K370" s="15"/>
      <c r="L370" s="17"/>
      <c r="M370" s="17"/>
      <c r="N370" s="17"/>
      <c r="O370" s="17"/>
      <c r="P370" s="17"/>
      <c r="Q370" s="17"/>
      <c r="R370" s="17"/>
      <c r="S370" s="15"/>
      <c r="T370" s="26"/>
      <c r="U370" s="15"/>
      <c r="V370">
        <v>8</v>
      </c>
    </row>
    <row r="371" spans="1:22" x14ac:dyDescent="0.4">
      <c r="A371" s="138"/>
      <c r="B371" s="144"/>
      <c r="C371" s="86"/>
      <c r="D371" s="109"/>
      <c r="E371" s="15"/>
      <c r="F371" s="16"/>
      <c r="G371" s="15"/>
      <c r="H371" s="15"/>
      <c r="I371" s="15"/>
      <c r="J371" s="15"/>
      <c r="K371" s="15"/>
      <c r="L371" s="17"/>
      <c r="M371" s="17"/>
      <c r="N371" s="17"/>
      <c r="O371" s="17"/>
      <c r="P371" s="17"/>
      <c r="Q371" s="17"/>
      <c r="R371" s="17"/>
      <c r="S371" s="15"/>
      <c r="T371" s="26"/>
      <c r="U371" s="15"/>
      <c r="V371">
        <v>9</v>
      </c>
    </row>
    <row r="372" spans="1:22" x14ac:dyDescent="0.4">
      <c r="A372" s="138"/>
      <c r="B372" s="144"/>
      <c r="C372" s="86"/>
      <c r="D372" s="109"/>
      <c r="E372" s="15"/>
      <c r="F372" s="16"/>
      <c r="G372" s="15"/>
      <c r="H372" s="15"/>
      <c r="I372" s="15"/>
      <c r="J372" s="15"/>
      <c r="K372" s="15"/>
      <c r="L372" s="17"/>
      <c r="M372" s="17"/>
      <c r="N372" s="17"/>
      <c r="O372" s="17"/>
      <c r="P372" s="17"/>
      <c r="Q372" s="17"/>
      <c r="R372" s="17"/>
      <c r="S372" s="15"/>
      <c r="T372" s="26"/>
      <c r="U372" s="15"/>
      <c r="V372">
        <v>10</v>
      </c>
    </row>
    <row r="373" spans="1:22" x14ac:dyDescent="0.4">
      <c r="A373" s="138"/>
      <c r="B373" s="144"/>
      <c r="C373" s="86"/>
      <c r="D373" s="109"/>
      <c r="E373" s="15"/>
      <c r="F373" s="16"/>
      <c r="G373" s="15"/>
      <c r="H373" s="15"/>
      <c r="I373" s="15"/>
      <c r="J373" s="15"/>
      <c r="K373" s="15"/>
      <c r="L373" s="17"/>
      <c r="M373" s="17"/>
      <c r="N373" s="17"/>
      <c r="O373" s="17"/>
      <c r="P373" s="17"/>
      <c r="Q373" s="17"/>
      <c r="R373" s="17"/>
      <c r="S373" s="15"/>
      <c r="T373" s="26"/>
      <c r="U373" s="15"/>
      <c r="V373">
        <v>11</v>
      </c>
    </row>
    <row r="374" spans="1:22" x14ac:dyDescent="0.4">
      <c r="A374" s="138"/>
      <c r="B374" s="144"/>
      <c r="C374" s="86"/>
      <c r="D374" s="109"/>
      <c r="E374" s="15"/>
      <c r="F374" s="16"/>
      <c r="G374" s="15"/>
      <c r="H374" s="15"/>
      <c r="I374" s="15"/>
      <c r="J374" s="15"/>
      <c r="K374" s="15"/>
      <c r="L374" s="17"/>
      <c r="M374" s="17"/>
      <c r="N374" s="17"/>
      <c r="O374" s="17"/>
      <c r="P374" s="17"/>
      <c r="Q374" s="17"/>
      <c r="R374" s="17"/>
      <c r="S374" s="15"/>
      <c r="T374" s="26"/>
      <c r="U374" s="15"/>
      <c r="V374">
        <v>12</v>
      </c>
    </row>
    <row r="375" spans="1:22" x14ac:dyDescent="0.4">
      <c r="A375" s="138"/>
      <c r="B375" s="144"/>
      <c r="C375" s="86"/>
      <c r="D375" s="109"/>
      <c r="E375" s="15"/>
      <c r="F375" s="16"/>
      <c r="G375" s="15"/>
      <c r="H375" s="15"/>
      <c r="I375" s="15"/>
      <c r="J375" s="15"/>
      <c r="K375" s="15"/>
      <c r="L375" s="17"/>
      <c r="M375" s="17"/>
      <c r="N375" s="17"/>
      <c r="O375" s="17"/>
      <c r="P375" s="17"/>
      <c r="Q375" s="17"/>
      <c r="R375" s="17"/>
      <c r="S375" s="15"/>
      <c r="T375" s="26"/>
      <c r="U375" s="15"/>
      <c r="V375">
        <v>13</v>
      </c>
    </row>
    <row r="376" spans="1:22" x14ac:dyDescent="0.4">
      <c r="A376" s="138"/>
      <c r="B376" s="144"/>
      <c r="C376" s="86"/>
      <c r="D376" s="106"/>
      <c r="E376" s="15"/>
      <c r="F376" s="16"/>
      <c r="G376" s="15"/>
      <c r="H376" s="15"/>
      <c r="I376" s="15"/>
      <c r="J376" s="15"/>
      <c r="K376" s="15"/>
      <c r="L376" s="17"/>
      <c r="M376" s="17"/>
      <c r="N376" s="17"/>
      <c r="O376" s="17"/>
      <c r="P376" s="17"/>
      <c r="Q376" s="17"/>
      <c r="R376" s="17"/>
      <c r="S376" s="15"/>
      <c r="T376" s="26"/>
      <c r="U376" s="15"/>
      <c r="V376">
        <v>14</v>
      </c>
    </row>
    <row r="377" spans="1:22" x14ac:dyDescent="0.4">
      <c r="A377" s="138"/>
      <c r="B377" s="144"/>
      <c r="C377" s="86"/>
      <c r="D377" s="106"/>
      <c r="E377" s="15"/>
      <c r="F377" s="16"/>
      <c r="G377" s="15"/>
      <c r="H377" s="15"/>
      <c r="I377" s="15"/>
      <c r="J377" s="15"/>
      <c r="K377" s="15"/>
      <c r="L377" s="17"/>
      <c r="M377" s="17"/>
      <c r="N377" s="17"/>
      <c r="O377" s="17"/>
      <c r="P377" s="17"/>
      <c r="Q377" s="17"/>
      <c r="R377" s="17"/>
      <c r="S377" s="15"/>
      <c r="T377" s="26"/>
      <c r="U377" s="15"/>
      <c r="V377">
        <v>15</v>
      </c>
    </row>
    <row r="378" spans="1:22" x14ac:dyDescent="0.4">
      <c r="A378" s="138"/>
      <c r="B378" s="144"/>
      <c r="C378" s="86"/>
      <c r="D378" s="106"/>
      <c r="E378" s="15"/>
      <c r="F378" s="16"/>
      <c r="G378" s="15"/>
      <c r="H378" s="15"/>
      <c r="I378" s="15"/>
      <c r="J378" s="15"/>
      <c r="K378" s="15"/>
      <c r="L378" s="19"/>
      <c r="M378" s="19"/>
      <c r="N378" s="19"/>
      <c r="O378" s="19"/>
      <c r="P378" s="19"/>
      <c r="Q378" s="19"/>
      <c r="R378" s="19"/>
      <c r="S378" s="15"/>
      <c r="T378" s="26"/>
      <c r="U378" s="15"/>
      <c r="V378">
        <v>16</v>
      </c>
    </row>
    <row r="379" spans="1:22" x14ac:dyDescent="0.4">
      <c r="A379" s="138"/>
      <c r="B379" s="144"/>
      <c r="C379" s="86"/>
      <c r="D379" s="110"/>
      <c r="E379" s="18"/>
      <c r="F379" s="16"/>
      <c r="G379" s="15"/>
      <c r="H379" s="15"/>
      <c r="I379" s="15"/>
      <c r="J379" s="18"/>
      <c r="K379" s="15"/>
      <c r="L379" s="19"/>
      <c r="M379" s="19"/>
      <c r="N379" s="19"/>
      <c r="O379" s="19"/>
      <c r="P379" s="19"/>
      <c r="Q379" s="19"/>
      <c r="R379" s="19"/>
      <c r="S379" s="15"/>
      <c r="T379" s="26"/>
      <c r="U379" s="15"/>
      <c r="V379">
        <v>17</v>
      </c>
    </row>
    <row r="380" spans="1:22" x14ac:dyDescent="0.4">
      <c r="A380" s="138"/>
      <c r="B380" s="144"/>
      <c r="C380" s="86"/>
      <c r="D380" s="110"/>
      <c r="E380" s="18"/>
      <c r="F380" s="16"/>
      <c r="G380" s="18"/>
      <c r="H380" s="15"/>
      <c r="I380" s="15"/>
      <c r="J380" s="18"/>
      <c r="K380" s="15"/>
      <c r="L380" s="19"/>
      <c r="M380" s="19"/>
      <c r="N380" s="19"/>
      <c r="O380" s="19"/>
      <c r="P380" s="19"/>
      <c r="Q380" s="19"/>
      <c r="R380" s="19"/>
      <c r="S380" s="15"/>
      <c r="T380" s="26"/>
      <c r="U380" s="15"/>
      <c r="V380">
        <v>18</v>
      </c>
    </row>
    <row r="381" spans="1:22" x14ac:dyDescent="0.4">
      <c r="A381" s="138"/>
      <c r="B381" s="144"/>
      <c r="C381" s="86"/>
      <c r="D381" s="110"/>
      <c r="E381" s="18"/>
      <c r="F381" s="16"/>
      <c r="G381" s="18"/>
      <c r="H381" s="15"/>
      <c r="I381" s="15"/>
      <c r="J381" s="18"/>
      <c r="K381" s="15"/>
      <c r="L381" s="19"/>
      <c r="M381" s="19"/>
      <c r="N381" s="19"/>
      <c r="O381" s="19"/>
      <c r="P381" s="19"/>
      <c r="Q381" s="19"/>
      <c r="R381" s="19"/>
      <c r="S381" s="15"/>
      <c r="T381" s="26"/>
      <c r="U381" s="15"/>
      <c r="V381">
        <v>19</v>
      </c>
    </row>
    <row r="382" spans="1:22" x14ac:dyDescent="0.4">
      <c r="A382" s="138"/>
      <c r="B382" s="144"/>
      <c r="C382" s="86"/>
      <c r="D382" s="110"/>
      <c r="E382" s="18"/>
      <c r="F382" s="16"/>
      <c r="G382" s="18"/>
      <c r="H382" s="15"/>
      <c r="I382" s="15"/>
      <c r="J382" s="18"/>
      <c r="K382" s="15"/>
      <c r="L382" s="19"/>
      <c r="M382" s="19"/>
      <c r="N382" s="19"/>
      <c r="O382" s="19"/>
      <c r="P382" s="19"/>
      <c r="Q382" s="19"/>
      <c r="R382" s="19"/>
      <c r="S382" s="15"/>
      <c r="T382" s="26"/>
      <c r="U382" s="15"/>
      <c r="V382">
        <v>20</v>
      </c>
    </row>
    <row r="383" spans="1:22" x14ac:dyDescent="0.4">
      <c r="A383" s="138"/>
      <c r="B383" s="144"/>
      <c r="C383" s="86"/>
      <c r="D383" s="110"/>
      <c r="E383" s="18"/>
      <c r="F383" s="16"/>
      <c r="G383" s="18"/>
      <c r="H383" s="15"/>
      <c r="I383" s="15"/>
      <c r="J383" s="18"/>
      <c r="K383" s="15"/>
      <c r="L383" s="19"/>
      <c r="M383" s="19"/>
      <c r="N383" s="19"/>
      <c r="O383" s="19"/>
      <c r="P383" s="19"/>
      <c r="Q383" s="19"/>
      <c r="R383" s="19"/>
      <c r="S383" s="15"/>
      <c r="T383" s="26"/>
      <c r="U383" s="15"/>
      <c r="V383">
        <v>21</v>
      </c>
    </row>
    <row r="384" spans="1:22" x14ac:dyDescent="0.4">
      <c r="A384" s="138"/>
      <c r="B384" s="144"/>
      <c r="C384" s="86"/>
      <c r="D384" s="106"/>
      <c r="E384" s="15"/>
      <c r="F384" s="16"/>
      <c r="G384" s="15"/>
      <c r="H384" s="15"/>
      <c r="I384" s="15"/>
      <c r="J384" s="15"/>
      <c r="K384" s="15"/>
      <c r="L384" s="17"/>
      <c r="M384" s="17"/>
      <c r="N384" s="17"/>
      <c r="O384" s="17"/>
      <c r="P384" s="17"/>
      <c r="Q384" s="17"/>
      <c r="R384" s="17"/>
      <c r="S384" s="15"/>
      <c r="T384" s="26"/>
      <c r="U384" s="15"/>
      <c r="V384">
        <v>22</v>
      </c>
    </row>
    <row r="385" spans="1:25" x14ac:dyDescent="0.4">
      <c r="A385" s="138"/>
      <c r="B385" s="144"/>
      <c r="C385" s="85"/>
      <c r="D385" s="109"/>
      <c r="E385" s="13"/>
      <c r="F385" s="16"/>
      <c r="G385" s="13"/>
      <c r="H385" s="18"/>
      <c r="I385" s="15"/>
      <c r="J385" s="13"/>
      <c r="K385" s="13"/>
      <c r="L385" s="20"/>
      <c r="M385" s="20"/>
      <c r="N385" s="20"/>
      <c r="O385" s="20"/>
      <c r="P385" s="20"/>
      <c r="Q385" s="20"/>
      <c r="R385" s="20"/>
      <c r="S385" s="15"/>
      <c r="T385" s="26"/>
      <c r="U385" s="15"/>
      <c r="V385">
        <v>23</v>
      </c>
    </row>
    <row r="386" spans="1:25" ht="19.5" thickBot="1" x14ac:dyDescent="0.45">
      <c r="A386" s="138"/>
      <c r="B386" s="144"/>
      <c r="C386" s="86"/>
      <c r="D386" s="106"/>
      <c r="E386" s="15"/>
      <c r="F386" s="16"/>
      <c r="G386" s="15"/>
      <c r="H386" s="15"/>
      <c r="I386" s="15"/>
      <c r="J386" s="15"/>
      <c r="K386" s="15"/>
      <c r="L386" s="17"/>
      <c r="M386" s="17"/>
      <c r="N386" s="17"/>
      <c r="O386" s="17"/>
      <c r="P386" s="17"/>
      <c r="Q386" s="17"/>
      <c r="R386" s="17"/>
      <c r="S386" s="15"/>
      <c r="T386" s="26"/>
      <c r="U386" s="21"/>
      <c r="V386">
        <v>24</v>
      </c>
    </row>
    <row r="387" spans="1:25" ht="19.5" thickBot="1" x14ac:dyDescent="0.45">
      <c r="A387" s="139"/>
      <c r="B387" s="145"/>
      <c r="C387" s="87"/>
      <c r="D387" s="111"/>
      <c r="E387" s="21"/>
      <c r="F387" s="22"/>
      <c r="G387" s="21"/>
      <c r="H387" s="21"/>
      <c r="I387" s="21"/>
      <c r="J387" s="21"/>
      <c r="K387" s="21"/>
      <c r="L387" s="23"/>
      <c r="M387" s="23"/>
      <c r="N387" s="23"/>
      <c r="O387" s="23"/>
      <c r="P387" s="23"/>
      <c r="Q387" s="23"/>
      <c r="R387" s="23"/>
      <c r="S387" s="21"/>
      <c r="T387" s="23"/>
      <c r="U387" s="29">
        <f>COUNTIF(H363:H387,"M")</f>
        <v>0</v>
      </c>
      <c r="V387">
        <v>25</v>
      </c>
    </row>
    <row r="388" spans="1:25" x14ac:dyDescent="0.4">
      <c r="A388" s="27"/>
      <c r="B388" s="28"/>
      <c r="C388" s="88">
        <f>COUNTA(C363:C387)</f>
        <v>0</v>
      </c>
      <c r="D388" s="112"/>
      <c r="E388" s="29"/>
      <c r="F388" s="29" t="s">
        <v>34</v>
      </c>
      <c r="G388" s="29">
        <f>COUNTIF(G363:G387,"S")</f>
        <v>0</v>
      </c>
      <c r="H388" s="29">
        <f>COUNTIF(H363:H387,"E")</f>
        <v>0</v>
      </c>
      <c r="I388" s="29">
        <f>SUM(I363:I387)</f>
        <v>0</v>
      </c>
      <c r="J388" s="29">
        <f t="shared" ref="J388:S388" si="84">SUM(J363:J387)</f>
        <v>0</v>
      </c>
      <c r="K388" s="29">
        <f t="shared" si="84"/>
        <v>0</v>
      </c>
      <c r="L388" s="29">
        <f t="shared" si="84"/>
        <v>0</v>
      </c>
      <c r="M388" s="29">
        <f t="shared" si="84"/>
        <v>0</v>
      </c>
      <c r="N388" s="29">
        <f t="shared" si="84"/>
        <v>0</v>
      </c>
      <c r="O388" s="29">
        <f t="shared" si="84"/>
        <v>0</v>
      </c>
      <c r="P388" s="29">
        <f t="shared" si="84"/>
        <v>0</v>
      </c>
      <c r="Q388" s="29">
        <f t="shared" si="84"/>
        <v>0</v>
      </c>
      <c r="R388" s="29">
        <f t="shared" si="84"/>
        <v>0</v>
      </c>
      <c r="S388" s="29">
        <f t="shared" si="84"/>
        <v>0</v>
      </c>
      <c r="T388" s="29" t="s">
        <v>63</v>
      </c>
      <c r="U388" s="29"/>
    </row>
    <row r="389" spans="1:25" ht="10.5" customHeight="1" x14ac:dyDescent="0.15">
      <c r="A389" s="27"/>
      <c r="B389" s="28"/>
      <c r="C389" s="88"/>
      <c r="D389" s="112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3"/>
    </row>
    <row r="390" spans="1:25" ht="19.5" thickBot="1" x14ac:dyDescent="0.2">
      <c r="A390" s="27"/>
      <c r="B390" s="28"/>
      <c r="C390" s="88"/>
      <c r="D390" s="112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3"/>
    </row>
    <row r="391" spans="1:25" ht="19.5" thickBot="1" x14ac:dyDescent="0.45">
      <c r="A391" s="1" t="s">
        <v>174</v>
      </c>
      <c r="B391" s="24">
        <v>45372</v>
      </c>
      <c r="C391" s="83"/>
      <c r="D391" s="107"/>
      <c r="E391" s="2"/>
      <c r="F391" s="3"/>
      <c r="G391" s="2"/>
      <c r="H391" s="2"/>
      <c r="I391" s="3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2"/>
      <c r="U391" s="6"/>
    </row>
    <row r="392" spans="1:25" ht="20.25" thickTop="1" thickBot="1" x14ac:dyDescent="0.45">
      <c r="A392" s="4" t="s">
        <v>13</v>
      </c>
      <c r="B392" s="5" t="s">
        <v>14</v>
      </c>
      <c r="C392" s="84" t="s">
        <v>15</v>
      </c>
      <c r="D392" s="108" t="s">
        <v>16</v>
      </c>
      <c r="E392" s="5" t="s">
        <v>17</v>
      </c>
      <c r="F392" s="7" t="s">
        <v>18</v>
      </c>
      <c r="G392" s="5" t="s">
        <v>19</v>
      </c>
      <c r="H392" s="5" t="s">
        <v>20</v>
      </c>
      <c r="I392" s="8" t="s">
        <v>21</v>
      </c>
      <c r="J392" s="5" t="s">
        <v>22</v>
      </c>
      <c r="K392" s="5" t="s">
        <v>23</v>
      </c>
      <c r="L392" s="9" t="s">
        <v>24</v>
      </c>
      <c r="M392" s="9" t="s">
        <v>25</v>
      </c>
      <c r="N392" s="9" t="s">
        <v>26</v>
      </c>
      <c r="O392" s="10" t="s">
        <v>27</v>
      </c>
      <c r="P392" s="9" t="s">
        <v>28</v>
      </c>
      <c r="Q392" s="9" t="s">
        <v>29</v>
      </c>
      <c r="R392" s="9" t="s">
        <v>30</v>
      </c>
      <c r="S392" s="5" t="s">
        <v>31</v>
      </c>
      <c r="T392" s="11" t="s">
        <v>32</v>
      </c>
      <c r="U392" s="13"/>
      <c r="X392" s="135" t="s">
        <v>139</v>
      </c>
      <c r="Y392" s="136"/>
    </row>
    <row r="393" spans="1:25" ht="19.5" thickTop="1" x14ac:dyDescent="0.4">
      <c r="A393" s="137">
        <v>14</v>
      </c>
      <c r="B393" s="143"/>
      <c r="C393" s="86"/>
      <c r="D393" s="109"/>
      <c r="E393" s="13"/>
      <c r="F393" s="14"/>
      <c r="G393" s="12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26"/>
      <c r="U393" s="15"/>
      <c r="V393">
        <v>1</v>
      </c>
      <c r="X393" s="51" t="s">
        <v>106</v>
      </c>
      <c r="Y393" s="52">
        <f>COUNTIF(U392:U416,"K")</f>
        <v>0</v>
      </c>
    </row>
    <row r="394" spans="1:25" x14ac:dyDescent="0.4">
      <c r="A394" s="138"/>
      <c r="B394" s="144"/>
      <c r="C394" s="86"/>
      <c r="D394" s="109"/>
      <c r="E394" s="15"/>
      <c r="F394" s="16"/>
      <c r="G394" s="15"/>
      <c r="H394" s="15"/>
      <c r="I394" s="15"/>
      <c r="J394" s="15"/>
      <c r="K394" s="15"/>
      <c r="L394" s="17"/>
      <c r="M394" s="17"/>
      <c r="N394" s="17"/>
      <c r="O394" s="17"/>
      <c r="P394" s="17"/>
      <c r="Q394" s="17"/>
      <c r="R394" s="17"/>
      <c r="S394" s="15"/>
      <c r="T394" s="26"/>
      <c r="U394" s="15"/>
      <c r="V394">
        <v>2</v>
      </c>
      <c r="X394" s="51" t="s">
        <v>107</v>
      </c>
      <c r="Y394" s="52">
        <f>COUNTIF(U392:U416,"R")</f>
        <v>0</v>
      </c>
    </row>
    <row r="395" spans="1:25" ht="19.5" thickBot="1" x14ac:dyDescent="0.45">
      <c r="A395" s="138"/>
      <c r="B395" s="144"/>
      <c r="C395" s="86"/>
      <c r="D395" s="109"/>
      <c r="E395" s="15"/>
      <c r="F395" s="16"/>
      <c r="G395" s="15"/>
      <c r="H395" s="15"/>
      <c r="I395" s="15"/>
      <c r="J395" s="15"/>
      <c r="K395" s="15"/>
      <c r="L395" s="17"/>
      <c r="M395" s="17"/>
      <c r="N395" s="17"/>
      <c r="O395" s="17"/>
      <c r="P395" s="17"/>
      <c r="Q395" s="17"/>
      <c r="R395" s="17"/>
      <c r="S395" s="15"/>
      <c r="T395" s="26"/>
      <c r="U395" s="15"/>
      <c r="V395">
        <v>3</v>
      </c>
      <c r="X395" s="53" t="s">
        <v>108</v>
      </c>
      <c r="Y395" s="54">
        <f>COUNTIF(U392:U416,"J")</f>
        <v>0</v>
      </c>
    </row>
    <row r="396" spans="1:25" x14ac:dyDescent="0.4">
      <c r="A396" s="138"/>
      <c r="B396" s="144"/>
      <c r="C396" s="86"/>
      <c r="D396" s="109"/>
      <c r="E396" s="15"/>
      <c r="F396" s="16"/>
      <c r="G396" s="15"/>
      <c r="H396" s="15"/>
      <c r="I396" s="15"/>
      <c r="J396" s="15"/>
      <c r="K396" s="15"/>
      <c r="L396" s="17"/>
      <c r="M396" s="17"/>
      <c r="N396" s="17"/>
      <c r="O396" s="17"/>
      <c r="P396" s="17"/>
      <c r="Q396" s="17"/>
      <c r="R396" s="17"/>
      <c r="S396" s="15"/>
      <c r="T396" s="26"/>
      <c r="U396" s="15"/>
      <c r="V396">
        <v>4</v>
      </c>
    </row>
    <row r="397" spans="1:25" x14ac:dyDescent="0.4">
      <c r="A397" s="138"/>
      <c r="B397" s="144"/>
      <c r="C397" s="86"/>
      <c r="D397" s="109"/>
      <c r="E397" s="15"/>
      <c r="F397" s="16"/>
      <c r="G397" s="15"/>
      <c r="H397" s="15"/>
      <c r="I397" s="15"/>
      <c r="J397" s="15"/>
      <c r="K397" s="15"/>
      <c r="L397" s="17"/>
      <c r="M397" s="17"/>
      <c r="N397" s="17"/>
      <c r="O397" s="17"/>
      <c r="P397" s="17"/>
      <c r="Q397" s="17"/>
      <c r="R397" s="17"/>
      <c r="S397" s="15"/>
      <c r="T397" s="26"/>
      <c r="U397" s="15"/>
      <c r="V397">
        <v>5</v>
      </c>
    </row>
    <row r="398" spans="1:25" x14ac:dyDescent="0.4">
      <c r="A398" s="138"/>
      <c r="B398" s="144"/>
      <c r="C398" s="86"/>
      <c r="D398" s="109"/>
      <c r="E398" s="15"/>
      <c r="F398" s="16"/>
      <c r="G398" s="15"/>
      <c r="H398" s="13"/>
      <c r="I398" s="15"/>
      <c r="J398" s="15"/>
      <c r="K398" s="15"/>
      <c r="L398" s="17"/>
      <c r="M398" s="17"/>
      <c r="N398" s="17"/>
      <c r="O398" s="17"/>
      <c r="P398" s="17"/>
      <c r="Q398" s="17"/>
      <c r="R398" s="17"/>
      <c r="S398" s="15"/>
      <c r="T398" s="26"/>
      <c r="U398" s="15"/>
      <c r="V398">
        <v>6</v>
      </c>
    </row>
    <row r="399" spans="1:25" x14ac:dyDescent="0.4">
      <c r="A399" s="138"/>
      <c r="B399" s="144"/>
      <c r="C399" s="86"/>
      <c r="D399" s="109"/>
      <c r="E399" s="15"/>
      <c r="F399" s="16"/>
      <c r="G399" s="15"/>
      <c r="H399" s="15"/>
      <c r="I399" s="15"/>
      <c r="J399" s="15"/>
      <c r="K399" s="15"/>
      <c r="L399" s="17"/>
      <c r="M399" s="17"/>
      <c r="N399" s="17"/>
      <c r="O399" s="17"/>
      <c r="P399" s="17"/>
      <c r="Q399" s="17"/>
      <c r="R399" s="17"/>
      <c r="S399" s="15"/>
      <c r="T399" s="26"/>
      <c r="U399" s="15"/>
      <c r="V399">
        <v>7</v>
      </c>
    </row>
    <row r="400" spans="1:25" x14ac:dyDescent="0.4">
      <c r="A400" s="138"/>
      <c r="B400" s="144"/>
      <c r="C400" s="86"/>
      <c r="D400" s="109"/>
      <c r="E400" s="15"/>
      <c r="F400" s="16"/>
      <c r="G400" s="15"/>
      <c r="H400" s="15"/>
      <c r="I400" s="15"/>
      <c r="J400" s="15"/>
      <c r="K400" s="15"/>
      <c r="L400" s="17"/>
      <c r="M400" s="17"/>
      <c r="N400" s="17"/>
      <c r="O400" s="17"/>
      <c r="P400" s="17"/>
      <c r="Q400" s="17"/>
      <c r="R400" s="17"/>
      <c r="S400" s="15"/>
      <c r="T400" s="26"/>
      <c r="U400" s="15"/>
      <c r="V400">
        <v>8</v>
      </c>
    </row>
    <row r="401" spans="1:22" x14ac:dyDescent="0.4">
      <c r="A401" s="138"/>
      <c r="B401" s="144"/>
      <c r="C401" s="86"/>
      <c r="D401" s="109"/>
      <c r="E401" s="15"/>
      <c r="F401" s="16"/>
      <c r="G401" s="15"/>
      <c r="H401" s="15"/>
      <c r="I401" s="15"/>
      <c r="J401" s="15"/>
      <c r="K401" s="15"/>
      <c r="L401" s="17"/>
      <c r="M401" s="17"/>
      <c r="N401" s="17"/>
      <c r="O401" s="17"/>
      <c r="P401" s="17"/>
      <c r="Q401" s="17"/>
      <c r="R401" s="17"/>
      <c r="S401" s="15"/>
      <c r="T401" s="26"/>
      <c r="U401" s="15"/>
      <c r="V401">
        <v>9</v>
      </c>
    </row>
    <row r="402" spans="1:22" x14ac:dyDescent="0.4">
      <c r="A402" s="138"/>
      <c r="B402" s="144"/>
      <c r="C402" s="86"/>
      <c r="D402" s="109"/>
      <c r="E402" s="15"/>
      <c r="F402" s="16"/>
      <c r="G402" s="15"/>
      <c r="H402" s="15"/>
      <c r="I402" s="15"/>
      <c r="J402" s="15"/>
      <c r="K402" s="15"/>
      <c r="L402" s="17"/>
      <c r="M402" s="17"/>
      <c r="N402" s="17"/>
      <c r="O402" s="17"/>
      <c r="P402" s="17"/>
      <c r="Q402" s="17"/>
      <c r="R402" s="17"/>
      <c r="S402" s="15"/>
      <c r="T402" s="26"/>
      <c r="U402" s="15"/>
      <c r="V402">
        <v>10</v>
      </c>
    </row>
    <row r="403" spans="1:22" x14ac:dyDescent="0.4">
      <c r="A403" s="138"/>
      <c r="B403" s="144"/>
      <c r="C403" s="86"/>
      <c r="D403" s="109"/>
      <c r="E403" s="15"/>
      <c r="F403" s="16"/>
      <c r="G403" s="15"/>
      <c r="H403" s="15"/>
      <c r="I403" s="15"/>
      <c r="J403" s="15"/>
      <c r="K403" s="15"/>
      <c r="L403" s="17"/>
      <c r="M403" s="17"/>
      <c r="N403" s="17"/>
      <c r="O403" s="17"/>
      <c r="P403" s="17"/>
      <c r="Q403" s="17"/>
      <c r="R403" s="17"/>
      <c r="S403" s="15"/>
      <c r="T403" s="26"/>
      <c r="U403" s="15"/>
      <c r="V403">
        <v>11</v>
      </c>
    </row>
    <row r="404" spans="1:22" x14ac:dyDescent="0.4">
      <c r="A404" s="138"/>
      <c r="B404" s="144"/>
      <c r="C404" s="86"/>
      <c r="D404" s="109"/>
      <c r="E404" s="15"/>
      <c r="F404" s="16"/>
      <c r="G404" s="15"/>
      <c r="H404" s="15"/>
      <c r="I404" s="15"/>
      <c r="J404" s="15"/>
      <c r="K404" s="15"/>
      <c r="L404" s="17"/>
      <c r="M404" s="17"/>
      <c r="N404" s="17"/>
      <c r="O404" s="17"/>
      <c r="P404" s="17"/>
      <c r="Q404" s="17"/>
      <c r="R404" s="17"/>
      <c r="S404" s="15"/>
      <c r="T404" s="26"/>
      <c r="U404" s="15"/>
      <c r="V404">
        <v>12</v>
      </c>
    </row>
    <row r="405" spans="1:22" x14ac:dyDescent="0.4">
      <c r="A405" s="138"/>
      <c r="B405" s="144"/>
      <c r="C405" s="86"/>
      <c r="D405" s="109"/>
      <c r="E405" s="15"/>
      <c r="F405" s="16"/>
      <c r="G405" s="15"/>
      <c r="H405" s="15"/>
      <c r="I405" s="15"/>
      <c r="J405" s="15"/>
      <c r="K405" s="15"/>
      <c r="L405" s="17"/>
      <c r="M405" s="17"/>
      <c r="N405" s="17"/>
      <c r="O405" s="17"/>
      <c r="P405" s="17"/>
      <c r="Q405" s="17"/>
      <c r="R405" s="17"/>
      <c r="S405" s="15"/>
      <c r="T405" s="26"/>
      <c r="U405" s="15"/>
      <c r="V405">
        <v>13</v>
      </c>
    </row>
    <row r="406" spans="1:22" x14ac:dyDescent="0.4">
      <c r="A406" s="138"/>
      <c r="B406" s="144"/>
      <c r="C406" s="86"/>
      <c r="D406" s="109"/>
      <c r="E406" s="15"/>
      <c r="F406" s="16"/>
      <c r="G406" s="15"/>
      <c r="H406" s="15"/>
      <c r="I406" s="15"/>
      <c r="J406" s="15"/>
      <c r="K406" s="15"/>
      <c r="L406" s="17"/>
      <c r="M406" s="17"/>
      <c r="N406" s="17"/>
      <c r="O406" s="17"/>
      <c r="P406" s="17"/>
      <c r="Q406" s="17"/>
      <c r="R406" s="17"/>
      <c r="S406" s="15"/>
      <c r="T406" s="26"/>
      <c r="U406" s="15"/>
      <c r="V406">
        <v>14</v>
      </c>
    </row>
    <row r="407" spans="1:22" x14ac:dyDescent="0.4">
      <c r="A407" s="138"/>
      <c r="B407" s="144"/>
      <c r="C407" s="86"/>
      <c r="D407" s="106"/>
      <c r="E407" s="15"/>
      <c r="F407" s="16"/>
      <c r="G407" s="15"/>
      <c r="H407" s="15"/>
      <c r="I407" s="15"/>
      <c r="J407" s="15"/>
      <c r="K407" s="15"/>
      <c r="L407" s="17"/>
      <c r="M407" s="17"/>
      <c r="N407" s="17"/>
      <c r="O407" s="17"/>
      <c r="P407" s="17"/>
      <c r="Q407" s="17"/>
      <c r="R407" s="17"/>
      <c r="S407" s="15"/>
      <c r="T407" s="26"/>
      <c r="U407" s="15"/>
      <c r="V407">
        <v>15</v>
      </c>
    </row>
    <row r="408" spans="1:22" x14ac:dyDescent="0.4">
      <c r="A408" s="138"/>
      <c r="B408" s="144"/>
      <c r="C408" s="86"/>
      <c r="D408" s="106"/>
      <c r="E408" s="15"/>
      <c r="F408" s="16"/>
      <c r="G408" s="15"/>
      <c r="H408" s="15"/>
      <c r="I408" s="15"/>
      <c r="J408" s="15"/>
      <c r="K408" s="15"/>
      <c r="L408" s="19"/>
      <c r="M408" s="19"/>
      <c r="N408" s="19"/>
      <c r="O408" s="19"/>
      <c r="P408" s="19"/>
      <c r="Q408" s="19"/>
      <c r="R408" s="19"/>
      <c r="S408" s="15"/>
      <c r="T408" s="26"/>
      <c r="U408" s="15"/>
      <c r="V408">
        <v>16</v>
      </c>
    </row>
    <row r="409" spans="1:22" x14ac:dyDescent="0.4">
      <c r="A409" s="138"/>
      <c r="B409" s="144"/>
      <c r="C409" s="86"/>
      <c r="D409" s="110"/>
      <c r="E409" s="18"/>
      <c r="F409" s="16"/>
      <c r="G409" s="15"/>
      <c r="H409" s="15"/>
      <c r="I409" s="15"/>
      <c r="J409" s="18"/>
      <c r="K409" s="15"/>
      <c r="L409" s="19"/>
      <c r="M409" s="19"/>
      <c r="N409" s="19"/>
      <c r="O409" s="19"/>
      <c r="P409" s="19"/>
      <c r="Q409" s="19"/>
      <c r="R409" s="19"/>
      <c r="S409" s="15"/>
      <c r="T409" s="26"/>
      <c r="U409" s="15"/>
      <c r="V409">
        <v>17</v>
      </c>
    </row>
    <row r="410" spans="1:22" x14ac:dyDescent="0.4">
      <c r="A410" s="138"/>
      <c r="B410" s="144"/>
      <c r="C410" s="86"/>
      <c r="D410" s="110"/>
      <c r="E410" s="18"/>
      <c r="F410" s="16"/>
      <c r="G410" s="18"/>
      <c r="H410" s="15"/>
      <c r="I410" s="15"/>
      <c r="J410" s="18"/>
      <c r="K410" s="15"/>
      <c r="L410" s="19"/>
      <c r="M410" s="19"/>
      <c r="N410" s="19"/>
      <c r="O410" s="19"/>
      <c r="P410" s="19"/>
      <c r="Q410" s="19"/>
      <c r="R410" s="19"/>
      <c r="S410" s="15"/>
      <c r="T410" s="26"/>
      <c r="U410" s="15"/>
      <c r="V410">
        <v>18</v>
      </c>
    </row>
    <row r="411" spans="1:22" x14ac:dyDescent="0.4">
      <c r="A411" s="138"/>
      <c r="B411" s="144"/>
      <c r="C411" s="86"/>
      <c r="D411" s="110"/>
      <c r="E411" s="18"/>
      <c r="F411" s="16"/>
      <c r="G411" s="18"/>
      <c r="H411" s="15"/>
      <c r="I411" s="15"/>
      <c r="J411" s="18"/>
      <c r="K411" s="15"/>
      <c r="L411" s="19"/>
      <c r="M411" s="19"/>
      <c r="N411" s="19"/>
      <c r="O411" s="19"/>
      <c r="P411" s="19"/>
      <c r="Q411" s="19"/>
      <c r="R411" s="19"/>
      <c r="S411" s="15"/>
      <c r="T411" s="26"/>
      <c r="U411" s="15"/>
      <c r="V411">
        <v>19</v>
      </c>
    </row>
    <row r="412" spans="1:22" x14ac:dyDescent="0.4">
      <c r="A412" s="138"/>
      <c r="B412" s="144"/>
      <c r="C412" s="86"/>
      <c r="D412" s="110"/>
      <c r="E412" s="18"/>
      <c r="F412" s="16"/>
      <c r="G412" s="18"/>
      <c r="H412" s="15"/>
      <c r="I412" s="15"/>
      <c r="J412" s="18"/>
      <c r="K412" s="15"/>
      <c r="L412" s="19"/>
      <c r="M412" s="19"/>
      <c r="N412" s="19"/>
      <c r="O412" s="19"/>
      <c r="P412" s="19"/>
      <c r="Q412" s="19"/>
      <c r="R412" s="19"/>
      <c r="S412" s="15"/>
      <c r="T412" s="26"/>
      <c r="U412" s="15"/>
      <c r="V412">
        <v>20</v>
      </c>
    </row>
    <row r="413" spans="1:22" x14ac:dyDescent="0.4">
      <c r="A413" s="138"/>
      <c r="B413" s="144"/>
      <c r="C413" s="86"/>
      <c r="D413" s="110"/>
      <c r="E413" s="18"/>
      <c r="F413" s="16"/>
      <c r="G413" s="18"/>
      <c r="H413" s="15"/>
      <c r="I413" s="15"/>
      <c r="J413" s="18"/>
      <c r="K413" s="15"/>
      <c r="L413" s="19"/>
      <c r="M413" s="19"/>
      <c r="N413" s="19"/>
      <c r="O413" s="19"/>
      <c r="P413" s="19"/>
      <c r="Q413" s="19"/>
      <c r="R413" s="19"/>
      <c r="S413" s="15"/>
      <c r="T413" s="26"/>
      <c r="U413" s="15"/>
      <c r="V413">
        <v>21</v>
      </c>
    </row>
    <row r="414" spans="1:22" x14ac:dyDescent="0.4">
      <c r="A414" s="138"/>
      <c r="B414" s="144"/>
      <c r="C414" s="86"/>
      <c r="D414" s="106"/>
      <c r="E414" s="15"/>
      <c r="F414" s="16"/>
      <c r="G414" s="15"/>
      <c r="H414" s="15"/>
      <c r="I414" s="15"/>
      <c r="J414" s="15"/>
      <c r="K414" s="15"/>
      <c r="L414" s="17"/>
      <c r="M414" s="17"/>
      <c r="N414" s="17"/>
      <c r="O414" s="17"/>
      <c r="P414" s="17"/>
      <c r="Q414" s="17"/>
      <c r="R414" s="17"/>
      <c r="S414" s="15"/>
      <c r="T414" s="26"/>
      <c r="U414" s="15"/>
      <c r="V414">
        <v>22</v>
      </c>
    </row>
    <row r="415" spans="1:22" x14ac:dyDescent="0.4">
      <c r="A415" s="138"/>
      <c r="B415" s="144"/>
      <c r="C415" s="85"/>
      <c r="D415" s="109"/>
      <c r="E415" s="13"/>
      <c r="F415" s="16"/>
      <c r="G415" s="13"/>
      <c r="H415" s="18"/>
      <c r="I415" s="15"/>
      <c r="J415" s="13"/>
      <c r="K415" s="13"/>
      <c r="L415" s="20"/>
      <c r="M415" s="20"/>
      <c r="N415" s="20"/>
      <c r="O415" s="20"/>
      <c r="P415" s="20"/>
      <c r="Q415" s="20"/>
      <c r="R415" s="20"/>
      <c r="S415" s="15"/>
      <c r="T415" s="26"/>
      <c r="U415" s="15"/>
      <c r="V415">
        <v>23</v>
      </c>
    </row>
    <row r="416" spans="1:22" ht="19.5" thickBot="1" x14ac:dyDescent="0.45">
      <c r="A416" s="138"/>
      <c r="B416" s="144"/>
      <c r="C416" s="86"/>
      <c r="D416" s="106"/>
      <c r="E416" s="15"/>
      <c r="F416" s="16"/>
      <c r="G416" s="15"/>
      <c r="H416" s="15"/>
      <c r="I416" s="15"/>
      <c r="J416" s="15"/>
      <c r="K416" s="15"/>
      <c r="L416" s="17"/>
      <c r="M416" s="17"/>
      <c r="N416" s="17"/>
      <c r="O416" s="17"/>
      <c r="P416" s="17"/>
      <c r="Q416" s="17"/>
      <c r="R416" s="17"/>
      <c r="S416" s="15"/>
      <c r="T416" s="26"/>
      <c r="U416" s="21"/>
      <c r="V416">
        <v>24</v>
      </c>
    </row>
    <row r="417" spans="1:25" ht="19.5" thickBot="1" x14ac:dyDescent="0.45">
      <c r="A417" s="139"/>
      <c r="B417" s="145"/>
      <c r="C417" s="87"/>
      <c r="D417" s="111"/>
      <c r="E417" s="21"/>
      <c r="F417" s="22"/>
      <c r="G417" s="21"/>
      <c r="H417" s="21"/>
      <c r="I417" s="21"/>
      <c r="J417" s="21"/>
      <c r="K417" s="21"/>
      <c r="L417" s="23"/>
      <c r="M417" s="23"/>
      <c r="N417" s="23"/>
      <c r="O417" s="23"/>
      <c r="P417" s="23"/>
      <c r="Q417" s="23"/>
      <c r="R417" s="23"/>
      <c r="S417" s="21"/>
      <c r="T417" s="23"/>
      <c r="U417" s="29">
        <f>COUNTIF(H393:H417,"M")</f>
        <v>0</v>
      </c>
      <c r="V417">
        <v>25</v>
      </c>
    </row>
    <row r="418" spans="1:25" x14ac:dyDescent="0.4">
      <c r="A418" s="27"/>
      <c r="B418" s="28"/>
      <c r="C418" s="88">
        <f>COUNTA(C393:C417)</f>
        <v>0</v>
      </c>
      <c r="D418" s="112"/>
      <c r="E418" s="29"/>
      <c r="F418" s="29" t="s">
        <v>34</v>
      </c>
      <c r="G418" s="29">
        <f>COUNTIF(G393:G417,"S")</f>
        <v>0</v>
      </c>
      <c r="H418" s="29">
        <f>COUNTIF(H393:H417,"E")</f>
        <v>0</v>
      </c>
      <c r="I418" s="29">
        <f>SUM(I393:I417)</f>
        <v>0</v>
      </c>
      <c r="J418" s="29">
        <f t="shared" ref="J418:S418" si="85">SUM(J393:J417)</f>
        <v>0</v>
      </c>
      <c r="K418" s="29">
        <f t="shared" si="85"/>
        <v>0</v>
      </c>
      <c r="L418" s="29">
        <f t="shared" si="85"/>
        <v>0</v>
      </c>
      <c r="M418" s="29">
        <f t="shared" si="85"/>
        <v>0</v>
      </c>
      <c r="N418" s="29">
        <f t="shared" si="85"/>
        <v>0</v>
      </c>
      <c r="O418" s="29">
        <f t="shared" si="85"/>
        <v>0</v>
      </c>
      <c r="P418" s="29">
        <f t="shared" si="85"/>
        <v>0</v>
      </c>
      <c r="Q418" s="29">
        <f t="shared" si="85"/>
        <v>0</v>
      </c>
      <c r="R418" s="29">
        <f t="shared" si="85"/>
        <v>0</v>
      </c>
      <c r="S418" s="29">
        <f t="shared" si="85"/>
        <v>0</v>
      </c>
      <c r="T418" s="29" t="s">
        <v>63</v>
      </c>
      <c r="U418" s="29"/>
    </row>
    <row r="419" spans="1:25" x14ac:dyDescent="0.15">
      <c r="A419" s="27"/>
      <c r="B419" s="28"/>
      <c r="C419" s="88"/>
      <c r="D419" s="112"/>
      <c r="E419" s="29"/>
      <c r="F419" s="29" t="s">
        <v>35</v>
      </c>
      <c r="G419" s="29">
        <f>COUNTIF(G393:G417,"P")</f>
        <v>0</v>
      </c>
      <c r="H419" s="29">
        <f>COUNTIF(H393:H417,"R")</f>
        <v>0</v>
      </c>
      <c r="I419" s="29"/>
      <c r="J419" s="29"/>
      <c r="K419" s="29"/>
      <c r="L419" s="29"/>
      <c r="M419" s="29"/>
      <c r="N419" s="29"/>
      <c r="O419" s="29"/>
      <c r="P419" s="29"/>
      <c r="Q419" s="29"/>
      <c r="R419" s="29" t="s">
        <v>130</v>
      </c>
      <c r="S419" s="29">
        <f>SUM(J418:S418)</f>
        <v>0</v>
      </c>
      <c r="T419" s="29"/>
      <c r="U419" s="3"/>
    </row>
    <row r="420" spans="1:25" ht="14.25" customHeight="1" thickBot="1" x14ac:dyDescent="0.2">
      <c r="A420" s="27"/>
      <c r="B420" s="28"/>
      <c r="C420" s="88"/>
      <c r="D420" s="112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3"/>
    </row>
    <row r="421" spans="1:25" ht="19.5" thickBot="1" x14ac:dyDescent="0.45">
      <c r="A421" s="1" t="s">
        <v>174</v>
      </c>
      <c r="B421" s="24">
        <v>45372</v>
      </c>
      <c r="C421" s="83" t="s">
        <v>0</v>
      </c>
      <c r="D421" s="107"/>
      <c r="E421" s="2" t="s">
        <v>1</v>
      </c>
      <c r="F421" s="3"/>
      <c r="G421" s="2"/>
      <c r="H421" s="2" t="s">
        <v>4</v>
      </c>
      <c r="I421" s="3" t="s">
        <v>3</v>
      </c>
      <c r="J421" s="2" t="s">
        <v>5</v>
      </c>
      <c r="K421" s="2" t="s">
        <v>6</v>
      </c>
      <c r="L421" s="2" t="s">
        <v>7</v>
      </c>
      <c r="M421" s="2" t="s">
        <v>8</v>
      </c>
      <c r="N421" s="2" t="s">
        <v>9</v>
      </c>
      <c r="O421" s="2" t="s">
        <v>10</v>
      </c>
      <c r="P421" s="2" t="s">
        <v>11</v>
      </c>
      <c r="Q421" s="3" t="s">
        <v>12</v>
      </c>
      <c r="R421" s="2" t="s">
        <v>3</v>
      </c>
      <c r="S421" s="3" t="s">
        <v>2</v>
      </c>
      <c r="T421" s="2"/>
      <c r="U421" s="6" t="s">
        <v>33</v>
      </c>
    </row>
    <row r="422" spans="1:25" ht="20.25" thickTop="1" thickBot="1" x14ac:dyDescent="0.45">
      <c r="A422" s="4" t="s">
        <v>13</v>
      </c>
      <c r="B422" s="5" t="s">
        <v>14</v>
      </c>
      <c r="C422" s="84" t="s">
        <v>15</v>
      </c>
      <c r="D422" s="108" t="s">
        <v>16</v>
      </c>
      <c r="E422" s="5" t="s">
        <v>17</v>
      </c>
      <c r="F422" s="7" t="s">
        <v>18</v>
      </c>
      <c r="G422" s="5" t="s">
        <v>19</v>
      </c>
      <c r="H422" s="5" t="s">
        <v>20</v>
      </c>
      <c r="I422" s="8" t="s">
        <v>21</v>
      </c>
      <c r="J422" s="5" t="s">
        <v>22</v>
      </c>
      <c r="K422" s="5" t="s">
        <v>23</v>
      </c>
      <c r="L422" s="9" t="s">
        <v>24</v>
      </c>
      <c r="M422" s="9" t="s">
        <v>25</v>
      </c>
      <c r="N422" s="9" t="s">
        <v>26</v>
      </c>
      <c r="O422" s="10" t="s">
        <v>27</v>
      </c>
      <c r="P422" s="9" t="s">
        <v>28</v>
      </c>
      <c r="Q422" s="9" t="s">
        <v>29</v>
      </c>
      <c r="R422" s="9" t="s">
        <v>30</v>
      </c>
      <c r="S422" s="5" t="s">
        <v>31</v>
      </c>
      <c r="T422" s="11" t="s">
        <v>32</v>
      </c>
      <c r="U422" s="13"/>
      <c r="X422" s="135" t="s">
        <v>140</v>
      </c>
      <c r="Y422" s="136"/>
    </row>
    <row r="423" spans="1:25" ht="19.5" thickTop="1" x14ac:dyDescent="0.4">
      <c r="A423" s="137">
        <v>15</v>
      </c>
      <c r="B423" s="143"/>
      <c r="C423" s="86"/>
      <c r="D423" s="109"/>
      <c r="E423" s="13"/>
      <c r="F423" s="14"/>
      <c r="G423" s="12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26"/>
      <c r="U423" s="15"/>
      <c r="V423">
        <v>1</v>
      </c>
      <c r="X423" s="51" t="s">
        <v>106</v>
      </c>
      <c r="Y423" s="52">
        <f>COUNTIF(U422:U446,"K")</f>
        <v>0</v>
      </c>
    </row>
    <row r="424" spans="1:25" x14ac:dyDescent="0.4">
      <c r="A424" s="138"/>
      <c r="B424" s="144"/>
      <c r="C424" s="86"/>
      <c r="D424" s="106"/>
      <c r="E424" s="15"/>
      <c r="F424" s="16"/>
      <c r="G424" s="15"/>
      <c r="H424" s="15"/>
      <c r="I424" s="15"/>
      <c r="J424" s="15"/>
      <c r="K424" s="15"/>
      <c r="L424" s="17"/>
      <c r="M424" s="17"/>
      <c r="N424" s="17"/>
      <c r="O424" s="17"/>
      <c r="P424" s="17"/>
      <c r="Q424" s="17"/>
      <c r="R424" s="17"/>
      <c r="S424" s="15"/>
      <c r="T424" s="26"/>
      <c r="U424" s="15"/>
      <c r="V424">
        <v>2</v>
      </c>
      <c r="X424" s="51" t="s">
        <v>107</v>
      </c>
      <c r="Y424" s="52">
        <f>COUNTIF(U422:U446,"R")</f>
        <v>0</v>
      </c>
    </row>
    <row r="425" spans="1:25" ht="19.5" thickBot="1" x14ac:dyDescent="0.45">
      <c r="A425" s="138"/>
      <c r="B425" s="144"/>
      <c r="C425" s="86"/>
      <c r="D425" s="109"/>
      <c r="E425" s="15"/>
      <c r="F425" s="16"/>
      <c r="G425" s="15"/>
      <c r="H425" s="15"/>
      <c r="I425" s="15"/>
      <c r="J425" s="15"/>
      <c r="K425" s="15"/>
      <c r="L425" s="17"/>
      <c r="M425" s="17"/>
      <c r="N425" s="17"/>
      <c r="O425" s="17"/>
      <c r="P425" s="17"/>
      <c r="Q425" s="17"/>
      <c r="R425" s="17"/>
      <c r="S425" s="15"/>
      <c r="T425" s="26"/>
      <c r="U425" s="15"/>
      <c r="V425">
        <v>3</v>
      </c>
      <c r="X425" s="53" t="s">
        <v>108</v>
      </c>
      <c r="Y425" s="54">
        <f>COUNTIF(U422:U446,"J")</f>
        <v>0</v>
      </c>
    </row>
    <row r="426" spans="1:25" x14ac:dyDescent="0.4">
      <c r="A426" s="138"/>
      <c r="B426" s="144"/>
      <c r="C426" s="86"/>
      <c r="D426" s="109"/>
      <c r="E426" s="15"/>
      <c r="F426" s="16"/>
      <c r="G426" s="15"/>
      <c r="H426" s="15"/>
      <c r="I426" s="15"/>
      <c r="J426" s="15"/>
      <c r="K426" s="15"/>
      <c r="L426" s="17"/>
      <c r="M426" s="17"/>
      <c r="N426" s="17"/>
      <c r="O426" s="17"/>
      <c r="P426" s="17"/>
      <c r="Q426" s="17"/>
      <c r="R426" s="17"/>
      <c r="S426" s="15"/>
      <c r="T426" s="26"/>
      <c r="U426" s="15"/>
      <c r="V426">
        <v>4</v>
      </c>
    </row>
    <row r="427" spans="1:25" x14ac:dyDescent="0.4">
      <c r="A427" s="138"/>
      <c r="B427" s="144"/>
      <c r="C427" s="86"/>
      <c r="D427" s="109"/>
      <c r="E427" s="15"/>
      <c r="F427" s="16"/>
      <c r="G427" s="15"/>
      <c r="H427" s="15"/>
      <c r="I427" s="15"/>
      <c r="J427" s="15"/>
      <c r="K427" s="15"/>
      <c r="L427" s="17"/>
      <c r="M427" s="17"/>
      <c r="N427" s="17"/>
      <c r="O427" s="17"/>
      <c r="P427" s="17"/>
      <c r="Q427" s="17"/>
      <c r="R427" s="17"/>
      <c r="S427" s="15"/>
      <c r="T427" s="26"/>
      <c r="U427" s="15"/>
      <c r="V427">
        <v>5</v>
      </c>
    </row>
    <row r="428" spans="1:25" x14ac:dyDescent="0.4">
      <c r="A428" s="138"/>
      <c r="B428" s="144"/>
      <c r="C428" s="86"/>
      <c r="D428" s="109"/>
      <c r="E428" s="15"/>
      <c r="F428" s="16"/>
      <c r="G428" s="15"/>
      <c r="H428" s="13"/>
      <c r="I428" s="15"/>
      <c r="J428" s="15"/>
      <c r="K428" s="15"/>
      <c r="L428" s="17"/>
      <c r="M428" s="17"/>
      <c r="N428" s="17"/>
      <c r="O428" s="17"/>
      <c r="P428" s="17"/>
      <c r="Q428" s="17"/>
      <c r="R428" s="17"/>
      <c r="S428" s="15"/>
      <c r="T428" s="26"/>
      <c r="U428" s="15"/>
      <c r="V428">
        <v>6</v>
      </c>
    </row>
    <row r="429" spans="1:25" x14ac:dyDescent="0.4">
      <c r="A429" s="138"/>
      <c r="B429" s="144"/>
      <c r="C429" s="86"/>
      <c r="D429" s="109"/>
      <c r="E429" s="15"/>
      <c r="F429" s="16"/>
      <c r="G429" s="15"/>
      <c r="H429" s="15"/>
      <c r="I429" s="15"/>
      <c r="J429" s="15"/>
      <c r="K429" s="15"/>
      <c r="L429" s="17"/>
      <c r="M429" s="17"/>
      <c r="N429" s="17"/>
      <c r="O429" s="17"/>
      <c r="P429" s="17"/>
      <c r="Q429" s="17"/>
      <c r="R429" s="17"/>
      <c r="S429" s="15"/>
      <c r="T429" s="26"/>
      <c r="U429" s="15"/>
      <c r="V429">
        <v>7</v>
      </c>
    </row>
    <row r="430" spans="1:25" x14ac:dyDescent="0.4">
      <c r="A430" s="138"/>
      <c r="B430" s="144"/>
      <c r="C430" s="86"/>
      <c r="D430" s="109"/>
      <c r="E430" s="15"/>
      <c r="F430" s="16"/>
      <c r="G430" s="15"/>
      <c r="H430" s="15"/>
      <c r="I430" s="15"/>
      <c r="J430" s="15"/>
      <c r="K430" s="15"/>
      <c r="L430" s="17"/>
      <c r="M430" s="17"/>
      <c r="N430" s="17"/>
      <c r="O430" s="17"/>
      <c r="P430" s="17"/>
      <c r="Q430" s="17"/>
      <c r="R430" s="17"/>
      <c r="S430" s="15"/>
      <c r="T430" s="26"/>
      <c r="U430" s="15"/>
      <c r="V430">
        <v>8</v>
      </c>
    </row>
    <row r="431" spans="1:25" x14ac:dyDescent="0.4">
      <c r="A431" s="138"/>
      <c r="B431" s="144"/>
      <c r="C431" s="86"/>
      <c r="D431" s="109"/>
      <c r="E431" s="15"/>
      <c r="F431" s="16"/>
      <c r="G431" s="15"/>
      <c r="H431" s="15"/>
      <c r="I431" s="15"/>
      <c r="J431" s="15"/>
      <c r="K431" s="15"/>
      <c r="L431" s="17"/>
      <c r="M431" s="17"/>
      <c r="N431" s="17"/>
      <c r="O431" s="17"/>
      <c r="P431" s="17"/>
      <c r="Q431" s="17"/>
      <c r="R431" s="17"/>
      <c r="S431" s="15"/>
      <c r="T431" s="26"/>
      <c r="U431" s="15"/>
      <c r="V431">
        <v>9</v>
      </c>
    </row>
    <row r="432" spans="1:25" x14ac:dyDescent="0.4">
      <c r="A432" s="138"/>
      <c r="B432" s="144"/>
      <c r="C432" s="86"/>
      <c r="D432" s="109"/>
      <c r="E432" s="15"/>
      <c r="F432" s="16"/>
      <c r="G432" s="15"/>
      <c r="H432" s="15"/>
      <c r="I432" s="15"/>
      <c r="J432" s="15"/>
      <c r="K432" s="15"/>
      <c r="L432" s="17"/>
      <c r="M432" s="17"/>
      <c r="N432" s="17"/>
      <c r="O432" s="17"/>
      <c r="P432" s="17"/>
      <c r="Q432" s="17"/>
      <c r="R432" s="17"/>
      <c r="S432" s="15"/>
      <c r="T432" s="26"/>
      <c r="U432" s="15"/>
      <c r="V432">
        <v>10</v>
      </c>
    </row>
    <row r="433" spans="1:22" x14ac:dyDescent="0.4">
      <c r="A433" s="138"/>
      <c r="B433" s="144"/>
      <c r="C433" s="86"/>
      <c r="D433" s="109"/>
      <c r="E433" s="15"/>
      <c r="F433" s="16"/>
      <c r="G433" s="15"/>
      <c r="H433" s="15"/>
      <c r="I433" s="15"/>
      <c r="J433" s="15"/>
      <c r="K433" s="15"/>
      <c r="L433" s="17"/>
      <c r="M433" s="17"/>
      <c r="N433" s="17"/>
      <c r="O433" s="17"/>
      <c r="P433" s="17"/>
      <c r="Q433" s="17"/>
      <c r="R433" s="17"/>
      <c r="S433" s="15"/>
      <c r="T433" s="26"/>
      <c r="U433" s="15"/>
      <c r="V433">
        <v>11</v>
      </c>
    </row>
    <row r="434" spans="1:22" x14ac:dyDescent="0.4">
      <c r="A434" s="138"/>
      <c r="B434" s="144"/>
      <c r="C434" s="86"/>
      <c r="D434" s="109"/>
      <c r="E434" s="15"/>
      <c r="F434" s="16"/>
      <c r="G434" s="15"/>
      <c r="H434" s="15"/>
      <c r="I434" s="15"/>
      <c r="J434" s="15"/>
      <c r="K434" s="15"/>
      <c r="L434" s="17"/>
      <c r="M434" s="17"/>
      <c r="N434" s="17"/>
      <c r="O434" s="17"/>
      <c r="P434" s="17"/>
      <c r="Q434" s="17"/>
      <c r="R434" s="17"/>
      <c r="S434" s="15"/>
      <c r="T434" s="26"/>
      <c r="U434" s="15"/>
      <c r="V434">
        <v>12</v>
      </c>
    </row>
    <row r="435" spans="1:22" x14ac:dyDescent="0.4">
      <c r="A435" s="138"/>
      <c r="B435" s="144"/>
      <c r="C435" s="86"/>
      <c r="D435" s="109"/>
      <c r="E435" s="15"/>
      <c r="F435" s="16"/>
      <c r="G435" s="15"/>
      <c r="H435" s="15"/>
      <c r="I435" s="15"/>
      <c r="J435" s="15"/>
      <c r="K435" s="15"/>
      <c r="L435" s="17"/>
      <c r="M435" s="17"/>
      <c r="N435" s="17"/>
      <c r="O435" s="17"/>
      <c r="P435" s="17"/>
      <c r="Q435" s="17"/>
      <c r="R435" s="17"/>
      <c r="S435" s="15"/>
      <c r="T435" s="26"/>
      <c r="U435" s="15"/>
      <c r="V435">
        <v>13</v>
      </c>
    </row>
    <row r="436" spans="1:22" x14ac:dyDescent="0.4">
      <c r="A436" s="138"/>
      <c r="B436" s="144"/>
      <c r="C436" s="86"/>
      <c r="D436" s="109"/>
      <c r="E436" s="15"/>
      <c r="F436" s="16"/>
      <c r="G436" s="15"/>
      <c r="H436" s="15"/>
      <c r="I436" s="15"/>
      <c r="J436" s="15"/>
      <c r="K436" s="15"/>
      <c r="L436" s="17"/>
      <c r="M436" s="17"/>
      <c r="N436" s="17"/>
      <c r="O436" s="17"/>
      <c r="P436" s="17"/>
      <c r="Q436" s="17"/>
      <c r="R436" s="17"/>
      <c r="S436" s="15"/>
      <c r="T436" s="26"/>
      <c r="U436" s="15"/>
      <c r="V436">
        <v>14</v>
      </c>
    </row>
    <row r="437" spans="1:22" x14ac:dyDescent="0.4">
      <c r="A437" s="138"/>
      <c r="B437" s="144"/>
      <c r="C437" s="86"/>
      <c r="D437" s="106"/>
      <c r="E437" s="15"/>
      <c r="F437" s="16"/>
      <c r="G437" s="15"/>
      <c r="H437" s="15"/>
      <c r="I437" s="15"/>
      <c r="J437" s="15"/>
      <c r="K437" s="15"/>
      <c r="L437" s="17"/>
      <c r="M437" s="17"/>
      <c r="N437" s="17"/>
      <c r="O437" s="17"/>
      <c r="P437" s="17"/>
      <c r="Q437" s="17"/>
      <c r="R437" s="17"/>
      <c r="S437" s="15"/>
      <c r="T437" s="26"/>
      <c r="U437" s="15"/>
      <c r="V437">
        <v>15</v>
      </c>
    </row>
    <row r="438" spans="1:22" x14ac:dyDescent="0.4">
      <c r="A438" s="138"/>
      <c r="B438" s="144"/>
      <c r="C438" s="86"/>
      <c r="D438" s="106"/>
      <c r="E438" s="15"/>
      <c r="F438" s="16"/>
      <c r="G438" s="15"/>
      <c r="H438" s="15"/>
      <c r="I438" s="15"/>
      <c r="J438" s="15"/>
      <c r="K438" s="15"/>
      <c r="L438" s="19"/>
      <c r="M438" s="19"/>
      <c r="N438" s="19"/>
      <c r="O438" s="19"/>
      <c r="P438" s="19"/>
      <c r="Q438" s="19"/>
      <c r="R438" s="19"/>
      <c r="S438" s="15"/>
      <c r="T438" s="26"/>
      <c r="U438" s="15"/>
      <c r="V438">
        <v>16</v>
      </c>
    </row>
    <row r="439" spans="1:22" x14ac:dyDescent="0.4">
      <c r="A439" s="138"/>
      <c r="B439" s="144"/>
      <c r="C439" s="86"/>
      <c r="D439" s="110"/>
      <c r="E439" s="18"/>
      <c r="F439" s="16"/>
      <c r="G439" s="15"/>
      <c r="H439" s="15"/>
      <c r="I439" s="15"/>
      <c r="J439" s="18"/>
      <c r="K439" s="15"/>
      <c r="L439" s="19"/>
      <c r="M439" s="19"/>
      <c r="N439" s="19"/>
      <c r="O439" s="19"/>
      <c r="P439" s="19"/>
      <c r="Q439" s="19"/>
      <c r="R439" s="19"/>
      <c r="S439" s="15"/>
      <c r="T439" s="26"/>
      <c r="U439" s="15"/>
      <c r="V439">
        <v>17</v>
      </c>
    </row>
    <row r="440" spans="1:22" x14ac:dyDescent="0.4">
      <c r="A440" s="138"/>
      <c r="B440" s="144"/>
      <c r="C440" s="86"/>
      <c r="D440" s="110"/>
      <c r="E440" s="18"/>
      <c r="F440" s="16"/>
      <c r="G440" s="18"/>
      <c r="H440" s="15"/>
      <c r="I440" s="15"/>
      <c r="J440" s="18"/>
      <c r="K440" s="15"/>
      <c r="L440" s="19"/>
      <c r="M440" s="19"/>
      <c r="N440" s="19"/>
      <c r="O440" s="19"/>
      <c r="P440" s="19"/>
      <c r="Q440" s="19"/>
      <c r="R440" s="19"/>
      <c r="S440" s="15"/>
      <c r="T440" s="26"/>
      <c r="U440" s="15"/>
      <c r="V440">
        <v>18</v>
      </c>
    </row>
    <row r="441" spans="1:22" x14ac:dyDescent="0.4">
      <c r="A441" s="138"/>
      <c r="B441" s="144"/>
      <c r="C441" s="86"/>
      <c r="D441" s="110"/>
      <c r="E441" s="18"/>
      <c r="F441" s="16"/>
      <c r="G441" s="18"/>
      <c r="H441" s="15"/>
      <c r="I441" s="15"/>
      <c r="J441" s="18"/>
      <c r="K441" s="15"/>
      <c r="L441" s="19"/>
      <c r="M441" s="19"/>
      <c r="N441" s="19"/>
      <c r="O441" s="19"/>
      <c r="P441" s="19"/>
      <c r="Q441" s="19"/>
      <c r="R441" s="19"/>
      <c r="S441" s="15"/>
      <c r="T441" s="26"/>
      <c r="U441" s="15"/>
      <c r="V441">
        <v>19</v>
      </c>
    </row>
    <row r="442" spans="1:22" x14ac:dyDescent="0.4">
      <c r="A442" s="138"/>
      <c r="B442" s="144"/>
      <c r="C442" s="86"/>
      <c r="D442" s="110"/>
      <c r="E442" s="18"/>
      <c r="F442" s="16"/>
      <c r="G442" s="18"/>
      <c r="H442" s="15"/>
      <c r="I442" s="15"/>
      <c r="J442" s="18"/>
      <c r="K442" s="15"/>
      <c r="L442" s="19"/>
      <c r="M442" s="19"/>
      <c r="N442" s="19"/>
      <c r="O442" s="19"/>
      <c r="P442" s="19"/>
      <c r="Q442" s="19"/>
      <c r="R442" s="19"/>
      <c r="S442" s="15"/>
      <c r="T442" s="26"/>
      <c r="U442" s="15"/>
      <c r="V442">
        <v>20</v>
      </c>
    </row>
    <row r="443" spans="1:22" x14ac:dyDescent="0.4">
      <c r="A443" s="138"/>
      <c r="B443" s="144"/>
      <c r="C443" s="86"/>
      <c r="D443" s="110"/>
      <c r="E443" s="18"/>
      <c r="F443" s="16"/>
      <c r="G443" s="18"/>
      <c r="H443" s="15"/>
      <c r="I443" s="15"/>
      <c r="J443" s="18"/>
      <c r="K443" s="15"/>
      <c r="L443" s="19"/>
      <c r="M443" s="19"/>
      <c r="N443" s="19"/>
      <c r="O443" s="19"/>
      <c r="P443" s="19"/>
      <c r="Q443" s="19"/>
      <c r="R443" s="19"/>
      <c r="S443" s="15"/>
      <c r="T443" s="26"/>
      <c r="U443" s="15"/>
      <c r="V443">
        <v>21</v>
      </c>
    </row>
    <row r="444" spans="1:22" x14ac:dyDescent="0.4">
      <c r="A444" s="138"/>
      <c r="B444" s="144"/>
      <c r="C444" s="86"/>
      <c r="D444" s="106"/>
      <c r="E444" s="15"/>
      <c r="F444" s="16"/>
      <c r="G444" s="15"/>
      <c r="H444" s="15"/>
      <c r="I444" s="15"/>
      <c r="J444" s="15"/>
      <c r="K444" s="15"/>
      <c r="L444" s="17"/>
      <c r="M444" s="17"/>
      <c r="N444" s="17"/>
      <c r="O444" s="17"/>
      <c r="P444" s="17"/>
      <c r="Q444" s="17"/>
      <c r="R444" s="17"/>
      <c r="S444" s="15"/>
      <c r="T444" s="26"/>
      <c r="U444" s="15"/>
      <c r="V444">
        <v>22</v>
      </c>
    </row>
    <row r="445" spans="1:22" x14ac:dyDescent="0.4">
      <c r="A445" s="138"/>
      <c r="B445" s="144"/>
      <c r="C445" s="85"/>
      <c r="D445" s="109"/>
      <c r="E445" s="13"/>
      <c r="F445" s="16"/>
      <c r="G445" s="13"/>
      <c r="H445" s="18"/>
      <c r="I445" s="15"/>
      <c r="J445" s="13"/>
      <c r="K445" s="13"/>
      <c r="L445" s="20"/>
      <c r="M445" s="20"/>
      <c r="N445" s="20"/>
      <c r="O445" s="20"/>
      <c r="P445" s="20"/>
      <c r="Q445" s="20"/>
      <c r="R445" s="20"/>
      <c r="S445" s="15"/>
      <c r="T445" s="26"/>
      <c r="U445" s="15"/>
      <c r="V445">
        <v>23</v>
      </c>
    </row>
    <row r="446" spans="1:22" ht="19.5" thickBot="1" x14ac:dyDescent="0.45">
      <c r="A446" s="138"/>
      <c r="B446" s="144"/>
      <c r="C446" s="86"/>
      <c r="D446" s="106"/>
      <c r="E446" s="15"/>
      <c r="F446" s="16"/>
      <c r="G446" s="15"/>
      <c r="H446" s="15"/>
      <c r="I446" s="15"/>
      <c r="J446" s="15"/>
      <c r="K446" s="15"/>
      <c r="L446" s="17"/>
      <c r="M446" s="17"/>
      <c r="N446" s="17"/>
      <c r="O446" s="17"/>
      <c r="P446" s="17"/>
      <c r="Q446" s="17"/>
      <c r="R446" s="17"/>
      <c r="S446" s="15"/>
      <c r="T446" s="26"/>
      <c r="U446" s="21"/>
      <c r="V446">
        <v>24</v>
      </c>
    </row>
    <row r="447" spans="1:22" ht="19.5" thickBot="1" x14ac:dyDescent="0.45">
      <c r="A447" s="139"/>
      <c r="B447" s="145"/>
      <c r="C447" s="87"/>
      <c r="D447" s="111"/>
      <c r="E447" s="21"/>
      <c r="F447" s="22"/>
      <c r="G447" s="21"/>
      <c r="H447" s="21"/>
      <c r="I447" s="21"/>
      <c r="J447" s="21"/>
      <c r="K447" s="21"/>
      <c r="L447" s="23"/>
      <c r="M447" s="23"/>
      <c r="N447" s="23"/>
      <c r="O447" s="23"/>
      <c r="P447" s="23"/>
      <c r="Q447" s="23"/>
      <c r="R447" s="23"/>
      <c r="S447" s="21"/>
      <c r="T447" s="23"/>
      <c r="U447" s="29">
        <f>COUNTIF(H423:H447,"M")</f>
        <v>0</v>
      </c>
      <c r="V447">
        <v>25</v>
      </c>
    </row>
    <row r="448" spans="1:22" x14ac:dyDescent="0.4">
      <c r="A448" s="27"/>
      <c r="B448" s="28"/>
      <c r="C448" s="88">
        <f>COUNTA(C423:C447)</f>
        <v>0</v>
      </c>
      <c r="D448" s="112"/>
      <c r="E448" s="29"/>
      <c r="F448" s="29" t="s">
        <v>34</v>
      </c>
      <c r="G448" s="29">
        <f>COUNTIF(G423:G447,"S")</f>
        <v>0</v>
      </c>
      <c r="H448" s="29">
        <f>COUNTIF(H423:H447,"E")</f>
        <v>0</v>
      </c>
      <c r="I448" s="29">
        <f>SUM(I423:I447)</f>
        <v>0</v>
      </c>
      <c r="J448" s="29">
        <f t="shared" ref="J448:S448" si="86">SUM(J423:J447)</f>
        <v>0</v>
      </c>
      <c r="K448" s="29">
        <f t="shared" si="86"/>
        <v>0</v>
      </c>
      <c r="L448" s="29">
        <f t="shared" si="86"/>
        <v>0</v>
      </c>
      <c r="M448" s="29">
        <f t="shared" si="86"/>
        <v>0</v>
      </c>
      <c r="N448" s="29">
        <f t="shared" si="86"/>
        <v>0</v>
      </c>
      <c r="O448" s="29">
        <f t="shared" si="86"/>
        <v>0</v>
      </c>
      <c r="P448" s="29">
        <f t="shared" si="86"/>
        <v>0</v>
      </c>
      <c r="Q448" s="29">
        <f t="shared" si="86"/>
        <v>0</v>
      </c>
      <c r="R448" s="29">
        <f t="shared" si="86"/>
        <v>0</v>
      </c>
      <c r="S448" s="29">
        <f t="shared" si="86"/>
        <v>0</v>
      </c>
      <c r="T448" s="29" t="s">
        <v>63</v>
      </c>
      <c r="U448" s="29"/>
    </row>
    <row r="449" spans="1:25" x14ac:dyDescent="0.4">
      <c r="A449" s="27"/>
      <c r="B449" s="28"/>
      <c r="C449" s="88"/>
      <c r="D449" s="112"/>
      <c r="E449" s="29"/>
      <c r="F449" s="29" t="s">
        <v>35</v>
      </c>
      <c r="G449" s="29">
        <f>COUNTIF(G423:G447,"P")</f>
        <v>0</v>
      </c>
      <c r="H449" s="29">
        <f>COUNTIF(H423:H447,"R")</f>
        <v>0</v>
      </c>
      <c r="I449" s="29"/>
      <c r="J449" s="29"/>
      <c r="K449" s="29"/>
      <c r="L449" s="29"/>
      <c r="M449" s="29"/>
      <c r="N449" s="29"/>
      <c r="O449" s="29"/>
      <c r="P449" s="29"/>
      <c r="Q449" s="29"/>
      <c r="R449" s="29" t="s">
        <v>130</v>
      </c>
      <c r="S449" s="29">
        <f>SUM(J448:S448)</f>
        <v>0</v>
      </c>
      <c r="T449" s="29"/>
    </row>
    <row r="450" spans="1:25" ht="19.5" thickBot="1" x14ac:dyDescent="0.45">
      <c r="A450" s="1" t="s">
        <v>174</v>
      </c>
      <c r="B450" s="24">
        <v>45372</v>
      </c>
      <c r="C450" s="83" t="s">
        <v>0</v>
      </c>
      <c r="D450" s="107"/>
      <c r="E450" s="2" t="s">
        <v>1</v>
      </c>
      <c r="F450" s="3"/>
      <c r="G450" s="2"/>
      <c r="H450" s="2" t="s">
        <v>4</v>
      </c>
      <c r="I450" s="3" t="s">
        <v>3</v>
      </c>
      <c r="J450" s="2" t="s">
        <v>5</v>
      </c>
      <c r="K450" s="2" t="s">
        <v>6</v>
      </c>
      <c r="L450" s="2" t="s">
        <v>7</v>
      </c>
      <c r="M450" s="2" t="s">
        <v>8</v>
      </c>
      <c r="N450" s="2" t="s">
        <v>9</v>
      </c>
      <c r="O450" s="2" t="s">
        <v>10</v>
      </c>
      <c r="P450" s="2" t="s">
        <v>11</v>
      </c>
      <c r="Q450" s="3" t="s">
        <v>12</v>
      </c>
      <c r="R450" s="2" t="s">
        <v>3</v>
      </c>
      <c r="S450" s="3" t="s">
        <v>2</v>
      </c>
      <c r="T450" s="2"/>
      <c r="U450" s="3"/>
    </row>
    <row r="451" spans="1:25" ht="19.5" thickBot="1" x14ac:dyDescent="0.45">
      <c r="A451" s="4" t="s">
        <v>13</v>
      </c>
      <c r="B451" s="5" t="s">
        <v>14</v>
      </c>
      <c r="C451" s="84" t="s">
        <v>15</v>
      </c>
      <c r="D451" s="108" t="s">
        <v>16</v>
      </c>
      <c r="E451" s="5" t="s">
        <v>17</v>
      </c>
      <c r="F451" s="7" t="s">
        <v>18</v>
      </c>
      <c r="G451" s="5" t="s">
        <v>19</v>
      </c>
      <c r="H451" s="5" t="s">
        <v>20</v>
      </c>
      <c r="I451" s="8" t="s">
        <v>21</v>
      </c>
      <c r="J451" s="5" t="s">
        <v>22</v>
      </c>
      <c r="K451" s="5" t="s">
        <v>23</v>
      </c>
      <c r="L451" s="9" t="s">
        <v>24</v>
      </c>
      <c r="M451" s="9" t="s">
        <v>25</v>
      </c>
      <c r="N451" s="9" t="s">
        <v>26</v>
      </c>
      <c r="O451" s="10" t="s">
        <v>27</v>
      </c>
      <c r="P451" s="9" t="s">
        <v>28</v>
      </c>
      <c r="Q451" s="9" t="s">
        <v>29</v>
      </c>
      <c r="R451" s="9" t="s">
        <v>30</v>
      </c>
      <c r="S451" s="5" t="s">
        <v>31</v>
      </c>
      <c r="T451" s="11" t="s">
        <v>32</v>
      </c>
      <c r="U451" s="6" t="s">
        <v>33</v>
      </c>
      <c r="X451" s="135" t="s">
        <v>105</v>
      </c>
      <c r="Y451" s="136"/>
    </row>
    <row r="452" spans="1:25" ht="19.5" thickTop="1" x14ac:dyDescent="0.4">
      <c r="A452" s="137">
        <v>16</v>
      </c>
      <c r="B452" s="140"/>
      <c r="C452" s="85"/>
      <c r="D452" s="109"/>
      <c r="E452" s="15"/>
      <c r="F452" s="14"/>
      <c r="G452" s="12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25"/>
      <c r="U452" s="13"/>
      <c r="V452">
        <v>1</v>
      </c>
      <c r="X452" s="51" t="s">
        <v>106</v>
      </c>
      <c r="Y452" s="52">
        <f>COUNTIF(U452:U476,"K")</f>
        <v>0</v>
      </c>
    </row>
    <row r="453" spans="1:25" x14ac:dyDescent="0.4">
      <c r="A453" s="138"/>
      <c r="B453" s="141"/>
      <c r="C453" s="85"/>
      <c r="D453" s="109"/>
      <c r="E453" s="15"/>
      <c r="F453" s="16"/>
      <c r="G453" s="12"/>
      <c r="H453" s="15"/>
      <c r="I453" s="13"/>
      <c r="J453" s="15"/>
      <c r="K453" s="15"/>
      <c r="L453" s="17"/>
      <c r="M453" s="17"/>
      <c r="N453" s="17"/>
      <c r="O453" s="17"/>
      <c r="P453" s="17"/>
      <c r="Q453" s="17"/>
      <c r="R453" s="17"/>
      <c r="S453" s="15"/>
      <c r="T453" s="25"/>
      <c r="U453" s="13"/>
      <c r="V453">
        <v>2</v>
      </c>
      <c r="X453" s="51" t="s">
        <v>107</v>
      </c>
      <c r="Y453" s="52">
        <f>COUNTIF(U452:U476,"R")</f>
        <v>0</v>
      </c>
    </row>
    <row r="454" spans="1:25" ht="19.5" thickBot="1" x14ac:dyDescent="0.45">
      <c r="A454" s="138"/>
      <c r="B454" s="141"/>
      <c r="C454" s="85"/>
      <c r="D454" s="109"/>
      <c r="E454" s="15"/>
      <c r="F454" s="16"/>
      <c r="G454" s="12"/>
      <c r="H454" s="13"/>
      <c r="I454" s="13"/>
      <c r="J454" s="15"/>
      <c r="K454" s="15"/>
      <c r="L454" s="17"/>
      <c r="M454" s="17"/>
      <c r="N454" s="17"/>
      <c r="O454" s="17"/>
      <c r="P454" s="17"/>
      <c r="Q454" s="17"/>
      <c r="R454" s="17"/>
      <c r="S454" s="15"/>
      <c r="T454" s="25"/>
      <c r="U454" s="13"/>
      <c r="V454">
        <v>3</v>
      </c>
      <c r="X454" s="53" t="s">
        <v>108</v>
      </c>
      <c r="Y454" s="54">
        <f>COUNTIF(U452:U476,"J")</f>
        <v>0</v>
      </c>
    </row>
    <row r="455" spans="1:25" x14ac:dyDescent="0.4">
      <c r="A455" s="138"/>
      <c r="B455" s="141"/>
      <c r="C455" s="85"/>
      <c r="D455" s="109"/>
      <c r="E455" s="15"/>
      <c r="F455" s="16"/>
      <c r="G455" s="12"/>
      <c r="H455" s="15"/>
      <c r="I455" s="13"/>
      <c r="J455" s="13"/>
      <c r="K455" s="15"/>
      <c r="L455" s="17"/>
      <c r="M455" s="17"/>
      <c r="N455" s="17"/>
      <c r="O455" s="17"/>
      <c r="P455" s="17"/>
      <c r="Q455" s="17"/>
      <c r="R455" s="17"/>
      <c r="S455" s="15"/>
      <c r="T455" s="25"/>
      <c r="U455" s="13"/>
      <c r="V455">
        <v>4</v>
      </c>
    </row>
    <row r="456" spans="1:25" x14ac:dyDescent="0.4">
      <c r="A456" s="138"/>
      <c r="B456" s="141"/>
      <c r="C456" s="85"/>
      <c r="D456" s="109"/>
      <c r="E456" s="15"/>
      <c r="F456" s="16"/>
      <c r="G456" s="12"/>
      <c r="H456" s="15"/>
      <c r="I456" s="13"/>
      <c r="J456" s="15"/>
      <c r="K456" s="15"/>
      <c r="L456" s="17"/>
      <c r="M456" s="17"/>
      <c r="N456" s="17"/>
      <c r="O456" s="17"/>
      <c r="P456" s="17"/>
      <c r="Q456" s="17"/>
      <c r="R456" s="17"/>
      <c r="S456" s="15"/>
      <c r="T456" s="25"/>
      <c r="U456" s="25"/>
      <c r="V456">
        <v>5</v>
      </c>
    </row>
    <row r="457" spans="1:25" x14ac:dyDescent="0.4">
      <c r="A457" s="138"/>
      <c r="B457" s="141"/>
      <c r="C457" s="85"/>
      <c r="D457" s="109"/>
      <c r="E457" s="15"/>
      <c r="F457" s="16"/>
      <c r="G457" s="12"/>
      <c r="H457" s="13"/>
      <c r="I457" s="13"/>
      <c r="J457" s="15"/>
      <c r="K457" s="15"/>
      <c r="L457" s="17"/>
      <c r="M457" s="17"/>
      <c r="N457" s="17"/>
      <c r="O457" s="17"/>
      <c r="P457" s="17"/>
      <c r="Q457" s="17"/>
      <c r="R457" s="17"/>
      <c r="S457" s="15"/>
      <c r="T457" s="25"/>
      <c r="U457" s="25"/>
      <c r="V457">
        <v>6</v>
      </c>
    </row>
    <row r="458" spans="1:25" x14ac:dyDescent="0.4">
      <c r="A458" s="138"/>
      <c r="B458" s="141"/>
      <c r="C458" s="85"/>
      <c r="D458" s="109"/>
      <c r="E458" s="15"/>
      <c r="F458" s="16"/>
      <c r="G458" s="12"/>
      <c r="H458" s="15"/>
      <c r="I458" s="13"/>
      <c r="J458" s="15"/>
      <c r="K458" s="15"/>
      <c r="L458" s="17"/>
      <c r="M458" s="17"/>
      <c r="N458" s="17"/>
      <c r="O458" s="17"/>
      <c r="P458" s="17"/>
      <c r="Q458" s="17"/>
      <c r="R458" s="17"/>
      <c r="S458" s="15"/>
      <c r="T458" s="25"/>
      <c r="U458" s="13"/>
      <c r="V458">
        <v>7</v>
      </c>
    </row>
    <row r="459" spans="1:25" x14ac:dyDescent="0.4">
      <c r="A459" s="138"/>
      <c r="B459" s="141"/>
      <c r="C459" s="85"/>
      <c r="D459" s="109"/>
      <c r="E459" s="15"/>
      <c r="F459" s="16"/>
      <c r="G459" s="12"/>
      <c r="H459" s="15"/>
      <c r="I459" s="13"/>
      <c r="J459" s="15"/>
      <c r="K459" s="15"/>
      <c r="L459" s="17"/>
      <c r="M459" s="17"/>
      <c r="N459" s="17"/>
      <c r="O459" s="17"/>
      <c r="P459" s="17"/>
      <c r="Q459" s="17"/>
      <c r="R459" s="17"/>
      <c r="S459" s="15"/>
      <c r="T459" s="25"/>
      <c r="U459" s="13"/>
      <c r="V459">
        <v>8</v>
      </c>
    </row>
    <row r="460" spans="1:25" x14ac:dyDescent="0.4">
      <c r="A460" s="138"/>
      <c r="B460" s="141"/>
      <c r="C460" s="85"/>
      <c r="D460" s="109"/>
      <c r="E460" s="15"/>
      <c r="F460" s="16"/>
      <c r="G460" s="12"/>
      <c r="H460" s="15"/>
      <c r="I460" s="13"/>
      <c r="J460" s="15"/>
      <c r="K460" s="15"/>
      <c r="L460" s="17"/>
      <c r="M460" s="17"/>
      <c r="N460" s="17"/>
      <c r="O460" s="17"/>
      <c r="P460" s="17"/>
      <c r="Q460" s="17"/>
      <c r="R460" s="17"/>
      <c r="S460" s="15"/>
      <c r="T460" s="25"/>
      <c r="U460" s="13"/>
      <c r="V460">
        <v>9</v>
      </c>
    </row>
    <row r="461" spans="1:25" x14ac:dyDescent="0.4">
      <c r="A461" s="138"/>
      <c r="B461" s="141"/>
      <c r="C461" s="85"/>
      <c r="D461" s="109"/>
      <c r="E461" s="15"/>
      <c r="F461" s="16"/>
      <c r="G461" s="12"/>
      <c r="H461" s="15"/>
      <c r="I461" s="15"/>
      <c r="J461" s="15"/>
      <c r="K461" s="15"/>
      <c r="L461" s="17"/>
      <c r="M461" s="17"/>
      <c r="N461" s="17"/>
      <c r="O461" s="17"/>
      <c r="P461" s="17"/>
      <c r="Q461" s="17"/>
      <c r="R461" s="17"/>
      <c r="S461" s="15"/>
      <c r="T461" s="25"/>
      <c r="U461" s="13"/>
      <c r="V461">
        <v>10</v>
      </c>
    </row>
    <row r="462" spans="1:25" x14ac:dyDescent="0.4">
      <c r="A462" s="138"/>
      <c r="B462" s="141"/>
      <c r="C462" s="85"/>
      <c r="D462" s="109"/>
      <c r="E462" s="15"/>
      <c r="F462" s="16"/>
      <c r="G462" s="12"/>
      <c r="H462" s="15"/>
      <c r="I462" s="15"/>
      <c r="J462" s="15"/>
      <c r="K462" s="15"/>
      <c r="L462" s="17"/>
      <c r="M462" s="17"/>
      <c r="N462" s="17"/>
      <c r="O462" s="17"/>
      <c r="P462" s="17"/>
      <c r="Q462" s="17"/>
      <c r="R462" s="17"/>
      <c r="S462" s="15"/>
      <c r="T462" s="25"/>
      <c r="U462" s="13"/>
      <c r="V462">
        <v>11</v>
      </c>
    </row>
    <row r="463" spans="1:25" x14ac:dyDescent="0.4">
      <c r="A463" s="138"/>
      <c r="B463" s="141"/>
      <c r="C463" s="85"/>
      <c r="D463" s="109"/>
      <c r="E463" s="15"/>
      <c r="F463" s="16"/>
      <c r="G463" s="12"/>
      <c r="H463" s="15"/>
      <c r="I463" s="15"/>
      <c r="J463" s="15"/>
      <c r="K463" s="15"/>
      <c r="L463" s="17"/>
      <c r="M463" s="17"/>
      <c r="N463" s="17"/>
      <c r="O463" s="17"/>
      <c r="P463" s="17"/>
      <c r="Q463" s="17"/>
      <c r="R463" s="17"/>
      <c r="S463" s="15"/>
      <c r="T463" s="25"/>
      <c r="U463" s="13"/>
      <c r="V463">
        <v>12</v>
      </c>
    </row>
    <row r="464" spans="1:25" x14ac:dyDescent="0.4">
      <c r="A464" s="138"/>
      <c r="B464" s="141"/>
      <c r="C464" s="85"/>
      <c r="D464" s="109"/>
      <c r="E464" s="15"/>
      <c r="F464" s="16"/>
      <c r="G464" s="12"/>
      <c r="H464" s="15"/>
      <c r="I464" s="15"/>
      <c r="J464" s="15"/>
      <c r="K464" s="15"/>
      <c r="L464" s="17"/>
      <c r="M464" s="17"/>
      <c r="N464" s="17"/>
      <c r="O464" s="17"/>
      <c r="P464" s="17"/>
      <c r="Q464" s="17"/>
      <c r="R464" s="17"/>
      <c r="S464" s="15"/>
      <c r="T464" s="25"/>
      <c r="U464" s="13"/>
      <c r="V464">
        <v>13</v>
      </c>
    </row>
    <row r="465" spans="1:25" x14ac:dyDescent="0.4">
      <c r="A465" s="138"/>
      <c r="B465" s="141"/>
      <c r="C465" s="85"/>
      <c r="D465" s="109"/>
      <c r="E465" s="15"/>
      <c r="F465" s="16"/>
      <c r="G465" s="12"/>
      <c r="H465" s="15"/>
      <c r="I465" s="15"/>
      <c r="J465" s="15"/>
      <c r="K465" s="15"/>
      <c r="L465" s="17"/>
      <c r="M465" s="17"/>
      <c r="N465" s="17"/>
      <c r="O465" s="17"/>
      <c r="P465" s="17"/>
      <c r="Q465" s="17"/>
      <c r="R465" s="17"/>
      <c r="S465" s="15"/>
      <c r="T465" s="25"/>
      <c r="U465" s="13"/>
      <c r="V465">
        <v>14</v>
      </c>
    </row>
    <row r="466" spans="1:25" x14ac:dyDescent="0.4">
      <c r="A466" s="138"/>
      <c r="B466" s="141"/>
      <c r="C466" s="85"/>
      <c r="D466" s="106"/>
      <c r="E466" s="15"/>
      <c r="F466" s="16"/>
      <c r="G466" s="15"/>
      <c r="H466" s="15"/>
      <c r="I466" s="15"/>
      <c r="J466" s="15"/>
      <c r="K466" s="15"/>
      <c r="L466" s="17"/>
      <c r="M466" s="17"/>
      <c r="N466" s="17"/>
      <c r="O466" s="17"/>
      <c r="P466" s="17"/>
      <c r="Q466" s="17"/>
      <c r="R466" s="17"/>
      <c r="S466" s="15"/>
      <c r="T466" s="25"/>
      <c r="U466" s="15"/>
      <c r="V466">
        <v>15</v>
      </c>
    </row>
    <row r="467" spans="1:25" x14ac:dyDescent="0.4">
      <c r="A467" s="138"/>
      <c r="B467" s="141"/>
      <c r="C467" s="85"/>
      <c r="D467" s="110"/>
      <c r="E467" s="18"/>
      <c r="F467" s="16"/>
      <c r="G467" s="18"/>
      <c r="H467" s="15"/>
      <c r="I467" s="15"/>
      <c r="J467" s="18"/>
      <c r="K467" s="15"/>
      <c r="L467" s="19"/>
      <c r="M467" s="19"/>
      <c r="N467" s="19"/>
      <c r="O467" s="19"/>
      <c r="P467" s="19"/>
      <c r="Q467" s="19"/>
      <c r="R467" s="19"/>
      <c r="S467" s="15"/>
      <c r="T467" s="25"/>
      <c r="U467" s="15"/>
      <c r="V467" s="73">
        <v>16</v>
      </c>
    </row>
    <row r="468" spans="1:25" x14ac:dyDescent="0.4">
      <c r="A468" s="138"/>
      <c r="B468" s="141"/>
      <c r="C468" s="85"/>
      <c r="D468" s="110"/>
      <c r="E468" s="18"/>
      <c r="F468" s="16"/>
      <c r="G468" s="18"/>
      <c r="H468" s="15"/>
      <c r="I468" s="15"/>
      <c r="J468" s="18"/>
      <c r="K468" s="15"/>
      <c r="L468" s="19"/>
      <c r="M468" s="19"/>
      <c r="N468" s="19"/>
      <c r="O468" s="19"/>
      <c r="P468" s="19"/>
      <c r="Q468" s="19"/>
      <c r="R468" s="19"/>
      <c r="S468" s="15"/>
      <c r="T468" s="30"/>
      <c r="U468" s="15"/>
      <c r="V468">
        <v>17</v>
      </c>
    </row>
    <row r="469" spans="1:25" x14ac:dyDescent="0.4">
      <c r="A469" s="138"/>
      <c r="B469" s="141"/>
      <c r="C469" s="86"/>
      <c r="D469" s="110"/>
      <c r="E469" s="18"/>
      <c r="F469" s="16"/>
      <c r="G469" s="18"/>
      <c r="H469" s="15"/>
      <c r="I469" s="15"/>
      <c r="J469" s="18"/>
      <c r="K469" s="15"/>
      <c r="L469" s="19"/>
      <c r="M469" s="19"/>
      <c r="N469" s="19"/>
      <c r="O469" s="19"/>
      <c r="P469" s="19"/>
      <c r="Q469" s="19"/>
      <c r="R469" s="19"/>
      <c r="S469" s="15"/>
      <c r="T469" s="30"/>
      <c r="U469" s="15"/>
      <c r="V469">
        <v>18</v>
      </c>
    </row>
    <row r="470" spans="1:25" x14ac:dyDescent="0.4">
      <c r="A470" s="138"/>
      <c r="B470" s="141"/>
      <c r="C470" s="86"/>
      <c r="D470" s="110"/>
      <c r="E470" s="18"/>
      <c r="F470" s="16"/>
      <c r="G470" s="18"/>
      <c r="H470" s="15"/>
      <c r="I470" s="15"/>
      <c r="J470" s="18"/>
      <c r="K470" s="15"/>
      <c r="L470" s="19"/>
      <c r="M470" s="19"/>
      <c r="N470" s="19"/>
      <c r="O470" s="19"/>
      <c r="P470" s="19"/>
      <c r="Q470" s="19"/>
      <c r="R470" s="19"/>
      <c r="S470" s="15"/>
      <c r="T470" s="30"/>
      <c r="U470" s="15"/>
      <c r="V470">
        <v>19</v>
      </c>
    </row>
    <row r="471" spans="1:25" x14ac:dyDescent="0.4">
      <c r="A471" s="138"/>
      <c r="B471" s="141"/>
      <c r="C471" s="86"/>
      <c r="D471" s="110"/>
      <c r="E471" s="18"/>
      <c r="F471" s="16"/>
      <c r="G471" s="18"/>
      <c r="H471" s="15"/>
      <c r="I471" s="15"/>
      <c r="J471" s="18"/>
      <c r="K471" s="15"/>
      <c r="L471" s="19"/>
      <c r="M471" s="19"/>
      <c r="N471" s="19"/>
      <c r="O471" s="19"/>
      <c r="P471" s="19"/>
      <c r="Q471" s="19"/>
      <c r="R471" s="19"/>
      <c r="S471" s="15"/>
      <c r="T471" s="30"/>
      <c r="U471" s="15"/>
      <c r="V471">
        <v>20</v>
      </c>
    </row>
    <row r="472" spans="1:25" x14ac:dyDescent="0.4">
      <c r="A472" s="138"/>
      <c r="B472" s="141"/>
      <c r="C472" s="86"/>
      <c r="D472" s="110"/>
      <c r="E472" s="18"/>
      <c r="F472" s="16"/>
      <c r="G472" s="18"/>
      <c r="H472" s="15"/>
      <c r="I472" s="15"/>
      <c r="J472" s="18"/>
      <c r="K472" s="15"/>
      <c r="L472" s="19"/>
      <c r="M472" s="19"/>
      <c r="N472" s="19"/>
      <c r="O472" s="19"/>
      <c r="P472" s="19"/>
      <c r="Q472" s="19"/>
      <c r="R472" s="19"/>
      <c r="S472" s="15"/>
      <c r="T472" s="30"/>
      <c r="U472" s="15"/>
      <c r="V472">
        <v>21</v>
      </c>
    </row>
    <row r="473" spans="1:25" x14ac:dyDescent="0.4">
      <c r="A473" s="138"/>
      <c r="B473" s="141"/>
      <c r="C473" s="86"/>
      <c r="D473" s="106"/>
      <c r="E473" s="15"/>
      <c r="F473" s="16"/>
      <c r="G473" s="15"/>
      <c r="H473" s="15"/>
      <c r="I473" s="15"/>
      <c r="J473" s="15"/>
      <c r="K473" s="15"/>
      <c r="L473" s="17"/>
      <c r="M473" s="17"/>
      <c r="N473" s="17"/>
      <c r="O473" s="17"/>
      <c r="P473" s="17"/>
      <c r="Q473" s="17"/>
      <c r="R473" s="17"/>
      <c r="S473" s="15"/>
      <c r="T473" s="17"/>
      <c r="U473" s="15"/>
      <c r="V473">
        <v>22</v>
      </c>
      <c r="X473" t="s">
        <v>130</v>
      </c>
    </row>
    <row r="474" spans="1:25" x14ac:dyDescent="0.4">
      <c r="A474" s="138"/>
      <c r="B474" s="141"/>
      <c r="C474" s="85"/>
      <c r="D474" s="109"/>
      <c r="E474" s="13"/>
      <c r="F474" s="16"/>
      <c r="G474" s="13"/>
      <c r="H474" s="18"/>
      <c r="I474" s="15"/>
      <c r="J474" s="13"/>
      <c r="K474" s="13"/>
      <c r="L474" s="20"/>
      <c r="M474" s="20"/>
      <c r="N474" s="20"/>
      <c r="O474" s="20"/>
      <c r="P474" s="20"/>
      <c r="Q474" s="20"/>
      <c r="R474" s="20"/>
      <c r="S474" s="15"/>
      <c r="T474" s="20"/>
      <c r="U474" s="15"/>
      <c r="V474">
        <v>23</v>
      </c>
      <c r="X474" t="s">
        <v>47</v>
      </c>
      <c r="Y474">
        <f>S478+S508+S538+S568+S598+S628+S658+S688+S718+S748+S778+S808</f>
        <v>0</v>
      </c>
    </row>
    <row r="475" spans="1:25" x14ac:dyDescent="0.4">
      <c r="A475" s="138"/>
      <c r="B475" s="141"/>
      <c r="C475" s="86"/>
      <c r="D475" s="106"/>
      <c r="E475" s="15"/>
      <c r="F475" s="16"/>
      <c r="G475" s="15"/>
      <c r="H475" s="15"/>
      <c r="I475" s="15"/>
      <c r="J475" s="15"/>
      <c r="K475" s="15"/>
      <c r="L475" s="17"/>
      <c r="M475" s="17"/>
      <c r="N475" s="17"/>
      <c r="O475" s="17"/>
      <c r="P475" s="17"/>
      <c r="Q475" s="17"/>
      <c r="R475" s="17"/>
      <c r="S475" s="15"/>
      <c r="T475" s="17"/>
      <c r="U475" s="15"/>
      <c r="V475">
        <v>24</v>
      </c>
    </row>
    <row r="476" spans="1:25" ht="19.5" thickBot="1" x14ac:dyDescent="0.45">
      <c r="A476" s="139"/>
      <c r="B476" s="142"/>
      <c r="C476" s="87"/>
      <c r="D476" s="111"/>
      <c r="E476" s="21"/>
      <c r="F476" s="22"/>
      <c r="G476" s="21"/>
      <c r="H476" s="21"/>
      <c r="I476" s="21"/>
      <c r="J476" s="21"/>
      <c r="K476" s="21"/>
      <c r="L476" s="23"/>
      <c r="M476" s="23"/>
      <c r="N476" s="23"/>
      <c r="O476" s="23"/>
      <c r="P476" s="23"/>
      <c r="Q476" s="23"/>
      <c r="R476" s="23"/>
      <c r="S476" s="21"/>
      <c r="T476" s="23"/>
      <c r="U476" s="21"/>
      <c r="V476">
        <v>25</v>
      </c>
      <c r="X476" s="74" t="s">
        <v>47</v>
      </c>
      <c r="Y476" s="75">
        <f>C477+C507+C537+C567+C597+C627+C657+C687+C717+C747+C777+C807+C837+C867+C897</f>
        <v>0</v>
      </c>
    </row>
    <row r="477" spans="1:25" x14ac:dyDescent="0.4">
      <c r="A477" s="27"/>
      <c r="B477" s="28"/>
      <c r="C477" s="88">
        <f>COUNTA(C452:C476)</f>
        <v>0</v>
      </c>
      <c r="D477" s="112"/>
      <c r="E477" s="29"/>
      <c r="F477" s="29" t="s">
        <v>34</v>
      </c>
      <c r="G477" s="29">
        <f>COUNTIF(G452:G476,"S")</f>
        <v>0</v>
      </c>
      <c r="H477" s="29">
        <f>COUNTIF(H452:H476,"E")</f>
        <v>0</v>
      </c>
      <c r="I477" s="29">
        <f t="shared" ref="I477:S477" si="87">SUM(I452:I476)</f>
        <v>0</v>
      </c>
      <c r="J477" s="29">
        <f t="shared" si="87"/>
        <v>0</v>
      </c>
      <c r="K477" s="29">
        <f t="shared" si="87"/>
        <v>0</v>
      </c>
      <c r="L477" s="29">
        <f t="shared" si="87"/>
        <v>0</v>
      </c>
      <c r="M477" s="29">
        <f t="shared" si="87"/>
        <v>0</v>
      </c>
      <c r="N477" s="29">
        <f t="shared" si="87"/>
        <v>0</v>
      </c>
      <c r="O477" s="29">
        <f t="shared" si="87"/>
        <v>0</v>
      </c>
      <c r="P477" s="29">
        <f t="shared" si="87"/>
        <v>0</v>
      </c>
      <c r="Q477" s="29">
        <f t="shared" si="87"/>
        <v>0</v>
      </c>
      <c r="R477" s="29">
        <f t="shared" si="87"/>
        <v>0</v>
      </c>
      <c r="S477" s="29">
        <f t="shared" si="87"/>
        <v>0</v>
      </c>
      <c r="T477" s="29" t="s">
        <v>64</v>
      </c>
      <c r="U477" s="29">
        <f>COUNTIF(H452:H476,"M")</f>
        <v>0</v>
      </c>
    </row>
    <row r="478" spans="1:25" x14ac:dyDescent="0.4">
      <c r="A478" s="27"/>
      <c r="B478" s="28"/>
      <c r="C478" s="88"/>
      <c r="D478" s="112"/>
      <c r="E478" s="29"/>
      <c r="F478" s="29" t="s">
        <v>35</v>
      </c>
      <c r="G478" s="29">
        <f>COUNTIF(G452:G476,"P")</f>
        <v>0</v>
      </c>
      <c r="H478" s="29">
        <f>COUNTIF(H452:H476,"R")</f>
        <v>0</v>
      </c>
      <c r="I478" s="29"/>
      <c r="J478" s="29"/>
      <c r="K478" s="29"/>
      <c r="L478" s="29"/>
      <c r="M478" s="29"/>
      <c r="N478" s="29"/>
      <c r="O478" s="29"/>
      <c r="P478" s="29"/>
      <c r="Q478" s="29"/>
      <c r="R478" s="29" t="s">
        <v>130</v>
      </c>
      <c r="S478" s="29">
        <f>SUM(J477:S477)</f>
        <v>0</v>
      </c>
      <c r="T478" s="29"/>
      <c r="U478" s="29"/>
      <c r="X478" t="s">
        <v>136</v>
      </c>
    </row>
  </sheetData>
  <mergeCells count="54">
    <mergeCell ref="B33:B57"/>
    <mergeCell ref="AA57:AA58"/>
    <mergeCell ref="AA28:AB29"/>
    <mergeCell ref="X362:Y362"/>
    <mergeCell ref="A363:A387"/>
    <mergeCell ref="B363:B387"/>
    <mergeCell ref="AA32:AB32"/>
    <mergeCell ref="AB52:AB53"/>
    <mergeCell ref="AA55:AA56"/>
    <mergeCell ref="A63:A87"/>
    <mergeCell ref="B63:B87"/>
    <mergeCell ref="X332:Y332"/>
    <mergeCell ref="X302:Y302"/>
    <mergeCell ref="X2:Y2"/>
    <mergeCell ref="B273:B297"/>
    <mergeCell ref="A153:A177"/>
    <mergeCell ref="B153:B177"/>
    <mergeCell ref="A123:A147"/>
    <mergeCell ref="B123:B147"/>
    <mergeCell ref="X92:Y92"/>
    <mergeCell ref="X122:Y122"/>
    <mergeCell ref="X152:Y152"/>
    <mergeCell ref="X182:Y182"/>
    <mergeCell ref="X212:Y212"/>
    <mergeCell ref="X242:Y242"/>
    <mergeCell ref="X272:Y272"/>
    <mergeCell ref="A3:A27"/>
    <mergeCell ref="B3:B27"/>
    <mergeCell ref="A33:A57"/>
    <mergeCell ref="AC29:AE29"/>
    <mergeCell ref="A333:A357"/>
    <mergeCell ref="B333:B357"/>
    <mergeCell ref="A303:A327"/>
    <mergeCell ref="B303:B327"/>
    <mergeCell ref="A93:A117"/>
    <mergeCell ref="B93:B117"/>
    <mergeCell ref="A183:A207"/>
    <mergeCell ref="B183:B207"/>
    <mergeCell ref="A213:A237"/>
    <mergeCell ref="B213:B237"/>
    <mergeCell ref="A243:A267"/>
    <mergeCell ref="B243:B267"/>
    <mergeCell ref="A273:A297"/>
    <mergeCell ref="X32:Y32"/>
    <mergeCell ref="X62:Y62"/>
    <mergeCell ref="X451:Y451"/>
    <mergeCell ref="A452:A476"/>
    <mergeCell ref="B452:B476"/>
    <mergeCell ref="X392:Y392"/>
    <mergeCell ref="A393:A417"/>
    <mergeCell ref="B393:B417"/>
    <mergeCell ref="X422:Y422"/>
    <mergeCell ref="A423:A447"/>
    <mergeCell ref="B423:B447"/>
  </mergeCells>
  <phoneticPr fontId="1"/>
  <pageMargins left="3.937007874015748E-2" right="3.937007874015748E-2" top="0" bottom="0" header="0.31496062992125984" footer="0.31496062992125984"/>
  <pageSetup paperSize="9" orientation="landscape" r:id="rId1"/>
  <rowBreaks count="11" manualBreakCount="11">
    <brk id="29" max="16383" man="1"/>
    <brk id="59" max="16383" man="1"/>
    <brk id="89" max="16383" man="1"/>
    <brk id="119" max="16383" man="1"/>
    <brk id="149" max="16383" man="1"/>
    <brk id="179" max="16383" man="1"/>
    <brk id="209" max="16383" man="1"/>
    <brk id="239" max="16383" man="1"/>
    <brk id="269" max="16383" man="1"/>
    <brk id="299" max="16383" man="1"/>
    <brk id="32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9203-7E2C-44C3-9661-D939631466E7}">
  <sheetPr>
    <pageSetUpPr fitToPage="1"/>
  </sheetPr>
  <dimension ref="B1:F27"/>
  <sheetViews>
    <sheetView workbookViewId="0">
      <selection activeCell="H22" sqref="H22"/>
    </sheetView>
  </sheetViews>
  <sheetFormatPr defaultRowHeight="18.75" x14ac:dyDescent="0.4"/>
  <cols>
    <col min="2" max="2" width="15.125" bestFit="1" customWidth="1"/>
  </cols>
  <sheetData>
    <row r="1" spans="2:6" ht="19.5" thickBot="1" x14ac:dyDescent="0.45"/>
    <row r="2" spans="2:6" ht="19.5" thickBot="1" x14ac:dyDescent="0.45">
      <c r="B2" s="59" t="s">
        <v>120</v>
      </c>
      <c r="C2" s="60" t="s">
        <v>121</v>
      </c>
      <c r="D2" s="61" t="s">
        <v>125</v>
      </c>
      <c r="E2" s="61" t="s">
        <v>126</v>
      </c>
      <c r="F2" s="61" t="s">
        <v>127</v>
      </c>
    </row>
    <row r="3" spans="2:6" ht="19.5" x14ac:dyDescent="0.4">
      <c r="B3" s="47" t="s">
        <v>124</v>
      </c>
      <c r="C3" s="48" t="s">
        <v>60</v>
      </c>
      <c r="D3" s="63">
        <v>2</v>
      </c>
      <c r="E3" s="64"/>
      <c r="F3" s="65"/>
    </row>
    <row r="4" spans="2:6" ht="19.5" x14ac:dyDescent="0.4">
      <c r="B4" s="49" t="s">
        <v>122</v>
      </c>
      <c r="C4" s="50" t="s">
        <v>39</v>
      </c>
      <c r="D4" s="66">
        <v>6</v>
      </c>
      <c r="E4" s="67"/>
      <c r="F4" s="68"/>
    </row>
    <row r="5" spans="2:6" ht="19.5" x14ac:dyDescent="0.4">
      <c r="B5" s="49" t="s">
        <v>83</v>
      </c>
      <c r="C5" s="50" t="s">
        <v>38</v>
      </c>
      <c r="D5" s="66">
        <v>20</v>
      </c>
      <c r="E5" s="67"/>
      <c r="F5" s="68"/>
    </row>
    <row r="6" spans="2:6" ht="19.5" x14ac:dyDescent="0.4">
      <c r="B6" s="49" t="s">
        <v>84</v>
      </c>
      <c r="C6" s="50" t="s">
        <v>44</v>
      </c>
      <c r="D6" s="66">
        <v>4</v>
      </c>
      <c r="E6" s="67"/>
      <c r="F6" s="68"/>
    </row>
    <row r="7" spans="2:6" ht="19.5" x14ac:dyDescent="0.4">
      <c r="B7" s="49" t="s">
        <v>85</v>
      </c>
      <c r="C7" s="50" t="s">
        <v>43</v>
      </c>
      <c r="D7" s="66"/>
      <c r="E7" s="67"/>
      <c r="F7" s="68"/>
    </row>
    <row r="8" spans="2:6" ht="19.5" x14ac:dyDescent="0.4">
      <c r="B8" s="49" t="s">
        <v>86</v>
      </c>
      <c r="C8" s="50" t="s">
        <v>45</v>
      </c>
      <c r="D8" s="66"/>
      <c r="E8" s="67"/>
      <c r="F8" s="68"/>
    </row>
    <row r="9" spans="2:6" ht="19.5" x14ac:dyDescent="0.4">
      <c r="B9" s="49" t="s">
        <v>87</v>
      </c>
      <c r="C9" s="50" t="s">
        <v>37</v>
      </c>
      <c r="D9" s="66">
        <v>11</v>
      </c>
      <c r="E9" s="67"/>
      <c r="F9" s="68"/>
    </row>
    <row r="10" spans="2:6" ht="19.5" x14ac:dyDescent="0.4">
      <c r="B10" s="49" t="s">
        <v>88</v>
      </c>
      <c r="C10" s="50" t="s">
        <v>74</v>
      </c>
      <c r="D10" s="66">
        <v>5</v>
      </c>
      <c r="E10" s="67"/>
      <c r="F10" s="68"/>
    </row>
    <row r="11" spans="2:6" ht="19.5" x14ac:dyDescent="0.4">
      <c r="B11" s="49" t="s">
        <v>89</v>
      </c>
      <c r="C11" s="50" t="s">
        <v>36</v>
      </c>
      <c r="D11" s="66">
        <v>25</v>
      </c>
      <c r="E11" s="67"/>
      <c r="F11" s="68"/>
    </row>
    <row r="12" spans="2:6" ht="19.5" x14ac:dyDescent="0.4">
      <c r="B12" s="49" t="s">
        <v>90</v>
      </c>
      <c r="C12" s="50" t="s">
        <v>58</v>
      </c>
      <c r="D12" s="66">
        <v>1</v>
      </c>
      <c r="E12" s="67"/>
      <c r="F12" s="68"/>
    </row>
    <row r="13" spans="2:6" ht="19.5" x14ac:dyDescent="0.4">
      <c r="B13" s="49" t="s">
        <v>91</v>
      </c>
      <c r="C13" s="50" t="s">
        <v>75</v>
      </c>
      <c r="D13" s="66"/>
      <c r="E13" s="67"/>
      <c r="F13" s="68"/>
    </row>
    <row r="14" spans="2:6" ht="19.5" x14ac:dyDescent="0.4">
      <c r="B14" s="49" t="s">
        <v>92</v>
      </c>
      <c r="C14" s="50" t="s">
        <v>40</v>
      </c>
      <c r="D14" s="66">
        <v>15</v>
      </c>
      <c r="E14" s="67">
        <v>5</v>
      </c>
      <c r="F14" s="68"/>
    </row>
    <row r="15" spans="2:6" ht="19.5" x14ac:dyDescent="0.4">
      <c r="B15" s="49" t="s">
        <v>93</v>
      </c>
      <c r="C15" s="50" t="s">
        <v>57</v>
      </c>
      <c r="D15" s="66"/>
      <c r="E15" s="67"/>
      <c r="F15" s="68">
        <v>3</v>
      </c>
    </row>
    <row r="16" spans="2:6" ht="19.5" x14ac:dyDescent="0.4">
      <c r="B16" s="49" t="s">
        <v>94</v>
      </c>
      <c r="C16" s="50" t="s">
        <v>41</v>
      </c>
      <c r="D16" s="66">
        <v>9</v>
      </c>
      <c r="E16" s="67"/>
      <c r="F16" s="68"/>
    </row>
    <row r="17" spans="2:6" ht="19.5" x14ac:dyDescent="0.4">
      <c r="B17" s="49" t="s">
        <v>95</v>
      </c>
      <c r="C17" s="50" t="s">
        <v>42</v>
      </c>
      <c r="D17" s="66">
        <v>9</v>
      </c>
      <c r="E17" s="67"/>
      <c r="F17" s="68"/>
    </row>
    <row r="18" spans="2:6" ht="19.5" x14ac:dyDescent="0.4">
      <c r="B18" s="49" t="s">
        <v>96</v>
      </c>
      <c r="C18" s="50" t="s">
        <v>61</v>
      </c>
      <c r="D18" s="66"/>
      <c r="E18" s="67"/>
      <c r="F18" s="68"/>
    </row>
    <row r="19" spans="2:6" ht="19.5" x14ac:dyDescent="0.4">
      <c r="B19" s="49" t="s">
        <v>97</v>
      </c>
      <c r="C19" s="50" t="s">
        <v>76</v>
      </c>
      <c r="D19" s="66"/>
      <c r="E19" s="67"/>
      <c r="F19" s="68"/>
    </row>
    <row r="20" spans="2:6" ht="19.5" x14ac:dyDescent="0.4">
      <c r="B20" s="49" t="s">
        <v>98</v>
      </c>
      <c r="C20" s="50" t="s">
        <v>77</v>
      </c>
      <c r="D20" s="66"/>
      <c r="E20" s="67"/>
      <c r="F20" s="68"/>
    </row>
    <row r="21" spans="2:6" ht="19.5" x14ac:dyDescent="0.4">
      <c r="B21" s="49" t="s">
        <v>99</v>
      </c>
      <c r="C21" s="50" t="s">
        <v>78</v>
      </c>
      <c r="D21" s="66"/>
      <c r="E21" s="67"/>
      <c r="F21" s="68"/>
    </row>
    <row r="22" spans="2:6" ht="19.5" x14ac:dyDescent="0.4">
      <c r="B22" s="49" t="s">
        <v>100</v>
      </c>
      <c r="C22" s="50" t="s">
        <v>79</v>
      </c>
      <c r="D22" s="66"/>
      <c r="E22" s="67"/>
      <c r="F22" s="68"/>
    </row>
    <row r="23" spans="2:6" ht="19.5" x14ac:dyDescent="0.4">
      <c r="B23" s="49" t="s">
        <v>101</v>
      </c>
      <c r="C23" s="50" t="s">
        <v>59</v>
      </c>
      <c r="D23" s="66">
        <v>1</v>
      </c>
      <c r="E23" s="67"/>
      <c r="F23" s="68"/>
    </row>
    <row r="24" spans="2:6" ht="19.5" x14ac:dyDescent="0.4">
      <c r="B24" s="49" t="s">
        <v>102</v>
      </c>
      <c r="C24" s="50" t="s">
        <v>62</v>
      </c>
      <c r="D24" s="66"/>
      <c r="E24" s="67"/>
      <c r="F24" s="68"/>
    </row>
    <row r="25" spans="2:6" ht="20.25" thickBot="1" x14ac:dyDescent="0.45">
      <c r="B25" s="55" t="s">
        <v>103</v>
      </c>
      <c r="C25" s="56" t="s">
        <v>80</v>
      </c>
      <c r="D25" s="69"/>
      <c r="E25" s="70"/>
      <c r="F25" s="71"/>
    </row>
    <row r="26" spans="2:6" ht="19.5" thickBot="1" x14ac:dyDescent="0.45">
      <c r="B26" s="159" t="s">
        <v>47</v>
      </c>
      <c r="C26" s="159"/>
      <c r="D26" s="72">
        <f>SUM(D3:D25)</f>
        <v>108</v>
      </c>
      <c r="E26" s="72">
        <f>SUM(E3:E25)</f>
        <v>5</v>
      </c>
      <c r="F26" s="72">
        <f>SUM(F3:F25)</f>
        <v>3</v>
      </c>
    </row>
    <row r="27" spans="2:6" ht="19.5" thickBot="1" x14ac:dyDescent="0.45">
      <c r="B27" s="160"/>
      <c r="C27" s="160"/>
      <c r="D27" s="161">
        <f>SUM(D26:F26)</f>
        <v>116</v>
      </c>
      <c r="E27" s="161"/>
      <c r="F27" s="161"/>
    </row>
  </sheetData>
  <mergeCells count="2">
    <mergeCell ref="B26:C27"/>
    <mergeCell ref="D27:F27"/>
  </mergeCells>
  <phoneticPr fontId="1"/>
  <pageMargins left="0.25" right="0.25" top="0.75" bottom="0.75" header="0.3" footer="0.3"/>
  <pageSetup paperSize="9" scale="94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28B0-446B-4412-AA9D-0D27C43FAA40}">
  <dimension ref="A1:BA1264"/>
  <sheetViews>
    <sheetView topLeftCell="A5" zoomScaleNormal="100" workbookViewId="0">
      <selection sqref="A1:E31"/>
    </sheetView>
  </sheetViews>
  <sheetFormatPr defaultRowHeight="18.75" x14ac:dyDescent="0.4"/>
  <cols>
    <col min="1" max="1" width="10.875" customWidth="1"/>
    <col min="2" max="2" width="12" customWidth="1"/>
    <col min="3" max="3" width="11" customWidth="1"/>
    <col min="4" max="4" width="9.75" customWidth="1"/>
    <col min="5" max="26" width="16.625" customWidth="1"/>
    <col min="27" max="27" width="11" customWidth="1"/>
    <col min="28" max="28" width="10.5" style="121" customWidth="1"/>
    <col min="29" max="29" width="10.25" style="121" customWidth="1"/>
    <col min="30" max="30" width="10.875" style="121" customWidth="1"/>
    <col min="31" max="44" width="16.625" customWidth="1"/>
    <col min="45" max="45" width="20.5" customWidth="1"/>
    <col min="50" max="50" width="12.375" customWidth="1"/>
    <col min="51" max="51" width="11.25" customWidth="1"/>
    <col min="52" max="52" width="10.5" customWidth="1"/>
    <col min="53" max="53" width="10.25" customWidth="1"/>
  </cols>
  <sheetData>
    <row r="1" spans="1:49" x14ac:dyDescent="0.4">
      <c r="A1" s="120" t="s">
        <v>208</v>
      </c>
      <c r="B1" s="121"/>
      <c r="C1" s="121"/>
      <c r="D1" s="121"/>
      <c r="J1" t="s">
        <v>143</v>
      </c>
      <c r="K1" t="s">
        <v>144</v>
      </c>
      <c r="U1" t="s">
        <v>143</v>
      </c>
      <c r="V1" t="s">
        <v>144</v>
      </c>
      <c r="AA1" s="120"/>
      <c r="AS1" t="s">
        <v>143</v>
      </c>
      <c r="AT1" t="s">
        <v>144</v>
      </c>
    </row>
    <row r="2" spans="1:49" ht="20.100000000000001" customHeight="1" x14ac:dyDescent="0.4">
      <c r="A2" s="116"/>
      <c r="B2" s="123" t="s">
        <v>146</v>
      </c>
      <c r="C2" s="123" t="s">
        <v>147</v>
      </c>
      <c r="D2" s="123" t="s">
        <v>148</v>
      </c>
      <c r="J2" s="25">
        <v>45732</v>
      </c>
      <c r="K2" s="13" t="s">
        <v>147</v>
      </c>
      <c r="U2" s="25">
        <v>45669</v>
      </c>
      <c r="V2" s="13" t="s">
        <v>147</v>
      </c>
      <c r="AA2" s="116"/>
      <c r="AB2" s="123"/>
      <c r="AC2" s="123"/>
      <c r="AD2" s="123"/>
      <c r="AI2" s="115"/>
      <c r="AJ2" s="115"/>
      <c r="AK2" s="115"/>
      <c r="AL2" s="115"/>
      <c r="AM2" s="115"/>
      <c r="AN2" s="115"/>
      <c r="AO2" s="115"/>
      <c r="AP2" s="115"/>
      <c r="AQ2" s="115"/>
      <c r="AR2" s="115"/>
      <c r="AS2" s="25">
        <v>45258</v>
      </c>
      <c r="AT2" s="13" t="s">
        <v>162</v>
      </c>
      <c r="AW2" s="114"/>
    </row>
    <row r="3" spans="1:49" ht="20.100000000000001" customHeight="1" x14ac:dyDescent="0.4">
      <c r="A3" s="117">
        <v>45732</v>
      </c>
      <c r="B3" s="123"/>
      <c r="C3" s="123">
        <v>1</v>
      </c>
      <c r="D3" s="123"/>
      <c r="J3" s="133" t="s">
        <v>193</v>
      </c>
      <c r="K3" s="13">
        <f>SUBTOTAL(3,K2:K2)</f>
        <v>1</v>
      </c>
      <c r="U3" s="25"/>
      <c r="V3" s="13"/>
      <c r="AA3" s="116"/>
      <c r="AB3" s="123"/>
      <c r="AC3" s="123"/>
      <c r="AD3" s="123"/>
      <c r="AI3" s="115"/>
      <c r="AJ3" s="115"/>
      <c r="AK3" s="115"/>
      <c r="AL3" s="115"/>
      <c r="AM3" s="115"/>
      <c r="AN3" s="115"/>
      <c r="AO3" s="115"/>
      <c r="AP3" s="115"/>
      <c r="AQ3" s="115"/>
      <c r="AR3" s="115"/>
      <c r="AS3" s="25"/>
      <c r="AT3" s="13"/>
      <c r="AW3" s="114"/>
    </row>
    <row r="4" spans="1:49" ht="20.100000000000001" customHeight="1" x14ac:dyDescent="0.4">
      <c r="A4" s="117">
        <v>45733</v>
      </c>
      <c r="B4" s="123"/>
      <c r="C4" s="123">
        <v>1</v>
      </c>
      <c r="D4" s="123"/>
      <c r="J4" s="25">
        <v>45733</v>
      </c>
      <c r="K4" s="13" t="s">
        <v>147</v>
      </c>
      <c r="U4" s="25"/>
      <c r="V4" s="13"/>
      <c r="AA4" s="116"/>
      <c r="AB4" s="123"/>
      <c r="AC4" s="123"/>
      <c r="AD4" s="123"/>
      <c r="AI4" s="115"/>
      <c r="AJ4" s="115"/>
      <c r="AK4" s="115"/>
      <c r="AL4" s="115"/>
      <c r="AM4" s="115"/>
      <c r="AN4" s="115"/>
      <c r="AO4" s="115"/>
      <c r="AP4" s="115"/>
      <c r="AQ4" s="115"/>
      <c r="AR4" s="115"/>
      <c r="AS4" s="25"/>
      <c r="AT4" s="13"/>
      <c r="AW4" s="114"/>
    </row>
    <row r="5" spans="1:49" ht="20.100000000000001" customHeight="1" x14ac:dyDescent="0.4">
      <c r="A5" s="117">
        <v>45734</v>
      </c>
      <c r="B5" s="123">
        <v>2</v>
      </c>
      <c r="C5" s="123">
        <v>2</v>
      </c>
      <c r="D5" s="123"/>
      <c r="J5" s="133" t="s">
        <v>194</v>
      </c>
      <c r="K5" s="13">
        <f>SUBTOTAL(3,K4:K4)</f>
        <v>1</v>
      </c>
      <c r="U5" s="25"/>
      <c r="V5" s="13"/>
      <c r="AA5" s="116"/>
      <c r="AB5" s="123"/>
      <c r="AC5" s="123"/>
      <c r="AD5" s="123"/>
      <c r="AI5" s="115"/>
      <c r="AJ5" s="115"/>
      <c r="AK5" s="115"/>
      <c r="AL5" s="115"/>
      <c r="AM5" s="115"/>
      <c r="AN5" s="115"/>
      <c r="AO5" s="115"/>
      <c r="AP5" s="115"/>
      <c r="AQ5" s="115"/>
      <c r="AR5" s="115"/>
      <c r="AS5" s="25"/>
      <c r="AT5" s="13"/>
      <c r="AW5" s="114"/>
    </row>
    <row r="6" spans="1:49" ht="20.100000000000001" customHeight="1" x14ac:dyDescent="0.4">
      <c r="A6" s="117">
        <v>45735</v>
      </c>
      <c r="B6" s="123">
        <v>1</v>
      </c>
      <c r="C6" s="123">
        <v>2</v>
      </c>
      <c r="D6" s="123">
        <v>1</v>
      </c>
      <c r="H6" s="115"/>
      <c r="I6" s="115"/>
      <c r="J6" s="25">
        <v>45734</v>
      </c>
      <c r="K6" s="13" t="s">
        <v>147</v>
      </c>
      <c r="U6" s="25"/>
      <c r="V6" s="13"/>
      <c r="AA6" s="116"/>
      <c r="AB6" s="123"/>
      <c r="AC6" s="123"/>
      <c r="AD6" s="123"/>
      <c r="AI6" s="115"/>
      <c r="AJ6" s="115"/>
      <c r="AK6" s="115"/>
      <c r="AL6" s="115"/>
      <c r="AM6" s="115"/>
      <c r="AN6" s="115"/>
      <c r="AO6" s="115"/>
      <c r="AP6" s="115"/>
      <c r="AQ6" s="115"/>
      <c r="AR6" s="115"/>
      <c r="AS6" s="25"/>
      <c r="AT6" s="13"/>
      <c r="AW6" s="114"/>
    </row>
    <row r="7" spans="1:49" ht="20.100000000000001" customHeight="1" x14ac:dyDescent="0.4">
      <c r="A7" s="117">
        <v>45736</v>
      </c>
      <c r="B7" s="123"/>
      <c r="C7" s="123">
        <v>4</v>
      </c>
      <c r="D7" s="123"/>
      <c r="H7" s="115"/>
      <c r="I7" s="115"/>
      <c r="J7" s="25">
        <v>45734</v>
      </c>
      <c r="K7" s="13" t="s">
        <v>146</v>
      </c>
      <c r="U7" s="25"/>
      <c r="V7" s="13"/>
      <c r="AA7" s="116"/>
      <c r="AB7" s="123"/>
      <c r="AC7" s="123"/>
      <c r="AD7" s="123"/>
      <c r="AI7" s="115"/>
      <c r="AJ7" s="115"/>
      <c r="AK7" s="115"/>
      <c r="AL7" s="115"/>
      <c r="AM7" s="115"/>
      <c r="AN7" s="115"/>
      <c r="AO7" s="115"/>
      <c r="AP7" s="115"/>
      <c r="AQ7" s="115"/>
      <c r="AR7" s="115"/>
      <c r="AS7" s="25"/>
      <c r="AT7" s="13"/>
      <c r="AW7" s="114"/>
    </row>
    <row r="8" spans="1:49" ht="20.100000000000001" customHeight="1" x14ac:dyDescent="0.4">
      <c r="A8" s="117">
        <v>45737</v>
      </c>
      <c r="B8" s="123"/>
      <c r="C8" s="123">
        <v>1</v>
      </c>
      <c r="D8" s="123"/>
      <c r="H8" s="115"/>
      <c r="I8" s="115"/>
      <c r="J8" s="25">
        <v>45734</v>
      </c>
      <c r="K8" s="13" t="s">
        <v>146</v>
      </c>
      <c r="U8" s="25"/>
      <c r="V8" s="13"/>
      <c r="AA8" s="116"/>
      <c r="AB8" s="123"/>
      <c r="AC8" s="123"/>
      <c r="AD8" s="123"/>
      <c r="AI8" s="115"/>
      <c r="AJ8" s="115"/>
      <c r="AK8" s="115"/>
      <c r="AL8" s="115"/>
      <c r="AM8" s="115"/>
      <c r="AN8" s="115"/>
      <c r="AO8" s="115"/>
      <c r="AP8" s="115"/>
      <c r="AQ8" s="115"/>
      <c r="AR8" s="115"/>
      <c r="AS8" s="25"/>
      <c r="AT8" s="13"/>
      <c r="AW8" s="114"/>
    </row>
    <row r="9" spans="1:49" ht="20.100000000000001" customHeight="1" x14ac:dyDescent="0.4">
      <c r="A9" s="117">
        <v>45738</v>
      </c>
      <c r="B9" s="123">
        <v>1</v>
      </c>
      <c r="C9" s="123">
        <v>2</v>
      </c>
      <c r="D9" s="123">
        <v>1</v>
      </c>
      <c r="E9" t="s">
        <v>390</v>
      </c>
      <c r="H9" s="115"/>
      <c r="I9" s="115"/>
      <c r="J9" s="25">
        <v>45734</v>
      </c>
      <c r="K9" s="13" t="s">
        <v>147</v>
      </c>
      <c r="U9" s="25"/>
      <c r="V9" s="13"/>
      <c r="AA9" s="116"/>
      <c r="AB9" s="123"/>
      <c r="AC9" s="123"/>
      <c r="AD9" s="123"/>
      <c r="AI9" s="115"/>
      <c r="AJ9" s="115"/>
      <c r="AK9" s="115"/>
      <c r="AL9" s="115"/>
      <c r="AM9" s="115"/>
      <c r="AN9" s="115"/>
      <c r="AO9" s="115"/>
      <c r="AP9" s="115"/>
      <c r="AQ9" s="115"/>
      <c r="AR9" s="115"/>
      <c r="AS9" s="25"/>
      <c r="AT9" s="13"/>
      <c r="AW9" s="114"/>
    </row>
    <row r="10" spans="1:49" ht="20.100000000000001" customHeight="1" x14ac:dyDescent="0.4">
      <c r="A10" s="117">
        <v>45739</v>
      </c>
      <c r="B10" s="123">
        <v>2</v>
      </c>
      <c r="C10" s="123">
        <v>2</v>
      </c>
      <c r="D10" s="123">
        <v>2</v>
      </c>
      <c r="E10" t="s">
        <v>391</v>
      </c>
      <c r="H10" s="115"/>
      <c r="I10" s="115"/>
      <c r="J10" s="133" t="s">
        <v>195</v>
      </c>
      <c r="K10" s="13">
        <f>SUBTOTAL(3,K6:K9)</f>
        <v>4</v>
      </c>
      <c r="U10" s="25"/>
      <c r="V10" s="13"/>
      <c r="AA10" s="116"/>
      <c r="AB10" s="123"/>
      <c r="AC10" s="123"/>
      <c r="AD10" s="123"/>
      <c r="AI10" s="115"/>
      <c r="AJ10" s="115"/>
      <c r="AK10" s="115"/>
      <c r="AL10" s="115"/>
      <c r="AM10" s="115"/>
      <c r="AN10" s="115"/>
      <c r="AO10" s="115"/>
      <c r="AP10" s="115"/>
      <c r="AQ10" s="115"/>
      <c r="AR10" s="115"/>
      <c r="AS10" s="25"/>
      <c r="AT10" s="13"/>
      <c r="AW10" s="114"/>
    </row>
    <row r="11" spans="1:49" ht="20.100000000000001" customHeight="1" x14ac:dyDescent="0.4">
      <c r="A11" s="117">
        <v>45740</v>
      </c>
      <c r="B11" s="123">
        <v>5</v>
      </c>
      <c r="C11" s="123">
        <v>1</v>
      </c>
      <c r="D11" s="123">
        <v>1</v>
      </c>
      <c r="J11" s="25">
        <v>45735</v>
      </c>
      <c r="K11" s="13" t="s">
        <v>146</v>
      </c>
      <c r="Q11" s="115"/>
      <c r="R11" s="115"/>
      <c r="S11" s="115"/>
      <c r="T11" s="115"/>
      <c r="U11" s="25">
        <v>45669</v>
      </c>
      <c r="V11" s="13" t="s">
        <v>147</v>
      </c>
      <c r="AA11" s="116"/>
      <c r="AB11" s="123"/>
      <c r="AC11" s="123"/>
      <c r="AD11" s="123"/>
      <c r="AI11" s="115"/>
      <c r="AJ11" s="115"/>
      <c r="AK11" s="115"/>
      <c r="AL11" s="115"/>
      <c r="AM11" s="115"/>
      <c r="AN11" s="115"/>
      <c r="AO11" s="115"/>
      <c r="AP11" s="115"/>
      <c r="AQ11" s="115"/>
      <c r="AR11" s="115"/>
      <c r="AS11" s="25"/>
      <c r="AT11" s="13"/>
      <c r="AW11" s="114"/>
    </row>
    <row r="12" spans="1:49" ht="20.100000000000001" customHeight="1" x14ac:dyDescent="0.4">
      <c r="A12" s="117">
        <v>45741</v>
      </c>
      <c r="B12" s="123">
        <v>1</v>
      </c>
      <c r="C12" s="123">
        <v>1</v>
      </c>
      <c r="D12" s="123"/>
      <c r="J12" s="25">
        <v>45735</v>
      </c>
      <c r="K12" s="13" t="s">
        <v>148</v>
      </c>
      <c r="Q12" s="115"/>
      <c r="R12" s="115"/>
      <c r="S12" s="115"/>
      <c r="T12" s="115"/>
      <c r="U12" s="25"/>
      <c r="V12" s="13"/>
      <c r="AA12" s="116"/>
      <c r="AB12" s="123"/>
      <c r="AC12" s="123"/>
      <c r="AD12" s="123"/>
      <c r="AI12" s="115"/>
      <c r="AJ12" s="115"/>
      <c r="AK12" s="115"/>
      <c r="AL12" s="115"/>
      <c r="AM12" s="115"/>
      <c r="AN12" s="115"/>
      <c r="AO12" s="115"/>
      <c r="AP12" s="115"/>
      <c r="AQ12" s="115"/>
      <c r="AR12" s="115"/>
      <c r="AS12" s="25"/>
      <c r="AT12" s="13"/>
      <c r="AW12" s="114"/>
    </row>
    <row r="13" spans="1:49" ht="20.100000000000001" customHeight="1" x14ac:dyDescent="0.4">
      <c r="A13" s="117">
        <v>45742</v>
      </c>
      <c r="B13" s="123">
        <v>1</v>
      </c>
      <c r="C13" s="123">
        <v>4</v>
      </c>
      <c r="D13" s="123">
        <v>3</v>
      </c>
      <c r="E13" t="s">
        <v>392</v>
      </c>
      <c r="I13" s="115"/>
      <c r="J13" s="25">
        <v>45735</v>
      </c>
      <c r="K13" s="13" t="s">
        <v>147</v>
      </c>
      <c r="Q13" s="115"/>
      <c r="R13" s="115"/>
      <c r="S13" s="115"/>
      <c r="T13" s="115"/>
      <c r="U13" s="25"/>
      <c r="V13" s="13"/>
      <c r="AA13" s="116"/>
      <c r="AB13" s="123"/>
      <c r="AC13" s="123"/>
      <c r="AD13" s="123"/>
      <c r="AI13" s="115"/>
      <c r="AJ13" s="115"/>
      <c r="AK13" s="115"/>
      <c r="AL13" s="115"/>
      <c r="AM13" s="115"/>
      <c r="AN13" s="115"/>
      <c r="AO13" s="115"/>
      <c r="AP13" s="115"/>
      <c r="AQ13" s="115"/>
      <c r="AR13" s="115"/>
      <c r="AS13" s="25"/>
      <c r="AT13" s="13"/>
      <c r="AW13" s="114"/>
    </row>
    <row r="14" spans="1:49" ht="20.100000000000001" customHeight="1" x14ac:dyDescent="0.4">
      <c r="A14" s="117">
        <v>45743</v>
      </c>
      <c r="B14" s="123">
        <v>10</v>
      </c>
      <c r="C14" s="123">
        <v>4</v>
      </c>
      <c r="D14" s="123">
        <v>1</v>
      </c>
      <c r="H14" s="115"/>
      <c r="I14" s="115"/>
      <c r="J14" s="25">
        <v>45735</v>
      </c>
      <c r="K14" s="13" t="s">
        <v>147</v>
      </c>
      <c r="Q14" s="115"/>
      <c r="R14" s="115"/>
      <c r="S14" s="115"/>
      <c r="T14" s="115"/>
      <c r="U14" s="25"/>
      <c r="V14" s="13"/>
      <c r="AA14" s="116"/>
      <c r="AB14" s="123"/>
      <c r="AC14" s="123"/>
      <c r="AD14" s="123"/>
      <c r="AI14" s="115"/>
      <c r="AJ14" s="115"/>
      <c r="AK14" s="115"/>
      <c r="AL14" s="115"/>
      <c r="AM14" s="115"/>
      <c r="AN14" s="115"/>
      <c r="AO14" s="115"/>
      <c r="AP14" s="115"/>
      <c r="AQ14" s="115"/>
      <c r="AR14" s="115"/>
      <c r="AS14" s="25"/>
      <c r="AT14" s="13"/>
      <c r="AW14" s="114"/>
    </row>
    <row r="15" spans="1:49" ht="20.100000000000001" customHeight="1" x14ac:dyDescent="0.4">
      <c r="A15" s="117">
        <v>45744</v>
      </c>
      <c r="B15" s="123">
        <v>2</v>
      </c>
      <c r="C15" s="123"/>
      <c r="D15" s="123">
        <v>1</v>
      </c>
      <c r="H15" s="115"/>
      <c r="I15" s="115"/>
      <c r="J15" s="133" t="s">
        <v>200</v>
      </c>
      <c r="K15" s="13">
        <f>SUBTOTAL(3,K11:K14)</f>
        <v>4</v>
      </c>
      <c r="Q15" s="115"/>
      <c r="R15" s="115"/>
      <c r="S15" s="115"/>
      <c r="T15" s="115"/>
      <c r="U15" s="25"/>
      <c r="V15" s="13"/>
      <c r="AA15" s="116"/>
      <c r="AB15" s="123"/>
      <c r="AC15" s="123"/>
      <c r="AD15" s="123"/>
      <c r="AI15" s="115"/>
      <c r="AJ15" s="115"/>
      <c r="AK15" s="115"/>
      <c r="AL15" s="115"/>
      <c r="AM15" s="115"/>
      <c r="AN15" s="115"/>
      <c r="AO15" s="115"/>
      <c r="AP15" s="115"/>
      <c r="AQ15" s="115"/>
      <c r="AR15" s="115"/>
      <c r="AS15" s="25"/>
      <c r="AT15" s="13"/>
      <c r="AW15" s="114"/>
    </row>
    <row r="16" spans="1:49" ht="20.100000000000001" customHeight="1" x14ac:dyDescent="0.4">
      <c r="A16" s="117">
        <v>45745</v>
      </c>
      <c r="B16" s="123">
        <v>30</v>
      </c>
      <c r="C16" s="123">
        <v>14</v>
      </c>
      <c r="D16" s="123">
        <v>5</v>
      </c>
      <c r="E16" t="s">
        <v>394</v>
      </c>
      <c r="H16" s="115"/>
      <c r="I16" s="115"/>
      <c r="J16" s="25">
        <v>45736</v>
      </c>
      <c r="K16" s="13" t="s">
        <v>147</v>
      </c>
      <c r="Q16" s="115"/>
      <c r="R16" s="115"/>
      <c r="S16" s="115"/>
      <c r="T16" s="115"/>
      <c r="U16" s="25"/>
      <c r="V16" s="13"/>
      <c r="AA16" s="116"/>
      <c r="AB16" s="123"/>
      <c r="AC16" s="123"/>
      <c r="AD16" s="123"/>
      <c r="AI16" s="115"/>
      <c r="AJ16" s="115"/>
      <c r="AK16" s="115"/>
      <c r="AL16" s="115"/>
      <c r="AM16" s="115"/>
      <c r="AN16" s="115"/>
      <c r="AO16" s="115"/>
      <c r="AP16" s="115"/>
      <c r="AQ16" s="115"/>
      <c r="AR16" s="115"/>
      <c r="AS16" s="25"/>
      <c r="AT16" s="13"/>
      <c r="AW16" s="114"/>
    </row>
    <row r="17" spans="1:49" ht="20.100000000000001" customHeight="1" x14ac:dyDescent="0.4">
      <c r="A17" s="117">
        <v>45746</v>
      </c>
      <c r="B17" s="123">
        <v>5</v>
      </c>
      <c r="C17" s="123">
        <v>2</v>
      </c>
      <c r="D17" s="123">
        <v>1</v>
      </c>
      <c r="H17" s="115"/>
      <c r="I17" s="115"/>
      <c r="J17" s="25">
        <v>45736</v>
      </c>
      <c r="K17" s="25" t="s">
        <v>147</v>
      </c>
      <c r="Q17" s="115"/>
      <c r="R17" s="115"/>
      <c r="S17" s="115"/>
      <c r="T17" s="115"/>
      <c r="U17" s="25"/>
      <c r="V17" s="13"/>
      <c r="AA17" s="116"/>
      <c r="AB17" s="123"/>
      <c r="AC17" s="123"/>
      <c r="AD17" s="123"/>
      <c r="AI17" s="115"/>
      <c r="AJ17" s="115"/>
      <c r="AK17" s="115"/>
      <c r="AL17" s="115"/>
      <c r="AM17" s="115"/>
      <c r="AN17" s="115"/>
      <c r="AO17" s="115"/>
      <c r="AP17" s="115"/>
      <c r="AQ17" s="115"/>
      <c r="AR17" s="115"/>
      <c r="AS17" s="25"/>
      <c r="AT17" s="13"/>
      <c r="AW17" s="114"/>
    </row>
    <row r="18" spans="1:49" ht="20.100000000000001" customHeight="1" x14ac:dyDescent="0.4">
      <c r="A18" s="117">
        <v>45747</v>
      </c>
      <c r="B18" s="123">
        <v>4</v>
      </c>
      <c r="C18" s="123">
        <v>1</v>
      </c>
      <c r="D18" s="123">
        <v>1</v>
      </c>
      <c r="J18" s="25">
        <v>45736</v>
      </c>
      <c r="K18" s="25" t="s">
        <v>147</v>
      </c>
      <c r="Q18" s="115"/>
      <c r="R18" s="115"/>
      <c r="S18" s="115"/>
      <c r="T18" s="115"/>
      <c r="U18" s="25">
        <v>45671</v>
      </c>
      <c r="V18" s="13" t="s">
        <v>146</v>
      </c>
      <c r="AA18" s="116"/>
      <c r="AB18" s="123"/>
      <c r="AC18" s="123"/>
      <c r="AD18" s="123"/>
      <c r="AI18" s="115"/>
      <c r="AJ18" s="115"/>
      <c r="AK18" s="115"/>
      <c r="AL18" s="115"/>
      <c r="AM18" s="115"/>
      <c r="AN18" s="115"/>
      <c r="AO18" s="115"/>
      <c r="AP18" s="115"/>
      <c r="AQ18" s="115"/>
      <c r="AR18" s="115"/>
      <c r="AS18" s="25"/>
      <c r="AT18" s="13"/>
      <c r="AW18" s="114"/>
    </row>
    <row r="19" spans="1:49" ht="20.100000000000001" customHeight="1" x14ac:dyDescent="0.4">
      <c r="A19" s="117">
        <v>45748</v>
      </c>
      <c r="B19" s="123">
        <v>2</v>
      </c>
      <c r="C19" s="123"/>
      <c r="D19" s="123"/>
      <c r="J19" s="25">
        <v>45736</v>
      </c>
      <c r="K19" s="25" t="s">
        <v>147</v>
      </c>
      <c r="O19" s="115"/>
      <c r="P19" s="115"/>
      <c r="Q19" s="115"/>
      <c r="R19" s="115"/>
      <c r="S19" s="115"/>
      <c r="T19" s="115"/>
      <c r="U19" s="25">
        <v>45671</v>
      </c>
      <c r="V19" s="13" t="s">
        <v>148</v>
      </c>
      <c r="AA19" s="116"/>
      <c r="AB19" s="123"/>
      <c r="AC19" s="123"/>
      <c r="AD19" s="123"/>
      <c r="AI19" s="115"/>
      <c r="AJ19" s="115"/>
      <c r="AK19" s="115"/>
      <c r="AL19" s="115"/>
      <c r="AM19" s="115"/>
      <c r="AN19" s="115"/>
      <c r="AO19" s="115"/>
      <c r="AP19" s="115"/>
      <c r="AQ19" s="115"/>
      <c r="AR19" s="115"/>
      <c r="AS19" s="25"/>
      <c r="AT19" s="13"/>
      <c r="AW19" s="114"/>
    </row>
    <row r="20" spans="1:49" ht="20.100000000000001" customHeight="1" x14ac:dyDescent="0.4">
      <c r="A20" s="117">
        <v>45750</v>
      </c>
      <c r="B20" s="123"/>
      <c r="C20" s="123">
        <v>2</v>
      </c>
      <c r="D20" s="123">
        <v>1</v>
      </c>
      <c r="J20" s="133" t="s">
        <v>378</v>
      </c>
      <c r="K20" s="13">
        <f>SUBTOTAL(3,K16:K19)</f>
        <v>4</v>
      </c>
      <c r="O20" s="115"/>
      <c r="P20" s="115"/>
      <c r="Q20" s="115"/>
      <c r="R20" s="115"/>
      <c r="S20" s="115"/>
      <c r="T20" s="115"/>
      <c r="U20" s="25"/>
      <c r="V20" s="13"/>
      <c r="AA20" s="116"/>
      <c r="AB20" s="123"/>
      <c r="AC20" s="123"/>
      <c r="AD20" s="123"/>
      <c r="AI20" s="115"/>
      <c r="AJ20" s="115"/>
      <c r="AK20" s="115"/>
      <c r="AL20" s="115"/>
      <c r="AM20" s="115"/>
      <c r="AN20" s="115"/>
      <c r="AO20" s="115"/>
      <c r="AP20" s="115"/>
      <c r="AQ20" s="115"/>
      <c r="AR20" s="115"/>
      <c r="AS20" s="25"/>
      <c r="AT20" s="13"/>
      <c r="AW20" s="114"/>
    </row>
    <row r="21" spans="1:49" ht="20.100000000000001" customHeight="1" x14ac:dyDescent="0.4">
      <c r="A21" s="117">
        <v>45752</v>
      </c>
      <c r="B21" s="123">
        <v>4</v>
      </c>
      <c r="C21" s="123">
        <v>2</v>
      </c>
      <c r="D21" s="123">
        <v>1</v>
      </c>
      <c r="E21" t="s">
        <v>393</v>
      </c>
      <c r="J21" s="25">
        <v>45737</v>
      </c>
      <c r="K21" s="15" t="s">
        <v>147</v>
      </c>
      <c r="O21" s="115"/>
      <c r="P21" s="115"/>
      <c r="Q21" s="115"/>
      <c r="R21" s="115"/>
      <c r="S21" s="115"/>
      <c r="T21" s="115"/>
      <c r="U21" s="25"/>
      <c r="V21" s="13"/>
      <c r="AA21" s="116"/>
      <c r="AB21" s="123"/>
      <c r="AC21" s="123"/>
      <c r="AD21" s="123"/>
      <c r="AI21" s="115"/>
      <c r="AJ21" s="115"/>
      <c r="AK21" s="115"/>
      <c r="AL21" s="115"/>
      <c r="AM21" s="115"/>
      <c r="AN21" s="115"/>
      <c r="AO21" s="115"/>
      <c r="AP21" s="115"/>
      <c r="AQ21" s="115"/>
      <c r="AR21" s="115"/>
      <c r="AS21" s="25"/>
      <c r="AT21" s="13"/>
      <c r="AW21" s="114"/>
    </row>
    <row r="22" spans="1:49" ht="20.100000000000001" customHeight="1" x14ac:dyDescent="0.4">
      <c r="A22" s="117">
        <v>45753</v>
      </c>
      <c r="B22" s="123">
        <v>2</v>
      </c>
      <c r="C22" s="123">
        <v>4</v>
      </c>
      <c r="D22" s="123"/>
      <c r="J22" s="133" t="s">
        <v>379</v>
      </c>
      <c r="K22" s="15">
        <f>SUBTOTAL(3,K21:K21)</f>
        <v>1</v>
      </c>
      <c r="O22" s="115"/>
      <c r="P22" s="115"/>
      <c r="Q22" s="115"/>
      <c r="R22" s="115"/>
      <c r="S22" s="115"/>
      <c r="T22" s="115"/>
      <c r="U22" s="25"/>
      <c r="V22" s="13"/>
      <c r="AA22" s="116"/>
      <c r="AB22" s="123"/>
      <c r="AC22" s="123"/>
      <c r="AD22" s="123"/>
      <c r="AI22" s="115"/>
      <c r="AJ22" s="115"/>
      <c r="AK22" s="115"/>
      <c r="AL22" s="115"/>
      <c r="AM22" s="115"/>
      <c r="AN22" s="115"/>
      <c r="AO22" s="115"/>
      <c r="AP22" s="115"/>
      <c r="AQ22" s="115"/>
      <c r="AR22" s="115"/>
      <c r="AS22" s="25"/>
      <c r="AT22" s="13"/>
      <c r="AW22" s="114"/>
    </row>
    <row r="23" spans="1:49" ht="20.100000000000001" customHeight="1" x14ac:dyDescent="0.4">
      <c r="A23" s="117">
        <v>45755</v>
      </c>
      <c r="B23" s="123"/>
      <c r="C23" s="123">
        <v>2</v>
      </c>
      <c r="D23" s="123">
        <v>1</v>
      </c>
      <c r="I23" s="115"/>
      <c r="J23" s="25">
        <v>45738</v>
      </c>
      <c r="K23" s="15" t="s">
        <v>148</v>
      </c>
      <c r="O23" s="115"/>
      <c r="P23" s="115"/>
      <c r="Q23" s="115"/>
      <c r="R23" s="115"/>
      <c r="S23" s="115"/>
      <c r="T23" s="115"/>
      <c r="U23" s="25"/>
      <c r="V23" s="13"/>
      <c r="AA23" s="116"/>
      <c r="AB23" s="123"/>
      <c r="AC23" s="123"/>
      <c r="AD23" s="123"/>
      <c r="AI23" s="115"/>
      <c r="AJ23" s="115"/>
      <c r="AK23" s="115"/>
      <c r="AL23" s="115"/>
      <c r="AM23" s="115"/>
      <c r="AN23" s="115"/>
      <c r="AO23" s="115"/>
      <c r="AP23" s="115"/>
      <c r="AQ23" s="115"/>
      <c r="AR23" s="115"/>
      <c r="AS23" s="25"/>
      <c r="AT23" s="13"/>
      <c r="AW23" s="114"/>
    </row>
    <row r="24" spans="1:49" ht="20.100000000000001" customHeight="1" x14ac:dyDescent="0.4">
      <c r="A24" s="117">
        <v>45760</v>
      </c>
      <c r="B24" s="123"/>
      <c r="C24" s="123">
        <v>1</v>
      </c>
      <c r="D24" s="123">
        <v>2</v>
      </c>
      <c r="H24" s="115"/>
      <c r="I24" s="115"/>
      <c r="J24" s="25">
        <v>45738</v>
      </c>
      <c r="K24" s="13" t="s">
        <v>147</v>
      </c>
      <c r="O24" s="115"/>
      <c r="P24" s="115"/>
      <c r="Q24" s="115"/>
      <c r="R24" s="115"/>
      <c r="S24" s="115"/>
      <c r="T24" s="115"/>
      <c r="U24" s="25"/>
      <c r="V24" s="13"/>
      <c r="AA24" s="116"/>
      <c r="AB24" s="123"/>
      <c r="AC24" s="123"/>
      <c r="AD24" s="123"/>
      <c r="AI24" s="115"/>
      <c r="AJ24" s="115"/>
      <c r="AK24" s="115"/>
      <c r="AL24" s="115"/>
      <c r="AM24" s="115"/>
      <c r="AN24" s="115"/>
      <c r="AO24" s="115"/>
      <c r="AP24" s="115"/>
      <c r="AQ24" s="115"/>
      <c r="AR24" s="115"/>
      <c r="AS24" s="25"/>
      <c r="AT24" s="13"/>
      <c r="AW24" s="114"/>
    </row>
    <row r="25" spans="1:49" ht="20.100000000000001" customHeight="1" x14ac:dyDescent="0.4">
      <c r="A25" s="117">
        <v>45770</v>
      </c>
      <c r="B25" s="123">
        <v>1</v>
      </c>
      <c r="C25" s="123"/>
      <c r="D25" s="123">
        <v>1</v>
      </c>
      <c r="J25" s="25">
        <v>45738</v>
      </c>
      <c r="K25" s="13" t="s">
        <v>147</v>
      </c>
      <c r="O25" s="115"/>
      <c r="P25" s="115"/>
      <c r="Q25" s="115"/>
      <c r="R25" s="115"/>
      <c r="S25" s="115"/>
      <c r="T25" s="115"/>
      <c r="U25" s="25">
        <v>45672</v>
      </c>
      <c r="V25" s="13" t="s">
        <v>146</v>
      </c>
      <c r="AA25" s="116"/>
      <c r="AB25" s="123"/>
      <c r="AC25" s="123"/>
      <c r="AD25" s="123"/>
      <c r="AI25" s="115"/>
      <c r="AJ25" s="115"/>
      <c r="AK25" s="115"/>
      <c r="AL25" s="115"/>
      <c r="AM25" s="115"/>
      <c r="AN25" s="115"/>
      <c r="AO25" s="115"/>
      <c r="AP25" s="115"/>
      <c r="AQ25" s="115"/>
      <c r="AR25" s="115"/>
      <c r="AS25" s="25"/>
      <c r="AT25" s="13"/>
      <c r="AW25" s="114"/>
    </row>
    <row r="26" spans="1:49" ht="20.100000000000001" customHeight="1" x14ac:dyDescent="0.4">
      <c r="A26" s="117">
        <v>45772</v>
      </c>
      <c r="B26" s="123">
        <v>1</v>
      </c>
      <c r="C26" s="123"/>
      <c r="D26" s="123">
        <v>1</v>
      </c>
      <c r="J26" s="25">
        <v>45738</v>
      </c>
      <c r="K26" s="13" t="s">
        <v>146</v>
      </c>
      <c r="O26" s="115"/>
      <c r="P26" s="115"/>
      <c r="Q26" s="115"/>
      <c r="R26" s="115"/>
      <c r="S26" s="115"/>
      <c r="T26" s="115"/>
      <c r="U26" s="25">
        <v>45672</v>
      </c>
      <c r="V26" s="13" t="s">
        <v>146</v>
      </c>
      <c r="AA26" s="116"/>
      <c r="AB26" s="123"/>
      <c r="AC26" s="123"/>
      <c r="AD26" s="123"/>
      <c r="AI26" s="115"/>
      <c r="AJ26" s="115"/>
      <c r="AK26" s="115"/>
      <c r="AL26" s="115"/>
      <c r="AM26" s="115"/>
      <c r="AN26" s="115"/>
      <c r="AO26" s="115"/>
      <c r="AP26" s="115"/>
      <c r="AQ26" s="115"/>
      <c r="AR26" s="115"/>
      <c r="AS26" s="25"/>
      <c r="AT26" s="13"/>
      <c r="AW26" s="114"/>
    </row>
    <row r="27" spans="1:49" ht="20.100000000000001" customHeight="1" x14ac:dyDescent="0.4">
      <c r="A27" s="117">
        <v>45774</v>
      </c>
      <c r="B27" s="123">
        <v>1</v>
      </c>
      <c r="C27" s="123"/>
      <c r="D27" s="123"/>
      <c r="J27" s="133" t="s">
        <v>201</v>
      </c>
      <c r="K27" s="13">
        <f>SUBTOTAL(3,K23:K26)</f>
        <v>4</v>
      </c>
      <c r="O27" s="115"/>
      <c r="P27" s="115"/>
      <c r="Q27" s="115"/>
      <c r="R27" s="115"/>
      <c r="S27" s="115"/>
      <c r="T27" s="115"/>
      <c r="U27" s="25"/>
      <c r="V27" s="13"/>
      <c r="AA27" s="116"/>
      <c r="AB27" s="123"/>
      <c r="AC27" s="123"/>
      <c r="AD27" s="123"/>
      <c r="AI27" s="115"/>
      <c r="AJ27" s="115"/>
      <c r="AK27" s="115"/>
      <c r="AL27" s="115"/>
      <c r="AM27" s="115"/>
      <c r="AN27" s="115"/>
      <c r="AO27" s="115"/>
      <c r="AP27" s="115"/>
      <c r="AQ27" s="115"/>
      <c r="AR27" s="115"/>
      <c r="AS27" s="25"/>
      <c r="AT27" s="13"/>
      <c r="AW27" s="114"/>
    </row>
    <row r="28" spans="1:49" ht="20.100000000000001" customHeight="1" x14ac:dyDescent="0.4">
      <c r="A28" s="117">
        <v>45798</v>
      </c>
      <c r="B28" s="123"/>
      <c r="C28" s="123">
        <v>1</v>
      </c>
      <c r="D28" s="123"/>
      <c r="J28" s="25">
        <v>45739</v>
      </c>
      <c r="K28" s="13" t="s">
        <v>142</v>
      </c>
      <c r="O28" s="115"/>
      <c r="P28" s="115"/>
      <c r="Q28" s="115"/>
      <c r="R28" s="115"/>
      <c r="S28" s="115"/>
      <c r="T28" s="115"/>
      <c r="U28" s="25">
        <v>45672</v>
      </c>
      <c r="V28" s="25" t="s">
        <v>147</v>
      </c>
      <c r="AA28" s="116"/>
      <c r="AB28" s="123"/>
      <c r="AC28" s="123"/>
      <c r="AD28" s="123"/>
      <c r="AI28" s="115"/>
      <c r="AJ28" s="115"/>
      <c r="AK28" s="115"/>
      <c r="AL28" s="115"/>
      <c r="AM28" s="115"/>
      <c r="AN28" s="115"/>
      <c r="AO28" s="115"/>
      <c r="AP28" s="115"/>
      <c r="AQ28" s="115"/>
      <c r="AR28" s="115"/>
      <c r="AS28" s="25"/>
      <c r="AT28" s="13"/>
      <c r="AW28" s="114"/>
    </row>
    <row r="29" spans="1:49" ht="20.100000000000001" customHeight="1" x14ac:dyDescent="0.4">
      <c r="A29" s="117"/>
      <c r="B29" s="123">
        <f>SUM(B3:B28)</f>
        <v>75</v>
      </c>
      <c r="C29" s="123">
        <f>SUM(C3:C28)</f>
        <v>54</v>
      </c>
      <c r="D29" s="123">
        <f>SUM(D3:D28)</f>
        <v>24</v>
      </c>
      <c r="J29" s="25">
        <v>45739</v>
      </c>
      <c r="K29" s="13" t="s">
        <v>148</v>
      </c>
      <c r="O29" s="115"/>
      <c r="P29" s="115"/>
      <c r="Q29" s="115"/>
      <c r="R29" s="115"/>
      <c r="S29" s="115"/>
      <c r="T29" s="115"/>
      <c r="U29" s="25"/>
      <c r="V29" s="25"/>
      <c r="AA29" s="116"/>
      <c r="AB29" s="123"/>
      <c r="AC29" s="123"/>
      <c r="AD29" s="123"/>
      <c r="AI29" s="115"/>
      <c r="AJ29" s="115"/>
      <c r="AK29" s="115"/>
      <c r="AL29" s="115"/>
      <c r="AM29" s="115"/>
      <c r="AN29" s="115"/>
      <c r="AO29" s="115"/>
      <c r="AP29" s="115"/>
      <c r="AQ29" s="115"/>
      <c r="AR29" s="115"/>
      <c r="AS29" s="25"/>
      <c r="AT29" s="13"/>
      <c r="AW29" s="114"/>
    </row>
    <row r="30" spans="1:49" ht="20.100000000000001" customHeight="1" x14ac:dyDescent="0.4">
      <c r="A30" s="117"/>
      <c r="B30" s="123"/>
      <c r="C30" s="123"/>
      <c r="D30" s="123">
        <f>SUM(B29:D29)</f>
        <v>153</v>
      </c>
      <c r="J30" s="25">
        <v>45739</v>
      </c>
      <c r="K30" s="13" t="s">
        <v>146</v>
      </c>
      <c r="O30" s="115"/>
      <c r="P30" s="115"/>
      <c r="Q30" s="115"/>
      <c r="R30" s="115"/>
      <c r="S30" s="115"/>
      <c r="T30" s="115"/>
      <c r="U30" s="25">
        <v>45673</v>
      </c>
      <c r="V30" s="13" t="s">
        <v>147</v>
      </c>
      <c r="AA30" s="116"/>
      <c r="AB30" s="123"/>
      <c r="AC30" s="123"/>
      <c r="AD30" s="123"/>
      <c r="AI30" s="115"/>
      <c r="AJ30" s="115"/>
      <c r="AK30" s="115"/>
      <c r="AL30" s="115"/>
      <c r="AM30" s="115"/>
      <c r="AN30" s="115"/>
      <c r="AO30" s="115"/>
      <c r="AP30" s="115"/>
      <c r="AQ30" s="115"/>
      <c r="AR30" s="115"/>
      <c r="AS30" s="25"/>
      <c r="AT30" s="13"/>
      <c r="AW30" s="114"/>
    </row>
    <row r="31" spans="1:49" ht="20.100000000000001" customHeight="1" x14ac:dyDescent="0.4">
      <c r="A31" s="117"/>
      <c r="B31" s="123"/>
      <c r="C31" s="123"/>
      <c r="D31" s="123"/>
      <c r="I31" s="115"/>
      <c r="J31" s="25">
        <v>45739</v>
      </c>
      <c r="K31" s="13" t="s">
        <v>148</v>
      </c>
      <c r="O31" s="115"/>
      <c r="P31" s="115"/>
      <c r="Q31" s="115"/>
      <c r="R31" s="115"/>
      <c r="S31" s="115"/>
      <c r="T31" s="115"/>
      <c r="U31" s="25"/>
      <c r="V31" s="13"/>
      <c r="AA31" s="116"/>
      <c r="AB31" s="123"/>
      <c r="AC31" s="123"/>
      <c r="AD31" s="123"/>
      <c r="AI31" s="115"/>
      <c r="AJ31" s="115"/>
      <c r="AK31" s="115"/>
      <c r="AL31" s="115"/>
      <c r="AM31" s="115"/>
      <c r="AN31" s="115"/>
      <c r="AO31" s="115"/>
      <c r="AP31" s="115"/>
      <c r="AQ31" s="115"/>
      <c r="AR31" s="115"/>
      <c r="AS31" s="25"/>
      <c r="AT31" s="13"/>
      <c r="AW31" s="114"/>
    </row>
    <row r="32" spans="1:49" ht="20.100000000000001" customHeight="1" x14ac:dyDescent="0.4">
      <c r="A32" s="117"/>
      <c r="B32" s="123"/>
      <c r="C32" s="123"/>
      <c r="D32" s="123"/>
      <c r="J32" s="25">
        <v>45739</v>
      </c>
      <c r="K32" s="13" t="s">
        <v>147</v>
      </c>
      <c r="O32" s="115"/>
      <c r="P32" s="115"/>
      <c r="Q32" s="115"/>
      <c r="R32" s="115"/>
      <c r="S32" s="115"/>
      <c r="T32" s="115"/>
      <c r="U32" s="25">
        <v>45673</v>
      </c>
      <c r="V32" s="13" t="s">
        <v>147</v>
      </c>
      <c r="AA32" s="116"/>
      <c r="AB32" s="123"/>
      <c r="AC32" s="123"/>
      <c r="AD32" s="123"/>
      <c r="AI32" s="115"/>
      <c r="AJ32" s="115"/>
      <c r="AK32" s="115"/>
      <c r="AL32" s="115"/>
      <c r="AM32" s="115"/>
      <c r="AN32" s="115"/>
      <c r="AO32" s="115"/>
      <c r="AP32" s="115"/>
      <c r="AQ32" s="115"/>
      <c r="AR32" s="115"/>
      <c r="AS32" s="25"/>
      <c r="AT32" s="13"/>
      <c r="AW32" s="114"/>
    </row>
    <row r="33" spans="1:49" ht="20.100000000000001" customHeight="1" x14ac:dyDescent="0.4">
      <c r="A33" s="117"/>
      <c r="B33" s="123"/>
      <c r="C33" s="123"/>
      <c r="D33" s="123"/>
      <c r="G33" s="115"/>
      <c r="H33" s="115"/>
      <c r="I33" s="115"/>
      <c r="J33" s="25">
        <v>45739</v>
      </c>
      <c r="K33" s="13" t="s">
        <v>147</v>
      </c>
      <c r="O33" s="115"/>
      <c r="P33" s="115"/>
      <c r="Q33" s="115"/>
      <c r="R33" s="115"/>
      <c r="S33" s="115"/>
      <c r="T33" s="115"/>
      <c r="U33" s="25"/>
      <c r="V33" s="13"/>
      <c r="AA33" s="116"/>
      <c r="AB33" s="123"/>
      <c r="AC33" s="123"/>
      <c r="AD33" s="123"/>
      <c r="AI33" s="115"/>
      <c r="AJ33" s="115"/>
      <c r="AK33" s="115"/>
      <c r="AL33" s="115"/>
      <c r="AM33" s="115"/>
      <c r="AN33" s="115"/>
      <c r="AO33" s="115"/>
      <c r="AP33" s="115"/>
      <c r="AQ33" s="115"/>
      <c r="AR33" s="115"/>
      <c r="AS33" s="25"/>
      <c r="AT33" s="13"/>
      <c r="AW33" s="114"/>
    </row>
    <row r="34" spans="1:49" ht="20.100000000000001" customHeight="1" x14ac:dyDescent="0.4">
      <c r="A34" s="117"/>
      <c r="B34" s="123"/>
      <c r="C34" s="123"/>
      <c r="D34" s="123"/>
      <c r="G34" s="115"/>
      <c r="H34" s="115"/>
      <c r="I34" s="115"/>
      <c r="J34" s="133" t="s">
        <v>196</v>
      </c>
      <c r="K34" s="13">
        <f>SUBTOTAL(3,K28:K33)</f>
        <v>6</v>
      </c>
      <c r="O34" s="115"/>
      <c r="P34" s="115"/>
      <c r="Q34" s="115"/>
      <c r="R34" s="115"/>
      <c r="S34" s="115"/>
      <c r="T34" s="115"/>
      <c r="U34" s="25"/>
      <c r="V34" s="13"/>
      <c r="AA34" s="116"/>
      <c r="AB34" s="123"/>
      <c r="AC34" s="123"/>
      <c r="AD34" s="123"/>
      <c r="AI34" s="115"/>
      <c r="AJ34" s="115"/>
      <c r="AK34" s="115"/>
      <c r="AL34" s="115"/>
      <c r="AM34" s="115"/>
      <c r="AN34" s="115"/>
      <c r="AO34" s="115"/>
      <c r="AP34" s="115"/>
      <c r="AQ34" s="115"/>
      <c r="AR34" s="115"/>
      <c r="AS34" s="25"/>
      <c r="AT34" s="13"/>
      <c r="AW34" s="114"/>
    </row>
    <row r="35" spans="1:49" ht="20.100000000000001" customHeight="1" x14ac:dyDescent="0.4">
      <c r="A35" s="117"/>
      <c r="B35" s="123"/>
      <c r="C35" s="123"/>
      <c r="D35" s="123"/>
      <c r="G35" s="115"/>
      <c r="H35" s="115"/>
      <c r="I35" s="115"/>
      <c r="J35" s="25">
        <v>45740</v>
      </c>
      <c r="K35" s="13" t="s">
        <v>146</v>
      </c>
      <c r="O35" s="115"/>
      <c r="P35" s="115"/>
      <c r="Q35" s="115"/>
      <c r="R35" s="115"/>
      <c r="S35" s="115"/>
      <c r="T35" s="115"/>
      <c r="U35" s="25"/>
      <c r="V35" s="13"/>
      <c r="AA35" s="116"/>
      <c r="AB35" s="123"/>
      <c r="AC35" s="123"/>
      <c r="AD35" s="123"/>
      <c r="AI35" s="115"/>
      <c r="AJ35" s="115"/>
      <c r="AK35" s="115"/>
      <c r="AL35" s="115"/>
      <c r="AM35" s="115"/>
      <c r="AN35" s="115"/>
      <c r="AO35" s="115"/>
      <c r="AP35" s="115"/>
      <c r="AQ35" s="115"/>
      <c r="AR35" s="115"/>
      <c r="AS35" s="25"/>
      <c r="AT35" s="13"/>
      <c r="AW35" s="114"/>
    </row>
    <row r="36" spans="1:49" ht="20.100000000000001" customHeight="1" x14ac:dyDescent="0.4">
      <c r="A36" s="117"/>
      <c r="B36" s="123"/>
      <c r="C36" s="123"/>
      <c r="D36" s="123"/>
      <c r="G36" s="115"/>
      <c r="H36" s="115"/>
      <c r="I36" s="115"/>
      <c r="J36" s="25">
        <v>45740</v>
      </c>
      <c r="K36" s="13" t="s">
        <v>146</v>
      </c>
      <c r="O36" s="115"/>
      <c r="P36" s="115"/>
      <c r="Q36" s="115"/>
      <c r="R36" s="115"/>
      <c r="S36" s="115"/>
      <c r="T36" s="115"/>
      <c r="U36" s="25"/>
      <c r="V36" s="13"/>
      <c r="AA36" s="116"/>
      <c r="AB36" s="123"/>
      <c r="AC36" s="123"/>
      <c r="AD36" s="123"/>
      <c r="AI36" s="115"/>
      <c r="AJ36" s="115"/>
      <c r="AK36" s="115"/>
      <c r="AL36" s="115"/>
      <c r="AM36" s="115"/>
      <c r="AN36" s="115"/>
      <c r="AO36" s="115"/>
      <c r="AP36" s="115"/>
      <c r="AQ36" s="115"/>
      <c r="AR36" s="115"/>
      <c r="AS36" s="25"/>
      <c r="AT36" s="13"/>
      <c r="AW36" s="114"/>
    </row>
    <row r="37" spans="1:49" ht="20.100000000000001" customHeight="1" x14ac:dyDescent="0.4">
      <c r="A37" s="117"/>
      <c r="B37" s="123"/>
      <c r="C37" s="123"/>
      <c r="D37" s="123"/>
      <c r="G37" s="115"/>
      <c r="H37" s="115"/>
      <c r="I37" s="115"/>
      <c r="J37" s="25">
        <v>45740</v>
      </c>
      <c r="K37" s="25" t="s">
        <v>148</v>
      </c>
      <c r="O37" s="115"/>
      <c r="P37" s="115"/>
      <c r="Q37" s="115"/>
      <c r="R37" s="115"/>
      <c r="S37" s="115"/>
      <c r="T37" s="115"/>
      <c r="U37" s="25"/>
      <c r="V37" s="13"/>
      <c r="AA37" s="116"/>
      <c r="AB37" s="123"/>
      <c r="AC37" s="123"/>
      <c r="AD37" s="123"/>
      <c r="AI37" s="115"/>
      <c r="AJ37" s="115"/>
      <c r="AK37" s="115"/>
      <c r="AL37" s="115"/>
      <c r="AM37" s="115"/>
      <c r="AN37" s="115"/>
      <c r="AO37" s="115"/>
      <c r="AP37" s="115"/>
      <c r="AQ37" s="115"/>
      <c r="AR37" s="115"/>
      <c r="AS37" s="25"/>
      <c r="AT37" s="13"/>
      <c r="AW37" s="114"/>
    </row>
    <row r="38" spans="1:49" ht="20.100000000000001" customHeight="1" x14ac:dyDescent="0.4">
      <c r="A38" s="117"/>
      <c r="B38" s="123"/>
      <c r="C38" s="123"/>
      <c r="D38" s="123"/>
      <c r="J38" s="25">
        <v>45740</v>
      </c>
      <c r="K38" s="13" t="s">
        <v>142</v>
      </c>
      <c r="M38" s="115"/>
      <c r="N38" s="115"/>
      <c r="O38" s="115"/>
      <c r="P38" s="115"/>
      <c r="Q38" s="115"/>
      <c r="R38" s="115"/>
      <c r="S38" s="115"/>
      <c r="T38" s="115"/>
      <c r="U38" s="25">
        <v>45673</v>
      </c>
      <c r="V38" s="13" t="s">
        <v>148</v>
      </c>
      <c r="AA38" s="116"/>
      <c r="AB38" s="123"/>
      <c r="AC38" s="123"/>
      <c r="AD38" s="123"/>
      <c r="AI38" s="115"/>
      <c r="AJ38" s="115"/>
      <c r="AK38" s="115"/>
      <c r="AL38" s="115"/>
      <c r="AM38" s="115"/>
      <c r="AN38" s="115"/>
      <c r="AO38" s="115"/>
      <c r="AP38" s="115"/>
      <c r="AQ38" s="115"/>
      <c r="AR38" s="115"/>
      <c r="AS38" s="25"/>
      <c r="AT38" s="13"/>
      <c r="AW38" s="114"/>
    </row>
    <row r="39" spans="1:49" ht="20.100000000000001" customHeight="1" x14ac:dyDescent="0.4">
      <c r="A39" s="117"/>
      <c r="B39" s="123"/>
      <c r="C39" s="123"/>
      <c r="D39" s="123"/>
      <c r="I39" s="115"/>
      <c r="J39" s="25">
        <v>45740</v>
      </c>
      <c r="K39" s="13" t="s">
        <v>146</v>
      </c>
      <c r="M39" s="115"/>
      <c r="N39" s="115"/>
      <c r="O39" s="115"/>
      <c r="P39" s="115"/>
      <c r="Q39" s="115"/>
      <c r="R39" s="115"/>
      <c r="S39" s="115"/>
      <c r="T39" s="115"/>
      <c r="U39" s="25"/>
      <c r="V39" s="13"/>
      <c r="AA39" s="116"/>
      <c r="AB39" s="123"/>
      <c r="AC39" s="123"/>
      <c r="AD39" s="123"/>
      <c r="AI39" s="115"/>
      <c r="AJ39" s="115"/>
      <c r="AK39" s="115"/>
      <c r="AL39" s="115"/>
      <c r="AM39" s="115"/>
      <c r="AN39" s="115"/>
      <c r="AO39" s="115"/>
      <c r="AP39" s="115"/>
      <c r="AQ39" s="115"/>
      <c r="AR39" s="115"/>
      <c r="AS39" s="25"/>
      <c r="AT39" s="13"/>
      <c r="AW39" s="114"/>
    </row>
    <row r="40" spans="1:49" ht="20.100000000000001" customHeight="1" x14ac:dyDescent="0.4">
      <c r="A40" s="117"/>
      <c r="B40" s="123"/>
      <c r="C40" s="123"/>
      <c r="D40" s="123"/>
      <c r="G40" s="115"/>
      <c r="H40" s="115"/>
      <c r="I40" s="115"/>
      <c r="J40" s="25">
        <v>45740</v>
      </c>
      <c r="K40" s="13" t="s">
        <v>146</v>
      </c>
      <c r="M40" s="115"/>
      <c r="N40" s="115"/>
      <c r="O40" s="115"/>
      <c r="P40" s="115"/>
      <c r="Q40" s="115"/>
      <c r="R40" s="115"/>
      <c r="S40" s="115"/>
      <c r="T40" s="115"/>
      <c r="U40" s="25"/>
      <c r="V40" s="13"/>
      <c r="AA40" s="116"/>
      <c r="AB40" s="123"/>
      <c r="AC40" s="123"/>
      <c r="AD40" s="123"/>
      <c r="AI40" s="115"/>
      <c r="AJ40" s="115"/>
      <c r="AK40" s="115"/>
      <c r="AL40" s="115"/>
      <c r="AM40" s="115"/>
      <c r="AN40" s="115"/>
      <c r="AO40" s="115"/>
      <c r="AP40" s="115"/>
      <c r="AQ40" s="115"/>
      <c r="AR40" s="115"/>
      <c r="AS40" s="25"/>
      <c r="AT40" s="13"/>
      <c r="AW40" s="114"/>
    </row>
    <row r="41" spans="1:49" ht="20.100000000000001" customHeight="1" x14ac:dyDescent="0.4">
      <c r="A41" s="117"/>
      <c r="B41" s="123"/>
      <c r="C41" s="123"/>
      <c r="D41" s="123"/>
      <c r="J41" s="25">
        <v>45740</v>
      </c>
      <c r="K41" s="13" t="s">
        <v>147</v>
      </c>
      <c r="M41" s="115"/>
      <c r="N41" s="115"/>
      <c r="O41" s="115"/>
      <c r="P41" s="115"/>
      <c r="Q41" s="115"/>
      <c r="R41" s="115"/>
      <c r="S41" s="115"/>
      <c r="T41" s="115"/>
      <c r="U41" s="25">
        <v>45673</v>
      </c>
      <c r="V41" s="13" t="s">
        <v>147</v>
      </c>
      <c r="AA41" s="116"/>
      <c r="AB41" s="123"/>
      <c r="AC41" s="123"/>
      <c r="AD41" s="123"/>
      <c r="AI41" s="115"/>
      <c r="AJ41" s="115"/>
      <c r="AK41" s="115"/>
      <c r="AL41" s="115"/>
      <c r="AM41" s="115"/>
      <c r="AN41" s="115"/>
      <c r="AO41" s="115"/>
      <c r="AP41" s="115"/>
      <c r="AQ41" s="115"/>
      <c r="AR41" s="115"/>
      <c r="AS41" s="25"/>
      <c r="AT41" s="13"/>
      <c r="AW41" s="114"/>
    </row>
    <row r="42" spans="1:49" ht="20.100000000000001" customHeight="1" x14ac:dyDescent="0.4">
      <c r="A42" s="117"/>
      <c r="B42" s="123"/>
      <c r="C42" s="123"/>
      <c r="D42" s="123"/>
      <c r="J42" s="133" t="s">
        <v>202</v>
      </c>
      <c r="K42" s="13">
        <f>SUBTOTAL(3,K35:K41)</f>
        <v>7</v>
      </c>
      <c r="M42" s="115"/>
      <c r="N42" s="115"/>
      <c r="O42" s="115"/>
      <c r="P42" s="115"/>
      <c r="Q42" s="115"/>
      <c r="R42" s="115"/>
      <c r="S42" s="115"/>
      <c r="T42" s="115"/>
      <c r="U42" s="25"/>
      <c r="V42" s="13"/>
      <c r="AA42" s="116"/>
      <c r="AB42" s="123"/>
      <c r="AC42" s="123"/>
      <c r="AD42" s="123"/>
      <c r="AI42" s="115"/>
      <c r="AJ42" s="115"/>
      <c r="AK42" s="115"/>
      <c r="AL42" s="115"/>
      <c r="AM42" s="115"/>
      <c r="AN42" s="115"/>
      <c r="AO42" s="115"/>
      <c r="AP42" s="115"/>
      <c r="AQ42" s="115"/>
      <c r="AR42" s="115"/>
      <c r="AS42" s="25"/>
      <c r="AT42" s="13"/>
      <c r="AW42" s="114"/>
    </row>
    <row r="43" spans="1:49" ht="20.100000000000001" customHeight="1" x14ac:dyDescent="0.4">
      <c r="A43" s="117"/>
      <c r="B43" s="123"/>
      <c r="C43" s="123"/>
      <c r="D43" s="123"/>
      <c r="H43" s="115"/>
      <c r="I43" s="115"/>
      <c r="J43" s="25">
        <v>45741</v>
      </c>
      <c r="K43" s="13" t="s">
        <v>147</v>
      </c>
      <c r="M43" s="115"/>
      <c r="N43" s="115"/>
      <c r="O43" s="115"/>
      <c r="P43" s="115"/>
      <c r="Q43" s="115"/>
      <c r="R43" s="115"/>
      <c r="S43" s="115"/>
      <c r="T43" s="115"/>
      <c r="U43" s="25"/>
      <c r="V43" s="13"/>
      <c r="AA43" s="116"/>
      <c r="AB43" s="123"/>
      <c r="AC43" s="123"/>
      <c r="AD43" s="123"/>
      <c r="AI43" s="115"/>
      <c r="AJ43" s="115"/>
      <c r="AK43" s="115"/>
      <c r="AL43" s="115"/>
      <c r="AM43" s="115"/>
      <c r="AN43" s="115"/>
      <c r="AO43" s="115"/>
      <c r="AP43" s="115"/>
      <c r="AQ43" s="115"/>
      <c r="AR43" s="115"/>
      <c r="AS43" s="25"/>
      <c r="AT43" s="13"/>
      <c r="AW43" s="114"/>
    </row>
    <row r="44" spans="1:49" ht="20.100000000000001" customHeight="1" x14ac:dyDescent="0.4">
      <c r="A44" s="117"/>
      <c r="B44" s="123"/>
      <c r="C44" s="123"/>
      <c r="D44" s="123"/>
      <c r="G44" s="115"/>
      <c r="H44" s="115"/>
      <c r="I44" s="115"/>
      <c r="J44" s="25">
        <v>45741</v>
      </c>
      <c r="K44" s="13" t="s">
        <v>146</v>
      </c>
      <c r="M44" s="115"/>
      <c r="N44" s="115"/>
      <c r="O44" s="115"/>
      <c r="P44" s="115"/>
      <c r="Q44" s="115"/>
      <c r="R44" s="115"/>
      <c r="S44" s="115"/>
      <c r="T44" s="115"/>
      <c r="U44" s="25"/>
      <c r="V44" s="13"/>
      <c r="AA44" s="116"/>
      <c r="AB44" s="123"/>
      <c r="AC44" s="123"/>
      <c r="AD44" s="123"/>
      <c r="AI44" s="115"/>
      <c r="AJ44" s="115"/>
      <c r="AK44" s="115"/>
      <c r="AL44" s="115"/>
      <c r="AM44" s="115"/>
      <c r="AN44" s="115"/>
      <c r="AO44" s="115"/>
      <c r="AP44" s="115"/>
      <c r="AQ44" s="115"/>
      <c r="AR44" s="115"/>
      <c r="AS44" s="25"/>
      <c r="AT44" s="13"/>
      <c r="AW44" s="114"/>
    </row>
    <row r="45" spans="1:49" ht="20.100000000000001" customHeight="1" x14ac:dyDescent="0.4">
      <c r="A45" s="117"/>
      <c r="B45" s="123"/>
      <c r="C45" s="123"/>
      <c r="D45" s="123"/>
      <c r="G45" s="115"/>
      <c r="H45" s="115"/>
      <c r="I45" s="115"/>
      <c r="J45" s="133" t="s">
        <v>203</v>
      </c>
      <c r="K45" s="13">
        <f>SUBTOTAL(3,K43:K44)</f>
        <v>2</v>
      </c>
      <c r="M45" s="115"/>
      <c r="N45" s="115"/>
      <c r="O45" s="115"/>
      <c r="P45" s="115"/>
      <c r="Q45" s="115"/>
      <c r="R45" s="115"/>
      <c r="S45" s="115"/>
      <c r="T45" s="115"/>
      <c r="U45" s="25"/>
      <c r="V45" s="13"/>
      <c r="AA45" s="116"/>
      <c r="AB45" s="123"/>
      <c r="AC45" s="123"/>
      <c r="AD45" s="123"/>
      <c r="AI45" s="115"/>
      <c r="AJ45" s="115"/>
      <c r="AK45" s="115"/>
      <c r="AL45" s="115"/>
      <c r="AM45" s="115"/>
      <c r="AN45" s="115"/>
      <c r="AO45" s="115"/>
      <c r="AP45" s="115"/>
      <c r="AQ45" s="115"/>
      <c r="AR45" s="115"/>
      <c r="AS45" s="25"/>
      <c r="AT45" s="13"/>
      <c r="AW45" s="114"/>
    </row>
    <row r="46" spans="1:49" ht="20.100000000000001" customHeight="1" x14ac:dyDescent="0.4">
      <c r="A46" s="117"/>
      <c r="B46" s="123"/>
      <c r="C46" s="123"/>
      <c r="D46" s="123"/>
      <c r="J46" s="25">
        <v>45742</v>
      </c>
      <c r="K46" s="13" t="s">
        <v>148</v>
      </c>
      <c r="M46" s="115"/>
      <c r="N46" s="115"/>
      <c r="O46" s="115"/>
      <c r="P46" s="115"/>
      <c r="Q46" s="115"/>
      <c r="R46" s="115"/>
      <c r="S46" s="115"/>
      <c r="T46" s="115"/>
      <c r="U46" s="25">
        <v>45673</v>
      </c>
      <c r="V46" s="13" t="s">
        <v>147</v>
      </c>
      <c r="AA46" s="116"/>
      <c r="AB46" s="123"/>
      <c r="AC46" s="123"/>
      <c r="AD46" s="123"/>
      <c r="AI46" s="115"/>
      <c r="AJ46" s="115"/>
      <c r="AK46" s="115"/>
      <c r="AL46" s="115"/>
      <c r="AM46" s="115"/>
      <c r="AN46" s="115"/>
      <c r="AO46" s="115"/>
      <c r="AP46" s="115"/>
      <c r="AQ46" s="115"/>
      <c r="AR46" s="115"/>
      <c r="AS46" s="25"/>
      <c r="AT46" s="13"/>
      <c r="AW46" s="114"/>
    </row>
    <row r="47" spans="1:49" ht="20.100000000000001" customHeight="1" x14ac:dyDescent="0.4">
      <c r="A47" s="117"/>
      <c r="B47" s="123"/>
      <c r="C47" s="123"/>
      <c r="D47" s="123"/>
      <c r="J47" s="25">
        <v>45742</v>
      </c>
      <c r="K47" s="13" t="s">
        <v>148</v>
      </c>
      <c r="M47" s="115"/>
      <c r="N47" s="115"/>
      <c r="O47" s="115"/>
      <c r="P47" s="115"/>
      <c r="Q47" s="115"/>
      <c r="R47" s="115"/>
      <c r="S47" s="115"/>
      <c r="T47" s="115"/>
      <c r="U47" s="25">
        <v>45673</v>
      </c>
      <c r="V47" s="13" t="s">
        <v>147</v>
      </c>
      <c r="AA47" s="116"/>
      <c r="AB47" s="123"/>
      <c r="AC47" s="123"/>
      <c r="AD47" s="123"/>
      <c r="AI47" s="115"/>
      <c r="AJ47" s="115"/>
      <c r="AK47" s="115"/>
      <c r="AL47" s="115"/>
      <c r="AM47" s="115"/>
      <c r="AN47" s="115"/>
      <c r="AO47" s="115"/>
      <c r="AP47" s="115"/>
      <c r="AQ47" s="115"/>
      <c r="AR47" s="115"/>
      <c r="AS47" s="25"/>
      <c r="AT47" s="13"/>
      <c r="AW47" s="114"/>
    </row>
    <row r="48" spans="1:49" ht="20.100000000000001" customHeight="1" x14ac:dyDescent="0.4">
      <c r="A48" s="117"/>
      <c r="B48" s="123"/>
      <c r="C48" s="123"/>
      <c r="D48" s="123"/>
      <c r="J48" s="25">
        <v>45742</v>
      </c>
      <c r="K48" s="13" t="s">
        <v>146</v>
      </c>
      <c r="M48" s="115"/>
      <c r="N48" s="115"/>
      <c r="O48" s="115"/>
      <c r="P48" s="115"/>
      <c r="Q48" s="115"/>
      <c r="R48" s="115"/>
      <c r="S48" s="115"/>
      <c r="T48" s="115"/>
      <c r="U48" s="25">
        <v>45675</v>
      </c>
      <c r="V48" s="13" t="s">
        <v>147</v>
      </c>
      <c r="AA48" s="116"/>
      <c r="AB48" s="123"/>
      <c r="AC48" s="123"/>
      <c r="AD48" s="123"/>
      <c r="AI48" s="115"/>
      <c r="AJ48" s="115"/>
      <c r="AK48" s="115"/>
      <c r="AL48" s="115"/>
      <c r="AM48" s="115"/>
      <c r="AN48" s="115"/>
      <c r="AO48" s="115"/>
      <c r="AP48" s="115"/>
      <c r="AQ48" s="115"/>
      <c r="AR48" s="115"/>
      <c r="AS48" s="25"/>
      <c r="AT48" s="13"/>
      <c r="AW48" s="114"/>
    </row>
    <row r="49" spans="1:49" ht="20.100000000000001" customHeight="1" x14ac:dyDescent="0.4">
      <c r="A49" s="117"/>
      <c r="B49" s="123"/>
      <c r="C49" s="123"/>
      <c r="D49" s="123"/>
      <c r="J49" s="25">
        <v>45742</v>
      </c>
      <c r="K49" s="15" t="s">
        <v>147</v>
      </c>
      <c r="M49" s="115"/>
      <c r="N49" s="115"/>
      <c r="O49" s="115"/>
      <c r="P49" s="115"/>
      <c r="Q49" s="115"/>
      <c r="R49" s="115"/>
      <c r="S49" s="115"/>
      <c r="T49" s="115"/>
      <c r="U49" s="25"/>
      <c r="V49" s="13"/>
      <c r="AA49" s="116"/>
      <c r="AB49" s="123"/>
      <c r="AC49" s="123"/>
      <c r="AD49" s="123"/>
      <c r="AI49" s="115"/>
      <c r="AJ49" s="115"/>
      <c r="AK49" s="115"/>
      <c r="AL49" s="115"/>
      <c r="AM49" s="115"/>
      <c r="AN49" s="115"/>
      <c r="AO49" s="115"/>
      <c r="AP49" s="115"/>
      <c r="AQ49" s="115"/>
      <c r="AR49" s="115"/>
      <c r="AS49" s="25"/>
      <c r="AT49" s="13"/>
      <c r="AW49" s="114"/>
    </row>
    <row r="50" spans="1:49" ht="20.100000000000001" customHeight="1" x14ac:dyDescent="0.4">
      <c r="A50" s="117"/>
      <c r="B50" s="123"/>
      <c r="C50" s="123"/>
      <c r="D50" s="123"/>
      <c r="J50" s="25">
        <v>45742</v>
      </c>
      <c r="K50" s="15" t="s">
        <v>148</v>
      </c>
      <c r="M50" s="115"/>
      <c r="N50" s="115"/>
      <c r="O50" s="115"/>
      <c r="P50" s="115"/>
      <c r="Q50" s="115"/>
      <c r="R50" s="115"/>
      <c r="S50" s="115"/>
      <c r="T50" s="115"/>
      <c r="U50" s="25">
        <v>45675</v>
      </c>
      <c r="V50" s="15" t="s">
        <v>147</v>
      </c>
      <c r="AA50" s="116"/>
      <c r="AB50" s="123"/>
      <c r="AC50" s="123"/>
      <c r="AD50" s="123"/>
      <c r="AI50" s="115"/>
      <c r="AJ50" s="115"/>
      <c r="AK50" s="115"/>
      <c r="AL50" s="115"/>
      <c r="AM50" s="115"/>
      <c r="AN50" s="115"/>
      <c r="AO50" s="115"/>
      <c r="AP50" s="115"/>
      <c r="AQ50" s="115"/>
      <c r="AR50" s="115"/>
      <c r="AS50" s="25"/>
      <c r="AT50" s="13"/>
      <c r="AW50" s="114"/>
    </row>
    <row r="51" spans="1:49" ht="20.100000000000001" customHeight="1" x14ac:dyDescent="0.4">
      <c r="A51" s="117"/>
      <c r="B51" s="123"/>
      <c r="C51" s="123"/>
      <c r="D51" s="123"/>
      <c r="J51" s="25">
        <v>45742</v>
      </c>
      <c r="K51" s="15" t="s">
        <v>147</v>
      </c>
      <c r="M51" s="115"/>
      <c r="N51" s="115"/>
      <c r="O51" s="115"/>
      <c r="P51" s="115"/>
      <c r="Q51" s="115"/>
      <c r="R51" s="115"/>
      <c r="S51" s="115"/>
      <c r="T51" s="115"/>
      <c r="U51" s="25"/>
      <c r="V51" s="13"/>
      <c r="AA51" s="116"/>
      <c r="AB51" s="123"/>
      <c r="AC51" s="123"/>
      <c r="AD51" s="123"/>
      <c r="AI51" s="115"/>
      <c r="AJ51" s="115"/>
      <c r="AK51" s="115"/>
      <c r="AL51" s="115"/>
      <c r="AM51" s="115"/>
      <c r="AN51" s="115"/>
      <c r="AO51" s="115"/>
      <c r="AP51" s="115"/>
      <c r="AQ51" s="115"/>
      <c r="AR51" s="115"/>
      <c r="AS51" s="25"/>
      <c r="AT51" s="13"/>
      <c r="AW51" s="114"/>
    </row>
    <row r="52" spans="1:49" ht="20.100000000000001" customHeight="1" x14ac:dyDescent="0.4">
      <c r="A52" s="117"/>
      <c r="B52" s="123"/>
      <c r="C52" s="123"/>
      <c r="D52" s="123"/>
      <c r="J52" s="25">
        <v>45742</v>
      </c>
      <c r="K52" s="15" t="s">
        <v>147</v>
      </c>
      <c r="M52" s="115"/>
      <c r="N52" s="115"/>
      <c r="O52" s="115"/>
      <c r="P52" s="115"/>
      <c r="Q52" s="115"/>
      <c r="R52" s="115"/>
      <c r="S52" s="115"/>
      <c r="T52" s="115"/>
      <c r="U52" s="25">
        <v>45675</v>
      </c>
      <c r="V52" s="13" t="s">
        <v>147</v>
      </c>
      <c r="AA52" s="116"/>
      <c r="AB52" s="123"/>
      <c r="AC52" s="123"/>
      <c r="AD52" s="123"/>
      <c r="AI52" s="115"/>
      <c r="AJ52" s="115"/>
      <c r="AK52" s="115"/>
      <c r="AL52" s="115"/>
      <c r="AM52" s="115"/>
      <c r="AN52" s="115"/>
      <c r="AO52" s="115"/>
      <c r="AP52" s="115"/>
      <c r="AQ52" s="115"/>
      <c r="AR52" s="115"/>
      <c r="AS52" s="25"/>
      <c r="AT52" s="13"/>
      <c r="AW52" s="114"/>
    </row>
    <row r="53" spans="1:49" ht="20.100000000000001" customHeight="1" x14ac:dyDescent="0.4">
      <c r="A53" s="117"/>
      <c r="B53" s="123"/>
      <c r="C53" s="123"/>
      <c r="D53" s="123"/>
      <c r="J53" s="25">
        <v>45742</v>
      </c>
      <c r="K53" s="13" t="s">
        <v>147</v>
      </c>
      <c r="M53" s="115"/>
      <c r="N53" s="115"/>
      <c r="O53" s="115"/>
      <c r="P53" s="115"/>
      <c r="Q53" s="115"/>
      <c r="R53" s="115"/>
      <c r="S53" s="115"/>
      <c r="T53" s="115"/>
      <c r="U53" s="25"/>
      <c r="V53" s="13"/>
      <c r="AA53" s="116"/>
      <c r="AB53" s="123"/>
      <c r="AC53" s="123"/>
      <c r="AD53" s="123"/>
      <c r="AI53" s="115"/>
      <c r="AJ53" s="115"/>
      <c r="AK53" s="115"/>
      <c r="AL53" s="115"/>
      <c r="AM53" s="115"/>
      <c r="AN53" s="115"/>
      <c r="AO53" s="115"/>
      <c r="AP53" s="115"/>
      <c r="AQ53" s="115"/>
      <c r="AR53" s="115"/>
      <c r="AS53" s="25"/>
      <c r="AT53" s="13"/>
      <c r="AW53" s="114"/>
    </row>
    <row r="54" spans="1:49" ht="20.100000000000001" customHeight="1" x14ac:dyDescent="0.4">
      <c r="A54" s="117"/>
      <c r="B54" s="123"/>
      <c r="C54" s="123"/>
      <c r="D54" s="123"/>
      <c r="J54" s="133" t="s">
        <v>197</v>
      </c>
      <c r="K54" s="13">
        <f>SUBTOTAL(3,K46:K53)</f>
        <v>8</v>
      </c>
      <c r="M54" s="115"/>
      <c r="N54" s="115"/>
      <c r="O54" s="115"/>
      <c r="P54" s="115"/>
      <c r="Q54" s="115"/>
      <c r="R54" s="115"/>
      <c r="S54" s="115"/>
      <c r="T54" s="115"/>
      <c r="U54" s="25"/>
      <c r="V54" s="13"/>
      <c r="AA54" s="116"/>
      <c r="AB54" s="123"/>
      <c r="AC54" s="123"/>
      <c r="AD54" s="123"/>
      <c r="AI54" s="115"/>
      <c r="AJ54" s="115"/>
      <c r="AK54" s="115"/>
      <c r="AL54" s="115"/>
      <c r="AM54" s="115"/>
      <c r="AN54" s="115"/>
      <c r="AO54" s="115"/>
      <c r="AP54" s="115"/>
      <c r="AQ54" s="115"/>
      <c r="AR54" s="115"/>
      <c r="AS54" s="25"/>
      <c r="AT54" s="13"/>
      <c r="AW54" s="114"/>
    </row>
    <row r="55" spans="1:49" ht="20.100000000000001" customHeight="1" x14ac:dyDescent="0.4">
      <c r="A55" s="117"/>
      <c r="B55" s="123"/>
      <c r="C55" s="123"/>
      <c r="D55" s="123"/>
      <c r="G55" s="115"/>
      <c r="H55" s="115"/>
      <c r="I55" s="115"/>
      <c r="J55" s="25">
        <v>45743</v>
      </c>
      <c r="K55" s="13" t="s">
        <v>146</v>
      </c>
      <c r="M55" s="115"/>
      <c r="N55" s="115"/>
      <c r="O55" s="115"/>
      <c r="P55" s="115"/>
      <c r="Q55" s="115"/>
      <c r="R55" s="115"/>
      <c r="S55" s="115"/>
      <c r="T55" s="115"/>
      <c r="U55" s="25"/>
      <c r="V55" s="13"/>
      <c r="AA55" s="116"/>
      <c r="AB55" s="123"/>
      <c r="AC55" s="123"/>
      <c r="AD55" s="123"/>
      <c r="AI55" s="115"/>
      <c r="AJ55" s="115"/>
      <c r="AK55" s="115"/>
      <c r="AL55" s="115"/>
      <c r="AM55" s="115"/>
      <c r="AN55" s="115"/>
      <c r="AO55" s="115"/>
      <c r="AP55" s="115"/>
      <c r="AQ55" s="115"/>
      <c r="AR55" s="115"/>
      <c r="AS55" s="25"/>
      <c r="AT55" s="13"/>
      <c r="AW55" s="114"/>
    </row>
    <row r="56" spans="1:49" ht="20.100000000000001" customHeight="1" x14ac:dyDescent="0.4">
      <c r="A56" s="117"/>
      <c r="B56" s="123"/>
      <c r="C56" s="123"/>
      <c r="D56" s="123"/>
      <c r="J56" s="25">
        <v>45743</v>
      </c>
      <c r="K56" s="13" t="s">
        <v>147</v>
      </c>
      <c r="L56" s="115"/>
      <c r="M56" s="115"/>
      <c r="N56" s="115"/>
      <c r="O56" s="115"/>
      <c r="P56" s="115"/>
      <c r="Q56" s="115"/>
      <c r="R56" s="115"/>
      <c r="S56" s="115"/>
      <c r="T56" s="115"/>
      <c r="U56" s="25">
        <v>45675</v>
      </c>
      <c r="V56" s="13" t="s">
        <v>146</v>
      </c>
      <c r="AA56" s="116"/>
      <c r="AB56" s="123"/>
      <c r="AC56" s="123"/>
      <c r="AD56" s="123"/>
      <c r="AI56" s="115"/>
      <c r="AJ56" s="115"/>
      <c r="AK56" s="115"/>
      <c r="AL56" s="115"/>
      <c r="AM56" s="115"/>
      <c r="AN56" s="115"/>
      <c r="AO56" s="115"/>
      <c r="AP56" s="115"/>
      <c r="AQ56" s="115"/>
      <c r="AR56" s="115"/>
      <c r="AS56" s="25"/>
      <c r="AT56" s="13"/>
      <c r="AW56" s="114"/>
    </row>
    <row r="57" spans="1:49" ht="20.100000000000001" customHeight="1" x14ac:dyDescent="0.4">
      <c r="A57" s="117"/>
      <c r="B57" s="123"/>
      <c r="C57" s="123"/>
      <c r="D57" s="123"/>
      <c r="J57" s="25">
        <v>45743</v>
      </c>
      <c r="K57" s="13" t="s">
        <v>147</v>
      </c>
      <c r="L57" s="115"/>
      <c r="M57" s="115"/>
      <c r="N57" s="115"/>
      <c r="O57" s="115"/>
      <c r="P57" s="115"/>
      <c r="Q57" s="115"/>
      <c r="R57" s="115"/>
      <c r="S57" s="115"/>
      <c r="T57" s="115"/>
      <c r="U57" s="25">
        <v>45676</v>
      </c>
      <c r="V57" s="13" t="s">
        <v>148</v>
      </c>
      <c r="AA57" s="116"/>
      <c r="AB57" s="123"/>
      <c r="AC57" s="123"/>
      <c r="AD57" s="123"/>
      <c r="AI57" s="115"/>
      <c r="AJ57" s="115"/>
      <c r="AK57" s="115"/>
      <c r="AL57" s="115"/>
      <c r="AM57" s="115"/>
      <c r="AN57" s="115"/>
      <c r="AO57" s="115"/>
      <c r="AP57" s="115"/>
      <c r="AQ57" s="115"/>
      <c r="AR57" s="115"/>
      <c r="AS57" s="25"/>
      <c r="AT57" s="13"/>
      <c r="AW57" s="114"/>
    </row>
    <row r="58" spans="1:49" ht="20.100000000000001" customHeight="1" x14ac:dyDescent="0.4">
      <c r="A58" s="117"/>
      <c r="B58" s="123"/>
      <c r="C58" s="123"/>
      <c r="D58" s="123"/>
      <c r="G58" s="115"/>
      <c r="H58" s="115"/>
      <c r="I58" s="115"/>
      <c r="J58" s="25">
        <v>45743</v>
      </c>
      <c r="K58" s="25" t="s">
        <v>146</v>
      </c>
      <c r="L58" s="115"/>
      <c r="M58" s="115"/>
      <c r="N58" s="115"/>
      <c r="O58" s="115"/>
      <c r="P58" s="115"/>
      <c r="Q58" s="115"/>
      <c r="R58" s="115"/>
      <c r="S58" s="115"/>
      <c r="T58" s="115"/>
      <c r="U58" s="25"/>
      <c r="V58" s="13"/>
      <c r="AA58" s="116"/>
      <c r="AB58" s="123"/>
      <c r="AC58" s="123"/>
      <c r="AD58" s="123"/>
      <c r="AI58" s="115"/>
      <c r="AJ58" s="115"/>
      <c r="AK58" s="115"/>
      <c r="AL58" s="115"/>
      <c r="AM58" s="115"/>
      <c r="AN58" s="115"/>
      <c r="AO58" s="115"/>
      <c r="AP58" s="115"/>
      <c r="AQ58" s="115"/>
      <c r="AR58" s="115"/>
      <c r="AS58" s="25"/>
      <c r="AT58" s="13"/>
      <c r="AW58" s="114"/>
    </row>
    <row r="59" spans="1:49" ht="20.100000000000001" customHeight="1" x14ac:dyDescent="0.4">
      <c r="A59" s="117"/>
      <c r="B59" s="123"/>
      <c r="C59" s="123"/>
      <c r="D59" s="123"/>
      <c r="G59" s="115"/>
      <c r="H59" s="115"/>
      <c r="I59" s="115"/>
      <c r="J59" s="25">
        <v>45743</v>
      </c>
      <c r="K59" s="25" t="s">
        <v>147</v>
      </c>
      <c r="L59" s="115"/>
      <c r="M59" s="115"/>
      <c r="N59" s="115"/>
      <c r="O59" s="115"/>
      <c r="P59" s="115"/>
      <c r="Q59" s="115"/>
      <c r="R59" s="115"/>
      <c r="S59" s="115"/>
      <c r="T59" s="115"/>
      <c r="U59" s="25"/>
      <c r="V59" s="13"/>
      <c r="AA59" s="116"/>
      <c r="AB59" s="123"/>
      <c r="AC59" s="123"/>
      <c r="AD59" s="123"/>
      <c r="AI59" s="115"/>
      <c r="AJ59" s="115"/>
      <c r="AK59" s="115"/>
      <c r="AL59" s="115"/>
      <c r="AM59" s="115"/>
      <c r="AN59" s="115"/>
      <c r="AO59" s="115"/>
      <c r="AP59" s="115"/>
      <c r="AQ59" s="115"/>
      <c r="AR59" s="115"/>
      <c r="AS59" s="25"/>
      <c r="AT59" s="13"/>
      <c r="AW59" s="114"/>
    </row>
    <row r="60" spans="1:49" ht="20.100000000000001" customHeight="1" x14ac:dyDescent="0.4">
      <c r="A60" s="117"/>
      <c r="B60" s="123"/>
      <c r="C60" s="123"/>
      <c r="D60" s="123"/>
      <c r="J60" s="25">
        <v>45743</v>
      </c>
      <c r="K60" s="13" t="s">
        <v>148</v>
      </c>
      <c r="L60" s="115"/>
      <c r="M60" s="115"/>
      <c r="N60" s="115"/>
      <c r="O60" s="115"/>
      <c r="P60" s="115"/>
      <c r="Q60" s="115"/>
      <c r="R60" s="115"/>
      <c r="S60" s="115"/>
      <c r="T60" s="115"/>
      <c r="U60" s="25">
        <v>45677</v>
      </c>
      <c r="V60" s="13" t="s">
        <v>146</v>
      </c>
      <c r="AA60" s="116"/>
      <c r="AB60" s="123"/>
      <c r="AC60" s="123"/>
      <c r="AD60" s="123"/>
      <c r="AI60" s="115"/>
      <c r="AJ60" s="115"/>
      <c r="AK60" s="115"/>
      <c r="AL60" s="115"/>
      <c r="AM60" s="115"/>
      <c r="AN60" s="115"/>
      <c r="AO60" s="115"/>
      <c r="AP60" s="115"/>
      <c r="AQ60" s="115"/>
      <c r="AR60" s="115"/>
      <c r="AS60" s="25"/>
      <c r="AT60" s="13"/>
      <c r="AW60" s="114"/>
    </row>
    <row r="61" spans="1:49" ht="20.100000000000001" customHeight="1" x14ac:dyDescent="0.4">
      <c r="A61" s="117"/>
      <c r="B61" s="123"/>
      <c r="C61" s="123"/>
      <c r="D61" s="123"/>
      <c r="I61" s="115"/>
      <c r="J61" s="25">
        <v>45743</v>
      </c>
      <c r="K61" s="15" t="s">
        <v>142</v>
      </c>
      <c r="L61" s="115"/>
      <c r="M61" s="115"/>
      <c r="N61" s="115"/>
      <c r="O61" s="115"/>
      <c r="P61" s="115"/>
      <c r="Q61" s="115"/>
      <c r="R61" s="115"/>
      <c r="S61" s="115"/>
      <c r="T61" s="115"/>
      <c r="U61" s="25"/>
      <c r="V61" s="13"/>
      <c r="AA61" s="116"/>
      <c r="AB61" s="123"/>
      <c r="AC61" s="123"/>
      <c r="AD61" s="123"/>
      <c r="AI61" s="115"/>
      <c r="AJ61" s="115"/>
      <c r="AK61" s="115"/>
      <c r="AL61" s="115"/>
      <c r="AM61" s="115"/>
      <c r="AN61" s="115"/>
      <c r="AO61" s="115"/>
      <c r="AP61" s="115"/>
      <c r="AQ61" s="115"/>
      <c r="AR61" s="115"/>
      <c r="AS61" s="25"/>
      <c r="AT61" s="13"/>
      <c r="AW61" s="114"/>
    </row>
    <row r="62" spans="1:49" ht="20.100000000000001" customHeight="1" x14ac:dyDescent="0.4">
      <c r="A62" s="117"/>
      <c r="B62" s="123"/>
      <c r="C62" s="123"/>
      <c r="D62" s="123"/>
      <c r="J62" s="25">
        <v>45743</v>
      </c>
      <c r="K62" s="15" t="s">
        <v>146</v>
      </c>
      <c r="L62" s="115"/>
      <c r="M62" s="115"/>
      <c r="N62" s="115"/>
      <c r="O62" s="115"/>
      <c r="P62" s="115"/>
      <c r="Q62" s="115"/>
      <c r="R62" s="115"/>
      <c r="S62" s="115"/>
      <c r="T62" s="115"/>
      <c r="U62" s="25"/>
      <c r="V62" s="13"/>
      <c r="AA62" s="116"/>
      <c r="AB62" s="123"/>
      <c r="AC62" s="123"/>
      <c r="AD62" s="123"/>
      <c r="AI62" s="115"/>
      <c r="AJ62" s="115"/>
      <c r="AK62" s="115"/>
      <c r="AL62" s="115"/>
      <c r="AM62" s="115"/>
      <c r="AN62" s="115"/>
      <c r="AO62" s="115"/>
      <c r="AP62" s="115"/>
      <c r="AQ62" s="115"/>
      <c r="AR62" s="115"/>
      <c r="AS62" s="25"/>
      <c r="AT62" s="13"/>
      <c r="AW62" s="114"/>
    </row>
    <row r="63" spans="1:49" ht="20.100000000000001" customHeight="1" x14ac:dyDescent="0.4">
      <c r="A63" s="117"/>
      <c r="B63" s="123"/>
      <c r="C63" s="123"/>
      <c r="D63" s="123"/>
      <c r="H63" s="115"/>
      <c r="I63" s="115"/>
      <c r="J63" s="25">
        <v>45743</v>
      </c>
      <c r="K63" s="15" t="s">
        <v>146</v>
      </c>
      <c r="L63" s="115"/>
      <c r="M63" s="115"/>
      <c r="N63" s="115"/>
      <c r="O63" s="115"/>
      <c r="P63" s="115"/>
      <c r="Q63" s="115"/>
      <c r="R63" s="115"/>
      <c r="S63" s="115"/>
      <c r="T63" s="115"/>
      <c r="U63" s="25"/>
      <c r="V63" s="13"/>
      <c r="AA63" s="116"/>
      <c r="AB63" s="123"/>
      <c r="AC63" s="123"/>
      <c r="AD63" s="123"/>
      <c r="AI63" s="115"/>
      <c r="AJ63" s="115"/>
      <c r="AK63" s="115"/>
      <c r="AL63" s="115"/>
      <c r="AM63" s="115"/>
      <c r="AN63" s="115"/>
      <c r="AO63" s="115"/>
      <c r="AP63" s="115"/>
      <c r="AQ63" s="115"/>
      <c r="AR63" s="115"/>
      <c r="AS63" s="25"/>
      <c r="AT63" s="13"/>
      <c r="AW63" s="114"/>
    </row>
    <row r="64" spans="1:49" ht="20.100000000000001" customHeight="1" x14ac:dyDescent="0.4">
      <c r="A64" s="117"/>
      <c r="B64" s="123"/>
      <c r="C64" s="123"/>
      <c r="D64" s="123"/>
      <c r="J64" s="25">
        <v>45743</v>
      </c>
      <c r="K64" s="15" t="s">
        <v>146</v>
      </c>
      <c r="L64" s="115"/>
      <c r="M64" s="115"/>
      <c r="N64" s="115"/>
      <c r="O64" s="115"/>
      <c r="P64" s="115"/>
      <c r="Q64" s="115"/>
      <c r="R64" s="115"/>
      <c r="S64" s="115"/>
      <c r="T64" s="115"/>
      <c r="U64" s="25">
        <v>45677</v>
      </c>
      <c r="V64" s="13" t="s">
        <v>146</v>
      </c>
      <c r="AA64" s="116"/>
      <c r="AB64" s="123"/>
      <c r="AC64" s="123"/>
      <c r="AD64" s="123"/>
      <c r="AI64" s="115"/>
      <c r="AJ64" s="115"/>
      <c r="AK64" s="115"/>
      <c r="AL64" s="115"/>
      <c r="AM64" s="115"/>
      <c r="AN64" s="115"/>
      <c r="AO64" s="115"/>
      <c r="AP64" s="115"/>
      <c r="AQ64" s="115"/>
      <c r="AR64" s="115"/>
      <c r="AS64" s="25"/>
      <c r="AT64" s="13"/>
      <c r="AW64" s="114"/>
    </row>
    <row r="65" spans="1:49" ht="20.100000000000001" customHeight="1" x14ac:dyDescent="0.4">
      <c r="A65" s="117"/>
      <c r="B65" s="123"/>
      <c r="C65" s="123"/>
      <c r="D65" s="123"/>
      <c r="G65" s="115"/>
      <c r="H65" s="115"/>
      <c r="I65" s="115"/>
      <c r="J65" s="25">
        <v>45743</v>
      </c>
      <c r="K65" s="15" t="s">
        <v>146</v>
      </c>
      <c r="L65" s="115"/>
      <c r="M65" s="115"/>
      <c r="N65" s="115"/>
      <c r="O65" s="115"/>
      <c r="P65" s="115"/>
      <c r="Q65" s="115"/>
      <c r="R65" s="115"/>
      <c r="S65" s="115"/>
      <c r="T65" s="115"/>
      <c r="U65" s="25"/>
      <c r="V65" s="13"/>
      <c r="AA65" s="116"/>
      <c r="AB65" s="123"/>
      <c r="AC65" s="123"/>
      <c r="AD65" s="123"/>
      <c r="AI65" s="115"/>
      <c r="AJ65" s="115"/>
      <c r="AK65" s="115"/>
      <c r="AL65" s="115"/>
      <c r="AM65" s="115"/>
      <c r="AN65" s="115"/>
      <c r="AO65" s="115"/>
      <c r="AP65" s="115"/>
      <c r="AQ65" s="115"/>
      <c r="AR65" s="115"/>
      <c r="AS65" s="25"/>
      <c r="AT65" s="13"/>
      <c r="AW65" s="114"/>
    </row>
    <row r="66" spans="1:49" ht="20.100000000000001" customHeight="1" x14ac:dyDescent="0.4">
      <c r="A66" s="117"/>
      <c r="B66" s="123"/>
      <c r="C66" s="123"/>
      <c r="D66" s="123"/>
      <c r="J66" s="25">
        <v>45743</v>
      </c>
      <c r="K66" s="15" t="s">
        <v>146</v>
      </c>
      <c r="L66" s="115"/>
      <c r="M66" s="115"/>
      <c r="N66" s="115"/>
      <c r="O66" s="115"/>
      <c r="P66" s="115"/>
      <c r="Q66" s="115"/>
      <c r="R66" s="115"/>
      <c r="S66" s="115"/>
      <c r="T66" s="115"/>
      <c r="U66" s="25">
        <v>45677</v>
      </c>
      <c r="V66" s="13" t="s">
        <v>148</v>
      </c>
      <c r="AA66" s="116"/>
      <c r="AB66" s="123"/>
      <c r="AC66" s="123"/>
      <c r="AD66" s="123"/>
      <c r="AI66" s="115"/>
      <c r="AJ66" s="115"/>
      <c r="AK66" s="115"/>
      <c r="AL66" s="115"/>
      <c r="AM66" s="115"/>
      <c r="AN66" s="115"/>
      <c r="AO66" s="115"/>
      <c r="AP66" s="115"/>
      <c r="AQ66" s="115"/>
      <c r="AR66" s="115"/>
      <c r="AS66" s="25"/>
      <c r="AT66" s="13"/>
      <c r="AW66" s="114"/>
    </row>
    <row r="67" spans="1:49" ht="19.5" x14ac:dyDescent="0.4">
      <c r="A67" s="117"/>
      <c r="B67" s="123"/>
      <c r="C67" s="123"/>
      <c r="D67" s="123"/>
      <c r="J67" s="25">
        <v>45743</v>
      </c>
      <c r="K67" s="15" t="s">
        <v>146</v>
      </c>
      <c r="L67" s="115"/>
      <c r="M67" s="115"/>
      <c r="N67" s="115"/>
      <c r="O67" s="115"/>
      <c r="P67" s="115"/>
      <c r="Q67" s="115"/>
      <c r="R67" s="115"/>
      <c r="S67" s="115"/>
      <c r="T67" s="115"/>
      <c r="U67" s="25"/>
      <c r="V67" s="13"/>
      <c r="AA67" s="116"/>
      <c r="AB67" s="123"/>
      <c r="AC67" s="123"/>
      <c r="AD67" s="123"/>
      <c r="AI67" s="115"/>
      <c r="AJ67" s="115"/>
      <c r="AK67" s="115"/>
      <c r="AL67" s="115"/>
      <c r="AM67" s="115"/>
      <c r="AN67" s="115"/>
      <c r="AO67" s="115"/>
      <c r="AP67" s="115"/>
      <c r="AQ67" s="115"/>
      <c r="AR67" s="115"/>
      <c r="AS67" s="25"/>
      <c r="AT67" s="13"/>
      <c r="AW67" s="114"/>
    </row>
    <row r="68" spans="1:49" ht="19.5" x14ac:dyDescent="0.4">
      <c r="A68" s="117"/>
      <c r="B68" s="123"/>
      <c r="C68" s="123"/>
      <c r="D68" s="123"/>
      <c r="G68" s="115"/>
      <c r="H68" s="115"/>
      <c r="I68" s="115"/>
      <c r="J68" s="25">
        <v>45743</v>
      </c>
      <c r="K68" s="13" t="s">
        <v>146</v>
      </c>
      <c r="L68" s="115"/>
      <c r="M68" s="115"/>
      <c r="N68" s="115"/>
      <c r="O68" s="115"/>
      <c r="P68" s="115"/>
      <c r="Q68" s="115"/>
      <c r="R68" s="115"/>
      <c r="S68" s="115"/>
      <c r="T68" s="115"/>
      <c r="U68" s="25"/>
      <c r="V68" s="13"/>
      <c r="AA68" s="116"/>
      <c r="AB68" s="123"/>
      <c r="AC68" s="123"/>
      <c r="AD68" s="123"/>
      <c r="AI68" s="115"/>
      <c r="AJ68" s="115"/>
      <c r="AK68" s="115"/>
      <c r="AL68" s="115"/>
      <c r="AM68" s="115"/>
      <c r="AN68" s="115"/>
      <c r="AO68" s="115"/>
      <c r="AP68" s="115"/>
      <c r="AQ68" s="115"/>
      <c r="AR68" s="115"/>
      <c r="AS68" s="25"/>
      <c r="AT68" s="13"/>
      <c r="AW68" s="114"/>
    </row>
    <row r="69" spans="1:49" ht="19.5" x14ac:dyDescent="0.4">
      <c r="A69" s="117"/>
      <c r="B69" s="123"/>
      <c r="C69" s="123"/>
      <c r="D69" s="123"/>
      <c r="G69" s="115"/>
      <c r="H69" s="115"/>
      <c r="I69" s="115"/>
      <c r="J69" s="25">
        <v>45743</v>
      </c>
      <c r="K69" s="13" t="s">
        <v>147</v>
      </c>
      <c r="L69" s="115"/>
      <c r="M69" s="115"/>
      <c r="N69" s="115"/>
      <c r="O69" s="115"/>
      <c r="P69" s="115"/>
      <c r="Q69" s="115"/>
      <c r="R69" s="115"/>
      <c r="S69" s="115"/>
      <c r="T69" s="115"/>
      <c r="U69" s="25"/>
      <c r="V69" s="13"/>
      <c r="AA69" s="116"/>
      <c r="AB69" s="123"/>
      <c r="AC69" s="123"/>
      <c r="AD69" s="123"/>
      <c r="AI69" s="115"/>
      <c r="AJ69" s="115"/>
      <c r="AK69" s="115"/>
      <c r="AL69" s="115"/>
      <c r="AM69" s="115"/>
      <c r="AN69" s="115"/>
      <c r="AO69" s="115"/>
      <c r="AP69" s="115"/>
      <c r="AQ69" s="115"/>
      <c r="AR69" s="115"/>
      <c r="AS69" s="25"/>
      <c r="AT69" s="13"/>
      <c r="AW69" s="114"/>
    </row>
    <row r="70" spans="1:49" ht="19.5" x14ac:dyDescent="0.4">
      <c r="A70" s="117"/>
      <c r="B70" s="123"/>
      <c r="C70" s="123"/>
      <c r="D70" s="123"/>
      <c r="G70" s="115"/>
      <c r="H70" s="115"/>
      <c r="I70" s="115"/>
      <c r="J70" s="133" t="s">
        <v>198</v>
      </c>
      <c r="K70" s="13">
        <f>SUBTOTAL(3,K55:K69)</f>
        <v>15</v>
      </c>
      <c r="L70" s="115"/>
      <c r="M70" s="115"/>
      <c r="N70" s="115"/>
      <c r="O70" s="115"/>
      <c r="P70" s="115"/>
      <c r="Q70" s="115"/>
      <c r="R70" s="115"/>
      <c r="S70" s="115"/>
      <c r="T70" s="115"/>
      <c r="U70" s="25"/>
      <c r="V70" s="13"/>
      <c r="AA70" s="116"/>
      <c r="AB70" s="123"/>
      <c r="AC70" s="123"/>
      <c r="AD70" s="123"/>
      <c r="AI70" s="115"/>
      <c r="AJ70" s="115"/>
      <c r="AK70" s="115"/>
      <c r="AL70" s="115"/>
      <c r="AM70" s="115"/>
      <c r="AN70" s="115"/>
      <c r="AO70" s="115"/>
      <c r="AP70" s="115"/>
      <c r="AQ70" s="115"/>
      <c r="AR70" s="115"/>
      <c r="AS70" s="25"/>
      <c r="AT70" s="13"/>
      <c r="AW70" s="114"/>
    </row>
    <row r="71" spans="1:49" ht="19.5" x14ac:dyDescent="0.4">
      <c r="A71" s="117"/>
      <c r="B71" s="123"/>
      <c r="C71" s="123"/>
      <c r="D71" s="123"/>
      <c r="G71" s="115"/>
      <c r="H71" s="115"/>
      <c r="I71" s="115"/>
      <c r="J71" s="25">
        <v>45744</v>
      </c>
      <c r="K71" s="13" t="s">
        <v>146</v>
      </c>
      <c r="L71" s="115"/>
      <c r="M71" s="115"/>
      <c r="N71" s="115"/>
      <c r="O71" s="115"/>
      <c r="P71" s="115"/>
      <c r="Q71" s="115"/>
      <c r="R71" s="115"/>
      <c r="S71" s="115"/>
      <c r="T71" s="115"/>
      <c r="U71" s="25"/>
      <c r="V71" s="13"/>
      <c r="AA71" s="116"/>
      <c r="AB71" s="123"/>
      <c r="AC71" s="123"/>
      <c r="AD71" s="123"/>
      <c r="AI71" s="115"/>
      <c r="AJ71" s="115"/>
      <c r="AK71" s="115"/>
      <c r="AL71" s="115"/>
      <c r="AM71" s="115"/>
      <c r="AN71" s="115"/>
      <c r="AO71" s="115"/>
      <c r="AP71" s="115"/>
      <c r="AQ71" s="115"/>
      <c r="AR71" s="115"/>
      <c r="AS71" s="25"/>
      <c r="AT71" s="13"/>
      <c r="AW71" s="114"/>
    </row>
    <row r="72" spans="1:49" ht="19.5" x14ac:dyDescent="0.4">
      <c r="A72" s="117"/>
      <c r="B72" s="123"/>
      <c r="C72" s="123"/>
      <c r="D72" s="123"/>
      <c r="J72" s="25">
        <v>45744</v>
      </c>
      <c r="K72" s="13" t="s">
        <v>146</v>
      </c>
      <c r="L72" s="115"/>
      <c r="M72" s="115"/>
      <c r="N72" s="115"/>
      <c r="O72" s="115"/>
      <c r="P72" s="115"/>
      <c r="Q72" s="115"/>
      <c r="R72" s="115"/>
      <c r="S72" s="115"/>
      <c r="T72" s="115"/>
      <c r="U72" s="25">
        <v>45677</v>
      </c>
      <c r="V72" s="13" t="s">
        <v>146</v>
      </c>
      <c r="AA72" s="116"/>
      <c r="AB72" s="123"/>
      <c r="AC72" s="123"/>
      <c r="AD72" s="123"/>
      <c r="AI72" s="115"/>
      <c r="AJ72" s="115"/>
      <c r="AK72" s="115"/>
      <c r="AL72" s="115"/>
      <c r="AM72" s="115"/>
      <c r="AN72" s="115"/>
      <c r="AO72" s="115"/>
      <c r="AP72" s="115"/>
      <c r="AQ72" s="115"/>
      <c r="AR72" s="115"/>
      <c r="AS72" s="25"/>
      <c r="AT72" s="13"/>
      <c r="AW72" s="114"/>
    </row>
    <row r="73" spans="1:49" ht="19.5" x14ac:dyDescent="0.4">
      <c r="A73" s="117"/>
      <c r="B73" s="123"/>
      <c r="C73" s="123"/>
      <c r="D73" s="123"/>
      <c r="J73" s="25">
        <v>45744</v>
      </c>
      <c r="K73" s="13" t="s">
        <v>148</v>
      </c>
      <c r="L73" s="115"/>
      <c r="M73" s="115"/>
      <c r="N73" s="115"/>
      <c r="O73" s="115"/>
      <c r="P73" s="115"/>
      <c r="Q73" s="115"/>
      <c r="R73" s="115"/>
      <c r="S73" s="115"/>
      <c r="T73" s="115"/>
      <c r="U73" s="25"/>
      <c r="V73" s="13"/>
      <c r="AA73" s="116"/>
      <c r="AB73" s="123"/>
      <c r="AC73" s="123"/>
      <c r="AD73" s="123"/>
      <c r="AI73" s="115"/>
      <c r="AJ73" s="115"/>
      <c r="AK73" s="115"/>
      <c r="AL73" s="115"/>
      <c r="AM73" s="115"/>
      <c r="AN73" s="115"/>
      <c r="AO73" s="115"/>
      <c r="AP73" s="115"/>
      <c r="AQ73" s="115"/>
      <c r="AR73" s="115"/>
      <c r="AS73" s="25"/>
      <c r="AT73" s="13"/>
      <c r="AW73" s="114"/>
    </row>
    <row r="74" spans="1:49" ht="19.5" x14ac:dyDescent="0.4">
      <c r="A74" s="117"/>
      <c r="B74" s="123"/>
      <c r="C74" s="123"/>
      <c r="D74" s="123"/>
      <c r="J74" s="133" t="s">
        <v>204</v>
      </c>
      <c r="K74" s="13">
        <f>SUBTOTAL(3,K71:K73)</f>
        <v>3</v>
      </c>
      <c r="L74" s="115"/>
      <c r="M74" s="115"/>
      <c r="N74" s="115"/>
      <c r="O74" s="115"/>
      <c r="P74" s="115"/>
      <c r="Q74" s="115"/>
      <c r="R74" s="115"/>
      <c r="S74" s="115"/>
      <c r="T74" s="115"/>
      <c r="U74" s="25"/>
      <c r="V74" s="13"/>
      <c r="AA74" s="116"/>
      <c r="AB74" s="123"/>
      <c r="AC74" s="123"/>
      <c r="AD74" s="123"/>
      <c r="AI74" s="115"/>
      <c r="AJ74" s="115"/>
      <c r="AK74" s="115"/>
      <c r="AL74" s="115"/>
      <c r="AM74" s="115"/>
      <c r="AN74" s="115"/>
      <c r="AO74" s="115"/>
      <c r="AP74" s="115"/>
      <c r="AQ74" s="115"/>
      <c r="AR74" s="115"/>
      <c r="AS74" s="25"/>
      <c r="AT74" s="13"/>
      <c r="AW74" s="114"/>
    </row>
    <row r="75" spans="1:49" ht="19.5" x14ac:dyDescent="0.4">
      <c r="A75" s="117"/>
      <c r="B75" s="123"/>
      <c r="C75" s="123"/>
      <c r="D75" s="123"/>
      <c r="H75" s="115"/>
      <c r="I75" s="115"/>
      <c r="J75" s="25">
        <v>45745</v>
      </c>
      <c r="K75" s="13" t="s">
        <v>146</v>
      </c>
      <c r="L75" s="115"/>
      <c r="M75" s="115"/>
      <c r="N75" s="115"/>
      <c r="O75" s="115"/>
      <c r="P75" s="115"/>
      <c r="Q75" s="115"/>
      <c r="R75" s="115"/>
      <c r="S75" s="115"/>
      <c r="T75" s="115"/>
      <c r="U75" s="25"/>
      <c r="V75" s="13"/>
      <c r="AA75" s="116"/>
      <c r="AB75" s="123"/>
      <c r="AC75" s="123"/>
      <c r="AD75" s="123"/>
      <c r="AI75" s="115"/>
      <c r="AJ75" s="115"/>
      <c r="AK75" s="115"/>
      <c r="AL75" s="115"/>
      <c r="AM75" s="115"/>
      <c r="AN75" s="115"/>
      <c r="AO75" s="115"/>
      <c r="AP75" s="115"/>
      <c r="AQ75" s="115"/>
      <c r="AR75" s="115"/>
      <c r="AS75" s="25"/>
      <c r="AT75" s="13"/>
      <c r="AW75" s="114"/>
    </row>
    <row r="76" spans="1:49" ht="19.5" x14ac:dyDescent="0.4">
      <c r="A76" s="117"/>
      <c r="B76" s="123"/>
      <c r="C76" s="123"/>
      <c r="D76" s="123"/>
      <c r="J76" s="25">
        <v>45745</v>
      </c>
      <c r="K76" s="13" t="s">
        <v>148</v>
      </c>
      <c r="L76" s="115"/>
      <c r="M76" s="115"/>
      <c r="N76" s="115"/>
      <c r="O76" s="115"/>
      <c r="P76" s="115"/>
      <c r="Q76" s="115"/>
      <c r="R76" s="115"/>
      <c r="S76" s="115"/>
      <c r="T76" s="115"/>
      <c r="U76" s="25">
        <v>45677</v>
      </c>
      <c r="V76" s="13" t="s">
        <v>147</v>
      </c>
      <c r="AA76" s="116"/>
      <c r="AB76" s="123"/>
      <c r="AC76" s="123"/>
      <c r="AD76" s="123"/>
      <c r="AI76" s="115"/>
      <c r="AJ76" s="115"/>
      <c r="AK76" s="115"/>
      <c r="AL76" s="115"/>
      <c r="AM76" s="115"/>
      <c r="AN76" s="115"/>
      <c r="AO76" s="115"/>
      <c r="AP76" s="115"/>
      <c r="AQ76" s="115"/>
      <c r="AR76" s="115"/>
      <c r="AS76" s="25"/>
      <c r="AT76" s="13"/>
      <c r="AW76" s="114"/>
    </row>
    <row r="77" spans="1:49" ht="19.5" x14ac:dyDescent="0.4">
      <c r="A77" s="117"/>
      <c r="B77" s="123"/>
      <c r="C77" s="123"/>
      <c r="D77" s="123"/>
      <c r="J77" s="25">
        <v>45745</v>
      </c>
      <c r="K77" s="13" t="s">
        <v>146</v>
      </c>
      <c r="L77" s="115"/>
      <c r="M77" s="115"/>
      <c r="N77" s="115"/>
      <c r="O77" s="115"/>
      <c r="P77" s="115"/>
      <c r="Q77" s="115"/>
      <c r="R77" s="115"/>
      <c r="S77" s="115"/>
      <c r="T77" s="115"/>
      <c r="U77" s="25">
        <v>45677</v>
      </c>
      <c r="V77" s="25" t="s">
        <v>147</v>
      </c>
      <c r="AA77" s="116"/>
      <c r="AB77" s="123"/>
      <c r="AC77" s="123"/>
      <c r="AD77" s="123"/>
      <c r="AI77" s="115"/>
      <c r="AJ77" s="115"/>
      <c r="AK77" s="115"/>
      <c r="AL77" s="115"/>
      <c r="AM77" s="115"/>
      <c r="AN77" s="115"/>
      <c r="AO77" s="115"/>
      <c r="AP77" s="115"/>
      <c r="AQ77" s="115"/>
      <c r="AR77" s="115"/>
      <c r="AS77" s="25"/>
      <c r="AT77" s="13"/>
      <c r="AW77" s="114"/>
    </row>
    <row r="78" spans="1:49" ht="19.5" x14ac:dyDescent="0.4">
      <c r="A78" s="117"/>
      <c r="B78" s="123"/>
      <c r="C78" s="123"/>
      <c r="D78" s="123"/>
      <c r="J78" s="25">
        <v>45745</v>
      </c>
      <c r="K78" s="13" t="s">
        <v>146</v>
      </c>
      <c r="L78" s="115"/>
      <c r="M78" s="115"/>
      <c r="N78" s="115"/>
      <c r="O78" s="115"/>
      <c r="P78" s="115"/>
      <c r="Q78" s="115"/>
      <c r="R78" s="115"/>
      <c r="S78" s="115"/>
      <c r="T78" s="115"/>
      <c r="U78" s="25"/>
      <c r="V78" s="25"/>
      <c r="AA78" s="116"/>
      <c r="AB78" s="123"/>
      <c r="AC78" s="123"/>
      <c r="AD78" s="123"/>
      <c r="AI78" s="115"/>
      <c r="AJ78" s="115"/>
      <c r="AK78" s="115"/>
      <c r="AL78" s="115"/>
      <c r="AM78" s="115"/>
      <c r="AN78" s="115"/>
      <c r="AO78" s="115"/>
      <c r="AP78" s="115"/>
      <c r="AQ78" s="115"/>
      <c r="AR78" s="115"/>
      <c r="AS78" s="25"/>
      <c r="AT78" s="13"/>
      <c r="AW78" s="114"/>
    </row>
    <row r="79" spans="1:49" ht="19.5" x14ac:dyDescent="0.4">
      <c r="A79" s="117"/>
      <c r="B79" s="123"/>
      <c r="C79" s="123"/>
      <c r="D79" s="123"/>
      <c r="G79" s="115"/>
      <c r="H79" s="115"/>
      <c r="I79" s="115"/>
      <c r="J79" s="25">
        <v>45745</v>
      </c>
      <c r="K79" s="13" t="s">
        <v>146</v>
      </c>
      <c r="L79" s="115"/>
      <c r="M79" s="115"/>
      <c r="N79" s="115"/>
      <c r="O79" s="115"/>
      <c r="P79" s="115"/>
      <c r="Q79" s="115"/>
      <c r="R79" s="115"/>
      <c r="S79" s="115"/>
      <c r="T79" s="115"/>
      <c r="U79" s="25"/>
      <c r="V79" s="25"/>
      <c r="AA79" s="116"/>
      <c r="AB79" s="123"/>
      <c r="AC79" s="123"/>
      <c r="AD79" s="123"/>
      <c r="AI79" s="115"/>
      <c r="AJ79" s="115"/>
      <c r="AK79" s="115"/>
      <c r="AL79" s="115"/>
      <c r="AM79" s="115"/>
      <c r="AN79" s="115"/>
      <c r="AO79" s="115"/>
      <c r="AP79" s="115"/>
      <c r="AQ79" s="115"/>
      <c r="AR79" s="115"/>
      <c r="AS79" s="25"/>
      <c r="AT79" s="13"/>
      <c r="AW79" s="114"/>
    </row>
    <row r="80" spans="1:49" ht="19.5" x14ac:dyDescent="0.4">
      <c r="A80" s="117"/>
      <c r="B80" s="123"/>
      <c r="C80" s="123"/>
      <c r="D80" s="123"/>
      <c r="J80" s="25">
        <v>45745</v>
      </c>
      <c r="K80" s="13" t="s">
        <v>142</v>
      </c>
      <c r="L80" s="115"/>
      <c r="M80" s="115"/>
      <c r="N80" s="115"/>
      <c r="O80" s="115"/>
      <c r="P80" s="115"/>
      <c r="Q80" s="115"/>
      <c r="R80" s="115"/>
      <c r="S80" s="115"/>
      <c r="T80" s="115"/>
      <c r="U80" s="25">
        <v>45678</v>
      </c>
      <c r="V80" s="13" t="s">
        <v>147</v>
      </c>
      <c r="AA80" s="116"/>
      <c r="AB80" s="123"/>
      <c r="AC80" s="123"/>
      <c r="AD80" s="123"/>
      <c r="AI80" s="115"/>
      <c r="AJ80" s="115"/>
      <c r="AK80" s="115"/>
      <c r="AL80" s="115"/>
      <c r="AM80" s="115"/>
      <c r="AN80" s="115"/>
      <c r="AO80" s="115"/>
      <c r="AP80" s="115"/>
      <c r="AQ80" s="115"/>
      <c r="AR80" s="115"/>
      <c r="AS80" s="25"/>
      <c r="AT80" s="13"/>
      <c r="AW80" s="114"/>
    </row>
    <row r="81" spans="1:49" ht="19.5" x14ac:dyDescent="0.4">
      <c r="A81" s="117"/>
      <c r="B81" s="123"/>
      <c r="C81" s="123"/>
      <c r="D81" s="123"/>
      <c r="H81" s="115"/>
      <c r="I81" s="115"/>
      <c r="J81" s="25">
        <v>45745</v>
      </c>
      <c r="K81" s="13" t="s">
        <v>148</v>
      </c>
      <c r="L81" s="115"/>
      <c r="M81" s="115"/>
      <c r="N81" s="115"/>
      <c r="O81" s="115"/>
      <c r="P81" s="115"/>
      <c r="Q81" s="115"/>
      <c r="R81" s="115"/>
      <c r="S81" s="115"/>
      <c r="T81" s="115"/>
      <c r="U81" s="25"/>
      <c r="V81" s="13"/>
      <c r="AA81" s="116"/>
      <c r="AB81" s="123"/>
      <c r="AC81" s="123"/>
      <c r="AD81" s="123"/>
      <c r="AI81" s="115"/>
      <c r="AJ81" s="115"/>
      <c r="AK81" s="115"/>
      <c r="AL81" s="115"/>
      <c r="AM81" s="115"/>
      <c r="AN81" s="115"/>
      <c r="AO81" s="115"/>
      <c r="AP81" s="115"/>
      <c r="AQ81" s="115"/>
      <c r="AR81" s="115"/>
      <c r="AS81" s="25"/>
      <c r="AT81" s="13"/>
      <c r="AW81" s="114"/>
    </row>
    <row r="82" spans="1:49" ht="19.5" x14ac:dyDescent="0.4">
      <c r="A82" s="117"/>
      <c r="B82" s="123"/>
      <c r="C82" s="123"/>
      <c r="D82" s="123"/>
      <c r="J82" s="25">
        <v>45745</v>
      </c>
      <c r="K82" s="13" t="s">
        <v>146</v>
      </c>
      <c r="L82" s="115"/>
      <c r="M82" s="115"/>
      <c r="N82" s="115"/>
      <c r="O82" s="115"/>
      <c r="P82" s="115"/>
      <c r="Q82" s="115"/>
      <c r="R82" s="115"/>
      <c r="S82" s="115"/>
      <c r="T82" s="115"/>
      <c r="U82" s="25">
        <v>45678</v>
      </c>
      <c r="V82" s="13" t="s">
        <v>146</v>
      </c>
      <c r="AA82" s="116"/>
      <c r="AB82" s="123"/>
      <c r="AC82" s="123"/>
      <c r="AD82" s="123"/>
      <c r="AI82" s="115"/>
      <c r="AJ82" s="115"/>
      <c r="AK82" s="115"/>
      <c r="AL82" s="115"/>
      <c r="AM82" s="115"/>
      <c r="AN82" s="115"/>
      <c r="AO82" s="115"/>
      <c r="AP82" s="115"/>
      <c r="AQ82" s="115"/>
      <c r="AR82" s="115"/>
      <c r="AS82" s="25"/>
      <c r="AT82" s="13"/>
      <c r="AW82" s="114"/>
    </row>
    <row r="83" spans="1:49" ht="19.5" x14ac:dyDescent="0.4">
      <c r="A83" s="117"/>
      <c r="B83" s="123"/>
      <c r="C83" s="123"/>
      <c r="D83" s="123"/>
      <c r="I83" s="115"/>
      <c r="J83" s="25">
        <v>45745</v>
      </c>
      <c r="K83" s="13" t="s">
        <v>146</v>
      </c>
      <c r="L83" s="115"/>
      <c r="M83" s="115"/>
      <c r="N83" s="115"/>
      <c r="O83" s="115"/>
      <c r="P83" s="115"/>
      <c r="Q83" s="115"/>
      <c r="R83" s="115"/>
      <c r="S83" s="115"/>
      <c r="T83" s="115"/>
      <c r="U83" s="25"/>
      <c r="V83" s="13"/>
      <c r="AA83" s="116"/>
      <c r="AB83" s="123"/>
      <c r="AC83" s="123"/>
      <c r="AD83" s="123"/>
      <c r="AI83" s="115"/>
      <c r="AJ83" s="115"/>
      <c r="AK83" s="115"/>
      <c r="AL83" s="115"/>
      <c r="AM83" s="115"/>
      <c r="AN83" s="115"/>
      <c r="AO83" s="115"/>
      <c r="AP83" s="115"/>
      <c r="AQ83" s="115"/>
      <c r="AR83" s="115"/>
      <c r="AS83" s="25"/>
      <c r="AT83" s="13"/>
      <c r="AW83" s="114"/>
    </row>
    <row r="84" spans="1:49" ht="19.5" x14ac:dyDescent="0.4">
      <c r="A84" s="117"/>
      <c r="B84" s="123"/>
      <c r="C84" s="123"/>
      <c r="D84" s="123"/>
      <c r="I84" s="115"/>
      <c r="J84" s="25">
        <v>45745</v>
      </c>
      <c r="K84" s="13" t="s">
        <v>146</v>
      </c>
      <c r="L84" s="115"/>
      <c r="M84" s="115"/>
      <c r="N84" s="115"/>
      <c r="O84" s="115"/>
      <c r="P84" s="115"/>
      <c r="Q84" s="115"/>
      <c r="R84" s="115"/>
      <c r="S84" s="115"/>
      <c r="T84" s="115"/>
      <c r="U84" s="25"/>
      <c r="V84" s="13"/>
      <c r="AA84" s="116"/>
      <c r="AB84" s="123"/>
      <c r="AC84" s="123"/>
      <c r="AD84" s="123"/>
      <c r="AI84" s="115"/>
      <c r="AJ84" s="115"/>
      <c r="AK84" s="115"/>
      <c r="AL84" s="115"/>
      <c r="AM84" s="115"/>
      <c r="AN84" s="115"/>
      <c r="AO84" s="115"/>
      <c r="AP84" s="115"/>
      <c r="AQ84" s="115"/>
      <c r="AR84" s="115"/>
      <c r="AS84" s="25"/>
      <c r="AT84" s="13"/>
      <c r="AW84" s="114"/>
    </row>
    <row r="85" spans="1:49" ht="19.5" x14ac:dyDescent="0.4">
      <c r="A85" s="117"/>
      <c r="B85" s="123"/>
      <c r="C85" s="123"/>
      <c r="D85" s="123"/>
      <c r="J85" s="25">
        <v>45745</v>
      </c>
      <c r="K85" s="13" t="s">
        <v>146</v>
      </c>
      <c r="L85" s="115"/>
      <c r="M85" s="115"/>
      <c r="N85" s="115"/>
      <c r="O85" s="115"/>
      <c r="P85" s="115"/>
      <c r="Q85" s="115"/>
      <c r="R85" s="115"/>
      <c r="S85" s="115"/>
      <c r="T85" s="115"/>
      <c r="U85" s="25">
        <v>45678</v>
      </c>
      <c r="V85" s="13" t="s">
        <v>148</v>
      </c>
      <c r="AA85" s="116"/>
      <c r="AB85" s="123"/>
      <c r="AC85" s="123"/>
      <c r="AD85" s="123"/>
      <c r="AI85" s="115"/>
      <c r="AJ85" s="115"/>
      <c r="AK85" s="115"/>
      <c r="AL85" s="115"/>
      <c r="AM85" s="115"/>
      <c r="AN85" s="115"/>
      <c r="AO85" s="115"/>
      <c r="AP85" s="115"/>
      <c r="AQ85" s="115"/>
      <c r="AR85" s="115"/>
      <c r="AS85" s="25"/>
      <c r="AT85" s="13"/>
      <c r="AW85" s="114"/>
    </row>
    <row r="86" spans="1:49" ht="19.5" x14ac:dyDescent="0.4">
      <c r="A86" s="117"/>
      <c r="B86" s="123"/>
      <c r="C86" s="123"/>
      <c r="D86" s="123"/>
      <c r="G86" s="115"/>
      <c r="H86" s="115"/>
      <c r="I86" s="115"/>
      <c r="J86" s="25">
        <v>45745</v>
      </c>
      <c r="K86" s="13" t="s">
        <v>146</v>
      </c>
      <c r="L86" s="115"/>
      <c r="M86" s="115"/>
      <c r="N86" s="115"/>
      <c r="O86" s="115"/>
      <c r="P86" s="115"/>
      <c r="Q86" s="115"/>
      <c r="R86" s="115"/>
      <c r="S86" s="115"/>
      <c r="T86" s="115"/>
      <c r="U86" s="25"/>
      <c r="V86" s="13"/>
      <c r="AA86" s="116"/>
      <c r="AB86" s="123"/>
      <c r="AC86" s="123"/>
      <c r="AD86" s="123"/>
      <c r="AI86" s="115"/>
      <c r="AJ86" s="115"/>
      <c r="AK86" s="115"/>
      <c r="AL86" s="115"/>
      <c r="AM86" s="115"/>
      <c r="AN86" s="115"/>
      <c r="AO86" s="115"/>
      <c r="AP86" s="115"/>
      <c r="AQ86" s="115"/>
      <c r="AR86" s="115"/>
      <c r="AS86" s="25"/>
      <c r="AT86" s="13"/>
      <c r="AW86" s="114"/>
    </row>
    <row r="87" spans="1:49" ht="19.5" x14ac:dyDescent="0.4">
      <c r="A87" s="117"/>
      <c r="B87" s="123"/>
      <c r="C87" s="123"/>
      <c r="D87" s="123"/>
      <c r="J87" s="25">
        <v>45745</v>
      </c>
      <c r="K87" s="13" t="s">
        <v>146</v>
      </c>
      <c r="L87" s="115"/>
      <c r="M87" s="115"/>
      <c r="N87" s="115"/>
      <c r="O87" s="115"/>
      <c r="P87" s="115"/>
      <c r="Q87" s="115"/>
      <c r="R87" s="115"/>
      <c r="S87" s="115"/>
      <c r="T87" s="115"/>
      <c r="U87" s="25">
        <v>45678</v>
      </c>
      <c r="V87" s="13" t="s">
        <v>148</v>
      </c>
      <c r="AA87" s="116"/>
      <c r="AB87" s="123"/>
      <c r="AC87" s="123"/>
      <c r="AD87" s="123"/>
      <c r="AI87" s="115"/>
      <c r="AJ87" s="115"/>
      <c r="AK87" s="115"/>
      <c r="AL87" s="115"/>
      <c r="AM87" s="115"/>
      <c r="AN87" s="115"/>
      <c r="AO87" s="115"/>
      <c r="AP87" s="115"/>
      <c r="AQ87" s="115"/>
      <c r="AR87" s="115"/>
      <c r="AS87" s="25"/>
      <c r="AT87" s="13"/>
      <c r="AW87" s="114"/>
    </row>
    <row r="88" spans="1:49" ht="19.5" x14ac:dyDescent="0.4">
      <c r="A88" s="117"/>
      <c r="B88" s="123"/>
      <c r="C88" s="123"/>
      <c r="D88" s="123"/>
      <c r="J88" s="25">
        <v>45745</v>
      </c>
      <c r="K88" s="13" t="s">
        <v>146</v>
      </c>
      <c r="L88" s="115"/>
      <c r="M88" s="115"/>
      <c r="N88" s="115"/>
      <c r="O88" s="115"/>
      <c r="P88" s="115"/>
      <c r="Q88" s="115"/>
      <c r="R88" s="115"/>
      <c r="S88" s="115"/>
      <c r="T88" s="115"/>
      <c r="U88" s="25">
        <v>45678</v>
      </c>
      <c r="V88" s="13" t="s">
        <v>148</v>
      </c>
      <c r="AA88" s="116"/>
      <c r="AB88" s="123"/>
      <c r="AC88" s="123"/>
      <c r="AD88" s="123"/>
      <c r="AI88" s="115"/>
      <c r="AJ88" s="115"/>
      <c r="AK88" s="115"/>
      <c r="AL88" s="115"/>
      <c r="AM88" s="115"/>
      <c r="AN88" s="115"/>
      <c r="AO88" s="115"/>
      <c r="AP88" s="115"/>
      <c r="AQ88" s="115"/>
      <c r="AR88" s="115"/>
      <c r="AS88" s="25"/>
      <c r="AT88" s="13"/>
      <c r="AW88" s="114"/>
    </row>
    <row r="89" spans="1:49" ht="19.5" x14ac:dyDescent="0.4">
      <c r="A89" s="117"/>
      <c r="B89" s="123"/>
      <c r="C89" s="123"/>
      <c r="D89" s="123"/>
      <c r="J89" s="25">
        <v>45745</v>
      </c>
      <c r="K89" s="13" t="s">
        <v>146</v>
      </c>
      <c r="L89" s="115"/>
      <c r="M89" s="115"/>
      <c r="N89" s="115"/>
      <c r="O89" s="115"/>
      <c r="P89" s="115"/>
      <c r="Q89" s="115"/>
      <c r="R89" s="115"/>
      <c r="S89" s="115"/>
      <c r="T89" s="115"/>
      <c r="U89" s="25">
        <v>45679</v>
      </c>
      <c r="V89" s="15" t="s">
        <v>146</v>
      </c>
      <c r="AA89" s="116"/>
      <c r="AB89" s="123"/>
      <c r="AC89" s="123"/>
      <c r="AD89" s="123"/>
      <c r="AI89" s="115"/>
      <c r="AJ89" s="115"/>
      <c r="AK89" s="115"/>
      <c r="AL89" s="115"/>
      <c r="AM89" s="115"/>
      <c r="AN89" s="115"/>
      <c r="AO89" s="115"/>
      <c r="AP89" s="115"/>
      <c r="AQ89" s="115"/>
      <c r="AR89" s="115"/>
      <c r="AS89" s="25"/>
      <c r="AT89" s="13"/>
      <c r="AW89" s="114"/>
    </row>
    <row r="90" spans="1:49" ht="19.5" x14ac:dyDescent="0.4">
      <c r="A90" s="117"/>
      <c r="B90" s="123"/>
      <c r="C90" s="123"/>
      <c r="D90" s="123"/>
      <c r="J90" s="25">
        <v>45745</v>
      </c>
      <c r="K90" s="13" t="s">
        <v>146</v>
      </c>
      <c r="L90" s="115"/>
      <c r="M90" s="115"/>
      <c r="N90" s="115"/>
      <c r="O90" s="115"/>
      <c r="P90" s="115"/>
      <c r="Q90" s="115"/>
      <c r="R90" s="115"/>
      <c r="S90" s="115"/>
      <c r="T90" s="115"/>
      <c r="U90" s="25"/>
      <c r="V90" s="15"/>
      <c r="AA90" s="116"/>
      <c r="AB90" s="123"/>
      <c r="AC90" s="123"/>
      <c r="AD90" s="123"/>
      <c r="AI90" s="115"/>
      <c r="AJ90" s="115"/>
      <c r="AK90" s="115"/>
      <c r="AL90" s="115"/>
      <c r="AM90" s="115"/>
      <c r="AN90" s="115"/>
      <c r="AO90" s="115"/>
      <c r="AP90" s="115"/>
      <c r="AQ90" s="115"/>
      <c r="AR90" s="115"/>
      <c r="AS90" s="25"/>
      <c r="AT90" s="13"/>
      <c r="AW90" s="114"/>
    </row>
    <row r="91" spans="1:49" ht="19.5" x14ac:dyDescent="0.4">
      <c r="A91" s="117"/>
      <c r="B91" s="123"/>
      <c r="C91" s="123"/>
      <c r="D91" s="123"/>
      <c r="H91" s="115"/>
      <c r="I91" s="115"/>
      <c r="J91" s="25">
        <v>45745</v>
      </c>
      <c r="K91" s="13" t="s">
        <v>146</v>
      </c>
      <c r="L91" s="115"/>
      <c r="M91" s="115"/>
      <c r="N91" s="115"/>
      <c r="O91" s="115"/>
      <c r="P91" s="115"/>
      <c r="Q91" s="115"/>
      <c r="R91" s="115"/>
      <c r="S91" s="115"/>
      <c r="T91" s="115"/>
      <c r="U91" s="25"/>
      <c r="V91" s="15"/>
      <c r="AA91" s="116"/>
      <c r="AB91" s="123"/>
      <c r="AC91" s="123"/>
      <c r="AD91" s="123"/>
      <c r="AI91" s="115"/>
      <c r="AJ91" s="115"/>
      <c r="AK91" s="115"/>
      <c r="AL91" s="115"/>
      <c r="AM91" s="115"/>
      <c r="AN91" s="115"/>
      <c r="AO91" s="115"/>
      <c r="AP91" s="115"/>
      <c r="AQ91" s="115"/>
      <c r="AR91" s="115"/>
      <c r="AS91" s="25"/>
      <c r="AT91" s="13"/>
      <c r="AW91" s="114"/>
    </row>
    <row r="92" spans="1:49" ht="19.5" x14ac:dyDescent="0.4">
      <c r="A92" s="117"/>
      <c r="B92" s="123"/>
      <c r="C92" s="123"/>
      <c r="D92" s="123"/>
      <c r="J92" s="25">
        <v>45745</v>
      </c>
      <c r="K92" s="13" t="s">
        <v>146</v>
      </c>
      <c r="L92" s="115"/>
      <c r="M92" s="115"/>
      <c r="N92" s="115"/>
      <c r="O92" s="115"/>
      <c r="P92" s="115"/>
      <c r="Q92" s="115"/>
      <c r="R92" s="115"/>
      <c r="S92" s="115"/>
      <c r="T92" s="115"/>
      <c r="U92" s="25">
        <v>45679</v>
      </c>
      <c r="V92" s="15" t="s">
        <v>148</v>
      </c>
      <c r="AA92" s="116"/>
      <c r="AB92" s="123"/>
      <c r="AC92" s="123"/>
      <c r="AD92" s="123"/>
      <c r="AI92" s="115"/>
      <c r="AJ92" s="115"/>
      <c r="AK92" s="115"/>
      <c r="AL92" s="115"/>
      <c r="AM92" s="115"/>
      <c r="AN92" s="115"/>
      <c r="AO92" s="115"/>
      <c r="AP92" s="115"/>
      <c r="AQ92" s="115"/>
      <c r="AR92" s="115"/>
      <c r="AS92" s="25"/>
      <c r="AT92" s="13"/>
      <c r="AW92" s="114"/>
    </row>
    <row r="93" spans="1:49" ht="19.5" x14ac:dyDescent="0.4">
      <c r="A93" s="117"/>
      <c r="B93" s="123"/>
      <c r="C93" s="123"/>
      <c r="D93" s="123"/>
      <c r="J93" s="25">
        <v>45745</v>
      </c>
      <c r="K93" s="13" t="s">
        <v>146</v>
      </c>
      <c r="L93" s="115"/>
      <c r="M93" s="115"/>
      <c r="N93" s="115"/>
      <c r="O93" s="115"/>
      <c r="P93" s="115"/>
      <c r="Q93" s="115"/>
      <c r="R93" s="115"/>
      <c r="S93" s="115"/>
      <c r="T93" s="115"/>
      <c r="U93" s="25">
        <v>45679</v>
      </c>
      <c r="V93" s="13" t="s">
        <v>147</v>
      </c>
      <c r="AA93" s="116"/>
      <c r="AB93" s="123"/>
      <c r="AC93" s="123"/>
      <c r="AD93" s="123"/>
      <c r="AI93" s="115"/>
      <c r="AJ93" s="115"/>
      <c r="AK93" s="115"/>
      <c r="AL93" s="115"/>
      <c r="AM93" s="115"/>
      <c r="AN93" s="115"/>
      <c r="AO93" s="115"/>
      <c r="AP93" s="115"/>
      <c r="AQ93" s="115"/>
      <c r="AR93" s="115"/>
      <c r="AS93" s="25"/>
      <c r="AT93" s="13"/>
      <c r="AW93" s="114"/>
    </row>
    <row r="94" spans="1:49" ht="19.5" x14ac:dyDescent="0.4">
      <c r="A94" s="117"/>
      <c r="B94" s="123"/>
      <c r="C94" s="123"/>
      <c r="D94" s="123"/>
      <c r="G94" s="115"/>
      <c r="H94" s="115"/>
      <c r="I94" s="115"/>
      <c r="J94" s="25">
        <v>45745</v>
      </c>
      <c r="K94" s="13" t="s">
        <v>146</v>
      </c>
      <c r="L94" s="115"/>
      <c r="M94" s="115"/>
      <c r="N94" s="115"/>
      <c r="O94" s="115"/>
      <c r="P94" s="115"/>
      <c r="Q94" s="115"/>
      <c r="R94" s="115"/>
      <c r="S94" s="115"/>
      <c r="T94" s="115"/>
      <c r="U94" s="25"/>
      <c r="V94" s="13"/>
      <c r="AA94" s="116"/>
      <c r="AB94" s="123"/>
      <c r="AC94" s="123"/>
      <c r="AD94" s="123"/>
      <c r="AI94" s="115"/>
      <c r="AJ94" s="115"/>
      <c r="AK94" s="115"/>
      <c r="AL94" s="115"/>
      <c r="AM94" s="115"/>
      <c r="AN94" s="115"/>
      <c r="AO94" s="115"/>
      <c r="AP94" s="115"/>
      <c r="AQ94" s="115"/>
      <c r="AR94" s="115"/>
      <c r="AS94" s="25"/>
      <c r="AT94" s="13"/>
      <c r="AW94" s="114"/>
    </row>
    <row r="95" spans="1:49" ht="19.5" x14ac:dyDescent="0.4">
      <c r="A95" s="117"/>
      <c r="B95" s="123"/>
      <c r="C95" s="123"/>
      <c r="D95" s="123"/>
      <c r="G95" s="115"/>
      <c r="H95" s="115"/>
      <c r="I95" s="115"/>
      <c r="J95" s="25">
        <v>45745</v>
      </c>
      <c r="K95" s="13" t="s">
        <v>146</v>
      </c>
      <c r="L95" s="115"/>
      <c r="M95" s="115"/>
      <c r="N95" s="115"/>
      <c r="O95" s="115"/>
      <c r="P95" s="115"/>
      <c r="Q95" s="115"/>
      <c r="R95" s="115"/>
      <c r="S95" s="115"/>
      <c r="T95" s="115"/>
      <c r="U95" s="25"/>
      <c r="V95" s="13"/>
      <c r="AA95" s="116"/>
      <c r="AB95" s="123"/>
      <c r="AC95" s="123"/>
      <c r="AD95" s="123"/>
      <c r="AI95" s="115"/>
      <c r="AJ95" s="115"/>
      <c r="AK95" s="115"/>
      <c r="AL95" s="115"/>
      <c r="AM95" s="115"/>
      <c r="AN95" s="115"/>
      <c r="AO95" s="115"/>
      <c r="AP95" s="115"/>
      <c r="AQ95" s="115"/>
      <c r="AR95" s="115"/>
      <c r="AS95" s="25"/>
      <c r="AT95" s="13"/>
      <c r="AW95" s="114"/>
    </row>
    <row r="96" spans="1:49" ht="19.5" x14ac:dyDescent="0.4">
      <c r="A96" s="117"/>
      <c r="B96" s="123"/>
      <c r="C96" s="123"/>
      <c r="D96" s="123"/>
      <c r="J96" s="25">
        <v>45745</v>
      </c>
      <c r="K96" s="13" t="s">
        <v>147</v>
      </c>
      <c r="U96" s="25">
        <v>45679</v>
      </c>
      <c r="V96" s="13" t="s">
        <v>147</v>
      </c>
      <c r="AA96" s="116"/>
      <c r="AB96" s="123"/>
      <c r="AC96" s="123"/>
      <c r="AD96" s="123"/>
      <c r="AI96" s="115"/>
      <c r="AJ96" s="115"/>
      <c r="AK96" s="115"/>
      <c r="AL96" s="115"/>
      <c r="AM96" s="115"/>
      <c r="AN96" s="115"/>
      <c r="AO96" s="115"/>
      <c r="AP96" s="115"/>
      <c r="AQ96" s="115"/>
      <c r="AR96" s="115"/>
      <c r="AS96" s="25"/>
      <c r="AT96" s="13"/>
      <c r="AW96" s="114"/>
    </row>
    <row r="97" spans="1:49" ht="19.5" x14ac:dyDescent="0.4">
      <c r="A97" s="117"/>
      <c r="B97" s="123"/>
      <c r="C97" s="123"/>
      <c r="D97" s="123"/>
      <c r="J97" s="25">
        <v>45745</v>
      </c>
      <c r="K97" s="13" t="s">
        <v>147</v>
      </c>
      <c r="U97" s="25"/>
      <c r="V97" s="13"/>
      <c r="AA97" s="116"/>
      <c r="AB97" s="123"/>
      <c r="AC97" s="123"/>
      <c r="AD97" s="123"/>
      <c r="AI97" s="115"/>
      <c r="AJ97" s="115"/>
      <c r="AK97" s="115"/>
      <c r="AL97" s="115"/>
      <c r="AM97" s="115"/>
      <c r="AN97" s="115"/>
      <c r="AO97" s="115"/>
      <c r="AP97" s="115"/>
      <c r="AQ97" s="115"/>
      <c r="AR97" s="115"/>
      <c r="AS97" s="25"/>
      <c r="AT97" s="13"/>
      <c r="AW97" s="114"/>
    </row>
    <row r="98" spans="1:49" ht="19.5" x14ac:dyDescent="0.4">
      <c r="A98" s="117"/>
      <c r="B98" s="123"/>
      <c r="C98" s="123"/>
      <c r="D98" s="123"/>
      <c r="J98" s="25">
        <v>45745</v>
      </c>
      <c r="K98" s="13" t="s">
        <v>147</v>
      </c>
      <c r="L98" s="115"/>
      <c r="M98" s="115"/>
      <c r="N98" s="115"/>
      <c r="O98" s="115"/>
      <c r="P98" s="115"/>
      <c r="Q98" s="115"/>
      <c r="R98" s="115"/>
      <c r="S98" s="115"/>
      <c r="T98" s="115"/>
      <c r="U98" s="25">
        <v>45679</v>
      </c>
      <c r="V98" s="13" t="s">
        <v>146</v>
      </c>
      <c r="AA98" s="116"/>
      <c r="AB98" s="123"/>
      <c r="AC98" s="123"/>
      <c r="AD98" s="123"/>
      <c r="AI98" s="115"/>
      <c r="AJ98" s="115"/>
      <c r="AK98" s="115"/>
      <c r="AL98" s="115"/>
      <c r="AM98" s="115"/>
      <c r="AN98" s="115"/>
      <c r="AO98" s="115"/>
      <c r="AP98" s="115"/>
      <c r="AQ98" s="115"/>
      <c r="AR98" s="115"/>
      <c r="AS98" s="25"/>
      <c r="AT98" s="13"/>
      <c r="AW98" s="114"/>
    </row>
    <row r="99" spans="1:49" ht="19.5" x14ac:dyDescent="0.4">
      <c r="A99" s="117"/>
      <c r="B99" s="123"/>
      <c r="C99" s="123"/>
      <c r="D99" s="123"/>
      <c r="J99" s="25">
        <v>45745</v>
      </c>
      <c r="K99" s="13" t="s">
        <v>147</v>
      </c>
      <c r="L99" s="115"/>
      <c r="M99" s="115"/>
      <c r="N99" s="115"/>
      <c r="O99" s="115"/>
      <c r="P99" s="115"/>
      <c r="Q99" s="115"/>
      <c r="R99" s="115"/>
      <c r="S99" s="115"/>
      <c r="T99" s="115"/>
      <c r="U99" s="25"/>
      <c r="V99" s="13"/>
      <c r="AA99" s="116"/>
      <c r="AB99" s="123"/>
      <c r="AC99" s="123"/>
      <c r="AD99" s="123"/>
      <c r="AI99" s="115"/>
      <c r="AJ99" s="115"/>
      <c r="AK99" s="115"/>
      <c r="AL99" s="115"/>
      <c r="AM99" s="115"/>
      <c r="AN99" s="115"/>
      <c r="AO99" s="115"/>
      <c r="AP99" s="115"/>
      <c r="AQ99" s="115"/>
      <c r="AR99" s="115"/>
      <c r="AS99" s="25"/>
      <c r="AT99" s="13"/>
      <c r="AW99" s="114"/>
    </row>
    <row r="100" spans="1:49" ht="19.5" x14ac:dyDescent="0.4">
      <c r="A100" s="117"/>
      <c r="B100" s="123"/>
      <c r="C100" s="123"/>
      <c r="D100" s="123"/>
      <c r="J100" s="25">
        <v>45745</v>
      </c>
      <c r="K100" s="15" t="s">
        <v>147</v>
      </c>
      <c r="L100" s="115"/>
      <c r="M100" s="115"/>
      <c r="N100" s="115"/>
      <c r="O100" s="115"/>
      <c r="P100" s="115"/>
      <c r="Q100" s="115"/>
      <c r="R100" s="115"/>
      <c r="S100" s="115"/>
      <c r="T100" s="115"/>
      <c r="U100" s="25">
        <v>45679</v>
      </c>
      <c r="V100" s="13" t="s">
        <v>147</v>
      </c>
      <c r="AA100" s="116"/>
      <c r="AB100" s="123"/>
      <c r="AC100" s="123"/>
      <c r="AD100" s="123"/>
      <c r="AI100" s="115"/>
      <c r="AJ100" s="115"/>
      <c r="AK100" s="115"/>
      <c r="AL100" s="115"/>
      <c r="AM100" s="115"/>
      <c r="AN100" s="115"/>
      <c r="AO100" s="115"/>
      <c r="AP100" s="115"/>
      <c r="AQ100" s="115"/>
      <c r="AR100" s="115"/>
      <c r="AS100" s="25"/>
      <c r="AT100" s="13"/>
      <c r="AW100" s="114"/>
    </row>
    <row r="101" spans="1:49" ht="19.5" x14ac:dyDescent="0.4">
      <c r="A101" s="117"/>
      <c r="B101" s="123"/>
      <c r="C101" s="123"/>
      <c r="D101" s="123"/>
      <c r="J101" s="25">
        <v>45745</v>
      </c>
      <c r="K101" s="15" t="s">
        <v>147</v>
      </c>
      <c r="L101" s="115"/>
      <c r="M101" s="115"/>
      <c r="N101" s="115"/>
      <c r="O101" s="115"/>
      <c r="P101" s="115"/>
      <c r="Q101" s="115"/>
      <c r="R101" s="115"/>
      <c r="S101" s="115"/>
      <c r="T101" s="115"/>
      <c r="U101" s="25">
        <v>45680</v>
      </c>
      <c r="V101" s="13" t="s">
        <v>148</v>
      </c>
      <c r="AA101" s="116"/>
      <c r="AB101" s="123"/>
      <c r="AC101" s="123"/>
      <c r="AD101" s="123"/>
      <c r="AI101" s="115"/>
      <c r="AJ101" s="115"/>
      <c r="AK101" s="115"/>
      <c r="AL101" s="115"/>
      <c r="AM101" s="115"/>
      <c r="AN101" s="115"/>
      <c r="AO101" s="115"/>
      <c r="AP101" s="115"/>
      <c r="AQ101" s="115"/>
      <c r="AR101" s="115"/>
      <c r="AS101" s="25"/>
      <c r="AT101" s="13"/>
      <c r="AW101" s="114"/>
    </row>
    <row r="102" spans="1:49" ht="19.5" x14ac:dyDescent="0.4">
      <c r="A102" s="117"/>
      <c r="B102" s="123"/>
      <c r="C102" s="123"/>
      <c r="D102" s="123"/>
      <c r="I102" s="115"/>
      <c r="J102" s="25">
        <v>45745</v>
      </c>
      <c r="K102" s="15" t="s">
        <v>147</v>
      </c>
      <c r="L102" s="115"/>
      <c r="M102" s="115"/>
      <c r="N102" s="115"/>
      <c r="O102" s="115"/>
      <c r="P102" s="115"/>
      <c r="Q102" s="115"/>
      <c r="R102" s="115"/>
      <c r="S102" s="115"/>
      <c r="T102" s="115"/>
      <c r="U102" s="25"/>
      <c r="V102" s="13"/>
      <c r="AA102" s="116"/>
      <c r="AB102" s="123"/>
      <c r="AC102" s="123"/>
      <c r="AD102" s="123"/>
      <c r="AI102" s="115"/>
      <c r="AJ102" s="115"/>
      <c r="AK102" s="115"/>
      <c r="AL102" s="115"/>
      <c r="AM102" s="115"/>
      <c r="AN102" s="115"/>
      <c r="AO102" s="115"/>
      <c r="AP102" s="115"/>
      <c r="AQ102" s="115"/>
      <c r="AR102" s="115"/>
      <c r="AS102" s="25"/>
      <c r="AT102" s="13"/>
      <c r="AW102" s="114"/>
    </row>
    <row r="103" spans="1:49" ht="19.5" x14ac:dyDescent="0.4">
      <c r="A103" s="117"/>
      <c r="B103" s="123"/>
      <c r="C103" s="123"/>
      <c r="D103" s="123"/>
      <c r="J103" s="25">
        <v>45745</v>
      </c>
      <c r="K103" s="13" t="s">
        <v>142</v>
      </c>
      <c r="L103" s="115"/>
      <c r="M103" s="115"/>
      <c r="N103" s="115"/>
      <c r="O103" s="115"/>
      <c r="P103" s="115"/>
      <c r="Q103" s="115"/>
      <c r="R103" s="115"/>
      <c r="S103" s="115"/>
      <c r="T103" s="115"/>
      <c r="U103" s="25">
        <v>45680</v>
      </c>
      <c r="V103" s="13" t="s">
        <v>147</v>
      </c>
      <c r="AA103" s="116"/>
      <c r="AB103" s="123"/>
      <c r="AC103" s="123"/>
      <c r="AD103" s="123"/>
      <c r="AI103" s="115"/>
      <c r="AJ103" s="115"/>
      <c r="AK103" s="115"/>
      <c r="AL103" s="115"/>
      <c r="AM103" s="115"/>
      <c r="AN103" s="115"/>
      <c r="AO103" s="115"/>
      <c r="AP103" s="115"/>
      <c r="AQ103" s="115"/>
      <c r="AR103" s="115"/>
      <c r="AS103" s="25"/>
      <c r="AT103" s="13"/>
      <c r="AW103" s="114"/>
    </row>
    <row r="104" spans="1:49" ht="19.5" x14ac:dyDescent="0.4">
      <c r="A104" s="117"/>
      <c r="B104" s="123"/>
      <c r="C104" s="123"/>
      <c r="D104" s="123"/>
      <c r="I104" s="115"/>
      <c r="J104" s="25">
        <v>45745</v>
      </c>
      <c r="K104" s="13" t="s">
        <v>146</v>
      </c>
      <c r="L104" s="115"/>
      <c r="M104" s="115"/>
      <c r="N104" s="115"/>
      <c r="O104" s="115"/>
      <c r="P104" s="115"/>
      <c r="Q104" s="115"/>
      <c r="R104" s="115"/>
      <c r="S104" s="115"/>
      <c r="T104" s="115"/>
      <c r="U104" s="25"/>
      <c r="V104" s="13"/>
      <c r="AA104" s="116"/>
      <c r="AB104" s="123"/>
      <c r="AC104" s="123"/>
      <c r="AD104" s="123"/>
      <c r="AI104" s="115"/>
      <c r="AJ104" s="115"/>
      <c r="AK104" s="115"/>
      <c r="AL104" s="115"/>
      <c r="AM104" s="115"/>
      <c r="AN104" s="115"/>
      <c r="AO104" s="115"/>
      <c r="AP104" s="115"/>
      <c r="AQ104" s="115"/>
      <c r="AR104" s="115"/>
      <c r="AS104" s="25"/>
      <c r="AT104" s="13"/>
      <c r="AW104" s="114"/>
    </row>
    <row r="105" spans="1:49" ht="19.5" x14ac:dyDescent="0.4">
      <c r="A105" s="117"/>
      <c r="B105" s="123"/>
      <c r="C105" s="123"/>
      <c r="D105" s="123"/>
      <c r="J105" s="25">
        <v>45745</v>
      </c>
      <c r="K105" s="13" t="s">
        <v>146</v>
      </c>
      <c r="L105" s="115"/>
      <c r="M105" s="115"/>
      <c r="N105" s="115"/>
      <c r="O105" s="115"/>
      <c r="P105" s="115"/>
      <c r="Q105" s="115"/>
      <c r="R105" s="115"/>
      <c r="S105" s="115"/>
      <c r="T105" s="115"/>
      <c r="U105" s="25">
        <v>45680</v>
      </c>
      <c r="V105" s="13" t="s">
        <v>147</v>
      </c>
      <c r="AA105" s="116"/>
      <c r="AB105" s="123"/>
      <c r="AC105" s="123"/>
      <c r="AD105" s="123"/>
      <c r="AI105" s="115"/>
      <c r="AJ105" s="115"/>
      <c r="AK105" s="115"/>
      <c r="AL105" s="115"/>
      <c r="AM105" s="115"/>
      <c r="AN105" s="115"/>
      <c r="AO105" s="115"/>
      <c r="AP105" s="115"/>
      <c r="AQ105" s="115"/>
      <c r="AR105" s="115"/>
      <c r="AS105" s="25"/>
      <c r="AT105" s="13"/>
      <c r="AW105" s="114"/>
    </row>
    <row r="106" spans="1:49" ht="19.5" x14ac:dyDescent="0.4">
      <c r="A106" s="117"/>
      <c r="B106" s="123"/>
      <c r="C106" s="123"/>
      <c r="D106" s="123"/>
      <c r="J106" s="25">
        <v>45745</v>
      </c>
      <c r="K106" s="13" t="s">
        <v>146</v>
      </c>
      <c r="L106" s="115"/>
      <c r="M106" s="115"/>
      <c r="N106" s="115"/>
      <c r="O106" s="115"/>
      <c r="P106" s="115"/>
      <c r="Q106" s="115"/>
      <c r="R106" s="115"/>
      <c r="S106" s="115"/>
      <c r="T106" s="115"/>
      <c r="U106" s="25"/>
      <c r="V106" s="13"/>
      <c r="AA106" s="116"/>
      <c r="AB106" s="123"/>
      <c r="AC106" s="123"/>
      <c r="AD106" s="123"/>
      <c r="AI106" s="115"/>
      <c r="AJ106" s="115"/>
      <c r="AK106" s="115"/>
      <c r="AL106" s="115"/>
      <c r="AM106" s="115"/>
      <c r="AN106" s="115"/>
      <c r="AO106" s="115"/>
      <c r="AP106" s="115"/>
      <c r="AQ106" s="115"/>
      <c r="AR106" s="115"/>
      <c r="AS106" s="25"/>
      <c r="AT106" s="13"/>
      <c r="AW106" s="114"/>
    </row>
    <row r="107" spans="1:49" ht="19.5" x14ac:dyDescent="0.4">
      <c r="A107" s="117"/>
      <c r="B107" s="123"/>
      <c r="C107" s="123"/>
      <c r="D107" s="123"/>
      <c r="H107" s="115"/>
      <c r="I107" s="115"/>
      <c r="J107" s="25">
        <v>45745</v>
      </c>
      <c r="K107" s="13" t="s">
        <v>146</v>
      </c>
      <c r="L107" s="115"/>
      <c r="M107" s="115"/>
      <c r="N107" s="115"/>
      <c r="O107" s="115"/>
      <c r="P107" s="115"/>
      <c r="Q107" s="115"/>
      <c r="R107" s="115"/>
      <c r="S107" s="115"/>
      <c r="T107" s="115"/>
      <c r="U107" s="25"/>
      <c r="V107" s="13"/>
      <c r="AA107" s="116"/>
      <c r="AB107" s="123"/>
      <c r="AC107" s="123"/>
      <c r="AD107" s="123"/>
      <c r="AI107" s="115"/>
      <c r="AJ107" s="115"/>
      <c r="AK107" s="115"/>
      <c r="AL107" s="115"/>
      <c r="AM107" s="115"/>
      <c r="AN107" s="115"/>
      <c r="AO107" s="115"/>
      <c r="AP107" s="115"/>
      <c r="AQ107" s="115"/>
      <c r="AR107" s="115"/>
      <c r="AS107" s="25"/>
      <c r="AT107" s="13"/>
      <c r="AW107" s="114"/>
    </row>
    <row r="108" spans="1:49" ht="19.5" x14ac:dyDescent="0.4">
      <c r="A108" s="117"/>
      <c r="B108" s="123"/>
      <c r="C108" s="123"/>
      <c r="D108" s="123"/>
      <c r="J108" s="25">
        <v>45745</v>
      </c>
      <c r="K108" s="13" t="s">
        <v>146</v>
      </c>
      <c r="L108" s="115"/>
      <c r="M108" s="115"/>
      <c r="N108" s="115"/>
      <c r="O108" s="115"/>
      <c r="P108" s="115"/>
      <c r="Q108" s="115"/>
      <c r="R108" s="115"/>
      <c r="S108" s="115"/>
      <c r="T108" s="115"/>
      <c r="U108" s="25">
        <v>45680</v>
      </c>
      <c r="V108" s="13" t="s">
        <v>146</v>
      </c>
      <c r="AA108" s="116"/>
      <c r="AB108" s="123"/>
      <c r="AC108" s="123"/>
      <c r="AD108" s="123"/>
      <c r="AI108" s="115"/>
      <c r="AJ108" s="115"/>
      <c r="AK108" s="115"/>
      <c r="AL108" s="115"/>
      <c r="AM108" s="115"/>
      <c r="AN108" s="115"/>
      <c r="AO108" s="115"/>
      <c r="AP108" s="115"/>
      <c r="AQ108" s="115"/>
      <c r="AR108" s="115"/>
      <c r="AS108" s="25"/>
      <c r="AT108" s="13"/>
      <c r="AW108" s="114"/>
    </row>
    <row r="109" spans="1:49" ht="19.5" x14ac:dyDescent="0.4">
      <c r="A109" s="117"/>
      <c r="B109" s="123"/>
      <c r="C109" s="123"/>
      <c r="D109" s="123"/>
      <c r="J109" s="25">
        <v>45745</v>
      </c>
      <c r="K109" s="15" t="s">
        <v>146</v>
      </c>
      <c r="L109" s="115"/>
      <c r="M109" s="115"/>
      <c r="N109" s="115"/>
      <c r="O109" s="115"/>
      <c r="P109" s="115"/>
      <c r="Q109" s="115"/>
      <c r="R109" s="115"/>
      <c r="S109" s="115"/>
      <c r="T109" s="115"/>
      <c r="U109" s="25">
        <v>45680</v>
      </c>
      <c r="V109" s="13" t="s">
        <v>146</v>
      </c>
      <c r="AA109" s="116"/>
      <c r="AB109" s="123"/>
      <c r="AC109" s="123"/>
      <c r="AD109" s="123"/>
      <c r="AI109" s="115"/>
      <c r="AJ109" s="115"/>
      <c r="AK109" s="115"/>
      <c r="AL109" s="115"/>
      <c r="AM109" s="115"/>
      <c r="AN109" s="115"/>
      <c r="AO109" s="115"/>
      <c r="AP109" s="115"/>
      <c r="AQ109" s="115"/>
      <c r="AR109" s="115"/>
      <c r="AS109" s="25"/>
      <c r="AT109" s="13"/>
      <c r="AW109" s="114"/>
    </row>
    <row r="110" spans="1:49" ht="19.5" x14ac:dyDescent="0.4">
      <c r="A110" s="117"/>
      <c r="B110" s="123"/>
      <c r="C110" s="123"/>
      <c r="D110" s="123"/>
      <c r="F110" s="115"/>
      <c r="G110" s="115"/>
      <c r="H110" s="115"/>
      <c r="I110" s="115"/>
      <c r="J110" s="25">
        <v>45745</v>
      </c>
      <c r="K110" s="15" t="s">
        <v>146</v>
      </c>
      <c r="L110" s="115"/>
      <c r="M110" s="115"/>
      <c r="N110" s="115"/>
      <c r="O110" s="115"/>
      <c r="P110" s="115"/>
      <c r="Q110" s="115"/>
      <c r="R110" s="115"/>
      <c r="S110" s="115"/>
      <c r="T110" s="115"/>
      <c r="U110" s="25">
        <v>45680</v>
      </c>
      <c r="V110" s="13" t="s">
        <v>147</v>
      </c>
      <c r="AA110" s="116"/>
      <c r="AB110" s="123"/>
      <c r="AC110" s="123"/>
      <c r="AD110" s="123"/>
      <c r="AI110" s="115"/>
      <c r="AJ110" s="115"/>
      <c r="AK110" s="115"/>
      <c r="AL110" s="115"/>
      <c r="AM110" s="115"/>
      <c r="AN110" s="115"/>
      <c r="AO110" s="115"/>
      <c r="AP110" s="115"/>
      <c r="AQ110" s="115"/>
      <c r="AR110" s="115"/>
      <c r="AS110" s="25"/>
      <c r="AT110" s="13"/>
      <c r="AW110" s="114"/>
    </row>
    <row r="111" spans="1:49" ht="19.5" x14ac:dyDescent="0.4">
      <c r="A111" s="117"/>
      <c r="B111" s="123"/>
      <c r="C111" s="123"/>
      <c r="D111" s="123"/>
      <c r="F111" s="115"/>
      <c r="G111" s="115"/>
      <c r="H111" s="115"/>
      <c r="I111" s="115"/>
      <c r="J111" s="25">
        <v>45745</v>
      </c>
      <c r="K111" s="15" t="s">
        <v>146</v>
      </c>
      <c r="L111" s="115"/>
      <c r="M111" s="115"/>
      <c r="N111" s="115"/>
      <c r="O111" s="115"/>
      <c r="P111" s="115"/>
      <c r="Q111" s="115"/>
      <c r="R111" s="115"/>
      <c r="S111" s="115"/>
      <c r="T111" s="115"/>
      <c r="U111" s="25"/>
      <c r="V111" s="13"/>
      <c r="AA111" s="116"/>
      <c r="AB111" s="123"/>
      <c r="AC111" s="123"/>
      <c r="AD111" s="123"/>
      <c r="AI111" s="115"/>
      <c r="AJ111" s="115"/>
      <c r="AK111" s="115"/>
      <c r="AL111" s="115"/>
      <c r="AM111" s="115"/>
      <c r="AN111" s="115"/>
      <c r="AO111" s="115"/>
      <c r="AP111" s="115"/>
      <c r="AQ111" s="115"/>
      <c r="AR111" s="115"/>
      <c r="AS111" s="25"/>
      <c r="AT111" s="13"/>
      <c r="AW111" s="114"/>
    </row>
    <row r="112" spans="1:49" ht="19.5" x14ac:dyDescent="0.4">
      <c r="A112" s="117"/>
      <c r="B112" s="123"/>
      <c r="C112" s="123"/>
      <c r="D112" s="123"/>
      <c r="F112" s="115"/>
      <c r="G112" s="115"/>
      <c r="H112" s="115"/>
      <c r="I112" s="115"/>
      <c r="J112" s="25">
        <v>45745</v>
      </c>
      <c r="K112" s="15" t="s">
        <v>146</v>
      </c>
      <c r="L112" s="115"/>
      <c r="M112" s="115"/>
      <c r="N112" s="115"/>
      <c r="O112" s="115"/>
      <c r="P112" s="115"/>
      <c r="Q112" s="115"/>
      <c r="R112" s="115"/>
      <c r="S112" s="115"/>
      <c r="T112" s="115"/>
      <c r="U112" s="25"/>
      <c r="V112" s="13"/>
      <c r="AA112" s="116"/>
      <c r="AB112" s="123"/>
      <c r="AC112" s="123"/>
      <c r="AD112" s="123"/>
      <c r="AI112" s="115"/>
      <c r="AJ112" s="115"/>
      <c r="AK112" s="115"/>
      <c r="AL112" s="115"/>
      <c r="AM112" s="115"/>
      <c r="AN112" s="115"/>
      <c r="AO112" s="115"/>
      <c r="AP112" s="115"/>
      <c r="AQ112" s="115"/>
      <c r="AR112" s="115"/>
      <c r="AS112" s="25"/>
      <c r="AT112" s="13"/>
      <c r="AW112" s="114"/>
    </row>
    <row r="113" spans="1:49" ht="19.5" x14ac:dyDescent="0.4">
      <c r="A113" s="117"/>
      <c r="B113" s="123"/>
      <c r="C113" s="123"/>
      <c r="D113" s="123"/>
      <c r="F113" s="115"/>
      <c r="G113" s="115"/>
      <c r="H113" s="115"/>
      <c r="I113" s="115"/>
      <c r="J113" s="25">
        <v>45745</v>
      </c>
      <c r="K113" s="15" t="s">
        <v>146</v>
      </c>
      <c r="L113" s="115"/>
      <c r="M113" s="115"/>
      <c r="N113" s="115"/>
      <c r="O113" s="115"/>
      <c r="P113" s="115"/>
      <c r="Q113" s="115"/>
      <c r="R113" s="115"/>
      <c r="S113" s="115"/>
      <c r="T113" s="115"/>
      <c r="U113" s="25">
        <v>45680</v>
      </c>
      <c r="V113" s="15" t="s">
        <v>142</v>
      </c>
      <c r="AA113" s="116"/>
      <c r="AB113" s="123"/>
      <c r="AC113" s="123"/>
      <c r="AD113" s="123"/>
      <c r="AI113" s="115"/>
      <c r="AJ113" s="115"/>
      <c r="AK113" s="115"/>
      <c r="AL113" s="115"/>
      <c r="AM113" s="115"/>
      <c r="AN113" s="115"/>
      <c r="AO113" s="115"/>
      <c r="AP113" s="115"/>
      <c r="AQ113" s="115"/>
      <c r="AR113" s="115"/>
      <c r="AS113" s="25"/>
      <c r="AT113" s="13"/>
      <c r="AW113" s="114"/>
    </row>
    <row r="114" spans="1:49" ht="19.5" x14ac:dyDescent="0.4">
      <c r="A114" s="117"/>
      <c r="B114" s="123"/>
      <c r="C114" s="123"/>
      <c r="D114" s="123"/>
      <c r="F114" s="115"/>
      <c r="G114" s="115"/>
      <c r="H114" s="115"/>
      <c r="I114" s="115"/>
      <c r="J114" s="25">
        <v>45745</v>
      </c>
      <c r="K114" s="13" t="s">
        <v>147</v>
      </c>
      <c r="L114" s="115"/>
      <c r="M114" s="115"/>
      <c r="N114" s="115"/>
      <c r="O114" s="115"/>
      <c r="P114" s="115"/>
      <c r="Q114" s="115"/>
      <c r="R114" s="115"/>
      <c r="S114" s="115"/>
      <c r="T114" s="115"/>
      <c r="U114" s="25"/>
      <c r="V114" s="15"/>
      <c r="AA114" s="116"/>
      <c r="AB114" s="123"/>
      <c r="AC114" s="123"/>
      <c r="AD114" s="123"/>
      <c r="AI114" s="115"/>
      <c r="AJ114" s="115"/>
      <c r="AK114" s="115"/>
      <c r="AL114" s="115"/>
      <c r="AM114" s="115"/>
      <c r="AN114" s="115"/>
      <c r="AO114" s="115"/>
      <c r="AP114" s="115"/>
      <c r="AQ114" s="115"/>
      <c r="AR114" s="115"/>
      <c r="AS114" s="25"/>
      <c r="AT114" s="13"/>
      <c r="AW114" s="114"/>
    </row>
    <row r="115" spans="1:49" ht="19.5" x14ac:dyDescent="0.4">
      <c r="A115" s="117"/>
      <c r="B115" s="123"/>
      <c r="C115" s="123"/>
      <c r="D115" s="123"/>
      <c r="F115" s="115"/>
      <c r="G115" s="115"/>
      <c r="H115" s="115"/>
      <c r="I115" s="115"/>
      <c r="J115" s="25">
        <v>45745</v>
      </c>
      <c r="K115" s="13" t="s">
        <v>148</v>
      </c>
      <c r="L115" s="115"/>
      <c r="M115" s="115"/>
      <c r="N115" s="115"/>
      <c r="O115" s="115"/>
      <c r="P115" s="115"/>
      <c r="Q115" s="115"/>
      <c r="R115" s="115"/>
      <c r="S115" s="115"/>
      <c r="T115" s="115"/>
      <c r="U115" s="25">
        <v>45680</v>
      </c>
      <c r="V115" s="15" t="s">
        <v>146</v>
      </c>
      <c r="AA115" s="116"/>
      <c r="AB115" s="123"/>
      <c r="AC115" s="123"/>
      <c r="AD115" s="123"/>
      <c r="AI115" s="115"/>
      <c r="AJ115" s="115"/>
      <c r="AK115" s="115"/>
      <c r="AL115" s="115"/>
      <c r="AM115" s="115"/>
      <c r="AN115" s="115"/>
      <c r="AO115" s="115"/>
      <c r="AP115" s="115"/>
      <c r="AQ115" s="115"/>
      <c r="AR115" s="115"/>
      <c r="AS115" s="25"/>
      <c r="AT115" s="13"/>
      <c r="AW115" s="114"/>
    </row>
    <row r="116" spans="1:49" ht="19.5" x14ac:dyDescent="0.4">
      <c r="A116" s="117"/>
      <c r="B116" s="123"/>
      <c r="C116" s="123"/>
      <c r="D116" s="123"/>
      <c r="F116" s="115"/>
      <c r="G116" s="115"/>
      <c r="H116" s="115"/>
      <c r="I116" s="115"/>
      <c r="J116" s="25">
        <v>45745</v>
      </c>
      <c r="K116" s="13" t="s">
        <v>147</v>
      </c>
      <c r="L116" s="115"/>
      <c r="M116" s="115"/>
      <c r="N116" s="115"/>
      <c r="O116" s="115"/>
      <c r="P116" s="115"/>
      <c r="Q116" s="115"/>
      <c r="R116" s="115"/>
      <c r="S116" s="115"/>
      <c r="T116" s="115"/>
      <c r="U116" s="25"/>
      <c r="V116" s="15"/>
      <c r="AA116" s="116"/>
      <c r="AB116" s="123"/>
      <c r="AC116" s="123"/>
      <c r="AD116" s="123"/>
      <c r="AI116" s="115"/>
      <c r="AJ116" s="115"/>
      <c r="AK116" s="115"/>
      <c r="AL116" s="115"/>
      <c r="AM116" s="115"/>
      <c r="AN116" s="115"/>
      <c r="AO116" s="115"/>
      <c r="AP116" s="115"/>
      <c r="AQ116" s="115"/>
      <c r="AR116" s="115"/>
      <c r="AS116" s="25"/>
      <c r="AT116" s="13"/>
      <c r="AW116" s="114"/>
    </row>
    <row r="117" spans="1:49" ht="19.5" x14ac:dyDescent="0.4">
      <c r="A117" s="117"/>
      <c r="B117" s="123"/>
      <c r="C117" s="123"/>
      <c r="D117" s="123"/>
      <c r="F117" s="115"/>
      <c r="G117" s="115"/>
      <c r="H117" s="115"/>
      <c r="I117" s="115"/>
      <c r="J117" s="25">
        <v>45745</v>
      </c>
      <c r="K117" s="13" t="s">
        <v>147</v>
      </c>
      <c r="L117" s="115"/>
      <c r="M117" s="115"/>
      <c r="N117" s="115"/>
      <c r="O117" s="115"/>
      <c r="P117" s="115"/>
      <c r="Q117" s="115"/>
      <c r="R117" s="115"/>
      <c r="S117" s="115"/>
      <c r="T117" s="115"/>
      <c r="U117" s="25">
        <v>45680</v>
      </c>
      <c r="V117" s="15" t="s">
        <v>146</v>
      </c>
      <c r="AA117" s="116"/>
      <c r="AB117" s="123"/>
      <c r="AC117" s="123"/>
      <c r="AD117" s="123"/>
      <c r="AI117" s="115"/>
      <c r="AJ117" s="115"/>
      <c r="AK117" s="115"/>
      <c r="AL117" s="115"/>
      <c r="AM117" s="115"/>
      <c r="AN117" s="115"/>
      <c r="AO117" s="115"/>
      <c r="AP117" s="115"/>
      <c r="AQ117" s="115"/>
      <c r="AR117" s="115"/>
      <c r="AS117" s="25"/>
      <c r="AT117" s="13"/>
      <c r="AW117" s="114"/>
    </row>
    <row r="118" spans="1:49" ht="19.5" x14ac:dyDescent="0.4">
      <c r="A118" s="117"/>
      <c r="B118" s="123"/>
      <c r="C118" s="123"/>
      <c r="D118" s="123"/>
      <c r="F118" s="115"/>
      <c r="G118" s="115"/>
      <c r="H118" s="115"/>
      <c r="I118" s="115"/>
      <c r="J118" s="25">
        <v>45745</v>
      </c>
      <c r="K118" s="13" t="s">
        <v>147</v>
      </c>
      <c r="L118" s="115"/>
      <c r="M118" s="115"/>
      <c r="N118" s="115"/>
      <c r="O118" s="115"/>
      <c r="P118" s="115"/>
      <c r="Q118" s="115"/>
      <c r="R118" s="115"/>
      <c r="S118" s="115"/>
      <c r="T118" s="115"/>
      <c r="U118" s="25"/>
      <c r="V118" s="15"/>
      <c r="AA118" s="116"/>
      <c r="AB118" s="123"/>
      <c r="AC118" s="123"/>
      <c r="AD118" s="123"/>
      <c r="AI118" s="115"/>
      <c r="AJ118" s="115"/>
      <c r="AK118" s="115"/>
      <c r="AL118" s="115"/>
      <c r="AM118" s="115"/>
      <c r="AN118" s="115"/>
      <c r="AO118" s="115"/>
      <c r="AP118" s="115"/>
      <c r="AQ118" s="115"/>
      <c r="AR118" s="115"/>
      <c r="AS118" s="25"/>
      <c r="AT118" s="13"/>
      <c r="AW118" s="114"/>
    </row>
    <row r="119" spans="1:49" ht="19.5" x14ac:dyDescent="0.4">
      <c r="A119" s="117"/>
      <c r="B119" s="123"/>
      <c r="C119" s="123"/>
      <c r="D119" s="123"/>
      <c r="F119" s="115"/>
      <c r="G119" s="115"/>
      <c r="H119" s="115"/>
      <c r="I119" s="115"/>
      <c r="J119" s="25">
        <v>45745</v>
      </c>
      <c r="K119" s="13" t="s">
        <v>147</v>
      </c>
      <c r="L119" s="115"/>
      <c r="M119" s="115"/>
      <c r="N119" s="115"/>
      <c r="O119" s="115"/>
      <c r="P119" s="115"/>
      <c r="Q119" s="115"/>
      <c r="R119" s="115"/>
      <c r="S119" s="115"/>
      <c r="T119" s="115"/>
      <c r="U119" s="25"/>
      <c r="V119" s="15"/>
      <c r="AA119" s="116"/>
      <c r="AB119" s="123"/>
      <c r="AC119" s="123"/>
      <c r="AD119" s="123"/>
      <c r="AI119" s="115"/>
      <c r="AJ119" s="115"/>
      <c r="AK119" s="115"/>
      <c r="AL119" s="115"/>
      <c r="AM119" s="115"/>
      <c r="AN119" s="115"/>
      <c r="AO119" s="115"/>
      <c r="AP119" s="115"/>
      <c r="AQ119" s="115"/>
      <c r="AR119" s="115"/>
      <c r="AS119" s="25"/>
      <c r="AT119" s="13"/>
      <c r="AW119" s="114"/>
    </row>
    <row r="120" spans="1:49" ht="19.5" x14ac:dyDescent="0.4">
      <c r="A120" s="117"/>
      <c r="B120" s="123"/>
      <c r="C120" s="123"/>
      <c r="D120" s="123"/>
      <c r="F120" s="115"/>
      <c r="G120" s="115"/>
      <c r="H120" s="115"/>
      <c r="I120" s="115"/>
      <c r="J120" s="25">
        <v>45745</v>
      </c>
      <c r="K120" s="13" t="s">
        <v>147</v>
      </c>
      <c r="L120" s="115"/>
      <c r="M120" s="115"/>
      <c r="N120" s="115"/>
      <c r="O120" s="115"/>
      <c r="P120" s="115"/>
      <c r="Q120" s="115"/>
      <c r="R120" s="115"/>
      <c r="S120" s="115"/>
      <c r="T120" s="115"/>
      <c r="U120" s="25">
        <v>45680</v>
      </c>
      <c r="V120" s="15" t="s">
        <v>146</v>
      </c>
      <c r="AA120" s="116"/>
      <c r="AB120" s="123"/>
      <c r="AC120" s="123"/>
      <c r="AD120" s="123"/>
      <c r="AI120" s="115"/>
      <c r="AJ120" s="115"/>
      <c r="AK120" s="115"/>
      <c r="AL120" s="115"/>
      <c r="AM120" s="115"/>
      <c r="AN120" s="115"/>
      <c r="AO120" s="115"/>
      <c r="AP120" s="115"/>
      <c r="AQ120" s="115"/>
      <c r="AR120" s="115"/>
      <c r="AS120" s="25"/>
      <c r="AT120" s="13"/>
      <c r="AW120" s="114"/>
    </row>
    <row r="121" spans="1:49" ht="19.5" x14ac:dyDescent="0.4">
      <c r="A121" s="117"/>
      <c r="B121" s="123"/>
      <c r="C121" s="123"/>
      <c r="D121" s="123"/>
      <c r="F121" s="115"/>
      <c r="G121" s="115"/>
      <c r="H121" s="115"/>
      <c r="I121" s="115"/>
      <c r="J121" s="25">
        <v>45745</v>
      </c>
      <c r="K121" s="13" t="s">
        <v>147</v>
      </c>
      <c r="L121" s="115"/>
      <c r="M121" s="115"/>
      <c r="N121" s="115"/>
      <c r="O121" s="115"/>
      <c r="P121" s="115"/>
      <c r="Q121" s="115"/>
      <c r="R121" s="115"/>
      <c r="S121" s="115"/>
      <c r="T121" s="115"/>
      <c r="U121" s="25"/>
      <c r="V121" s="15"/>
      <c r="AA121" s="116"/>
      <c r="AB121" s="123"/>
      <c r="AC121" s="123"/>
      <c r="AD121" s="123"/>
      <c r="AI121" s="115"/>
      <c r="AJ121" s="115"/>
      <c r="AK121" s="115"/>
      <c r="AL121" s="115"/>
      <c r="AM121" s="115"/>
      <c r="AN121" s="115"/>
      <c r="AO121" s="115"/>
      <c r="AP121" s="115"/>
      <c r="AQ121" s="115"/>
      <c r="AR121" s="115"/>
      <c r="AS121" s="25"/>
      <c r="AT121" s="13"/>
      <c r="AW121" s="114"/>
    </row>
    <row r="122" spans="1:49" ht="19.5" x14ac:dyDescent="0.4">
      <c r="A122" s="117"/>
      <c r="B122" s="123"/>
      <c r="C122" s="123"/>
      <c r="D122" s="123"/>
      <c r="F122" s="115"/>
      <c r="G122" s="115"/>
      <c r="H122" s="115"/>
      <c r="I122" s="115"/>
      <c r="J122" s="25">
        <v>45745</v>
      </c>
      <c r="K122" s="13" t="s">
        <v>148</v>
      </c>
      <c r="L122" s="115"/>
      <c r="M122" s="115"/>
      <c r="N122" s="115"/>
      <c r="O122" s="115"/>
      <c r="P122" s="115"/>
      <c r="Q122" s="115"/>
      <c r="R122" s="115"/>
      <c r="S122" s="115"/>
      <c r="T122" s="115"/>
      <c r="U122" s="25">
        <v>45680</v>
      </c>
      <c r="V122" s="15" t="s">
        <v>147</v>
      </c>
      <c r="AA122" s="116"/>
      <c r="AB122" s="123"/>
      <c r="AC122" s="123"/>
      <c r="AD122" s="123"/>
      <c r="AI122" s="115"/>
      <c r="AJ122" s="115"/>
      <c r="AK122" s="115"/>
      <c r="AL122" s="115"/>
      <c r="AM122" s="115"/>
      <c r="AN122" s="115"/>
      <c r="AO122" s="115"/>
      <c r="AP122" s="115"/>
      <c r="AQ122" s="115"/>
      <c r="AR122" s="115"/>
      <c r="AS122" s="25"/>
      <c r="AT122" s="13"/>
      <c r="AW122" s="114"/>
    </row>
    <row r="123" spans="1:49" ht="19.5" x14ac:dyDescent="0.4">
      <c r="A123" s="117"/>
      <c r="B123" s="123"/>
      <c r="C123" s="123"/>
      <c r="D123" s="123"/>
      <c r="F123" s="115"/>
      <c r="G123" s="115"/>
      <c r="H123" s="115"/>
      <c r="I123" s="115"/>
      <c r="J123" s="25">
        <v>45745</v>
      </c>
      <c r="K123" s="13" t="s">
        <v>148</v>
      </c>
      <c r="L123" s="115"/>
      <c r="M123" s="115"/>
      <c r="N123" s="115"/>
      <c r="O123" s="115"/>
      <c r="P123" s="115"/>
      <c r="Q123" s="115"/>
      <c r="R123" s="115"/>
      <c r="S123" s="115"/>
      <c r="T123" s="115"/>
      <c r="U123" s="25"/>
      <c r="V123" s="13"/>
      <c r="AA123" s="116"/>
      <c r="AB123" s="123"/>
      <c r="AC123" s="123"/>
      <c r="AD123" s="123"/>
      <c r="AI123" s="115"/>
      <c r="AJ123" s="115"/>
      <c r="AK123" s="115"/>
      <c r="AL123" s="115"/>
      <c r="AM123" s="115"/>
      <c r="AN123" s="115"/>
      <c r="AO123" s="115"/>
      <c r="AP123" s="115"/>
      <c r="AQ123" s="115"/>
      <c r="AR123" s="115"/>
      <c r="AS123" s="25"/>
      <c r="AT123" s="13"/>
      <c r="AW123" s="114"/>
    </row>
    <row r="124" spans="1:49" ht="19.5" x14ac:dyDescent="0.4">
      <c r="A124" s="117"/>
      <c r="B124" s="123"/>
      <c r="C124" s="123"/>
      <c r="D124" s="123"/>
      <c r="F124" s="115"/>
      <c r="G124" s="115"/>
      <c r="H124" s="115"/>
      <c r="I124" s="115"/>
      <c r="J124" s="133" t="s">
        <v>205</v>
      </c>
      <c r="K124" s="13">
        <f>SUBTOTAL(3,K75:K123)</f>
        <v>49</v>
      </c>
      <c r="L124" s="115"/>
      <c r="M124" s="115"/>
      <c r="N124" s="115"/>
      <c r="O124" s="115"/>
      <c r="P124" s="115"/>
      <c r="Q124" s="115"/>
      <c r="R124" s="115"/>
      <c r="S124" s="115"/>
      <c r="T124" s="115"/>
      <c r="U124" s="25"/>
      <c r="V124" s="13"/>
      <c r="AA124" s="116"/>
      <c r="AB124" s="123"/>
      <c r="AC124" s="123"/>
      <c r="AD124" s="123"/>
      <c r="AI124" s="115"/>
      <c r="AJ124" s="115"/>
      <c r="AK124" s="115"/>
      <c r="AL124" s="115"/>
      <c r="AM124" s="115"/>
      <c r="AN124" s="115"/>
      <c r="AO124" s="115"/>
      <c r="AP124" s="115"/>
      <c r="AQ124" s="115"/>
      <c r="AR124" s="115"/>
      <c r="AS124" s="25"/>
      <c r="AT124" s="13"/>
      <c r="AW124" s="114"/>
    </row>
    <row r="125" spans="1:49" ht="19.5" x14ac:dyDescent="0.4">
      <c r="A125" s="117"/>
      <c r="B125" s="123"/>
      <c r="C125" s="123"/>
      <c r="D125" s="123"/>
      <c r="F125" s="115"/>
      <c r="G125" s="115"/>
      <c r="H125" s="115"/>
      <c r="I125" s="115"/>
      <c r="J125" s="25">
        <v>45746</v>
      </c>
      <c r="K125" s="13" t="s">
        <v>147</v>
      </c>
      <c r="L125" s="115"/>
      <c r="M125" s="115"/>
      <c r="N125" s="115"/>
      <c r="O125" s="115"/>
      <c r="P125" s="115"/>
      <c r="Q125" s="115"/>
      <c r="R125" s="115"/>
      <c r="S125" s="115"/>
      <c r="T125" s="115"/>
      <c r="U125" s="25"/>
      <c r="V125" s="13"/>
      <c r="AA125" s="116"/>
      <c r="AB125" s="123"/>
      <c r="AC125" s="123"/>
      <c r="AD125" s="123"/>
      <c r="AI125" s="115"/>
      <c r="AJ125" s="115"/>
      <c r="AK125" s="115"/>
      <c r="AL125" s="115"/>
      <c r="AM125" s="115"/>
      <c r="AN125" s="115"/>
      <c r="AO125" s="115"/>
      <c r="AP125" s="115"/>
      <c r="AQ125" s="115"/>
      <c r="AR125" s="115"/>
      <c r="AS125" s="25"/>
      <c r="AT125" s="13"/>
      <c r="AW125" s="114"/>
    </row>
    <row r="126" spans="1:49" ht="19.5" x14ac:dyDescent="0.4">
      <c r="A126" s="117"/>
      <c r="B126" s="123"/>
      <c r="C126" s="123"/>
      <c r="D126" s="123"/>
      <c r="F126" s="115"/>
      <c r="G126" s="115"/>
      <c r="H126" s="115"/>
      <c r="I126" s="115"/>
      <c r="J126" s="25">
        <v>45746</v>
      </c>
      <c r="K126" s="13" t="s">
        <v>146</v>
      </c>
      <c r="L126" s="115"/>
      <c r="M126" s="115"/>
      <c r="N126" s="115"/>
      <c r="O126" s="115"/>
      <c r="P126" s="115"/>
      <c r="Q126" s="115"/>
      <c r="R126" s="115"/>
      <c r="S126" s="115"/>
      <c r="T126" s="115"/>
      <c r="U126" s="25"/>
      <c r="V126" s="13"/>
      <c r="AA126" s="116"/>
      <c r="AB126" s="123"/>
      <c r="AC126" s="123"/>
      <c r="AD126" s="123"/>
      <c r="AI126" s="115"/>
      <c r="AJ126" s="115"/>
      <c r="AK126" s="115"/>
      <c r="AL126" s="115"/>
      <c r="AM126" s="115"/>
      <c r="AN126" s="115"/>
      <c r="AO126" s="115"/>
      <c r="AP126" s="115"/>
      <c r="AQ126" s="115"/>
      <c r="AR126" s="115"/>
      <c r="AS126" s="25"/>
      <c r="AT126" s="13"/>
      <c r="AW126" s="114"/>
    </row>
    <row r="127" spans="1:49" ht="19.5" x14ac:dyDescent="0.4">
      <c r="A127" s="117"/>
      <c r="B127" s="123"/>
      <c r="C127" s="123"/>
      <c r="D127" s="123"/>
      <c r="F127" s="115"/>
      <c r="G127" s="115"/>
      <c r="H127" s="115"/>
      <c r="I127" s="115"/>
      <c r="J127" s="25">
        <v>45746</v>
      </c>
      <c r="K127" s="13" t="s">
        <v>146</v>
      </c>
      <c r="L127" s="115"/>
      <c r="M127" s="115"/>
      <c r="N127" s="115"/>
      <c r="O127" s="115"/>
      <c r="P127" s="115"/>
      <c r="Q127" s="115"/>
      <c r="R127" s="115"/>
      <c r="S127" s="115"/>
      <c r="T127" s="115"/>
      <c r="U127" s="25"/>
      <c r="V127" s="13"/>
      <c r="AA127" s="116"/>
      <c r="AB127" s="123"/>
      <c r="AC127" s="123"/>
      <c r="AD127" s="123"/>
      <c r="AI127" s="115"/>
      <c r="AJ127" s="115"/>
      <c r="AK127" s="115"/>
      <c r="AL127" s="115"/>
      <c r="AM127" s="115"/>
      <c r="AN127" s="115"/>
      <c r="AO127" s="115"/>
      <c r="AP127" s="115"/>
      <c r="AQ127" s="115"/>
      <c r="AR127" s="115"/>
      <c r="AS127" s="25"/>
      <c r="AT127" s="13"/>
      <c r="AW127" s="114"/>
    </row>
    <row r="128" spans="1:49" ht="19.5" x14ac:dyDescent="0.4">
      <c r="A128" s="117"/>
      <c r="B128" s="123"/>
      <c r="C128" s="123"/>
      <c r="D128" s="123"/>
      <c r="F128" s="115"/>
      <c r="G128" s="115"/>
      <c r="H128" s="115"/>
      <c r="I128" s="115"/>
      <c r="J128" s="25">
        <v>45746</v>
      </c>
      <c r="K128" s="13" t="s">
        <v>148</v>
      </c>
      <c r="L128" s="115"/>
      <c r="M128" s="115"/>
      <c r="N128" s="115"/>
      <c r="O128" s="115"/>
      <c r="P128" s="115"/>
      <c r="Q128" s="115"/>
      <c r="R128" s="115"/>
      <c r="S128" s="115"/>
      <c r="T128" s="115"/>
      <c r="U128" s="25"/>
      <c r="V128" s="13"/>
      <c r="AA128" s="116"/>
      <c r="AB128" s="123"/>
      <c r="AC128" s="123"/>
      <c r="AD128" s="123"/>
      <c r="AI128" s="115"/>
      <c r="AJ128" s="115"/>
      <c r="AK128" s="115"/>
      <c r="AL128" s="115"/>
      <c r="AM128" s="115"/>
      <c r="AN128" s="115"/>
      <c r="AO128" s="115"/>
      <c r="AP128" s="115"/>
      <c r="AQ128" s="115"/>
      <c r="AR128" s="115"/>
      <c r="AS128" s="25"/>
      <c r="AT128" s="13"/>
      <c r="AW128" s="114"/>
    </row>
    <row r="129" spans="1:49" ht="19.5" x14ac:dyDescent="0.4">
      <c r="A129" s="117"/>
      <c r="B129" s="123"/>
      <c r="C129" s="123"/>
      <c r="D129" s="123"/>
      <c r="F129" s="115"/>
      <c r="G129" s="115"/>
      <c r="H129" s="115"/>
      <c r="I129" s="115"/>
      <c r="J129" s="25">
        <v>45746</v>
      </c>
      <c r="K129" s="13" t="s">
        <v>146</v>
      </c>
      <c r="L129" s="115"/>
      <c r="M129" s="115"/>
      <c r="N129" s="115"/>
      <c r="O129" s="115"/>
      <c r="P129" s="115"/>
      <c r="Q129" s="115"/>
      <c r="R129" s="115"/>
      <c r="S129" s="115"/>
      <c r="T129" s="115"/>
      <c r="U129" s="25">
        <v>45680</v>
      </c>
      <c r="V129" s="13" t="s">
        <v>146</v>
      </c>
      <c r="AA129" s="116"/>
      <c r="AB129" s="123"/>
      <c r="AC129" s="123"/>
      <c r="AD129" s="123"/>
      <c r="AI129" s="115"/>
      <c r="AJ129" s="115"/>
      <c r="AK129" s="115"/>
      <c r="AL129" s="115"/>
      <c r="AM129" s="115"/>
      <c r="AN129" s="115"/>
      <c r="AO129" s="115"/>
      <c r="AP129" s="115"/>
      <c r="AQ129" s="115"/>
      <c r="AR129" s="115"/>
      <c r="AS129" s="25"/>
      <c r="AT129" s="13"/>
      <c r="AW129" s="114"/>
    </row>
    <row r="130" spans="1:49" ht="19.5" x14ac:dyDescent="0.4">
      <c r="A130" s="117"/>
      <c r="B130" s="123"/>
      <c r="C130" s="123"/>
      <c r="D130" s="123"/>
      <c r="F130" s="115"/>
      <c r="G130" s="115"/>
      <c r="H130" s="115"/>
      <c r="I130" s="115"/>
      <c r="J130" s="25">
        <v>45746</v>
      </c>
      <c r="K130" s="13" t="s">
        <v>148</v>
      </c>
      <c r="L130" s="115"/>
      <c r="M130" s="115"/>
      <c r="N130" s="115"/>
      <c r="O130" s="115"/>
      <c r="P130" s="115"/>
      <c r="Q130" s="115"/>
      <c r="R130" s="115"/>
      <c r="S130" s="115"/>
      <c r="T130" s="115"/>
      <c r="U130" s="25">
        <v>45680</v>
      </c>
      <c r="V130" s="13" t="s">
        <v>147</v>
      </c>
      <c r="AA130" s="116"/>
      <c r="AB130" s="123"/>
      <c r="AC130" s="123"/>
      <c r="AD130" s="123"/>
      <c r="AI130" s="115"/>
      <c r="AJ130" s="115"/>
      <c r="AK130" s="115"/>
      <c r="AL130" s="115"/>
      <c r="AM130" s="115"/>
      <c r="AN130" s="115"/>
      <c r="AO130" s="115"/>
      <c r="AP130" s="115"/>
      <c r="AQ130" s="115"/>
      <c r="AR130" s="115"/>
      <c r="AS130" s="25"/>
      <c r="AT130" s="13"/>
      <c r="AW130" s="114"/>
    </row>
    <row r="131" spans="1:49" ht="19.5" x14ac:dyDescent="0.4">
      <c r="A131" s="117"/>
      <c r="B131" s="123"/>
      <c r="C131" s="123"/>
      <c r="D131" s="123"/>
      <c r="F131" s="115"/>
      <c r="G131" s="115"/>
      <c r="H131" s="115"/>
      <c r="I131" s="115"/>
      <c r="J131" s="25">
        <v>45746</v>
      </c>
      <c r="K131" s="13" t="s">
        <v>146</v>
      </c>
      <c r="L131" s="115"/>
      <c r="M131" s="115"/>
      <c r="N131" s="115"/>
      <c r="O131" s="115"/>
      <c r="P131" s="115"/>
      <c r="Q131" s="115"/>
      <c r="R131" s="115"/>
      <c r="S131" s="115"/>
      <c r="T131" s="115"/>
      <c r="U131" s="25">
        <v>45680</v>
      </c>
      <c r="V131" s="13" t="s">
        <v>146</v>
      </c>
      <c r="AA131" s="116"/>
      <c r="AB131" s="123"/>
      <c r="AC131" s="123"/>
      <c r="AD131" s="123"/>
      <c r="AI131" s="115"/>
      <c r="AJ131" s="115"/>
      <c r="AK131" s="115"/>
      <c r="AL131" s="115"/>
      <c r="AM131" s="115"/>
      <c r="AN131" s="115"/>
      <c r="AO131" s="115"/>
      <c r="AP131" s="115"/>
      <c r="AQ131" s="115"/>
      <c r="AR131" s="115"/>
      <c r="AS131" s="25"/>
      <c r="AT131" s="13"/>
      <c r="AW131" s="114"/>
    </row>
    <row r="132" spans="1:49" ht="19.5" x14ac:dyDescent="0.4">
      <c r="A132" s="117"/>
      <c r="B132" s="123"/>
      <c r="C132" s="123"/>
      <c r="D132" s="123"/>
      <c r="F132" s="115"/>
      <c r="G132" s="115"/>
      <c r="H132" s="115"/>
      <c r="I132" s="115"/>
      <c r="J132" s="26">
        <v>45746</v>
      </c>
      <c r="K132" s="15" t="s">
        <v>142</v>
      </c>
      <c r="L132" s="115"/>
      <c r="M132" s="115"/>
      <c r="N132" s="115"/>
      <c r="O132" s="115"/>
      <c r="P132" s="115"/>
      <c r="Q132" s="115"/>
      <c r="R132" s="115"/>
      <c r="S132" s="115"/>
      <c r="T132" s="115"/>
      <c r="U132" s="25"/>
      <c r="V132" s="13"/>
      <c r="AA132" s="116"/>
      <c r="AB132" s="123"/>
      <c r="AC132" s="123"/>
      <c r="AD132" s="123"/>
      <c r="AI132" s="115"/>
      <c r="AJ132" s="115"/>
      <c r="AK132" s="115"/>
      <c r="AL132" s="115"/>
      <c r="AM132" s="115"/>
      <c r="AN132" s="115"/>
      <c r="AO132" s="115"/>
      <c r="AP132" s="115"/>
      <c r="AQ132" s="115"/>
      <c r="AR132" s="115"/>
      <c r="AS132" s="25"/>
      <c r="AT132" s="13"/>
      <c r="AW132" s="114"/>
    </row>
    <row r="133" spans="1:49" ht="19.5" x14ac:dyDescent="0.4">
      <c r="A133" s="117"/>
      <c r="B133" s="123"/>
      <c r="C133" s="123"/>
      <c r="D133" s="123"/>
      <c r="J133" s="26">
        <v>45746</v>
      </c>
      <c r="K133" s="13" t="s">
        <v>147</v>
      </c>
      <c r="U133" s="25">
        <v>45680</v>
      </c>
      <c r="V133" s="13" t="s">
        <v>146</v>
      </c>
      <c r="AA133" s="117"/>
      <c r="AB133" s="123"/>
      <c r="AC133" s="123"/>
      <c r="AD133" s="123"/>
      <c r="AI133" s="115"/>
      <c r="AJ133" s="115"/>
      <c r="AK133" s="115"/>
      <c r="AL133" s="115"/>
      <c r="AM133" s="115"/>
      <c r="AN133" s="115"/>
      <c r="AO133" s="115"/>
      <c r="AP133" s="115"/>
      <c r="AQ133" s="115"/>
      <c r="AR133" s="115" t="s">
        <v>149</v>
      </c>
      <c r="AS133" s="13">
        <f>SUBTOTAL(3,AS2:AS2)</f>
        <v>1</v>
      </c>
      <c r="AT133" s="13">
        <f>SUBTOTAL(3,AT2:AT2)</f>
        <v>1</v>
      </c>
      <c r="AW133" s="114"/>
    </row>
    <row r="134" spans="1:49" ht="19.5" x14ac:dyDescent="0.4">
      <c r="A134" s="117"/>
      <c r="B134" s="123"/>
      <c r="C134" s="123"/>
      <c r="D134" s="123"/>
      <c r="J134" s="129" t="s">
        <v>380</v>
      </c>
      <c r="K134" s="13">
        <f>SUBTOTAL(3,K125:K133)</f>
        <v>9</v>
      </c>
      <c r="U134" s="25"/>
      <c r="V134" s="13"/>
      <c r="AA134" s="117"/>
      <c r="AB134" s="123"/>
      <c r="AC134" s="123"/>
      <c r="AD134" s="123"/>
      <c r="AI134" s="115"/>
      <c r="AJ134" s="115"/>
      <c r="AK134" s="115"/>
      <c r="AL134" s="115"/>
      <c r="AM134" s="115"/>
      <c r="AN134" s="115"/>
      <c r="AO134" s="115"/>
      <c r="AP134" s="115"/>
      <c r="AQ134" s="115"/>
      <c r="AR134" s="115"/>
      <c r="AS134" s="13"/>
      <c r="AT134" s="13"/>
      <c r="AW134" s="114"/>
    </row>
    <row r="135" spans="1:49" ht="19.5" x14ac:dyDescent="0.4">
      <c r="A135" s="117"/>
      <c r="B135" s="123"/>
      <c r="C135" s="123"/>
      <c r="D135" s="123"/>
      <c r="J135" s="26">
        <v>45747</v>
      </c>
      <c r="K135" s="13" t="s">
        <v>148</v>
      </c>
      <c r="L135" s="115"/>
      <c r="M135" s="115"/>
      <c r="N135" s="115"/>
      <c r="O135" s="115"/>
      <c r="P135" s="115"/>
      <c r="Q135" s="115"/>
      <c r="R135" s="115"/>
      <c r="S135" s="115"/>
      <c r="T135" s="115"/>
      <c r="U135" s="25">
        <v>45682</v>
      </c>
      <c r="V135" s="13" t="s">
        <v>147</v>
      </c>
      <c r="AA135" s="117"/>
      <c r="AB135" s="123"/>
      <c r="AC135" s="123"/>
      <c r="AD135" s="123"/>
      <c r="AI135" s="115"/>
      <c r="AJ135" s="115"/>
      <c r="AK135" s="115"/>
      <c r="AL135" s="115"/>
      <c r="AM135" s="115"/>
      <c r="AN135" s="115"/>
      <c r="AO135" s="115"/>
      <c r="AP135" s="115"/>
      <c r="AQ135" s="115"/>
      <c r="AR135" s="115"/>
      <c r="AS135" s="13"/>
      <c r="AT135" s="13"/>
      <c r="AW135" s="114"/>
    </row>
    <row r="136" spans="1:49" ht="19.5" x14ac:dyDescent="0.4">
      <c r="A136" s="117"/>
      <c r="B136" s="123"/>
      <c r="C136" s="123"/>
      <c r="D136" s="123"/>
      <c r="J136" s="26">
        <v>45747</v>
      </c>
      <c r="K136" s="13" t="s">
        <v>146</v>
      </c>
      <c r="L136" s="115"/>
      <c r="M136" s="115"/>
      <c r="N136" s="115"/>
      <c r="O136" s="115"/>
      <c r="P136" s="115"/>
      <c r="Q136" s="115"/>
      <c r="R136" s="115"/>
      <c r="S136" s="115"/>
      <c r="T136" s="115"/>
      <c r="U136" s="25">
        <v>45682</v>
      </c>
      <c r="V136" s="13" t="s">
        <v>146</v>
      </c>
      <c r="AA136" s="117"/>
      <c r="AB136" s="123"/>
      <c r="AC136" s="123"/>
      <c r="AD136" s="123"/>
      <c r="AI136" s="115"/>
      <c r="AJ136" s="115"/>
      <c r="AK136" s="115"/>
      <c r="AL136" s="115"/>
      <c r="AM136" s="115"/>
      <c r="AN136" s="115"/>
      <c r="AO136" s="115"/>
      <c r="AP136" s="115"/>
      <c r="AQ136" s="115"/>
      <c r="AR136" s="115"/>
      <c r="AS136" s="13"/>
      <c r="AT136" s="13"/>
      <c r="AW136" s="114"/>
    </row>
    <row r="137" spans="1:49" ht="19.5" x14ac:dyDescent="0.4">
      <c r="A137" s="117"/>
      <c r="B137" s="123"/>
      <c r="C137" s="123"/>
      <c r="D137" s="123"/>
      <c r="G137" s="115"/>
      <c r="H137" s="115"/>
      <c r="I137" s="115"/>
      <c r="J137" s="26">
        <v>45747</v>
      </c>
      <c r="K137" s="13" t="s">
        <v>146</v>
      </c>
      <c r="L137" s="115"/>
      <c r="M137" s="115"/>
      <c r="N137" s="115"/>
      <c r="O137" s="115"/>
      <c r="P137" s="115"/>
      <c r="Q137" s="115"/>
      <c r="R137" s="115"/>
      <c r="S137" s="115"/>
      <c r="T137" s="115"/>
      <c r="U137" s="25"/>
      <c r="V137" s="13"/>
      <c r="AA137" s="117"/>
      <c r="AB137" s="123"/>
      <c r="AC137" s="123"/>
      <c r="AD137" s="123"/>
      <c r="AI137" s="115"/>
      <c r="AJ137" s="115"/>
      <c r="AK137" s="115"/>
      <c r="AL137" s="115"/>
      <c r="AM137" s="115"/>
      <c r="AN137" s="115"/>
      <c r="AO137" s="115"/>
      <c r="AP137" s="115"/>
      <c r="AQ137" s="115"/>
      <c r="AR137" s="115"/>
      <c r="AS137" s="13"/>
      <c r="AT137" s="13"/>
      <c r="AW137" s="114"/>
    </row>
    <row r="138" spans="1:49" ht="19.5" x14ac:dyDescent="0.4">
      <c r="A138" s="117"/>
      <c r="B138" s="123"/>
      <c r="C138" s="123"/>
      <c r="D138" s="123"/>
      <c r="G138" s="115"/>
      <c r="H138" s="115"/>
      <c r="I138" s="115"/>
      <c r="J138" s="26">
        <v>45747</v>
      </c>
      <c r="K138" s="13" t="s">
        <v>146</v>
      </c>
      <c r="L138" s="115"/>
      <c r="M138" s="115"/>
      <c r="N138" s="115"/>
      <c r="O138" s="115"/>
      <c r="P138" s="115"/>
      <c r="Q138" s="115"/>
      <c r="R138" s="115"/>
      <c r="S138" s="115"/>
      <c r="T138" s="115"/>
      <c r="U138" s="25"/>
      <c r="V138" s="13"/>
      <c r="AA138" s="117"/>
      <c r="AB138" s="123"/>
      <c r="AC138" s="123"/>
      <c r="AD138" s="123"/>
      <c r="AI138" s="115"/>
      <c r="AJ138" s="115"/>
      <c r="AK138" s="115"/>
      <c r="AL138" s="115"/>
      <c r="AM138" s="115"/>
      <c r="AN138" s="115"/>
      <c r="AO138" s="115"/>
      <c r="AP138" s="115"/>
      <c r="AQ138" s="115"/>
      <c r="AR138" s="115"/>
      <c r="AS138" s="13"/>
      <c r="AT138" s="13"/>
      <c r="AW138" s="114"/>
    </row>
    <row r="139" spans="1:49" ht="19.5" x14ac:dyDescent="0.4">
      <c r="A139" s="117"/>
      <c r="B139" s="123"/>
      <c r="C139" s="123"/>
      <c r="D139" s="123"/>
      <c r="G139" s="115"/>
      <c r="H139" s="115"/>
      <c r="I139" s="115"/>
      <c r="J139" s="26">
        <v>45747</v>
      </c>
      <c r="K139" s="13" t="s">
        <v>146</v>
      </c>
      <c r="L139" s="115"/>
      <c r="M139" s="115"/>
      <c r="N139" s="115"/>
      <c r="O139" s="115"/>
      <c r="P139" s="115"/>
      <c r="Q139" s="115"/>
      <c r="R139" s="115"/>
      <c r="S139" s="115"/>
      <c r="T139" s="115"/>
      <c r="U139" s="25"/>
      <c r="V139" s="13"/>
      <c r="AA139" s="117"/>
      <c r="AB139" s="123"/>
      <c r="AC139" s="123"/>
      <c r="AD139" s="123"/>
      <c r="AI139" s="115"/>
      <c r="AJ139" s="115"/>
      <c r="AK139" s="115"/>
      <c r="AL139" s="115"/>
      <c r="AM139" s="115"/>
      <c r="AN139" s="115"/>
      <c r="AO139" s="115"/>
      <c r="AP139" s="115"/>
      <c r="AQ139" s="115"/>
      <c r="AR139" s="115"/>
      <c r="AS139" s="13"/>
      <c r="AT139" s="13"/>
      <c r="AW139" s="114"/>
    </row>
    <row r="140" spans="1:49" ht="19.5" x14ac:dyDescent="0.4">
      <c r="A140" s="117"/>
      <c r="B140" s="123"/>
      <c r="C140" s="123"/>
      <c r="D140" s="123"/>
      <c r="J140" s="26">
        <v>45747</v>
      </c>
      <c r="K140" s="13" t="s">
        <v>147</v>
      </c>
      <c r="L140" s="115"/>
      <c r="M140" s="115"/>
      <c r="N140" s="115"/>
      <c r="O140" s="115"/>
      <c r="P140" s="115"/>
      <c r="Q140" s="115"/>
      <c r="R140" s="115"/>
      <c r="S140" s="115"/>
      <c r="T140" s="115"/>
      <c r="U140" s="25">
        <v>45682</v>
      </c>
      <c r="V140" s="13" t="s">
        <v>147</v>
      </c>
      <c r="AA140" s="117"/>
      <c r="AB140" s="123"/>
      <c r="AC140" s="123"/>
      <c r="AD140" s="123"/>
      <c r="AI140" s="115"/>
      <c r="AJ140" s="115"/>
      <c r="AK140" s="115"/>
      <c r="AL140" s="115"/>
      <c r="AM140" s="115"/>
      <c r="AN140" s="115"/>
      <c r="AO140" s="115"/>
      <c r="AP140" s="115"/>
      <c r="AQ140" s="115"/>
      <c r="AR140" s="115"/>
      <c r="AS140" s="13"/>
      <c r="AT140" s="13"/>
      <c r="AW140" s="114"/>
    </row>
    <row r="141" spans="1:49" ht="19.5" x14ac:dyDescent="0.4">
      <c r="A141" s="117"/>
      <c r="B141" s="123"/>
      <c r="C141" s="123"/>
      <c r="D141" s="123"/>
      <c r="J141" s="129" t="s">
        <v>206</v>
      </c>
      <c r="K141" s="13">
        <f>SUBTOTAL(3,K135:K140)</f>
        <v>6</v>
      </c>
      <c r="L141" s="115"/>
      <c r="M141" s="115"/>
      <c r="N141" s="115"/>
      <c r="O141" s="115"/>
      <c r="P141" s="115"/>
      <c r="Q141" s="115"/>
      <c r="R141" s="115"/>
      <c r="S141" s="115"/>
      <c r="T141" s="115"/>
      <c r="U141" s="25"/>
      <c r="V141" s="13"/>
      <c r="AA141" s="117"/>
      <c r="AB141" s="123"/>
      <c r="AC141" s="123"/>
      <c r="AD141" s="123"/>
      <c r="AI141" s="115"/>
      <c r="AJ141" s="115"/>
      <c r="AK141" s="115"/>
      <c r="AL141" s="115"/>
      <c r="AM141" s="115"/>
      <c r="AN141" s="115"/>
      <c r="AO141" s="115"/>
      <c r="AP141" s="115"/>
      <c r="AQ141" s="115"/>
      <c r="AR141" s="115"/>
      <c r="AS141" s="13"/>
      <c r="AT141" s="13"/>
      <c r="AW141" s="114"/>
    </row>
    <row r="142" spans="1:49" ht="19.5" x14ac:dyDescent="0.4">
      <c r="A142" s="117"/>
      <c r="B142" s="123"/>
      <c r="C142" s="123"/>
      <c r="D142" s="123"/>
      <c r="J142" s="26">
        <v>45748</v>
      </c>
      <c r="K142" s="13" t="s">
        <v>146</v>
      </c>
      <c r="L142" s="115"/>
      <c r="M142" s="115"/>
      <c r="N142" s="115"/>
      <c r="O142" s="115"/>
      <c r="P142" s="115"/>
      <c r="Q142" s="115"/>
      <c r="R142" s="115"/>
      <c r="S142" s="115"/>
      <c r="T142" s="115"/>
      <c r="U142" s="25"/>
      <c r="V142" s="13"/>
      <c r="AA142" s="117"/>
      <c r="AB142" s="123"/>
      <c r="AC142" s="123"/>
      <c r="AD142" s="123"/>
      <c r="AI142" s="115"/>
      <c r="AJ142" s="115"/>
      <c r="AK142" s="115"/>
      <c r="AL142" s="115"/>
      <c r="AM142" s="115"/>
      <c r="AN142" s="115"/>
      <c r="AO142" s="115"/>
      <c r="AP142" s="115"/>
      <c r="AQ142" s="115"/>
      <c r="AR142" s="115"/>
      <c r="AS142" s="13"/>
      <c r="AT142" s="13"/>
      <c r="AW142" s="114"/>
    </row>
    <row r="143" spans="1:49" ht="19.5" x14ac:dyDescent="0.4">
      <c r="A143" s="117"/>
      <c r="B143" s="123"/>
      <c r="C143" s="123"/>
      <c r="D143" s="123"/>
      <c r="J143" s="26">
        <v>45748</v>
      </c>
      <c r="K143" s="13" t="s">
        <v>146</v>
      </c>
      <c r="U143" s="25">
        <v>45682</v>
      </c>
      <c r="V143" s="15" t="s">
        <v>146</v>
      </c>
      <c r="AA143" s="117"/>
      <c r="AB143" s="123"/>
      <c r="AC143" s="123"/>
      <c r="AD143" s="123"/>
      <c r="AI143" s="115"/>
      <c r="AJ143" s="115"/>
      <c r="AK143" s="115"/>
      <c r="AL143" s="115"/>
      <c r="AM143" s="115"/>
      <c r="AN143" s="115"/>
      <c r="AO143" s="115"/>
      <c r="AP143" s="115"/>
      <c r="AQ143" s="115"/>
      <c r="AR143" s="115"/>
      <c r="AS143" s="13"/>
      <c r="AT143" s="13"/>
      <c r="AW143" s="114"/>
    </row>
    <row r="144" spans="1:49" ht="19.5" x14ac:dyDescent="0.4">
      <c r="A144" s="117"/>
      <c r="B144" s="123"/>
      <c r="C144" s="123"/>
      <c r="D144" s="123"/>
      <c r="J144" s="129" t="s">
        <v>381</v>
      </c>
      <c r="K144" s="13">
        <f>SUBTOTAL(3,K142:K143)</f>
        <v>2</v>
      </c>
      <c r="U144" s="25"/>
      <c r="V144" s="15"/>
      <c r="AA144" s="117"/>
      <c r="AB144" s="123"/>
      <c r="AC144" s="123"/>
      <c r="AD144" s="123"/>
      <c r="AI144" s="115"/>
      <c r="AJ144" s="115"/>
      <c r="AK144" s="115"/>
      <c r="AL144" s="115"/>
      <c r="AM144" s="115"/>
      <c r="AN144" s="115"/>
      <c r="AO144" s="115"/>
      <c r="AP144" s="115"/>
      <c r="AQ144" s="115"/>
      <c r="AR144" s="115"/>
      <c r="AS144" s="13"/>
      <c r="AT144" s="13"/>
      <c r="AW144" s="114"/>
    </row>
    <row r="145" spans="1:49" ht="19.5" x14ac:dyDescent="0.4">
      <c r="A145" s="117"/>
      <c r="B145" s="123"/>
      <c r="C145" s="123"/>
      <c r="D145" s="123"/>
      <c r="J145" s="26">
        <v>45750</v>
      </c>
      <c r="K145" s="13" t="s">
        <v>147</v>
      </c>
      <c r="U145" s="25"/>
      <c r="V145" s="15"/>
      <c r="AA145" s="117"/>
      <c r="AB145" s="123"/>
      <c r="AC145" s="123"/>
      <c r="AD145" s="123"/>
      <c r="AI145" s="115"/>
      <c r="AJ145" s="115"/>
      <c r="AK145" s="115"/>
      <c r="AL145" s="115"/>
      <c r="AM145" s="115"/>
      <c r="AN145" s="115"/>
      <c r="AO145" s="115"/>
      <c r="AP145" s="115"/>
      <c r="AQ145" s="115"/>
      <c r="AR145" s="115"/>
      <c r="AS145" s="13"/>
      <c r="AT145" s="13"/>
      <c r="AW145" s="114"/>
    </row>
    <row r="146" spans="1:49" ht="19.5" x14ac:dyDescent="0.4">
      <c r="A146" s="117"/>
      <c r="B146" s="123"/>
      <c r="C146" s="123"/>
      <c r="D146" s="123"/>
      <c r="I146" s="115"/>
      <c r="J146" s="26">
        <v>45750</v>
      </c>
      <c r="K146" s="13" t="s">
        <v>147</v>
      </c>
      <c r="U146" s="25"/>
      <c r="V146" s="15"/>
      <c r="AA146" s="117"/>
      <c r="AB146" s="123"/>
      <c r="AC146" s="123"/>
      <c r="AD146" s="123"/>
      <c r="AI146" s="115"/>
      <c r="AJ146" s="115"/>
      <c r="AK146" s="115"/>
      <c r="AL146" s="115"/>
      <c r="AM146" s="115"/>
      <c r="AN146" s="115"/>
      <c r="AO146" s="115"/>
      <c r="AP146" s="115"/>
      <c r="AQ146" s="115"/>
      <c r="AR146" s="115"/>
      <c r="AS146" s="13"/>
      <c r="AT146" s="13"/>
      <c r="AW146" s="114"/>
    </row>
    <row r="147" spans="1:49" ht="19.5" x14ac:dyDescent="0.4">
      <c r="A147" s="117"/>
      <c r="B147" s="123"/>
      <c r="C147" s="123"/>
      <c r="D147" s="123"/>
      <c r="J147" s="26">
        <v>45750</v>
      </c>
      <c r="K147" s="13" t="s">
        <v>148</v>
      </c>
      <c r="L147" s="115"/>
      <c r="M147" s="115"/>
      <c r="N147" s="115"/>
      <c r="O147" s="115"/>
      <c r="P147" s="115"/>
      <c r="Q147" s="115"/>
      <c r="R147" s="115"/>
      <c r="S147" s="115"/>
      <c r="T147" s="115"/>
      <c r="U147" s="25">
        <v>45682</v>
      </c>
      <c r="V147" s="15" t="s">
        <v>146</v>
      </c>
      <c r="AA147" s="117"/>
      <c r="AB147" s="123"/>
      <c r="AC147" s="123"/>
      <c r="AD147" s="123"/>
      <c r="AI147" s="115"/>
      <c r="AJ147" s="115"/>
      <c r="AK147" s="115"/>
      <c r="AL147" s="115"/>
      <c r="AM147" s="115"/>
      <c r="AN147" s="115"/>
      <c r="AO147" s="115"/>
      <c r="AP147" s="115"/>
      <c r="AQ147" s="115"/>
      <c r="AR147" s="115"/>
      <c r="AS147" s="13"/>
      <c r="AT147" s="13"/>
      <c r="AW147" s="114"/>
    </row>
    <row r="148" spans="1:49" ht="19.5" x14ac:dyDescent="0.4">
      <c r="A148" s="117"/>
      <c r="B148" s="123"/>
      <c r="C148" s="123"/>
      <c r="D148" s="123"/>
      <c r="J148" s="129" t="s">
        <v>207</v>
      </c>
      <c r="K148" s="13">
        <f>SUBTOTAL(3,K145:K147)</f>
        <v>3</v>
      </c>
      <c r="L148" s="115"/>
      <c r="M148" s="115"/>
      <c r="N148" s="115"/>
      <c r="O148" s="115"/>
      <c r="P148" s="115"/>
      <c r="Q148" s="115"/>
      <c r="R148" s="115"/>
      <c r="S148" s="115"/>
      <c r="T148" s="115"/>
      <c r="U148" s="25"/>
      <c r="V148" s="15"/>
      <c r="AA148" s="117"/>
      <c r="AB148" s="123"/>
      <c r="AC148" s="123"/>
      <c r="AD148" s="123"/>
      <c r="AI148" s="115"/>
      <c r="AJ148" s="115"/>
      <c r="AK148" s="115"/>
      <c r="AL148" s="115"/>
      <c r="AM148" s="115"/>
      <c r="AN148" s="115"/>
      <c r="AO148" s="115"/>
      <c r="AP148" s="115"/>
      <c r="AQ148" s="115"/>
      <c r="AR148" s="115"/>
      <c r="AS148" s="13"/>
      <c r="AT148" s="13"/>
      <c r="AW148" s="114"/>
    </row>
    <row r="149" spans="1:49" ht="19.5" x14ac:dyDescent="0.4">
      <c r="A149" s="117"/>
      <c r="B149" s="123"/>
      <c r="C149" s="123"/>
      <c r="D149" s="123"/>
      <c r="J149" s="26">
        <v>45752</v>
      </c>
      <c r="K149" s="13" t="s">
        <v>148</v>
      </c>
      <c r="L149" s="115"/>
      <c r="M149" s="115"/>
      <c r="N149" s="115"/>
      <c r="O149" s="115"/>
      <c r="P149" s="115"/>
      <c r="Q149" s="115"/>
      <c r="R149" s="115"/>
      <c r="S149" s="115"/>
      <c r="T149" s="115"/>
      <c r="U149" s="25">
        <v>45682</v>
      </c>
      <c r="V149" s="15" t="s">
        <v>148</v>
      </c>
      <c r="AA149" s="117"/>
      <c r="AB149" s="123"/>
      <c r="AC149" s="123"/>
      <c r="AD149" s="123"/>
      <c r="AI149" s="115"/>
      <c r="AJ149" s="115"/>
      <c r="AK149" s="115"/>
      <c r="AL149" s="115"/>
      <c r="AM149" s="115"/>
      <c r="AN149" s="115"/>
      <c r="AO149" s="115"/>
      <c r="AP149" s="115"/>
      <c r="AQ149" s="115"/>
      <c r="AR149" s="115"/>
      <c r="AS149" s="13"/>
      <c r="AT149" s="13"/>
      <c r="AW149" s="114"/>
    </row>
    <row r="150" spans="1:49" ht="19.5" x14ac:dyDescent="0.4">
      <c r="A150" s="117"/>
      <c r="B150" s="123"/>
      <c r="C150" s="123"/>
      <c r="D150" s="123"/>
      <c r="J150" s="26">
        <v>45752</v>
      </c>
      <c r="K150" s="13" t="s">
        <v>146</v>
      </c>
      <c r="L150" s="115"/>
      <c r="M150" s="115"/>
      <c r="N150" s="115"/>
      <c r="O150" s="115"/>
      <c r="P150" s="115"/>
      <c r="Q150" s="115"/>
      <c r="R150" s="115"/>
      <c r="S150" s="115"/>
      <c r="T150" s="115"/>
      <c r="U150" s="25">
        <v>45682</v>
      </c>
      <c r="V150" s="15" t="s">
        <v>146</v>
      </c>
      <c r="AA150" s="117"/>
      <c r="AB150" s="123"/>
      <c r="AC150" s="123"/>
      <c r="AD150" s="123"/>
      <c r="AI150" s="115"/>
      <c r="AJ150" s="115"/>
      <c r="AK150" s="115"/>
      <c r="AL150" s="115"/>
      <c r="AM150" s="115"/>
      <c r="AN150" s="115"/>
      <c r="AO150" s="115"/>
      <c r="AP150" s="115"/>
      <c r="AQ150" s="115"/>
      <c r="AR150" s="115"/>
      <c r="AS150" s="13"/>
      <c r="AT150" s="13"/>
      <c r="AW150" s="114"/>
    </row>
    <row r="151" spans="1:49" ht="19.5" x14ac:dyDescent="0.4">
      <c r="A151" s="117"/>
      <c r="B151" s="123"/>
      <c r="C151" s="123"/>
      <c r="D151" s="123"/>
      <c r="J151" s="26">
        <v>45752</v>
      </c>
      <c r="K151" s="13" t="s">
        <v>142</v>
      </c>
      <c r="L151" s="115"/>
      <c r="M151" s="115"/>
      <c r="N151" s="115"/>
      <c r="O151" s="115"/>
      <c r="P151" s="115"/>
      <c r="Q151" s="115"/>
      <c r="R151" s="115"/>
      <c r="S151" s="115"/>
      <c r="T151" s="115"/>
      <c r="U151" s="25">
        <v>45682</v>
      </c>
      <c r="V151" s="15" t="s">
        <v>148</v>
      </c>
      <c r="AA151" s="117"/>
      <c r="AB151" s="123"/>
      <c r="AC151" s="123"/>
      <c r="AD151" s="123"/>
      <c r="AI151" s="115"/>
      <c r="AJ151" s="115"/>
      <c r="AK151" s="115"/>
      <c r="AL151" s="115"/>
      <c r="AM151" s="115"/>
      <c r="AN151" s="115"/>
      <c r="AO151" s="115"/>
      <c r="AP151" s="115"/>
      <c r="AQ151" s="115"/>
      <c r="AR151" s="115"/>
      <c r="AS151" s="13"/>
      <c r="AT151" s="13"/>
      <c r="AW151" s="114"/>
    </row>
    <row r="152" spans="1:49" ht="19.5" x14ac:dyDescent="0.4">
      <c r="A152" s="117"/>
      <c r="B152" s="123"/>
      <c r="C152" s="123"/>
      <c r="D152" s="123"/>
      <c r="I152" s="115"/>
      <c r="J152" s="26">
        <v>45752</v>
      </c>
      <c r="K152" s="13" t="s">
        <v>146</v>
      </c>
      <c r="L152" s="115"/>
      <c r="M152" s="115"/>
      <c r="N152" s="115"/>
      <c r="O152" s="115"/>
      <c r="P152" s="115"/>
      <c r="Q152" s="115"/>
      <c r="R152" s="115"/>
      <c r="S152" s="115"/>
      <c r="T152" s="115"/>
      <c r="U152" s="25"/>
      <c r="V152" s="15"/>
      <c r="AA152" s="117"/>
      <c r="AB152" s="123"/>
      <c r="AC152" s="123"/>
      <c r="AD152" s="123"/>
      <c r="AI152" s="115"/>
      <c r="AJ152" s="115"/>
      <c r="AK152" s="115"/>
      <c r="AL152" s="115"/>
      <c r="AM152" s="115"/>
      <c r="AN152" s="115"/>
      <c r="AO152" s="115"/>
      <c r="AP152" s="115"/>
      <c r="AQ152" s="115"/>
      <c r="AR152" s="115"/>
      <c r="AS152" s="13"/>
      <c r="AT152" s="13"/>
      <c r="AW152" s="114"/>
    </row>
    <row r="153" spans="1:49" ht="19.5" x14ac:dyDescent="0.4">
      <c r="A153" s="117"/>
      <c r="B153" s="123"/>
      <c r="C153" s="123"/>
      <c r="D153" s="123"/>
      <c r="J153" s="26">
        <v>45752</v>
      </c>
      <c r="K153" s="15" t="s">
        <v>146</v>
      </c>
      <c r="L153" s="115"/>
      <c r="M153" s="115"/>
      <c r="N153" s="115"/>
      <c r="O153" s="115"/>
      <c r="P153" s="115"/>
      <c r="Q153" s="115"/>
      <c r="R153" s="115"/>
      <c r="S153" s="115"/>
      <c r="T153" s="115"/>
      <c r="U153" s="25">
        <v>45682</v>
      </c>
      <c r="V153" s="15" t="s">
        <v>148</v>
      </c>
      <c r="AA153" s="117"/>
      <c r="AB153" s="123"/>
      <c r="AC153" s="123"/>
      <c r="AD153" s="123"/>
      <c r="AI153" s="115"/>
      <c r="AJ153" s="115"/>
      <c r="AK153" s="115"/>
      <c r="AL153" s="115"/>
      <c r="AM153" s="115"/>
      <c r="AN153" s="115"/>
      <c r="AO153" s="115"/>
      <c r="AP153" s="115"/>
      <c r="AQ153" s="115"/>
      <c r="AR153" s="115"/>
      <c r="AS153" s="13"/>
      <c r="AT153" s="13"/>
      <c r="AW153" s="114"/>
    </row>
    <row r="154" spans="1:49" ht="19.5" x14ac:dyDescent="0.4">
      <c r="A154" s="117"/>
      <c r="B154" s="123"/>
      <c r="C154" s="123"/>
      <c r="D154" s="123"/>
      <c r="J154" s="26">
        <v>45752</v>
      </c>
      <c r="K154" s="15" t="s">
        <v>147</v>
      </c>
      <c r="L154" s="115"/>
      <c r="M154" s="115"/>
      <c r="N154" s="115"/>
      <c r="O154" s="115"/>
      <c r="P154" s="115"/>
      <c r="Q154" s="115"/>
      <c r="R154" s="115"/>
      <c r="S154" s="115"/>
      <c r="T154" s="115"/>
      <c r="U154" s="25">
        <v>45682</v>
      </c>
      <c r="V154" s="105" t="s">
        <v>148</v>
      </c>
      <c r="AA154" s="117"/>
      <c r="AB154" s="123"/>
      <c r="AC154" s="123"/>
      <c r="AD154" s="123"/>
      <c r="AI154" s="115"/>
      <c r="AJ154" s="115"/>
      <c r="AK154" s="115"/>
      <c r="AL154" s="115"/>
      <c r="AM154" s="115"/>
      <c r="AN154" s="115"/>
      <c r="AO154" s="115"/>
      <c r="AP154" s="115"/>
      <c r="AQ154" s="115"/>
      <c r="AR154" s="115"/>
      <c r="AS154" s="13"/>
      <c r="AT154" s="13"/>
      <c r="AW154" s="114"/>
    </row>
    <row r="155" spans="1:49" ht="19.5" x14ac:dyDescent="0.4">
      <c r="A155" s="117"/>
      <c r="B155" s="123"/>
      <c r="C155" s="123"/>
      <c r="D155" s="123"/>
      <c r="J155" s="26">
        <v>45752</v>
      </c>
      <c r="K155" s="15" t="s">
        <v>147</v>
      </c>
      <c r="L155" s="115"/>
      <c r="M155" s="115"/>
      <c r="N155" s="115"/>
      <c r="O155" s="115"/>
      <c r="P155" s="115"/>
      <c r="Q155" s="115"/>
      <c r="R155" s="115"/>
      <c r="S155" s="115"/>
      <c r="T155" s="115"/>
      <c r="U155" s="25">
        <v>45682</v>
      </c>
      <c r="V155" s="105" t="s">
        <v>146</v>
      </c>
      <c r="AA155" s="117"/>
      <c r="AB155" s="123"/>
      <c r="AC155" s="123"/>
      <c r="AD155" s="123"/>
      <c r="AI155" s="115"/>
      <c r="AJ155" s="115"/>
      <c r="AK155" s="115"/>
      <c r="AL155" s="115"/>
      <c r="AM155" s="115"/>
      <c r="AN155" s="115"/>
      <c r="AO155" s="115"/>
      <c r="AP155" s="115"/>
      <c r="AQ155" s="115"/>
      <c r="AR155" s="115"/>
      <c r="AS155" s="13"/>
      <c r="AT155" s="13"/>
      <c r="AW155" s="114"/>
    </row>
    <row r="156" spans="1:49" ht="19.5" x14ac:dyDescent="0.4">
      <c r="A156" s="117"/>
      <c r="B156" s="123"/>
      <c r="C156" s="123"/>
      <c r="D156" s="123"/>
      <c r="J156" s="129" t="s">
        <v>382</v>
      </c>
      <c r="K156" s="15">
        <f>SUBTOTAL(3,K149:K155)</f>
        <v>7</v>
      </c>
      <c r="L156" s="115"/>
      <c r="M156" s="115"/>
      <c r="N156" s="115"/>
      <c r="O156" s="115"/>
      <c r="P156" s="115"/>
      <c r="Q156" s="115"/>
      <c r="R156" s="115"/>
      <c r="S156" s="115"/>
      <c r="T156" s="115"/>
      <c r="U156" s="25"/>
      <c r="V156" s="105"/>
      <c r="AA156" s="117"/>
      <c r="AB156" s="123"/>
      <c r="AC156" s="123"/>
      <c r="AD156" s="123"/>
      <c r="AI156" s="115"/>
      <c r="AJ156" s="115"/>
      <c r="AK156" s="115"/>
      <c r="AL156" s="115"/>
      <c r="AM156" s="115"/>
      <c r="AN156" s="115"/>
      <c r="AO156" s="115"/>
      <c r="AP156" s="115"/>
      <c r="AQ156" s="115"/>
      <c r="AR156" s="115"/>
      <c r="AS156" s="13"/>
      <c r="AT156" s="13"/>
      <c r="AW156" s="114"/>
    </row>
    <row r="157" spans="1:49" ht="19.5" x14ac:dyDescent="0.4">
      <c r="A157" s="117"/>
      <c r="B157" s="123"/>
      <c r="C157" s="123"/>
      <c r="D157" s="123"/>
      <c r="F157" s="115"/>
      <c r="G157" s="115"/>
      <c r="H157" s="115"/>
      <c r="I157" s="115"/>
      <c r="J157" s="26">
        <v>45753</v>
      </c>
      <c r="K157" s="15" t="s">
        <v>147</v>
      </c>
      <c r="L157" s="115"/>
      <c r="M157" s="115"/>
      <c r="N157" s="115"/>
      <c r="O157" s="115"/>
      <c r="P157" s="115"/>
      <c r="Q157" s="115"/>
      <c r="R157" s="115"/>
      <c r="S157" s="115"/>
      <c r="T157" s="115"/>
      <c r="U157" s="25">
        <v>45682</v>
      </c>
      <c r="V157" s="15" t="s">
        <v>146</v>
      </c>
      <c r="AA157" s="117"/>
      <c r="AB157" s="123"/>
      <c r="AC157" s="123"/>
      <c r="AD157" s="123"/>
      <c r="AI157" s="115"/>
      <c r="AJ157" s="115"/>
      <c r="AK157" s="115"/>
      <c r="AL157" s="115"/>
      <c r="AM157" s="115"/>
      <c r="AN157" s="115"/>
      <c r="AO157" s="115"/>
      <c r="AP157" s="115"/>
      <c r="AQ157" s="115"/>
      <c r="AR157" s="115"/>
      <c r="AS157" s="13"/>
      <c r="AT157" s="13"/>
      <c r="AW157" s="114"/>
    </row>
    <row r="158" spans="1:49" ht="19.5" x14ac:dyDescent="0.4">
      <c r="A158" s="117"/>
      <c r="B158" s="123"/>
      <c r="C158" s="123"/>
      <c r="D158" s="123"/>
      <c r="F158" s="115"/>
      <c r="G158" s="115"/>
      <c r="H158" s="115"/>
      <c r="I158" s="115"/>
      <c r="J158" s="26">
        <v>45753</v>
      </c>
      <c r="K158" s="15" t="s">
        <v>146</v>
      </c>
      <c r="L158" s="115"/>
      <c r="M158" s="115"/>
      <c r="N158" s="115"/>
      <c r="O158" s="115"/>
      <c r="P158" s="115"/>
      <c r="Q158" s="115"/>
      <c r="R158" s="115"/>
      <c r="S158" s="115"/>
      <c r="T158" s="115"/>
      <c r="U158" s="25">
        <v>45683</v>
      </c>
      <c r="V158" s="13" t="s">
        <v>147</v>
      </c>
      <c r="AA158" s="117"/>
      <c r="AB158" s="123"/>
      <c r="AC158" s="123"/>
      <c r="AD158" s="123"/>
      <c r="AI158" s="115"/>
      <c r="AJ158" s="115"/>
      <c r="AK158" s="115"/>
      <c r="AL158" s="115"/>
      <c r="AM158" s="115"/>
      <c r="AN158" s="115"/>
      <c r="AO158" s="115"/>
      <c r="AP158" s="115"/>
      <c r="AQ158" s="115"/>
      <c r="AR158" s="115"/>
      <c r="AS158" s="13"/>
      <c r="AT158" s="13"/>
      <c r="AW158" s="114"/>
    </row>
    <row r="159" spans="1:49" ht="19.5" x14ac:dyDescent="0.4">
      <c r="A159" s="117"/>
      <c r="B159" s="123"/>
      <c r="C159" s="123"/>
      <c r="D159" s="123"/>
      <c r="F159" s="115"/>
      <c r="G159" s="115"/>
      <c r="H159" s="115"/>
      <c r="I159" s="115"/>
      <c r="J159" s="26">
        <v>45753</v>
      </c>
      <c r="K159" s="13" t="s">
        <v>142</v>
      </c>
      <c r="L159" s="115"/>
      <c r="M159" s="115"/>
      <c r="N159" s="115"/>
      <c r="O159" s="115"/>
      <c r="P159" s="115"/>
      <c r="Q159" s="115"/>
      <c r="R159" s="115"/>
      <c r="S159" s="115"/>
      <c r="T159" s="115"/>
      <c r="U159" s="25">
        <v>45683</v>
      </c>
      <c r="V159" s="13" t="s">
        <v>147</v>
      </c>
      <c r="AA159" s="117"/>
      <c r="AB159" s="123"/>
      <c r="AC159" s="123"/>
      <c r="AD159" s="123"/>
      <c r="AI159" s="115"/>
      <c r="AJ159" s="115"/>
      <c r="AK159" s="115"/>
      <c r="AL159" s="115"/>
      <c r="AM159" s="115"/>
      <c r="AN159" s="115"/>
      <c r="AO159" s="115"/>
      <c r="AP159" s="115"/>
      <c r="AQ159" s="115"/>
      <c r="AR159" s="115"/>
      <c r="AS159" s="13"/>
      <c r="AT159" s="13"/>
      <c r="AW159" s="114"/>
    </row>
    <row r="160" spans="1:49" ht="19.5" x14ac:dyDescent="0.4">
      <c r="A160" s="117"/>
      <c r="B160" s="123"/>
      <c r="C160" s="123"/>
      <c r="D160" s="123"/>
      <c r="F160" s="115"/>
      <c r="G160" s="115"/>
      <c r="H160" s="115"/>
      <c r="I160" s="115"/>
      <c r="J160" s="26">
        <v>45753</v>
      </c>
      <c r="K160" s="13" t="s">
        <v>147</v>
      </c>
      <c r="L160" s="115"/>
      <c r="M160" s="115"/>
      <c r="N160" s="115"/>
      <c r="O160" s="115"/>
      <c r="P160" s="115"/>
      <c r="Q160" s="115"/>
      <c r="R160" s="115"/>
      <c r="S160" s="115"/>
      <c r="T160" s="115"/>
      <c r="U160" s="25"/>
      <c r="V160" s="13"/>
      <c r="AA160" s="117"/>
      <c r="AB160" s="123"/>
      <c r="AC160" s="123"/>
      <c r="AD160" s="123"/>
      <c r="AI160" s="115"/>
      <c r="AJ160" s="115"/>
      <c r="AK160" s="115"/>
      <c r="AL160" s="115"/>
      <c r="AM160" s="115"/>
      <c r="AN160" s="115"/>
      <c r="AO160" s="115"/>
      <c r="AP160" s="115"/>
      <c r="AQ160" s="115"/>
      <c r="AR160" s="115"/>
      <c r="AS160" s="13"/>
      <c r="AT160" s="13"/>
      <c r="AW160" s="114"/>
    </row>
    <row r="161" spans="1:49" ht="19.5" x14ac:dyDescent="0.4">
      <c r="A161" s="117"/>
      <c r="B161" s="123"/>
      <c r="C161" s="123"/>
      <c r="D161" s="123"/>
      <c r="F161" s="115"/>
      <c r="G161" s="115"/>
      <c r="H161" s="115"/>
      <c r="I161" s="115"/>
      <c r="J161" s="26">
        <v>45753</v>
      </c>
      <c r="K161" s="13" t="s">
        <v>147</v>
      </c>
      <c r="L161" s="115"/>
      <c r="M161" s="115"/>
      <c r="N161" s="115"/>
      <c r="O161" s="115"/>
      <c r="P161" s="115"/>
      <c r="Q161" s="115"/>
      <c r="R161" s="115"/>
      <c r="S161" s="115"/>
      <c r="T161" s="115"/>
      <c r="U161" s="25">
        <v>45684</v>
      </c>
      <c r="V161" s="13" t="s">
        <v>146</v>
      </c>
      <c r="AA161" s="117"/>
      <c r="AB161" s="123"/>
      <c r="AC161" s="123"/>
      <c r="AD161" s="123"/>
      <c r="AI161" s="115"/>
      <c r="AJ161" s="115"/>
      <c r="AK161" s="115"/>
      <c r="AL161" s="115"/>
      <c r="AM161" s="115"/>
      <c r="AN161" s="115"/>
      <c r="AO161" s="115"/>
      <c r="AP161" s="115"/>
      <c r="AQ161" s="115"/>
      <c r="AR161" s="115"/>
      <c r="AS161" s="13"/>
      <c r="AT161" s="13"/>
      <c r="AW161" s="114"/>
    </row>
    <row r="162" spans="1:49" ht="19.5" x14ac:dyDescent="0.4">
      <c r="A162" s="117"/>
      <c r="B162" s="123"/>
      <c r="C162" s="123"/>
      <c r="D162" s="123"/>
      <c r="F162" s="115"/>
      <c r="G162" s="115"/>
      <c r="H162" s="115"/>
      <c r="I162" s="115"/>
      <c r="J162" s="26">
        <v>45753</v>
      </c>
      <c r="K162" s="13" t="s">
        <v>147</v>
      </c>
      <c r="L162" s="115"/>
      <c r="M162" s="115"/>
      <c r="N162" s="115"/>
      <c r="O162" s="115"/>
      <c r="P162" s="115"/>
      <c r="Q162" s="115"/>
      <c r="R162" s="115"/>
      <c r="S162" s="115"/>
      <c r="T162" s="115"/>
      <c r="U162" s="25"/>
      <c r="V162" s="13"/>
      <c r="AA162" s="117"/>
      <c r="AB162" s="123"/>
      <c r="AC162" s="123"/>
      <c r="AD162" s="123"/>
      <c r="AI162" s="115"/>
      <c r="AJ162" s="115"/>
      <c r="AK162" s="115"/>
      <c r="AL162" s="115"/>
      <c r="AM162" s="115"/>
      <c r="AN162" s="115"/>
      <c r="AO162" s="115"/>
      <c r="AP162" s="115"/>
      <c r="AQ162" s="115"/>
      <c r="AR162" s="115"/>
      <c r="AS162" s="13"/>
      <c r="AT162" s="13"/>
      <c r="AW162" s="114"/>
    </row>
    <row r="163" spans="1:49" ht="19.5" x14ac:dyDescent="0.4">
      <c r="A163" s="117"/>
      <c r="B163" s="123"/>
      <c r="C163" s="123"/>
      <c r="D163" s="123"/>
      <c r="F163" s="115"/>
      <c r="G163" s="115"/>
      <c r="H163" s="115"/>
      <c r="I163" s="115"/>
      <c r="J163" s="129" t="s">
        <v>383</v>
      </c>
      <c r="K163" s="13">
        <f>SUBTOTAL(3,K157:K162)</f>
        <v>6</v>
      </c>
      <c r="L163" s="115"/>
      <c r="M163" s="115"/>
      <c r="N163" s="115"/>
      <c r="O163" s="115"/>
      <c r="P163" s="115"/>
      <c r="Q163" s="115"/>
      <c r="R163" s="115"/>
      <c r="S163" s="115"/>
      <c r="T163" s="115"/>
      <c r="U163" s="25"/>
      <c r="V163" s="13"/>
      <c r="AA163" s="117"/>
      <c r="AB163" s="123"/>
      <c r="AC163" s="123"/>
      <c r="AD163" s="123"/>
      <c r="AI163" s="115"/>
      <c r="AJ163" s="115"/>
      <c r="AK163" s="115"/>
      <c r="AL163" s="115"/>
      <c r="AM163" s="115"/>
      <c r="AN163" s="115"/>
      <c r="AO163" s="115"/>
      <c r="AP163" s="115"/>
      <c r="AQ163" s="115"/>
      <c r="AR163" s="115"/>
      <c r="AS163" s="13"/>
      <c r="AT163" s="13"/>
      <c r="AW163" s="114"/>
    </row>
    <row r="164" spans="1:49" ht="19.5" x14ac:dyDescent="0.4">
      <c r="A164" s="117"/>
      <c r="B164" s="123"/>
      <c r="C164" s="123"/>
      <c r="D164" s="123"/>
      <c r="F164" s="115"/>
      <c r="G164" s="115"/>
      <c r="H164" s="115"/>
      <c r="I164" s="115"/>
      <c r="J164" s="26">
        <v>45755</v>
      </c>
      <c r="K164" s="13" t="s">
        <v>148</v>
      </c>
      <c r="L164" s="115"/>
      <c r="M164" s="115"/>
      <c r="N164" s="115"/>
      <c r="O164" s="115"/>
      <c r="P164" s="115"/>
      <c r="Q164" s="115"/>
      <c r="R164" s="115"/>
      <c r="S164" s="115"/>
      <c r="T164" s="115"/>
      <c r="U164" s="25">
        <v>45684</v>
      </c>
      <c r="V164" s="13" t="s">
        <v>148</v>
      </c>
      <c r="AA164" s="117"/>
      <c r="AB164" s="123"/>
      <c r="AC164" s="123"/>
      <c r="AD164" s="123"/>
      <c r="AI164" s="115"/>
      <c r="AJ164" s="115"/>
      <c r="AK164" s="115"/>
      <c r="AL164" s="115"/>
      <c r="AM164" s="115"/>
      <c r="AN164" s="115"/>
      <c r="AO164" s="115"/>
      <c r="AP164" s="115"/>
      <c r="AQ164" s="115"/>
      <c r="AR164" s="115"/>
      <c r="AS164" s="13"/>
      <c r="AT164" s="13"/>
      <c r="AW164" s="114"/>
    </row>
    <row r="165" spans="1:49" ht="19.5" x14ac:dyDescent="0.4">
      <c r="A165" s="117"/>
      <c r="B165" s="123"/>
      <c r="C165" s="123"/>
      <c r="D165" s="123"/>
      <c r="F165" s="115"/>
      <c r="G165" s="115"/>
      <c r="H165" s="115"/>
      <c r="I165" s="115"/>
      <c r="J165" s="26">
        <v>45755</v>
      </c>
      <c r="K165" s="13" t="s">
        <v>147</v>
      </c>
      <c r="L165" s="115"/>
      <c r="M165" s="115"/>
      <c r="N165" s="115"/>
      <c r="O165" s="115"/>
      <c r="P165" s="115"/>
      <c r="Q165" s="115"/>
      <c r="R165" s="115"/>
      <c r="S165" s="115"/>
      <c r="T165" s="115"/>
      <c r="U165" s="25"/>
      <c r="V165" s="13"/>
      <c r="AA165" s="117"/>
      <c r="AB165" s="123"/>
      <c r="AC165" s="123"/>
      <c r="AD165" s="123"/>
      <c r="AI165" s="115"/>
      <c r="AJ165" s="115"/>
      <c r="AK165" s="115"/>
      <c r="AL165" s="115"/>
      <c r="AM165" s="115"/>
      <c r="AN165" s="115"/>
      <c r="AO165" s="115"/>
      <c r="AP165" s="115"/>
      <c r="AQ165" s="115"/>
      <c r="AR165" s="115"/>
      <c r="AS165" s="13"/>
      <c r="AT165" s="13"/>
      <c r="AW165" s="114"/>
    </row>
    <row r="166" spans="1:49" ht="19.5" x14ac:dyDescent="0.4">
      <c r="A166" s="117"/>
      <c r="B166" s="123"/>
      <c r="C166" s="123"/>
      <c r="D166" s="123"/>
      <c r="F166" s="115"/>
      <c r="G166" s="115"/>
      <c r="H166" s="115"/>
      <c r="I166" s="115"/>
      <c r="J166" s="26">
        <v>45755</v>
      </c>
      <c r="K166" s="13" t="s">
        <v>147</v>
      </c>
      <c r="L166" s="115"/>
      <c r="M166" s="115"/>
      <c r="N166" s="115"/>
      <c r="O166" s="115"/>
      <c r="P166" s="115"/>
      <c r="Q166" s="115"/>
      <c r="R166" s="115"/>
      <c r="S166" s="115"/>
      <c r="T166" s="115"/>
      <c r="U166" s="25"/>
      <c r="V166" s="13"/>
      <c r="AA166" s="117"/>
      <c r="AB166" s="123"/>
      <c r="AC166" s="123"/>
      <c r="AD166" s="123"/>
      <c r="AI166" s="115"/>
      <c r="AJ166" s="115"/>
      <c r="AK166" s="115"/>
      <c r="AL166" s="115"/>
      <c r="AM166" s="115"/>
      <c r="AN166" s="115"/>
      <c r="AO166" s="115"/>
      <c r="AP166" s="115"/>
      <c r="AQ166" s="115"/>
      <c r="AR166" s="115"/>
      <c r="AS166" s="13"/>
      <c r="AT166" s="13"/>
      <c r="AW166" s="114"/>
    </row>
    <row r="167" spans="1:49" ht="19.5" x14ac:dyDescent="0.4">
      <c r="A167" s="117"/>
      <c r="B167" s="123"/>
      <c r="C167" s="123"/>
      <c r="D167" s="123"/>
      <c r="F167" s="115"/>
      <c r="G167" s="115"/>
      <c r="H167" s="115"/>
      <c r="I167" s="115"/>
      <c r="J167" s="129" t="s">
        <v>384</v>
      </c>
      <c r="K167" s="13">
        <f>SUBTOTAL(3,K164:K166)</f>
        <v>3</v>
      </c>
      <c r="L167" s="115"/>
      <c r="M167" s="115"/>
      <c r="N167" s="115"/>
      <c r="O167" s="115"/>
      <c r="P167" s="115"/>
      <c r="Q167" s="115"/>
      <c r="R167" s="115"/>
      <c r="S167" s="115"/>
      <c r="T167" s="115"/>
      <c r="U167" s="25"/>
      <c r="V167" s="13"/>
      <c r="AA167" s="117"/>
      <c r="AB167" s="123"/>
      <c r="AC167" s="123"/>
      <c r="AD167" s="123"/>
      <c r="AI167" s="115"/>
      <c r="AJ167" s="115"/>
      <c r="AK167" s="115"/>
      <c r="AL167" s="115"/>
      <c r="AM167" s="115"/>
      <c r="AN167" s="115"/>
      <c r="AO167" s="115"/>
      <c r="AP167" s="115"/>
      <c r="AQ167" s="115"/>
      <c r="AR167" s="115"/>
      <c r="AS167" s="13"/>
      <c r="AT167" s="13"/>
      <c r="AW167" s="114"/>
    </row>
    <row r="168" spans="1:49" ht="19.5" x14ac:dyDescent="0.4">
      <c r="A168" s="117"/>
      <c r="B168" s="123"/>
      <c r="C168" s="123"/>
      <c r="D168" s="123"/>
      <c r="F168" s="115"/>
      <c r="G168" s="115"/>
      <c r="H168" s="115"/>
      <c r="I168" s="115"/>
      <c r="J168" s="26">
        <v>45760</v>
      </c>
      <c r="K168" s="25" t="s">
        <v>148</v>
      </c>
      <c r="L168" s="115"/>
      <c r="M168" s="115"/>
      <c r="N168" s="115"/>
      <c r="O168" s="115"/>
      <c r="P168" s="115"/>
      <c r="Q168" s="115"/>
      <c r="R168" s="115"/>
      <c r="S168" s="115"/>
      <c r="T168" s="115"/>
      <c r="U168" s="25"/>
      <c r="V168" s="13"/>
      <c r="AA168" s="117"/>
      <c r="AB168" s="123"/>
      <c r="AC168" s="123"/>
      <c r="AD168" s="123"/>
      <c r="AI168" s="115"/>
      <c r="AJ168" s="115"/>
      <c r="AK168" s="115"/>
      <c r="AL168" s="115"/>
      <c r="AM168" s="115"/>
      <c r="AN168" s="115"/>
      <c r="AO168" s="115"/>
      <c r="AP168" s="115"/>
      <c r="AQ168" s="115"/>
      <c r="AR168" s="115"/>
      <c r="AS168" s="13"/>
      <c r="AT168" s="13"/>
      <c r="AW168" s="114"/>
    </row>
    <row r="169" spans="1:49" ht="19.5" x14ac:dyDescent="0.4">
      <c r="A169" s="117"/>
      <c r="B169" s="123"/>
      <c r="C169" s="123"/>
      <c r="D169" s="123"/>
      <c r="F169" s="115"/>
      <c r="G169" s="115"/>
      <c r="H169" s="115"/>
      <c r="I169" s="115"/>
      <c r="J169" s="26">
        <v>45760</v>
      </c>
      <c r="K169" s="13" t="s">
        <v>148</v>
      </c>
      <c r="L169" s="115"/>
      <c r="M169" s="115"/>
      <c r="N169" s="115"/>
      <c r="O169" s="115"/>
      <c r="P169" s="115"/>
      <c r="Q169" s="115"/>
      <c r="R169" s="115"/>
      <c r="S169" s="115"/>
      <c r="T169" s="115"/>
      <c r="U169" s="25"/>
      <c r="V169" s="13"/>
      <c r="AA169" s="117"/>
      <c r="AB169" s="123"/>
      <c r="AC169" s="123"/>
      <c r="AD169" s="123"/>
      <c r="AI169" s="115"/>
      <c r="AJ169" s="115"/>
      <c r="AK169" s="115"/>
      <c r="AL169" s="115"/>
      <c r="AM169" s="115"/>
      <c r="AN169" s="115"/>
      <c r="AO169" s="115"/>
      <c r="AP169" s="115"/>
      <c r="AQ169" s="115"/>
      <c r="AR169" s="115"/>
      <c r="AS169" s="13"/>
      <c r="AT169" s="13"/>
      <c r="AW169" s="114"/>
    </row>
    <row r="170" spans="1:49" ht="19.5" x14ac:dyDescent="0.4">
      <c r="A170" s="117"/>
      <c r="B170" s="123"/>
      <c r="C170" s="123"/>
      <c r="D170" s="123"/>
      <c r="F170" s="115"/>
      <c r="G170" s="115"/>
      <c r="H170" s="115"/>
      <c r="I170" s="115"/>
      <c r="J170" s="26">
        <v>45760</v>
      </c>
      <c r="K170" s="13" t="s">
        <v>147</v>
      </c>
      <c r="L170" s="115"/>
      <c r="M170" s="115"/>
      <c r="N170" s="115"/>
      <c r="O170" s="115"/>
      <c r="P170" s="115"/>
      <c r="Q170" s="115"/>
      <c r="R170" s="115"/>
      <c r="S170" s="115"/>
      <c r="T170" s="115"/>
      <c r="U170" s="25"/>
      <c r="V170" s="13"/>
      <c r="AA170" s="117"/>
      <c r="AB170" s="123"/>
      <c r="AC170" s="123"/>
      <c r="AD170" s="123"/>
      <c r="AI170" s="115"/>
      <c r="AJ170" s="115"/>
      <c r="AK170" s="115"/>
      <c r="AL170" s="115"/>
      <c r="AM170" s="115"/>
      <c r="AN170" s="115"/>
      <c r="AO170" s="115"/>
      <c r="AP170" s="115"/>
      <c r="AQ170" s="115"/>
      <c r="AR170" s="115"/>
      <c r="AS170" s="13"/>
      <c r="AT170" s="13"/>
      <c r="AW170" s="114"/>
    </row>
    <row r="171" spans="1:49" ht="19.5" x14ac:dyDescent="0.4">
      <c r="A171" s="117"/>
      <c r="B171" s="123"/>
      <c r="C171" s="123"/>
      <c r="D171" s="123"/>
      <c r="F171" s="115"/>
      <c r="G171" s="115"/>
      <c r="H171" s="115"/>
      <c r="I171" s="115"/>
      <c r="J171" s="129" t="s">
        <v>385</v>
      </c>
      <c r="K171" s="13">
        <f>SUBTOTAL(3,K168:K170)</f>
        <v>3</v>
      </c>
      <c r="L171" s="115"/>
      <c r="M171" s="115"/>
      <c r="N171" s="115"/>
      <c r="O171" s="115"/>
      <c r="P171" s="115"/>
      <c r="Q171" s="115"/>
      <c r="R171" s="115"/>
      <c r="S171" s="115"/>
      <c r="T171" s="115"/>
      <c r="U171" s="25"/>
      <c r="V171" s="13"/>
      <c r="AA171" s="117"/>
      <c r="AB171" s="123"/>
      <c r="AC171" s="123"/>
      <c r="AD171" s="123"/>
      <c r="AI171" s="115"/>
      <c r="AJ171" s="115"/>
      <c r="AK171" s="115"/>
      <c r="AL171" s="115"/>
      <c r="AM171" s="115"/>
      <c r="AN171" s="115"/>
      <c r="AO171" s="115"/>
      <c r="AP171" s="115"/>
      <c r="AQ171" s="115"/>
      <c r="AR171" s="115"/>
      <c r="AS171" s="13"/>
      <c r="AT171" s="13"/>
      <c r="AW171" s="114"/>
    </row>
    <row r="172" spans="1:49" ht="19.5" x14ac:dyDescent="0.4">
      <c r="A172" s="117"/>
      <c r="B172" s="123"/>
      <c r="C172" s="123"/>
      <c r="D172" s="123"/>
      <c r="F172" s="115"/>
      <c r="G172" s="115"/>
      <c r="H172" s="115"/>
      <c r="I172" s="115"/>
      <c r="J172" s="26">
        <v>45770</v>
      </c>
      <c r="K172" s="134" t="s">
        <v>148</v>
      </c>
      <c r="L172" s="115"/>
      <c r="M172" s="115"/>
      <c r="N172" s="115"/>
      <c r="O172" s="115"/>
      <c r="P172" s="115"/>
      <c r="Q172" s="115"/>
      <c r="R172" s="115"/>
      <c r="S172" s="115"/>
      <c r="T172" s="115"/>
      <c r="U172" s="25"/>
      <c r="V172" s="13"/>
      <c r="AA172" s="117"/>
      <c r="AB172" s="123"/>
      <c r="AC172" s="123"/>
      <c r="AD172" s="123"/>
      <c r="AI172" s="115"/>
      <c r="AJ172" s="115"/>
      <c r="AK172" s="115"/>
      <c r="AL172" s="115"/>
      <c r="AM172" s="115"/>
      <c r="AN172" s="115"/>
      <c r="AO172" s="115"/>
      <c r="AP172" s="115"/>
      <c r="AQ172" s="115"/>
      <c r="AR172" s="115"/>
      <c r="AS172" s="13"/>
      <c r="AT172" s="13"/>
      <c r="AW172" s="114"/>
    </row>
    <row r="173" spans="1:49" ht="19.5" x14ac:dyDescent="0.4">
      <c r="A173" s="117"/>
      <c r="B173" s="123"/>
      <c r="C173" s="123"/>
      <c r="D173" s="123"/>
      <c r="F173" s="115"/>
      <c r="G173" s="115"/>
      <c r="H173" s="115"/>
      <c r="I173" s="115"/>
      <c r="J173" s="26">
        <v>45770</v>
      </c>
      <c r="K173" s="13" t="s">
        <v>146</v>
      </c>
      <c r="L173" s="115"/>
      <c r="M173" s="115"/>
      <c r="N173" s="115"/>
      <c r="O173" s="115"/>
      <c r="P173" s="115"/>
      <c r="Q173" s="115"/>
      <c r="R173" s="115"/>
      <c r="S173" s="115"/>
      <c r="T173" s="115"/>
      <c r="U173" s="25">
        <v>45684</v>
      </c>
      <c r="V173" s="13" t="s">
        <v>147</v>
      </c>
      <c r="AA173" s="117"/>
      <c r="AB173" s="123"/>
      <c r="AC173" s="123"/>
      <c r="AD173" s="123"/>
      <c r="AI173" s="115"/>
      <c r="AJ173" s="115"/>
      <c r="AK173" s="115"/>
      <c r="AL173" s="115"/>
      <c r="AM173" s="115"/>
      <c r="AN173" s="115"/>
      <c r="AO173" s="115"/>
      <c r="AP173" s="115"/>
      <c r="AQ173" s="115"/>
      <c r="AR173" s="115"/>
      <c r="AS173" s="13"/>
      <c r="AT173" s="13"/>
      <c r="AW173" s="114"/>
    </row>
    <row r="174" spans="1:49" ht="19.5" x14ac:dyDescent="0.4">
      <c r="A174" s="117"/>
      <c r="B174" s="123"/>
      <c r="C174" s="123"/>
      <c r="D174" s="123"/>
      <c r="F174" s="115"/>
      <c r="G174" s="115"/>
      <c r="H174" s="115"/>
      <c r="I174" s="115"/>
      <c r="J174" s="129" t="s">
        <v>386</v>
      </c>
      <c r="K174" s="13">
        <f>SUBTOTAL(3,K172:K173)</f>
        <v>2</v>
      </c>
      <c r="L174" s="115"/>
      <c r="M174" s="115"/>
      <c r="N174" s="115"/>
      <c r="O174" s="115"/>
      <c r="P174" s="115"/>
      <c r="Q174" s="115"/>
      <c r="R174" s="115"/>
      <c r="S174" s="115"/>
      <c r="T174" s="115"/>
      <c r="U174" s="25"/>
      <c r="V174" s="13"/>
      <c r="AA174" s="117"/>
      <c r="AB174" s="123"/>
      <c r="AC174" s="123"/>
      <c r="AD174" s="123"/>
      <c r="AI174" s="115"/>
      <c r="AJ174" s="115"/>
      <c r="AK174" s="115"/>
      <c r="AL174" s="115"/>
      <c r="AM174" s="115"/>
      <c r="AN174" s="115"/>
      <c r="AO174" s="115"/>
      <c r="AP174" s="115"/>
      <c r="AQ174" s="115"/>
      <c r="AR174" s="115"/>
      <c r="AS174" s="13"/>
      <c r="AT174" s="13"/>
      <c r="AW174" s="114"/>
    </row>
    <row r="175" spans="1:49" ht="19.5" x14ac:dyDescent="0.4">
      <c r="A175" s="117"/>
      <c r="B175" s="123"/>
      <c r="C175" s="123"/>
      <c r="D175" s="123"/>
      <c r="F175" s="115"/>
      <c r="G175" s="115"/>
      <c r="H175" s="115"/>
      <c r="I175" s="115"/>
      <c r="J175" s="26">
        <v>45772</v>
      </c>
      <c r="K175" s="13" t="s">
        <v>146</v>
      </c>
      <c r="L175" s="115"/>
      <c r="M175" s="115"/>
      <c r="N175" s="115"/>
      <c r="O175" s="115"/>
      <c r="P175" s="115"/>
      <c r="Q175" s="115"/>
      <c r="R175" s="115"/>
      <c r="S175" s="115"/>
      <c r="T175" s="115"/>
      <c r="U175" s="25"/>
      <c r="V175" s="13"/>
      <c r="AA175" s="117"/>
      <c r="AB175" s="123"/>
      <c r="AC175" s="123"/>
      <c r="AD175" s="123"/>
      <c r="AI175" s="115"/>
      <c r="AJ175" s="115"/>
      <c r="AK175" s="115"/>
      <c r="AL175" s="115"/>
      <c r="AM175" s="115"/>
      <c r="AN175" s="115"/>
      <c r="AO175" s="115"/>
      <c r="AP175" s="115"/>
      <c r="AQ175" s="115"/>
      <c r="AR175" s="115"/>
      <c r="AS175" s="13"/>
      <c r="AT175" s="13"/>
      <c r="AW175" s="114"/>
    </row>
    <row r="176" spans="1:49" ht="19.5" x14ac:dyDescent="0.4">
      <c r="A176" s="117"/>
      <c r="B176" s="123"/>
      <c r="C176" s="123"/>
      <c r="D176" s="123"/>
      <c r="F176" s="115"/>
      <c r="G176" s="115"/>
      <c r="H176" s="115"/>
      <c r="I176" s="115"/>
      <c r="J176" s="26">
        <v>45772</v>
      </c>
      <c r="K176" s="15" t="s">
        <v>148</v>
      </c>
      <c r="L176" s="115"/>
      <c r="M176" s="115"/>
      <c r="N176" s="115"/>
      <c r="O176" s="115"/>
      <c r="P176" s="115"/>
      <c r="Q176" s="115"/>
      <c r="R176" s="115"/>
      <c r="S176" s="115"/>
      <c r="T176" s="115"/>
      <c r="U176" s="25">
        <v>45684</v>
      </c>
      <c r="V176" s="13" t="s">
        <v>146</v>
      </c>
      <c r="AA176" s="117"/>
      <c r="AB176" s="123"/>
      <c r="AC176" s="123"/>
      <c r="AD176" s="123"/>
      <c r="AI176" s="115"/>
      <c r="AJ176" s="115"/>
      <c r="AK176" s="115"/>
      <c r="AL176" s="115"/>
      <c r="AM176" s="115"/>
      <c r="AN176" s="115"/>
      <c r="AO176" s="115"/>
      <c r="AP176" s="115"/>
      <c r="AQ176" s="115"/>
      <c r="AR176" s="115"/>
      <c r="AS176" s="13"/>
      <c r="AT176" s="13"/>
      <c r="AW176" s="114"/>
    </row>
    <row r="177" spans="1:49" ht="19.5" x14ac:dyDescent="0.4">
      <c r="A177" s="117"/>
      <c r="B177" s="123"/>
      <c r="C177" s="123"/>
      <c r="D177" s="123"/>
      <c r="F177" s="115"/>
      <c r="G177" s="115"/>
      <c r="H177" s="115"/>
      <c r="I177" s="115"/>
      <c r="J177" s="129" t="s">
        <v>387</v>
      </c>
      <c r="K177" s="15">
        <f>SUBTOTAL(3,K175:K176)</f>
        <v>2</v>
      </c>
      <c r="L177" s="115"/>
      <c r="M177" s="115"/>
      <c r="N177" s="115"/>
      <c r="O177" s="115"/>
      <c r="P177" s="115"/>
      <c r="Q177" s="115"/>
      <c r="R177" s="115"/>
      <c r="S177" s="115"/>
      <c r="T177" s="115"/>
      <c r="U177" s="25"/>
      <c r="V177" s="13"/>
      <c r="AA177" s="117"/>
      <c r="AB177" s="123"/>
      <c r="AC177" s="123"/>
      <c r="AD177" s="123"/>
      <c r="AI177" s="115"/>
      <c r="AJ177" s="115"/>
      <c r="AK177" s="115"/>
      <c r="AL177" s="115"/>
      <c r="AM177" s="115"/>
      <c r="AN177" s="115"/>
      <c r="AO177" s="115"/>
      <c r="AP177" s="115"/>
      <c r="AQ177" s="115"/>
      <c r="AR177" s="115"/>
      <c r="AS177" s="13"/>
      <c r="AT177" s="13"/>
      <c r="AW177" s="114"/>
    </row>
    <row r="178" spans="1:49" ht="19.5" x14ac:dyDescent="0.4">
      <c r="A178" s="117"/>
      <c r="B178" s="123"/>
      <c r="C178" s="123"/>
      <c r="D178" s="123"/>
      <c r="F178" s="115"/>
      <c r="G178" s="115"/>
      <c r="H178" s="115"/>
      <c r="I178" s="115"/>
      <c r="J178" s="26">
        <v>45774</v>
      </c>
      <c r="K178" s="15" t="s">
        <v>146</v>
      </c>
      <c r="L178" s="115"/>
      <c r="M178" s="115"/>
      <c r="N178" s="115"/>
      <c r="O178" s="115"/>
      <c r="P178" s="115"/>
      <c r="Q178" s="115"/>
      <c r="R178" s="115"/>
      <c r="S178" s="115"/>
      <c r="T178" s="115"/>
      <c r="U178" s="25"/>
      <c r="V178" s="13"/>
      <c r="AA178" s="117"/>
      <c r="AB178" s="123"/>
      <c r="AC178" s="123"/>
      <c r="AD178" s="123"/>
      <c r="AI178" s="115"/>
      <c r="AJ178" s="115"/>
      <c r="AK178" s="115"/>
      <c r="AL178" s="115"/>
      <c r="AM178" s="115"/>
      <c r="AN178" s="115"/>
      <c r="AO178" s="115"/>
      <c r="AP178" s="115"/>
      <c r="AQ178" s="115"/>
      <c r="AR178" s="115"/>
      <c r="AS178" s="13"/>
      <c r="AT178" s="13"/>
      <c r="AW178" s="114"/>
    </row>
    <row r="179" spans="1:49" ht="19.5" x14ac:dyDescent="0.4">
      <c r="A179" s="117"/>
      <c r="B179" s="123"/>
      <c r="C179" s="123"/>
      <c r="D179" s="123"/>
      <c r="F179" s="115"/>
      <c r="G179" s="115"/>
      <c r="H179" s="115"/>
      <c r="I179" s="115"/>
      <c r="J179" s="129" t="s">
        <v>388</v>
      </c>
      <c r="K179" s="15">
        <f>SUBTOTAL(3,K178:K178)</f>
        <v>1</v>
      </c>
      <c r="L179" s="115"/>
      <c r="M179" s="115"/>
      <c r="N179" s="115"/>
      <c r="O179" s="115"/>
      <c r="P179" s="115"/>
      <c r="Q179" s="115"/>
      <c r="R179" s="115"/>
      <c r="S179" s="115"/>
      <c r="T179" s="115"/>
      <c r="U179" s="25"/>
      <c r="V179" s="13"/>
      <c r="AA179" s="117"/>
      <c r="AB179" s="123"/>
      <c r="AC179" s="123"/>
      <c r="AD179" s="123"/>
      <c r="AI179" s="115"/>
      <c r="AJ179" s="115"/>
      <c r="AK179" s="115"/>
      <c r="AL179" s="115"/>
      <c r="AM179" s="115"/>
      <c r="AN179" s="115"/>
      <c r="AO179" s="115"/>
      <c r="AP179" s="115"/>
      <c r="AQ179" s="115"/>
      <c r="AR179" s="115"/>
      <c r="AS179" s="13"/>
      <c r="AT179" s="13"/>
      <c r="AW179" s="114"/>
    </row>
    <row r="180" spans="1:49" ht="19.5" x14ac:dyDescent="0.4">
      <c r="A180" s="117"/>
      <c r="B180" s="123"/>
      <c r="C180" s="123"/>
      <c r="D180" s="123"/>
      <c r="F180" s="115"/>
      <c r="G180" s="115"/>
      <c r="H180" s="115"/>
      <c r="I180" s="115"/>
      <c r="J180" s="26">
        <v>45798</v>
      </c>
      <c r="K180" s="15" t="s">
        <v>147</v>
      </c>
      <c r="L180" s="115"/>
      <c r="M180" s="115"/>
      <c r="N180" s="115"/>
      <c r="O180" s="115"/>
      <c r="P180" s="115"/>
      <c r="Q180" s="115"/>
      <c r="R180" s="115"/>
      <c r="S180" s="115"/>
      <c r="T180" s="115"/>
      <c r="U180" s="25"/>
      <c r="V180" s="13"/>
      <c r="AA180" s="117"/>
      <c r="AB180" s="123"/>
      <c r="AC180" s="123"/>
      <c r="AD180" s="123"/>
      <c r="AI180" s="115"/>
      <c r="AJ180" s="115"/>
      <c r="AK180" s="115"/>
      <c r="AL180" s="115"/>
      <c r="AM180" s="115"/>
      <c r="AN180" s="115"/>
      <c r="AO180" s="115"/>
      <c r="AP180" s="115"/>
      <c r="AQ180" s="115"/>
      <c r="AR180" s="115"/>
      <c r="AS180" s="13"/>
      <c r="AT180" s="13"/>
      <c r="AW180" s="114"/>
    </row>
    <row r="181" spans="1:49" ht="19.5" x14ac:dyDescent="0.4">
      <c r="A181" s="117"/>
      <c r="B181" s="123"/>
      <c r="C181" s="123"/>
      <c r="D181" s="123"/>
      <c r="F181" s="115"/>
      <c r="G181" s="115"/>
      <c r="H181" s="115"/>
      <c r="I181" s="115"/>
      <c r="J181" s="129" t="s">
        <v>389</v>
      </c>
      <c r="K181" s="15">
        <f>SUBTOTAL(3,K180:K180)</f>
        <v>1</v>
      </c>
      <c r="L181" s="115"/>
      <c r="M181" s="115"/>
      <c r="N181" s="115"/>
      <c r="O181" s="115"/>
      <c r="P181" s="115"/>
      <c r="Q181" s="115"/>
      <c r="R181" s="115"/>
      <c r="S181" s="115"/>
      <c r="T181" s="115"/>
      <c r="U181" s="25"/>
      <c r="V181" s="13"/>
      <c r="AA181" s="117"/>
      <c r="AB181" s="123"/>
      <c r="AC181" s="123"/>
      <c r="AD181" s="123"/>
      <c r="AI181" s="115"/>
      <c r="AJ181" s="115"/>
      <c r="AK181" s="115"/>
      <c r="AL181" s="115"/>
      <c r="AM181" s="115"/>
      <c r="AN181" s="115"/>
      <c r="AO181" s="115"/>
      <c r="AP181" s="115"/>
      <c r="AQ181" s="115"/>
      <c r="AR181" s="115"/>
      <c r="AS181" s="13"/>
      <c r="AT181" s="13"/>
      <c r="AW181" s="114"/>
    </row>
    <row r="182" spans="1:49" ht="19.5" x14ac:dyDescent="0.4">
      <c r="A182" s="117"/>
      <c r="B182" s="123"/>
      <c r="C182" s="123"/>
      <c r="D182" s="123"/>
      <c r="F182" s="115"/>
      <c r="G182" s="115"/>
      <c r="H182" s="115"/>
      <c r="I182" s="115"/>
      <c r="J182" s="129" t="s">
        <v>145</v>
      </c>
      <c r="K182" s="15">
        <f>SUBTOTAL(3,K2:K180)</f>
        <v>154</v>
      </c>
      <c r="L182" s="115"/>
      <c r="M182" s="115"/>
      <c r="N182" s="115"/>
      <c r="O182" s="115"/>
      <c r="P182" s="115"/>
      <c r="Q182" s="115"/>
      <c r="R182" s="115"/>
      <c r="S182" s="115"/>
      <c r="T182" s="115"/>
      <c r="U182" s="25"/>
      <c r="V182" s="13"/>
      <c r="AA182" s="117"/>
      <c r="AB182" s="123"/>
      <c r="AC182" s="123"/>
      <c r="AD182" s="123"/>
      <c r="AI182" s="115"/>
      <c r="AJ182" s="115"/>
      <c r="AK182" s="115"/>
      <c r="AL182" s="115"/>
      <c r="AM182" s="115"/>
      <c r="AN182" s="115"/>
      <c r="AO182" s="115"/>
      <c r="AP182" s="115"/>
      <c r="AQ182" s="115"/>
      <c r="AR182" s="115"/>
      <c r="AS182" s="13"/>
      <c r="AT182" s="13"/>
      <c r="AW182" s="114"/>
    </row>
    <row r="183" spans="1:49" ht="19.5" x14ac:dyDescent="0.4">
      <c r="A183" s="117"/>
      <c r="B183" s="123"/>
      <c r="C183" s="123"/>
      <c r="D183" s="123"/>
      <c r="F183" s="115"/>
      <c r="G183" s="115"/>
      <c r="H183" s="115"/>
      <c r="I183" s="115"/>
      <c r="J183" s="26"/>
      <c r="K183" s="15"/>
      <c r="L183" s="115"/>
      <c r="M183" s="115"/>
      <c r="N183" s="115"/>
      <c r="O183" s="115"/>
      <c r="P183" s="115"/>
      <c r="Q183" s="115"/>
      <c r="R183" s="115"/>
      <c r="S183" s="115"/>
      <c r="T183" s="115"/>
      <c r="U183" s="25">
        <v>45684</v>
      </c>
      <c r="V183" s="13" t="s">
        <v>147</v>
      </c>
      <c r="AA183" s="117"/>
      <c r="AB183" s="123"/>
      <c r="AC183" s="123"/>
      <c r="AD183" s="123"/>
      <c r="AI183" s="115"/>
      <c r="AJ183" s="115"/>
      <c r="AK183" s="115"/>
      <c r="AL183" s="115"/>
      <c r="AM183" s="115"/>
      <c r="AN183" s="115"/>
      <c r="AO183" s="115"/>
      <c r="AP183" s="115"/>
      <c r="AQ183" s="115"/>
      <c r="AR183" s="115"/>
      <c r="AS183" s="13"/>
      <c r="AT183" s="13"/>
      <c r="AW183" s="114"/>
    </row>
    <row r="184" spans="1:49" ht="19.5" x14ac:dyDescent="0.4">
      <c r="A184" s="117"/>
      <c r="B184" s="123"/>
      <c r="C184" s="123"/>
      <c r="D184" s="123"/>
      <c r="F184" s="115"/>
      <c r="G184" s="115"/>
      <c r="H184" s="115"/>
      <c r="I184" s="115"/>
      <c r="J184" s="26"/>
      <c r="K184" s="15"/>
      <c r="L184" s="115"/>
      <c r="M184" s="115"/>
      <c r="N184" s="115"/>
      <c r="O184" s="115"/>
      <c r="P184" s="115"/>
      <c r="Q184" s="115"/>
      <c r="R184" s="115"/>
      <c r="S184" s="115"/>
      <c r="T184" s="115"/>
      <c r="U184" s="25">
        <v>45684</v>
      </c>
      <c r="V184" s="13" t="s">
        <v>146</v>
      </c>
      <c r="AA184" s="117"/>
      <c r="AB184" s="123"/>
      <c r="AC184" s="123"/>
      <c r="AD184" s="123"/>
      <c r="AI184" s="115"/>
      <c r="AJ184" s="115"/>
      <c r="AK184" s="115"/>
      <c r="AL184" s="115"/>
      <c r="AM184" s="115"/>
      <c r="AN184" s="115"/>
      <c r="AO184" s="115"/>
      <c r="AP184" s="115"/>
      <c r="AQ184" s="115"/>
      <c r="AR184" s="115"/>
      <c r="AS184" s="13"/>
      <c r="AT184" s="13"/>
      <c r="AW184" s="114"/>
    </row>
    <row r="185" spans="1:49" ht="19.5" x14ac:dyDescent="0.4">
      <c r="A185" s="117"/>
      <c r="B185" s="123"/>
      <c r="C185" s="123"/>
      <c r="D185" s="123"/>
      <c r="F185" s="115"/>
      <c r="G185" s="115"/>
      <c r="H185" s="115"/>
      <c r="I185" s="115"/>
      <c r="J185" s="26"/>
      <c r="K185" s="15"/>
      <c r="L185" s="115"/>
      <c r="M185" s="115"/>
      <c r="N185" s="115"/>
      <c r="O185" s="115"/>
      <c r="P185" s="115"/>
      <c r="Q185" s="115"/>
      <c r="R185" s="115"/>
      <c r="S185" s="115"/>
      <c r="T185" s="115"/>
      <c r="U185" s="25">
        <v>45684</v>
      </c>
      <c r="V185" s="13" t="s">
        <v>146</v>
      </c>
      <c r="AA185" s="117"/>
      <c r="AB185" s="123"/>
      <c r="AC185" s="123"/>
      <c r="AD185" s="123"/>
      <c r="AI185" s="115"/>
      <c r="AJ185" s="115"/>
      <c r="AK185" s="115"/>
      <c r="AL185" s="115"/>
      <c r="AM185" s="115"/>
      <c r="AN185" s="115"/>
      <c r="AO185" s="115"/>
      <c r="AP185" s="115"/>
      <c r="AQ185" s="115"/>
      <c r="AR185" s="115"/>
      <c r="AS185" s="13"/>
      <c r="AT185" s="13"/>
      <c r="AW185" s="114"/>
    </row>
    <row r="186" spans="1:49" ht="19.5" x14ac:dyDescent="0.4">
      <c r="A186" s="117"/>
      <c r="B186" s="123"/>
      <c r="C186" s="123"/>
      <c r="D186" s="123"/>
      <c r="F186" s="115"/>
      <c r="G186" s="115"/>
      <c r="H186" s="115"/>
      <c r="I186" s="115"/>
      <c r="J186" s="20"/>
      <c r="K186" s="15"/>
      <c r="L186" s="115"/>
      <c r="M186" s="115"/>
      <c r="N186" s="115"/>
      <c r="O186" s="115"/>
      <c r="P186" s="115"/>
      <c r="Q186" s="115"/>
      <c r="R186" s="115"/>
      <c r="S186" s="115"/>
      <c r="T186" s="115"/>
      <c r="U186" s="25"/>
      <c r="V186" s="13"/>
      <c r="AA186" s="117"/>
      <c r="AB186" s="123"/>
      <c r="AC186" s="123"/>
      <c r="AD186" s="123"/>
      <c r="AI186" s="115"/>
      <c r="AJ186" s="115"/>
      <c r="AK186" s="115"/>
      <c r="AL186" s="115"/>
      <c r="AM186" s="115"/>
      <c r="AN186" s="115"/>
      <c r="AO186" s="115"/>
      <c r="AP186" s="115"/>
      <c r="AQ186" s="115"/>
      <c r="AR186" s="115"/>
      <c r="AS186" s="13"/>
      <c r="AT186" s="13"/>
      <c r="AW186" s="114"/>
    </row>
    <row r="187" spans="1:49" ht="19.5" x14ac:dyDescent="0.4">
      <c r="A187" s="117"/>
      <c r="B187" s="123"/>
      <c r="C187" s="123"/>
      <c r="D187" s="123"/>
      <c r="F187" s="115"/>
      <c r="G187" s="115"/>
      <c r="H187" s="115"/>
      <c r="I187" s="115"/>
      <c r="J187" s="20"/>
      <c r="K187" s="15"/>
      <c r="L187" s="115"/>
      <c r="M187" s="115"/>
      <c r="N187" s="115"/>
      <c r="O187" s="115"/>
      <c r="P187" s="115"/>
      <c r="Q187" s="115"/>
      <c r="R187" s="115"/>
      <c r="S187" s="115"/>
      <c r="T187" s="115"/>
      <c r="U187" s="25"/>
      <c r="V187" s="13"/>
      <c r="AA187" s="117"/>
      <c r="AB187" s="123"/>
      <c r="AC187" s="123"/>
      <c r="AD187" s="123"/>
      <c r="AI187" s="115"/>
      <c r="AJ187" s="115"/>
      <c r="AK187" s="115"/>
      <c r="AL187" s="115"/>
      <c r="AM187" s="115"/>
      <c r="AN187" s="115"/>
      <c r="AO187" s="115"/>
      <c r="AP187" s="115"/>
      <c r="AQ187" s="115"/>
      <c r="AR187" s="115"/>
      <c r="AS187" s="13"/>
      <c r="AT187" s="13"/>
      <c r="AW187" s="114"/>
    </row>
    <row r="188" spans="1:49" ht="19.5" x14ac:dyDescent="0.4">
      <c r="A188" s="117"/>
      <c r="B188" s="123"/>
      <c r="C188" s="123"/>
      <c r="D188" s="123"/>
      <c r="F188" s="115"/>
      <c r="G188" s="115"/>
      <c r="H188" s="115"/>
      <c r="I188" s="115"/>
      <c r="J188" s="25"/>
      <c r="K188" s="15"/>
      <c r="L188" s="115"/>
      <c r="M188" s="115"/>
      <c r="N188" s="115"/>
      <c r="O188" s="115"/>
      <c r="P188" s="115"/>
      <c r="Q188" s="115"/>
      <c r="R188" s="115"/>
      <c r="S188" s="115"/>
      <c r="T188" s="115"/>
      <c r="U188" s="25">
        <v>45684</v>
      </c>
      <c r="V188" s="13" t="s">
        <v>147</v>
      </c>
      <c r="AA188" s="117"/>
      <c r="AB188" s="123"/>
      <c r="AC188" s="123"/>
      <c r="AD188" s="123"/>
      <c r="AI188" s="115"/>
      <c r="AJ188" s="115"/>
      <c r="AK188" s="115"/>
      <c r="AL188" s="115"/>
      <c r="AM188" s="115"/>
      <c r="AN188" s="115"/>
      <c r="AO188" s="115"/>
      <c r="AP188" s="115"/>
      <c r="AQ188" s="115"/>
      <c r="AR188" s="115"/>
      <c r="AS188" s="13"/>
      <c r="AT188" s="13"/>
      <c r="AW188" s="114"/>
    </row>
    <row r="189" spans="1:49" ht="19.5" x14ac:dyDescent="0.4">
      <c r="A189" s="117"/>
      <c r="B189" s="123"/>
      <c r="C189" s="123"/>
      <c r="D189" s="123"/>
      <c r="J189" s="25"/>
      <c r="K189" s="15"/>
      <c r="U189" s="25">
        <v>45685</v>
      </c>
      <c r="V189" s="13" t="s">
        <v>146</v>
      </c>
      <c r="AA189" s="117"/>
      <c r="AB189" s="123"/>
      <c r="AC189" s="123"/>
      <c r="AD189" s="123"/>
      <c r="AI189" s="115"/>
      <c r="AJ189" s="115"/>
      <c r="AK189" s="115"/>
      <c r="AL189" s="115"/>
      <c r="AM189" s="115"/>
      <c r="AN189" s="115"/>
      <c r="AO189" s="115"/>
      <c r="AP189" s="115"/>
      <c r="AQ189" s="115"/>
      <c r="AR189" s="115"/>
      <c r="AS189" s="25">
        <v>45263</v>
      </c>
      <c r="AT189" s="13" t="s">
        <v>162</v>
      </c>
      <c r="AW189" s="114"/>
    </row>
    <row r="190" spans="1:49" ht="19.5" x14ac:dyDescent="0.4">
      <c r="A190" s="117"/>
      <c r="B190" s="123"/>
      <c r="C190" s="123"/>
      <c r="D190" s="123"/>
      <c r="J190" s="25"/>
      <c r="K190" s="15"/>
      <c r="R190" s="115"/>
      <c r="S190" s="115"/>
      <c r="T190" s="115"/>
      <c r="U190" s="25">
        <v>45685</v>
      </c>
      <c r="V190" s="13" t="s">
        <v>147</v>
      </c>
      <c r="AA190" s="117"/>
      <c r="AB190" s="123"/>
      <c r="AC190" s="123"/>
      <c r="AD190" s="123"/>
      <c r="AI190" s="115"/>
      <c r="AJ190" s="115"/>
      <c r="AK190" s="115"/>
      <c r="AL190" s="115"/>
      <c r="AM190" s="115"/>
      <c r="AN190" s="115"/>
      <c r="AO190" s="115"/>
      <c r="AP190" s="115"/>
      <c r="AQ190" s="115"/>
      <c r="AR190" s="115"/>
      <c r="AS190" s="25"/>
      <c r="AT190" s="13"/>
      <c r="AW190" s="114"/>
    </row>
    <row r="191" spans="1:49" ht="19.5" x14ac:dyDescent="0.4">
      <c r="A191" s="117"/>
      <c r="B191" s="123"/>
      <c r="C191" s="123"/>
      <c r="D191" s="123"/>
      <c r="J191" s="133"/>
      <c r="K191" s="15"/>
      <c r="R191" s="115"/>
      <c r="S191" s="115"/>
      <c r="T191" s="115"/>
      <c r="U191" s="25"/>
      <c r="V191" s="13"/>
      <c r="AA191" s="117"/>
      <c r="AB191" s="123"/>
      <c r="AC191" s="123"/>
      <c r="AD191" s="123"/>
      <c r="AI191" s="115"/>
      <c r="AJ191" s="115"/>
      <c r="AK191" s="115"/>
      <c r="AL191" s="115"/>
      <c r="AM191" s="115"/>
      <c r="AN191" s="115"/>
      <c r="AO191" s="115"/>
      <c r="AP191" s="115"/>
      <c r="AQ191" s="115"/>
      <c r="AR191" s="115"/>
      <c r="AS191" s="25"/>
      <c r="AT191" s="13"/>
      <c r="AW191" s="114"/>
    </row>
    <row r="192" spans="1:49" ht="19.5" x14ac:dyDescent="0.4">
      <c r="A192" s="117"/>
      <c r="B192" s="123"/>
      <c r="C192" s="123"/>
      <c r="D192" s="123"/>
      <c r="J192" s="25"/>
      <c r="K192" s="15"/>
      <c r="L192" s="115"/>
      <c r="M192" s="115"/>
      <c r="N192" s="115"/>
      <c r="O192" s="115"/>
      <c r="P192" s="115"/>
      <c r="Q192" s="115"/>
      <c r="R192" s="115"/>
      <c r="S192" s="115"/>
      <c r="T192" s="115"/>
      <c r="U192" s="25">
        <v>45685</v>
      </c>
      <c r="V192" s="13" t="s">
        <v>147</v>
      </c>
      <c r="AA192" s="117"/>
      <c r="AB192" s="123"/>
      <c r="AC192" s="123"/>
      <c r="AD192" s="123"/>
      <c r="AI192" s="115"/>
      <c r="AJ192" s="115"/>
      <c r="AK192" s="115"/>
      <c r="AL192" s="115"/>
      <c r="AM192" s="115"/>
      <c r="AN192" s="115"/>
      <c r="AO192" s="115"/>
      <c r="AP192" s="115"/>
      <c r="AQ192" s="115"/>
      <c r="AR192" s="115"/>
      <c r="AS192" s="25"/>
      <c r="AT192" s="13"/>
      <c r="AW192" s="114"/>
    </row>
    <row r="193" spans="1:49" ht="19.5" x14ac:dyDescent="0.4">
      <c r="A193" s="117"/>
      <c r="B193" s="123"/>
      <c r="C193" s="123"/>
      <c r="D193" s="123"/>
      <c r="J193" s="25"/>
      <c r="K193" s="15"/>
      <c r="L193" s="115"/>
      <c r="M193" s="115"/>
      <c r="N193" s="115"/>
      <c r="O193" s="115"/>
      <c r="P193" s="115"/>
      <c r="Q193" s="115"/>
      <c r="R193" s="115"/>
      <c r="S193" s="115"/>
      <c r="T193" s="115"/>
      <c r="U193" s="25">
        <v>45685</v>
      </c>
      <c r="V193" s="13" t="s">
        <v>148</v>
      </c>
      <c r="AA193" s="117"/>
      <c r="AB193" s="123"/>
      <c r="AC193" s="123"/>
      <c r="AD193" s="123"/>
      <c r="AI193" s="115"/>
      <c r="AJ193" s="115"/>
      <c r="AK193" s="115"/>
      <c r="AL193" s="115"/>
      <c r="AM193" s="115"/>
      <c r="AN193" s="115"/>
      <c r="AO193" s="115"/>
      <c r="AP193" s="115"/>
      <c r="AQ193" s="115"/>
      <c r="AR193" s="115"/>
      <c r="AS193" s="25"/>
      <c r="AT193" s="13"/>
      <c r="AW193" s="114"/>
    </row>
    <row r="194" spans="1:49" ht="19.5" x14ac:dyDescent="0.4">
      <c r="A194" s="117"/>
      <c r="B194" s="123"/>
      <c r="C194" s="123"/>
      <c r="D194" s="123"/>
      <c r="J194" s="25"/>
      <c r="K194" s="15"/>
      <c r="L194" s="115"/>
      <c r="M194" s="115"/>
      <c r="N194" s="115"/>
      <c r="O194" s="115"/>
      <c r="P194" s="115"/>
      <c r="Q194" s="115"/>
      <c r="R194" s="115"/>
      <c r="S194" s="115"/>
      <c r="T194" s="115"/>
      <c r="U194" s="25">
        <v>45685</v>
      </c>
      <c r="V194" s="13" t="s">
        <v>148</v>
      </c>
      <c r="AA194" s="117"/>
      <c r="AB194" s="123"/>
      <c r="AC194" s="123"/>
      <c r="AD194" s="123"/>
      <c r="AI194" s="115"/>
      <c r="AJ194" s="115"/>
      <c r="AK194" s="115"/>
      <c r="AL194" s="115"/>
      <c r="AM194" s="115"/>
      <c r="AN194" s="115"/>
      <c r="AO194" s="115"/>
      <c r="AP194" s="115"/>
      <c r="AQ194" s="115"/>
      <c r="AR194" s="115"/>
      <c r="AS194" s="25"/>
      <c r="AT194" s="13"/>
      <c r="AW194" s="114"/>
    </row>
    <row r="195" spans="1:49" ht="19.5" x14ac:dyDescent="0.4">
      <c r="A195" s="117"/>
      <c r="B195" s="123"/>
      <c r="C195" s="123"/>
      <c r="D195" s="123"/>
      <c r="J195" s="133"/>
      <c r="K195" s="15"/>
      <c r="L195" s="115"/>
      <c r="M195" s="115"/>
      <c r="N195" s="115"/>
      <c r="O195" s="115"/>
      <c r="P195" s="115"/>
      <c r="Q195" s="115"/>
      <c r="R195" s="115"/>
      <c r="S195" s="115"/>
      <c r="T195" s="115"/>
      <c r="U195" s="25"/>
      <c r="V195" s="13"/>
      <c r="AA195" s="117"/>
      <c r="AB195" s="123"/>
      <c r="AC195" s="123"/>
      <c r="AD195" s="123"/>
      <c r="AI195" s="115"/>
      <c r="AJ195" s="115"/>
      <c r="AK195" s="115"/>
      <c r="AL195" s="115"/>
      <c r="AM195" s="115"/>
      <c r="AN195" s="115"/>
      <c r="AO195" s="115"/>
      <c r="AP195" s="115"/>
      <c r="AQ195" s="115"/>
      <c r="AR195" s="115"/>
      <c r="AS195" s="25"/>
      <c r="AT195" s="13"/>
      <c r="AW195" s="114"/>
    </row>
    <row r="196" spans="1:49" ht="19.5" x14ac:dyDescent="0.4">
      <c r="A196" s="117"/>
      <c r="B196" s="123"/>
      <c r="C196" s="123"/>
      <c r="D196" s="123"/>
      <c r="H196" s="115"/>
      <c r="I196" s="115"/>
      <c r="J196" s="25"/>
      <c r="K196" s="15"/>
      <c r="L196" s="115"/>
      <c r="M196" s="115"/>
      <c r="N196" s="115"/>
      <c r="O196" s="115"/>
      <c r="P196" s="115"/>
      <c r="Q196" s="115"/>
      <c r="R196" s="115"/>
      <c r="S196" s="115"/>
      <c r="T196" s="115"/>
      <c r="U196" s="25"/>
      <c r="V196" s="13"/>
      <c r="AA196" s="117"/>
      <c r="AB196" s="123"/>
      <c r="AC196" s="123"/>
      <c r="AD196" s="123"/>
      <c r="AI196" s="115"/>
      <c r="AJ196" s="115"/>
      <c r="AK196" s="115"/>
      <c r="AL196" s="115"/>
      <c r="AM196" s="115"/>
      <c r="AN196" s="115"/>
      <c r="AO196" s="115"/>
      <c r="AP196" s="115"/>
      <c r="AQ196" s="115"/>
      <c r="AR196" s="115"/>
      <c r="AS196" s="25"/>
      <c r="AT196" s="13"/>
      <c r="AW196" s="114"/>
    </row>
    <row r="197" spans="1:49" ht="19.5" x14ac:dyDescent="0.4">
      <c r="A197" s="117"/>
      <c r="B197" s="123"/>
      <c r="C197" s="123"/>
      <c r="D197" s="123"/>
      <c r="H197" s="115"/>
      <c r="I197" s="115"/>
      <c r="J197" s="133"/>
      <c r="K197" s="15"/>
      <c r="L197" s="115"/>
      <c r="M197" s="115"/>
      <c r="N197" s="115"/>
      <c r="O197" s="115"/>
      <c r="P197" s="115"/>
      <c r="Q197" s="115"/>
      <c r="R197" s="115"/>
      <c r="S197" s="115"/>
      <c r="T197" s="115"/>
      <c r="U197" s="25"/>
      <c r="V197" s="13"/>
      <c r="AA197" s="117"/>
      <c r="AB197" s="123"/>
      <c r="AC197" s="123"/>
      <c r="AD197" s="123"/>
      <c r="AI197" s="115"/>
      <c r="AJ197" s="115"/>
      <c r="AK197" s="115"/>
      <c r="AL197" s="115"/>
      <c r="AM197" s="115"/>
      <c r="AN197" s="115"/>
      <c r="AO197" s="115"/>
      <c r="AP197" s="115"/>
      <c r="AQ197" s="115"/>
      <c r="AR197" s="115"/>
      <c r="AS197" s="25"/>
      <c r="AT197" s="13"/>
      <c r="AW197" s="114"/>
    </row>
    <row r="198" spans="1:49" ht="19.5" x14ac:dyDescent="0.4">
      <c r="A198" s="117"/>
      <c r="B198" s="123"/>
      <c r="C198" s="123"/>
      <c r="D198" s="123"/>
      <c r="J198" s="25"/>
      <c r="K198" s="15"/>
      <c r="L198" s="115"/>
      <c r="M198" s="115"/>
      <c r="N198" s="115"/>
      <c r="O198" s="115"/>
      <c r="P198" s="115"/>
      <c r="Q198" s="115"/>
      <c r="R198" s="115"/>
      <c r="S198" s="115"/>
      <c r="T198" s="115"/>
      <c r="U198" s="25">
        <v>45685</v>
      </c>
      <c r="V198" s="13" t="s">
        <v>148</v>
      </c>
      <c r="AA198" s="117"/>
      <c r="AB198" s="123"/>
      <c r="AC198" s="123"/>
      <c r="AD198" s="123"/>
      <c r="AI198" s="115"/>
      <c r="AJ198" s="115"/>
      <c r="AK198" s="115"/>
      <c r="AL198" s="115"/>
      <c r="AM198" s="115"/>
      <c r="AN198" s="115"/>
      <c r="AO198" s="115"/>
      <c r="AP198" s="115"/>
      <c r="AQ198" s="115"/>
      <c r="AR198" s="115"/>
      <c r="AS198" s="25"/>
      <c r="AT198" s="13"/>
      <c r="AW198" s="114"/>
    </row>
    <row r="199" spans="1:49" ht="19.5" x14ac:dyDescent="0.4">
      <c r="A199" s="117"/>
      <c r="B199" s="123"/>
      <c r="C199" s="123"/>
      <c r="D199" s="123"/>
      <c r="J199" s="25"/>
      <c r="K199" s="15"/>
      <c r="L199" s="115"/>
      <c r="M199" s="115"/>
      <c r="N199" s="115"/>
      <c r="O199" s="115"/>
      <c r="P199" s="115"/>
      <c r="Q199" s="115"/>
      <c r="R199" s="115"/>
      <c r="S199" s="115"/>
      <c r="T199" s="115"/>
      <c r="U199" s="25">
        <v>45685</v>
      </c>
      <c r="V199" s="13" t="s">
        <v>148</v>
      </c>
      <c r="AA199" s="117"/>
      <c r="AB199" s="123"/>
      <c r="AC199" s="123"/>
      <c r="AD199" s="123"/>
      <c r="AI199" s="115"/>
      <c r="AJ199" s="115"/>
      <c r="AK199" s="115"/>
      <c r="AL199" s="115"/>
      <c r="AM199" s="115"/>
      <c r="AN199" s="115"/>
      <c r="AO199" s="115"/>
      <c r="AP199" s="115"/>
      <c r="AQ199" s="115"/>
      <c r="AR199" s="115"/>
      <c r="AS199" s="25"/>
      <c r="AT199" s="13"/>
      <c r="AW199" s="114"/>
    </row>
    <row r="200" spans="1:49" ht="19.5" x14ac:dyDescent="0.4">
      <c r="A200" s="117"/>
      <c r="B200" s="123"/>
      <c r="C200" s="123"/>
      <c r="D200" s="123"/>
      <c r="J200" s="25"/>
      <c r="K200" s="15"/>
      <c r="L200" s="115"/>
      <c r="M200" s="115"/>
      <c r="N200" s="115"/>
      <c r="O200" s="115"/>
      <c r="P200" s="115"/>
      <c r="Q200" s="115"/>
      <c r="R200" s="115"/>
      <c r="S200" s="115"/>
      <c r="T200" s="115"/>
      <c r="U200" s="25">
        <v>45685</v>
      </c>
      <c r="V200" s="13" t="s">
        <v>146</v>
      </c>
      <c r="AA200" s="117"/>
      <c r="AB200" s="123"/>
      <c r="AC200" s="123"/>
      <c r="AD200" s="123"/>
      <c r="AI200" s="115"/>
      <c r="AJ200" s="115"/>
      <c r="AK200" s="115"/>
      <c r="AL200" s="115"/>
      <c r="AM200" s="115"/>
      <c r="AN200" s="115"/>
      <c r="AO200" s="115"/>
      <c r="AP200" s="115"/>
      <c r="AQ200" s="115"/>
      <c r="AR200" s="115"/>
      <c r="AS200" s="25"/>
      <c r="AT200" s="13"/>
      <c r="AW200" s="114"/>
    </row>
    <row r="201" spans="1:49" ht="19.5" x14ac:dyDescent="0.4">
      <c r="A201" s="117"/>
      <c r="B201" s="123"/>
      <c r="C201" s="123"/>
      <c r="D201" s="123"/>
      <c r="H201" s="115"/>
      <c r="I201" s="115"/>
      <c r="J201" s="25"/>
      <c r="K201" s="15"/>
      <c r="L201" s="115"/>
      <c r="M201" s="115"/>
      <c r="N201" s="115"/>
      <c r="O201" s="115"/>
      <c r="P201" s="115"/>
      <c r="Q201" s="115"/>
      <c r="R201" s="115"/>
      <c r="S201" s="115"/>
      <c r="T201" s="115"/>
      <c r="U201" s="25"/>
      <c r="V201" s="13"/>
      <c r="AA201" s="117"/>
      <c r="AB201" s="123"/>
      <c r="AC201" s="123"/>
      <c r="AD201" s="123"/>
      <c r="AI201" s="115"/>
      <c r="AJ201" s="115"/>
      <c r="AK201" s="115"/>
      <c r="AL201" s="115"/>
      <c r="AM201" s="115"/>
      <c r="AN201" s="115"/>
      <c r="AO201" s="115"/>
      <c r="AP201" s="115"/>
      <c r="AQ201" s="115"/>
      <c r="AR201" s="115"/>
      <c r="AS201" s="25"/>
      <c r="AT201" s="13"/>
      <c r="AW201" s="114"/>
    </row>
    <row r="202" spans="1:49" ht="19.5" x14ac:dyDescent="0.4">
      <c r="A202" s="117"/>
      <c r="B202" s="123"/>
      <c r="C202" s="123"/>
      <c r="D202" s="123"/>
      <c r="J202" s="25"/>
      <c r="K202" s="15"/>
      <c r="U202" s="25">
        <v>45685</v>
      </c>
      <c r="V202" s="13" t="s">
        <v>148</v>
      </c>
      <c r="AA202" s="117"/>
      <c r="AB202" s="123"/>
      <c r="AC202" s="123"/>
      <c r="AD202" s="123"/>
      <c r="AI202" s="115"/>
      <c r="AJ202" s="115"/>
      <c r="AK202" s="115"/>
      <c r="AL202" s="115"/>
      <c r="AM202" s="115"/>
      <c r="AN202" s="115"/>
      <c r="AO202" s="115"/>
      <c r="AP202" s="115"/>
      <c r="AQ202" s="115"/>
      <c r="AR202" s="115" t="s">
        <v>150</v>
      </c>
      <c r="AS202" s="13">
        <f>SUBTOTAL(3,AS189:AS189)</f>
        <v>1</v>
      </c>
      <c r="AT202" s="13">
        <f>SUBTOTAL(3,AT189:AT189)</f>
        <v>1</v>
      </c>
      <c r="AW202" s="114"/>
    </row>
    <row r="203" spans="1:49" ht="19.5" x14ac:dyDescent="0.4">
      <c r="A203" s="117"/>
      <c r="B203" s="123"/>
      <c r="C203" s="123"/>
      <c r="D203" s="123"/>
      <c r="G203" s="115"/>
      <c r="H203" s="115"/>
      <c r="I203" s="115"/>
      <c r="J203" s="25"/>
      <c r="K203" s="15"/>
      <c r="U203" s="25"/>
      <c r="V203" s="13"/>
      <c r="AA203" s="117"/>
      <c r="AB203" s="123"/>
      <c r="AC203" s="123"/>
      <c r="AD203" s="123"/>
      <c r="AI203" s="115"/>
      <c r="AJ203" s="115"/>
      <c r="AK203" s="115"/>
      <c r="AL203" s="115"/>
      <c r="AM203" s="115"/>
      <c r="AN203" s="115"/>
      <c r="AO203" s="115"/>
      <c r="AP203" s="115"/>
      <c r="AQ203" s="115"/>
      <c r="AR203" s="115"/>
      <c r="AS203" s="13"/>
      <c r="AT203" s="13"/>
      <c r="AW203" s="114"/>
    </row>
    <row r="204" spans="1:49" ht="19.5" x14ac:dyDescent="0.4">
      <c r="A204" s="117"/>
      <c r="B204" s="123"/>
      <c r="C204" s="123"/>
      <c r="D204" s="123"/>
      <c r="J204" s="25"/>
      <c r="K204" s="15"/>
      <c r="L204" s="115"/>
      <c r="M204" s="115"/>
      <c r="N204" s="115"/>
      <c r="O204" s="115"/>
      <c r="P204" s="115"/>
      <c r="Q204" s="115"/>
      <c r="R204" s="115"/>
      <c r="S204" s="115"/>
      <c r="T204" s="115"/>
      <c r="U204" s="25">
        <v>45685</v>
      </c>
      <c r="V204" s="15" t="s">
        <v>146</v>
      </c>
      <c r="AA204" s="117"/>
      <c r="AB204" s="123"/>
      <c r="AC204" s="123"/>
      <c r="AD204" s="123"/>
      <c r="AI204" s="115"/>
      <c r="AJ204" s="115"/>
      <c r="AK204" s="115"/>
      <c r="AL204" s="115"/>
      <c r="AM204" s="115"/>
      <c r="AN204" s="115"/>
      <c r="AO204" s="115"/>
      <c r="AP204" s="115"/>
      <c r="AQ204" s="115"/>
      <c r="AR204" s="115"/>
      <c r="AS204" s="13"/>
      <c r="AT204" s="13"/>
      <c r="AW204" s="114"/>
    </row>
    <row r="205" spans="1:49" ht="19.5" x14ac:dyDescent="0.4">
      <c r="A205" s="117"/>
      <c r="B205" s="123"/>
      <c r="C205" s="123"/>
      <c r="D205" s="123"/>
      <c r="J205" s="25"/>
      <c r="K205" s="15"/>
      <c r="U205" s="25">
        <v>45685</v>
      </c>
      <c r="V205" s="15" t="s">
        <v>146</v>
      </c>
      <c r="AA205" s="117"/>
      <c r="AB205" s="123"/>
      <c r="AC205" s="123"/>
      <c r="AD205" s="123"/>
      <c r="AI205" s="115"/>
      <c r="AJ205" s="115"/>
      <c r="AK205" s="115"/>
      <c r="AL205" s="115"/>
      <c r="AM205" s="115"/>
      <c r="AN205" s="115"/>
      <c r="AO205" s="115"/>
      <c r="AP205" s="115"/>
      <c r="AQ205" s="115"/>
      <c r="AR205" s="115"/>
      <c r="AS205" s="25">
        <v>45264</v>
      </c>
      <c r="AT205" s="13" t="s">
        <v>162</v>
      </c>
      <c r="AW205" s="114"/>
    </row>
    <row r="206" spans="1:49" ht="19.5" x14ac:dyDescent="0.4">
      <c r="A206" s="117"/>
      <c r="B206" s="123"/>
      <c r="C206" s="123"/>
      <c r="D206" s="123"/>
      <c r="J206" s="25"/>
      <c r="K206" s="15"/>
      <c r="Q206" s="115"/>
      <c r="R206" s="115"/>
      <c r="S206" s="115"/>
      <c r="T206" s="115"/>
      <c r="U206" s="25">
        <v>45686</v>
      </c>
      <c r="V206" s="15" t="s">
        <v>148</v>
      </c>
      <c r="AA206" s="117"/>
      <c r="AB206" s="123"/>
      <c r="AC206" s="123"/>
      <c r="AD206" s="123"/>
      <c r="AI206" s="115"/>
      <c r="AJ206" s="115"/>
      <c r="AK206" s="115"/>
      <c r="AL206" s="115"/>
      <c r="AM206" s="115"/>
      <c r="AN206" s="115"/>
      <c r="AO206" s="115"/>
      <c r="AP206" s="115"/>
      <c r="AQ206" s="115"/>
      <c r="AR206" s="115"/>
      <c r="AS206" s="25"/>
      <c r="AT206" s="13"/>
      <c r="AW206" s="114"/>
    </row>
    <row r="207" spans="1:49" ht="19.5" x14ac:dyDescent="0.4">
      <c r="A207" s="117"/>
      <c r="B207" s="123"/>
      <c r="C207" s="123"/>
      <c r="D207" s="123"/>
      <c r="J207" s="25"/>
      <c r="K207" s="15"/>
      <c r="O207" s="115"/>
      <c r="P207" s="115"/>
      <c r="Q207" s="115"/>
      <c r="R207" s="115"/>
      <c r="S207" s="115"/>
      <c r="T207" s="115"/>
      <c r="U207" s="25">
        <v>45686</v>
      </c>
      <c r="V207" s="15" t="s">
        <v>146</v>
      </c>
      <c r="AA207" s="117"/>
      <c r="AB207" s="123"/>
      <c r="AC207" s="123"/>
      <c r="AD207" s="123"/>
      <c r="AI207" s="115"/>
      <c r="AJ207" s="115"/>
      <c r="AK207" s="115"/>
      <c r="AL207" s="115"/>
      <c r="AM207" s="115"/>
      <c r="AN207" s="115"/>
      <c r="AO207" s="115"/>
      <c r="AP207" s="115"/>
      <c r="AQ207" s="115"/>
      <c r="AR207" s="115"/>
      <c r="AS207" s="25"/>
      <c r="AT207" s="13"/>
      <c r="AW207" s="114"/>
    </row>
    <row r="208" spans="1:49" ht="19.5" x14ac:dyDescent="0.4">
      <c r="A208" s="117"/>
      <c r="B208" s="123"/>
      <c r="C208" s="123"/>
      <c r="D208" s="123"/>
      <c r="H208" s="115"/>
      <c r="I208" s="115"/>
      <c r="J208" s="25"/>
      <c r="K208" s="15"/>
      <c r="O208" s="115"/>
      <c r="P208" s="115"/>
      <c r="Q208" s="115"/>
      <c r="R208" s="115"/>
      <c r="S208" s="115"/>
      <c r="T208" s="115"/>
      <c r="U208" s="25"/>
      <c r="V208" s="15"/>
      <c r="AA208" s="117"/>
      <c r="AB208" s="123"/>
      <c r="AC208" s="123"/>
      <c r="AD208" s="123"/>
      <c r="AI208" s="115"/>
      <c r="AJ208" s="115"/>
      <c r="AK208" s="115"/>
      <c r="AL208" s="115"/>
      <c r="AM208" s="115"/>
      <c r="AN208" s="115"/>
      <c r="AO208" s="115"/>
      <c r="AP208" s="115"/>
      <c r="AQ208" s="115"/>
      <c r="AR208" s="115"/>
      <c r="AS208" s="25"/>
      <c r="AT208" s="13"/>
      <c r="AW208" s="114"/>
    </row>
    <row r="209" spans="1:49" ht="19.5" x14ac:dyDescent="0.4">
      <c r="A209" s="117"/>
      <c r="B209" s="123"/>
      <c r="C209" s="123"/>
      <c r="D209" s="123"/>
      <c r="J209" s="26"/>
      <c r="K209" s="15"/>
      <c r="O209" s="115"/>
      <c r="P209" s="115"/>
      <c r="Q209" s="115"/>
      <c r="R209" s="115"/>
      <c r="S209" s="115"/>
      <c r="T209" s="115"/>
      <c r="U209" s="25">
        <v>45686</v>
      </c>
      <c r="V209" s="15" t="s">
        <v>148</v>
      </c>
      <c r="AA209" s="117"/>
      <c r="AB209" s="123"/>
      <c r="AC209" s="123"/>
      <c r="AD209" s="123"/>
      <c r="AI209" s="115"/>
      <c r="AJ209" s="115"/>
      <c r="AK209" s="115"/>
      <c r="AL209" s="115"/>
      <c r="AM209" s="115"/>
      <c r="AN209" s="115"/>
      <c r="AO209" s="115"/>
      <c r="AP209" s="115"/>
      <c r="AQ209" s="115"/>
      <c r="AR209" s="115"/>
      <c r="AS209" s="25"/>
      <c r="AT209" s="13"/>
      <c r="AW209" s="114"/>
    </row>
    <row r="210" spans="1:49" ht="19.5" x14ac:dyDescent="0.4">
      <c r="A210" s="117"/>
      <c r="B210" s="123"/>
      <c r="C210" s="123"/>
      <c r="D210" s="123"/>
      <c r="H210" s="115"/>
      <c r="I210" s="115"/>
      <c r="J210" s="26"/>
      <c r="K210" s="13"/>
      <c r="O210" s="115"/>
      <c r="P210" s="115"/>
      <c r="Q210" s="115"/>
      <c r="R210" s="115"/>
      <c r="S210" s="115"/>
      <c r="T210" s="115"/>
      <c r="U210" s="25"/>
      <c r="V210" s="15"/>
      <c r="AA210" s="117"/>
      <c r="AB210" s="123"/>
      <c r="AC210" s="123"/>
      <c r="AD210" s="123"/>
      <c r="AI210" s="115"/>
      <c r="AJ210" s="115"/>
      <c r="AK210" s="115"/>
      <c r="AL210" s="115"/>
      <c r="AM210" s="115"/>
      <c r="AN210" s="115"/>
      <c r="AO210" s="115"/>
      <c r="AP210" s="115"/>
      <c r="AQ210" s="115"/>
      <c r="AR210" s="115"/>
      <c r="AS210" s="25"/>
      <c r="AT210" s="13"/>
      <c r="AW210" s="114"/>
    </row>
    <row r="211" spans="1:49" ht="19.5" x14ac:dyDescent="0.4">
      <c r="A211" s="117"/>
      <c r="B211" s="123"/>
      <c r="C211" s="123"/>
      <c r="D211" s="123"/>
      <c r="J211" s="26"/>
      <c r="K211" s="13"/>
      <c r="U211" s="25">
        <v>45686</v>
      </c>
      <c r="V211" s="15" t="s">
        <v>146</v>
      </c>
      <c r="AA211" s="117"/>
      <c r="AB211" s="123"/>
      <c r="AC211" s="123"/>
      <c r="AD211" s="123"/>
      <c r="AI211" s="115"/>
      <c r="AJ211" s="115"/>
      <c r="AK211" s="115"/>
      <c r="AL211" s="115"/>
      <c r="AM211" s="115"/>
      <c r="AN211" s="115"/>
      <c r="AO211" s="115"/>
      <c r="AP211" s="115"/>
      <c r="AQ211" s="115"/>
      <c r="AR211" s="115" t="s">
        <v>154</v>
      </c>
      <c r="AS211" s="13">
        <f>SUBTOTAL(3,AS205:AS205)</f>
        <v>1</v>
      </c>
      <c r="AT211" s="13">
        <f>SUBTOTAL(3,AT205:AT205)</f>
        <v>1</v>
      </c>
      <c r="AW211" s="114"/>
    </row>
    <row r="212" spans="1:49" ht="19.5" x14ac:dyDescent="0.4">
      <c r="A212" s="117"/>
      <c r="B212" s="123"/>
      <c r="C212" s="123"/>
      <c r="D212" s="123"/>
      <c r="H212" s="115"/>
      <c r="I212" s="115"/>
      <c r="J212" s="26"/>
      <c r="K212" s="13"/>
      <c r="U212" s="25"/>
      <c r="V212" s="15"/>
      <c r="AA212" s="117"/>
      <c r="AB212" s="123"/>
      <c r="AC212" s="123"/>
      <c r="AD212" s="123"/>
      <c r="AI212" s="115"/>
      <c r="AJ212" s="115"/>
      <c r="AK212" s="115"/>
      <c r="AL212" s="115"/>
      <c r="AM212" s="115"/>
      <c r="AN212" s="115"/>
      <c r="AO212" s="115"/>
      <c r="AP212" s="115"/>
      <c r="AQ212" s="115"/>
      <c r="AR212" s="115"/>
      <c r="AS212" s="13"/>
      <c r="AT212" s="13"/>
      <c r="AW212" s="114"/>
    </row>
    <row r="213" spans="1:49" ht="19.5" x14ac:dyDescent="0.4">
      <c r="A213" s="117"/>
      <c r="B213" s="123"/>
      <c r="C213" s="123"/>
      <c r="D213" s="123"/>
      <c r="G213" s="115"/>
      <c r="H213" s="115"/>
      <c r="I213" s="115"/>
      <c r="J213" s="26"/>
      <c r="K213" s="13"/>
      <c r="U213" s="25"/>
      <c r="V213" s="15"/>
      <c r="AA213" s="117"/>
      <c r="AB213" s="123"/>
      <c r="AC213" s="123"/>
      <c r="AD213" s="123"/>
      <c r="AI213" s="115"/>
      <c r="AJ213" s="115"/>
      <c r="AK213" s="115"/>
      <c r="AL213" s="115"/>
      <c r="AM213" s="115"/>
      <c r="AN213" s="115"/>
      <c r="AO213" s="115"/>
      <c r="AP213" s="115"/>
      <c r="AQ213" s="115"/>
      <c r="AR213" s="115"/>
      <c r="AS213" s="13"/>
      <c r="AT213" s="13"/>
      <c r="AW213" s="114"/>
    </row>
    <row r="214" spans="1:49" ht="19.5" x14ac:dyDescent="0.4">
      <c r="A214" s="117"/>
      <c r="B214" s="123"/>
      <c r="C214" s="123"/>
      <c r="D214" s="123"/>
      <c r="J214" s="26"/>
      <c r="K214" s="13"/>
      <c r="U214" s="25">
        <v>45686</v>
      </c>
      <c r="V214" s="15" t="s">
        <v>146</v>
      </c>
      <c r="AA214" s="117"/>
      <c r="AB214" s="123"/>
      <c r="AC214" s="123"/>
      <c r="AD214" s="123"/>
      <c r="AI214" s="115"/>
      <c r="AJ214" s="115"/>
      <c r="AK214" s="115"/>
      <c r="AL214" s="115"/>
      <c r="AM214" s="115"/>
      <c r="AN214" s="115"/>
      <c r="AO214" s="115"/>
      <c r="AP214" s="115"/>
      <c r="AQ214" s="115"/>
      <c r="AR214" s="115"/>
      <c r="AS214" s="25">
        <v>45265</v>
      </c>
      <c r="AT214" s="13" t="s">
        <v>162</v>
      </c>
      <c r="AW214" s="114"/>
    </row>
    <row r="215" spans="1:49" ht="19.5" x14ac:dyDescent="0.4">
      <c r="A215" s="117"/>
      <c r="B215" s="123"/>
      <c r="C215" s="123"/>
      <c r="D215" s="123"/>
      <c r="J215" s="26"/>
      <c r="K215" s="13"/>
      <c r="U215" s="25">
        <v>45686</v>
      </c>
      <c r="V215" s="15" t="s">
        <v>146</v>
      </c>
      <c r="AA215" s="117"/>
      <c r="AB215" s="123"/>
      <c r="AC215" s="123"/>
      <c r="AD215" s="123"/>
      <c r="AI215" s="115"/>
      <c r="AJ215" s="115"/>
      <c r="AK215" s="115"/>
      <c r="AL215" s="115"/>
      <c r="AM215" s="115"/>
      <c r="AN215" s="115"/>
      <c r="AO215" s="115"/>
      <c r="AP215" s="115"/>
      <c r="AQ215" s="115"/>
      <c r="AR215" s="115"/>
      <c r="AS215" s="25">
        <v>45265</v>
      </c>
      <c r="AT215" s="25" t="s">
        <v>162</v>
      </c>
      <c r="AW215" s="114"/>
    </row>
    <row r="216" spans="1:49" ht="19.5" x14ac:dyDescent="0.4">
      <c r="A216" s="117"/>
      <c r="B216" s="123"/>
      <c r="C216" s="123"/>
      <c r="D216" s="123"/>
      <c r="J216" s="26"/>
      <c r="K216" s="13"/>
      <c r="L216" s="115"/>
      <c r="M216" s="115"/>
      <c r="N216" s="115"/>
      <c r="O216" s="115"/>
      <c r="P216" s="115"/>
      <c r="Q216" s="115"/>
      <c r="R216" s="115"/>
      <c r="S216" s="115"/>
      <c r="T216" s="115"/>
      <c r="U216" s="25">
        <v>45686</v>
      </c>
      <c r="V216" s="15" t="s">
        <v>146</v>
      </c>
      <c r="AA216" s="117"/>
      <c r="AB216" s="123"/>
      <c r="AC216" s="123"/>
      <c r="AD216" s="123"/>
      <c r="AI216" s="115"/>
      <c r="AJ216" s="115"/>
      <c r="AK216" s="115"/>
      <c r="AL216" s="115"/>
      <c r="AM216" s="115"/>
      <c r="AN216" s="115"/>
      <c r="AO216" s="115"/>
      <c r="AP216" s="115"/>
      <c r="AQ216" s="115"/>
      <c r="AR216" s="115"/>
      <c r="AS216" s="25"/>
      <c r="AT216" s="25"/>
      <c r="AW216" s="114"/>
    </row>
    <row r="217" spans="1:49" ht="19.5" x14ac:dyDescent="0.4">
      <c r="A217" s="117"/>
      <c r="B217" s="123"/>
      <c r="C217" s="123"/>
      <c r="D217" s="123"/>
      <c r="J217" s="129"/>
      <c r="K217" s="13"/>
      <c r="L217" s="115"/>
      <c r="M217" s="115"/>
      <c r="N217" s="115"/>
      <c r="O217" s="115"/>
      <c r="P217" s="115"/>
      <c r="Q217" s="115"/>
      <c r="R217" s="115"/>
      <c r="S217" s="115"/>
      <c r="T217" s="115"/>
      <c r="U217" s="25"/>
      <c r="V217" s="13"/>
      <c r="AA217" s="117"/>
      <c r="AB217" s="123"/>
      <c r="AC217" s="123"/>
      <c r="AD217" s="123"/>
      <c r="AI217" s="115"/>
      <c r="AJ217" s="115"/>
      <c r="AK217" s="115"/>
      <c r="AL217" s="115"/>
      <c r="AM217" s="115"/>
      <c r="AN217" s="115"/>
      <c r="AO217" s="115"/>
      <c r="AP217" s="115"/>
      <c r="AQ217" s="115"/>
      <c r="AR217" s="115"/>
      <c r="AS217" s="25"/>
      <c r="AT217" s="25"/>
      <c r="AW217" s="114"/>
    </row>
    <row r="218" spans="1:49" ht="19.5" x14ac:dyDescent="0.4">
      <c r="A218" s="117"/>
      <c r="B218" s="123"/>
      <c r="C218" s="123"/>
      <c r="D218" s="123"/>
      <c r="J218" s="26"/>
      <c r="K218" s="13"/>
      <c r="U218" s="25">
        <v>45686</v>
      </c>
      <c r="V218" s="13" t="s">
        <v>146</v>
      </c>
      <c r="AA218" s="117"/>
      <c r="AB218" s="123"/>
      <c r="AC218" s="123"/>
      <c r="AD218" s="123"/>
      <c r="AI218" s="115"/>
      <c r="AJ218" s="115"/>
      <c r="AK218" s="115"/>
      <c r="AL218" s="115"/>
      <c r="AM218" s="115"/>
      <c r="AN218" s="115"/>
      <c r="AO218" s="115"/>
      <c r="AP218" s="115"/>
      <c r="AQ218" s="115"/>
      <c r="AR218" s="115"/>
      <c r="AS218" s="25">
        <v>45265</v>
      </c>
      <c r="AT218" s="13" t="s">
        <v>162</v>
      </c>
      <c r="AW218" s="114"/>
    </row>
    <row r="219" spans="1:49" ht="19.5" x14ac:dyDescent="0.4">
      <c r="A219" s="117"/>
      <c r="B219" s="123"/>
      <c r="C219" s="123"/>
      <c r="D219" s="123"/>
      <c r="H219" s="115"/>
      <c r="I219" s="115"/>
      <c r="J219" s="26"/>
      <c r="K219" s="13"/>
      <c r="U219" s="25"/>
      <c r="V219" s="13"/>
      <c r="AA219" s="117"/>
      <c r="AB219" s="123"/>
      <c r="AC219" s="123"/>
      <c r="AD219" s="123"/>
      <c r="AI219" s="115"/>
      <c r="AJ219" s="115"/>
      <c r="AK219" s="115"/>
      <c r="AL219" s="115"/>
      <c r="AM219" s="115"/>
      <c r="AN219" s="115"/>
      <c r="AO219" s="115"/>
      <c r="AP219" s="115"/>
      <c r="AQ219" s="115"/>
      <c r="AR219" s="115"/>
      <c r="AS219" s="25"/>
      <c r="AT219" s="13"/>
      <c r="AW219" s="114"/>
    </row>
    <row r="220" spans="1:49" ht="19.5" x14ac:dyDescent="0.4">
      <c r="A220" s="117"/>
      <c r="B220" s="123"/>
      <c r="C220" s="123"/>
      <c r="D220" s="123"/>
      <c r="J220" s="26"/>
      <c r="K220" s="13"/>
      <c r="Q220" s="115"/>
      <c r="R220" s="115"/>
      <c r="S220" s="115"/>
      <c r="T220" s="115"/>
      <c r="U220" s="25">
        <v>45686</v>
      </c>
      <c r="V220" s="15" t="s">
        <v>146</v>
      </c>
      <c r="AA220" s="117"/>
      <c r="AB220" s="123"/>
      <c r="AC220" s="123"/>
      <c r="AD220" s="123"/>
      <c r="AI220" s="115"/>
      <c r="AJ220" s="115"/>
      <c r="AK220" s="115"/>
      <c r="AL220" s="115"/>
      <c r="AM220" s="115"/>
      <c r="AN220" s="115"/>
      <c r="AO220" s="115"/>
      <c r="AP220" s="115"/>
      <c r="AQ220" s="115"/>
      <c r="AR220" s="115"/>
      <c r="AS220" s="25"/>
      <c r="AT220" s="13"/>
      <c r="AW220" s="114"/>
    </row>
    <row r="221" spans="1:49" ht="19.5" x14ac:dyDescent="0.4">
      <c r="A221" s="117"/>
      <c r="B221" s="123"/>
      <c r="C221" s="123"/>
      <c r="D221" s="123"/>
      <c r="J221" s="26"/>
      <c r="K221" s="13"/>
      <c r="U221" s="25">
        <v>45686</v>
      </c>
      <c r="V221" s="15" t="s">
        <v>147</v>
      </c>
      <c r="AA221" s="117"/>
      <c r="AB221" s="123"/>
      <c r="AC221" s="123"/>
      <c r="AD221" s="123"/>
      <c r="AI221" s="115"/>
      <c r="AJ221" s="115"/>
      <c r="AK221" s="115"/>
      <c r="AL221" s="115"/>
      <c r="AM221" s="115"/>
      <c r="AN221" s="115"/>
      <c r="AO221" s="115"/>
      <c r="AP221" s="115"/>
      <c r="AQ221" s="115"/>
      <c r="AR221" s="115"/>
      <c r="AS221" s="25">
        <v>45265</v>
      </c>
      <c r="AT221" s="13" t="s">
        <v>162</v>
      </c>
      <c r="AW221" s="114"/>
    </row>
    <row r="222" spans="1:49" ht="19.5" x14ac:dyDescent="0.4">
      <c r="A222" s="117"/>
      <c r="B222" s="123"/>
      <c r="C222" s="123"/>
      <c r="D222" s="123"/>
      <c r="J222" s="26"/>
      <c r="K222" s="13"/>
      <c r="R222" s="115"/>
      <c r="S222" s="115"/>
      <c r="T222" s="115"/>
      <c r="U222" s="25">
        <v>45686</v>
      </c>
      <c r="V222" s="15" t="s">
        <v>147</v>
      </c>
      <c r="AA222" s="117"/>
      <c r="AB222" s="123"/>
      <c r="AC222" s="123"/>
      <c r="AD222" s="123"/>
      <c r="AI222" s="115"/>
      <c r="AJ222" s="115"/>
      <c r="AK222" s="115"/>
      <c r="AL222" s="115"/>
      <c r="AM222" s="115"/>
      <c r="AN222" s="115"/>
      <c r="AO222" s="115"/>
      <c r="AP222" s="115"/>
      <c r="AQ222" s="115"/>
      <c r="AR222" s="115"/>
      <c r="AS222" s="25"/>
      <c r="AT222" s="13"/>
      <c r="AW222" s="114"/>
    </row>
    <row r="223" spans="1:49" ht="19.5" x14ac:dyDescent="0.4">
      <c r="A223" s="117"/>
      <c r="B223" s="123"/>
      <c r="C223" s="123"/>
      <c r="D223" s="123"/>
      <c r="J223" s="26"/>
      <c r="K223" s="13"/>
      <c r="L223" s="115"/>
      <c r="M223" s="115"/>
      <c r="N223" s="115"/>
      <c r="O223" s="115"/>
      <c r="P223" s="115"/>
      <c r="Q223" s="115"/>
      <c r="R223" s="115"/>
      <c r="S223" s="115"/>
      <c r="T223" s="115"/>
      <c r="U223" s="25">
        <v>45686</v>
      </c>
      <c r="V223" s="13" t="s">
        <v>146</v>
      </c>
      <c r="AA223" s="117"/>
      <c r="AB223" s="123"/>
      <c r="AC223" s="123"/>
      <c r="AD223" s="123"/>
      <c r="AI223" s="115"/>
      <c r="AJ223" s="115"/>
      <c r="AK223" s="115"/>
      <c r="AL223" s="115"/>
      <c r="AM223" s="115"/>
      <c r="AN223" s="115"/>
      <c r="AO223" s="115"/>
      <c r="AP223" s="115"/>
      <c r="AQ223" s="115"/>
      <c r="AR223" s="115"/>
      <c r="AS223" s="25"/>
      <c r="AT223" s="13"/>
      <c r="AW223" s="114"/>
    </row>
    <row r="224" spans="1:49" ht="19.5" x14ac:dyDescent="0.4">
      <c r="A224" s="117"/>
      <c r="B224" s="123"/>
      <c r="C224" s="123"/>
      <c r="D224" s="123"/>
      <c r="J224" s="26"/>
      <c r="K224" s="13"/>
      <c r="U224" s="25">
        <v>45686</v>
      </c>
      <c r="V224" s="25" t="s">
        <v>146</v>
      </c>
      <c r="AA224" s="117"/>
      <c r="AB224" s="123"/>
      <c r="AC224" s="123"/>
      <c r="AD224" s="123"/>
      <c r="AI224" s="115"/>
      <c r="AJ224" s="115"/>
      <c r="AK224" s="115"/>
      <c r="AL224" s="115"/>
      <c r="AM224" s="115"/>
      <c r="AN224" s="115"/>
      <c r="AO224" s="115"/>
      <c r="AP224" s="115"/>
      <c r="AQ224" s="115"/>
      <c r="AR224" s="115"/>
      <c r="AS224" s="25">
        <v>45265</v>
      </c>
      <c r="AT224" s="13" t="s">
        <v>163</v>
      </c>
      <c r="AW224" s="114"/>
    </row>
    <row r="225" spans="1:49" ht="19.5" x14ac:dyDescent="0.4">
      <c r="A225" s="117"/>
      <c r="B225" s="123"/>
      <c r="C225" s="123"/>
      <c r="D225" s="123"/>
      <c r="J225" s="26"/>
      <c r="K225" s="13"/>
      <c r="U225" s="25">
        <v>45686</v>
      </c>
      <c r="V225" s="25" t="s">
        <v>147</v>
      </c>
      <c r="AA225" s="117"/>
      <c r="AB225" s="123"/>
      <c r="AC225" s="123"/>
      <c r="AD225" s="123"/>
      <c r="AI225" s="115"/>
      <c r="AJ225" s="115"/>
      <c r="AK225" s="115"/>
      <c r="AL225" s="115"/>
      <c r="AM225" s="115"/>
      <c r="AN225" s="115"/>
      <c r="AO225" s="115"/>
      <c r="AP225" s="115"/>
      <c r="AQ225" s="115"/>
      <c r="AR225" s="115" t="s">
        <v>155</v>
      </c>
      <c r="AS225" s="13">
        <f>SUBTOTAL(3,AS214:AS224)</f>
        <v>5</v>
      </c>
      <c r="AT225" s="13">
        <f>SUBTOTAL(3,AT214:AT224)</f>
        <v>5</v>
      </c>
      <c r="AW225" s="114"/>
    </row>
    <row r="226" spans="1:49" ht="19.5" x14ac:dyDescent="0.4">
      <c r="A226" s="117"/>
      <c r="B226" s="123"/>
      <c r="C226" s="123"/>
      <c r="D226" s="123"/>
      <c r="J226" s="26"/>
      <c r="K226" s="13"/>
      <c r="L226" s="115"/>
      <c r="M226" s="115"/>
      <c r="N226" s="115"/>
      <c r="O226" s="115"/>
      <c r="P226" s="115"/>
      <c r="Q226" s="115"/>
      <c r="R226" s="115"/>
      <c r="S226" s="115"/>
      <c r="T226" s="115"/>
      <c r="U226" s="25">
        <v>45686</v>
      </c>
      <c r="V226" s="25" t="s">
        <v>148</v>
      </c>
      <c r="AA226" s="117"/>
      <c r="AB226" s="123"/>
      <c r="AC226" s="123"/>
      <c r="AD226" s="123"/>
      <c r="AI226" s="115"/>
      <c r="AJ226" s="115"/>
      <c r="AK226" s="115"/>
      <c r="AL226" s="115"/>
      <c r="AM226" s="115"/>
      <c r="AN226" s="115"/>
      <c r="AO226" s="115"/>
      <c r="AP226" s="115"/>
      <c r="AQ226" s="115"/>
      <c r="AR226" s="115"/>
      <c r="AS226" s="13"/>
      <c r="AT226" s="13"/>
      <c r="AW226" s="114"/>
    </row>
    <row r="227" spans="1:49" ht="19.5" x14ac:dyDescent="0.4">
      <c r="A227" s="117"/>
      <c r="B227" s="123"/>
      <c r="C227" s="123"/>
      <c r="D227" s="123"/>
      <c r="J227" s="26"/>
      <c r="K227" s="13"/>
      <c r="L227" s="115"/>
      <c r="M227" s="115"/>
      <c r="N227" s="115"/>
      <c r="O227" s="115"/>
      <c r="P227" s="115"/>
      <c r="Q227" s="115"/>
      <c r="R227" s="115"/>
      <c r="S227" s="115"/>
      <c r="T227" s="115"/>
      <c r="U227" s="25">
        <v>45686</v>
      </c>
      <c r="V227" s="13" t="s">
        <v>146</v>
      </c>
      <c r="AA227" s="117"/>
      <c r="AB227" s="123"/>
      <c r="AC227" s="123"/>
      <c r="AD227" s="123"/>
      <c r="AI227" s="115"/>
      <c r="AJ227" s="115"/>
      <c r="AK227" s="115"/>
      <c r="AL227" s="115"/>
      <c r="AM227" s="115"/>
      <c r="AN227" s="115"/>
      <c r="AO227" s="115"/>
      <c r="AP227" s="115"/>
      <c r="AQ227" s="115"/>
      <c r="AR227" s="115"/>
      <c r="AS227" s="13"/>
      <c r="AT227" s="13"/>
      <c r="AW227" s="114"/>
    </row>
    <row r="228" spans="1:49" ht="19.5" x14ac:dyDescent="0.4">
      <c r="A228" s="117"/>
      <c r="B228" s="123"/>
      <c r="C228" s="123"/>
      <c r="D228" s="123"/>
      <c r="F228" s="115"/>
      <c r="G228" s="115"/>
      <c r="H228" s="115"/>
      <c r="I228" s="115"/>
      <c r="J228" s="26"/>
      <c r="K228" s="13"/>
      <c r="L228" s="115"/>
      <c r="M228" s="115"/>
      <c r="N228" s="115"/>
      <c r="O228" s="115"/>
      <c r="P228" s="115"/>
      <c r="Q228" s="115"/>
      <c r="R228" s="115"/>
      <c r="S228" s="115"/>
      <c r="T228" s="115"/>
      <c r="U228" s="25">
        <v>45686</v>
      </c>
      <c r="V228" s="13" t="s">
        <v>146</v>
      </c>
      <c r="AA228" s="117"/>
      <c r="AB228" s="123"/>
      <c r="AC228" s="123"/>
      <c r="AD228" s="123"/>
      <c r="AI228" s="115"/>
      <c r="AJ228" s="115"/>
      <c r="AK228" s="115"/>
      <c r="AL228" s="115"/>
      <c r="AM228" s="115"/>
      <c r="AN228" s="115"/>
      <c r="AO228" s="115"/>
      <c r="AP228" s="115"/>
      <c r="AQ228" s="115"/>
      <c r="AR228" s="115"/>
      <c r="AS228" s="13"/>
      <c r="AT228" s="13"/>
      <c r="AW228" s="114"/>
    </row>
    <row r="229" spans="1:49" ht="19.5" x14ac:dyDescent="0.4">
      <c r="A229" s="117"/>
      <c r="B229" s="123"/>
      <c r="C229" s="123"/>
      <c r="D229" s="123"/>
      <c r="F229" s="115"/>
      <c r="G229" s="115"/>
      <c r="H229" s="115"/>
      <c r="I229" s="115"/>
      <c r="J229" s="26"/>
      <c r="K229" s="13"/>
      <c r="L229" s="115"/>
      <c r="M229" s="115"/>
      <c r="N229" s="115"/>
      <c r="O229" s="115"/>
      <c r="P229" s="115"/>
      <c r="Q229" s="115"/>
      <c r="R229" s="115"/>
      <c r="S229" s="115"/>
      <c r="T229" s="115"/>
      <c r="U229" s="25">
        <v>45686</v>
      </c>
      <c r="V229" s="15" t="s">
        <v>148</v>
      </c>
      <c r="AA229" s="117"/>
      <c r="AB229" s="123"/>
      <c r="AC229" s="123"/>
      <c r="AD229" s="123"/>
      <c r="AI229" s="115"/>
      <c r="AJ229" s="115"/>
      <c r="AK229" s="115"/>
      <c r="AL229" s="115"/>
      <c r="AM229" s="115"/>
      <c r="AN229" s="115"/>
      <c r="AO229" s="115"/>
      <c r="AP229" s="115"/>
      <c r="AQ229" s="115"/>
      <c r="AR229" s="115"/>
      <c r="AS229" s="13"/>
      <c r="AT229" s="13"/>
      <c r="AW229" s="114"/>
    </row>
    <row r="230" spans="1:49" ht="19.5" x14ac:dyDescent="0.4">
      <c r="A230" s="117"/>
      <c r="B230" s="123"/>
      <c r="C230" s="123"/>
      <c r="D230" s="123"/>
      <c r="F230" s="115"/>
      <c r="G230" s="115"/>
      <c r="H230" s="115"/>
      <c r="I230" s="115"/>
      <c r="J230" s="26"/>
      <c r="K230" s="13"/>
      <c r="L230" s="115"/>
      <c r="M230" s="115"/>
      <c r="N230" s="115"/>
      <c r="O230" s="115"/>
      <c r="P230" s="115"/>
      <c r="Q230" s="115"/>
      <c r="R230" s="115"/>
      <c r="S230" s="115"/>
      <c r="T230" s="115"/>
      <c r="U230" s="25">
        <v>45686</v>
      </c>
      <c r="V230" s="15" t="s">
        <v>148</v>
      </c>
      <c r="AA230" s="117"/>
      <c r="AB230" s="123"/>
      <c r="AC230" s="123"/>
      <c r="AD230" s="123"/>
      <c r="AI230" s="115"/>
      <c r="AJ230" s="115"/>
      <c r="AK230" s="115"/>
      <c r="AL230" s="115"/>
      <c r="AM230" s="115"/>
      <c r="AN230" s="115"/>
      <c r="AO230" s="115"/>
      <c r="AP230" s="115"/>
      <c r="AQ230" s="115"/>
      <c r="AR230" s="115"/>
      <c r="AS230" s="13"/>
      <c r="AT230" s="13"/>
      <c r="AW230" s="114"/>
    </row>
    <row r="231" spans="1:49" ht="19.5" x14ac:dyDescent="0.4">
      <c r="A231" s="117"/>
      <c r="B231" s="123"/>
      <c r="C231" s="123"/>
      <c r="D231" s="123"/>
      <c r="F231" s="115"/>
      <c r="G231" s="115"/>
      <c r="H231" s="115"/>
      <c r="I231" s="115"/>
      <c r="J231" s="26"/>
      <c r="K231" s="13"/>
      <c r="L231" s="115"/>
      <c r="M231" s="115"/>
      <c r="N231" s="115"/>
      <c r="O231" s="115"/>
      <c r="P231" s="115"/>
      <c r="Q231" s="115"/>
      <c r="R231" s="115"/>
      <c r="S231" s="115"/>
      <c r="T231" s="115"/>
      <c r="U231" s="25">
        <v>45686</v>
      </c>
      <c r="V231" s="15" t="s">
        <v>148</v>
      </c>
      <c r="AA231" s="117"/>
      <c r="AB231" s="123"/>
      <c r="AC231" s="123"/>
      <c r="AD231" s="123"/>
      <c r="AI231" s="115"/>
      <c r="AJ231" s="115"/>
      <c r="AK231" s="115"/>
      <c r="AL231" s="115"/>
      <c r="AM231" s="115"/>
      <c r="AN231" s="115"/>
      <c r="AO231" s="115"/>
      <c r="AP231" s="115"/>
      <c r="AQ231" s="115"/>
      <c r="AR231" s="115"/>
      <c r="AS231" s="13"/>
      <c r="AT231" s="13"/>
      <c r="AW231" s="114"/>
    </row>
    <row r="232" spans="1:49" ht="19.5" x14ac:dyDescent="0.4">
      <c r="A232" s="117"/>
      <c r="B232" s="123"/>
      <c r="C232" s="123"/>
      <c r="D232" s="123"/>
      <c r="F232" s="115"/>
      <c r="G232" s="115"/>
      <c r="H232" s="115"/>
      <c r="I232" s="115"/>
      <c r="J232" s="26"/>
      <c r="K232" s="13"/>
      <c r="L232" s="115"/>
      <c r="M232" s="115"/>
      <c r="N232" s="115"/>
      <c r="O232" s="115"/>
      <c r="P232" s="115"/>
      <c r="Q232" s="115"/>
      <c r="R232" s="115"/>
      <c r="S232" s="115"/>
      <c r="T232" s="115"/>
      <c r="U232" s="25">
        <v>45686</v>
      </c>
      <c r="V232" s="15" t="s">
        <v>146</v>
      </c>
      <c r="AA232" s="117"/>
      <c r="AB232" s="123"/>
      <c r="AC232" s="123"/>
      <c r="AD232" s="123"/>
      <c r="AI232" s="115"/>
      <c r="AJ232" s="115"/>
      <c r="AK232" s="115"/>
      <c r="AL232" s="115"/>
      <c r="AM232" s="115"/>
      <c r="AN232" s="115"/>
      <c r="AO232" s="115"/>
      <c r="AP232" s="115"/>
      <c r="AQ232" s="115"/>
      <c r="AR232" s="115"/>
      <c r="AS232" s="13"/>
      <c r="AT232" s="13"/>
      <c r="AW232" s="114"/>
    </row>
    <row r="233" spans="1:49" ht="19.5" x14ac:dyDescent="0.4">
      <c r="A233" s="117"/>
      <c r="B233" s="123"/>
      <c r="C233" s="123"/>
      <c r="D233" s="123"/>
      <c r="F233" s="115"/>
      <c r="G233" s="115"/>
      <c r="H233" s="115"/>
      <c r="I233" s="115"/>
      <c r="J233" s="26"/>
      <c r="K233" s="13"/>
      <c r="L233" s="115"/>
      <c r="M233" s="115"/>
      <c r="N233" s="115"/>
      <c r="O233" s="115"/>
      <c r="P233" s="115"/>
      <c r="Q233" s="115"/>
      <c r="R233" s="115"/>
      <c r="S233" s="115"/>
      <c r="T233" s="115"/>
      <c r="U233" s="25">
        <v>45686</v>
      </c>
      <c r="V233" s="15" t="s">
        <v>148</v>
      </c>
      <c r="AA233" s="117"/>
      <c r="AB233" s="123"/>
      <c r="AC233" s="123"/>
      <c r="AD233" s="123"/>
      <c r="AI233" s="115"/>
      <c r="AJ233" s="115"/>
      <c r="AK233" s="115"/>
      <c r="AL233" s="115"/>
      <c r="AM233" s="115"/>
      <c r="AN233" s="115"/>
      <c r="AO233" s="115"/>
      <c r="AP233" s="115"/>
      <c r="AQ233" s="115"/>
      <c r="AR233" s="115"/>
      <c r="AS233" s="13"/>
      <c r="AT233" s="13"/>
      <c r="AW233" s="114"/>
    </row>
    <row r="234" spans="1:49" ht="19.5" x14ac:dyDescent="0.4">
      <c r="A234" s="117"/>
      <c r="B234" s="123"/>
      <c r="C234" s="123"/>
      <c r="D234" s="123"/>
      <c r="F234" s="115"/>
      <c r="G234" s="115"/>
      <c r="H234" s="115"/>
      <c r="I234" s="115"/>
      <c r="J234" s="26"/>
      <c r="K234" s="13"/>
      <c r="L234" s="115"/>
      <c r="M234" s="115"/>
      <c r="N234" s="115"/>
      <c r="O234" s="115"/>
      <c r="P234" s="115"/>
      <c r="Q234" s="115"/>
      <c r="R234" s="115"/>
      <c r="S234" s="115"/>
      <c r="T234" s="115"/>
      <c r="U234" s="25">
        <v>45689</v>
      </c>
      <c r="V234" s="15" t="s">
        <v>147</v>
      </c>
      <c r="AA234" s="117"/>
      <c r="AB234" s="123"/>
      <c r="AC234" s="123"/>
      <c r="AD234" s="123"/>
      <c r="AI234" s="115"/>
      <c r="AJ234" s="115"/>
      <c r="AK234" s="115"/>
      <c r="AL234" s="115"/>
      <c r="AM234" s="115"/>
      <c r="AN234" s="115"/>
      <c r="AO234" s="115"/>
      <c r="AP234" s="115"/>
      <c r="AQ234" s="115"/>
      <c r="AR234" s="115"/>
      <c r="AS234" s="13"/>
      <c r="AT234" s="13"/>
      <c r="AW234" s="114"/>
    </row>
    <row r="235" spans="1:49" ht="19.5" x14ac:dyDescent="0.4">
      <c r="A235" s="117"/>
      <c r="B235" s="123"/>
      <c r="C235" s="123"/>
      <c r="D235" s="123"/>
      <c r="F235" s="115"/>
      <c r="G235" s="115"/>
      <c r="H235" s="115"/>
      <c r="I235" s="115"/>
      <c r="J235" s="26"/>
      <c r="K235" s="13"/>
      <c r="L235" s="115"/>
      <c r="M235" s="115"/>
      <c r="N235" s="115"/>
      <c r="O235" s="115"/>
      <c r="P235" s="115"/>
      <c r="Q235" s="115"/>
      <c r="R235" s="115"/>
      <c r="S235" s="115"/>
      <c r="T235" s="115"/>
      <c r="U235" s="25"/>
      <c r="V235" s="15"/>
      <c r="AA235" s="117"/>
      <c r="AB235" s="123"/>
      <c r="AC235" s="123"/>
      <c r="AD235" s="123"/>
      <c r="AI235" s="115"/>
      <c r="AJ235" s="115"/>
      <c r="AK235" s="115"/>
      <c r="AL235" s="115"/>
      <c r="AM235" s="115"/>
      <c r="AN235" s="115"/>
      <c r="AO235" s="115"/>
      <c r="AP235" s="115"/>
      <c r="AQ235" s="115"/>
      <c r="AR235" s="115"/>
      <c r="AS235" s="13"/>
      <c r="AT235" s="13"/>
      <c r="AW235" s="114"/>
    </row>
    <row r="236" spans="1:49" ht="19.5" x14ac:dyDescent="0.4">
      <c r="A236" s="117"/>
      <c r="B236" s="123"/>
      <c r="C236" s="123"/>
      <c r="D236" s="123"/>
      <c r="F236" s="115"/>
      <c r="G236" s="115"/>
      <c r="H236" s="115"/>
      <c r="I236" s="115"/>
      <c r="J236" s="26"/>
      <c r="K236" s="13"/>
      <c r="L236" s="115"/>
      <c r="M236" s="115"/>
      <c r="N236" s="115"/>
      <c r="O236" s="115"/>
      <c r="P236" s="115"/>
      <c r="Q236" s="115"/>
      <c r="R236" s="115"/>
      <c r="S236" s="115"/>
      <c r="T236" s="115"/>
      <c r="U236" s="25">
        <v>45689</v>
      </c>
      <c r="V236" s="15" t="s">
        <v>147</v>
      </c>
      <c r="AA236" s="117"/>
      <c r="AB236" s="123"/>
      <c r="AC236" s="123"/>
      <c r="AD236" s="123"/>
      <c r="AI236" s="115"/>
      <c r="AJ236" s="115"/>
      <c r="AK236" s="115"/>
      <c r="AL236" s="115"/>
      <c r="AM236" s="115"/>
      <c r="AN236" s="115"/>
      <c r="AO236" s="115"/>
      <c r="AP236" s="115"/>
      <c r="AQ236" s="115"/>
      <c r="AR236" s="115"/>
      <c r="AS236" s="13"/>
      <c r="AT236" s="13"/>
      <c r="AW236" s="114"/>
    </row>
    <row r="237" spans="1:49" ht="19.5" x14ac:dyDescent="0.4">
      <c r="A237" s="117"/>
      <c r="B237" s="123"/>
      <c r="C237" s="123"/>
      <c r="D237" s="123"/>
      <c r="J237" s="26"/>
      <c r="K237" s="13"/>
      <c r="U237" s="25">
        <v>45689</v>
      </c>
      <c r="V237" s="15" t="s">
        <v>146</v>
      </c>
      <c r="AA237" s="117"/>
      <c r="AB237" s="123"/>
      <c r="AC237" s="123"/>
      <c r="AD237" s="123"/>
      <c r="AF237" s="115"/>
      <c r="AG237" s="115"/>
      <c r="AH237" s="115"/>
      <c r="AI237" s="115"/>
      <c r="AJ237" s="115"/>
      <c r="AK237" s="115"/>
      <c r="AL237" s="115"/>
      <c r="AM237" s="115"/>
      <c r="AN237" s="115"/>
      <c r="AO237" s="115"/>
      <c r="AP237" s="115"/>
      <c r="AQ237" s="115"/>
      <c r="AR237" s="115"/>
      <c r="AS237" s="25">
        <v>45266</v>
      </c>
      <c r="AT237" s="25" t="s">
        <v>162</v>
      </c>
      <c r="AW237" s="114"/>
    </row>
    <row r="238" spans="1:49" ht="19.5" x14ac:dyDescent="0.4">
      <c r="A238" s="117"/>
      <c r="B238" s="123"/>
      <c r="C238" s="123"/>
      <c r="D238" s="123"/>
      <c r="J238" s="129"/>
      <c r="K238" s="13"/>
      <c r="U238" s="25"/>
      <c r="V238" s="15"/>
      <c r="AA238" s="117"/>
      <c r="AB238" s="123"/>
      <c r="AC238" s="123"/>
      <c r="AD238" s="123"/>
      <c r="AF238" s="115"/>
      <c r="AG238" s="115"/>
      <c r="AH238" s="115"/>
      <c r="AI238" s="115"/>
      <c r="AJ238" s="115"/>
      <c r="AK238" s="115"/>
      <c r="AL238" s="115"/>
      <c r="AM238" s="115"/>
      <c r="AN238" s="115"/>
      <c r="AO238" s="115"/>
      <c r="AP238" s="115"/>
      <c r="AQ238" s="115"/>
      <c r="AR238" s="115"/>
      <c r="AS238" s="25"/>
      <c r="AT238" s="25"/>
      <c r="AW238" s="114"/>
    </row>
    <row r="239" spans="1:49" ht="19.5" x14ac:dyDescent="0.4">
      <c r="A239" s="117"/>
      <c r="B239" s="123"/>
      <c r="C239" s="123"/>
      <c r="D239" s="123"/>
      <c r="J239" s="26"/>
      <c r="K239" s="13"/>
      <c r="L239" s="115"/>
      <c r="M239" s="115"/>
      <c r="N239" s="115"/>
      <c r="O239" s="115"/>
      <c r="P239" s="115"/>
      <c r="Q239" s="115"/>
      <c r="R239" s="115"/>
      <c r="S239" s="115"/>
      <c r="T239" s="115"/>
      <c r="U239" s="25">
        <v>45689</v>
      </c>
      <c r="V239" s="15" t="s">
        <v>146</v>
      </c>
      <c r="AA239" s="117"/>
      <c r="AB239" s="123"/>
      <c r="AC239" s="123"/>
      <c r="AD239" s="123"/>
      <c r="AF239" s="115"/>
      <c r="AG239" s="115"/>
      <c r="AH239" s="115"/>
      <c r="AI239" s="115"/>
      <c r="AJ239" s="115"/>
      <c r="AK239" s="115"/>
      <c r="AL239" s="115"/>
      <c r="AM239" s="115"/>
      <c r="AN239" s="115"/>
      <c r="AO239" s="115"/>
      <c r="AP239" s="115"/>
      <c r="AQ239" s="115"/>
      <c r="AR239" s="115"/>
      <c r="AS239" s="25"/>
      <c r="AT239" s="25"/>
      <c r="AW239" s="114"/>
    </row>
    <row r="240" spans="1:49" ht="19.5" x14ac:dyDescent="0.4">
      <c r="A240" s="117"/>
      <c r="B240" s="123"/>
      <c r="C240" s="123"/>
      <c r="D240" s="123"/>
      <c r="G240" s="115"/>
      <c r="H240" s="115"/>
      <c r="I240" s="115"/>
      <c r="J240" s="26"/>
      <c r="K240" s="13"/>
      <c r="L240" s="115"/>
      <c r="M240" s="115"/>
      <c r="N240" s="115"/>
      <c r="O240" s="115"/>
      <c r="P240" s="115"/>
      <c r="Q240" s="115"/>
      <c r="R240" s="115"/>
      <c r="S240" s="115"/>
      <c r="T240" s="115"/>
      <c r="U240" s="25"/>
      <c r="V240" s="15"/>
      <c r="AA240" s="117"/>
      <c r="AB240" s="123"/>
      <c r="AC240" s="123"/>
      <c r="AD240" s="123"/>
      <c r="AF240" s="115"/>
      <c r="AG240" s="115"/>
      <c r="AH240" s="115"/>
      <c r="AI240" s="115"/>
      <c r="AJ240" s="115"/>
      <c r="AK240" s="115"/>
      <c r="AL240" s="115"/>
      <c r="AM240" s="115"/>
      <c r="AN240" s="115"/>
      <c r="AO240" s="115"/>
      <c r="AP240" s="115"/>
      <c r="AQ240" s="115"/>
      <c r="AR240" s="115"/>
      <c r="AS240" s="25"/>
      <c r="AT240" s="25"/>
      <c r="AW240" s="114"/>
    </row>
    <row r="241" spans="1:49" ht="19.5" x14ac:dyDescent="0.4">
      <c r="A241" s="117"/>
      <c r="B241" s="123"/>
      <c r="C241" s="123"/>
      <c r="D241" s="123"/>
      <c r="G241" s="115"/>
      <c r="H241" s="115"/>
      <c r="I241" s="115"/>
      <c r="J241" s="26"/>
      <c r="K241" s="13"/>
      <c r="L241" s="115"/>
      <c r="M241" s="115"/>
      <c r="N241" s="115"/>
      <c r="O241" s="115"/>
      <c r="P241" s="115"/>
      <c r="Q241" s="115"/>
      <c r="R241" s="115"/>
      <c r="S241" s="115"/>
      <c r="T241" s="115"/>
      <c r="U241" s="25"/>
      <c r="V241" s="15"/>
      <c r="AA241" s="117"/>
      <c r="AB241" s="123"/>
      <c r="AC241" s="123"/>
      <c r="AD241" s="123"/>
      <c r="AF241" s="115"/>
      <c r="AG241" s="115"/>
      <c r="AH241" s="115"/>
      <c r="AI241" s="115"/>
      <c r="AJ241" s="115"/>
      <c r="AK241" s="115"/>
      <c r="AL241" s="115"/>
      <c r="AM241" s="115"/>
      <c r="AN241" s="115"/>
      <c r="AO241" s="115"/>
      <c r="AP241" s="115"/>
      <c r="AQ241" s="115"/>
      <c r="AR241" s="115"/>
      <c r="AS241" s="25"/>
      <c r="AT241" s="25"/>
      <c r="AW241" s="114"/>
    </row>
    <row r="242" spans="1:49" ht="19.5" x14ac:dyDescent="0.4">
      <c r="A242" s="117"/>
      <c r="B242" s="123"/>
      <c r="C242" s="123"/>
      <c r="D242" s="123"/>
      <c r="J242" s="26"/>
      <c r="K242" s="13"/>
      <c r="L242" s="115"/>
      <c r="M242" s="115"/>
      <c r="N242" s="115"/>
      <c r="O242" s="115"/>
      <c r="P242" s="115"/>
      <c r="Q242" s="115"/>
      <c r="R242" s="115"/>
      <c r="S242" s="115"/>
      <c r="T242" s="115"/>
      <c r="U242" s="25">
        <v>45690</v>
      </c>
      <c r="V242" s="15" t="s">
        <v>146</v>
      </c>
      <c r="AA242" s="117"/>
      <c r="AB242" s="123"/>
      <c r="AC242" s="123"/>
      <c r="AD242" s="123"/>
      <c r="AF242" s="115"/>
      <c r="AG242" s="115"/>
      <c r="AH242" s="115"/>
      <c r="AI242" s="115"/>
      <c r="AJ242" s="115"/>
      <c r="AK242" s="115"/>
      <c r="AL242" s="115"/>
      <c r="AM242" s="115"/>
      <c r="AN242" s="115"/>
      <c r="AO242" s="115"/>
      <c r="AP242" s="115"/>
      <c r="AQ242" s="115"/>
      <c r="AR242" s="115"/>
      <c r="AS242" s="25"/>
      <c r="AT242" s="25"/>
      <c r="AW242" s="114"/>
    </row>
    <row r="243" spans="1:49" ht="19.5" x14ac:dyDescent="0.4">
      <c r="A243" s="117"/>
      <c r="B243" s="123"/>
      <c r="C243" s="123"/>
      <c r="D243" s="123"/>
      <c r="G243" s="115"/>
      <c r="H243" s="115"/>
      <c r="I243" s="115"/>
      <c r="J243" s="26"/>
      <c r="K243" s="13"/>
      <c r="L243" s="115"/>
      <c r="M243" s="115"/>
      <c r="N243" s="115"/>
      <c r="O243" s="115"/>
      <c r="P243" s="115"/>
      <c r="Q243" s="115"/>
      <c r="R243" s="115"/>
      <c r="S243" s="115"/>
      <c r="T243" s="115"/>
      <c r="U243" s="25"/>
      <c r="V243" s="15"/>
      <c r="AA243" s="117"/>
      <c r="AB243" s="123"/>
      <c r="AC243" s="123"/>
      <c r="AD243" s="123"/>
      <c r="AF243" s="115"/>
      <c r="AG243" s="115"/>
      <c r="AH243" s="115"/>
      <c r="AI243" s="115"/>
      <c r="AJ243" s="115"/>
      <c r="AK243" s="115"/>
      <c r="AL243" s="115"/>
      <c r="AM243" s="115"/>
      <c r="AN243" s="115"/>
      <c r="AO243" s="115"/>
      <c r="AP243" s="115"/>
      <c r="AQ243" s="115"/>
      <c r="AR243" s="115"/>
      <c r="AS243" s="25"/>
      <c r="AT243" s="25"/>
      <c r="AW243" s="114"/>
    </row>
    <row r="244" spans="1:49" ht="19.5" x14ac:dyDescent="0.4">
      <c r="A244" s="117"/>
      <c r="B244" s="123"/>
      <c r="C244" s="123"/>
      <c r="D244" s="123"/>
      <c r="J244" s="26"/>
      <c r="K244" s="13"/>
      <c r="L244" s="115"/>
      <c r="M244" s="115"/>
      <c r="N244" s="115"/>
      <c r="O244" s="115"/>
      <c r="P244" s="115"/>
      <c r="Q244" s="115"/>
      <c r="R244" s="115"/>
      <c r="S244" s="115"/>
      <c r="T244" s="115"/>
      <c r="U244" s="25">
        <v>45691</v>
      </c>
      <c r="V244" s="15" t="s">
        <v>146</v>
      </c>
      <c r="AA244" s="117"/>
      <c r="AB244" s="123"/>
      <c r="AC244" s="123"/>
      <c r="AD244" s="123"/>
      <c r="AF244" s="115"/>
      <c r="AG244" s="115"/>
      <c r="AH244" s="115"/>
      <c r="AI244" s="115"/>
      <c r="AJ244" s="115"/>
      <c r="AK244" s="115"/>
      <c r="AL244" s="115"/>
      <c r="AM244" s="115"/>
      <c r="AN244" s="115"/>
      <c r="AO244" s="115"/>
      <c r="AP244" s="115"/>
      <c r="AQ244" s="115"/>
      <c r="AR244" s="115"/>
      <c r="AS244" s="25"/>
      <c r="AT244" s="25"/>
      <c r="AW244" s="114"/>
    </row>
    <row r="245" spans="1:49" ht="19.5" x14ac:dyDescent="0.4">
      <c r="A245" s="117"/>
      <c r="B245" s="123"/>
      <c r="C245" s="123"/>
      <c r="D245" s="123"/>
      <c r="J245" s="26"/>
      <c r="K245" s="13"/>
      <c r="U245" s="25">
        <v>45691</v>
      </c>
      <c r="V245" s="15" t="s">
        <v>146</v>
      </c>
      <c r="AA245" s="117"/>
      <c r="AB245" s="123"/>
      <c r="AC245" s="123"/>
      <c r="AD245" s="123"/>
      <c r="AF245" s="115"/>
      <c r="AG245" s="115"/>
      <c r="AH245" s="115"/>
      <c r="AI245" s="115"/>
      <c r="AJ245" s="115"/>
      <c r="AK245" s="115"/>
      <c r="AL245" s="115"/>
      <c r="AM245" s="115"/>
      <c r="AN245" s="115"/>
      <c r="AO245" s="115"/>
      <c r="AP245" s="115"/>
      <c r="AQ245" s="115"/>
      <c r="AR245" s="115" t="s">
        <v>156</v>
      </c>
      <c r="AS245" s="13">
        <f>SUBTOTAL(3,AS237:AS237)</f>
        <v>1</v>
      </c>
      <c r="AT245" s="13">
        <f>SUBTOTAL(3,AT237:AT237)</f>
        <v>1</v>
      </c>
      <c r="AW245" s="114"/>
    </row>
    <row r="246" spans="1:49" ht="19.5" x14ac:dyDescent="0.4">
      <c r="A246" s="117"/>
      <c r="B246" s="123"/>
      <c r="C246" s="123"/>
      <c r="D246" s="123"/>
      <c r="J246" s="26"/>
      <c r="K246" s="13"/>
      <c r="Q246" s="115"/>
      <c r="R246" s="115"/>
      <c r="S246" s="115"/>
      <c r="T246" s="115"/>
      <c r="U246" s="25">
        <v>45691</v>
      </c>
      <c r="V246" s="15" t="s">
        <v>146</v>
      </c>
      <c r="AA246" s="117"/>
      <c r="AB246" s="123"/>
      <c r="AC246" s="123"/>
      <c r="AD246" s="123"/>
      <c r="AF246" s="115"/>
      <c r="AG246" s="115"/>
      <c r="AH246" s="115"/>
      <c r="AI246" s="115"/>
      <c r="AJ246" s="115"/>
      <c r="AK246" s="115"/>
      <c r="AL246" s="115"/>
      <c r="AM246" s="115"/>
      <c r="AN246" s="115"/>
      <c r="AO246" s="115"/>
      <c r="AP246" s="115"/>
      <c r="AQ246" s="115"/>
      <c r="AR246" s="115"/>
      <c r="AS246" s="13"/>
      <c r="AT246" s="13"/>
      <c r="AW246" s="114"/>
    </row>
    <row r="247" spans="1:49" ht="19.5" x14ac:dyDescent="0.4">
      <c r="A247" s="117"/>
      <c r="B247" s="123"/>
      <c r="C247" s="123"/>
      <c r="D247" s="123"/>
      <c r="G247" s="115"/>
      <c r="H247" s="115"/>
      <c r="I247" s="115"/>
      <c r="J247" s="26"/>
      <c r="K247" s="13"/>
      <c r="Q247" s="115"/>
      <c r="R247" s="115"/>
      <c r="S247" s="115"/>
      <c r="T247" s="115"/>
      <c r="U247" s="25"/>
      <c r="V247" s="15"/>
      <c r="AA247" s="117"/>
      <c r="AB247" s="123"/>
      <c r="AC247" s="123"/>
      <c r="AD247" s="123"/>
      <c r="AF247" s="115"/>
      <c r="AG247" s="115"/>
      <c r="AH247" s="115"/>
      <c r="AI247" s="115"/>
      <c r="AJ247" s="115"/>
      <c r="AK247" s="115"/>
      <c r="AL247" s="115"/>
      <c r="AM247" s="115"/>
      <c r="AN247" s="115"/>
      <c r="AO247" s="115"/>
      <c r="AP247" s="115"/>
      <c r="AQ247" s="115"/>
      <c r="AR247" s="115"/>
      <c r="AS247" s="13"/>
      <c r="AT247" s="13"/>
      <c r="AW247" s="114"/>
    </row>
    <row r="248" spans="1:49" ht="19.5" x14ac:dyDescent="0.4">
      <c r="A248" s="117"/>
      <c r="B248" s="123"/>
      <c r="C248" s="123"/>
      <c r="D248" s="123"/>
      <c r="J248" s="26"/>
      <c r="K248" s="13"/>
      <c r="L248" s="115"/>
      <c r="M248" s="115"/>
      <c r="N248" s="115"/>
      <c r="O248" s="115"/>
      <c r="P248" s="115"/>
      <c r="Q248" s="115"/>
      <c r="R248" s="115"/>
      <c r="S248" s="115"/>
      <c r="T248" s="115"/>
      <c r="U248" s="25">
        <v>45691</v>
      </c>
      <c r="V248" s="15" t="s">
        <v>146</v>
      </c>
      <c r="AA248" s="117"/>
      <c r="AB248" s="123"/>
      <c r="AC248" s="123"/>
      <c r="AD248" s="123"/>
      <c r="AF248" s="115"/>
      <c r="AG248" s="115"/>
      <c r="AH248" s="115"/>
      <c r="AI248" s="115"/>
      <c r="AJ248" s="115"/>
      <c r="AK248" s="115"/>
      <c r="AL248" s="115"/>
      <c r="AM248" s="115"/>
      <c r="AN248" s="115"/>
      <c r="AO248" s="115"/>
      <c r="AP248" s="115"/>
      <c r="AQ248" s="115"/>
      <c r="AR248" s="115"/>
      <c r="AS248" s="13"/>
      <c r="AT248" s="13"/>
      <c r="AW248" s="114"/>
    </row>
    <row r="249" spans="1:49" ht="19.5" x14ac:dyDescent="0.4">
      <c r="A249" s="117"/>
      <c r="B249" s="123"/>
      <c r="C249" s="123"/>
      <c r="D249" s="123"/>
      <c r="H249" s="115"/>
      <c r="I249" s="115"/>
      <c r="J249" s="26"/>
      <c r="K249" s="13"/>
      <c r="L249" s="115"/>
      <c r="M249" s="115"/>
      <c r="N249" s="115"/>
      <c r="O249" s="115"/>
      <c r="P249" s="115"/>
      <c r="Q249" s="115"/>
      <c r="R249" s="115"/>
      <c r="S249" s="115"/>
      <c r="T249" s="115"/>
      <c r="U249" s="25"/>
      <c r="V249" s="15"/>
      <c r="AA249" s="117"/>
      <c r="AB249" s="123"/>
      <c r="AC249" s="123"/>
      <c r="AD249" s="123"/>
      <c r="AF249" s="115"/>
      <c r="AG249" s="115"/>
      <c r="AH249" s="115"/>
      <c r="AI249" s="115"/>
      <c r="AJ249" s="115"/>
      <c r="AK249" s="115"/>
      <c r="AL249" s="115"/>
      <c r="AM249" s="115"/>
      <c r="AN249" s="115"/>
      <c r="AO249" s="115"/>
      <c r="AP249" s="115"/>
      <c r="AQ249" s="115"/>
      <c r="AR249" s="115"/>
      <c r="AS249" s="13"/>
      <c r="AT249" s="13"/>
      <c r="AW249" s="114"/>
    </row>
    <row r="250" spans="1:49" ht="19.5" x14ac:dyDescent="0.4">
      <c r="A250" s="117"/>
      <c r="B250" s="123"/>
      <c r="C250" s="123"/>
      <c r="D250" s="123"/>
      <c r="G250" s="115"/>
      <c r="H250" s="115"/>
      <c r="I250" s="115"/>
      <c r="J250" s="26"/>
      <c r="K250" s="13"/>
      <c r="L250" s="115"/>
      <c r="M250" s="115"/>
      <c r="N250" s="115"/>
      <c r="O250" s="115"/>
      <c r="P250" s="115"/>
      <c r="Q250" s="115"/>
      <c r="R250" s="115"/>
      <c r="S250" s="115"/>
      <c r="T250" s="115"/>
      <c r="U250" s="25"/>
      <c r="V250" s="15"/>
      <c r="AA250" s="117"/>
      <c r="AB250" s="123"/>
      <c r="AC250" s="123"/>
      <c r="AD250" s="123"/>
      <c r="AF250" s="115"/>
      <c r="AG250" s="115"/>
      <c r="AH250" s="115"/>
      <c r="AI250" s="115"/>
      <c r="AJ250" s="115"/>
      <c r="AK250" s="115"/>
      <c r="AL250" s="115"/>
      <c r="AM250" s="115"/>
      <c r="AN250" s="115"/>
      <c r="AO250" s="115"/>
      <c r="AP250" s="115"/>
      <c r="AQ250" s="115"/>
      <c r="AR250" s="115"/>
      <c r="AS250" s="13"/>
      <c r="AT250" s="13"/>
      <c r="AW250" s="114"/>
    </row>
    <row r="251" spans="1:49" ht="19.5" x14ac:dyDescent="0.4">
      <c r="A251" s="117"/>
      <c r="B251" s="123"/>
      <c r="C251" s="123"/>
      <c r="D251" s="123"/>
      <c r="G251" s="115"/>
      <c r="H251" s="115"/>
      <c r="I251" s="115"/>
      <c r="J251" s="26"/>
      <c r="K251" s="13"/>
      <c r="L251" s="115"/>
      <c r="M251" s="115"/>
      <c r="N251" s="115"/>
      <c r="O251" s="115"/>
      <c r="P251" s="115"/>
      <c r="Q251" s="115"/>
      <c r="R251" s="115"/>
      <c r="S251" s="115"/>
      <c r="T251" s="115"/>
      <c r="U251" s="25"/>
      <c r="V251" s="15"/>
      <c r="AA251" s="117"/>
      <c r="AB251" s="123"/>
      <c r="AC251" s="123"/>
      <c r="AD251" s="123"/>
      <c r="AF251" s="115"/>
      <c r="AG251" s="115"/>
      <c r="AH251" s="115"/>
      <c r="AI251" s="115"/>
      <c r="AJ251" s="115"/>
      <c r="AK251" s="115"/>
      <c r="AL251" s="115"/>
      <c r="AM251" s="115"/>
      <c r="AN251" s="115"/>
      <c r="AO251" s="115"/>
      <c r="AP251" s="115"/>
      <c r="AQ251" s="115"/>
      <c r="AR251" s="115"/>
      <c r="AS251" s="13"/>
      <c r="AT251" s="13"/>
      <c r="AW251" s="114"/>
    </row>
    <row r="252" spans="1:49" ht="19.5" x14ac:dyDescent="0.4">
      <c r="A252" s="117"/>
      <c r="B252" s="123"/>
      <c r="C252" s="123"/>
      <c r="D252" s="123"/>
      <c r="G252" s="115"/>
      <c r="H252" s="115"/>
      <c r="I252" s="115"/>
      <c r="J252" s="129"/>
      <c r="K252" s="13"/>
      <c r="L252" s="115"/>
      <c r="M252" s="115"/>
      <c r="N252" s="115"/>
      <c r="O252" s="115"/>
      <c r="P252" s="115"/>
      <c r="Q252" s="115"/>
      <c r="R252" s="115"/>
      <c r="S252" s="115"/>
      <c r="T252" s="115"/>
      <c r="U252" s="25"/>
      <c r="V252" s="15"/>
      <c r="AA252" s="117"/>
      <c r="AB252" s="123"/>
      <c r="AC252" s="123"/>
      <c r="AD252" s="123"/>
      <c r="AF252" s="115"/>
      <c r="AG252" s="115"/>
      <c r="AH252" s="115"/>
      <c r="AI252" s="115"/>
      <c r="AJ252" s="115"/>
      <c r="AK252" s="115"/>
      <c r="AL252" s="115"/>
      <c r="AM252" s="115"/>
      <c r="AN252" s="115"/>
      <c r="AO252" s="115"/>
      <c r="AP252" s="115"/>
      <c r="AQ252" s="115"/>
      <c r="AR252" s="115"/>
      <c r="AS252" s="13"/>
      <c r="AT252" s="13"/>
      <c r="AW252" s="114"/>
    </row>
    <row r="253" spans="1:49" ht="19.5" x14ac:dyDescent="0.4">
      <c r="A253" s="117"/>
      <c r="B253" s="123"/>
      <c r="C253" s="123"/>
      <c r="D253" s="123"/>
      <c r="J253" s="26"/>
      <c r="K253" s="13"/>
      <c r="L253" s="115"/>
      <c r="M253" s="115"/>
      <c r="N253" s="115"/>
      <c r="O253" s="115"/>
      <c r="P253" s="115"/>
      <c r="Q253" s="115"/>
      <c r="R253" s="115"/>
      <c r="S253" s="115"/>
      <c r="T253" s="115"/>
      <c r="U253" s="25">
        <v>45692</v>
      </c>
      <c r="V253" s="15" t="s">
        <v>146</v>
      </c>
      <c r="AA253" s="117"/>
      <c r="AB253" s="123"/>
      <c r="AC253" s="123"/>
      <c r="AD253" s="123"/>
      <c r="AF253" s="115"/>
      <c r="AG253" s="115"/>
      <c r="AH253" s="115"/>
      <c r="AI253" s="115"/>
      <c r="AJ253" s="115"/>
      <c r="AK253" s="115"/>
      <c r="AL253" s="115"/>
      <c r="AM253" s="115"/>
      <c r="AN253" s="115"/>
      <c r="AO253" s="115"/>
      <c r="AP253" s="115"/>
      <c r="AQ253" s="115"/>
      <c r="AR253" s="115"/>
      <c r="AS253" s="13"/>
      <c r="AT253" s="13"/>
      <c r="AW253" s="114"/>
    </row>
    <row r="254" spans="1:49" ht="19.5" x14ac:dyDescent="0.4">
      <c r="A254" s="117"/>
      <c r="B254" s="123"/>
      <c r="C254" s="123"/>
      <c r="D254" s="123"/>
      <c r="J254" s="129"/>
      <c r="K254" s="13"/>
      <c r="L254" s="115"/>
      <c r="M254" s="115"/>
      <c r="N254" s="115"/>
      <c r="O254" s="115"/>
      <c r="P254" s="115"/>
      <c r="Q254" s="115"/>
      <c r="R254" s="115"/>
      <c r="S254" s="115"/>
      <c r="T254" s="115"/>
      <c r="U254" s="25"/>
      <c r="V254" s="15"/>
      <c r="AA254" s="117"/>
      <c r="AB254" s="123"/>
      <c r="AC254" s="123"/>
      <c r="AD254" s="123"/>
      <c r="AF254" s="115"/>
      <c r="AG254" s="115"/>
      <c r="AH254" s="115"/>
      <c r="AI254" s="115"/>
      <c r="AJ254" s="115"/>
      <c r="AK254" s="115"/>
      <c r="AL254" s="115"/>
      <c r="AM254" s="115"/>
      <c r="AN254" s="115"/>
      <c r="AO254" s="115"/>
      <c r="AP254" s="115"/>
      <c r="AQ254" s="115"/>
      <c r="AR254" s="115"/>
      <c r="AS254" s="13"/>
      <c r="AT254" s="13"/>
      <c r="AW254" s="114"/>
    </row>
    <row r="255" spans="1:49" ht="19.5" x14ac:dyDescent="0.4">
      <c r="A255" s="117"/>
      <c r="B255" s="123"/>
      <c r="C255" s="123"/>
      <c r="D255" s="123"/>
      <c r="J255" s="26"/>
      <c r="K255" s="13"/>
      <c r="U255" s="25">
        <v>45692</v>
      </c>
      <c r="V255" s="15" t="s">
        <v>146</v>
      </c>
      <c r="AA255" s="117"/>
      <c r="AB255" s="123"/>
      <c r="AC255" s="123"/>
      <c r="AD255" s="123"/>
      <c r="AF255" s="115"/>
      <c r="AG255" s="115"/>
      <c r="AH255" s="115"/>
      <c r="AI255" s="115"/>
      <c r="AJ255" s="115"/>
      <c r="AK255" s="115"/>
      <c r="AL255" s="115"/>
      <c r="AM255" s="115"/>
      <c r="AN255" s="115"/>
      <c r="AO255" s="115"/>
      <c r="AP255" s="115"/>
      <c r="AQ255" s="115"/>
      <c r="AR255" s="115"/>
      <c r="AS255" s="25">
        <v>45267</v>
      </c>
      <c r="AT255" s="13" t="s">
        <v>142</v>
      </c>
      <c r="AW255" s="114"/>
    </row>
    <row r="256" spans="1:49" ht="19.5" x14ac:dyDescent="0.4">
      <c r="A256" s="117"/>
      <c r="B256" s="123"/>
      <c r="C256" s="123"/>
      <c r="D256" s="123"/>
      <c r="J256" s="26"/>
      <c r="K256" s="13"/>
      <c r="Q256" s="115"/>
      <c r="R256" s="115"/>
      <c r="S256" s="115"/>
      <c r="T256" s="115"/>
      <c r="U256" s="25">
        <v>45692</v>
      </c>
      <c r="V256" s="15" t="s">
        <v>146</v>
      </c>
      <c r="AA256" s="117"/>
      <c r="AB256" s="123"/>
      <c r="AC256" s="123"/>
      <c r="AD256" s="123"/>
      <c r="AF256" s="115"/>
      <c r="AG256" s="115"/>
      <c r="AH256" s="115"/>
      <c r="AI256" s="115"/>
      <c r="AJ256" s="115"/>
      <c r="AK256" s="115"/>
      <c r="AL256" s="115"/>
      <c r="AM256" s="115"/>
      <c r="AN256" s="115"/>
      <c r="AO256" s="115"/>
      <c r="AP256" s="115"/>
      <c r="AQ256" s="115"/>
      <c r="AR256" s="115"/>
      <c r="AS256" s="25"/>
      <c r="AT256" s="13"/>
      <c r="AW256" s="114"/>
    </row>
    <row r="257" spans="1:49" ht="19.5" x14ac:dyDescent="0.4">
      <c r="A257" s="117"/>
      <c r="B257" s="123"/>
      <c r="C257" s="123"/>
      <c r="D257" s="123"/>
      <c r="J257" s="26"/>
      <c r="K257" s="13"/>
      <c r="M257" s="115"/>
      <c r="N257" s="115"/>
      <c r="O257" s="115"/>
      <c r="P257" s="115"/>
      <c r="Q257" s="115"/>
      <c r="R257" s="115"/>
      <c r="S257" s="115"/>
      <c r="T257" s="115"/>
      <c r="U257" s="25">
        <v>45692</v>
      </c>
      <c r="V257" s="15" t="s">
        <v>146</v>
      </c>
      <c r="AA257" s="117"/>
      <c r="AB257" s="123"/>
      <c r="AC257" s="123"/>
      <c r="AD257" s="123"/>
      <c r="AF257" s="115"/>
      <c r="AG257" s="115"/>
      <c r="AH257" s="115"/>
      <c r="AI257" s="115"/>
      <c r="AJ257" s="115"/>
      <c r="AK257" s="115"/>
      <c r="AL257" s="115"/>
      <c r="AM257" s="115"/>
      <c r="AN257" s="115"/>
      <c r="AO257" s="115"/>
      <c r="AP257" s="115"/>
      <c r="AQ257" s="115"/>
      <c r="AR257" s="115"/>
      <c r="AS257" s="25"/>
      <c r="AT257" s="13"/>
      <c r="AW257" s="114"/>
    </row>
    <row r="258" spans="1:49" ht="19.5" x14ac:dyDescent="0.4">
      <c r="A258" s="117"/>
      <c r="B258" s="123"/>
      <c r="C258" s="123"/>
      <c r="D258" s="123"/>
      <c r="H258" s="115"/>
      <c r="I258" s="115"/>
      <c r="J258" s="26"/>
      <c r="K258" s="13"/>
      <c r="M258" s="115"/>
      <c r="N258" s="115"/>
      <c r="O258" s="115"/>
      <c r="P258" s="115"/>
      <c r="Q258" s="115"/>
      <c r="R258" s="115"/>
      <c r="S258" s="115"/>
      <c r="T258" s="115"/>
      <c r="U258" s="25"/>
      <c r="V258" s="15"/>
      <c r="AA258" s="117"/>
      <c r="AB258" s="123"/>
      <c r="AC258" s="123"/>
      <c r="AD258" s="123"/>
      <c r="AF258" s="115"/>
      <c r="AG258" s="115"/>
      <c r="AH258" s="115"/>
      <c r="AI258" s="115"/>
      <c r="AJ258" s="115"/>
      <c r="AK258" s="115"/>
      <c r="AL258" s="115"/>
      <c r="AM258" s="115"/>
      <c r="AN258" s="115"/>
      <c r="AO258" s="115"/>
      <c r="AP258" s="115"/>
      <c r="AQ258" s="115"/>
      <c r="AR258" s="115"/>
      <c r="AS258" s="25"/>
      <c r="AT258" s="13"/>
      <c r="AW258" s="114"/>
    </row>
    <row r="259" spans="1:49" ht="19.5" x14ac:dyDescent="0.4">
      <c r="A259" s="117"/>
      <c r="B259" s="123"/>
      <c r="C259" s="123"/>
      <c r="D259" s="123"/>
      <c r="H259" s="115"/>
      <c r="I259" s="115"/>
      <c r="J259" s="129"/>
      <c r="K259" s="13"/>
      <c r="M259" s="115"/>
      <c r="N259" s="115"/>
      <c r="O259" s="115"/>
      <c r="P259" s="115"/>
      <c r="Q259" s="115"/>
      <c r="R259" s="115"/>
      <c r="S259" s="115"/>
      <c r="T259" s="115"/>
      <c r="U259" s="25"/>
      <c r="V259" s="15"/>
      <c r="AA259" s="117"/>
      <c r="AB259" s="123"/>
      <c r="AC259" s="123"/>
      <c r="AD259" s="123"/>
      <c r="AF259" s="115"/>
      <c r="AG259" s="115"/>
      <c r="AH259" s="115"/>
      <c r="AI259" s="115"/>
      <c r="AJ259" s="115"/>
      <c r="AK259" s="115"/>
      <c r="AL259" s="115"/>
      <c r="AM259" s="115"/>
      <c r="AN259" s="115"/>
      <c r="AO259" s="115"/>
      <c r="AP259" s="115"/>
      <c r="AQ259" s="115"/>
      <c r="AR259" s="115"/>
      <c r="AS259" s="25"/>
      <c r="AT259" s="13"/>
      <c r="AW259" s="114"/>
    </row>
    <row r="260" spans="1:49" ht="19.5" x14ac:dyDescent="0.4">
      <c r="A260" s="117"/>
      <c r="B260" s="123"/>
      <c r="C260" s="123"/>
      <c r="D260" s="123"/>
      <c r="J260" s="26"/>
      <c r="K260" s="13"/>
      <c r="L260" s="115"/>
      <c r="M260" s="115"/>
      <c r="N260" s="115"/>
      <c r="O260" s="115"/>
      <c r="P260" s="115"/>
      <c r="Q260" s="115"/>
      <c r="R260" s="115"/>
      <c r="S260" s="115"/>
      <c r="T260" s="115"/>
      <c r="U260" s="25">
        <v>45693</v>
      </c>
      <c r="V260" s="15" t="s">
        <v>146</v>
      </c>
      <c r="AA260" s="117"/>
      <c r="AB260" s="123"/>
      <c r="AC260" s="123"/>
      <c r="AD260" s="123"/>
      <c r="AF260" s="115"/>
      <c r="AG260" s="115"/>
      <c r="AH260" s="115"/>
      <c r="AI260" s="115"/>
      <c r="AJ260" s="115"/>
      <c r="AK260" s="115"/>
      <c r="AL260" s="115"/>
      <c r="AM260" s="115"/>
      <c r="AN260" s="115"/>
      <c r="AO260" s="115"/>
      <c r="AP260" s="115"/>
      <c r="AQ260" s="115"/>
      <c r="AR260" s="115"/>
      <c r="AS260" s="25"/>
      <c r="AT260" s="13"/>
      <c r="AW260" s="114"/>
    </row>
    <row r="261" spans="1:49" ht="19.5" x14ac:dyDescent="0.4">
      <c r="A261" s="117"/>
      <c r="B261" s="123"/>
      <c r="C261" s="123"/>
      <c r="D261" s="123"/>
      <c r="J261" s="129"/>
      <c r="K261" s="13"/>
      <c r="L261" s="115"/>
      <c r="M261" s="115"/>
      <c r="N261" s="115"/>
      <c r="O261" s="115"/>
      <c r="P261" s="115"/>
      <c r="Q261" s="115"/>
      <c r="R261" s="115"/>
      <c r="S261" s="115"/>
      <c r="T261" s="115"/>
      <c r="U261" s="25"/>
      <c r="V261" s="15"/>
      <c r="AA261" s="117"/>
      <c r="AB261" s="123"/>
      <c r="AC261" s="123"/>
      <c r="AD261" s="123"/>
      <c r="AF261" s="115"/>
      <c r="AG261" s="115"/>
      <c r="AH261" s="115"/>
      <c r="AI261" s="115"/>
      <c r="AJ261" s="115"/>
      <c r="AK261" s="115"/>
      <c r="AL261" s="115"/>
      <c r="AM261" s="115"/>
      <c r="AN261" s="115"/>
      <c r="AO261" s="115"/>
      <c r="AP261" s="115"/>
      <c r="AQ261" s="115"/>
      <c r="AR261" s="115"/>
      <c r="AS261" s="25"/>
      <c r="AT261" s="13"/>
      <c r="AW261" s="114"/>
    </row>
    <row r="262" spans="1:49" ht="19.5" x14ac:dyDescent="0.4">
      <c r="A262" s="117"/>
      <c r="B262" s="123"/>
      <c r="C262" s="123"/>
      <c r="D262" s="123"/>
      <c r="H262" s="115"/>
      <c r="I262" s="115"/>
      <c r="J262" s="26"/>
      <c r="K262" s="13"/>
      <c r="L262" s="115"/>
      <c r="M262" s="115"/>
      <c r="N262" s="115"/>
      <c r="O262" s="115"/>
      <c r="P262" s="115"/>
      <c r="Q262" s="115"/>
      <c r="R262" s="115"/>
      <c r="S262" s="115"/>
      <c r="T262" s="115"/>
      <c r="U262" s="25"/>
      <c r="V262" s="15"/>
      <c r="AA262" s="117"/>
      <c r="AB262" s="123"/>
      <c r="AC262" s="123"/>
      <c r="AD262" s="123"/>
      <c r="AF262" s="115"/>
      <c r="AG262" s="115"/>
      <c r="AH262" s="115"/>
      <c r="AI262" s="115"/>
      <c r="AJ262" s="115"/>
      <c r="AK262" s="115"/>
      <c r="AL262" s="115"/>
      <c r="AM262" s="115"/>
      <c r="AN262" s="115"/>
      <c r="AO262" s="115"/>
      <c r="AP262" s="115"/>
      <c r="AQ262" s="115"/>
      <c r="AR262" s="115"/>
      <c r="AS262" s="25"/>
      <c r="AT262" s="13"/>
      <c r="AW262" s="114"/>
    </row>
    <row r="263" spans="1:49" ht="19.5" x14ac:dyDescent="0.4">
      <c r="A263" s="117"/>
      <c r="B263" s="123"/>
      <c r="C263" s="123"/>
      <c r="D263" s="123"/>
      <c r="J263" s="26"/>
      <c r="K263" s="13"/>
      <c r="U263" s="25">
        <v>45693</v>
      </c>
      <c r="V263" s="15" t="s">
        <v>146</v>
      </c>
      <c r="AA263" s="117"/>
      <c r="AB263" s="123"/>
      <c r="AC263" s="123"/>
      <c r="AD263" s="123"/>
      <c r="AF263" s="115"/>
      <c r="AG263" s="115"/>
      <c r="AH263" s="115"/>
      <c r="AI263" s="115"/>
      <c r="AJ263" s="115"/>
      <c r="AK263" s="115"/>
      <c r="AL263" s="115"/>
      <c r="AM263" s="115"/>
      <c r="AN263" s="115"/>
      <c r="AO263" s="115"/>
      <c r="AP263" s="115"/>
      <c r="AQ263" s="115"/>
      <c r="AR263" s="115" t="s">
        <v>157</v>
      </c>
      <c r="AS263" s="13">
        <f>SUBTOTAL(3,AS255:AS255)</f>
        <v>1</v>
      </c>
      <c r="AT263" s="13">
        <f>SUBTOTAL(3,AT255:AT255)</f>
        <v>1</v>
      </c>
      <c r="AW263" s="114"/>
    </row>
    <row r="264" spans="1:49" ht="19.5" x14ac:dyDescent="0.4">
      <c r="A264" s="117"/>
      <c r="B264" s="123"/>
      <c r="C264" s="123"/>
      <c r="D264" s="123"/>
      <c r="J264" s="26"/>
      <c r="K264" s="13"/>
      <c r="M264" s="115"/>
      <c r="N264" s="115"/>
      <c r="O264" s="115"/>
      <c r="P264" s="115"/>
      <c r="Q264" s="115"/>
      <c r="R264" s="115"/>
      <c r="S264" s="115"/>
      <c r="T264" s="115"/>
      <c r="U264" s="25">
        <v>45693</v>
      </c>
      <c r="V264" s="15" t="s">
        <v>146</v>
      </c>
      <c r="AA264" s="117"/>
      <c r="AB264" s="123"/>
      <c r="AC264" s="123"/>
      <c r="AD264" s="123"/>
      <c r="AF264" s="115"/>
      <c r="AG264" s="115"/>
      <c r="AH264" s="115"/>
      <c r="AI264" s="115"/>
      <c r="AJ264" s="115"/>
      <c r="AK264" s="115"/>
      <c r="AL264" s="115"/>
      <c r="AM264" s="115"/>
      <c r="AN264" s="115"/>
      <c r="AO264" s="115"/>
      <c r="AP264" s="115"/>
      <c r="AQ264" s="115"/>
      <c r="AR264" s="115"/>
      <c r="AS264" s="13"/>
      <c r="AT264" s="13"/>
      <c r="AW264" s="114"/>
    </row>
    <row r="265" spans="1:49" ht="19.5" x14ac:dyDescent="0.4">
      <c r="A265" s="117"/>
      <c r="B265" s="123"/>
      <c r="C265" s="123"/>
      <c r="D265" s="123"/>
      <c r="J265" s="129"/>
      <c r="K265" s="13"/>
      <c r="M265" s="115"/>
      <c r="N265" s="115"/>
      <c r="O265" s="115"/>
      <c r="P265" s="115"/>
      <c r="Q265" s="115"/>
      <c r="R265" s="115"/>
      <c r="S265" s="115"/>
      <c r="T265" s="115"/>
      <c r="U265" s="25"/>
      <c r="V265" s="15"/>
      <c r="AA265" s="117"/>
      <c r="AB265" s="123"/>
      <c r="AC265" s="123"/>
      <c r="AD265" s="123"/>
      <c r="AF265" s="115"/>
      <c r="AG265" s="115"/>
      <c r="AH265" s="115"/>
      <c r="AI265" s="115"/>
      <c r="AJ265" s="115"/>
      <c r="AK265" s="115"/>
      <c r="AL265" s="115"/>
      <c r="AM265" s="115"/>
      <c r="AN265" s="115"/>
      <c r="AO265" s="115"/>
      <c r="AP265" s="115"/>
      <c r="AQ265" s="115"/>
      <c r="AR265" s="115"/>
      <c r="AS265" s="13"/>
      <c r="AT265" s="13"/>
      <c r="AW265" s="114"/>
    </row>
    <row r="266" spans="1:49" ht="19.5" x14ac:dyDescent="0.4">
      <c r="A266" s="117"/>
      <c r="B266" s="123"/>
      <c r="C266" s="123"/>
      <c r="D266" s="123"/>
      <c r="J266" s="129"/>
      <c r="K266" s="13"/>
      <c r="M266" s="115"/>
      <c r="N266" s="115"/>
      <c r="O266" s="115"/>
      <c r="P266" s="115"/>
      <c r="Q266" s="115"/>
      <c r="R266" s="115"/>
      <c r="S266" s="115"/>
      <c r="T266" s="115"/>
      <c r="U266" s="25"/>
      <c r="V266" s="15"/>
      <c r="AA266" s="117"/>
      <c r="AB266" s="123"/>
      <c r="AC266" s="123"/>
      <c r="AD266" s="123"/>
      <c r="AF266" s="115"/>
      <c r="AG266" s="115"/>
      <c r="AH266" s="115"/>
      <c r="AI266" s="115"/>
      <c r="AJ266" s="115"/>
      <c r="AK266" s="115"/>
      <c r="AL266" s="115"/>
      <c r="AM266" s="115"/>
      <c r="AN266" s="115"/>
      <c r="AO266" s="115"/>
      <c r="AP266" s="115"/>
      <c r="AQ266" s="115"/>
      <c r="AR266" s="115"/>
      <c r="AS266" s="13"/>
      <c r="AT266" s="13"/>
      <c r="AW266" s="114"/>
    </row>
    <row r="267" spans="1:49" ht="19.5" x14ac:dyDescent="0.4">
      <c r="A267" s="117"/>
      <c r="B267" s="123"/>
      <c r="C267" s="123"/>
      <c r="D267" s="123"/>
      <c r="J267" s="26"/>
      <c r="K267" s="13"/>
      <c r="M267" s="115"/>
      <c r="N267" s="115"/>
      <c r="O267" s="115"/>
      <c r="P267" s="115"/>
      <c r="Q267" s="115"/>
      <c r="R267" s="115"/>
      <c r="S267" s="115"/>
      <c r="T267" s="115"/>
      <c r="U267" s="25">
        <v>45694</v>
      </c>
      <c r="V267" s="15" t="s">
        <v>147</v>
      </c>
      <c r="AA267" s="117"/>
      <c r="AB267" s="123"/>
      <c r="AC267" s="123"/>
      <c r="AD267" s="123"/>
      <c r="AF267" s="115"/>
      <c r="AG267" s="115"/>
      <c r="AH267" s="115"/>
      <c r="AI267" s="115"/>
      <c r="AJ267" s="115"/>
      <c r="AK267" s="115"/>
      <c r="AL267" s="115"/>
      <c r="AM267" s="115"/>
      <c r="AN267" s="115"/>
      <c r="AO267" s="115"/>
      <c r="AP267" s="115"/>
      <c r="AQ267" s="115"/>
      <c r="AR267" s="115"/>
      <c r="AS267" s="13"/>
      <c r="AT267" s="13"/>
      <c r="AW267" s="114"/>
    </row>
    <row r="268" spans="1:49" ht="19.5" x14ac:dyDescent="0.4">
      <c r="A268" s="117"/>
      <c r="B268" s="123"/>
      <c r="C268" s="123"/>
      <c r="D268" s="123"/>
      <c r="H268" s="115"/>
      <c r="I268" s="115"/>
      <c r="J268" s="17"/>
      <c r="K268" s="13"/>
      <c r="M268" s="115"/>
      <c r="N268" s="115"/>
      <c r="O268" s="115"/>
      <c r="P268" s="115"/>
      <c r="Q268" s="115"/>
      <c r="R268" s="115"/>
      <c r="S268" s="115"/>
      <c r="T268" s="115"/>
      <c r="U268" s="25"/>
      <c r="V268" s="15"/>
      <c r="AA268" s="117"/>
      <c r="AB268" s="123"/>
      <c r="AC268" s="123"/>
      <c r="AD268" s="123"/>
      <c r="AF268" s="115"/>
      <c r="AG268" s="115"/>
      <c r="AH268" s="115"/>
      <c r="AI268" s="115"/>
      <c r="AJ268" s="115"/>
      <c r="AK268" s="115"/>
      <c r="AL268" s="115"/>
      <c r="AM268" s="115"/>
      <c r="AN268" s="115"/>
      <c r="AO268" s="115"/>
      <c r="AP268" s="115"/>
      <c r="AQ268" s="115"/>
      <c r="AR268" s="115"/>
      <c r="AS268" s="13"/>
      <c r="AT268" s="13"/>
      <c r="AW268" s="114"/>
    </row>
    <row r="269" spans="1:49" ht="19.5" x14ac:dyDescent="0.4">
      <c r="A269" s="117"/>
      <c r="B269" s="123"/>
      <c r="C269" s="123"/>
      <c r="D269" s="123"/>
      <c r="H269" s="115"/>
      <c r="I269" s="115"/>
      <c r="J269" s="17"/>
      <c r="K269" s="13"/>
      <c r="M269" s="115"/>
      <c r="N269" s="115"/>
      <c r="O269" s="115"/>
      <c r="P269" s="115"/>
      <c r="Q269" s="115"/>
      <c r="R269" s="115"/>
      <c r="S269" s="115"/>
      <c r="T269" s="115"/>
      <c r="U269" s="25"/>
      <c r="V269" s="15"/>
      <c r="AA269" s="117"/>
      <c r="AB269" s="123"/>
      <c r="AC269" s="123"/>
      <c r="AD269" s="123"/>
      <c r="AF269" s="115"/>
      <c r="AG269" s="115"/>
      <c r="AH269" s="115"/>
      <c r="AI269" s="115"/>
      <c r="AJ269" s="115"/>
      <c r="AK269" s="115"/>
      <c r="AL269" s="115"/>
      <c r="AM269" s="115"/>
      <c r="AN269" s="115"/>
      <c r="AO269" s="115"/>
      <c r="AP269" s="115"/>
      <c r="AQ269" s="115"/>
      <c r="AR269" s="115"/>
      <c r="AS269" s="13"/>
      <c r="AT269" s="13"/>
      <c r="AW269" s="114"/>
    </row>
    <row r="270" spans="1:49" ht="19.5" x14ac:dyDescent="0.4">
      <c r="A270" s="117"/>
      <c r="B270" s="123"/>
      <c r="C270" s="123"/>
      <c r="D270" s="123"/>
      <c r="J270" s="26"/>
      <c r="K270" s="13"/>
      <c r="M270" s="115"/>
      <c r="N270" s="115"/>
      <c r="O270" s="115"/>
      <c r="P270" s="115"/>
      <c r="Q270" s="115"/>
      <c r="R270" s="115"/>
      <c r="S270" s="115"/>
      <c r="T270" s="115"/>
      <c r="U270" s="25">
        <v>45694</v>
      </c>
      <c r="V270" s="105" t="s">
        <v>147</v>
      </c>
      <c r="AA270" s="117"/>
      <c r="AB270" s="123"/>
      <c r="AC270" s="123"/>
      <c r="AD270" s="123"/>
      <c r="AF270" s="115"/>
      <c r="AG270" s="115"/>
      <c r="AH270" s="115"/>
      <c r="AI270" s="115"/>
      <c r="AJ270" s="115"/>
      <c r="AK270" s="115"/>
      <c r="AL270" s="115"/>
      <c r="AM270" s="115"/>
      <c r="AN270" s="115"/>
      <c r="AO270" s="115"/>
      <c r="AP270" s="115"/>
      <c r="AQ270" s="115"/>
      <c r="AR270" s="115"/>
      <c r="AS270" s="13"/>
      <c r="AT270" s="13"/>
      <c r="AW270" s="114"/>
    </row>
    <row r="271" spans="1:49" ht="19.5" x14ac:dyDescent="0.4">
      <c r="A271" s="117"/>
      <c r="B271" s="123"/>
      <c r="C271" s="123"/>
      <c r="D271" s="123"/>
      <c r="J271" s="26"/>
      <c r="K271" s="13"/>
      <c r="L271" s="115"/>
      <c r="M271" s="115"/>
      <c r="N271" s="115"/>
      <c r="O271" s="115"/>
      <c r="P271" s="115"/>
      <c r="Q271" s="115"/>
      <c r="R271" s="115"/>
      <c r="S271" s="115"/>
      <c r="T271" s="115"/>
      <c r="U271" s="25">
        <v>45694</v>
      </c>
      <c r="V271" s="15" t="s">
        <v>147</v>
      </c>
      <c r="AA271" s="117"/>
      <c r="AB271" s="123"/>
      <c r="AC271" s="123"/>
      <c r="AD271" s="123"/>
      <c r="AF271" s="115"/>
      <c r="AG271" s="115"/>
      <c r="AH271" s="115"/>
      <c r="AI271" s="115"/>
      <c r="AJ271" s="115"/>
      <c r="AK271" s="115"/>
      <c r="AL271" s="115"/>
      <c r="AM271" s="115"/>
      <c r="AN271" s="115"/>
      <c r="AO271" s="115"/>
      <c r="AP271" s="115"/>
      <c r="AQ271" s="115"/>
      <c r="AR271" s="115"/>
      <c r="AS271" s="13"/>
      <c r="AT271" s="13"/>
      <c r="AW271" s="114"/>
    </row>
    <row r="272" spans="1:49" ht="19.5" x14ac:dyDescent="0.4">
      <c r="A272" s="117"/>
      <c r="B272" s="123"/>
      <c r="C272" s="123"/>
      <c r="D272" s="123"/>
      <c r="J272" s="26"/>
      <c r="K272" s="13"/>
      <c r="L272" s="115"/>
      <c r="M272" s="115"/>
      <c r="N272" s="115"/>
      <c r="O272" s="115"/>
      <c r="P272" s="115"/>
      <c r="Q272" s="115"/>
      <c r="R272" s="115"/>
      <c r="S272" s="115"/>
      <c r="T272" s="115"/>
      <c r="U272" s="26">
        <v>45694</v>
      </c>
      <c r="V272" s="15" t="s">
        <v>148</v>
      </c>
      <c r="AA272" s="117"/>
      <c r="AB272" s="123"/>
      <c r="AC272" s="123"/>
      <c r="AD272" s="123"/>
      <c r="AF272" s="115"/>
      <c r="AG272" s="115"/>
      <c r="AH272" s="115"/>
      <c r="AI272" s="115"/>
      <c r="AJ272" s="115"/>
      <c r="AK272" s="115"/>
      <c r="AL272" s="115"/>
      <c r="AM272" s="115"/>
      <c r="AN272" s="115"/>
      <c r="AO272" s="115"/>
      <c r="AP272" s="115"/>
      <c r="AQ272" s="115"/>
      <c r="AR272" s="115"/>
      <c r="AS272" s="13"/>
      <c r="AT272" s="13"/>
      <c r="AW272" s="114"/>
    </row>
    <row r="273" spans="1:49" ht="19.5" x14ac:dyDescent="0.4">
      <c r="A273" s="117"/>
      <c r="B273" s="123"/>
      <c r="C273" s="123"/>
      <c r="D273" s="123"/>
      <c r="J273" s="26"/>
      <c r="K273" s="13"/>
      <c r="U273" s="26">
        <v>45694</v>
      </c>
      <c r="V273" s="13" t="s">
        <v>147</v>
      </c>
      <c r="AA273" s="117"/>
      <c r="AB273" s="123"/>
      <c r="AC273" s="123"/>
      <c r="AD273" s="123"/>
      <c r="AF273" s="115"/>
      <c r="AG273" s="115"/>
      <c r="AH273" s="115"/>
      <c r="AI273" s="115"/>
      <c r="AJ273" s="115"/>
      <c r="AK273" s="115"/>
      <c r="AL273" s="115"/>
      <c r="AM273" s="115"/>
      <c r="AN273" s="115"/>
      <c r="AO273" s="115"/>
      <c r="AP273" s="115"/>
      <c r="AQ273" s="115"/>
      <c r="AR273" s="115"/>
      <c r="AS273" s="25">
        <v>45268</v>
      </c>
      <c r="AT273" s="13" t="s">
        <v>162</v>
      </c>
      <c r="AW273" s="114"/>
    </row>
    <row r="274" spans="1:49" ht="19.5" x14ac:dyDescent="0.4">
      <c r="A274" s="117"/>
      <c r="B274" s="123"/>
      <c r="C274" s="123"/>
      <c r="D274" s="123"/>
      <c r="J274" s="26"/>
      <c r="K274" s="13"/>
      <c r="M274" s="115"/>
      <c r="N274" s="115"/>
      <c r="O274" s="115"/>
      <c r="P274" s="115"/>
      <c r="Q274" s="115"/>
      <c r="R274" s="115"/>
      <c r="S274" s="115"/>
      <c r="T274" s="115"/>
      <c r="U274" s="26">
        <v>45694</v>
      </c>
      <c r="V274" s="13" t="s">
        <v>147</v>
      </c>
      <c r="AA274" s="117"/>
      <c r="AB274" s="123"/>
      <c r="AC274" s="123"/>
      <c r="AD274" s="123"/>
      <c r="AF274" s="115"/>
      <c r="AG274" s="115"/>
      <c r="AH274" s="115"/>
      <c r="AI274" s="115"/>
      <c r="AJ274" s="115"/>
      <c r="AK274" s="115"/>
      <c r="AL274" s="115"/>
      <c r="AM274" s="115"/>
      <c r="AN274" s="115"/>
      <c r="AO274" s="115"/>
      <c r="AP274" s="115"/>
      <c r="AQ274" s="115"/>
      <c r="AR274" s="115"/>
      <c r="AS274" s="25"/>
      <c r="AT274" s="13"/>
      <c r="AW274" s="114"/>
    </row>
    <row r="275" spans="1:49" ht="19.5" x14ac:dyDescent="0.4">
      <c r="A275" s="117"/>
      <c r="B275" s="123"/>
      <c r="C275" s="123"/>
      <c r="D275" s="123"/>
      <c r="J275" s="26"/>
      <c r="K275" s="13"/>
      <c r="U275" s="26">
        <v>45694</v>
      </c>
      <c r="V275" s="13" t="s">
        <v>147</v>
      </c>
      <c r="AA275" s="117"/>
      <c r="AB275" s="123"/>
      <c r="AC275" s="123"/>
      <c r="AD275" s="123"/>
      <c r="AF275" s="115"/>
      <c r="AG275" s="115"/>
      <c r="AH275" s="115"/>
      <c r="AI275" s="115"/>
      <c r="AJ275" s="115"/>
      <c r="AK275" s="115"/>
      <c r="AL275" s="115"/>
      <c r="AM275" s="115"/>
      <c r="AN275" s="115"/>
      <c r="AO275" s="115"/>
      <c r="AP275" s="115"/>
      <c r="AQ275" s="115"/>
      <c r="AR275" s="115"/>
      <c r="AS275" s="25">
        <v>45268</v>
      </c>
      <c r="AT275" s="13" t="s">
        <v>162</v>
      </c>
      <c r="AW275" s="114"/>
    </row>
    <row r="276" spans="1:49" ht="19.5" x14ac:dyDescent="0.4">
      <c r="A276" s="117"/>
      <c r="B276" s="123"/>
      <c r="C276" s="123"/>
      <c r="D276" s="123"/>
      <c r="J276" s="26"/>
      <c r="K276" s="13"/>
      <c r="R276" s="115"/>
      <c r="S276" s="115"/>
      <c r="T276" s="115"/>
      <c r="U276" s="26">
        <v>45696</v>
      </c>
      <c r="V276" s="13" t="s">
        <v>147</v>
      </c>
      <c r="AA276" s="117"/>
      <c r="AB276" s="123"/>
      <c r="AC276" s="123"/>
      <c r="AD276" s="123"/>
      <c r="AF276" s="115"/>
      <c r="AG276" s="115"/>
      <c r="AH276" s="115"/>
      <c r="AI276" s="115"/>
      <c r="AJ276" s="115"/>
      <c r="AK276" s="115"/>
      <c r="AL276" s="115"/>
      <c r="AM276" s="115"/>
      <c r="AN276" s="115"/>
      <c r="AO276" s="115"/>
      <c r="AP276" s="115"/>
      <c r="AQ276" s="115"/>
      <c r="AR276" s="115"/>
      <c r="AS276" s="25"/>
      <c r="AT276" s="13"/>
      <c r="AW276" s="114"/>
    </row>
    <row r="277" spans="1:49" ht="19.5" x14ac:dyDescent="0.4">
      <c r="A277" s="117"/>
      <c r="B277" s="123"/>
      <c r="C277" s="123"/>
      <c r="D277" s="123"/>
      <c r="J277" s="26"/>
      <c r="K277" s="13"/>
      <c r="U277" s="26">
        <v>45698</v>
      </c>
      <c r="V277" s="13" t="s">
        <v>147</v>
      </c>
      <c r="AA277" s="117"/>
      <c r="AB277" s="123"/>
      <c r="AC277" s="123"/>
      <c r="AD277" s="123"/>
      <c r="AF277" s="115"/>
      <c r="AG277" s="115"/>
      <c r="AH277" s="115"/>
      <c r="AI277" s="115"/>
      <c r="AJ277" s="115"/>
      <c r="AK277" s="115"/>
      <c r="AL277" s="115"/>
      <c r="AM277" s="115"/>
      <c r="AN277" s="115"/>
      <c r="AO277" s="115"/>
      <c r="AP277" s="115"/>
      <c r="AQ277" s="115"/>
      <c r="AR277" s="115"/>
      <c r="AS277" s="25">
        <v>45268</v>
      </c>
      <c r="AT277" s="13" t="s">
        <v>163</v>
      </c>
      <c r="AW277" s="114"/>
    </row>
    <row r="278" spans="1:49" ht="19.5" x14ac:dyDescent="0.4">
      <c r="A278" s="117"/>
      <c r="B278" s="123"/>
      <c r="C278" s="123"/>
      <c r="D278" s="123"/>
      <c r="G278" s="115"/>
      <c r="H278" s="115"/>
      <c r="I278" s="115"/>
      <c r="J278" s="17"/>
      <c r="K278" s="13"/>
      <c r="U278" s="26"/>
      <c r="V278" s="13"/>
      <c r="AA278" s="117"/>
      <c r="AB278" s="123"/>
      <c r="AC278" s="123"/>
      <c r="AD278" s="123"/>
      <c r="AF278" s="115"/>
      <c r="AG278" s="115"/>
      <c r="AH278" s="115"/>
      <c r="AI278" s="115"/>
      <c r="AJ278" s="115"/>
      <c r="AK278" s="115"/>
      <c r="AL278" s="115"/>
      <c r="AM278" s="115"/>
      <c r="AN278" s="115"/>
      <c r="AO278" s="115"/>
      <c r="AP278" s="115"/>
      <c r="AQ278" s="115"/>
      <c r="AR278" s="115"/>
      <c r="AS278" s="25"/>
      <c r="AT278" s="13"/>
      <c r="AW278" s="114"/>
    </row>
    <row r="279" spans="1:49" ht="19.5" x14ac:dyDescent="0.4">
      <c r="A279" s="117"/>
      <c r="B279" s="123"/>
      <c r="C279" s="123"/>
      <c r="D279" s="123"/>
      <c r="J279" s="26"/>
      <c r="K279" s="13"/>
      <c r="R279" s="115"/>
      <c r="S279" s="115"/>
      <c r="T279" s="115"/>
      <c r="U279" s="26">
        <v>45698</v>
      </c>
      <c r="V279" s="13" t="s">
        <v>147</v>
      </c>
      <c r="AA279" s="117"/>
      <c r="AB279" s="123"/>
      <c r="AC279" s="123"/>
      <c r="AD279" s="123"/>
      <c r="AF279" s="115"/>
      <c r="AG279" s="115"/>
      <c r="AH279" s="115"/>
      <c r="AI279" s="115"/>
      <c r="AJ279" s="115"/>
      <c r="AK279" s="115"/>
      <c r="AL279" s="115"/>
      <c r="AM279" s="115"/>
      <c r="AN279" s="115"/>
      <c r="AO279" s="115"/>
      <c r="AP279" s="115"/>
      <c r="AQ279" s="115"/>
      <c r="AR279" s="115"/>
      <c r="AS279" s="25"/>
      <c r="AT279" s="13"/>
      <c r="AW279" s="114"/>
    </row>
    <row r="280" spans="1:49" ht="19.5" x14ac:dyDescent="0.4">
      <c r="A280" s="117"/>
      <c r="B280" s="123"/>
      <c r="C280" s="123"/>
      <c r="D280" s="123"/>
      <c r="J280" s="26"/>
      <c r="K280" s="13"/>
      <c r="L280" s="115"/>
      <c r="M280" s="115"/>
      <c r="N280" s="115"/>
      <c r="O280" s="115"/>
      <c r="P280" s="115"/>
      <c r="Q280" s="115"/>
      <c r="R280" s="115"/>
      <c r="S280" s="115"/>
      <c r="T280" s="115"/>
      <c r="U280" s="26">
        <v>45699</v>
      </c>
      <c r="V280" s="13" t="s">
        <v>148</v>
      </c>
      <c r="AA280" s="117"/>
      <c r="AB280" s="123"/>
      <c r="AC280" s="123"/>
      <c r="AD280" s="123"/>
      <c r="AF280" s="115"/>
      <c r="AG280" s="115"/>
      <c r="AH280" s="115"/>
      <c r="AI280" s="115"/>
      <c r="AJ280" s="115"/>
      <c r="AK280" s="115"/>
      <c r="AL280" s="115"/>
      <c r="AM280" s="115"/>
      <c r="AN280" s="115"/>
      <c r="AO280" s="115"/>
      <c r="AP280" s="115"/>
      <c r="AQ280" s="115"/>
      <c r="AR280" s="115"/>
      <c r="AS280" s="25"/>
      <c r="AT280" s="13"/>
      <c r="AW280" s="114"/>
    </row>
    <row r="281" spans="1:49" ht="19.5" x14ac:dyDescent="0.4">
      <c r="A281" s="117"/>
      <c r="B281" s="123"/>
      <c r="C281" s="123"/>
      <c r="D281" s="123"/>
      <c r="G281" s="115"/>
      <c r="H281" s="115"/>
      <c r="I281" s="115"/>
      <c r="J281" s="17"/>
      <c r="K281" s="13"/>
      <c r="L281" s="115"/>
      <c r="M281" s="115"/>
      <c r="N281" s="115"/>
      <c r="O281" s="115"/>
      <c r="P281" s="115"/>
      <c r="Q281" s="115"/>
      <c r="R281" s="115"/>
      <c r="S281" s="115"/>
      <c r="T281" s="115"/>
      <c r="U281" s="26"/>
      <c r="V281" s="13"/>
      <c r="AA281" s="117"/>
      <c r="AB281" s="123"/>
      <c r="AC281" s="123"/>
      <c r="AD281" s="123"/>
      <c r="AF281" s="115"/>
      <c r="AG281" s="115"/>
      <c r="AH281" s="115"/>
      <c r="AI281" s="115"/>
      <c r="AJ281" s="115"/>
      <c r="AK281" s="115"/>
      <c r="AL281" s="115"/>
      <c r="AM281" s="115"/>
      <c r="AN281" s="115"/>
      <c r="AO281" s="115"/>
      <c r="AP281" s="115"/>
      <c r="AQ281" s="115"/>
      <c r="AR281" s="115"/>
      <c r="AS281" s="25"/>
      <c r="AT281" s="13"/>
      <c r="AW281" s="114"/>
    </row>
    <row r="282" spans="1:49" ht="19.5" x14ac:dyDescent="0.4">
      <c r="A282" s="117"/>
      <c r="B282" s="123"/>
      <c r="C282" s="123"/>
      <c r="D282" s="123"/>
      <c r="J282" s="26"/>
      <c r="K282" s="13"/>
      <c r="U282" s="26">
        <v>45699</v>
      </c>
      <c r="V282" s="13" t="s">
        <v>148</v>
      </c>
      <c r="AA282" s="117"/>
      <c r="AB282" s="123"/>
      <c r="AC282" s="123"/>
      <c r="AD282" s="123"/>
      <c r="AE282" s="115"/>
      <c r="AF282" s="115"/>
      <c r="AG282" s="115"/>
      <c r="AH282" s="115"/>
      <c r="AI282" s="115"/>
      <c r="AJ282" s="115"/>
      <c r="AK282" s="115"/>
      <c r="AL282" s="115"/>
      <c r="AM282" s="115"/>
      <c r="AN282" s="115"/>
      <c r="AO282" s="115"/>
      <c r="AP282" s="115"/>
      <c r="AQ282" s="115"/>
      <c r="AR282" s="115"/>
      <c r="AS282" s="25">
        <v>45268</v>
      </c>
      <c r="AT282" s="13" t="s">
        <v>163</v>
      </c>
      <c r="AW282" s="114"/>
    </row>
    <row r="283" spans="1:49" ht="19.5" x14ac:dyDescent="0.4">
      <c r="A283" s="117"/>
      <c r="B283" s="123"/>
      <c r="C283" s="123"/>
      <c r="D283" s="123"/>
      <c r="G283" s="115"/>
      <c r="H283" s="115"/>
      <c r="I283" s="115"/>
      <c r="J283" s="17"/>
      <c r="K283" s="13"/>
      <c r="U283" s="26"/>
      <c r="V283" s="13"/>
      <c r="AA283" s="117"/>
      <c r="AB283" s="123"/>
      <c r="AC283" s="123"/>
      <c r="AD283" s="123"/>
      <c r="AE283" s="115"/>
      <c r="AF283" s="115"/>
      <c r="AG283" s="115"/>
      <c r="AH283" s="115"/>
      <c r="AI283" s="115"/>
      <c r="AJ283" s="115"/>
      <c r="AK283" s="115"/>
      <c r="AL283" s="115"/>
      <c r="AM283" s="115"/>
      <c r="AN283" s="115"/>
      <c r="AO283" s="115"/>
      <c r="AP283" s="115"/>
      <c r="AQ283" s="115"/>
      <c r="AR283" s="115"/>
      <c r="AS283" s="25"/>
      <c r="AT283" s="13"/>
      <c r="AW283" s="114"/>
    </row>
    <row r="284" spans="1:49" ht="19.5" x14ac:dyDescent="0.4">
      <c r="A284" s="117"/>
      <c r="B284" s="123"/>
      <c r="C284" s="123"/>
      <c r="D284" s="123"/>
      <c r="J284" s="26"/>
      <c r="K284" s="13"/>
      <c r="N284" s="115"/>
      <c r="O284" s="115"/>
      <c r="P284" s="115"/>
      <c r="Q284" s="115"/>
      <c r="R284" s="115"/>
      <c r="S284" s="115"/>
      <c r="T284" s="115"/>
      <c r="U284" s="26">
        <v>45699</v>
      </c>
      <c r="V284" s="13" t="s">
        <v>148</v>
      </c>
      <c r="AA284" s="117"/>
      <c r="AB284" s="123"/>
      <c r="AC284" s="123"/>
      <c r="AD284" s="123"/>
      <c r="AE284" s="115"/>
      <c r="AF284" s="115"/>
      <c r="AG284" s="115"/>
      <c r="AH284" s="115"/>
      <c r="AI284" s="115"/>
      <c r="AJ284" s="115"/>
      <c r="AK284" s="115"/>
      <c r="AL284" s="115"/>
      <c r="AM284" s="115"/>
      <c r="AN284" s="115"/>
      <c r="AO284" s="115"/>
      <c r="AP284" s="115"/>
      <c r="AQ284" s="115"/>
      <c r="AR284" s="115"/>
      <c r="AS284" s="25"/>
      <c r="AT284" s="13"/>
      <c r="AW284" s="114"/>
    </row>
    <row r="285" spans="1:49" ht="19.5" x14ac:dyDescent="0.4">
      <c r="A285" s="117"/>
      <c r="B285" s="123"/>
      <c r="C285" s="123"/>
      <c r="D285" s="123"/>
      <c r="J285" s="26"/>
      <c r="K285" s="13"/>
      <c r="N285" s="115"/>
      <c r="O285" s="115"/>
      <c r="P285" s="115"/>
      <c r="Q285" s="115"/>
      <c r="R285" s="115"/>
      <c r="S285" s="115"/>
      <c r="T285" s="115"/>
      <c r="U285" s="26">
        <v>45699</v>
      </c>
      <c r="V285" s="13" t="s">
        <v>148</v>
      </c>
      <c r="AA285" s="117"/>
      <c r="AB285" s="123"/>
      <c r="AC285" s="123"/>
      <c r="AD285" s="123"/>
      <c r="AE285" s="115"/>
      <c r="AF285" s="115"/>
      <c r="AG285" s="115"/>
      <c r="AH285" s="115"/>
      <c r="AI285" s="115"/>
      <c r="AJ285" s="115"/>
      <c r="AK285" s="115"/>
      <c r="AL285" s="115"/>
      <c r="AM285" s="115"/>
      <c r="AN285" s="115"/>
      <c r="AO285" s="115"/>
      <c r="AP285" s="115"/>
      <c r="AQ285" s="115"/>
      <c r="AR285" s="115"/>
      <c r="AS285" s="25"/>
      <c r="AT285" s="13"/>
      <c r="AW285" s="114"/>
    </row>
    <row r="286" spans="1:49" ht="19.5" x14ac:dyDescent="0.4">
      <c r="A286" s="117"/>
      <c r="B286" s="123"/>
      <c r="C286" s="123"/>
      <c r="D286" s="123"/>
      <c r="J286" s="26"/>
      <c r="K286" s="13"/>
      <c r="N286" s="115"/>
      <c r="O286" s="115"/>
      <c r="P286" s="115"/>
      <c r="Q286" s="115"/>
      <c r="R286" s="115"/>
      <c r="S286" s="115"/>
      <c r="T286" s="115"/>
      <c r="U286" s="26">
        <v>45699</v>
      </c>
      <c r="V286" s="13" t="s">
        <v>148</v>
      </c>
      <c r="AA286" s="117"/>
      <c r="AB286" s="123"/>
      <c r="AC286" s="123"/>
      <c r="AD286" s="123"/>
      <c r="AE286" s="115"/>
      <c r="AF286" s="115"/>
      <c r="AG286" s="115"/>
      <c r="AH286" s="115"/>
      <c r="AI286" s="115"/>
      <c r="AJ286" s="115"/>
      <c r="AK286" s="115"/>
      <c r="AL286" s="115"/>
      <c r="AM286" s="115"/>
      <c r="AN286" s="115"/>
      <c r="AO286" s="115"/>
      <c r="AP286" s="115"/>
      <c r="AQ286" s="115"/>
      <c r="AR286" s="115"/>
      <c r="AS286" s="25"/>
      <c r="AT286" s="13"/>
      <c r="AW286" s="114"/>
    </row>
    <row r="287" spans="1:49" ht="19.5" x14ac:dyDescent="0.4">
      <c r="A287" s="117"/>
      <c r="B287" s="123"/>
      <c r="C287" s="123"/>
      <c r="D287" s="123"/>
      <c r="J287" s="26"/>
      <c r="K287" s="13"/>
      <c r="U287" s="26">
        <v>45699</v>
      </c>
      <c r="V287" s="13" t="s">
        <v>148</v>
      </c>
      <c r="AA287" s="117"/>
      <c r="AB287" s="123"/>
      <c r="AC287" s="123"/>
      <c r="AD287" s="123"/>
      <c r="AE287" s="115"/>
      <c r="AF287" s="115"/>
      <c r="AG287" s="115"/>
      <c r="AH287" s="115"/>
      <c r="AI287" s="115"/>
      <c r="AJ287" s="115"/>
      <c r="AK287" s="115"/>
      <c r="AL287" s="115"/>
      <c r="AM287" s="115"/>
      <c r="AN287" s="115"/>
      <c r="AO287" s="115"/>
      <c r="AP287" s="115"/>
      <c r="AQ287" s="115"/>
      <c r="AR287" s="115" t="s">
        <v>158</v>
      </c>
      <c r="AS287" s="13">
        <f>SUBTOTAL(3,AS273:AS282)</f>
        <v>4</v>
      </c>
      <c r="AT287" s="13">
        <f>SUBTOTAL(3,AT273:AT282)</f>
        <v>4</v>
      </c>
      <c r="AW287" s="114"/>
    </row>
    <row r="288" spans="1:49" ht="19.5" x14ac:dyDescent="0.4">
      <c r="A288" s="117"/>
      <c r="B288" s="123"/>
      <c r="C288" s="123"/>
      <c r="D288" s="123"/>
      <c r="J288" s="26"/>
      <c r="K288" s="15"/>
      <c r="R288" s="115"/>
      <c r="S288" s="115"/>
      <c r="T288" s="115"/>
      <c r="U288" s="26">
        <v>45706</v>
      </c>
      <c r="V288" s="13" t="s">
        <v>146</v>
      </c>
      <c r="AA288" s="117"/>
      <c r="AB288" s="123"/>
      <c r="AC288" s="123"/>
      <c r="AD288" s="123"/>
      <c r="AE288" s="115"/>
      <c r="AF288" s="115"/>
      <c r="AG288" s="115"/>
      <c r="AH288" s="115"/>
      <c r="AI288" s="115"/>
      <c r="AJ288" s="115"/>
      <c r="AK288" s="115"/>
      <c r="AL288" s="115"/>
      <c r="AM288" s="115"/>
      <c r="AN288" s="115"/>
      <c r="AO288" s="115"/>
      <c r="AP288" s="115"/>
      <c r="AQ288" s="115"/>
      <c r="AR288" s="115"/>
      <c r="AS288" s="13"/>
      <c r="AT288" s="13"/>
      <c r="AW288" s="114"/>
    </row>
    <row r="289" spans="1:49" ht="19.5" x14ac:dyDescent="0.4">
      <c r="A289" s="117"/>
      <c r="B289" s="123"/>
      <c r="C289" s="123"/>
      <c r="D289" s="123"/>
      <c r="J289" s="26"/>
      <c r="K289" s="13"/>
      <c r="Q289" s="115"/>
      <c r="R289" s="115"/>
      <c r="S289" s="115"/>
      <c r="T289" s="115"/>
      <c r="U289" s="26">
        <v>45709</v>
      </c>
      <c r="V289" s="13" t="s">
        <v>148</v>
      </c>
      <c r="AA289" s="117"/>
      <c r="AB289" s="123"/>
      <c r="AC289" s="123"/>
      <c r="AD289" s="123"/>
      <c r="AE289" s="115"/>
      <c r="AF289" s="115"/>
      <c r="AG289" s="115"/>
      <c r="AH289" s="115"/>
      <c r="AI289" s="115"/>
      <c r="AJ289" s="115"/>
      <c r="AK289" s="115"/>
      <c r="AL289" s="115"/>
      <c r="AM289" s="115"/>
      <c r="AN289" s="115"/>
      <c r="AO289" s="115"/>
      <c r="AP289" s="115"/>
      <c r="AQ289" s="115"/>
      <c r="AR289" s="115"/>
      <c r="AS289" s="13"/>
      <c r="AT289" s="13"/>
      <c r="AW289" s="114"/>
    </row>
    <row r="290" spans="1:49" ht="19.5" x14ac:dyDescent="0.4">
      <c r="A290" s="117"/>
      <c r="B290" s="123"/>
      <c r="C290" s="123"/>
      <c r="D290" s="123"/>
      <c r="G290" s="115"/>
      <c r="H290" s="115"/>
      <c r="I290" s="115"/>
      <c r="J290" s="17"/>
      <c r="K290" s="13"/>
      <c r="Q290" s="115"/>
      <c r="R290" s="115"/>
      <c r="S290" s="115"/>
      <c r="T290" s="115"/>
      <c r="U290" s="26"/>
      <c r="V290" s="13"/>
      <c r="AA290" s="117"/>
      <c r="AB290" s="123"/>
      <c r="AC290" s="123"/>
      <c r="AD290" s="123"/>
      <c r="AE290" s="115"/>
      <c r="AF290" s="115"/>
      <c r="AG290" s="115"/>
      <c r="AH290" s="115"/>
      <c r="AI290" s="115"/>
      <c r="AJ290" s="115"/>
      <c r="AK290" s="115"/>
      <c r="AL290" s="115"/>
      <c r="AM290" s="115"/>
      <c r="AN290" s="115"/>
      <c r="AO290" s="115"/>
      <c r="AP290" s="115"/>
      <c r="AQ290" s="115"/>
      <c r="AR290" s="115"/>
      <c r="AS290" s="13"/>
      <c r="AT290" s="13"/>
      <c r="AW290" s="114"/>
    </row>
    <row r="291" spans="1:49" ht="19.5" x14ac:dyDescent="0.4">
      <c r="A291" s="117"/>
      <c r="B291" s="123"/>
      <c r="C291" s="123"/>
      <c r="D291" s="123"/>
      <c r="J291" s="26"/>
      <c r="K291" s="13"/>
      <c r="Q291" s="115"/>
      <c r="R291" s="115"/>
      <c r="S291" s="115"/>
      <c r="T291" s="115"/>
      <c r="U291" s="26">
        <v>45709</v>
      </c>
      <c r="V291" s="13" t="s">
        <v>147</v>
      </c>
      <c r="AA291" s="117"/>
      <c r="AB291" s="123"/>
      <c r="AC291" s="123"/>
      <c r="AD291" s="123"/>
      <c r="AE291" s="115"/>
      <c r="AF291" s="115"/>
      <c r="AG291" s="115"/>
      <c r="AH291" s="115"/>
      <c r="AI291" s="115"/>
      <c r="AJ291" s="115"/>
      <c r="AK291" s="115"/>
      <c r="AL291" s="115"/>
      <c r="AM291" s="115"/>
      <c r="AN291" s="115"/>
      <c r="AO291" s="115"/>
      <c r="AP291" s="115"/>
      <c r="AQ291" s="115"/>
      <c r="AR291" s="115"/>
      <c r="AS291" s="13"/>
      <c r="AT291" s="13"/>
      <c r="AW291" s="114"/>
    </row>
    <row r="292" spans="1:49" ht="19.5" x14ac:dyDescent="0.4">
      <c r="A292" s="117"/>
      <c r="B292" s="123"/>
      <c r="C292" s="123"/>
      <c r="D292" s="123"/>
      <c r="G292" s="115"/>
      <c r="H292" s="115"/>
      <c r="I292" s="115"/>
      <c r="J292" s="17"/>
      <c r="K292" s="13"/>
      <c r="Q292" s="115"/>
      <c r="R292" s="115"/>
      <c r="S292" s="115"/>
      <c r="T292" s="115"/>
      <c r="U292" s="26"/>
      <c r="V292" s="13"/>
      <c r="AA292" s="117"/>
      <c r="AB292" s="123"/>
      <c r="AC292" s="123"/>
      <c r="AD292" s="123"/>
      <c r="AE292" s="115"/>
      <c r="AF292" s="115"/>
      <c r="AG292" s="115"/>
      <c r="AH292" s="115"/>
      <c r="AI292" s="115"/>
      <c r="AJ292" s="115"/>
      <c r="AK292" s="115"/>
      <c r="AL292" s="115"/>
      <c r="AM292" s="115"/>
      <c r="AN292" s="115"/>
      <c r="AO292" s="115"/>
      <c r="AP292" s="115"/>
      <c r="AQ292" s="115"/>
      <c r="AR292" s="115"/>
      <c r="AS292" s="13"/>
      <c r="AT292" s="13"/>
      <c r="AW292" s="114"/>
    </row>
    <row r="293" spans="1:49" ht="19.5" x14ac:dyDescent="0.4">
      <c r="A293" s="117"/>
      <c r="B293" s="123"/>
      <c r="C293" s="123"/>
      <c r="D293" s="123"/>
      <c r="J293" s="26"/>
      <c r="K293" s="13"/>
      <c r="Q293" s="115"/>
      <c r="R293" s="115"/>
      <c r="S293" s="115"/>
      <c r="T293" s="115"/>
      <c r="U293" s="26">
        <v>45712</v>
      </c>
      <c r="V293" s="13" t="s">
        <v>146</v>
      </c>
      <c r="AA293" s="117"/>
      <c r="AB293" s="123"/>
      <c r="AC293" s="123"/>
      <c r="AD293" s="123"/>
      <c r="AE293" s="115"/>
      <c r="AF293" s="115"/>
      <c r="AG293" s="115"/>
      <c r="AH293" s="115"/>
      <c r="AI293" s="115"/>
      <c r="AJ293" s="115"/>
      <c r="AK293" s="115"/>
      <c r="AL293" s="115"/>
      <c r="AM293" s="115"/>
      <c r="AN293" s="115"/>
      <c r="AO293" s="115"/>
      <c r="AP293" s="115"/>
      <c r="AQ293" s="115"/>
      <c r="AR293" s="115"/>
      <c r="AS293" s="13"/>
      <c r="AT293" s="13"/>
      <c r="AW293" s="114"/>
    </row>
    <row r="294" spans="1:49" ht="19.5" x14ac:dyDescent="0.4">
      <c r="A294" s="117"/>
      <c r="B294" s="123"/>
      <c r="C294" s="123"/>
      <c r="D294" s="123"/>
      <c r="J294" s="26"/>
      <c r="K294" s="13"/>
      <c r="Q294" s="115"/>
      <c r="R294" s="115"/>
      <c r="S294" s="115"/>
      <c r="T294" s="115"/>
      <c r="U294" s="26">
        <v>45712</v>
      </c>
      <c r="V294" s="13" t="s">
        <v>148</v>
      </c>
      <c r="AA294" s="117"/>
      <c r="AB294" s="123"/>
      <c r="AC294" s="123"/>
      <c r="AD294" s="123"/>
      <c r="AE294" s="115"/>
      <c r="AF294" s="115"/>
      <c r="AG294" s="115"/>
      <c r="AH294" s="115"/>
      <c r="AI294" s="115"/>
      <c r="AJ294" s="115"/>
      <c r="AK294" s="115"/>
      <c r="AL294" s="115"/>
      <c r="AM294" s="115"/>
      <c r="AN294" s="115"/>
      <c r="AO294" s="115"/>
      <c r="AP294" s="115"/>
      <c r="AQ294" s="115"/>
      <c r="AR294" s="115"/>
      <c r="AS294" s="13"/>
      <c r="AT294" s="13"/>
      <c r="AW294" s="114"/>
    </row>
    <row r="295" spans="1:49" ht="19.5" x14ac:dyDescent="0.4">
      <c r="A295" s="117"/>
      <c r="B295" s="123"/>
      <c r="C295" s="123"/>
      <c r="D295" s="123"/>
      <c r="G295" s="115"/>
      <c r="H295" s="115"/>
      <c r="I295" s="115"/>
      <c r="J295" s="17"/>
      <c r="K295" s="13"/>
      <c r="Q295" s="115"/>
      <c r="R295" s="115"/>
      <c r="S295" s="115"/>
      <c r="T295" s="115"/>
      <c r="U295" s="26"/>
      <c r="V295" s="13"/>
      <c r="AA295" s="117"/>
      <c r="AB295" s="123"/>
      <c r="AC295" s="123"/>
      <c r="AD295" s="123"/>
      <c r="AE295" s="115"/>
      <c r="AF295" s="115"/>
      <c r="AG295" s="115"/>
      <c r="AH295" s="115"/>
      <c r="AI295" s="115"/>
      <c r="AJ295" s="115"/>
      <c r="AK295" s="115"/>
      <c r="AL295" s="115"/>
      <c r="AM295" s="115"/>
      <c r="AN295" s="115"/>
      <c r="AO295" s="115"/>
      <c r="AP295" s="115"/>
      <c r="AQ295" s="115"/>
      <c r="AR295" s="115"/>
      <c r="AS295" s="13"/>
      <c r="AT295" s="13"/>
      <c r="AW295" s="114"/>
    </row>
    <row r="296" spans="1:49" ht="19.5" x14ac:dyDescent="0.4">
      <c r="A296" s="117"/>
      <c r="B296" s="123"/>
      <c r="C296" s="123"/>
      <c r="D296" s="123"/>
      <c r="J296" s="26"/>
      <c r="K296" s="13"/>
      <c r="O296" s="115"/>
      <c r="P296" s="115"/>
      <c r="Q296" s="115"/>
      <c r="R296" s="115"/>
      <c r="S296" s="115"/>
      <c r="T296" s="115"/>
      <c r="U296" s="26">
        <v>45714</v>
      </c>
      <c r="V296" s="13" t="s">
        <v>147</v>
      </c>
      <c r="AA296" s="117"/>
      <c r="AB296" s="123"/>
      <c r="AC296" s="123"/>
      <c r="AD296" s="123"/>
      <c r="AE296" s="115"/>
      <c r="AF296" s="115"/>
      <c r="AG296" s="115"/>
      <c r="AH296" s="115"/>
      <c r="AI296" s="115"/>
      <c r="AJ296" s="115"/>
      <c r="AK296" s="115"/>
      <c r="AL296" s="115"/>
      <c r="AM296" s="115"/>
      <c r="AN296" s="115"/>
      <c r="AO296" s="115"/>
      <c r="AP296" s="115"/>
      <c r="AQ296" s="115"/>
      <c r="AR296" s="115"/>
      <c r="AS296" s="13"/>
      <c r="AT296" s="13"/>
      <c r="AW296" s="114"/>
    </row>
    <row r="297" spans="1:49" ht="19.5" x14ac:dyDescent="0.4">
      <c r="A297" s="117"/>
      <c r="B297" s="123"/>
      <c r="C297" s="123"/>
      <c r="D297" s="123"/>
      <c r="J297" s="26"/>
      <c r="K297" s="13"/>
      <c r="U297" s="26">
        <v>45714</v>
      </c>
      <c r="V297" s="13" t="s">
        <v>147</v>
      </c>
      <c r="AA297" s="117"/>
      <c r="AB297" s="123"/>
      <c r="AC297" s="123"/>
      <c r="AD297" s="123"/>
      <c r="AE297" s="115"/>
      <c r="AF297" s="115"/>
      <c r="AG297" s="115"/>
      <c r="AH297" s="115"/>
      <c r="AI297" s="115"/>
      <c r="AJ297" s="115"/>
      <c r="AK297" s="115"/>
      <c r="AL297" s="115"/>
      <c r="AM297" s="115"/>
      <c r="AN297" s="115"/>
      <c r="AO297" s="115"/>
      <c r="AP297" s="115"/>
      <c r="AQ297" s="115"/>
      <c r="AR297" s="115"/>
      <c r="AS297" s="25">
        <v>45269</v>
      </c>
      <c r="AT297" s="13" t="s">
        <v>163</v>
      </c>
      <c r="AW297" s="114"/>
    </row>
    <row r="298" spans="1:49" ht="19.5" x14ac:dyDescent="0.4">
      <c r="A298" s="117"/>
      <c r="B298" s="123"/>
      <c r="C298" s="123"/>
      <c r="D298" s="123"/>
      <c r="J298" s="26"/>
      <c r="K298" s="13"/>
      <c r="L298" s="115"/>
      <c r="M298" s="115"/>
      <c r="N298" s="115"/>
      <c r="O298" s="115"/>
      <c r="P298" s="115"/>
      <c r="Q298" s="115"/>
      <c r="R298" s="115"/>
      <c r="S298" s="115"/>
      <c r="T298" s="115"/>
      <c r="U298" s="26">
        <v>45714</v>
      </c>
      <c r="V298" s="13" t="s">
        <v>147</v>
      </c>
      <c r="AA298" s="117"/>
      <c r="AB298" s="123"/>
      <c r="AC298" s="123"/>
      <c r="AD298" s="123"/>
      <c r="AE298" s="115"/>
      <c r="AF298" s="115"/>
      <c r="AG298" s="115"/>
      <c r="AH298" s="115"/>
      <c r="AI298" s="115"/>
      <c r="AJ298" s="115"/>
      <c r="AK298" s="115"/>
      <c r="AL298" s="115"/>
      <c r="AM298" s="115"/>
      <c r="AN298" s="115"/>
      <c r="AO298" s="115"/>
      <c r="AP298" s="115"/>
      <c r="AQ298" s="115"/>
      <c r="AR298" s="115"/>
      <c r="AS298" s="25"/>
      <c r="AT298" s="13"/>
      <c r="AW298" s="114"/>
    </row>
    <row r="299" spans="1:49" ht="19.5" x14ac:dyDescent="0.4">
      <c r="A299" s="117"/>
      <c r="B299" s="123"/>
      <c r="C299" s="123"/>
      <c r="D299" s="123"/>
      <c r="J299" s="26"/>
      <c r="K299" s="13"/>
      <c r="L299" s="115"/>
      <c r="M299" s="115"/>
      <c r="N299" s="115"/>
      <c r="O299" s="115"/>
      <c r="P299" s="115"/>
      <c r="Q299" s="115"/>
      <c r="R299" s="115"/>
      <c r="S299" s="115" t="s">
        <v>145</v>
      </c>
      <c r="T299" s="115">
        <f>SUBTOTAL(3,T2:T298)</f>
        <v>0</v>
      </c>
      <c r="U299" s="26"/>
      <c r="V299" s="13">
        <f>SUBTOTAL(3,V2:V298)</f>
        <v>145</v>
      </c>
      <c r="AA299" s="117"/>
      <c r="AB299" s="123"/>
      <c r="AC299" s="123"/>
      <c r="AD299" s="123"/>
      <c r="AE299" s="115"/>
      <c r="AF299" s="115"/>
      <c r="AG299" s="115"/>
      <c r="AH299" s="115"/>
      <c r="AI299" s="115"/>
      <c r="AJ299" s="115"/>
      <c r="AK299" s="115"/>
      <c r="AL299" s="115"/>
      <c r="AM299" s="115"/>
      <c r="AN299" s="115"/>
      <c r="AO299" s="115"/>
      <c r="AP299" s="115"/>
      <c r="AQ299" s="115"/>
      <c r="AR299" s="115"/>
      <c r="AS299" s="25"/>
      <c r="AT299" s="13"/>
      <c r="AW299" s="114"/>
    </row>
    <row r="300" spans="1:49" ht="19.5" x14ac:dyDescent="0.4">
      <c r="A300" s="117"/>
      <c r="B300" s="123"/>
      <c r="C300" s="123"/>
      <c r="D300" s="123"/>
      <c r="J300" s="26"/>
      <c r="K300" s="13"/>
      <c r="U300" s="26"/>
      <c r="V300" s="13"/>
      <c r="AA300" s="117"/>
      <c r="AB300" s="123"/>
      <c r="AC300" s="123"/>
      <c r="AD300" s="123"/>
      <c r="AE300" s="115"/>
      <c r="AF300" s="115"/>
      <c r="AG300" s="115"/>
      <c r="AH300" s="115"/>
      <c r="AI300" s="115"/>
      <c r="AJ300" s="115"/>
      <c r="AK300" s="115"/>
      <c r="AL300" s="115"/>
      <c r="AM300" s="115"/>
      <c r="AN300" s="115"/>
      <c r="AO300" s="115"/>
      <c r="AP300" s="115"/>
      <c r="AQ300" s="115"/>
      <c r="AR300" s="115"/>
      <c r="AS300" s="25">
        <v>45269</v>
      </c>
      <c r="AT300" s="13" t="s">
        <v>163</v>
      </c>
      <c r="AW300" s="114"/>
    </row>
    <row r="301" spans="1:49" ht="19.5" x14ac:dyDescent="0.4">
      <c r="A301" s="117"/>
      <c r="B301" s="123"/>
      <c r="C301" s="123"/>
      <c r="D301" s="123"/>
      <c r="J301" s="26"/>
      <c r="K301" s="13"/>
      <c r="N301" s="115"/>
      <c r="O301" s="115"/>
      <c r="P301" s="115"/>
      <c r="Q301" s="115"/>
      <c r="R301" s="115"/>
      <c r="S301" s="115"/>
      <c r="T301" s="115"/>
      <c r="U301" s="26"/>
      <c r="V301" s="13"/>
      <c r="AA301" s="117"/>
      <c r="AB301" s="123"/>
      <c r="AC301" s="123"/>
      <c r="AD301" s="123"/>
      <c r="AE301" s="115"/>
      <c r="AF301" s="115"/>
      <c r="AG301" s="115"/>
      <c r="AH301" s="115"/>
      <c r="AI301" s="115"/>
      <c r="AJ301" s="115"/>
      <c r="AK301" s="115"/>
      <c r="AL301" s="115"/>
      <c r="AM301" s="115"/>
      <c r="AN301" s="115"/>
      <c r="AO301" s="115"/>
      <c r="AP301" s="115"/>
      <c r="AQ301" s="115"/>
      <c r="AR301" s="115"/>
      <c r="AS301" s="25"/>
      <c r="AT301" s="13"/>
      <c r="AW301" s="114"/>
    </row>
    <row r="302" spans="1:49" ht="19.5" x14ac:dyDescent="0.4">
      <c r="A302" s="117"/>
      <c r="B302" s="123"/>
      <c r="C302" s="123"/>
      <c r="D302" s="123"/>
      <c r="J302" s="26"/>
      <c r="K302" s="13"/>
      <c r="U302" s="26"/>
      <c r="V302" s="13"/>
      <c r="AA302" s="117"/>
      <c r="AB302" s="123"/>
      <c r="AC302" s="123"/>
      <c r="AD302" s="123"/>
      <c r="AE302" s="115"/>
      <c r="AF302" s="115"/>
      <c r="AG302" s="115"/>
      <c r="AH302" s="115"/>
      <c r="AI302" s="115"/>
      <c r="AJ302" s="115"/>
      <c r="AK302" s="115"/>
      <c r="AL302" s="115"/>
      <c r="AM302" s="115"/>
      <c r="AN302" s="115"/>
      <c r="AO302" s="115"/>
      <c r="AP302" s="115"/>
      <c r="AQ302" s="115"/>
      <c r="AR302" s="115" t="s">
        <v>159</v>
      </c>
      <c r="AS302" s="13">
        <f>SUBTOTAL(3,AS297:AS300)</f>
        <v>2</v>
      </c>
      <c r="AT302" s="13">
        <f>SUBTOTAL(3,AT297:AT300)</f>
        <v>2</v>
      </c>
      <c r="AW302" s="114"/>
    </row>
    <row r="303" spans="1:49" ht="19.5" x14ac:dyDescent="0.4">
      <c r="A303" s="117"/>
      <c r="B303" s="123"/>
      <c r="C303" s="123"/>
      <c r="D303" s="123"/>
      <c r="J303" s="26"/>
      <c r="K303" s="13"/>
      <c r="L303" s="115"/>
      <c r="M303" s="115"/>
      <c r="N303" s="115"/>
      <c r="O303" s="115"/>
      <c r="P303" s="115"/>
      <c r="Q303" s="115"/>
      <c r="R303" s="115"/>
      <c r="S303" s="115"/>
      <c r="T303" s="115"/>
      <c r="U303" s="26"/>
      <c r="V303" s="13"/>
      <c r="AA303" s="117"/>
      <c r="AB303" s="123"/>
      <c r="AC303" s="123"/>
      <c r="AD303" s="123"/>
      <c r="AE303" s="115"/>
      <c r="AF303" s="115"/>
      <c r="AG303" s="115"/>
      <c r="AH303" s="115"/>
      <c r="AI303" s="115"/>
      <c r="AJ303" s="115"/>
      <c r="AK303" s="115"/>
      <c r="AL303" s="115"/>
      <c r="AM303" s="115"/>
      <c r="AN303" s="115"/>
      <c r="AO303" s="115"/>
      <c r="AP303" s="115"/>
      <c r="AQ303" s="115"/>
      <c r="AR303" s="115"/>
      <c r="AS303" s="13"/>
      <c r="AT303" s="13"/>
      <c r="AW303" s="114"/>
    </row>
    <row r="304" spans="1:49" ht="19.5" x14ac:dyDescent="0.4">
      <c r="A304" s="117"/>
      <c r="B304" s="123"/>
      <c r="C304" s="123"/>
      <c r="D304" s="123"/>
      <c r="J304" s="26"/>
      <c r="K304" s="13"/>
      <c r="L304" s="115"/>
      <c r="M304" s="115"/>
      <c r="N304" s="115"/>
      <c r="O304" s="115"/>
      <c r="P304" s="115"/>
      <c r="Q304" s="115"/>
      <c r="R304" s="115"/>
      <c r="S304" s="115"/>
      <c r="T304" s="115"/>
      <c r="U304" s="26"/>
      <c r="V304" s="13"/>
      <c r="AA304" s="117"/>
      <c r="AB304" s="123"/>
      <c r="AC304" s="123"/>
      <c r="AD304" s="123"/>
      <c r="AE304" s="115"/>
      <c r="AF304" s="115"/>
      <c r="AG304" s="115"/>
      <c r="AH304" s="115"/>
      <c r="AI304" s="115"/>
      <c r="AJ304" s="115"/>
      <c r="AK304" s="115"/>
      <c r="AL304" s="115"/>
      <c r="AM304" s="115"/>
      <c r="AN304" s="115"/>
      <c r="AO304" s="115"/>
      <c r="AP304" s="115"/>
      <c r="AQ304" s="115"/>
      <c r="AR304" s="115"/>
      <c r="AS304" s="13"/>
      <c r="AT304" s="13"/>
      <c r="AW304" s="114"/>
    </row>
    <row r="305" spans="1:49" ht="19.5" x14ac:dyDescent="0.4">
      <c r="A305" s="117"/>
      <c r="B305" s="123"/>
      <c r="C305" s="123"/>
      <c r="D305" s="123"/>
      <c r="F305" s="115"/>
      <c r="G305" s="115"/>
      <c r="H305" s="115"/>
      <c r="I305" s="115"/>
      <c r="J305" s="26"/>
      <c r="K305" s="13"/>
      <c r="L305" s="115"/>
      <c r="M305" s="115"/>
      <c r="N305" s="115"/>
      <c r="O305" s="115"/>
      <c r="P305" s="115"/>
      <c r="Q305" s="115"/>
      <c r="R305" s="115"/>
      <c r="S305" s="115"/>
      <c r="T305" s="115"/>
      <c r="U305" s="26"/>
      <c r="V305" s="13"/>
      <c r="AA305" s="117"/>
      <c r="AB305" s="123"/>
      <c r="AC305" s="123"/>
      <c r="AD305" s="123"/>
      <c r="AE305" s="115"/>
      <c r="AF305" s="115"/>
      <c r="AG305" s="115"/>
      <c r="AH305" s="115"/>
      <c r="AI305" s="115"/>
      <c r="AJ305" s="115"/>
      <c r="AK305" s="115"/>
      <c r="AL305" s="115"/>
      <c r="AM305" s="115"/>
      <c r="AN305" s="115"/>
      <c r="AO305" s="115"/>
      <c r="AP305" s="115"/>
      <c r="AQ305" s="115"/>
      <c r="AR305" s="115"/>
      <c r="AS305" s="13"/>
      <c r="AT305" s="13"/>
      <c r="AW305" s="114"/>
    </row>
    <row r="306" spans="1:49" ht="19.5" x14ac:dyDescent="0.4">
      <c r="A306" s="117"/>
      <c r="B306" s="123"/>
      <c r="C306" s="123"/>
      <c r="D306" s="123"/>
      <c r="J306" s="26"/>
      <c r="K306" s="13"/>
      <c r="U306" s="26"/>
      <c r="V306" s="13"/>
      <c r="AA306" s="117"/>
      <c r="AB306" s="123"/>
      <c r="AC306" s="123"/>
      <c r="AD306" s="123"/>
      <c r="AE306" s="115"/>
      <c r="AF306" s="115"/>
      <c r="AG306" s="115"/>
      <c r="AH306" s="115"/>
      <c r="AI306" s="115"/>
      <c r="AJ306" s="115"/>
      <c r="AK306" s="115"/>
      <c r="AL306" s="115"/>
      <c r="AM306" s="115"/>
      <c r="AN306" s="115"/>
      <c r="AO306" s="115"/>
      <c r="AP306" s="115"/>
      <c r="AQ306" s="115"/>
      <c r="AR306" s="115"/>
      <c r="AS306" s="25">
        <v>45270</v>
      </c>
      <c r="AT306" s="13" t="s">
        <v>164</v>
      </c>
      <c r="AW306" s="114"/>
    </row>
    <row r="307" spans="1:49" ht="19.5" x14ac:dyDescent="0.4">
      <c r="A307" s="117"/>
      <c r="B307" s="123"/>
      <c r="C307" s="123"/>
      <c r="D307" s="123"/>
      <c r="J307" s="26"/>
      <c r="K307" s="13"/>
      <c r="P307" s="115"/>
      <c r="Q307" s="115"/>
      <c r="R307" s="115"/>
      <c r="S307" s="115"/>
      <c r="T307" s="115"/>
      <c r="U307" s="17"/>
      <c r="V307" s="13"/>
      <c r="AA307" s="117"/>
      <c r="AB307" s="123"/>
      <c r="AC307" s="123"/>
      <c r="AD307" s="123"/>
      <c r="AE307" s="115"/>
      <c r="AF307" s="115"/>
      <c r="AG307" s="115"/>
      <c r="AH307" s="115"/>
      <c r="AI307" s="115"/>
      <c r="AJ307" s="115"/>
      <c r="AK307" s="115"/>
      <c r="AL307" s="115"/>
      <c r="AM307" s="115"/>
      <c r="AN307" s="115"/>
      <c r="AO307" s="115"/>
      <c r="AP307" s="115"/>
      <c r="AQ307" s="115"/>
      <c r="AR307" s="115"/>
      <c r="AS307" s="25"/>
      <c r="AT307" s="13"/>
      <c r="AW307" s="114"/>
    </row>
    <row r="308" spans="1:49" ht="19.5" x14ac:dyDescent="0.4">
      <c r="A308" s="117"/>
      <c r="B308" s="123"/>
      <c r="C308" s="123"/>
      <c r="D308" s="123"/>
      <c r="J308" s="26"/>
      <c r="K308" s="13"/>
      <c r="U308" s="26"/>
      <c r="V308" s="13"/>
      <c r="AA308" s="117"/>
      <c r="AB308" s="123"/>
      <c r="AC308" s="123"/>
      <c r="AD308" s="123"/>
      <c r="AE308" s="115"/>
      <c r="AF308" s="115"/>
      <c r="AG308" s="115"/>
      <c r="AH308" s="115"/>
      <c r="AI308" s="115"/>
      <c r="AJ308" s="115"/>
      <c r="AK308" s="115"/>
      <c r="AL308" s="115"/>
      <c r="AM308" s="115"/>
      <c r="AN308" s="115"/>
      <c r="AO308" s="115"/>
      <c r="AP308" s="115"/>
      <c r="AQ308" s="115"/>
      <c r="AR308" s="115"/>
      <c r="AS308" s="25"/>
      <c r="AT308" s="13"/>
      <c r="AW308" s="114"/>
    </row>
    <row r="309" spans="1:49" ht="19.5" x14ac:dyDescent="0.4">
      <c r="A309" s="117"/>
      <c r="B309" s="123"/>
      <c r="C309" s="123"/>
      <c r="D309" s="123"/>
      <c r="J309" s="26"/>
      <c r="K309" s="13"/>
      <c r="M309" s="115"/>
      <c r="N309" s="115"/>
      <c r="O309" s="115"/>
      <c r="P309" s="115"/>
      <c r="Q309" s="115"/>
      <c r="R309" s="115"/>
      <c r="S309" s="115"/>
      <c r="T309" s="115"/>
      <c r="U309" s="26"/>
      <c r="V309" s="13"/>
      <c r="AA309" s="117"/>
      <c r="AB309" s="123"/>
      <c r="AC309" s="123"/>
      <c r="AD309" s="123"/>
      <c r="AE309" s="115"/>
      <c r="AF309" s="115"/>
      <c r="AG309" s="115"/>
      <c r="AH309" s="115"/>
      <c r="AI309" s="115"/>
      <c r="AJ309" s="115"/>
      <c r="AK309" s="115"/>
      <c r="AL309" s="115"/>
      <c r="AM309" s="115"/>
      <c r="AN309" s="115"/>
      <c r="AO309" s="115"/>
      <c r="AP309" s="115"/>
      <c r="AQ309" s="115"/>
      <c r="AR309" s="115"/>
      <c r="AS309" s="25"/>
      <c r="AT309" s="13"/>
      <c r="AW309" s="114"/>
    </row>
    <row r="310" spans="1:49" ht="19.5" x14ac:dyDescent="0.4">
      <c r="A310" s="117"/>
      <c r="B310" s="123"/>
      <c r="C310" s="123"/>
      <c r="D310" s="123"/>
      <c r="J310" s="26"/>
      <c r="K310" s="13"/>
      <c r="U310" s="26"/>
      <c r="V310" s="13"/>
      <c r="AA310" s="117"/>
      <c r="AB310" s="123"/>
      <c r="AC310" s="123"/>
      <c r="AD310" s="123"/>
      <c r="AE310" s="115"/>
      <c r="AF310" s="115"/>
      <c r="AG310" s="115"/>
      <c r="AH310" s="115"/>
      <c r="AI310" s="115"/>
      <c r="AJ310" s="115"/>
      <c r="AK310" s="115"/>
      <c r="AL310" s="115"/>
      <c r="AM310" s="115"/>
      <c r="AN310" s="115"/>
      <c r="AO310" s="115"/>
      <c r="AP310" s="115"/>
      <c r="AQ310" s="115"/>
      <c r="AR310" s="115"/>
      <c r="AS310" s="25">
        <v>45270</v>
      </c>
      <c r="AT310" s="13" t="s">
        <v>164</v>
      </c>
      <c r="AW310" s="114"/>
    </row>
    <row r="311" spans="1:49" ht="19.5" x14ac:dyDescent="0.4">
      <c r="A311" s="117"/>
      <c r="B311" s="123"/>
      <c r="C311" s="123"/>
      <c r="D311" s="123"/>
      <c r="J311" s="26"/>
      <c r="K311" s="13"/>
      <c r="O311" s="115"/>
      <c r="P311" s="115"/>
      <c r="Q311" s="115"/>
      <c r="R311" s="115"/>
      <c r="S311" s="115"/>
      <c r="T311" s="115"/>
      <c r="U311" s="26"/>
      <c r="V311" s="13"/>
      <c r="AA311" s="117"/>
      <c r="AB311" s="123"/>
      <c r="AC311" s="123"/>
      <c r="AD311" s="123"/>
      <c r="AE311" s="115"/>
      <c r="AF311" s="115"/>
      <c r="AG311" s="115"/>
      <c r="AH311" s="115"/>
      <c r="AI311" s="115"/>
      <c r="AJ311" s="115"/>
      <c r="AK311" s="115"/>
      <c r="AL311" s="115"/>
      <c r="AM311" s="115"/>
      <c r="AN311" s="115"/>
      <c r="AO311" s="115"/>
      <c r="AP311" s="115"/>
      <c r="AQ311" s="115"/>
      <c r="AR311" s="115"/>
      <c r="AS311" s="25"/>
      <c r="AT311" s="13"/>
      <c r="AW311" s="114"/>
    </row>
    <row r="312" spans="1:49" ht="19.5" x14ac:dyDescent="0.4">
      <c r="A312" s="117"/>
      <c r="B312" s="123"/>
      <c r="C312" s="123"/>
      <c r="D312" s="123"/>
      <c r="F312" s="115"/>
      <c r="G312" s="115"/>
      <c r="H312" s="115"/>
      <c r="I312" s="115"/>
      <c r="J312" s="26"/>
      <c r="K312" s="13"/>
      <c r="L312" s="115"/>
      <c r="M312" s="115"/>
      <c r="N312" s="115"/>
      <c r="O312" s="115"/>
      <c r="P312" s="115"/>
      <c r="Q312" s="115"/>
      <c r="R312" s="115"/>
      <c r="S312" s="115"/>
      <c r="T312" s="115"/>
      <c r="U312" s="26"/>
      <c r="V312" s="13"/>
      <c r="AA312" s="117"/>
      <c r="AB312" s="123"/>
      <c r="AC312" s="123"/>
      <c r="AD312" s="123"/>
      <c r="AE312" s="115"/>
      <c r="AF312" s="115"/>
      <c r="AG312" s="115"/>
      <c r="AH312" s="115"/>
      <c r="AI312" s="115"/>
      <c r="AJ312" s="115"/>
      <c r="AK312" s="115"/>
      <c r="AL312" s="115"/>
      <c r="AM312" s="115"/>
      <c r="AN312" s="115"/>
      <c r="AO312" s="115"/>
      <c r="AP312" s="115"/>
      <c r="AQ312" s="115"/>
      <c r="AR312" s="115"/>
      <c r="AS312" s="25"/>
      <c r="AT312" s="13"/>
      <c r="AW312" s="114"/>
    </row>
    <row r="313" spans="1:49" ht="19.5" x14ac:dyDescent="0.4">
      <c r="A313" s="117"/>
      <c r="B313" s="123"/>
      <c r="C313" s="123"/>
      <c r="D313" s="123"/>
      <c r="J313" s="26"/>
      <c r="K313" s="15"/>
      <c r="U313" s="26"/>
      <c r="V313" s="13"/>
      <c r="AA313" s="117"/>
      <c r="AB313" s="123"/>
      <c r="AC313" s="123"/>
      <c r="AD313" s="123"/>
      <c r="AE313" s="115"/>
      <c r="AF313" s="115"/>
      <c r="AG313" s="115"/>
      <c r="AH313" s="115"/>
      <c r="AI313" s="115"/>
      <c r="AJ313" s="115"/>
      <c r="AK313" s="115"/>
      <c r="AL313" s="115"/>
      <c r="AM313" s="115"/>
      <c r="AN313" s="115"/>
      <c r="AO313" s="115"/>
      <c r="AP313" s="115"/>
      <c r="AQ313" s="115"/>
      <c r="AR313" s="115"/>
      <c r="AS313" s="25">
        <v>45270</v>
      </c>
      <c r="AT313" s="13" t="s">
        <v>162</v>
      </c>
      <c r="AW313" s="114"/>
    </row>
    <row r="314" spans="1:49" ht="19.5" x14ac:dyDescent="0.4">
      <c r="A314" s="117"/>
      <c r="B314" s="123"/>
      <c r="C314" s="123"/>
      <c r="D314" s="123"/>
      <c r="J314" s="26"/>
      <c r="K314" s="15"/>
      <c r="N314" s="115"/>
      <c r="O314" s="115"/>
      <c r="P314" s="115"/>
      <c r="Q314" s="115"/>
      <c r="R314" s="115"/>
      <c r="S314" s="115"/>
      <c r="T314" s="115"/>
      <c r="U314" s="26"/>
      <c r="V314" s="15"/>
      <c r="AA314" s="117"/>
      <c r="AB314" s="123"/>
      <c r="AC314" s="123"/>
      <c r="AD314" s="123"/>
      <c r="AE314" s="115"/>
      <c r="AF314" s="115"/>
      <c r="AG314" s="115"/>
      <c r="AH314" s="115"/>
      <c r="AI314" s="115"/>
      <c r="AJ314" s="115"/>
      <c r="AK314" s="115"/>
      <c r="AL314" s="115"/>
      <c r="AM314" s="115"/>
      <c r="AN314" s="115"/>
      <c r="AO314" s="115"/>
      <c r="AP314" s="115"/>
      <c r="AQ314" s="115"/>
      <c r="AR314" s="115"/>
      <c r="AS314" s="25"/>
      <c r="AT314" s="13"/>
      <c r="AW314" s="114"/>
    </row>
    <row r="315" spans="1:49" ht="19.5" x14ac:dyDescent="0.4">
      <c r="A315" s="117"/>
      <c r="B315" s="123"/>
      <c r="C315" s="123"/>
      <c r="D315" s="123"/>
      <c r="G315" s="115"/>
      <c r="H315" s="115"/>
      <c r="I315" s="115"/>
      <c r="J315" s="17"/>
      <c r="K315" s="15"/>
      <c r="N315" s="115"/>
      <c r="O315" s="115"/>
      <c r="P315" s="115"/>
      <c r="Q315" s="115"/>
      <c r="R315" s="115"/>
      <c r="S315" s="115"/>
      <c r="T315" s="115"/>
      <c r="U315" s="26"/>
      <c r="V315" s="13"/>
      <c r="AA315" s="117"/>
      <c r="AB315" s="123"/>
      <c r="AC315" s="123"/>
      <c r="AD315" s="123"/>
      <c r="AE315" s="115"/>
      <c r="AF315" s="115"/>
      <c r="AG315" s="115"/>
      <c r="AH315" s="115"/>
      <c r="AI315" s="115"/>
      <c r="AJ315" s="115"/>
      <c r="AK315" s="115"/>
      <c r="AL315" s="115"/>
      <c r="AM315" s="115"/>
      <c r="AN315" s="115"/>
      <c r="AO315" s="115"/>
      <c r="AP315" s="115"/>
      <c r="AQ315" s="115"/>
      <c r="AR315" s="115"/>
      <c r="AS315" s="25"/>
      <c r="AT315" s="13"/>
      <c r="AW315" s="114"/>
    </row>
    <row r="316" spans="1:49" ht="19.5" x14ac:dyDescent="0.4">
      <c r="A316" s="117"/>
      <c r="B316" s="123"/>
      <c r="C316" s="123"/>
      <c r="D316" s="123"/>
      <c r="J316" s="26"/>
      <c r="K316" s="15"/>
      <c r="U316" s="26"/>
      <c r="V316" s="13"/>
      <c r="AA316" s="117"/>
      <c r="AB316" s="123"/>
      <c r="AC316" s="123"/>
      <c r="AD316" s="123"/>
      <c r="AE316" s="115"/>
      <c r="AF316" s="115"/>
      <c r="AG316" s="115"/>
      <c r="AH316" s="115"/>
      <c r="AI316" s="115"/>
      <c r="AJ316" s="115"/>
      <c r="AK316" s="115"/>
      <c r="AL316" s="115"/>
      <c r="AM316" s="115"/>
      <c r="AN316" s="115"/>
      <c r="AO316" s="115"/>
      <c r="AP316" s="115"/>
      <c r="AQ316" s="115"/>
      <c r="AR316" s="115"/>
      <c r="AS316" s="25">
        <v>45270</v>
      </c>
      <c r="AT316" s="13" t="s">
        <v>162</v>
      </c>
      <c r="AW316" s="114"/>
    </row>
    <row r="317" spans="1:49" ht="19.5" x14ac:dyDescent="0.4">
      <c r="A317" s="117"/>
      <c r="B317" s="123"/>
      <c r="C317" s="123"/>
      <c r="D317" s="123"/>
      <c r="G317" s="115"/>
      <c r="H317" s="115"/>
      <c r="I317" s="115"/>
      <c r="J317" s="17"/>
      <c r="K317" s="15"/>
      <c r="U317" s="26"/>
      <c r="V317" s="13"/>
      <c r="AA317" s="117"/>
      <c r="AB317" s="123"/>
      <c r="AC317" s="123"/>
      <c r="AD317" s="123"/>
      <c r="AE317" s="115"/>
      <c r="AF317" s="115"/>
      <c r="AG317" s="115"/>
      <c r="AH317" s="115"/>
      <c r="AI317" s="115"/>
      <c r="AJ317" s="115"/>
      <c r="AK317" s="115"/>
      <c r="AL317" s="115"/>
      <c r="AM317" s="115"/>
      <c r="AN317" s="115"/>
      <c r="AO317" s="115"/>
      <c r="AP317" s="115"/>
      <c r="AQ317" s="115"/>
      <c r="AR317" s="115"/>
      <c r="AS317" s="25"/>
      <c r="AT317" s="13"/>
      <c r="AW317" s="114"/>
    </row>
    <row r="318" spans="1:49" ht="19.5" x14ac:dyDescent="0.4">
      <c r="A318" s="117"/>
      <c r="B318" s="123"/>
      <c r="C318" s="123"/>
      <c r="D318" s="123"/>
      <c r="J318" s="26"/>
      <c r="K318" s="15"/>
      <c r="P318" s="115"/>
      <c r="Q318" s="115"/>
      <c r="R318" s="115"/>
      <c r="S318" s="115"/>
      <c r="T318" s="115"/>
      <c r="U318" s="17"/>
      <c r="V318" s="13"/>
      <c r="AA318" s="117"/>
      <c r="AB318" s="123"/>
      <c r="AC318" s="123"/>
      <c r="AD318" s="123"/>
      <c r="AE318" s="115"/>
      <c r="AF318" s="115"/>
      <c r="AG318" s="115"/>
      <c r="AH318" s="115"/>
      <c r="AI318" s="115"/>
      <c r="AJ318" s="115"/>
      <c r="AK318" s="115"/>
      <c r="AL318" s="115"/>
      <c r="AM318" s="115"/>
      <c r="AN318" s="115"/>
      <c r="AO318" s="115"/>
      <c r="AP318" s="115"/>
      <c r="AQ318" s="115"/>
      <c r="AR318" s="115"/>
      <c r="AS318" s="25"/>
      <c r="AT318" s="13"/>
      <c r="AW318" s="114"/>
    </row>
    <row r="319" spans="1:49" ht="19.5" x14ac:dyDescent="0.4">
      <c r="A319" s="117"/>
      <c r="B319" s="123"/>
      <c r="C319" s="123"/>
      <c r="D319" s="123"/>
      <c r="G319" s="115"/>
      <c r="H319" s="115"/>
      <c r="I319" s="115"/>
      <c r="J319" s="119"/>
      <c r="K319" s="119"/>
      <c r="P319" s="115"/>
      <c r="Q319" s="115"/>
      <c r="R319" s="115"/>
      <c r="S319" s="115"/>
      <c r="T319" s="115"/>
      <c r="U319" s="17"/>
      <c r="V319" s="13"/>
      <c r="AA319" s="117"/>
      <c r="AB319" s="123"/>
      <c r="AC319" s="123"/>
      <c r="AD319" s="123"/>
      <c r="AE319" s="115"/>
      <c r="AF319" s="115"/>
      <c r="AG319" s="115"/>
      <c r="AH319" s="115"/>
      <c r="AI319" s="115"/>
      <c r="AJ319" s="115"/>
      <c r="AK319" s="115"/>
      <c r="AL319" s="115"/>
      <c r="AM319" s="115"/>
      <c r="AN319" s="115"/>
      <c r="AO319" s="115"/>
      <c r="AP319" s="115"/>
      <c r="AQ319" s="115"/>
      <c r="AR319" s="115"/>
      <c r="AS319" s="25"/>
      <c r="AT319" s="13"/>
      <c r="AW319" s="114"/>
    </row>
    <row r="320" spans="1:49" ht="19.5" x14ac:dyDescent="0.4">
      <c r="A320" s="117"/>
      <c r="B320" s="123"/>
      <c r="C320" s="123"/>
      <c r="D320" s="123"/>
      <c r="G320" s="115"/>
      <c r="H320" s="115"/>
      <c r="I320" s="115"/>
      <c r="J320" s="119"/>
      <c r="K320" s="119"/>
      <c r="P320" s="115"/>
      <c r="Q320" s="115"/>
      <c r="R320" s="115"/>
      <c r="S320" s="115"/>
      <c r="T320" s="115"/>
      <c r="U320" s="17"/>
      <c r="V320" s="13"/>
      <c r="AA320" s="117"/>
      <c r="AB320" s="123"/>
      <c r="AC320" s="123"/>
      <c r="AD320" s="123"/>
      <c r="AE320" s="115"/>
      <c r="AF320" s="115"/>
      <c r="AG320" s="115"/>
      <c r="AH320" s="115"/>
      <c r="AI320" s="115"/>
      <c r="AJ320" s="115"/>
      <c r="AK320" s="115"/>
      <c r="AL320" s="115"/>
      <c r="AM320" s="115"/>
      <c r="AN320" s="115"/>
      <c r="AO320" s="115"/>
      <c r="AP320" s="115"/>
      <c r="AQ320" s="115"/>
      <c r="AR320" s="115"/>
      <c r="AS320" s="25"/>
      <c r="AT320" s="13"/>
      <c r="AW320" s="114"/>
    </row>
    <row r="321" spans="1:49" ht="19.5" x14ac:dyDescent="0.4">
      <c r="A321" s="117"/>
      <c r="B321" s="123"/>
      <c r="C321" s="123"/>
      <c r="D321" s="123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26"/>
      <c r="V321" s="13"/>
      <c r="AA321" s="117"/>
      <c r="AB321" s="123"/>
      <c r="AC321" s="123"/>
      <c r="AD321" s="123"/>
      <c r="AE321" s="115"/>
      <c r="AF321" s="115"/>
      <c r="AG321" s="115"/>
      <c r="AH321" s="115"/>
      <c r="AI321" s="115"/>
      <c r="AJ321" s="115"/>
      <c r="AK321" s="115"/>
      <c r="AL321" s="115"/>
      <c r="AM321" s="115"/>
      <c r="AN321" s="115"/>
      <c r="AO321" s="115"/>
      <c r="AP321" s="115"/>
      <c r="AQ321" s="115"/>
      <c r="AR321" s="115"/>
      <c r="AS321" s="25"/>
      <c r="AT321" s="13"/>
      <c r="AW321" s="114"/>
    </row>
    <row r="322" spans="1:49" ht="19.5" x14ac:dyDescent="0.4">
      <c r="A322" s="117"/>
      <c r="B322" s="123"/>
      <c r="C322" s="123"/>
      <c r="D322" s="123"/>
      <c r="U322" s="26"/>
      <c r="V322" s="13"/>
      <c r="AA322" s="117"/>
      <c r="AB322" s="123"/>
      <c r="AC322" s="123"/>
      <c r="AD322" s="123"/>
      <c r="AE322" s="115"/>
      <c r="AF322" s="115"/>
      <c r="AG322" s="115"/>
      <c r="AH322" s="115"/>
      <c r="AI322" s="115"/>
      <c r="AJ322" s="115"/>
      <c r="AK322" s="115"/>
      <c r="AL322" s="115"/>
      <c r="AM322" s="115"/>
      <c r="AN322" s="115"/>
      <c r="AO322" s="115"/>
      <c r="AP322" s="115"/>
      <c r="AQ322" s="115"/>
      <c r="AR322" s="115"/>
      <c r="AS322" s="25"/>
      <c r="AT322" s="13"/>
      <c r="AW322" s="114"/>
    </row>
    <row r="323" spans="1:49" ht="19.5" x14ac:dyDescent="0.4">
      <c r="A323" s="117"/>
      <c r="B323" s="123"/>
      <c r="C323" s="123"/>
      <c r="D323" s="123"/>
      <c r="U323" s="26"/>
      <c r="V323" s="13"/>
      <c r="AA323" s="117"/>
      <c r="AB323" s="123"/>
      <c r="AC323" s="123"/>
      <c r="AD323" s="123"/>
      <c r="AE323" s="115"/>
      <c r="AF323" s="115"/>
      <c r="AG323" s="115"/>
      <c r="AH323" s="115"/>
      <c r="AI323" s="115"/>
      <c r="AJ323" s="115"/>
      <c r="AK323" s="115"/>
      <c r="AL323" s="115"/>
      <c r="AM323" s="115"/>
      <c r="AN323" s="115"/>
      <c r="AO323" s="115"/>
      <c r="AP323" s="115"/>
      <c r="AQ323" s="115"/>
      <c r="AR323" s="115"/>
      <c r="AS323" s="25">
        <v>45270</v>
      </c>
      <c r="AT323" s="13" t="s">
        <v>163</v>
      </c>
      <c r="AW323" s="114"/>
    </row>
    <row r="324" spans="1:49" ht="19.5" x14ac:dyDescent="0.4">
      <c r="A324" s="117"/>
      <c r="B324" s="123"/>
      <c r="C324" s="123"/>
      <c r="D324" s="123"/>
      <c r="P324" s="115"/>
      <c r="Q324" s="115"/>
      <c r="R324" s="115"/>
      <c r="S324" s="115"/>
      <c r="T324" s="115"/>
      <c r="U324" s="17"/>
      <c r="V324" s="13"/>
      <c r="AA324" s="117"/>
      <c r="AB324" s="123"/>
      <c r="AC324" s="123"/>
      <c r="AD324" s="123"/>
      <c r="AE324" s="115"/>
      <c r="AF324" s="115"/>
      <c r="AG324" s="115"/>
      <c r="AH324" s="115"/>
      <c r="AI324" s="115"/>
      <c r="AJ324" s="115"/>
      <c r="AK324" s="115"/>
      <c r="AL324" s="115"/>
      <c r="AM324" s="115"/>
      <c r="AN324" s="115"/>
      <c r="AO324" s="115"/>
      <c r="AP324" s="115"/>
      <c r="AQ324" s="115"/>
      <c r="AR324" s="115"/>
      <c r="AS324" s="25"/>
      <c r="AT324" s="13"/>
      <c r="AW324" s="114"/>
    </row>
    <row r="325" spans="1:49" ht="19.5" x14ac:dyDescent="0.4">
      <c r="A325" s="117"/>
      <c r="B325" s="123"/>
      <c r="C325" s="123"/>
      <c r="D325" s="123"/>
      <c r="U325" s="26"/>
      <c r="V325" s="13"/>
      <c r="AA325" s="117"/>
      <c r="AB325" s="123"/>
      <c r="AC325" s="123"/>
      <c r="AD325" s="123"/>
      <c r="AE325" s="115"/>
      <c r="AF325" s="115"/>
      <c r="AG325" s="115"/>
      <c r="AH325" s="115"/>
      <c r="AI325" s="115"/>
      <c r="AJ325" s="115"/>
      <c r="AK325" s="115"/>
      <c r="AL325" s="115"/>
      <c r="AM325" s="115"/>
      <c r="AN325" s="115"/>
      <c r="AO325" s="115"/>
      <c r="AP325" s="115"/>
      <c r="AQ325" s="115"/>
      <c r="AR325" s="115" t="s">
        <v>151</v>
      </c>
      <c r="AS325" s="13">
        <f>SUBTOTAL(3,AS306:AS323)</f>
        <v>5</v>
      </c>
      <c r="AT325" s="13">
        <f>SUBTOTAL(3,AT306:AT323)</f>
        <v>5</v>
      </c>
      <c r="AW325" s="114"/>
    </row>
    <row r="326" spans="1:49" ht="19.5" x14ac:dyDescent="0.4">
      <c r="A326" s="117"/>
      <c r="B326" s="123"/>
      <c r="C326" s="123"/>
      <c r="D326" s="123"/>
      <c r="O326" s="115"/>
      <c r="P326" s="115"/>
      <c r="Q326" s="115"/>
      <c r="R326" s="115"/>
      <c r="S326" s="115"/>
      <c r="T326" s="115"/>
      <c r="U326" s="26"/>
      <c r="V326" s="13"/>
      <c r="AA326" s="117"/>
      <c r="AB326" s="123"/>
      <c r="AC326" s="123"/>
      <c r="AD326" s="123"/>
      <c r="AE326" s="115"/>
      <c r="AF326" s="115"/>
      <c r="AG326" s="115"/>
      <c r="AH326" s="115"/>
      <c r="AI326" s="115"/>
      <c r="AJ326" s="115"/>
      <c r="AK326" s="115"/>
      <c r="AL326" s="115"/>
      <c r="AM326" s="115"/>
      <c r="AN326" s="115"/>
      <c r="AO326" s="115"/>
      <c r="AP326" s="115"/>
      <c r="AQ326" s="115"/>
      <c r="AR326" s="115"/>
      <c r="AS326" s="13"/>
      <c r="AT326" s="13"/>
      <c r="AW326" s="114"/>
    </row>
    <row r="327" spans="1:49" ht="19.5" x14ac:dyDescent="0.4">
      <c r="A327" s="117"/>
      <c r="B327" s="123"/>
      <c r="C327" s="123"/>
      <c r="D327" s="123"/>
      <c r="U327" s="26"/>
      <c r="V327" s="13"/>
      <c r="AA327" s="117"/>
      <c r="AB327" s="123"/>
      <c r="AC327" s="123"/>
      <c r="AD327" s="123"/>
      <c r="AE327" s="115"/>
      <c r="AF327" s="115"/>
      <c r="AG327" s="115"/>
      <c r="AH327" s="115"/>
      <c r="AI327" s="115"/>
      <c r="AJ327" s="115"/>
      <c r="AK327" s="115"/>
      <c r="AL327" s="115"/>
      <c r="AM327" s="115"/>
      <c r="AN327" s="115"/>
      <c r="AO327" s="115"/>
      <c r="AP327" s="115"/>
      <c r="AQ327" s="115"/>
      <c r="AR327" s="115"/>
      <c r="AS327" s="25">
        <v>45271</v>
      </c>
      <c r="AT327" s="13" t="s">
        <v>162</v>
      </c>
      <c r="AW327" s="114"/>
    </row>
    <row r="328" spans="1:49" ht="19.5" x14ac:dyDescent="0.4">
      <c r="A328" s="117"/>
      <c r="B328" s="123"/>
      <c r="C328" s="123"/>
      <c r="D328" s="123"/>
      <c r="U328" s="26"/>
      <c r="V328" s="13"/>
      <c r="AA328" s="117"/>
      <c r="AB328" s="123"/>
      <c r="AC328" s="123"/>
      <c r="AD328" s="123"/>
      <c r="AE328" s="115"/>
      <c r="AF328" s="115"/>
      <c r="AG328" s="115"/>
      <c r="AH328" s="115"/>
      <c r="AI328" s="115"/>
      <c r="AJ328" s="115"/>
      <c r="AK328" s="115"/>
      <c r="AL328" s="115"/>
      <c r="AM328" s="115"/>
      <c r="AN328" s="115"/>
      <c r="AO328" s="115"/>
      <c r="AP328" s="115"/>
      <c r="AQ328" s="115"/>
      <c r="AR328" s="115"/>
      <c r="AS328" s="25">
        <v>45271</v>
      </c>
      <c r="AT328" s="13" t="s">
        <v>163</v>
      </c>
      <c r="AW328" s="114"/>
    </row>
    <row r="329" spans="1:49" ht="19.5" x14ac:dyDescent="0.4">
      <c r="A329" s="117"/>
      <c r="B329" s="123"/>
      <c r="C329" s="123"/>
      <c r="D329" s="123"/>
      <c r="O329" s="115"/>
      <c r="P329" s="115"/>
      <c r="Q329" s="115"/>
      <c r="R329" s="115"/>
      <c r="S329" s="115"/>
      <c r="T329" s="115"/>
      <c r="U329" s="26"/>
      <c r="V329" s="13"/>
      <c r="AA329" s="117"/>
      <c r="AB329" s="123"/>
      <c r="AC329" s="123"/>
      <c r="AD329" s="123"/>
      <c r="AE329" s="115"/>
      <c r="AF329" s="115"/>
      <c r="AG329" s="115"/>
      <c r="AH329" s="115"/>
      <c r="AI329" s="115"/>
      <c r="AJ329" s="115"/>
      <c r="AK329" s="115"/>
      <c r="AL329" s="115"/>
      <c r="AM329" s="115"/>
      <c r="AN329" s="115"/>
      <c r="AO329" s="115"/>
      <c r="AP329" s="115"/>
      <c r="AQ329" s="115"/>
      <c r="AR329" s="115"/>
      <c r="AS329" s="25"/>
      <c r="AT329" s="13"/>
      <c r="AW329" s="114"/>
    </row>
    <row r="330" spans="1:49" ht="19.5" x14ac:dyDescent="0.4">
      <c r="A330" s="117"/>
      <c r="B330" s="123"/>
      <c r="C330" s="123"/>
      <c r="D330" s="123"/>
      <c r="N330" s="115"/>
      <c r="O330" s="115"/>
      <c r="P330" s="115"/>
      <c r="Q330" s="115"/>
      <c r="R330" s="115"/>
      <c r="S330" s="115"/>
      <c r="T330" s="115"/>
      <c r="U330" s="26"/>
      <c r="V330" s="13"/>
      <c r="AA330" s="117"/>
      <c r="AB330" s="123"/>
      <c r="AC330" s="123"/>
      <c r="AD330" s="123"/>
      <c r="AE330" s="115"/>
      <c r="AF330" s="115"/>
      <c r="AG330" s="115"/>
      <c r="AH330" s="115"/>
      <c r="AI330" s="115"/>
      <c r="AJ330" s="115"/>
      <c r="AK330" s="115"/>
      <c r="AL330" s="115"/>
      <c r="AM330" s="115"/>
      <c r="AN330" s="115"/>
      <c r="AO330" s="115"/>
      <c r="AP330" s="115"/>
      <c r="AQ330" s="115"/>
      <c r="AR330" s="115"/>
      <c r="AS330" s="25"/>
      <c r="AT330" s="13"/>
      <c r="AW330" s="114"/>
    </row>
    <row r="331" spans="1:49" ht="19.5" x14ac:dyDescent="0.4">
      <c r="A331" s="117"/>
      <c r="B331" s="123"/>
      <c r="C331" s="123"/>
      <c r="D331" s="123"/>
      <c r="N331" s="115"/>
      <c r="O331" s="115"/>
      <c r="P331" s="115"/>
      <c r="Q331" s="115"/>
      <c r="R331" s="115"/>
      <c r="S331" s="115"/>
      <c r="T331" s="115"/>
      <c r="U331" s="17"/>
      <c r="V331" s="13"/>
      <c r="AA331" s="117"/>
      <c r="AB331" s="123"/>
      <c r="AC331" s="123"/>
      <c r="AD331" s="123"/>
      <c r="AE331" s="115"/>
      <c r="AF331" s="115"/>
      <c r="AG331" s="115"/>
      <c r="AH331" s="115"/>
      <c r="AI331" s="115"/>
      <c r="AJ331" s="115"/>
      <c r="AK331" s="115"/>
      <c r="AL331" s="115"/>
      <c r="AM331" s="115"/>
      <c r="AN331" s="115"/>
      <c r="AO331" s="115"/>
      <c r="AP331" s="115"/>
      <c r="AQ331" s="115"/>
      <c r="AR331" s="115"/>
      <c r="AS331" s="25"/>
      <c r="AT331" s="13"/>
      <c r="AW331" s="114"/>
    </row>
    <row r="332" spans="1:49" ht="19.5" x14ac:dyDescent="0.4">
      <c r="A332" s="117"/>
      <c r="B332" s="123"/>
      <c r="C332" s="123"/>
      <c r="D332" s="123"/>
      <c r="L332" s="115"/>
      <c r="M332" s="115"/>
      <c r="N332" s="115"/>
      <c r="O332" s="115"/>
      <c r="P332" s="115"/>
      <c r="Q332" s="115"/>
      <c r="R332" s="115"/>
      <c r="S332" s="115"/>
      <c r="T332" s="115"/>
      <c r="U332" s="26"/>
      <c r="V332" s="13"/>
      <c r="AA332" s="117"/>
      <c r="AB332" s="123"/>
      <c r="AC332" s="123"/>
      <c r="AD332" s="123"/>
      <c r="AE332" s="115"/>
      <c r="AF332" s="115"/>
      <c r="AG332" s="115"/>
      <c r="AH332" s="115"/>
      <c r="AI332" s="115"/>
      <c r="AJ332" s="115"/>
      <c r="AK332" s="115"/>
      <c r="AL332" s="115"/>
      <c r="AM332" s="115"/>
      <c r="AN332" s="115"/>
      <c r="AO332" s="115"/>
      <c r="AP332" s="115"/>
      <c r="AQ332" s="115"/>
      <c r="AR332" s="115"/>
      <c r="AS332" s="25"/>
      <c r="AT332" s="13"/>
      <c r="AW332" s="114"/>
    </row>
    <row r="333" spans="1:49" ht="19.5" x14ac:dyDescent="0.4">
      <c r="A333" s="117"/>
      <c r="B333" s="123"/>
      <c r="C333" s="123"/>
      <c r="D333" s="123"/>
      <c r="U333" s="26"/>
      <c r="V333" s="13"/>
      <c r="AA333" s="117"/>
      <c r="AB333" s="123"/>
      <c r="AC333" s="123"/>
      <c r="AD333" s="123"/>
      <c r="AE333" s="115"/>
      <c r="AF333" s="115"/>
      <c r="AG333" s="115"/>
      <c r="AH333" s="115"/>
      <c r="AI333" s="115"/>
      <c r="AJ333" s="115"/>
      <c r="AK333" s="115"/>
      <c r="AL333" s="115"/>
      <c r="AM333" s="115"/>
      <c r="AN333" s="115"/>
      <c r="AO333" s="115"/>
      <c r="AP333" s="115"/>
      <c r="AQ333" s="115"/>
      <c r="AR333" s="115"/>
      <c r="AS333" s="25">
        <v>45271</v>
      </c>
      <c r="AT333" s="13" t="s">
        <v>163</v>
      </c>
      <c r="AW333" s="114"/>
    </row>
    <row r="334" spans="1:49" ht="19.5" x14ac:dyDescent="0.4">
      <c r="A334" s="117"/>
      <c r="B334" s="123"/>
      <c r="C334" s="123"/>
      <c r="D334" s="123"/>
      <c r="O334" s="115"/>
      <c r="P334" s="115"/>
      <c r="Q334" s="115"/>
      <c r="R334" s="115"/>
      <c r="S334" s="115"/>
      <c r="T334" s="115"/>
      <c r="U334" s="26"/>
      <c r="V334" s="13"/>
      <c r="AA334" s="117"/>
      <c r="AB334" s="123"/>
      <c r="AC334" s="123"/>
      <c r="AD334" s="123"/>
      <c r="AE334" s="115"/>
      <c r="AF334" s="115"/>
      <c r="AG334" s="115"/>
      <c r="AH334" s="115"/>
      <c r="AI334" s="115"/>
      <c r="AJ334" s="115"/>
      <c r="AK334" s="115"/>
      <c r="AL334" s="115"/>
      <c r="AM334" s="115"/>
      <c r="AN334" s="115"/>
      <c r="AO334" s="115"/>
      <c r="AP334" s="115"/>
      <c r="AQ334" s="115"/>
      <c r="AR334" s="115"/>
      <c r="AS334" s="25"/>
      <c r="AT334" s="13"/>
      <c r="AW334" s="114"/>
    </row>
    <row r="335" spans="1:49" ht="19.5" x14ac:dyDescent="0.4">
      <c r="A335" s="117"/>
      <c r="B335" s="123"/>
      <c r="C335" s="123"/>
      <c r="D335" s="123"/>
      <c r="M335" s="115"/>
      <c r="N335" s="115"/>
      <c r="O335" s="115"/>
      <c r="P335" s="115"/>
      <c r="Q335" s="115"/>
      <c r="R335" s="115"/>
      <c r="S335" s="115"/>
      <c r="T335" s="115"/>
      <c r="U335" s="26"/>
      <c r="V335" s="13"/>
      <c r="AA335" s="117"/>
      <c r="AB335" s="123"/>
      <c r="AC335" s="123"/>
      <c r="AD335" s="123"/>
      <c r="AE335" s="115"/>
      <c r="AF335" s="115"/>
      <c r="AG335" s="115"/>
      <c r="AH335" s="115"/>
      <c r="AI335" s="115"/>
      <c r="AJ335" s="115"/>
      <c r="AK335" s="115"/>
      <c r="AL335" s="115"/>
      <c r="AM335" s="115"/>
      <c r="AN335" s="115"/>
      <c r="AO335" s="115"/>
      <c r="AP335" s="115"/>
      <c r="AQ335" s="115"/>
      <c r="AR335" s="115"/>
      <c r="AS335" s="25"/>
      <c r="AT335" s="13"/>
      <c r="AW335" s="114"/>
    </row>
    <row r="336" spans="1:49" ht="19.5" x14ac:dyDescent="0.4">
      <c r="A336" s="117"/>
      <c r="B336" s="123"/>
      <c r="C336" s="123"/>
      <c r="D336" s="123"/>
      <c r="M336" s="115"/>
      <c r="N336" s="115"/>
      <c r="O336" s="115"/>
      <c r="P336" s="115"/>
      <c r="Q336" s="115"/>
      <c r="R336" s="115"/>
      <c r="S336" s="115"/>
      <c r="T336" s="115"/>
      <c r="U336" s="17"/>
      <c r="V336" s="13"/>
      <c r="AA336" s="117"/>
      <c r="AB336" s="123"/>
      <c r="AC336" s="123"/>
      <c r="AD336" s="123"/>
      <c r="AE336" s="115"/>
      <c r="AF336" s="115"/>
      <c r="AG336" s="115"/>
      <c r="AH336" s="115"/>
      <c r="AI336" s="115"/>
      <c r="AJ336" s="115"/>
      <c r="AK336" s="115"/>
      <c r="AL336" s="115"/>
      <c r="AM336" s="115"/>
      <c r="AN336" s="115"/>
      <c r="AO336" s="115"/>
      <c r="AP336" s="115"/>
      <c r="AQ336" s="115"/>
      <c r="AR336" s="115"/>
      <c r="AS336" s="25"/>
      <c r="AT336" s="13"/>
      <c r="AW336" s="114"/>
    </row>
    <row r="337" spans="1:49" ht="19.5" x14ac:dyDescent="0.4">
      <c r="A337" s="117"/>
      <c r="B337" s="123"/>
      <c r="C337" s="123"/>
      <c r="D337" s="123"/>
      <c r="U337" s="26"/>
      <c r="V337" s="13"/>
      <c r="AA337" s="117"/>
      <c r="AB337" s="123"/>
      <c r="AC337" s="123"/>
      <c r="AD337" s="123"/>
      <c r="AE337" s="115"/>
      <c r="AF337" s="115"/>
      <c r="AG337" s="115"/>
      <c r="AH337" s="115"/>
      <c r="AI337" s="115"/>
      <c r="AJ337" s="115"/>
      <c r="AK337" s="115"/>
      <c r="AL337" s="115"/>
      <c r="AM337" s="115"/>
      <c r="AN337" s="115"/>
      <c r="AO337" s="115"/>
      <c r="AP337" s="115"/>
      <c r="AQ337" s="115"/>
      <c r="AR337" s="115" t="s">
        <v>165</v>
      </c>
      <c r="AS337" s="13">
        <f>SUBTOTAL(3,AS327:AS333)</f>
        <v>3</v>
      </c>
      <c r="AT337" s="13">
        <f>SUBTOTAL(3,AT327:AT333)</f>
        <v>3</v>
      </c>
      <c r="AW337" s="114"/>
    </row>
    <row r="338" spans="1:49" ht="19.5" x14ac:dyDescent="0.4">
      <c r="A338" s="117"/>
      <c r="B338" s="123"/>
      <c r="C338" s="123"/>
      <c r="D338" s="123"/>
      <c r="U338" s="26"/>
      <c r="V338" s="13"/>
      <c r="AA338" s="117"/>
      <c r="AB338" s="123"/>
      <c r="AC338" s="123"/>
      <c r="AD338" s="123"/>
      <c r="AE338" s="115"/>
      <c r="AF338" s="115"/>
      <c r="AG338" s="115"/>
      <c r="AH338" s="115"/>
      <c r="AI338" s="115"/>
      <c r="AJ338" s="115"/>
      <c r="AK338" s="115"/>
      <c r="AL338" s="115"/>
      <c r="AM338" s="115"/>
      <c r="AN338" s="115"/>
      <c r="AO338" s="115"/>
      <c r="AP338" s="115"/>
      <c r="AQ338" s="115"/>
      <c r="AR338" s="115"/>
      <c r="AS338" s="25">
        <v>45272</v>
      </c>
      <c r="AT338" s="13" t="s">
        <v>162</v>
      </c>
      <c r="AW338" s="114"/>
    </row>
    <row r="339" spans="1:49" ht="19.5" x14ac:dyDescent="0.4">
      <c r="A339" s="117"/>
      <c r="B339" s="123"/>
      <c r="C339" s="123"/>
      <c r="D339" s="123"/>
      <c r="P339" s="115"/>
      <c r="Q339" s="115"/>
      <c r="R339" s="115"/>
      <c r="S339" s="115"/>
      <c r="T339" s="115"/>
      <c r="U339" s="17"/>
      <c r="V339" s="13"/>
      <c r="AA339" s="117"/>
      <c r="AB339" s="123"/>
      <c r="AC339" s="123"/>
      <c r="AD339" s="123"/>
      <c r="AE339" s="115"/>
      <c r="AF339" s="115"/>
      <c r="AG339" s="115"/>
      <c r="AH339" s="115"/>
      <c r="AI339" s="115"/>
      <c r="AJ339" s="115"/>
      <c r="AK339" s="115"/>
      <c r="AL339" s="115"/>
      <c r="AM339" s="115"/>
      <c r="AN339" s="115"/>
      <c r="AO339" s="115"/>
      <c r="AP339" s="115"/>
      <c r="AQ339" s="115"/>
      <c r="AR339" s="115"/>
      <c r="AS339" s="25"/>
      <c r="AT339" s="13"/>
      <c r="AW339" s="114"/>
    </row>
    <row r="340" spans="1:49" ht="19.5" x14ac:dyDescent="0.4">
      <c r="A340" s="117"/>
      <c r="B340" s="123"/>
      <c r="C340" s="123"/>
      <c r="D340" s="123"/>
      <c r="U340" s="26"/>
      <c r="V340" s="15"/>
      <c r="AA340" s="117"/>
      <c r="AB340" s="123"/>
      <c r="AC340" s="123"/>
      <c r="AD340" s="123"/>
      <c r="AE340" s="115"/>
      <c r="AF340" s="115"/>
      <c r="AG340" s="115"/>
      <c r="AH340" s="115"/>
      <c r="AI340" s="115"/>
      <c r="AJ340" s="115"/>
      <c r="AK340" s="115"/>
      <c r="AL340" s="115"/>
      <c r="AM340" s="115"/>
      <c r="AN340" s="115"/>
      <c r="AO340" s="115"/>
      <c r="AP340" s="115"/>
      <c r="AQ340" s="115"/>
      <c r="AR340" s="115"/>
      <c r="AS340" s="25">
        <v>45272</v>
      </c>
      <c r="AT340" s="13" t="s">
        <v>162</v>
      </c>
      <c r="AW340" s="114"/>
    </row>
    <row r="341" spans="1:49" ht="19.5" x14ac:dyDescent="0.4">
      <c r="A341" s="117"/>
      <c r="B341" s="123"/>
      <c r="C341" s="123"/>
      <c r="D341" s="123"/>
      <c r="P341" s="115"/>
      <c r="Q341" s="115"/>
      <c r="R341" s="115"/>
      <c r="S341" s="115"/>
      <c r="T341" s="115"/>
      <c r="U341" s="17"/>
      <c r="V341" s="13"/>
      <c r="AA341" s="117"/>
      <c r="AB341" s="123"/>
      <c r="AC341" s="123"/>
      <c r="AD341" s="123"/>
      <c r="AE341" s="115"/>
      <c r="AF341" s="115"/>
      <c r="AG341" s="115"/>
      <c r="AH341" s="115"/>
      <c r="AI341" s="115"/>
      <c r="AJ341" s="115"/>
      <c r="AK341" s="115"/>
      <c r="AL341" s="115"/>
      <c r="AM341" s="115"/>
      <c r="AN341" s="115"/>
      <c r="AO341" s="115"/>
      <c r="AP341" s="115"/>
      <c r="AQ341" s="115"/>
      <c r="AR341" s="115"/>
      <c r="AS341" s="25"/>
      <c r="AT341" s="13"/>
      <c r="AW341" s="114"/>
    </row>
    <row r="342" spans="1:49" ht="19.5" x14ac:dyDescent="0.4">
      <c r="A342" s="117"/>
      <c r="B342" s="123"/>
      <c r="C342" s="123"/>
      <c r="D342" s="123"/>
      <c r="P342" s="115"/>
      <c r="Q342" s="115"/>
      <c r="R342" s="115"/>
      <c r="S342" s="115"/>
      <c r="T342" s="115"/>
      <c r="U342" s="17"/>
      <c r="V342" s="13"/>
      <c r="AA342" s="117"/>
      <c r="AB342" s="123"/>
      <c r="AC342" s="123"/>
      <c r="AD342" s="123"/>
      <c r="AE342" s="115"/>
      <c r="AF342" s="115"/>
      <c r="AG342" s="115"/>
      <c r="AH342" s="115"/>
      <c r="AI342" s="115"/>
      <c r="AJ342" s="115"/>
      <c r="AK342" s="115"/>
      <c r="AL342" s="115"/>
      <c r="AM342" s="115"/>
      <c r="AN342" s="115"/>
      <c r="AO342" s="115"/>
      <c r="AP342" s="115"/>
      <c r="AQ342" s="115"/>
      <c r="AR342" s="115"/>
      <c r="AS342" s="25"/>
      <c r="AT342" s="13"/>
      <c r="AW342" s="114"/>
    </row>
    <row r="343" spans="1:49" ht="19.5" x14ac:dyDescent="0.4">
      <c r="A343" s="117"/>
      <c r="B343" s="123"/>
      <c r="C343" s="123"/>
      <c r="D343" s="123"/>
      <c r="U343" s="26"/>
      <c r="V343" s="13"/>
      <c r="AA343" s="117"/>
      <c r="AB343" s="123"/>
      <c r="AC343" s="123"/>
      <c r="AD343" s="123"/>
      <c r="AE343" s="115"/>
      <c r="AF343" s="115"/>
      <c r="AG343" s="115"/>
      <c r="AH343" s="115"/>
      <c r="AI343" s="115"/>
      <c r="AJ343" s="115"/>
      <c r="AK343" s="115"/>
      <c r="AL343" s="115"/>
      <c r="AM343" s="115"/>
      <c r="AN343" s="115"/>
      <c r="AO343" s="115"/>
      <c r="AP343" s="115"/>
      <c r="AQ343" s="115"/>
      <c r="AR343" s="115"/>
      <c r="AS343" s="25">
        <v>45272</v>
      </c>
      <c r="AT343" s="13" t="s">
        <v>162</v>
      </c>
      <c r="AW343" s="114"/>
    </row>
    <row r="344" spans="1:49" ht="19.5" x14ac:dyDescent="0.4">
      <c r="A344" s="125"/>
      <c r="B344" s="126"/>
      <c r="C344" s="126"/>
      <c r="D344" s="126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26"/>
      <c r="V344" s="13"/>
      <c r="AA344" s="117"/>
      <c r="AB344" s="123"/>
      <c r="AC344" s="123"/>
      <c r="AD344" s="123"/>
      <c r="AE344" s="115"/>
      <c r="AF344" s="115"/>
      <c r="AG344" s="115"/>
      <c r="AH344" s="115"/>
      <c r="AI344" s="115"/>
      <c r="AJ344" s="115"/>
      <c r="AK344" s="115"/>
      <c r="AL344" s="115"/>
      <c r="AM344" s="115"/>
      <c r="AN344" s="115"/>
      <c r="AO344" s="115"/>
      <c r="AP344" s="115"/>
      <c r="AQ344" s="115"/>
      <c r="AR344" s="115"/>
      <c r="AS344" s="25"/>
      <c r="AT344" s="13"/>
      <c r="AW344" s="114"/>
    </row>
    <row r="345" spans="1:49" ht="19.5" x14ac:dyDescent="0.4">
      <c r="A345" s="125"/>
      <c r="B345" s="126"/>
      <c r="C345" s="126"/>
      <c r="D345" s="126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26"/>
      <c r="V345" s="13"/>
      <c r="AA345" s="117"/>
      <c r="AB345" s="123"/>
      <c r="AC345" s="123"/>
      <c r="AD345" s="123"/>
      <c r="AE345" s="115"/>
      <c r="AF345" s="115"/>
      <c r="AG345" s="115"/>
      <c r="AH345" s="115"/>
      <c r="AI345" s="115"/>
      <c r="AJ345" s="115"/>
      <c r="AK345" s="115"/>
      <c r="AL345" s="115"/>
      <c r="AM345" s="115"/>
      <c r="AN345" s="115"/>
      <c r="AO345" s="115"/>
      <c r="AP345" s="115"/>
      <c r="AQ345" s="115"/>
      <c r="AR345" s="115"/>
      <c r="AS345" s="25"/>
      <c r="AT345" s="13"/>
      <c r="AW345" s="114"/>
    </row>
    <row r="346" spans="1:49" ht="19.5" x14ac:dyDescent="0.4">
      <c r="A346" s="125"/>
      <c r="B346" s="126"/>
      <c r="C346" s="126"/>
      <c r="D346" s="126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7"/>
      <c r="V346" s="13"/>
      <c r="AA346" s="117"/>
      <c r="AB346" s="123"/>
      <c r="AC346" s="123"/>
      <c r="AD346" s="123"/>
      <c r="AE346" s="115"/>
      <c r="AF346" s="115"/>
      <c r="AG346" s="115"/>
      <c r="AH346" s="115"/>
      <c r="AI346" s="115"/>
      <c r="AJ346" s="115"/>
      <c r="AK346" s="115"/>
      <c r="AL346" s="115"/>
      <c r="AM346" s="115"/>
      <c r="AN346" s="115"/>
      <c r="AO346" s="115"/>
      <c r="AP346" s="115"/>
      <c r="AQ346" s="115"/>
      <c r="AR346" s="115"/>
      <c r="AS346" s="25"/>
      <c r="AT346" s="13"/>
      <c r="AW346" s="114"/>
    </row>
    <row r="347" spans="1:49" ht="19.5" x14ac:dyDescent="0.4">
      <c r="A347" s="125"/>
      <c r="B347" s="126"/>
      <c r="C347" s="126"/>
      <c r="D347" s="126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26"/>
      <c r="V347" s="13"/>
      <c r="AA347" s="117"/>
      <c r="AB347" s="123"/>
      <c r="AC347" s="123"/>
      <c r="AD347" s="123"/>
      <c r="AE347" s="115"/>
      <c r="AF347" s="115"/>
      <c r="AG347" s="115"/>
      <c r="AH347" s="115"/>
      <c r="AI347" s="115"/>
      <c r="AJ347" s="115"/>
      <c r="AK347" s="115"/>
      <c r="AL347" s="115"/>
      <c r="AM347" s="115"/>
      <c r="AN347" s="115"/>
      <c r="AO347" s="115"/>
      <c r="AP347" s="115"/>
      <c r="AQ347" s="115"/>
      <c r="AR347" s="115"/>
      <c r="AS347" s="25"/>
      <c r="AT347" s="13"/>
      <c r="AW347" s="114"/>
    </row>
    <row r="348" spans="1:49" ht="19.5" x14ac:dyDescent="0.4">
      <c r="U348" s="26"/>
      <c r="V348" s="13"/>
      <c r="AA348" s="117"/>
      <c r="AB348" s="123"/>
      <c r="AC348" s="123"/>
      <c r="AD348" s="123"/>
      <c r="AE348" s="115"/>
      <c r="AF348" s="115"/>
      <c r="AG348" s="115"/>
      <c r="AH348" s="115"/>
      <c r="AI348" s="115"/>
      <c r="AJ348" s="115"/>
      <c r="AK348" s="115"/>
      <c r="AL348" s="115"/>
      <c r="AM348" s="115"/>
      <c r="AN348" s="115"/>
      <c r="AO348" s="115"/>
      <c r="AP348" s="115"/>
      <c r="AQ348" s="115"/>
      <c r="AR348" s="115"/>
      <c r="AS348" s="25">
        <v>45272</v>
      </c>
      <c r="AT348" s="13" t="s">
        <v>162</v>
      </c>
      <c r="AW348" s="114"/>
    </row>
    <row r="349" spans="1:49" ht="19.5" x14ac:dyDescent="0.4">
      <c r="U349" s="26"/>
      <c r="V349" s="13"/>
      <c r="AA349" s="117"/>
      <c r="AB349" s="123"/>
      <c r="AC349" s="123"/>
      <c r="AD349" s="123"/>
      <c r="AE349" s="115"/>
      <c r="AF349" s="115"/>
      <c r="AG349" s="115"/>
      <c r="AH349" s="115"/>
      <c r="AI349" s="115"/>
      <c r="AJ349" s="115"/>
      <c r="AK349" s="115"/>
      <c r="AL349" s="115"/>
      <c r="AM349" s="115"/>
      <c r="AN349" s="115"/>
      <c r="AO349" s="115"/>
      <c r="AP349" s="115"/>
      <c r="AQ349" s="115"/>
      <c r="AR349" s="115"/>
      <c r="AS349" s="25"/>
      <c r="AT349" s="13"/>
      <c r="AW349" s="114"/>
    </row>
    <row r="350" spans="1:49" ht="19.5" x14ac:dyDescent="0.4"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26"/>
      <c r="V350" s="25"/>
      <c r="AA350" s="117"/>
      <c r="AB350" s="123"/>
      <c r="AC350" s="123"/>
      <c r="AD350" s="123"/>
      <c r="AE350" s="115"/>
      <c r="AF350" s="115"/>
      <c r="AG350" s="115"/>
      <c r="AH350" s="115"/>
      <c r="AI350" s="115"/>
      <c r="AJ350" s="115"/>
      <c r="AK350" s="115"/>
      <c r="AL350" s="115"/>
      <c r="AM350" s="115"/>
      <c r="AN350" s="115"/>
      <c r="AO350" s="115"/>
      <c r="AP350" s="115"/>
      <c r="AQ350" s="115"/>
      <c r="AR350" s="115"/>
      <c r="AS350" s="25"/>
      <c r="AT350" s="13"/>
      <c r="AW350" s="114"/>
    </row>
    <row r="351" spans="1:49" ht="19.5" x14ac:dyDescent="0.4">
      <c r="U351" s="26"/>
      <c r="V351" s="25"/>
      <c r="AA351" s="117"/>
      <c r="AB351" s="123"/>
      <c r="AC351" s="123"/>
      <c r="AD351" s="123"/>
      <c r="AE351" s="115"/>
      <c r="AF351" s="115"/>
      <c r="AG351" s="115"/>
      <c r="AH351" s="115"/>
      <c r="AI351" s="115"/>
      <c r="AJ351" s="115"/>
      <c r="AK351" s="115"/>
      <c r="AL351" s="115"/>
      <c r="AM351" s="115"/>
      <c r="AN351" s="115"/>
      <c r="AO351" s="115"/>
      <c r="AP351" s="115"/>
      <c r="AQ351" s="115"/>
      <c r="AR351" s="115"/>
      <c r="AS351" s="25">
        <v>45272</v>
      </c>
      <c r="AT351" s="13" t="s">
        <v>162</v>
      </c>
      <c r="AW351" s="114"/>
    </row>
    <row r="352" spans="1:49" ht="19.5" x14ac:dyDescent="0.4">
      <c r="U352" s="26"/>
      <c r="V352" s="13"/>
      <c r="AA352" s="117"/>
      <c r="AB352" s="123"/>
      <c r="AC352" s="123"/>
      <c r="AD352" s="123"/>
      <c r="AE352" s="115"/>
      <c r="AF352" s="115"/>
      <c r="AG352" s="115"/>
      <c r="AH352" s="115"/>
      <c r="AI352" s="115"/>
      <c r="AJ352" s="115"/>
      <c r="AK352" s="115"/>
      <c r="AL352" s="115"/>
      <c r="AM352" s="115"/>
      <c r="AN352" s="115"/>
      <c r="AO352" s="115"/>
      <c r="AP352" s="115"/>
      <c r="AQ352" s="115"/>
      <c r="AR352" s="115"/>
      <c r="AS352" s="25">
        <v>45272</v>
      </c>
      <c r="AT352" s="15" t="s">
        <v>162</v>
      </c>
      <c r="AW352" s="114"/>
    </row>
    <row r="353" spans="6:49" ht="19.5" x14ac:dyDescent="0.4">
      <c r="U353" s="26"/>
      <c r="V353" s="13"/>
      <c r="AA353" s="117"/>
      <c r="AB353" s="123"/>
      <c r="AC353" s="123"/>
      <c r="AD353" s="123"/>
      <c r="AE353" s="115"/>
      <c r="AF353" s="115"/>
      <c r="AG353" s="115"/>
      <c r="AH353" s="115"/>
      <c r="AI353" s="115"/>
      <c r="AJ353" s="115"/>
      <c r="AK353" s="115"/>
      <c r="AL353" s="115"/>
      <c r="AM353" s="115"/>
      <c r="AN353" s="115"/>
      <c r="AO353" s="115"/>
      <c r="AP353" s="115"/>
      <c r="AQ353" s="115"/>
      <c r="AR353" s="115"/>
      <c r="AS353" s="25">
        <v>45272</v>
      </c>
      <c r="AT353" s="15" t="s">
        <v>162</v>
      </c>
      <c r="AW353" s="114"/>
    </row>
    <row r="354" spans="6:49" ht="19.5" x14ac:dyDescent="0.4"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26"/>
      <c r="V354" s="13"/>
      <c r="AA354" s="117"/>
      <c r="AB354" s="123"/>
      <c r="AC354" s="123"/>
      <c r="AD354" s="123"/>
      <c r="AE354" s="115"/>
      <c r="AF354" s="115"/>
      <c r="AG354" s="115"/>
      <c r="AH354" s="115"/>
      <c r="AI354" s="115"/>
      <c r="AJ354" s="115"/>
      <c r="AK354" s="115"/>
      <c r="AL354" s="115"/>
      <c r="AM354" s="115"/>
      <c r="AN354" s="115"/>
      <c r="AO354" s="115"/>
      <c r="AP354" s="115"/>
      <c r="AQ354" s="115"/>
      <c r="AR354" s="115"/>
      <c r="AS354" s="25"/>
      <c r="AT354" s="15"/>
      <c r="AW354" s="114"/>
    </row>
    <row r="355" spans="6:49" ht="19.5" x14ac:dyDescent="0.4"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7"/>
      <c r="V355" s="13"/>
      <c r="AA355" s="117"/>
      <c r="AB355" s="123"/>
      <c r="AC355" s="123"/>
      <c r="AD355" s="123"/>
      <c r="AE355" s="115"/>
      <c r="AF355" s="115"/>
      <c r="AG355" s="115"/>
      <c r="AH355" s="115"/>
      <c r="AI355" s="115"/>
      <c r="AJ355" s="115"/>
      <c r="AK355" s="115"/>
      <c r="AL355" s="115"/>
      <c r="AM355" s="115"/>
      <c r="AN355" s="115"/>
      <c r="AO355" s="115"/>
      <c r="AP355" s="115"/>
      <c r="AQ355" s="115"/>
      <c r="AR355" s="115"/>
      <c r="AS355" s="25"/>
      <c r="AT355" s="15"/>
      <c r="AW355" s="114"/>
    </row>
    <row r="356" spans="6:49" ht="19.5" x14ac:dyDescent="0.4">
      <c r="U356" s="26"/>
      <c r="V356" s="13"/>
      <c r="AA356" s="117"/>
      <c r="AB356" s="123"/>
      <c r="AC356" s="123"/>
      <c r="AD356" s="123"/>
      <c r="AE356" s="115"/>
      <c r="AF356" s="115"/>
      <c r="AG356" s="115"/>
      <c r="AH356" s="115"/>
      <c r="AI356" s="115"/>
      <c r="AJ356" s="115"/>
      <c r="AK356" s="115"/>
      <c r="AL356" s="115"/>
      <c r="AM356" s="115"/>
      <c r="AN356" s="115"/>
      <c r="AO356" s="115"/>
      <c r="AP356" s="115"/>
      <c r="AQ356" s="115"/>
      <c r="AR356" s="115"/>
      <c r="AS356" s="25">
        <v>45272</v>
      </c>
      <c r="AT356" s="15" t="s">
        <v>162</v>
      </c>
      <c r="AW356" s="114"/>
    </row>
    <row r="357" spans="6:49" ht="19.5" x14ac:dyDescent="0.4"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26"/>
      <c r="V357" s="13"/>
      <c r="AA357" s="117"/>
      <c r="AB357" s="123"/>
      <c r="AC357" s="123"/>
      <c r="AD357" s="123"/>
      <c r="AE357" s="115"/>
      <c r="AF357" s="115"/>
      <c r="AG357" s="115"/>
      <c r="AH357" s="115"/>
      <c r="AI357" s="115"/>
      <c r="AJ357" s="115"/>
      <c r="AK357" s="115"/>
      <c r="AL357" s="115"/>
      <c r="AM357" s="115"/>
      <c r="AN357" s="115"/>
      <c r="AO357" s="115"/>
      <c r="AP357" s="115"/>
      <c r="AQ357" s="115"/>
      <c r="AR357" s="115"/>
      <c r="AS357" s="25"/>
      <c r="AT357" s="15"/>
      <c r="AW357" s="114"/>
    </row>
    <row r="358" spans="6:49" ht="19.5" x14ac:dyDescent="0.4"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26"/>
      <c r="V358" s="13"/>
      <c r="AA358" s="117"/>
      <c r="AB358" s="123"/>
      <c r="AC358" s="123"/>
      <c r="AD358" s="123"/>
      <c r="AE358" s="115"/>
      <c r="AF358" s="115"/>
      <c r="AG358" s="115"/>
      <c r="AH358" s="115"/>
      <c r="AI358" s="115"/>
      <c r="AJ358" s="115"/>
      <c r="AK358" s="115"/>
      <c r="AL358" s="115"/>
      <c r="AM358" s="115"/>
      <c r="AN358" s="115"/>
      <c r="AO358" s="115"/>
      <c r="AP358" s="115"/>
      <c r="AQ358" s="115"/>
      <c r="AR358" s="115"/>
      <c r="AS358" s="25"/>
      <c r="AT358" s="15"/>
      <c r="AW358" s="114"/>
    </row>
    <row r="359" spans="6:49" ht="19.5" x14ac:dyDescent="0.4"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7"/>
      <c r="V359" s="13"/>
      <c r="AA359" s="117"/>
      <c r="AB359" s="123"/>
      <c r="AC359" s="123"/>
      <c r="AD359" s="123"/>
      <c r="AE359" s="115"/>
      <c r="AF359" s="115"/>
      <c r="AG359" s="115"/>
      <c r="AH359" s="115"/>
      <c r="AI359" s="115"/>
      <c r="AJ359" s="115"/>
      <c r="AK359" s="115"/>
      <c r="AL359" s="115"/>
      <c r="AM359" s="115"/>
      <c r="AN359" s="115"/>
      <c r="AO359" s="115"/>
      <c r="AP359" s="115"/>
      <c r="AQ359" s="115"/>
      <c r="AR359" s="115"/>
      <c r="AS359" s="25"/>
      <c r="AT359" s="15"/>
      <c r="AW359" s="114"/>
    </row>
    <row r="360" spans="6:49" ht="19.5" x14ac:dyDescent="0.4"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26"/>
      <c r="V360" s="13"/>
      <c r="AA360" s="117"/>
      <c r="AB360" s="123"/>
      <c r="AC360" s="123"/>
      <c r="AD360" s="123"/>
      <c r="AE360" s="115"/>
      <c r="AF360" s="115"/>
      <c r="AG360" s="115"/>
      <c r="AH360" s="115"/>
      <c r="AI360" s="115"/>
      <c r="AJ360" s="115"/>
      <c r="AK360" s="115"/>
      <c r="AL360" s="115"/>
      <c r="AM360" s="115"/>
      <c r="AN360" s="115"/>
      <c r="AO360" s="115"/>
      <c r="AP360" s="115"/>
      <c r="AQ360" s="115"/>
      <c r="AR360" s="115"/>
      <c r="AS360" s="25"/>
      <c r="AT360" s="15"/>
      <c r="AW360" s="114"/>
    </row>
    <row r="361" spans="6:49" ht="19.5" x14ac:dyDescent="0.4"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7"/>
      <c r="V361" s="13"/>
      <c r="AA361" s="117"/>
      <c r="AB361" s="123"/>
      <c r="AC361" s="123"/>
      <c r="AD361" s="123"/>
      <c r="AE361" s="115"/>
      <c r="AF361" s="115"/>
      <c r="AG361" s="115"/>
      <c r="AH361" s="115"/>
      <c r="AI361" s="115"/>
      <c r="AJ361" s="115"/>
      <c r="AK361" s="115"/>
      <c r="AL361" s="115"/>
      <c r="AM361" s="115"/>
      <c r="AN361" s="115"/>
      <c r="AO361" s="115"/>
      <c r="AP361" s="115"/>
      <c r="AQ361" s="115"/>
      <c r="AR361" s="115"/>
      <c r="AS361" s="25"/>
      <c r="AT361" s="15"/>
      <c r="AW361" s="114"/>
    </row>
    <row r="362" spans="6:49" ht="19.5" x14ac:dyDescent="0.4"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26"/>
      <c r="V362" s="13"/>
      <c r="AA362" s="117"/>
      <c r="AB362" s="123"/>
      <c r="AC362" s="123"/>
      <c r="AD362" s="123"/>
      <c r="AE362" s="115"/>
      <c r="AF362" s="115"/>
      <c r="AG362" s="115"/>
      <c r="AH362" s="115"/>
      <c r="AI362" s="115"/>
      <c r="AJ362" s="115"/>
      <c r="AK362" s="115"/>
      <c r="AL362" s="115"/>
      <c r="AM362" s="115"/>
      <c r="AN362" s="115"/>
      <c r="AO362" s="115"/>
      <c r="AP362" s="115"/>
      <c r="AQ362" s="115"/>
      <c r="AR362" s="115"/>
      <c r="AS362" s="25"/>
      <c r="AT362" s="15"/>
      <c r="AW362" s="114"/>
    </row>
    <row r="363" spans="6:49" ht="19.5" x14ac:dyDescent="0.4">
      <c r="U363" s="26"/>
      <c r="V363" s="13"/>
      <c r="AA363" s="117"/>
      <c r="AB363" s="123"/>
      <c r="AC363" s="123"/>
      <c r="AD363" s="123"/>
      <c r="AE363" s="115"/>
      <c r="AF363" s="115"/>
      <c r="AG363" s="115"/>
      <c r="AH363" s="115"/>
      <c r="AI363" s="115"/>
      <c r="AJ363" s="115"/>
      <c r="AK363" s="115"/>
      <c r="AL363" s="115"/>
      <c r="AM363" s="115"/>
      <c r="AN363" s="115"/>
      <c r="AO363" s="115"/>
      <c r="AP363" s="115"/>
      <c r="AQ363" s="115"/>
      <c r="AR363" s="115"/>
      <c r="AS363" s="25">
        <v>45272</v>
      </c>
      <c r="AT363" s="15" t="s">
        <v>162</v>
      </c>
      <c r="AW363" s="114"/>
    </row>
    <row r="364" spans="6:49" ht="19.5" x14ac:dyDescent="0.4">
      <c r="N364" s="115"/>
      <c r="O364" s="115"/>
      <c r="P364" s="115"/>
      <c r="Q364" s="115"/>
      <c r="R364" s="115"/>
      <c r="S364" s="115"/>
      <c r="T364" s="115"/>
      <c r="U364" s="26"/>
      <c r="V364" s="13"/>
      <c r="AA364" s="117"/>
      <c r="AB364" s="123"/>
      <c r="AC364" s="123"/>
      <c r="AD364" s="123"/>
      <c r="AE364" s="115"/>
      <c r="AF364" s="115"/>
      <c r="AG364" s="115"/>
      <c r="AH364" s="115"/>
      <c r="AI364" s="115"/>
      <c r="AJ364" s="115"/>
      <c r="AK364" s="115"/>
      <c r="AL364" s="115"/>
      <c r="AM364" s="115"/>
      <c r="AN364" s="115"/>
      <c r="AO364" s="115"/>
      <c r="AP364" s="115"/>
      <c r="AQ364" s="115"/>
      <c r="AR364" s="115"/>
      <c r="AS364" s="25"/>
      <c r="AT364" s="15"/>
      <c r="AW364" s="114"/>
    </row>
    <row r="365" spans="6:49" ht="19.5" x14ac:dyDescent="0.4">
      <c r="N365" s="115"/>
      <c r="O365" s="115"/>
      <c r="P365" s="115"/>
      <c r="Q365" s="115"/>
      <c r="R365" s="115"/>
      <c r="S365" s="115"/>
      <c r="T365" s="115"/>
      <c r="U365" s="17"/>
      <c r="V365" s="13"/>
      <c r="AA365" s="117"/>
      <c r="AB365" s="123"/>
      <c r="AC365" s="123"/>
      <c r="AD365" s="123"/>
      <c r="AE365" s="115"/>
      <c r="AF365" s="115"/>
      <c r="AG365" s="115"/>
      <c r="AH365" s="115"/>
      <c r="AI365" s="115"/>
      <c r="AJ365" s="115"/>
      <c r="AK365" s="115"/>
      <c r="AL365" s="115"/>
      <c r="AM365" s="115"/>
      <c r="AN365" s="115"/>
      <c r="AO365" s="115"/>
      <c r="AP365" s="115"/>
      <c r="AQ365" s="115"/>
      <c r="AR365" s="115"/>
      <c r="AS365" s="25"/>
      <c r="AT365" s="15"/>
      <c r="AW365" s="114"/>
    </row>
    <row r="366" spans="6:49" ht="19.5" x14ac:dyDescent="0.4"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26"/>
      <c r="V366" s="13"/>
      <c r="AA366" s="117"/>
      <c r="AB366" s="123"/>
      <c r="AC366" s="123"/>
      <c r="AD366" s="123"/>
      <c r="AE366" s="115"/>
      <c r="AF366" s="115"/>
      <c r="AG366" s="115"/>
      <c r="AH366" s="115"/>
      <c r="AI366" s="115"/>
      <c r="AJ366" s="115"/>
      <c r="AK366" s="115"/>
      <c r="AL366" s="115"/>
      <c r="AM366" s="115"/>
      <c r="AN366" s="115"/>
      <c r="AO366" s="115"/>
      <c r="AP366" s="115"/>
      <c r="AQ366" s="115"/>
      <c r="AR366" s="115"/>
      <c r="AS366" s="25"/>
      <c r="AT366" s="15"/>
      <c r="AW366" s="114"/>
    </row>
    <row r="367" spans="6:49" ht="19.5" x14ac:dyDescent="0.4"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7"/>
      <c r="V367" s="13"/>
      <c r="AA367" s="117"/>
      <c r="AB367" s="123"/>
      <c r="AC367" s="123"/>
      <c r="AD367" s="123"/>
      <c r="AE367" s="115"/>
      <c r="AF367" s="115"/>
      <c r="AG367" s="115"/>
      <c r="AH367" s="115"/>
      <c r="AI367" s="115"/>
      <c r="AJ367" s="115"/>
      <c r="AK367" s="115"/>
      <c r="AL367" s="115"/>
      <c r="AM367" s="115"/>
      <c r="AN367" s="115"/>
      <c r="AO367" s="115"/>
      <c r="AP367" s="115"/>
      <c r="AQ367" s="115"/>
      <c r="AR367" s="115"/>
      <c r="AS367" s="25"/>
      <c r="AT367" s="15"/>
      <c r="AW367" s="114"/>
    </row>
    <row r="368" spans="6:49" ht="19.5" x14ac:dyDescent="0.4"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26"/>
      <c r="V368" s="25"/>
      <c r="AA368" s="117"/>
      <c r="AB368" s="123"/>
      <c r="AC368" s="123"/>
      <c r="AD368" s="123"/>
      <c r="AE368" s="115"/>
      <c r="AF368" s="115"/>
      <c r="AG368" s="115"/>
      <c r="AH368" s="115"/>
      <c r="AI368" s="115"/>
      <c r="AJ368" s="115"/>
      <c r="AK368" s="115"/>
      <c r="AL368" s="115"/>
      <c r="AM368" s="115"/>
      <c r="AN368" s="115"/>
      <c r="AO368" s="115"/>
      <c r="AP368" s="115"/>
      <c r="AQ368" s="115"/>
      <c r="AR368" s="115"/>
      <c r="AS368" s="25"/>
      <c r="AT368" s="15"/>
      <c r="AW368" s="114"/>
    </row>
    <row r="369" spans="6:49" ht="19.5" x14ac:dyDescent="0.4"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7"/>
      <c r="V369" s="13"/>
      <c r="AA369" s="117"/>
      <c r="AB369" s="123"/>
      <c r="AC369" s="123"/>
      <c r="AD369" s="123"/>
      <c r="AE369" s="115"/>
      <c r="AF369" s="115"/>
      <c r="AG369" s="115"/>
      <c r="AH369" s="115"/>
      <c r="AI369" s="115"/>
      <c r="AJ369" s="115"/>
      <c r="AK369" s="115"/>
      <c r="AL369" s="115"/>
      <c r="AM369" s="115"/>
      <c r="AN369" s="115"/>
      <c r="AO369" s="115"/>
      <c r="AP369" s="115"/>
      <c r="AQ369" s="115"/>
      <c r="AR369" s="115"/>
      <c r="AS369" s="25"/>
      <c r="AT369" s="15"/>
      <c r="AW369" s="114"/>
    </row>
    <row r="370" spans="6:49" ht="19.5" x14ac:dyDescent="0.4"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26"/>
      <c r="V370" s="13"/>
      <c r="AA370" s="117"/>
      <c r="AB370" s="123"/>
      <c r="AC370" s="123"/>
      <c r="AD370" s="123"/>
      <c r="AE370" s="115"/>
      <c r="AF370" s="115"/>
      <c r="AG370" s="115"/>
      <c r="AH370" s="115"/>
      <c r="AI370" s="115"/>
      <c r="AJ370" s="115"/>
      <c r="AK370" s="115"/>
      <c r="AL370" s="115"/>
      <c r="AM370" s="115"/>
      <c r="AN370" s="115"/>
      <c r="AO370" s="115"/>
      <c r="AP370" s="115"/>
      <c r="AQ370" s="115"/>
      <c r="AR370" s="115"/>
      <c r="AS370" s="25"/>
      <c r="AT370" s="15"/>
      <c r="AW370" s="114"/>
    </row>
    <row r="371" spans="6:49" ht="19.5" x14ac:dyDescent="0.4">
      <c r="U371" s="26"/>
      <c r="V371" s="13"/>
      <c r="AA371" s="117"/>
      <c r="AB371" s="123"/>
      <c r="AC371" s="123"/>
      <c r="AD371" s="123"/>
      <c r="AE371" s="115"/>
      <c r="AF371" s="115"/>
      <c r="AG371" s="115"/>
      <c r="AH371" s="115"/>
      <c r="AI371" s="115"/>
      <c r="AJ371" s="115"/>
      <c r="AK371" s="115"/>
      <c r="AL371" s="115"/>
      <c r="AM371" s="115"/>
      <c r="AN371" s="115"/>
      <c r="AO371" s="115"/>
      <c r="AP371" s="115"/>
      <c r="AQ371" s="115"/>
      <c r="AR371" s="115"/>
      <c r="AS371" s="25">
        <v>45272</v>
      </c>
      <c r="AT371" s="15" t="s">
        <v>162</v>
      </c>
      <c r="AW371" s="114"/>
    </row>
    <row r="372" spans="6:49" ht="19.5" x14ac:dyDescent="0.4">
      <c r="O372" s="115"/>
      <c r="P372" s="115"/>
      <c r="Q372" s="115"/>
      <c r="R372" s="115"/>
      <c r="S372" s="115"/>
      <c r="T372" s="115"/>
      <c r="U372" s="17"/>
      <c r="V372" s="13"/>
      <c r="AA372" s="117"/>
      <c r="AB372" s="123"/>
      <c r="AC372" s="123"/>
      <c r="AD372" s="123"/>
      <c r="AE372" s="115"/>
      <c r="AF372" s="115"/>
      <c r="AG372" s="115"/>
      <c r="AH372" s="115"/>
      <c r="AI372" s="115"/>
      <c r="AJ372" s="115"/>
      <c r="AK372" s="115"/>
      <c r="AL372" s="115"/>
      <c r="AM372" s="115"/>
      <c r="AN372" s="115"/>
      <c r="AO372" s="115"/>
      <c r="AP372" s="115"/>
      <c r="AQ372" s="115"/>
      <c r="AR372" s="115"/>
      <c r="AS372" s="25"/>
      <c r="AT372" s="15"/>
      <c r="AW372" s="114"/>
    </row>
    <row r="373" spans="6:49" ht="19.5" x14ac:dyDescent="0.4">
      <c r="N373" s="115"/>
      <c r="O373" s="115"/>
      <c r="P373" s="115"/>
      <c r="Q373" s="115"/>
      <c r="R373" s="115"/>
      <c r="S373" s="115"/>
      <c r="T373" s="115"/>
      <c r="U373" s="26"/>
      <c r="V373" s="13"/>
      <c r="AA373" s="117"/>
      <c r="AB373" s="123"/>
      <c r="AC373" s="123"/>
      <c r="AD373" s="123"/>
      <c r="AE373" s="115"/>
      <c r="AF373" s="115"/>
      <c r="AG373" s="115"/>
      <c r="AH373" s="115"/>
      <c r="AI373" s="115"/>
      <c r="AJ373" s="115"/>
      <c r="AK373" s="115"/>
      <c r="AL373" s="115"/>
      <c r="AM373" s="115"/>
      <c r="AN373" s="115"/>
      <c r="AO373" s="115"/>
      <c r="AP373" s="115"/>
      <c r="AQ373" s="115"/>
      <c r="AR373" s="115"/>
      <c r="AS373" s="25"/>
      <c r="AT373" s="15"/>
      <c r="AW373" s="114"/>
    </row>
    <row r="374" spans="6:49" ht="19.5" x14ac:dyDescent="0.4">
      <c r="N374" s="115"/>
      <c r="O374" s="115"/>
      <c r="P374" s="115"/>
      <c r="Q374" s="115"/>
      <c r="R374" s="115"/>
      <c r="S374" s="115"/>
      <c r="T374" s="115"/>
      <c r="U374" s="17"/>
      <c r="V374" s="13"/>
      <c r="AA374" s="117"/>
      <c r="AB374" s="123"/>
      <c r="AC374" s="123"/>
      <c r="AD374" s="123"/>
      <c r="AE374" s="115"/>
      <c r="AF374" s="115"/>
      <c r="AG374" s="115"/>
      <c r="AH374" s="115"/>
      <c r="AI374" s="115"/>
      <c r="AJ374" s="115"/>
      <c r="AK374" s="115"/>
      <c r="AL374" s="115"/>
      <c r="AM374" s="115"/>
      <c r="AN374" s="115"/>
      <c r="AO374" s="115"/>
      <c r="AP374" s="115"/>
      <c r="AQ374" s="115"/>
      <c r="AR374" s="115"/>
      <c r="AS374" s="25"/>
      <c r="AT374" s="15"/>
      <c r="AW374" s="114"/>
    </row>
    <row r="375" spans="6:49" ht="19.5" x14ac:dyDescent="0.4">
      <c r="N375" s="115"/>
      <c r="O375" s="115"/>
      <c r="P375" s="115"/>
      <c r="Q375" s="115"/>
      <c r="R375" s="115"/>
      <c r="S375" s="115"/>
      <c r="T375" s="115"/>
      <c r="U375" s="17"/>
      <c r="V375" s="13"/>
      <c r="AA375" s="117"/>
      <c r="AB375" s="123"/>
      <c r="AC375" s="123"/>
      <c r="AD375" s="123"/>
      <c r="AE375" s="115"/>
      <c r="AF375" s="115"/>
      <c r="AG375" s="115"/>
      <c r="AH375" s="115"/>
      <c r="AI375" s="115"/>
      <c r="AJ375" s="115"/>
      <c r="AK375" s="115"/>
      <c r="AL375" s="115"/>
      <c r="AM375" s="115"/>
      <c r="AN375" s="115"/>
      <c r="AO375" s="115"/>
      <c r="AP375" s="115"/>
      <c r="AQ375" s="115"/>
      <c r="AR375" s="115"/>
      <c r="AS375" s="25"/>
      <c r="AT375" s="15"/>
      <c r="AW375" s="114"/>
    </row>
    <row r="376" spans="6:49" ht="19.5" x14ac:dyDescent="0.4"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26"/>
      <c r="V376" s="13"/>
      <c r="AA376" s="117"/>
      <c r="AB376" s="123"/>
      <c r="AC376" s="123"/>
      <c r="AD376" s="123"/>
      <c r="AE376" s="115"/>
      <c r="AF376" s="115"/>
      <c r="AG376" s="115"/>
      <c r="AH376" s="115"/>
      <c r="AI376" s="115"/>
      <c r="AJ376" s="115"/>
      <c r="AK376" s="115"/>
      <c r="AL376" s="115"/>
      <c r="AM376" s="115"/>
      <c r="AN376" s="115"/>
      <c r="AO376" s="115"/>
      <c r="AP376" s="115"/>
      <c r="AQ376" s="115"/>
      <c r="AR376" s="115"/>
      <c r="AS376" s="25"/>
      <c r="AT376" s="15"/>
      <c r="AW376" s="114"/>
    </row>
    <row r="377" spans="6:49" ht="19.5" x14ac:dyDescent="0.4"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20"/>
      <c r="V377" s="13"/>
      <c r="AA377" s="117"/>
      <c r="AB377" s="123"/>
      <c r="AC377" s="123"/>
      <c r="AD377" s="123"/>
      <c r="AE377" s="115"/>
      <c r="AF377" s="115"/>
      <c r="AG377" s="115"/>
      <c r="AH377" s="115"/>
      <c r="AI377" s="115"/>
      <c r="AJ377" s="115"/>
      <c r="AK377" s="115"/>
      <c r="AL377" s="115"/>
      <c r="AM377" s="115"/>
      <c r="AN377" s="115"/>
      <c r="AO377" s="115"/>
      <c r="AP377" s="115"/>
      <c r="AQ377" s="115"/>
      <c r="AR377" s="115"/>
      <c r="AS377" s="25"/>
      <c r="AT377" s="15"/>
      <c r="AW377" s="114"/>
    </row>
    <row r="378" spans="6:49" ht="19.5" x14ac:dyDescent="0.4"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20"/>
      <c r="V378" s="13"/>
      <c r="AA378" s="117"/>
      <c r="AB378" s="123"/>
      <c r="AC378" s="123"/>
      <c r="AD378" s="123"/>
      <c r="AE378" s="115"/>
      <c r="AF378" s="115"/>
      <c r="AG378" s="115"/>
      <c r="AH378" s="115"/>
      <c r="AI378" s="115"/>
      <c r="AJ378" s="115"/>
      <c r="AK378" s="115"/>
      <c r="AL378" s="115"/>
      <c r="AM378" s="115"/>
      <c r="AN378" s="115"/>
      <c r="AO378" s="115"/>
      <c r="AP378" s="115"/>
      <c r="AQ378" s="115"/>
      <c r="AR378" s="115"/>
      <c r="AS378" s="25"/>
      <c r="AT378" s="15"/>
      <c r="AW378" s="114"/>
    </row>
    <row r="379" spans="6:49" ht="19.5" x14ac:dyDescent="0.4"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25"/>
      <c r="V379" s="15"/>
      <c r="AA379" s="117"/>
      <c r="AB379" s="123"/>
      <c r="AC379" s="123"/>
      <c r="AD379" s="123"/>
      <c r="AE379" s="115"/>
      <c r="AF379" s="115"/>
      <c r="AG379" s="115"/>
      <c r="AH379" s="115"/>
      <c r="AI379" s="115"/>
      <c r="AJ379" s="115"/>
      <c r="AK379" s="115"/>
      <c r="AL379" s="115"/>
      <c r="AM379" s="115"/>
      <c r="AN379" s="115"/>
      <c r="AO379" s="115"/>
      <c r="AP379" s="115"/>
      <c r="AQ379" s="115"/>
      <c r="AR379" s="115"/>
      <c r="AS379" s="25"/>
      <c r="AT379" s="15"/>
      <c r="AW379" s="114"/>
    </row>
    <row r="380" spans="6:49" ht="19.5" x14ac:dyDescent="0.4"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25"/>
      <c r="V380" s="15"/>
      <c r="AA380" s="117"/>
      <c r="AB380" s="123"/>
      <c r="AC380" s="123"/>
      <c r="AD380" s="123"/>
      <c r="AE380" s="115"/>
      <c r="AF380" s="115"/>
      <c r="AG380" s="115"/>
      <c r="AH380" s="115"/>
      <c r="AI380" s="115"/>
      <c r="AJ380" s="115"/>
      <c r="AK380" s="115"/>
      <c r="AL380" s="115"/>
      <c r="AM380" s="115"/>
      <c r="AN380" s="115"/>
      <c r="AO380" s="115"/>
      <c r="AP380" s="115"/>
      <c r="AQ380" s="115"/>
      <c r="AR380" s="115"/>
      <c r="AS380" s="25"/>
      <c r="AT380" s="15"/>
      <c r="AW380" s="114"/>
    </row>
    <row r="381" spans="6:49" ht="19.5" x14ac:dyDescent="0.4"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25"/>
      <c r="V381" s="15"/>
      <c r="AA381" s="117"/>
      <c r="AB381" s="123"/>
      <c r="AC381" s="123"/>
      <c r="AD381" s="123"/>
      <c r="AE381" s="115"/>
      <c r="AF381" s="115"/>
      <c r="AG381" s="115"/>
      <c r="AH381" s="115"/>
      <c r="AI381" s="115"/>
      <c r="AJ381" s="115"/>
      <c r="AK381" s="115"/>
      <c r="AL381" s="115"/>
      <c r="AM381" s="115"/>
      <c r="AN381" s="115"/>
      <c r="AO381" s="115"/>
      <c r="AP381" s="115"/>
      <c r="AQ381" s="115"/>
      <c r="AR381" s="115"/>
      <c r="AS381" s="25"/>
      <c r="AT381" s="15"/>
      <c r="AW381" s="114"/>
    </row>
    <row r="382" spans="6:49" ht="19.5" x14ac:dyDescent="0.4">
      <c r="U382" s="26"/>
      <c r="V382" s="15"/>
      <c r="AA382" s="117"/>
      <c r="AB382" s="123"/>
      <c r="AC382" s="123"/>
      <c r="AD382" s="123"/>
      <c r="AE382" s="115"/>
      <c r="AF382" s="115"/>
      <c r="AG382" s="115"/>
      <c r="AH382" s="115"/>
      <c r="AI382" s="115"/>
      <c r="AJ382" s="115"/>
      <c r="AK382" s="115"/>
      <c r="AL382" s="115"/>
      <c r="AM382" s="115"/>
      <c r="AN382" s="115"/>
      <c r="AO382" s="115"/>
      <c r="AP382" s="115"/>
      <c r="AQ382" s="115"/>
      <c r="AR382" s="115"/>
      <c r="AS382" s="25">
        <v>45272</v>
      </c>
      <c r="AT382" s="15" t="s">
        <v>162</v>
      </c>
      <c r="AW382" s="114"/>
    </row>
    <row r="383" spans="6:49" ht="19.5" x14ac:dyDescent="0.4">
      <c r="U383" s="26"/>
      <c r="V383" s="13"/>
      <c r="AA383" s="117"/>
      <c r="AB383" s="123"/>
      <c r="AC383" s="123"/>
      <c r="AD383" s="123"/>
      <c r="AE383" s="115"/>
      <c r="AF383" s="115"/>
      <c r="AG383" s="115"/>
      <c r="AH383" s="115"/>
      <c r="AI383" s="115"/>
      <c r="AJ383" s="115"/>
      <c r="AK383" s="115"/>
      <c r="AL383" s="115"/>
      <c r="AM383" s="115"/>
      <c r="AN383" s="115"/>
      <c r="AO383" s="115"/>
      <c r="AP383" s="115"/>
      <c r="AQ383" s="115"/>
      <c r="AR383" s="115"/>
      <c r="AS383" s="25"/>
      <c r="AT383" s="15"/>
      <c r="AW383" s="114"/>
    </row>
    <row r="384" spans="6:49" ht="19.5" x14ac:dyDescent="0.4"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26"/>
      <c r="V384" s="13"/>
      <c r="AA384" s="117"/>
      <c r="AB384" s="123"/>
      <c r="AC384" s="123"/>
      <c r="AD384" s="123"/>
      <c r="AE384" s="115"/>
      <c r="AF384" s="115"/>
      <c r="AG384" s="115"/>
      <c r="AH384" s="115"/>
      <c r="AI384" s="115"/>
      <c r="AJ384" s="115"/>
      <c r="AK384" s="115"/>
      <c r="AL384" s="115"/>
      <c r="AM384" s="115"/>
      <c r="AN384" s="115"/>
      <c r="AO384" s="115"/>
      <c r="AP384" s="115"/>
      <c r="AQ384" s="115"/>
      <c r="AR384" s="115"/>
      <c r="AS384" s="25"/>
      <c r="AT384" s="15"/>
      <c r="AW384" s="114"/>
    </row>
    <row r="385" spans="10:49" ht="19.5" x14ac:dyDescent="0.4">
      <c r="U385" s="26"/>
      <c r="V385" s="13"/>
      <c r="AA385" s="117"/>
      <c r="AB385" s="123"/>
      <c r="AC385" s="123"/>
      <c r="AD385" s="123"/>
      <c r="AE385" s="115"/>
      <c r="AF385" s="115"/>
      <c r="AG385" s="115"/>
      <c r="AH385" s="115"/>
      <c r="AI385" s="115"/>
      <c r="AJ385" s="115"/>
      <c r="AK385" s="115"/>
      <c r="AL385" s="115"/>
      <c r="AM385" s="115"/>
      <c r="AN385" s="115"/>
      <c r="AO385" s="115"/>
      <c r="AP385" s="115"/>
      <c r="AQ385" s="115"/>
      <c r="AR385" s="115"/>
      <c r="AS385" s="25">
        <v>45272</v>
      </c>
      <c r="AT385" s="15" t="s">
        <v>162</v>
      </c>
      <c r="AW385" s="114"/>
    </row>
    <row r="386" spans="10:49" ht="19.5" x14ac:dyDescent="0.4">
      <c r="M386" s="115"/>
      <c r="N386" s="115"/>
      <c r="O386" s="115"/>
      <c r="P386" s="115"/>
      <c r="Q386" s="115"/>
      <c r="R386" s="115"/>
      <c r="S386" s="115"/>
      <c r="T386" s="115"/>
      <c r="U386" s="17"/>
      <c r="V386" s="13"/>
      <c r="AA386" s="117"/>
      <c r="AB386" s="123"/>
      <c r="AC386" s="123"/>
      <c r="AD386" s="123"/>
      <c r="AE386" s="115"/>
      <c r="AF386" s="115"/>
      <c r="AG386" s="115"/>
      <c r="AH386" s="115"/>
      <c r="AI386" s="115"/>
      <c r="AJ386" s="115"/>
      <c r="AK386" s="115"/>
      <c r="AL386" s="115"/>
      <c r="AM386" s="115"/>
      <c r="AN386" s="115"/>
      <c r="AO386" s="115"/>
      <c r="AP386" s="115"/>
      <c r="AQ386" s="115"/>
      <c r="AR386" s="115"/>
      <c r="AS386" s="25"/>
      <c r="AT386" s="15"/>
      <c r="AW386" s="114"/>
    </row>
    <row r="387" spans="10:49" ht="19.5" x14ac:dyDescent="0.4">
      <c r="U387" s="26"/>
      <c r="V387" s="13"/>
      <c r="AA387" s="117"/>
      <c r="AB387" s="123"/>
      <c r="AC387" s="123"/>
      <c r="AD387" s="123"/>
      <c r="AE387" s="115"/>
      <c r="AF387" s="115"/>
      <c r="AG387" s="115"/>
      <c r="AH387" s="115"/>
      <c r="AI387" s="115"/>
      <c r="AJ387" s="115"/>
      <c r="AK387" s="115"/>
      <c r="AL387" s="115"/>
      <c r="AM387" s="115"/>
      <c r="AN387" s="115"/>
      <c r="AO387" s="115"/>
      <c r="AP387" s="115"/>
      <c r="AQ387" s="115"/>
      <c r="AR387" s="115"/>
      <c r="AS387" s="25"/>
      <c r="AT387" s="15"/>
      <c r="AW387" s="114"/>
    </row>
    <row r="388" spans="10:49" ht="19.5" x14ac:dyDescent="0.4"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26"/>
      <c r="V388" s="13"/>
      <c r="AA388" s="117"/>
      <c r="AB388" s="123"/>
      <c r="AC388" s="123"/>
      <c r="AD388" s="123"/>
      <c r="AE388" s="115"/>
      <c r="AF388" s="115"/>
      <c r="AG388" s="115"/>
      <c r="AH388" s="115"/>
      <c r="AI388" s="115"/>
      <c r="AJ388" s="115"/>
      <c r="AK388" s="115"/>
      <c r="AL388" s="115"/>
      <c r="AM388" s="115"/>
      <c r="AN388" s="115"/>
      <c r="AO388" s="115"/>
      <c r="AP388" s="115"/>
      <c r="AQ388" s="115"/>
      <c r="AR388" s="115"/>
      <c r="AS388" s="25"/>
      <c r="AT388" s="15"/>
      <c r="AW388" s="114"/>
    </row>
    <row r="389" spans="10:49" ht="19.5" x14ac:dyDescent="0.4">
      <c r="U389" s="26"/>
      <c r="V389" s="13"/>
      <c r="AA389" s="117"/>
      <c r="AB389" s="123"/>
      <c r="AC389" s="123"/>
      <c r="AD389" s="123"/>
      <c r="AE389" s="115"/>
      <c r="AF389" s="115"/>
      <c r="AG389" s="115"/>
      <c r="AH389" s="115"/>
      <c r="AI389" s="115"/>
      <c r="AJ389" s="115"/>
      <c r="AK389" s="115"/>
      <c r="AL389" s="115"/>
      <c r="AM389" s="115"/>
      <c r="AN389" s="115"/>
      <c r="AO389" s="115"/>
      <c r="AP389" s="115"/>
      <c r="AQ389" s="115"/>
      <c r="AR389" s="115"/>
      <c r="AS389" s="25">
        <v>45272</v>
      </c>
      <c r="AT389" s="15" t="s">
        <v>162</v>
      </c>
      <c r="AW389" s="114"/>
    </row>
    <row r="390" spans="10:49" ht="19.5" x14ac:dyDescent="0.4">
      <c r="U390" s="26"/>
      <c r="V390" s="13"/>
      <c r="AA390" s="117"/>
      <c r="AB390" s="123"/>
      <c r="AC390" s="123"/>
      <c r="AD390" s="123"/>
      <c r="AE390" s="115"/>
      <c r="AF390" s="115"/>
      <c r="AG390" s="115"/>
      <c r="AH390" s="115"/>
      <c r="AI390" s="115"/>
      <c r="AJ390" s="115"/>
      <c r="AK390" s="115"/>
      <c r="AL390" s="115"/>
      <c r="AM390" s="115"/>
      <c r="AN390" s="115"/>
      <c r="AO390" s="115"/>
      <c r="AP390" s="115"/>
      <c r="AQ390" s="115"/>
      <c r="AR390" s="115" t="s">
        <v>166</v>
      </c>
      <c r="AS390" s="13">
        <f>SUBTOTAL(3,AS338:AS389)</f>
        <v>13</v>
      </c>
      <c r="AT390" s="15">
        <f>SUBTOTAL(3,AT338:AT389)</f>
        <v>13</v>
      </c>
      <c r="AW390" s="114"/>
    </row>
    <row r="391" spans="10:49" ht="19.5" x14ac:dyDescent="0.4">
      <c r="M391" s="115"/>
      <c r="N391" s="115"/>
      <c r="O391" s="115"/>
      <c r="P391" s="115"/>
      <c r="Q391" s="115"/>
      <c r="R391" s="115"/>
      <c r="S391" s="115"/>
      <c r="T391" s="115"/>
      <c r="U391" s="17"/>
      <c r="V391" s="13"/>
      <c r="AA391" s="117"/>
      <c r="AB391" s="123"/>
      <c r="AC391" s="123"/>
      <c r="AD391" s="123"/>
      <c r="AE391" s="115"/>
      <c r="AF391" s="115"/>
      <c r="AG391" s="115"/>
      <c r="AH391" s="115"/>
      <c r="AI391" s="115"/>
      <c r="AJ391" s="115"/>
      <c r="AK391" s="115"/>
      <c r="AL391" s="115"/>
      <c r="AM391" s="115"/>
      <c r="AN391" s="115"/>
      <c r="AO391" s="115"/>
      <c r="AP391" s="115"/>
      <c r="AQ391" s="115"/>
      <c r="AR391" s="115"/>
      <c r="AS391" s="13"/>
      <c r="AT391" s="15"/>
      <c r="AW391" s="114"/>
    </row>
    <row r="392" spans="10:49" ht="19.5" x14ac:dyDescent="0.4">
      <c r="U392" s="26"/>
      <c r="V392" s="13"/>
      <c r="AA392" s="117"/>
      <c r="AB392" s="123"/>
      <c r="AC392" s="123"/>
      <c r="AD392" s="123"/>
      <c r="AE392" s="115"/>
      <c r="AF392" s="115"/>
      <c r="AG392" s="115"/>
      <c r="AH392" s="115"/>
      <c r="AI392" s="115"/>
      <c r="AJ392" s="115"/>
      <c r="AK392" s="115"/>
      <c r="AL392" s="115"/>
      <c r="AM392" s="115"/>
      <c r="AN392" s="115"/>
      <c r="AO392" s="115"/>
      <c r="AP392" s="115"/>
      <c r="AQ392" s="115"/>
      <c r="AR392" s="115"/>
      <c r="AS392" s="25">
        <v>45273</v>
      </c>
      <c r="AT392" s="105" t="s">
        <v>164</v>
      </c>
      <c r="AW392" s="114"/>
    </row>
    <row r="393" spans="10:49" ht="19.5" x14ac:dyDescent="0.4">
      <c r="U393" s="26"/>
      <c r="V393" s="13"/>
      <c r="AA393" s="117"/>
      <c r="AB393" s="123"/>
      <c r="AC393" s="123"/>
      <c r="AD393" s="123"/>
      <c r="AE393" s="115"/>
      <c r="AF393" s="115"/>
      <c r="AG393" s="115"/>
      <c r="AH393" s="115"/>
      <c r="AI393" s="115"/>
      <c r="AJ393" s="115"/>
      <c r="AK393" s="115"/>
      <c r="AL393" s="115"/>
      <c r="AM393" s="115"/>
      <c r="AN393" s="115"/>
      <c r="AO393" s="115"/>
      <c r="AP393" s="115"/>
      <c r="AQ393" s="115"/>
      <c r="AR393" s="115"/>
      <c r="AS393" s="25">
        <v>45273</v>
      </c>
      <c r="AT393" s="15" t="s">
        <v>164</v>
      </c>
      <c r="AW393" s="114"/>
    </row>
    <row r="394" spans="10:49" ht="19.5" x14ac:dyDescent="0.4"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26"/>
      <c r="V394" s="13"/>
      <c r="AA394" s="117"/>
      <c r="AB394" s="123"/>
      <c r="AC394" s="123"/>
      <c r="AD394" s="123"/>
      <c r="AE394" s="115"/>
      <c r="AF394" s="115"/>
      <c r="AG394" s="115"/>
      <c r="AH394" s="115"/>
      <c r="AI394" s="115"/>
      <c r="AJ394" s="115"/>
      <c r="AK394" s="115"/>
      <c r="AL394" s="115"/>
      <c r="AM394" s="115"/>
      <c r="AN394" s="115"/>
      <c r="AO394" s="115"/>
      <c r="AP394" s="115"/>
      <c r="AQ394" s="115"/>
      <c r="AR394" s="115"/>
      <c r="AS394" s="25"/>
      <c r="AT394" s="13"/>
      <c r="AW394" s="114"/>
    </row>
    <row r="395" spans="10:49" ht="19.5" x14ac:dyDescent="0.4">
      <c r="U395" s="26"/>
      <c r="V395" s="13"/>
      <c r="AA395" s="117"/>
      <c r="AB395" s="123"/>
      <c r="AC395" s="123"/>
      <c r="AD395" s="123"/>
      <c r="AE395" s="115"/>
      <c r="AF395" s="115"/>
      <c r="AG395" s="115"/>
      <c r="AH395" s="115"/>
      <c r="AI395" s="115"/>
      <c r="AJ395" s="115"/>
      <c r="AK395" s="115"/>
      <c r="AL395" s="115"/>
      <c r="AM395" s="115"/>
      <c r="AN395" s="115"/>
      <c r="AO395" s="115"/>
      <c r="AP395" s="115"/>
      <c r="AQ395" s="115"/>
      <c r="AR395" s="115"/>
      <c r="AS395" s="25">
        <v>45273</v>
      </c>
      <c r="AT395" s="13" t="s">
        <v>164</v>
      </c>
      <c r="AW395" s="114"/>
    </row>
    <row r="396" spans="10:49" ht="19.5" x14ac:dyDescent="0.4">
      <c r="U396" s="26"/>
      <c r="V396" s="13"/>
      <c r="AA396" s="117"/>
      <c r="AB396" s="123"/>
      <c r="AC396" s="123"/>
      <c r="AD396" s="123"/>
      <c r="AE396" s="115"/>
      <c r="AF396" s="115"/>
      <c r="AG396" s="115"/>
      <c r="AH396" s="115"/>
      <c r="AI396" s="115"/>
      <c r="AJ396" s="115"/>
      <c r="AK396" s="115"/>
      <c r="AL396" s="115"/>
      <c r="AM396" s="115"/>
      <c r="AN396" s="115"/>
      <c r="AO396" s="115"/>
      <c r="AP396" s="115"/>
      <c r="AQ396" s="115"/>
      <c r="AR396" s="115"/>
      <c r="AS396" s="25">
        <v>45273</v>
      </c>
      <c r="AT396" s="15" t="s">
        <v>164</v>
      </c>
      <c r="AW396" s="114"/>
    </row>
    <row r="397" spans="10:49" ht="19.5" x14ac:dyDescent="0.4">
      <c r="U397" s="26"/>
      <c r="V397" s="13"/>
      <c r="AA397" s="117"/>
      <c r="AB397" s="123"/>
      <c r="AC397" s="123"/>
      <c r="AD397" s="123"/>
      <c r="AE397" s="115"/>
      <c r="AF397" s="115"/>
      <c r="AG397" s="115"/>
      <c r="AH397" s="115"/>
      <c r="AI397" s="115"/>
      <c r="AJ397" s="115"/>
      <c r="AK397" s="115"/>
      <c r="AL397" s="115"/>
      <c r="AM397" s="115"/>
      <c r="AN397" s="115"/>
      <c r="AO397" s="115"/>
      <c r="AP397" s="115"/>
      <c r="AQ397" s="115"/>
      <c r="AR397" s="115"/>
      <c r="AS397" s="25">
        <v>45273</v>
      </c>
      <c r="AT397" s="15" t="s">
        <v>162</v>
      </c>
      <c r="AW397" s="114"/>
    </row>
    <row r="398" spans="10:49" ht="19.5" x14ac:dyDescent="0.4">
      <c r="L398" s="115"/>
      <c r="M398" s="115"/>
      <c r="N398" s="115"/>
      <c r="O398" s="115"/>
      <c r="P398" s="115"/>
      <c r="Q398" s="115"/>
      <c r="R398" s="115"/>
      <c r="S398" s="115"/>
      <c r="T398" s="115"/>
      <c r="U398" s="26"/>
      <c r="V398" s="13"/>
      <c r="AA398" s="117"/>
      <c r="AB398" s="123"/>
      <c r="AC398" s="123"/>
      <c r="AD398" s="123"/>
      <c r="AE398" s="115"/>
      <c r="AF398" s="115"/>
      <c r="AG398" s="115"/>
      <c r="AH398" s="115"/>
      <c r="AI398" s="115"/>
      <c r="AJ398" s="115"/>
      <c r="AK398" s="115"/>
      <c r="AL398" s="115"/>
      <c r="AM398" s="115"/>
      <c r="AN398" s="115"/>
      <c r="AO398" s="115"/>
      <c r="AP398" s="115"/>
      <c r="AQ398" s="115"/>
      <c r="AR398" s="115"/>
      <c r="AS398" s="25"/>
      <c r="AT398" s="15"/>
      <c r="AW398" s="114"/>
    </row>
    <row r="399" spans="10:49" ht="19.5" x14ac:dyDescent="0.4">
      <c r="U399" s="26"/>
      <c r="V399" s="13"/>
      <c r="AA399" s="117"/>
      <c r="AB399" s="123"/>
      <c r="AC399" s="123"/>
      <c r="AD399" s="123"/>
      <c r="AE399" s="115"/>
      <c r="AF399" s="115"/>
      <c r="AG399" s="115"/>
      <c r="AH399" s="115"/>
      <c r="AI399" s="115"/>
      <c r="AJ399" s="115"/>
      <c r="AK399" s="115"/>
      <c r="AL399" s="115"/>
      <c r="AM399" s="115"/>
      <c r="AN399" s="115"/>
      <c r="AO399" s="115"/>
      <c r="AP399" s="115"/>
      <c r="AQ399" s="115"/>
      <c r="AR399" s="115"/>
      <c r="AS399" s="25">
        <v>45273</v>
      </c>
      <c r="AT399" s="15" t="s">
        <v>162</v>
      </c>
      <c r="AW399" s="114"/>
    </row>
    <row r="400" spans="10:49" ht="19.5" x14ac:dyDescent="0.4">
      <c r="U400" s="26"/>
      <c r="V400" s="13"/>
      <c r="AA400" s="117"/>
      <c r="AB400" s="123"/>
      <c r="AC400" s="123"/>
      <c r="AD400" s="123"/>
      <c r="AE400" s="115"/>
      <c r="AF400" s="115"/>
      <c r="AG400" s="115"/>
      <c r="AH400" s="115"/>
      <c r="AI400" s="115"/>
      <c r="AJ400" s="115"/>
      <c r="AK400" s="115"/>
      <c r="AL400" s="115"/>
      <c r="AM400" s="115"/>
      <c r="AN400" s="115"/>
      <c r="AO400" s="115"/>
      <c r="AP400" s="115"/>
      <c r="AQ400" s="115"/>
      <c r="AR400" s="115"/>
      <c r="AS400" s="25">
        <v>45273</v>
      </c>
      <c r="AT400" s="15" t="s">
        <v>162</v>
      </c>
      <c r="AW400" s="114"/>
    </row>
    <row r="401" spans="10:49" ht="19.5" x14ac:dyDescent="0.4">
      <c r="U401" s="26"/>
      <c r="V401" s="13"/>
      <c r="AA401" s="117"/>
      <c r="AB401" s="123"/>
      <c r="AC401" s="123"/>
      <c r="AD401" s="123"/>
      <c r="AE401" s="115"/>
      <c r="AF401" s="115"/>
      <c r="AG401" s="115"/>
      <c r="AH401" s="115"/>
      <c r="AI401" s="115"/>
      <c r="AJ401" s="115"/>
      <c r="AK401" s="115"/>
      <c r="AL401" s="115"/>
      <c r="AM401" s="115"/>
      <c r="AN401" s="115"/>
      <c r="AO401" s="115"/>
      <c r="AP401" s="115"/>
      <c r="AQ401" s="115"/>
      <c r="AR401" s="115"/>
      <c r="AS401" s="25">
        <v>45273</v>
      </c>
      <c r="AT401" s="15" t="s">
        <v>162</v>
      </c>
      <c r="AW401" s="114"/>
    </row>
    <row r="402" spans="10:49" ht="19.5" x14ac:dyDescent="0.4"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26"/>
      <c r="V402" s="13"/>
      <c r="AA402" s="117"/>
      <c r="AB402" s="123"/>
      <c r="AC402" s="123"/>
      <c r="AD402" s="123"/>
      <c r="AE402" s="115"/>
      <c r="AF402" s="115"/>
      <c r="AG402" s="115"/>
      <c r="AH402" s="115"/>
      <c r="AI402" s="115"/>
      <c r="AJ402" s="115"/>
      <c r="AK402" s="115"/>
      <c r="AL402" s="115"/>
      <c r="AM402" s="115"/>
      <c r="AN402" s="115"/>
      <c r="AO402" s="115"/>
      <c r="AP402" s="115"/>
      <c r="AQ402" s="115"/>
      <c r="AR402" s="115"/>
      <c r="AS402" s="25"/>
      <c r="AT402" s="15"/>
      <c r="AW402" s="114"/>
    </row>
    <row r="403" spans="10:49" ht="19.5" x14ac:dyDescent="0.4">
      <c r="U403" s="26"/>
      <c r="V403" s="13"/>
      <c r="AA403" s="117"/>
      <c r="AB403" s="123"/>
      <c r="AC403" s="123"/>
      <c r="AD403" s="123"/>
      <c r="AE403" s="115"/>
      <c r="AF403" s="115"/>
      <c r="AG403" s="115"/>
      <c r="AH403" s="115"/>
      <c r="AI403" s="115"/>
      <c r="AJ403" s="115"/>
      <c r="AK403" s="115"/>
      <c r="AL403" s="115"/>
      <c r="AM403" s="115"/>
      <c r="AN403" s="115"/>
      <c r="AO403" s="115"/>
      <c r="AP403" s="115"/>
      <c r="AQ403" s="115"/>
      <c r="AR403" s="115"/>
      <c r="AS403" s="25">
        <v>45273</v>
      </c>
      <c r="AT403" s="15" t="s">
        <v>162</v>
      </c>
      <c r="AW403" s="114"/>
    </row>
    <row r="404" spans="10:49" ht="19.5" x14ac:dyDescent="0.4">
      <c r="U404" s="26"/>
      <c r="V404" s="13"/>
      <c r="AA404" s="117"/>
      <c r="AB404" s="123"/>
      <c r="AC404" s="123"/>
      <c r="AD404" s="123"/>
      <c r="AE404" s="115"/>
      <c r="AF404" s="115"/>
      <c r="AG404" s="115"/>
      <c r="AH404" s="115"/>
      <c r="AI404" s="115"/>
      <c r="AJ404" s="115"/>
      <c r="AK404" s="115"/>
      <c r="AL404" s="115"/>
      <c r="AM404" s="115"/>
      <c r="AN404" s="115"/>
      <c r="AO404" s="115"/>
      <c r="AP404" s="115"/>
      <c r="AQ404" s="115"/>
      <c r="AR404" s="115"/>
      <c r="AS404" s="25">
        <v>45273</v>
      </c>
      <c r="AT404" s="15" t="s">
        <v>162</v>
      </c>
      <c r="AW404" s="114"/>
    </row>
    <row r="405" spans="10:49" ht="19.5" x14ac:dyDescent="0.4">
      <c r="U405" s="26"/>
      <c r="V405" s="13"/>
      <c r="AA405" s="117"/>
      <c r="AB405" s="123"/>
      <c r="AC405" s="123"/>
      <c r="AD405" s="123"/>
      <c r="AE405" s="115"/>
      <c r="AF405" s="115"/>
      <c r="AG405" s="115"/>
      <c r="AH405" s="115"/>
      <c r="AI405" s="124"/>
      <c r="AJ405" s="124"/>
      <c r="AK405" s="124"/>
      <c r="AL405" s="124"/>
      <c r="AM405" s="124"/>
      <c r="AN405" s="124"/>
      <c r="AO405" s="124"/>
      <c r="AP405" s="124"/>
      <c r="AQ405" s="124"/>
      <c r="AR405" s="124"/>
      <c r="AS405" s="25">
        <v>45273</v>
      </c>
      <c r="AT405" s="15" t="s">
        <v>162</v>
      </c>
      <c r="AW405" s="114"/>
    </row>
    <row r="406" spans="10:49" ht="19.5" x14ac:dyDescent="0.4">
      <c r="U406" s="26"/>
      <c r="V406" s="13"/>
      <c r="AA406" s="117"/>
      <c r="AB406" s="123"/>
      <c r="AC406" s="123"/>
      <c r="AD406" s="123"/>
      <c r="AE406" s="115"/>
      <c r="AF406" s="115"/>
      <c r="AG406" s="115"/>
      <c r="AH406" s="115"/>
      <c r="AI406" s="124"/>
      <c r="AJ406" s="124"/>
      <c r="AK406" s="124"/>
      <c r="AL406" s="124"/>
      <c r="AM406" s="124"/>
      <c r="AN406" s="124"/>
      <c r="AO406" s="124"/>
      <c r="AP406" s="124"/>
      <c r="AQ406" s="124"/>
      <c r="AR406" s="124"/>
      <c r="AS406" s="25">
        <v>45273</v>
      </c>
      <c r="AT406" s="15" t="s">
        <v>162</v>
      </c>
      <c r="AW406" s="114"/>
    </row>
    <row r="407" spans="10:49" ht="19.5" x14ac:dyDescent="0.4">
      <c r="M407" s="115"/>
      <c r="N407" s="115"/>
      <c r="O407" s="115"/>
      <c r="P407" s="115"/>
      <c r="Q407" s="115"/>
      <c r="R407" s="115"/>
      <c r="S407" s="115"/>
      <c r="T407" s="115"/>
      <c r="U407" s="17"/>
      <c r="V407" s="13"/>
      <c r="AA407" s="117"/>
      <c r="AB407" s="123"/>
      <c r="AC407" s="123"/>
      <c r="AD407" s="123"/>
      <c r="AE407" s="115"/>
      <c r="AF407" s="115"/>
      <c r="AG407" s="115"/>
      <c r="AH407" s="115"/>
      <c r="AI407" s="124"/>
      <c r="AJ407" s="124"/>
      <c r="AK407" s="124"/>
      <c r="AL407" s="124"/>
      <c r="AM407" s="124"/>
      <c r="AN407" s="124"/>
      <c r="AO407" s="124"/>
      <c r="AP407" s="124"/>
      <c r="AQ407" s="124"/>
      <c r="AR407" s="124"/>
      <c r="AS407" s="25"/>
      <c r="AT407" s="15"/>
      <c r="AW407" s="114"/>
    </row>
    <row r="408" spans="10:49" ht="19.5" x14ac:dyDescent="0.4">
      <c r="U408" s="26"/>
      <c r="V408" s="13"/>
      <c r="AA408" s="117"/>
      <c r="AB408" s="123"/>
      <c r="AC408" s="123"/>
      <c r="AD408" s="123"/>
      <c r="AE408" s="115"/>
      <c r="AF408" s="115"/>
      <c r="AG408" s="115"/>
      <c r="AH408" s="115"/>
      <c r="AI408" s="124"/>
      <c r="AJ408" s="124"/>
      <c r="AK408" s="124"/>
      <c r="AL408" s="124"/>
      <c r="AM408" s="124"/>
      <c r="AN408" s="124"/>
      <c r="AO408" s="124"/>
      <c r="AP408" s="124"/>
      <c r="AQ408" s="124"/>
      <c r="AR408" s="124"/>
      <c r="AS408" s="25">
        <v>45273</v>
      </c>
      <c r="AT408" s="15" t="s">
        <v>162</v>
      </c>
      <c r="AW408" s="114"/>
    </row>
    <row r="409" spans="10:49" ht="19.5" x14ac:dyDescent="0.4">
      <c r="M409" s="115"/>
      <c r="N409" s="115"/>
      <c r="O409" s="115"/>
      <c r="P409" s="115"/>
      <c r="Q409" s="115"/>
      <c r="R409" s="115"/>
      <c r="S409" s="115"/>
      <c r="T409" s="115"/>
      <c r="U409" s="17"/>
      <c r="V409" s="13"/>
      <c r="AA409" s="117"/>
      <c r="AB409" s="123"/>
      <c r="AC409" s="123"/>
      <c r="AD409" s="123"/>
      <c r="AE409" s="115"/>
      <c r="AF409" s="115"/>
      <c r="AG409" s="115"/>
      <c r="AH409" s="115"/>
      <c r="AI409" s="124"/>
      <c r="AJ409" s="124"/>
      <c r="AK409" s="124"/>
      <c r="AL409" s="124"/>
      <c r="AM409" s="124"/>
      <c r="AN409" s="124"/>
      <c r="AO409" s="124"/>
      <c r="AP409" s="124"/>
      <c r="AQ409" s="124"/>
      <c r="AR409" s="124"/>
      <c r="AS409" s="25"/>
      <c r="AT409" s="15"/>
      <c r="AW409" s="114"/>
    </row>
    <row r="410" spans="10:49" ht="19.5" x14ac:dyDescent="0.4">
      <c r="U410" s="26"/>
      <c r="V410" s="13"/>
      <c r="AA410" s="117"/>
      <c r="AB410" s="123"/>
      <c r="AC410" s="123"/>
      <c r="AD410" s="123"/>
      <c r="AE410" s="115"/>
      <c r="AF410" s="115"/>
      <c r="AG410" s="115"/>
      <c r="AH410" s="115"/>
      <c r="AI410" s="124"/>
      <c r="AJ410" s="124"/>
      <c r="AK410" s="124"/>
      <c r="AL410" s="124"/>
      <c r="AM410" s="124"/>
      <c r="AN410" s="124"/>
      <c r="AO410" s="124"/>
      <c r="AP410" s="124"/>
      <c r="AQ410" s="124"/>
      <c r="AR410" s="124"/>
      <c r="AS410" s="25">
        <v>45273</v>
      </c>
      <c r="AT410" s="15" t="s">
        <v>162</v>
      </c>
      <c r="AW410" s="114"/>
    </row>
    <row r="411" spans="10:49" ht="19.5" x14ac:dyDescent="0.4">
      <c r="U411" s="26"/>
      <c r="V411" s="13"/>
      <c r="AA411" s="117"/>
      <c r="AB411" s="123"/>
      <c r="AC411" s="123"/>
      <c r="AD411" s="123"/>
      <c r="AE411" s="115"/>
      <c r="AF411" s="115"/>
      <c r="AG411" s="115"/>
      <c r="AH411" s="115"/>
      <c r="AI411" s="115"/>
      <c r="AJ411" s="115"/>
      <c r="AK411" s="115"/>
      <c r="AL411" s="115"/>
      <c r="AM411" s="115"/>
      <c r="AN411" s="115"/>
      <c r="AO411" s="115"/>
      <c r="AP411" s="115"/>
      <c r="AQ411" s="115"/>
      <c r="AR411" s="115"/>
      <c r="AS411" s="25">
        <v>45273</v>
      </c>
      <c r="AT411" s="13" t="s">
        <v>162</v>
      </c>
      <c r="AW411" s="114"/>
    </row>
    <row r="412" spans="10:49" ht="19.5" x14ac:dyDescent="0.4">
      <c r="U412" s="26"/>
      <c r="V412" s="13"/>
      <c r="AA412" s="117"/>
      <c r="AB412" s="123"/>
      <c r="AC412" s="123"/>
      <c r="AD412" s="123"/>
      <c r="AE412" s="115"/>
      <c r="AF412" s="115"/>
      <c r="AG412" s="115"/>
      <c r="AH412" s="115"/>
      <c r="AI412" s="115"/>
      <c r="AJ412" s="115"/>
      <c r="AK412" s="115"/>
      <c r="AL412" s="115"/>
      <c r="AM412" s="115"/>
      <c r="AN412" s="115"/>
      <c r="AO412" s="115"/>
      <c r="AP412" s="115"/>
      <c r="AQ412" s="115"/>
      <c r="AR412" s="115"/>
      <c r="AS412" s="25">
        <v>45273</v>
      </c>
      <c r="AT412" s="15" t="s">
        <v>162</v>
      </c>
      <c r="AW412" s="114"/>
    </row>
    <row r="413" spans="10:49" ht="19.5" x14ac:dyDescent="0.4">
      <c r="U413" s="26"/>
      <c r="V413" s="13"/>
      <c r="AA413" s="117"/>
      <c r="AB413" s="123"/>
      <c r="AC413" s="123"/>
      <c r="AD413" s="123"/>
      <c r="AE413" s="115"/>
      <c r="AF413" s="115"/>
      <c r="AG413" s="115"/>
      <c r="AH413" s="115"/>
      <c r="AI413" s="115"/>
      <c r="AJ413" s="115"/>
      <c r="AK413" s="115"/>
      <c r="AL413" s="115"/>
      <c r="AM413" s="115"/>
      <c r="AN413" s="115"/>
      <c r="AO413" s="115"/>
      <c r="AP413" s="115"/>
      <c r="AQ413" s="115"/>
      <c r="AR413" s="115"/>
      <c r="AS413" s="25">
        <v>45273</v>
      </c>
      <c r="AT413" s="15" t="s">
        <v>162</v>
      </c>
      <c r="AW413" s="114"/>
    </row>
    <row r="414" spans="10:49" ht="19.5" x14ac:dyDescent="0.4"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26"/>
      <c r="V414" s="25"/>
      <c r="AA414" s="117"/>
      <c r="AB414" s="123"/>
      <c r="AC414" s="123"/>
      <c r="AD414" s="123"/>
      <c r="AE414" s="115"/>
      <c r="AF414" s="115"/>
      <c r="AG414" s="115"/>
      <c r="AH414" s="115"/>
      <c r="AI414" s="115"/>
      <c r="AJ414" s="115"/>
      <c r="AK414" s="115"/>
      <c r="AL414" s="115"/>
      <c r="AM414" s="115"/>
      <c r="AN414" s="115"/>
      <c r="AO414" s="115"/>
      <c r="AP414" s="115"/>
      <c r="AQ414" s="115"/>
      <c r="AR414" s="115"/>
      <c r="AS414" s="25"/>
      <c r="AT414" s="15"/>
      <c r="AW414" s="114"/>
    </row>
    <row r="415" spans="10:49" ht="19.5" x14ac:dyDescent="0.4">
      <c r="U415" s="26"/>
      <c r="V415" s="25"/>
      <c r="AA415" s="117"/>
      <c r="AB415" s="123"/>
      <c r="AC415" s="123"/>
      <c r="AD415" s="123"/>
      <c r="AE415" s="115"/>
      <c r="AF415" s="115"/>
      <c r="AG415" s="115"/>
      <c r="AH415" s="115"/>
      <c r="AI415" s="115"/>
      <c r="AJ415" s="115"/>
      <c r="AK415" s="115"/>
      <c r="AL415" s="115"/>
      <c r="AM415" s="115"/>
      <c r="AN415" s="115"/>
      <c r="AO415" s="115"/>
      <c r="AP415" s="115"/>
      <c r="AQ415" s="115"/>
      <c r="AR415" s="115"/>
      <c r="AS415" s="25">
        <v>45273</v>
      </c>
      <c r="AT415" s="15" t="s">
        <v>162</v>
      </c>
      <c r="AW415" s="114"/>
    </row>
    <row r="416" spans="10:49" ht="19.5" x14ac:dyDescent="0.4">
      <c r="U416" s="26"/>
      <c r="V416" s="13"/>
      <c r="AA416" s="117"/>
      <c r="AB416" s="123"/>
      <c r="AC416" s="123"/>
      <c r="AD416" s="123"/>
      <c r="AE416" s="115"/>
      <c r="AF416" s="115"/>
      <c r="AG416" s="115"/>
      <c r="AH416" s="115"/>
      <c r="AI416" s="115"/>
      <c r="AJ416" s="115"/>
      <c r="AK416" s="115"/>
      <c r="AL416" s="115"/>
      <c r="AM416" s="115"/>
      <c r="AN416" s="115"/>
      <c r="AO416" s="115"/>
      <c r="AP416" s="115"/>
      <c r="AQ416" s="115"/>
      <c r="AR416" s="115"/>
      <c r="AS416" s="25">
        <v>45273</v>
      </c>
      <c r="AT416" s="15" t="s">
        <v>162</v>
      </c>
      <c r="AW416" s="114"/>
    </row>
    <row r="417" spans="6:49" ht="19.5" x14ac:dyDescent="0.4"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26"/>
      <c r="V417" s="13"/>
      <c r="AA417" s="117"/>
      <c r="AB417" s="123"/>
      <c r="AC417" s="123"/>
      <c r="AD417" s="123"/>
      <c r="AE417" s="115"/>
      <c r="AF417" s="115"/>
      <c r="AG417" s="115"/>
      <c r="AH417" s="115"/>
      <c r="AI417" s="115"/>
      <c r="AJ417" s="115"/>
      <c r="AK417" s="115"/>
      <c r="AL417" s="115"/>
      <c r="AM417" s="115"/>
      <c r="AN417" s="115"/>
      <c r="AO417" s="115"/>
      <c r="AP417" s="115"/>
      <c r="AQ417" s="115"/>
      <c r="AR417" s="115"/>
      <c r="AS417" s="25"/>
      <c r="AT417" s="15"/>
      <c r="AW417" s="114"/>
    </row>
    <row r="418" spans="6:49" ht="19.5" x14ac:dyDescent="0.4"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26"/>
      <c r="V418" s="13"/>
      <c r="AA418" s="117"/>
      <c r="AB418" s="123"/>
      <c r="AC418" s="123"/>
      <c r="AD418" s="123"/>
      <c r="AE418" s="115"/>
      <c r="AF418" s="115"/>
      <c r="AG418" s="115"/>
      <c r="AH418" s="115"/>
      <c r="AI418" s="115"/>
      <c r="AJ418" s="115"/>
      <c r="AK418" s="115"/>
      <c r="AL418" s="115"/>
      <c r="AM418" s="115"/>
      <c r="AN418" s="115"/>
      <c r="AO418" s="115"/>
      <c r="AP418" s="115"/>
      <c r="AQ418" s="115"/>
      <c r="AR418" s="115"/>
      <c r="AS418" s="25"/>
      <c r="AT418" s="15"/>
      <c r="AW418" s="114"/>
    </row>
    <row r="419" spans="6:49" ht="19.5" x14ac:dyDescent="0.4">
      <c r="U419" s="26"/>
      <c r="V419" s="13"/>
      <c r="AA419" s="117"/>
      <c r="AB419" s="123"/>
      <c r="AC419" s="123"/>
      <c r="AD419" s="123"/>
      <c r="AE419" s="115"/>
      <c r="AF419" s="115"/>
      <c r="AG419" s="115"/>
      <c r="AH419" s="115"/>
      <c r="AI419" s="115"/>
      <c r="AJ419" s="115"/>
      <c r="AK419" s="115"/>
      <c r="AL419" s="115"/>
      <c r="AM419" s="115"/>
      <c r="AN419" s="115"/>
      <c r="AO419" s="115"/>
      <c r="AP419" s="115"/>
      <c r="AQ419" s="115"/>
      <c r="AR419" s="115"/>
      <c r="AS419" s="25">
        <v>45273</v>
      </c>
      <c r="AT419" s="15" t="s">
        <v>162</v>
      </c>
      <c r="AW419" s="114"/>
    </row>
    <row r="420" spans="6:49" ht="19.5" x14ac:dyDescent="0.4">
      <c r="U420" s="26"/>
      <c r="V420" s="13"/>
      <c r="AA420" s="117"/>
      <c r="AB420" s="123"/>
      <c r="AC420" s="123"/>
      <c r="AD420" s="123"/>
      <c r="AE420" s="115"/>
      <c r="AF420" s="115"/>
      <c r="AG420" s="115"/>
      <c r="AH420" s="115"/>
      <c r="AI420" s="115"/>
      <c r="AJ420" s="115"/>
      <c r="AK420" s="115"/>
      <c r="AL420" s="115"/>
      <c r="AM420" s="115"/>
      <c r="AN420" s="115"/>
      <c r="AO420" s="115"/>
      <c r="AP420" s="115"/>
      <c r="AQ420" s="115"/>
      <c r="AR420" s="115"/>
      <c r="AS420" s="25">
        <v>45273</v>
      </c>
      <c r="AT420" s="15" t="s">
        <v>162</v>
      </c>
      <c r="AW420" s="114"/>
    </row>
    <row r="421" spans="6:49" ht="19.5" x14ac:dyDescent="0.4">
      <c r="U421" s="26"/>
      <c r="V421" s="13"/>
      <c r="AA421" s="117"/>
      <c r="AB421" s="123"/>
      <c r="AC421" s="123"/>
      <c r="AD421" s="123"/>
      <c r="AE421" s="115"/>
      <c r="AF421" s="115"/>
      <c r="AG421" s="115"/>
      <c r="AH421" s="115"/>
      <c r="AI421" s="115"/>
      <c r="AJ421" s="115"/>
      <c r="AK421" s="115"/>
      <c r="AL421" s="115"/>
      <c r="AM421" s="115"/>
      <c r="AN421" s="115"/>
      <c r="AO421" s="115"/>
      <c r="AP421" s="115"/>
      <c r="AQ421" s="115"/>
      <c r="AR421" s="115"/>
      <c r="AS421" s="25">
        <v>45273</v>
      </c>
      <c r="AT421" s="13" t="s">
        <v>163</v>
      </c>
      <c r="AW421" s="114"/>
    </row>
    <row r="422" spans="6:49" ht="19.5" x14ac:dyDescent="0.4">
      <c r="U422" s="26"/>
      <c r="V422" s="13"/>
      <c r="AA422" s="117"/>
      <c r="AB422" s="123"/>
      <c r="AC422" s="123"/>
      <c r="AD422" s="123"/>
      <c r="AE422" s="115"/>
      <c r="AF422" s="115"/>
      <c r="AG422" s="115"/>
      <c r="AH422" s="115"/>
      <c r="AI422" s="115"/>
      <c r="AJ422" s="115"/>
      <c r="AK422" s="115"/>
      <c r="AL422" s="115"/>
      <c r="AM422" s="115"/>
      <c r="AN422" s="115"/>
      <c r="AO422" s="115"/>
      <c r="AP422" s="115"/>
      <c r="AQ422" s="115"/>
      <c r="AR422" s="115"/>
      <c r="AS422" s="25"/>
      <c r="AT422" s="13"/>
      <c r="AW422" s="114"/>
    </row>
    <row r="423" spans="6:49" ht="19.5" x14ac:dyDescent="0.4">
      <c r="U423" s="26"/>
      <c r="V423" s="13"/>
      <c r="AA423" s="117"/>
      <c r="AB423" s="123"/>
      <c r="AC423" s="123"/>
      <c r="AD423" s="123"/>
      <c r="AE423" s="115"/>
      <c r="AF423" s="115"/>
      <c r="AG423" s="115"/>
      <c r="AH423" s="115"/>
      <c r="AI423" s="115"/>
      <c r="AJ423" s="115"/>
      <c r="AK423" s="115"/>
      <c r="AL423" s="115"/>
      <c r="AM423" s="115"/>
      <c r="AN423" s="115"/>
      <c r="AO423" s="115"/>
      <c r="AP423" s="115"/>
      <c r="AQ423" s="115"/>
      <c r="AR423" s="115" t="s">
        <v>152</v>
      </c>
      <c r="AS423" s="13">
        <f>SUBTOTAL(3,AS392:AS421)</f>
        <v>22</v>
      </c>
      <c r="AT423" s="13">
        <f>SUBTOTAL(3,AT392:AT421)</f>
        <v>22</v>
      </c>
      <c r="AW423" s="114"/>
    </row>
    <row r="424" spans="6:49" ht="19.5" x14ac:dyDescent="0.4">
      <c r="U424" s="26"/>
      <c r="V424" s="13"/>
      <c r="AA424" s="117"/>
      <c r="AB424" s="123"/>
      <c r="AC424" s="123"/>
      <c r="AD424" s="123"/>
      <c r="AE424" s="115"/>
      <c r="AF424" s="115"/>
      <c r="AG424" s="115"/>
      <c r="AH424" s="115"/>
      <c r="AI424" s="115"/>
      <c r="AJ424" s="115"/>
      <c r="AK424" s="115"/>
      <c r="AL424" s="115"/>
      <c r="AM424" s="115"/>
      <c r="AN424" s="115"/>
      <c r="AO424" s="115"/>
      <c r="AP424" s="115"/>
      <c r="AQ424" s="115"/>
      <c r="AR424" s="115"/>
      <c r="AS424" s="25">
        <v>45274</v>
      </c>
      <c r="AT424" s="15" t="s">
        <v>162</v>
      </c>
      <c r="AW424" s="114"/>
    </row>
    <row r="425" spans="6:49" ht="19.5" x14ac:dyDescent="0.4"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26"/>
      <c r="V425" s="13"/>
      <c r="AA425" s="117"/>
      <c r="AB425" s="123"/>
      <c r="AC425" s="123"/>
      <c r="AD425" s="123"/>
      <c r="AE425" s="115"/>
      <c r="AF425" s="115"/>
      <c r="AG425" s="115"/>
      <c r="AH425" s="115"/>
      <c r="AI425" s="115"/>
      <c r="AJ425" s="115"/>
      <c r="AK425" s="115"/>
      <c r="AL425" s="115"/>
      <c r="AM425" s="115"/>
      <c r="AN425" s="115"/>
      <c r="AO425" s="115"/>
      <c r="AP425" s="115"/>
      <c r="AQ425" s="115"/>
      <c r="AR425" s="115"/>
      <c r="AS425" s="25"/>
      <c r="AT425" s="15"/>
      <c r="AW425" s="114"/>
    </row>
    <row r="426" spans="6:49" ht="19.5" x14ac:dyDescent="0.4"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26"/>
      <c r="V426" s="13"/>
      <c r="AA426" s="117"/>
      <c r="AB426" s="123"/>
      <c r="AC426" s="123"/>
      <c r="AD426" s="123"/>
      <c r="AE426" s="115"/>
      <c r="AF426" s="115"/>
      <c r="AG426" s="115"/>
      <c r="AH426" s="115"/>
      <c r="AI426" s="115"/>
      <c r="AJ426" s="115"/>
      <c r="AK426" s="115"/>
      <c r="AL426" s="115"/>
      <c r="AM426" s="115"/>
      <c r="AN426" s="115"/>
      <c r="AO426" s="115"/>
      <c r="AP426" s="115"/>
      <c r="AQ426" s="115"/>
      <c r="AR426" s="115"/>
      <c r="AS426" s="25"/>
      <c r="AT426" s="15"/>
      <c r="AW426" s="114"/>
    </row>
    <row r="427" spans="6:49" ht="19.5" x14ac:dyDescent="0.4">
      <c r="U427" s="26"/>
      <c r="V427" s="13"/>
      <c r="AA427" s="117"/>
      <c r="AB427" s="123"/>
      <c r="AC427" s="123"/>
      <c r="AD427" s="123"/>
      <c r="AE427" s="115"/>
      <c r="AF427" s="115"/>
      <c r="AG427" s="115"/>
      <c r="AH427" s="115"/>
      <c r="AI427" s="115"/>
      <c r="AJ427" s="115"/>
      <c r="AK427" s="115"/>
      <c r="AL427" s="115"/>
      <c r="AM427" s="115"/>
      <c r="AN427" s="115"/>
      <c r="AO427" s="115"/>
      <c r="AP427" s="115"/>
      <c r="AQ427" s="115"/>
      <c r="AR427" s="115"/>
      <c r="AS427" s="25">
        <v>45274</v>
      </c>
      <c r="AT427" s="15" t="s">
        <v>162</v>
      </c>
      <c r="AW427" s="114"/>
    </row>
    <row r="428" spans="6:49" ht="19.5" x14ac:dyDescent="0.4">
      <c r="L428" s="115"/>
      <c r="M428" s="115"/>
      <c r="N428" s="115"/>
      <c r="O428" s="115"/>
      <c r="P428" s="115"/>
      <c r="Q428" s="115"/>
      <c r="R428" s="115"/>
      <c r="S428" s="115"/>
      <c r="T428" s="115"/>
      <c r="U428" s="26"/>
      <c r="V428" s="13"/>
      <c r="AA428" s="117"/>
      <c r="AB428" s="123"/>
      <c r="AC428" s="123"/>
      <c r="AD428" s="123"/>
      <c r="AE428" s="115"/>
      <c r="AF428" s="115"/>
      <c r="AG428" s="115"/>
      <c r="AH428" s="115"/>
      <c r="AI428" s="115"/>
      <c r="AJ428" s="115"/>
      <c r="AK428" s="115"/>
      <c r="AL428" s="115"/>
      <c r="AM428" s="115"/>
      <c r="AN428" s="115"/>
      <c r="AO428" s="115"/>
      <c r="AP428" s="115"/>
      <c r="AQ428" s="115"/>
      <c r="AR428" s="115"/>
      <c r="AS428" s="25"/>
      <c r="AT428" s="15"/>
      <c r="AW428" s="114"/>
    </row>
    <row r="429" spans="6:49" ht="19.5" x14ac:dyDescent="0.4"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26"/>
      <c r="V429" s="13"/>
      <c r="AA429" s="117"/>
      <c r="AB429" s="123"/>
      <c r="AC429" s="123"/>
      <c r="AD429" s="123"/>
      <c r="AE429" s="115"/>
      <c r="AF429" s="115"/>
      <c r="AG429" s="115"/>
      <c r="AH429" s="115"/>
      <c r="AI429" s="115"/>
      <c r="AJ429" s="115"/>
      <c r="AK429" s="115"/>
      <c r="AL429" s="115"/>
      <c r="AM429" s="115"/>
      <c r="AN429" s="115"/>
      <c r="AO429" s="115"/>
      <c r="AP429" s="115"/>
      <c r="AQ429" s="115"/>
      <c r="AR429" s="115"/>
      <c r="AS429" s="25"/>
      <c r="AT429" s="15"/>
      <c r="AW429" s="114"/>
    </row>
    <row r="430" spans="6:49" ht="19.5" x14ac:dyDescent="0.4"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26"/>
      <c r="V430" s="13"/>
      <c r="AA430" s="117"/>
      <c r="AB430" s="123"/>
      <c r="AC430" s="123"/>
      <c r="AD430" s="123"/>
      <c r="AE430" s="115"/>
      <c r="AF430" s="115"/>
      <c r="AG430" s="115"/>
      <c r="AH430" s="115"/>
      <c r="AI430" s="115"/>
      <c r="AJ430" s="115"/>
      <c r="AK430" s="115"/>
      <c r="AL430" s="115"/>
      <c r="AM430" s="115"/>
      <c r="AN430" s="115"/>
      <c r="AO430" s="115"/>
      <c r="AP430" s="115"/>
      <c r="AQ430" s="115"/>
      <c r="AR430" s="115"/>
      <c r="AS430" s="25"/>
      <c r="AT430" s="15"/>
      <c r="AW430" s="114"/>
    </row>
    <row r="431" spans="6:49" ht="19.5" x14ac:dyDescent="0.4">
      <c r="U431" s="26"/>
      <c r="V431" s="13"/>
      <c r="AA431" s="117"/>
      <c r="AB431" s="123"/>
      <c r="AC431" s="123"/>
      <c r="AD431" s="123"/>
      <c r="AE431" s="115"/>
      <c r="AF431" s="115"/>
      <c r="AG431" s="115"/>
      <c r="AH431" s="115"/>
      <c r="AI431" s="115"/>
      <c r="AJ431" s="115"/>
      <c r="AK431" s="115"/>
      <c r="AL431" s="115"/>
      <c r="AM431" s="115"/>
      <c r="AN431" s="115"/>
      <c r="AO431" s="115"/>
      <c r="AP431" s="115"/>
      <c r="AQ431" s="115"/>
      <c r="AR431" s="115"/>
      <c r="AS431" s="25">
        <v>45274</v>
      </c>
      <c r="AT431" s="15" t="s">
        <v>162</v>
      </c>
      <c r="AW431" s="114"/>
    </row>
    <row r="432" spans="6:49" ht="19.5" x14ac:dyDescent="0.4"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26"/>
      <c r="V432" s="13"/>
      <c r="AA432" s="117"/>
      <c r="AB432" s="123"/>
      <c r="AC432" s="123"/>
      <c r="AD432" s="123"/>
      <c r="AE432" s="115"/>
      <c r="AF432" s="115"/>
      <c r="AG432" s="115"/>
      <c r="AH432" s="115"/>
      <c r="AI432" s="115"/>
      <c r="AJ432" s="115"/>
      <c r="AK432" s="115"/>
      <c r="AL432" s="115"/>
      <c r="AM432" s="115"/>
      <c r="AN432" s="115"/>
      <c r="AO432" s="115"/>
      <c r="AP432" s="115"/>
      <c r="AQ432" s="115"/>
      <c r="AR432" s="115"/>
      <c r="AS432" s="25"/>
      <c r="AT432" s="15"/>
      <c r="AW432" s="114"/>
    </row>
    <row r="433" spans="10:49" ht="19.5" x14ac:dyDescent="0.4">
      <c r="U433" s="26"/>
      <c r="V433" s="13"/>
      <c r="AA433" s="117"/>
      <c r="AB433" s="123"/>
      <c r="AC433" s="123"/>
      <c r="AD433" s="123"/>
      <c r="AE433" s="115"/>
      <c r="AF433" s="115"/>
      <c r="AG433" s="115"/>
      <c r="AH433" s="115"/>
      <c r="AI433" s="115"/>
      <c r="AJ433" s="115"/>
      <c r="AK433" s="115"/>
      <c r="AL433" s="115"/>
      <c r="AM433" s="115"/>
      <c r="AN433" s="115"/>
      <c r="AO433" s="115"/>
      <c r="AP433" s="115"/>
      <c r="AQ433" s="115"/>
      <c r="AR433" s="115"/>
      <c r="AS433" s="25">
        <v>45274</v>
      </c>
      <c r="AT433" s="15" t="s">
        <v>162</v>
      </c>
      <c r="AW433" s="114"/>
    </row>
    <row r="434" spans="10:49" ht="19.5" x14ac:dyDescent="0.4">
      <c r="U434" s="26"/>
      <c r="V434" s="13"/>
      <c r="AA434" s="117"/>
      <c r="AB434" s="123"/>
      <c r="AC434" s="123"/>
      <c r="AD434" s="123"/>
      <c r="AE434" s="115"/>
      <c r="AF434" s="115"/>
      <c r="AG434" s="115"/>
      <c r="AH434" s="115"/>
      <c r="AI434" s="115"/>
      <c r="AJ434" s="115"/>
      <c r="AK434" s="115"/>
      <c r="AL434" s="115"/>
      <c r="AM434" s="115"/>
      <c r="AN434" s="115"/>
      <c r="AO434" s="115"/>
      <c r="AP434" s="115"/>
      <c r="AQ434" s="115"/>
      <c r="AR434" s="115"/>
      <c r="AS434" s="25">
        <v>45274</v>
      </c>
      <c r="AT434" s="15" t="s">
        <v>163</v>
      </c>
      <c r="AW434" s="114"/>
    </row>
    <row r="435" spans="10:49" ht="19.5" x14ac:dyDescent="0.4">
      <c r="M435" s="115"/>
      <c r="N435" s="115"/>
      <c r="O435" s="115"/>
      <c r="P435" s="115"/>
      <c r="Q435" s="115"/>
      <c r="R435" s="115"/>
      <c r="S435" s="115"/>
      <c r="T435" s="115"/>
      <c r="U435" s="17"/>
      <c r="V435" s="13"/>
      <c r="AA435" s="117"/>
      <c r="AB435" s="123"/>
      <c r="AC435" s="123"/>
      <c r="AD435" s="123"/>
      <c r="AE435" s="115"/>
      <c r="AF435" s="115"/>
      <c r="AG435" s="115"/>
      <c r="AH435" s="115"/>
      <c r="AI435" s="115"/>
      <c r="AJ435" s="115"/>
      <c r="AK435" s="115"/>
      <c r="AL435" s="115"/>
      <c r="AM435" s="115"/>
      <c r="AN435" s="115"/>
      <c r="AO435" s="115"/>
      <c r="AP435" s="115"/>
      <c r="AQ435" s="115"/>
      <c r="AR435" s="115"/>
      <c r="AS435" s="25"/>
      <c r="AT435" s="15"/>
      <c r="AW435" s="114"/>
    </row>
    <row r="436" spans="10:49" ht="19.5" x14ac:dyDescent="0.4"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26"/>
      <c r="V436" s="13"/>
      <c r="AA436" s="117"/>
      <c r="AB436" s="123"/>
      <c r="AC436" s="123"/>
      <c r="AD436" s="123"/>
      <c r="AE436" s="115"/>
      <c r="AF436" s="115"/>
      <c r="AG436" s="115"/>
      <c r="AH436" s="115"/>
      <c r="AI436" s="115"/>
      <c r="AJ436" s="115"/>
      <c r="AK436" s="115"/>
      <c r="AL436" s="115"/>
      <c r="AM436" s="115"/>
      <c r="AN436" s="115"/>
      <c r="AO436" s="115"/>
      <c r="AP436" s="115"/>
      <c r="AQ436" s="115"/>
      <c r="AR436" s="115"/>
      <c r="AS436" s="25"/>
      <c r="AT436" s="15"/>
      <c r="AW436" s="114"/>
    </row>
    <row r="437" spans="10:49" ht="19.5" x14ac:dyDescent="0.4">
      <c r="U437" s="26"/>
      <c r="V437" s="25"/>
      <c r="AA437" s="117"/>
      <c r="AB437" s="123"/>
      <c r="AC437" s="123"/>
      <c r="AD437" s="123"/>
      <c r="AE437" s="115"/>
      <c r="AF437" s="115"/>
      <c r="AG437" s="115"/>
      <c r="AH437" s="115"/>
      <c r="AI437" s="115"/>
      <c r="AJ437" s="115"/>
      <c r="AK437" s="115"/>
      <c r="AL437" s="115"/>
      <c r="AM437" s="115"/>
      <c r="AN437" s="115"/>
      <c r="AO437" s="115"/>
      <c r="AP437" s="115"/>
      <c r="AQ437" s="115"/>
      <c r="AR437" s="115" t="s">
        <v>167</v>
      </c>
      <c r="AS437" s="13">
        <f>SUBTOTAL(3,AS424:AS434)</f>
        <v>5</v>
      </c>
      <c r="AT437" s="15">
        <f>SUBTOTAL(3,AT424:AT434)</f>
        <v>5</v>
      </c>
      <c r="AW437" s="114"/>
    </row>
    <row r="438" spans="10:49" ht="19.5" x14ac:dyDescent="0.4"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26"/>
      <c r="V438" s="105"/>
      <c r="AA438" s="117"/>
      <c r="AB438" s="123"/>
      <c r="AC438" s="123"/>
      <c r="AD438" s="123"/>
      <c r="AE438" s="115"/>
      <c r="AF438" s="115"/>
      <c r="AG438" s="115"/>
      <c r="AH438" s="115"/>
      <c r="AI438" s="115"/>
      <c r="AJ438" s="115"/>
      <c r="AK438" s="115"/>
      <c r="AL438" s="115"/>
      <c r="AM438" s="115"/>
      <c r="AN438" s="115"/>
      <c r="AO438" s="115"/>
      <c r="AP438" s="115"/>
      <c r="AQ438" s="115"/>
      <c r="AR438" s="115"/>
      <c r="AS438" s="13"/>
      <c r="AT438" s="15"/>
      <c r="AW438" s="114"/>
    </row>
    <row r="439" spans="10:49" ht="19.5" x14ac:dyDescent="0.4">
      <c r="U439" s="26"/>
      <c r="V439" s="105"/>
      <c r="AA439" s="117"/>
      <c r="AB439" s="123"/>
      <c r="AC439" s="123"/>
      <c r="AD439" s="123"/>
      <c r="AE439" s="115"/>
      <c r="AF439" s="115"/>
      <c r="AG439" s="115"/>
      <c r="AH439" s="115"/>
      <c r="AI439" s="115"/>
      <c r="AJ439" s="115"/>
      <c r="AK439" s="115"/>
      <c r="AL439" s="115"/>
      <c r="AM439" s="115"/>
      <c r="AN439" s="115"/>
      <c r="AO439" s="115"/>
      <c r="AP439" s="115"/>
      <c r="AQ439" s="115"/>
      <c r="AR439" s="115"/>
      <c r="AS439" s="13"/>
      <c r="AT439" s="15"/>
      <c r="AW439" s="114"/>
    </row>
    <row r="440" spans="10:49" ht="19.5" x14ac:dyDescent="0.4">
      <c r="M440" s="115"/>
      <c r="N440" s="115"/>
      <c r="O440" s="115"/>
      <c r="P440" s="115"/>
      <c r="Q440" s="115"/>
      <c r="R440" s="115"/>
      <c r="S440" s="115"/>
      <c r="T440" s="115"/>
      <c r="U440" s="17"/>
      <c r="V440" s="15"/>
      <c r="AA440" s="117"/>
      <c r="AB440" s="123"/>
      <c r="AC440" s="123"/>
      <c r="AD440" s="123"/>
      <c r="AE440" s="115"/>
      <c r="AF440" s="115"/>
      <c r="AG440" s="115"/>
      <c r="AH440" s="115"/>
      <c r="AI440" s="115"/>
      <c r="AJ440" s="115"/>
      <c r="AK440" s="115"/>
      <c r="AL440" s="115"/>
      <c r="AM440" s="115"/>
      <c r="AN440" s="115"/>
      <c r="AO440" s="115"/>
      <c r="AP440" s="115"/>
      <c r="AQ440" s="115"/>
      <c r="AR440" s="115"/>
      <c r="AS440" s="13"/>
      <c r="AT440" s="15"/>
      <c r="AW440" s="114"/>
    </row>
    <row r="441" spans="10:49" ht="19.5" x14ac:dyDescent="0.4"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26"/>
      <c r="V441" s="15"/>
      <c r="AA441" s="117"/>
      <c r="AB441" s="123"/>
      <c r="AC441" s="123"/>
      <c r="AD441" s="123"/>
      <c r="AE441" s="115"/>
      <c r="AF441" s="115"/>
      <c r="AG441" s="115"/>
      <c r="AH441" s="115"/>
      <c r="AI441" s="115"/>
      <c r="AJ441" s="115"/>
      <c r="AK441" s="115"/>
      <c r="AL441" s="115"/>
      <c r="AM441" s="115"/>
      <c r="AN441" s="115"/>
      <c r="AO441" s="115"/>
      <c r="AP441" s="115"/>
      <c r="AQ441" s="115"/>
      <c r="AR441" s="115"/>
      <c r="AS441" s="13"/>
      <c r="AT441" s="15"/>
      <c r="AW441" s="114"/>
    </row>
    <row r="442" spans="10:49" ht="19.5" x14ac:dyDescent="0.4"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26"/>
      <c r="V442" s="15"/>
      <c r="AA442" s="117"/>
      <c r="AB442" s="123"/>
      <c r="AC442" s="123"/>
      <c r="AD442" s="123"/>
      <c r="AE442" s="115"/>
      <c r="AF442" s="115"/>
      <c r="AG442" s="115"/>
      <c r="AH442" s="115"/>
      <c r="AI442" s="115"/>
      <c r="AJ442" s="115"/>
      <c r="AK442" s="115"/>
      <c r="AL442" s="115"/>
      <c r="AM442" s="115"/>
      <c r="AN442" s="115"/>
      <c r="AO442" s="115"/>
      <c r="AP442" s="115"/>
      <c r="AQ442" s="115"/>
      <c r="AR442" s="115"/>
      <c r="AS442" s="13"/>
      <c r="AT442" s="15"/>
      <c r="AW442" s="114"/>
    </row>
    <row r="443" spans="10:49" ht="19.5" x14ac:dyDescent="0.4"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26"/>
      <c r="V443" s="15"/>
      <c r="AA443" s="117"/>
      <c r="AB443" s="123"/>
      <c r="AC443" s="123"/>
      <c r="AD443" s="123"/>
      <c r="AE443" s="115"/>
      <c r="AF443" s="115"/>
      <c r="AG443" s="115"/>
      <c r="AH443" s="115"/>
      <c r="AI443" s="115"/>
      <c r="AJ443" s="115"/>
      <c r="AK443" s="115"/>
      <c r="AL443" s="115"/>
      <c r="AM443" s="115"/>
      <c r="AN443" s="115"/>
      <c r="AO443" s="115"/>
      <c r="AP443" s="115"/>
      <c r="AQ443" s="115"/>
      <c r="AR443" s="115"/>
      <c r="AS443" s="13"/>
      <c r="AT443" s="15"/>
      <c r="AW443" s="114"/>
    </row>
    <row r="444" spans="10:49" ht="19.5" x14ac:dyDescent="0.4"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26"/>
      <c r="V444" s="15"/>
      <c r="AA444" s="117"/>
      <c r="AB444" s="123"/>
      <c r="AC444" s="123"/>
      <c r="AD444" s="123"/>
      <c r="AE444" s="115"/>
      <c r="AF444" s="115"/>
      <c r="AG444" s="115"/>
      <c r="AH444" s="115"/>
      <c r="AI444" s="115"/>
      <c r="AJ444" s="115"/>
      <c r="AK444" s="115"/>
      <c r="AL444" s="115"/>
      <c r="AM444" s="115"/>
      <c r="AN444" s="115"/>
      <c r="AO444" s="115"/>
      <c r="AP444" s="115"/>
      <c r="AQ444" s="115"/>
      <c r="AR444" s="115"/>
      <c r="AS444" s="13"/>
      <c r="AT444" s="15"/>
      <c r="AW444" s="114"/>
    </row>
    <row r="445" spans="10:49" ht="19.5" x14ac:dyDescent="0.4">
      <c r="U445" s="26"/>
      <c r="V445" s="15"/>
      <c r="AA445" s="117"/>
      <c r="AB445" s="123"/>
      <c r="AC445" s="123"/>
      <c r="AD445" s="123"/>
      <c r="AE445" s="115"/>
      <c r="AF445" s="115"/>
      <c r="AG445" s="115"/>
      <c r="AH445" s="115"/>
      <c r="AI445" s="115"/>
      <c r="AJ445" s="115"/>
      <c r="AK445" s="115"/>
      <c r="AL445" s="115"/>
      <c r="AM445" s="115"/>
      <c r="AN445" s="115"/>
      <c r="AO445" s="115"/>
      <c r="AP445" s="115"/>
      <c r="AQ445" s="115"/>
      <c r="AR445" s="115"/>
      <c r="AS445" s="25">
        <v>45275</v>
      </c>
      <c r="AT445" s="15" t="s">
        <v>163</v>
      </c>
      <c r="AW445" s="114"/>
    </row>
    <row r="446" spans="10:49" ht="19.5" x14ac:dyDescent="0.4">
      <c r="U446" s="26"/>
      <c r="V446" s="15"/>
      <c r="AA446" s="117"/>
      <c r="AB446" s="123"/>
      <c r="AC446" s="123"/>
      <c r="AD446" s="123"/>
      <c r="AE446" s="115"/>
      <c r="AF446" s="115"/>
      <c r="AG446" s="115"/>
      <c r="AH446" s="115"/>
      <c r="AI446" s="115"/>
      <c r="AJ446" s="115"/>
      <c r="AK446" s="115"/>
      <c r="AL446" s="115"/>
      <c r="AM446" s="115"/>
      <c r="AN446" s="115"/>
      <c r="AO446" s="115"/>
      <c r="AP446" s="115"/>
      <c r="AQ446" s="115"/>
      <c r="AR446" s="115" t="s">
        <v>168</v>
      </c>
      <c r="AS446" s="13">
        <f>SUBTOTAL(3,AS445:AS445)</f>
        <v>1</v>
      </c>
      <c r="AT446" s="15">
        <f>SUBTOTAL(3,AT445:AT445)</f>
        <v>1</v>
      </c>
      <c r="AW446" s="114"/>
    </row>
    <row r="447" spans="10:49" ht="19.5" x14ac:dyDescent="0.4">
      <c r="U447" s="26"/>
      <c r="V447" s="15"/>
      <c r="AA447" s="117"/>
      <c r="AB447" s="123"/>
      <c r="AC447" s="123"/>
      <c r="AD447" s="123"/>
      <c r="AE447" s="115"/>
      <c r="AF447" s="115"/>
      <c r="AG447" s="115"/>
      <c r="AH447" s="115"/>
      <c r="AI447" s="115"/>
      <c r="AJ447" s="115"/>
      <c r="AK447" s="115"/>
      <c r="AL447" s="115"/>
      <c r="AM447" s="115"/>
      <c r="AN447" s="115"/>
      <c r="AO447" s="115"/>
      <c r="AP447" s="115"/>
      <c r="AQ447" s="115"/>
      <c r="AR447" s="115"/>
      <c r="AS447" s="25">
        <v>45276</v>
      </c>
      <c r="AT447" s="15" t="s">
        <v>164</v>
      </c>
      <c r="AW447" s="114"/>
    </row>
    <row r="448" spans="10:49" ht="19.5" x14ac:dyDescent="0.4">
      <c r="U448" s="26"/>
      <c r="V448" s="15"/>
      <c r="AA448" s="117"/>
      <c r="AB448" s="123"/>
      <c r="AC448" s="123"/>
      <c r="AD448" s="123"/>
      <c r="AE448" s="115"/>
      <c r="AF448" s="115"/>
      <c r="AG448" s="115"/>
      <c r="AH448" s="115"/>
      <c r="AI448" s="115"/>
      <c r="AJ448" s="115"/>
      <c r="AK448" s="115"/>
      <c r="AL448" s="115"/>
      <c r="AM448" s="115"/>
      <c r="AN448" s="115"/>
      <c r="AO448" s="115"/>
      <c r="AP448" s="115"/>
      <c r="AQ448" s="115"/>
      <c r="AR448" s="115"/>
      <c r="AS448" s="25">
        <v>45276</v>
      </c>
      <c r="AT448" s="15" t="s">
        <v>162</v>
      </c>
      <c r="AW448" s="114"/>
    </row>
    <row r="449" spans="6:49" ht="19.5" x14ac:dyDescent="0.4">
      <c r="U449" s="26"/>
      <c r="V449" s="15"/>
      <c r="AA449" s="117"/>
      <c r="AB449" s="123"/>
      <c r="AC449" s="123"/>
      <c r="AD449" s="123"/>
      <c r="AE449" s="115"/>
      <c r="AF449" s="115"/>
      <c r="AG449" s="115"/>
      <c r="AH449" s="115"/>
      <c r="AI449" s="115"/>
      <c r="AJ449" s="115"/>
      <c r="AK449" s="115"/>
      <c r="AL449" s="115"/>
      <c r="AM449" s="115"/>
      <c r="AN449" s="115"/>
      <c r="AO449" s="115"/>
      <c r="AP449" s="115"/>
      <c r="AQ449" s="115"/>
      <c r="AR449" s="115"/>
      <c r="AS449" s="25">
        <v>45276</v>
      </c>
      <c r="AT449" s="15" t="s">
        <v>162</v>
      </c>
      <c r="AW449" s="114"/>
    </row>
    <row r="450" spans="6:49" ht="19.5" x14ac:dyDescent="0.4">
      <c r="U450" s="26"/>
      <c r="V450" s="15"/>
      <c r="AA450" s="117"/>
      <c r="AB450" s="123"/>
      <c r="AC450" s="123"/>
      <c r="AD450" s="123"/>
      <c r="AE450" s="115"/>
      <c r="AF450" s="115"/>
      <c r="AG450" s="115"/>
      <c r="AH450" s="115"/>
      <c r="AI450" s="115"/>
      <c r="AJ450" s="115"/>
      <c r="AK450" s="115"/>
      <c r="AL450" s="115"/>
      <c r="AM450" s="115"/>
      <c r="AN450" s="115"/>
      <c r="AO450" s="115"/>
      <c r="AP450" s="115"/>
      <c r="AQ450" s="115"/>
      <c r="AR450" s="115"/>
      <c r="AS450" s="25">
        <v>45276</v>
      </c>
      <c r="AT450" s="15" t="s">
        <v>162</v>
      </c>
      <c r="AW450" s="114"/>
    </row>
    <row r="451" spans="6:49" ht="19.5" x14ac:dyDescent="0.4">
      <c r="U451" s="26"/>
      <c r="V451" s="15"/>
      <c r="AA451" s="117"/>
      <c r="AB451" s="123"/>
      <c r="AC451" s="123"/>
      <c r="AD451" s="123"/>
      <c r="AE451" s="115"/>
      <c r="AF451" s="115"/>
      <c r="AG451" s="115"/>
      <c r="AH451" s="115"/>
      <c r="AI451" s="115"/>
      <c r="AJ451" s="115"/>
      <c r="AK451" s="115"/>
      <c r="AL451" s="115"/>
      <c r="AM451" s="115"/>
      <c r="AN451" s="115"/>
      <c r="AO451" s="115"/>
      <c r="AP451" s="115"/>
      <c r="AQ451" s="115"/>
      <c r="AR451" s="115"/>
      <c r="AS451" s="25">
        <v>45276</v>
      </c>
      <c r="AT451" s="15" t="s">
        <v>162</v>
      </c>
      <c r="AW451" s="114"/>
    </row>
    <row r="452" spans="6:49" ht="19.5" x14ac:dyDescent="0.4"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26"/>
      <c r="V452" s="15"/>
      <c r="AA452" s="117"/>
      <c r="AB452" s="123"/>
      <c r="AC452" s="123"/>
      <c r="AD452" s="123"/>
      <c r="AE452" s="115"/>
      <c r="AF452" s="115"/>
      <c r="AG452" s="115"/>
      <c r="AH452" s="115"/>
      <c r="AI452" s="115"/>
      <c r="AJ452" s="115"/>
      <c r="AK452" s="115"/>
      <c r="AL452" s="115"/>
      <c r="AM452" s="115"/>
      <c r="AN452" s="115"/>
      <c r="AO452" s="115"/>
      <c r="AP452" s="115"/>
      <c r="AQ452" s="115"/>
      <c r="AR452" s="115"/>
      <c r="AS452" s="25"/>
      <c r="AT452" s="15"/>
      <c r="AW452" s="114"/>
    </row>
    <row r="453" spans="6:49" ht="19.5" x14ac:dyDescent="0.4">
      <c r="U453" s="26"/>
      <c r="V453" s="15"/>
      <c r="AA453" s="117"/>
      <c r="AB453" s="123"/>
      <c r="AC453" s="123"/>
      <c r="AD453" s="123"/>
      <c r="AE453" s="115"/>
      <c r="AF453" s="115"/>
      <c r="AG453" s="115"/>
      <c r="AH453" s="115"/>
      <c r="AI453" s="115"/>
      <c r="AJ453" s="115"/>
      <c r="AK453" s="115"/>
      <c r="AL453" s="115"/>
      <c r="AM453" s="115"/>
      <c r="AN453" s="115"/>
      <c r="AO453" s="115"/>
      <c r="AP453" s="115"/>
      <c r="AQ453" s="115"/>
      <c r="AR453" s="115"/>
      <c r="AS453" s="25">
        <v>45276</v>
      </c>
      <c r="AT453" s="15" t="s">
        <v>162</v>
      </c>
      <c r="AW453" s="114"/>
    </row>
    <row r="454" spans="6:49" ht="19.5" x14ac:dyDescent="0.4">
      <c r="U454" s="26"/>
      <c r="V454" s="15"/>
      <c r="AA454" s="117"/>
      <c r="AB454" s="123"/>
      <c r="AC454" s="123"/>
      <c r="AD454" s="123"/>
      <c r="AE454" s="115"/>
      <c r="AF454" s="115"/>
      <c r="AG454" s="115"/>
      <c r="AH454" s="115"/>
      <c r="AI454" s="115"/>
      <c r="AJ454" s="115"/>
      <c r="AK454" s="115"/>
      <c r="AL454" s="115"/>
      <c r="AM454" s="115"/>
      <c r="AN454" s="115"/>
      <c r="AO454" s="115"/>
      <c r="AP454" s="115"/>
      <c r="AQ454" s="115"/>
      <c r="AR454" s="115"/>
      <c r="AS454" s="25">
        <v>45276</v>
      </c>
      <c r="AT454" s="15" t="s">
        <v>162</v>
      </c>
      <c r="AW454" s="114"/>
    </row>
    <row r="455" spans="6:49" ht="19.5" x14ac:dyDescent="0.4">
      <c r="M455" s="115"/>
      <c r="N455" s="115"/>
      <c r="O455" s="115"/>
      <c r="P455" s="115"/>
      <c r="Q455" s="115"/>
      <c r="R455" s="115"/>
      <c r="S455" s="115"/>
      <c r="T455" s="115"/>
      <c r="U455" s="17"/>
      <c r="V455" s="15"/>
      <c r="AA455" s="117"/>
      <c r="AB455" s="123"/>
      <c r="AC455" s="123"/>
      <c r="AD455" s="123"/>
      <c r="AE455" s="115"/>
      <c r="AF455" s="115"/>
      <c r="AG455" s="115"/>
      <c r="AH455" s="115"/>
      <c r="AI455" s="115"/>
      <c r="AJ455" s="115"/>
      <c r="AK455" s="115"/>
      <c r="AL455" s="115"/>
      <c r="AM455" s="115"/>
      <c r="AN455" s="115"/>
      <c r="AO455" s="115"/>
      <c r="AP455" s="115"/>
      <c r="AQ455" s="115"/>
      <c r="AR455" s="115"/>
      <c r="AS455" s="25"/>
      <c r="AT455" s="15"/>
      <c r="AW455" s="114"/>
    </row>
    <row r="456" spans="6:49" ht="19.5" x14ac:dyDescent="0.4"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26"/>
      <c r="V456" s="15"/>
      <c r="AA456" s="117"/>
      <c r="AB456" s="123"/>
      <c r="AC456" s="123"/>
      <c r="AD456" s="123"/>
      <c r="AE456" s="115"/>
      <c r="AF456" s="115"/>
      <c r="AG456" s="115"/>
      <c r="AH456" s="115"/>
      <c r="AI456" s="115"/>
      <c r="AJ456" s="115"/>
      <c r="AK456" s="115"/>
      <c r="AL456" s="115"/>
      <c r="AM456" s="115"/>
      <c r="AN456" s="115"/>
      <c r="AO456" s="115"/>
      <c r="AP456" s="115"/>
      <c r="AQ456" s="115"/>
      <c r="AR456" s="115"/>
      <c r="AS456" s="25"/>
      <c r="AT456" s="15"/>
      <c r="AW456" s="114"/>
    </row>
    <row r="457" spans="6:49" ht="19.5" x14ac:dyDescent="0.4"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26"/>
      <c r="V457" s="15"/>
      <c r="AA457" s="117"/>
      <c r="AB457" s="123"/>
      <c r="AC457" s="123"/>
      <c r="AD457" s="123"/>
      <c r="AE457" s="115"/>
      <c r="AF457" s="115"/>
      <c r="AG457" s="115"/>
      <c r="AH457" s="115"/>
      <c r="AI457" s="115"/>
      <c r="AJ457" s="115"/>
      <c r="AK457" s="115"/>
      <c r="AL457" s="115"/>
      <c r="AM457" s="115"/>
      <c r="AN457" s="115"/>
      <c r="AO457" s="115"/>
      <c r="AP457" s="115"/>
      <c r="AQ457" s="115"/>
      <c r="AR457" s="115"/>
      <c r="AS457" s="25"/>
      <c r="AT457" s="15"/>
      <c r="AW457" s="114"/>
    </row>
    <row r="458" spans="6:49" ht="19.5" x14ac:dyDescent="0.4"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26"/>
      <c r="V458" s="15"/>
      <c r="AA458" s="117"/>
      <c r="AB458" s="123"/>
      <c r="AC458" s="123"/>
      <c r="AD458" s="123"/>
      <c r="AE458" s="115"/>
      <c r="AF458" s="115"/>
      <c r="AG458" s="115"/>
      <c r="AH458" s="115"/>
      <c r="AI458" s="115"/>
      <c r="AJ458" s="115"/>
      <c r="AK458" s="115"/>
      <c r="AL458" s="115"/>
      <c r="AM458" s="115"/>
      <c r="AN458" s="115"/>
      <c r="AO458" s="115"/>
      <c r="AP458" s="115"/>
      <c r="AQ458" s="115"/>
      <c r="AR458" s="115"/>
      <c r="AS458" s="25"/>
      <c r="AT458" s="15"/>
      <c r="AW458" s="114"/>
    </row>
    <row r="459" spans="6:49" ht="19.5" x14ac:dyDescent="0.4">
      <c r="U459" s="26"/>
      <c r="V459" s="15"/>
      <c r="Z459" s="115"/>
      <c r="AA459" s="117"/>
      <c r="AB459" s="123"/>
      <c r="AC459" s="123"/>
      <c r="AD459" s="123"/>
      <c r="AE459" s="115"/>
      <c r="AF459" s="115"/>
      <c r="AG459" s="115"/>
      <c r="AH459" s="115"/>
      <c r="AI459" s="115"/>
      <c r="AJ459" s="115"/>
      <c r="AK459" s="115"/>
      <c r="AL459" s="115"/>
      <c r="AM459" s="115"/>
      <c r="AN459" s="115"/>
      <c r="AO459" s="115"/>
      <c r="AP459" s="115"/>
      <c r="AQ459" s="115"/>
      <c r="AR459" s="115"/>
      <c r="AS459" s="25">
        <v>45276</v>
      </c>
      <c r="AT459" s="15" t="s">
        <v>162</v>
      </c>
      <c r="AW459" s="114"/>
    </row>
    <row r="460" spans="6:49" ht="19.5" x14ac:dyDescent="0.4">
      <c r="U460" s="26"/>
      <c r="V460" s="15"/>
      <c r="Z460" s="115"/>
      <c r="AA460" s="117"/>
      <c r="AB460" s="123"/>
      <c r="AC460" s="123"/>
      <c r="AD460" s="123"/>
      <c r="AE460" s="115"/>
      <c r="AF460" s="115"/>
      <c r="AG460" s="115"/>
      <c r="AH460" s="115"/>
      <c r="AI460" s="115"/>
      <c r="AJ460" s="115"/>
      <c r="AK460" s="115"/>
      <c r="AL460" s="115"/>
      <c r="AM460" s="115"/>
      <c r="AN460" s="115"/>
      <c r="AO460" s="115"/>
      <c r="AP460" s="115"/>
      <c r="AQ460" s="115"/>
      <c r="AR460" s="115"/>
      <c r="AS460" s="25">
        <v>45276</v>
      </c>
      <c r="AT460" s="15" t="s">
        <v>162</v>
      </c>
      <c r="AW460" s="114"/>
    </row>
    <row r="461" spans="6:49" ht="19.5" x14ac:dyDescent="0.4">
      <c r="U461" s="26"/>
      <c r="V461" s="15"/>
      <c r="Z461" s="115"/>
      <c r="AA461" s="117"/>
      <c r="AB461" s="123"/>
      <c r="AC461" s="123"/>
      <c r="AD461" s="123"/>
      <c r="AE461" s="115"/>
      <c r="AF461" s="115"/>
      <c r="AG461" s="115"/>
      <c r="AH461" s="115"/>
      <c r="AI461" s="115"/>
      <c r="AJ461" s="115"/>
      <c r="AK461" s="115"/>
      <c r="AL461" s="115"/>
      <c r="AM461" s="115"/>
      <c r="AN461" s="115"/>
      <c r="AO461" s="115"/>
      <c r="AP461" s="115"/>
      <c r="AQ461" s="115"/>
      <c r="AR461" s="115"/>
      <c r="AS461" s="25">
        <v>45276</v>
      </c>
      <c r="AT461" s="15" t="s">
        <v>162</v>
      </c>
      <c r="AW461" s="114"/>
    </row>
    <row r="462" spans="6:49" ht="19.5" x14ac:dyDescent="0.4">
      <c r="M462" s="115"/>
      <c r="N462" s="115"/>
      <c r="O462" s="115"/>
      <c r="P462" s="115"/>
      <c r="Q462" s="115"/>
      <c r="R462" s="115"/>
      <c r="S462" s="115"/>
      <c r="T462" s="115"/>
      <c r="U462" s="17"/>
      <c r="V462" s="15"/>
      <c r="Z462" s="115"/>
      <c r="AA462" s="117"/>
      <c r="AB462" s="123"/>
      <c r="AC462" s="123"/>
      <c r="AD462" s="123"/>
      <c r="AE462" s="115"/>
      <c r="AF462" s="115"/>
      <c r="AG462" s="115"/>
      <c r="AH462" s="115"/>
      <c r="AI462" s="115"/>
      <c r="AJ462" s="115"/>
      <c r="AK462" s="115"/>
      <c r="AL462" s="115"/>
      <c r="AM462" s="115"/>
      <c r="AN462" s="115"/>
      <c r="AO462" s="115"/>
      <c r="AP462" s="115"/>
      <c r="AQ462" s="115"/>
      <c r="AR462" s="115"/>
      <c r="AS462" s="25"/>
      <c r="AT462" s="15"/>
      <c r="AW462" s="114"/>
    </row>
    <row r="463" spans="6:49" ht="19.5" x14ac:dyDescent="0.4"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26"/>
      <c r="V463" s="15"/>
      <c r="Z463" s="115"/>
      <c r="AA463" s="117"/>
      <c r="AB463" s="123"/>
      <c r="AC463" s="123"/>
      <c r="AD463" s="123"/>
      <c r="AE463" s="115"/>
      <c r="AF463" s="115"/>
      <c r="AG463" s="115"/>
      <c r="AH463" s="115"/>
      <c r="AI463" s="115"/>
      <c r="AJ463" s="115"/>
      <c r="AK463" s="115"/>
      <c r="AL463" s="115"/>
      <c r="AM463" s="115"/>
      <c r="AN463" s="115"/>
      <c r="AO463" s="115"/>
      <c r="AP463" s="115"/>
      <c r="AQ463" s="115"/>
      <c r="AR463" s="115"/>
      <c r="AS463" s="25"/>
      <c r="AT463" s="15"/>
      <c r="AW463" s="114"/>
    </row>
    <row r="464" spans="6:49" ht="19.5" x14ac:dyDescent="0.4"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7"/>
      <c r="V464" s="15"/>
      <c r="Z464" s="115"/>
      <c r="AA464" s="117"/>
      <c r="AB464" s="123"/>
      <c r="AC464" s="123"/>
      <c r="AD464" s="123"/>
      <c r="AE464" s="115"/>
      <c r="AF464" s="115"/>
      <c r="AG464" s="115"/>
      <c r="AH464" s="115"/>
      <c r="AI464" s="115"/>
      <c r="AJ464" s="115"/>
      <c r="AK464" s="115"/>
      <c r="AL464" s="115"/>
      <c r="AM464" s="115"/>
      <c r="AN464" s="115"/>
      <c r="AO464" s="115"/>
      <c r="AP464" s="115"/>
      <c r="AQ464" s="115"/>
      <c r="AR464" s="115"/>
      <c r="AS464" s="25"/>
      <c r="AT464" s="15"/>
      <c r="AW464" s="114"/>
    </row>
    <row r="465" spans="6:49" ht="19.5" x14ac:dyDescent="0.4">
      <c r="U465" s="26"/>
      <c r="V465" s="15"/>
      <c r="Z465" s="115"/>
      <c r="AA465" s="117"/>
      <c r="AB465" s="123"/>
      <c r="AC465" s="123"/>
      <c r="AD465" s="123"/>
      <c r="AE465" s="115"/>
      <c r="AF465" s="115"/>
      <c r="AG465" s="115"/>
      <c r="AH465" s="115"/>
      <c r="AI465" s="115"/>
      <c r="AJ465" s="115"/>
      <c r="AK465" s="115"/>
      <c r="AL465" s="115"/>
      <c r="AM465" s="115"/>
      <c r="AN465" s="115"/>
      <c r="AO465" s="115"/>
      <c r="AP465" s="115"/>
      <c r="AQ465" s="115"/>
      <c r="AR465" s="115"/>
      <c r="AS465" s="25"/>
      <c r="AT465" s="15"/>
      <c r="AW465" s="114"/>
    </row>
    <row r="466" spans="6:49" ht="19.5" x14ac:dyDescent="0.4"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26"/>
      <c r="V466" s="15"/>
      <c r="Z466" s="115"/>
      <c r="AA466" s="117"/>
      <c r="AB466" s="123"/>
      <c r="AC466" s="123"/>
      <c r="AD466" s="123"/>
      <c r="AE466" s="115"/>
      <c r="AF466" s="115"/>
      <c r="AG466" s="115"/>
      <c r="AH466" s="115"/>
      <c r="AI466" s="115"/>
      <c r="AJ466" s="115"/>
      <c r="AK466" s="115"/>
      <c r="AL466" s="115"/>
      <c r="AM466" s="115"/>
      <c r="AN466" s="115"/>
      <c r="AO466" s="115"/>
      <c r="AP466" s="115"/>
      <c r="AQ466" s="115"/>
      <c r="AR466" s="115"/>
      <c r="AS466" s="25"/>
      <c r="AT466" s="15"/>
      <c r="AW466" s="114"/>
    </row>
    <row r="467" spans="6:49" ht="19.5" x14ac:dyDescent="0.4">
      <c r="U467" s="26"/>
      <c r="V467" s="15"/>
      <c r="Z467" s="115"/>
      <c r="AA467" s="117"/>
      <c r="AB467" s="123"/>
      <c r="AC467" s="123"/>
      <c r="AD467" s="123"/>
      <c r="AE467" s="115"/>
      <c r="AF467" s="115"/>
      <c r="AG467" s="115"/>
      <c r="AH467" s="115"/>
      <c r="AI467" s="115"/>
      <c r="AJ467" s="115"/>
      <c r="AK467" s="115"/>
      <c r="AL467" s="115"/>
      <c r="AM467" s="115"/>
      <c r="AN467" s="115"/>
      <c r="AO467" s="115"/>
      <c r="AP467" s="115"/>
      <c r="AQ467" s="115"/>
      <c r="AR467" s="115"/>
      <c r="AS467" s="25">
        <v>45276</v>
      </c>
      <c r="AT467" s="15" t="s">
        <v>162</v>
      </c>
      <c r="AW467" s="114"/>
    </row>
    <row r="468" spans="6:49" ht="19.5" x14ac:dyDescent="0.4">
      <c r="M468" s="115"/>
      <c r="N468" s="115"/>
      <c r="O468" s="115"/>
      <c r="P468" s="115"/>
      <c r="Q468" s="115"/>
      <c r="R468" s="115"/>
      <c r="S468" s="115"/>
      <c r="T468" s="115"/>
      <c r="U468" s="17"/>
      <c r="V468" s="15"/>
      <c r="Z468" s="115"/>
      <c r="AA468" s="117"/>
      <c r="AB468" s="123"/>
      <c r="AC468" s="123"/>
      <c r="AD468" s="123"/>
      <c r="AE468" s="115"/>
      <c r="AF468" s="115"/>
      <c r="AG468" s="115"/>
      <c r="AH468" s="115"/>
      <c r="AI468" s="115"/>
      <c r="AJ468" s="115"/>
      <c r="AK468" s="115"/>
      <c r="AL468" s="115"/>
      <c r="AM468" s="115"/>
      <c r="AN468" s="115"/>
      <c r="AO468" s="115"/>
      <c r="AP468" s="115"/>
      <c r="AQ468" s="115"/>
      <c r="AR468" s="115"/>
      <c r="AS468" s="25"/>
      <c r="AT468" s="15"/>
      <c r="AW468" s="114"/>
    </row>
    <row r="469" spans="6:49" ht="19.5" x14ac:dyDescent="0.4">
      <c r="U469" s="26"/>
      <c r="V469" s="15"/>
      <c r="Z469" s="115"/>
      <c r="AA469" s="117"/>
      <c r="AB469" s="123"/>
      <c r="AC469" s="123"/>
      <c r="AD469" s="123"/>
      <c r="AE469" s="115"/>
      <c r="AF469" s="115"/>
      <c r="AG469" s="115"/>
      <c r="AH469" s="115"/>
      <c r="AI469" s="115"/>
      <c r="AJ469" s="115"/>
      <c r="AK469" s="115"/>
      <c r="AL469" s="115"/>
      <c r="AM469" s="115"/>
      <c r="AN469" s="115"/>
      <c r="AO469" s="115"/>
      <c r="AP469" s="115"/>
      <c r="AQ469" s="115"/>
      <c r="AR469" s="115"/>
      <c r="AS469" s="25">
        <v>45276</v>
      </c>
      <c r="AT469" s="15" t="s">
        <v>162</v>
      </c>
      <c r="AW469" s="114"/>
    </row>
    <row r="470" spans="6:49" ht="19.5" x14ac:dyDescent="0.4">
      <c r="M470" s="115"/>
      <c r="N470" s="115"/>
      <c r="O470" s="115"/>
      <c r="P470" s="115"/>
      <c r="Q470" s="115"/>
      <c r="R470" s="115"/>
      <c r="S470" s="115"/>
      <c r="T470" s="115"/>
      <c r="U470" s="17"/>
      <c r="V470" s="15"/>
      <c r="Z470" s="115"/>
      <c r="AA470" s="117"/>
      <c r="AB470" s="123"/>
      <c r="AC470" s="123"/>
      <c r="AD470" s="123"/>
      <c r="AE470" s="115"/>
      <c r="AF470" s="115"/>
      <c r="AG470" s="115"/>
      <c r="AH470" s="115"/>
      <c r="AI470" s="115"/>
      <c r="AJ470" s="115"/>
      <c r="AK470" s="115"/>
      <c r="AL470" s="115"/>
      <c r="AM470" s="115"/>
      <c r="AN470" s="115"/>
      <c r="AO470" s="115"/>
      <c r="AP470" s="115"/>
      <c r="AQ470" s="115"/>
      <c r="AR470" s="115"/>
      <c r="AS470" s="25"/>
      <c r="AT470" s="15"/>
      <c r="AW470" s="114"/>
    </row>
    <row r="471" spans="6:49" ht="19.5" x14ac:dyDescent="0.4">
      <c r="L471" s="115"/>
      <c r="M471" s="115"/>
      <c r="N471" s="115"/>
      <c r="O471" s="115"/>
      <c r="P471" s="115"/>
      <c r="Q471" s="115"/>
      <c r="R471" s="115"/>
      <c r="S471" s="115"/>
      <c r="T471" s="115"/>
      <c r="U471" s="26"/>
      <c r="V471" s="15"/>
      <c r="Z471" s="115"/>
      <c r="AA471" s="117"/>
      <c r="AB471" s="123"/>
      <c r="AC471" s="123"/>
      <c r="AD471" s="123"/>
      <c r="AE471" s="115"/>
      <c r="AF471" s="115"/>
      <c r="AG471" s="115"/>
      <c r="AH471" s="115"/>
      <c r="AI471" s="115"/>
      <c r="AJ471" s="115"/>
      <c r="AK471" s="115"/>
      <c r="AL471" s="115"/>
      <c r="AM471" s="115"/>
      <c r="AN471" s="115"/>
      <c r="AO471" s="115"/>
      <c r="AP471" s="115"/>
      <c r="AQ471" s="115"/>
      <c r="AR471" s="115"/>
      <c r="AS471" s="25"/>
      <c r="AT471" s="15"/>
      <c r="AW471" s="114"/>
    </row>
    <row r="472" spans="6:49" ht="19.5" x14ac:dyDescent="0.4">
      <c r="L472" s="115"/>
      <c r="M472" s="115"/>
      <c r="N472" s="115"/>
      <c r="O472" s="115"/>
      <c r="P472" s="115"/>
      <c r="Q472" s="115"/>
      <c r="R472" s="115"/>
      <c r="S472" s="115"/>
      <c r="T472" s="115"/>
      <c r="U472" s="17"/>
      <c r="V472" s="15"/>
      <c r="Z472" s="115"/>
      <c r="AA472" s="117"/>
      <c r="AB472" s="123"/>
      <c r="AC472" s="123"/>
      <c r="AD472" s="123"/>
      <c r="AE472" s="115"/>
      <c r="AF472" s="115"/>
      <c r="AG472" s="115"/>
      <c r="AH472" s="115"/>
      <c r="AI472" s="115"/>
      <c r="AJ472" s="115"/>
      <c r="AK472" s="115"/>
      <c r="AL472" s="115"/>
      <c r="AM472" s="115"/>
      <c r="AN472" s="115"/>
      <c r="AO472" s="115"/>
      <c r="AP472" s="115"/>
      <c r="AQ472" s="115"/>
      <c r="AR472" s="115"/>
      <c r="AS472" s="25"/>
      <c r="AT472" s="15"/>
      <c r="AW472" s="114"/>
    </row>
    <row r="473" spans="6:49" ht="19.5" x14ac:dyDescent="0.4">
      <c r="U473" s="26"/>
      <c r="V473" s="15"/>
      <c r="Z473" s="115"/>
      <c r="AA473" s="117"/>
      <c r="AB473" s="123"/>
      <c r="AC473" s="123"/>
      <c r="AD473" s="123"/>
      <c r="AE473" s="115"/>
      <c r="AF473" s="115"/>
      <c r="AG473" s="115"/>
      <c r="AH473" s="115"/>
      <c r="AI473" s="115"/>
      <c r="AJ473" s="115"/>
      <c r="AK473" s="115"/>
      <c r="AL473" s="115"/>
      <c r="AM473" s="115"/>
      <c r="AN473" s="115"/>
      <c r="AO473" s="115"/>
      <c r="AP473" s="115"/>
      <c r="AQ473" s="115"/>
      <c r="AR473" s="115"/>
      <c r="AS473" s="25">
        <v>45276</v>
      </c>
      <c r="AT473" s="15" t="s">
        <v>162</v>
      </c>
      <c r="AW473" s="114"/>
    </row>
    <row r="474" spans="6:49" ht="19.5" x14ac:dyDescent="0.4">
      <c r="U474" s="26"/>
      <c r="V474" s="15"/>
      <c r="Z474" s="115"/>
      <c r="AA474" s="117"/>
      <c r="AB474" s="123"/>
      <c r="AC474" s="123"/>
      <c r="AD474" s="123"/>
      <c r="AE474" s="115"/>
      <c r="AF474" s="115"/>
      <c r="AG474" s="115"/>
      <c r="AH474" s="115"/>
      <c r="AI474" s="115"/>
      <c r="AJ474" s="115"/>
      <c r="AK474" s="115"/>
      <c r="AL474" s="115"/>
      <c r="AM474" s="115"/>
      <c r="AN474" s="115"/>
      <c r="AO474" s="115"/>
      <c r="AP474" s="115"/>
      <c r="AQ474" s="115"/>
      <c r="AR474" s="115"/>
      <c r="AS474" s="25">
        <v>45276</v>
      </c>
      <c r="AT474" s="15" t="s">
        <v>162</v>
      </c>
      <c r="AW474" s="114"/>
    </row>
    <row r="475" spans="6:49" ht="19.5" x14ac:dyDescent="0.4">
      <c r="U475" s="26"/>
      <c r="V475" s="15"/>
      <c r="Z475" s="115"/>
      <c r="AA475" s="117"/>
      <c r="AB475" s="123"/>
      <c r="AC475" s="123"/>
      <c r="AD475" s="123"/>
      <c r="AE475" s="115"/>
      <c r="AF475" s="115"/>
      <c r="AG475" s="115"/>
      <c r="AH475" s="115"/>
      <c r="AI475" s="115"/>
      <c r="AJ475" s="115"/>
      <c r="AK475" s="115"/>
      <c r="AL475" s="115"/>
      <c r="AM475" s="115"/>
      <c r="AN475" s="115"/>
      <c r="AO475" s="115"/>
      <c r="AP475" s="115"/>
      <c r="AQ475" s="115"/>
      <c r="AR475" s="115"/>
      <c r="AS475" s="25">
        <v>45276</v>
      </c>
      <c r="AT475" s="15" t="s">
        <v>162</v>
      </c>
      <c r="AW475" s="114"/>
    </row>
    <row r="476" spans="6:49" ht="19.5" x14ac:dyDescent="0.4">
      <c r="U476" s="26"/>
      <c r="V476" s="15"/>
      <c r="Z476" s="115"/>
      <c r="AA476" s="117"/>
      <c r="AB476" s="123"/>
      <c r="AC476" s="123"/>
      <c r="AD476" s="123"/>
      <c r="AE476" s="115"/>
      <c r="AF476" s="115"/>
      <c r="AG476" s="115"/>
      <c r="AH476" s="115"/>
      <c r="AI476" s="115"/>
      <c r="AJ476" s="115"/>
      <c r="AK476" s="115"/>
      <c r="AL476" s="115"/>
      <c r="AM476" s="115"/>
      <c r="AN476" s="115"/>
      <c r="AO476" s="115"/>
      <c r="AP476" s="115"/>
      <c r="AQ476" s="115"/>
      <c r="AR476" s="115"/>
      <c r="AS476" s="25"/>
      <c r="AT476" s="15"/>
      <c r="AW476" s="114"/>
    </row>
    <row r="477" spans="6:49" ht="19.5" x14ac:dyDescent="0.4">
      <c r="M477" s="115"/>
      <c r="N477" s="115"/>
      <c r="O477" s="115"/>
      <c r="P477" s="115"/>
      <c r="Q477" s="115"/>
      <c r="R477" s="115"/>
      <c r="S477" s="115"/>
      <c r="T477" s="115"/>
      <c r="U477" s="17"/>
      <c r="V477" s="15"/>
      <c r="Z477" s="115"/>
      <c r="AA477" s="117"/>
      <c r="AB477" s="123"/>
      <c r="AC477" s="123"/>
      <c r="AD477" s="123"/>
      <c r="AE477" s="115"/>
      <c r="AF477" s="115"/>
      <c r="AG477" s="115"/>
      <c r="AH477" s="115"/>
      <c r="AI477" s="115"/>
      <c r="AJ477" s="115"/>
      <c r="AK477" s="115"/>
      <c r="AL477" s="115"/>
      <c r="AM477" s="115"/>
      <c r="AN477" s="115"/>
      <c r="AO477" s="115"/>
      <c r="AP477" s="115"/>
      <c r="AQ477" s="115"/>
      <c r="AR477" s="115"/>
      <c r="AS477" s="25"/>
      <c r="AT477" s="15"/>
      <c r="AW477" s="114"/>
    </row>
    <row r="478" spans="6:49" ht="19.5" x14ac:dyDescent="0.4">
      <c r="U478" s="26"/>
      <c r="V478" s="15"/>
      <c r="Z478" s="115"/>
      <c r="AA478" s="117"/>
      <c r="AB478" s="123"/>
      <c r="AC478" s="123"/>
      <c r="AD478" s="123"/>
      <c r="AE478" s="115"/>
      <c r="AF478" s="115"/>
      <c r="AG478" s="115"/>
      <c r="AH478" s="115"/>
      <c r="AI478" s="115"/>
      <c r="AJ478" s="115"/>
      <c r="AK478" s="115"/>
      <c r="AL478" s="115"/>
      <c r="AM478" s="115"/>
      <c r="AN478" s="115"/>
      <c r="AO478" s="115"/>
      <c r="AP478" s="115"/>
      <c r="AQ478" s="115"/>
      <c r="AR478" s="115"/>
      <c r="AS478" s="25">
        <v>45276</v>
      </c>
      <c r="AT478" s="15" t="s">
        <v>162</v>
      </c>
      <c r="AW478" s="114"/>
    </row>
    <row r="479" spans="6:49" ht="19.5" x14ac:dyDescent="0.4">
      <c r="U479" s="26"/>
      <c r="V479" s="15"/>
      <c r="Z479" s="115"/>
      <c r="AA479" s="117"/>
      <c r="AB479" s="123"/>
      <c r="AC479" s="123"/>
      <c r="AD479" s="123"/>
      <c r="AE479" s="115"/>
      <c r="AF479" s="115"/>
      <c r="AG479" s="115"/>
      <c r="AH479" s="115"/>
      <c r="AI479" s="115"/>
      <c r="AJ479" s="115"/>
      <c r="AK479" s="115"/>
      <c r="AL479" s="115"/>
      <c r="AM479" s="115"/>
      <c r="AN479" s="115"/>
      <c r="AO479" s="115"/>
      <c r="AP479" s="115"/>
      <c r="AQ479" s="115"/>
      <c r="AR479" s="115"/>
      <c r="AS479" s="25">
        <v>45276</v>
      </c>
      <c r="AT479" s="15" t="s">
        <v>162</v>
      </c>
      <c r="AW479" s="114"/>
    </row>
    <row r="480" spans="6:49" ht="19.5" x14ac:dyDescent="0.4">
      <c r="M480" s="115"/>
      <c r="N480" s="115"/>
      <c r="O480" s="115"/>
      <c r="P480" s="115"/>
      <c r="Q480" s="115"/>
      <c r="R480" s="115"/>
      <c r="S480" s="115"/>
      <c r="T480" s="115"/>
      <c r="U480" s="17"/>
      <c r="V480" s="15"/>
      <c r="Z480" s="115"/>
      <c r="AA480" s="117"/>
      <c r="AB480" s="123"/>
      <c r="AC480" s="123"/>
      <c r="AD480" s="123"/>
      <c r="AE480" s="115"/>
      <c r="AF480" s="115"/>
      <c r="AG480" s="115"/>
      <c r="AH480" s="115"/>
      <c r="AI480" s="115"/>
      <c r="AJ480" s="115"/>
      <c r="AK480" s="115"/>
      <c r="AL480" s="115"/>
      <c r="AM480" s="115"/>
      <c r="AN480" s="115"/>
      <c r="AO480" s="115"/>
      <c r="AP480" s="115"/>
      <c r="AQ480" s="115"/>
      <c r="AR480" s="115"/>
      <c r="AS480" s="25"/>
      <c r="AT480" s="15"/>
      <c r="AW480" s="114"/>
    </row>
    <row r="481" spans="6:49" ht="19.5" x14ac:dyDescent="0.4"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26"/>
      <c r="V481" s="15"/>
      <c r="Z481" s="115"/>
      <c r="AA481" s="117"/>
      <c r="AB481" s="123"/>
      <c r="AC481" s="123"/>
      <c r="AD481" s="123"/>
      <c r="AE481" s="115"/>
      <c r="AF481" s="115"/>
      <c r="AG481" s="115"/>
      <c r="AH481" s="115"/>
      <c r="AI481" s="115"/>
      <c r="AJ481" s="115"/>
      <c r="AK481" s="115"/>
      <c r="AL481" s="115"/>
      <c r="AM481" s="115"/>
      <c r="AN481" s="115"/>
      <c r="AO481" s="115"/>
      <c r="AP481" s="115"/>
      <c r="AQ481" s="115"/>
      <c r="AR481" s="115"/>
      <c r="AS481" s="25"/>
      <c r="AT481" s="15"/>
      <c r="AW481" s="114"/>
    </row>
    <row r="482" spans="6:49" ht="19.5" x14ac:dyDescent="0.4"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7"/>
      <c r="V482" s="15"/>
      <c r="Z482" s="115"/>
      <c r="AA482" s="117"/>
      <c r="AB482" s="123"/>
      <c r="AC482" s="123"/>
      <c r="AD482" s="123"/>
      <c r="AE482" s="115"/>
      <c r="AF482" s="115"/>
      <c r="AG482" s="115"/>
      <c r="AH482" s="115"/>
      <c r="AI482" s="115"/>
      <c r="AJ482" s="115"/>
      <c r="AK482" s="115"/>
      <c r="AL482" s="115"/>
      <c r="AM482" s="115"/>
      <c r="AN482" s="115"/>
      <c r="AO482" s="115"/>
      <c r="AP482" s="115"/>
      <c r="AQ482" s="115"/>
      <c r="AR482" s="115"/>
      <c r="AS482" s="25"/>
      <c r="AT482" s="15"/>
      <c r="AW482" s="114"/>
    </row>
    <row r="483" spans="6:49" ht="19.5" x14ac:dyDescent="0.4"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26"/>
      <c r="V483" s="15"/>
      <c r="Z483" s="115"/>
      <c r="AA483" s="117"/>
      <c r="AB483" s="123"/>
      <c r="AC483" s="123"/>
      <c r="AD483" s="123"/>
      <c r="AE483" s="115"/>
      <c r="AF483" s="115"/>
      <c r="AG483" s="115"/>
      <c r="AH483" s="115"/>
      <c r="AI483" s="115"/>
      <c r="AJ483" s="115"/>
      <c r="AK483" s="115"/>
      <c r="AL483" s="115"/>
      <c r="AM483" s="115"/>
      <c r="AN483" s="115"/>
      <c r="AO483" s="115"/>
      <c r="AP483" s="115"/>
      <c r="AQ483" s="115"/>
      <c r="AR483" s="115"/>
      <c r="AS483" s="25"/>
      <c r="AT483" s="15"/>
      <c r="AW483" s="114"/>
    </row>
    <row r="484" spans="6:49" ht="19.5" x14ac:dyDescent="0.4">
      <c r="U484" s="26"/>
      <c r="V484" s="15"/>
      <c r="Z484" s="115"/>
      <c r="AA484" s="117"/>
      <c r="AB484" s="123"/>
      <c r="AC484" s="123"/>
      <c r="AD484" s="123"/>
      <c r="AE484" s="115"/>
      <c r="AF484" s="115"/>
      <c r="AG484" s="115"/>
      <c r="AH484" s="115"/>
      <c r="AI484" s="115"/>
      <c r="AJ484" s="115"/>
      <c r="AK484" s="115"/>
      <c r="AL484" s="115"/>
      <c r="AM484" s="115"/>
      <c r="AN484" s="115"/>
      <c r="AO484" s="115"/>
      <c r="AP484" s="115"/>
      <c r="AQ484" s="115"/>
      <c r="AR484" s="115" t="s">
        <v>169</v>
      </c>
      <c r="AS484" s="13">
        <f>SUBTOTAL(3,AS447:AS479)</f>
        <v>17</v>
      </c>
      <c r="AT484" s="15">
        <f>SUBTOTAL(3,AT447:AT479)</f>
        <v>17</v>
      </c>
      <c r="AW484" s="114"/>
    </row>
    <row r="485" spans="6:49" ht="19.5" x14ac:dyDescent="0.4"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26"/>
      <c r="V485" s="15"/>
      <c r="Z485" s="115"/>
      <c r="AA485" s="117"/>
      <c r="AB485" s="123"/>
      <c r="AC485" s="123"/>
      <c r="AD485" s="123"/>
      <c r="AE485" s="115"/>
      <c r="AF485" s="115"/>
      <c r="AG485" s="115"/>
      <c r="AH485" s="115"/>
      <c r="AI485" s="115"/>
      <c r="AJ485" s="115"/>
      <c r="AK485" s="115"/>
      <c r="AL485" s="115"/>
      <c r="AM485" s="115"/>
      <c r="AN485" s="115"/>
      <c r="AO485" s="115"/>
      <c r="AP485" s="115"/>
      <c r="AQ485" s="115"/>
      <c r="AR485" s="115"/>
      <c r="AS485" s="13"/>
      <c r="AT485" s="15"/>
      <c r="AW485" s="114"/>
    </row>
    <row r="486" spans="6:49" ht="19.5" x14ac:dyDescent="0.4">
      <c r="U486" s="26"/>
      <c r="V486" s="15"/>
      <c r="Z486" s="115"/>
      <c r="AA486" s="117"/>
      <c r="AB486" s="123"/>
      <c r="AC486" s="123"/>
      <c r="AD486" s="123"/>
      <c r="AE486" s="115"/>
      <c r="AF486" s="115"/>
      <c r="AG486" s="115"/>
      <c r="AH486" s="115"/>
      <c r="AI486" s="115"/>
      <c r="AJ486" s="115"/>
      <c r="AK486" s="115"/>
      <c r="AL486" s="115"/>
      <c r="AM486" s="115"/>
      <c r="AN486" s="115"/>
      <c r="AO486" s="115"/>
      <c r="AP486" s="115"/>
      <c r="AQ486" s="115"/>
      <c r="AR486" s="115"/>
      <c r="AS486" s="25">
        <v>45277</v>
      </c>
      <c r="AT486" s="15" t="s">
        <v>162</v>
      </c>
      <c r="AW486" s="114"/>
    </row>
    <row r="487" spans="6:49" ht="19.5" x14ac:dyDescent="0.4">
      <c r="M487" s="115"/>
      <c r="N487" s="115"/>
      <c r="O487" s="115"/>
      <c r="P487" s="115"/>
      <c r="Q487" s="115"/>
      <c r="R487" s="115"/>
      <c r="S487" s="115"/>
      <c r="T487" s="115"/>
      <c r="U487" s="17"/>
      <c r="V487" s="15"/>
      <c r="Z487" s="115"/>
      <c r="AA487" s="117"/>
      <c r="AB487" s="123"/>
      <c r="AC487" s="123"/>
      <c r="AD487" s="123"/>
      <c r="AE487" s="115"/>
      <c r="AF487" s="115"/>
      <c r="AG487" s="115"/>
      <c r="AH487" s="115"/>
      <c r="AI487" s="115"/>
      <c r="AJ487" s="115"/>
      <c r="AK487" s="115"/>
      <c r="AL487" s="115"/>
      <c r="AM487" s="115"/>
      <c r="AN487" s="115"/>
      <c r="AO487" s="115"/>
      <c r="AP487" s="115"/>
      <c r="AQ487" s="115"/>
      <c r="AR487" s="115"/>
      <c r="AS487" s="25"/>
      <c r="AT487" s="15"/>
      <c r="AW487" s="114"/>
    </row>
    <row r="488" spans="6:49" ht="19.5" x14ac:dyDescent="0.4"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26"/>
      <c r="V488" s="15"/>
      <c r="Z488" s="115"/>
      <c r="AA488" s="117"/>
      <c r="AB488" s="123"/>
      <c r="AC488" s="123"/>
      <c r="AD488" s="123"/>
      <c r="AE488" s="115"/>
      <c r="AF488" s="115"/>
      <c r="AG488" s="115"/>
      <c r="AH488" s="115"/>
      <c r="AI488" s="115"/>
      <c r="AJ488" s="115"/>
      <c r="AK488" s="115"/>
      <c r="AL488" s="115"/>
      <c r="AM488" s="115"/>
      <c r="AN488" s="115"/>
      <c r="AO488" s="115"/>
      <c r="AP488" s="115"/>
      <c r="AQ488" s="115"/>
      <c r="AR488" s="115"/>
      <c r="AS488" s="25"/>
      <c r="AT488" s="15"/>
      <c r="AW488" s="114"/>
    </row>
    <row r="489" spans="6:49" ht="19.5" x14ac:dyDescent="0.4"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7"/>
      <c r="V489" s="15"/>
      <c r="Z489" s="115"/>
      <c r="AA489" s="117"/>
      <c r="AB489" s="123"/>
      <c r="AC489" s="123"/>
      <c r="AD489" s="123"/>
      <c r="AE489" s="115"/>
      <c r="AF489" s="115"/>
      <c r="AG489" s="115"/>
      <c r="AH489" s="115"/>
      <c r="AI489" s="115"/>
      <c r="AJ489" s="115"/>
      <c r="AK489" s="115"/>
      <c r="AL489" s="115"/>
      <c r="AM489" s="115"/>
      <c r="AN489" s="115"/>
      <c r="AO489" s="115"/>
      <c r="AP489" s="115"/>
      <c r="AQ489" s="115"/>
      <c r="AR489" s="115"/>
      <c r="AS489" s="25"/>
      <c r="AT489" s="15"/>
      <c r="AW489" s="114"/>
    </row>
    <row r="490" spans="6:49" ht="19.5" x14ac:dyDescent="0.4"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7"/>
      <c r="V490" s="15"/>
      <c r="Z490" s="115"/>
      <c r="AA490" s="117"/>
      <c r="AB490" s="123"/>
      <c r="AC490" s="123"/>
      <c r="AD490" s="123"/>
      <c r="AE490" s="115"/>
      <c r="AF490" s="115"/>
      <c r="AG490" s="115"/>
      <c r="AH490" s="115"/>
      <c r="AI490" s="115"/>
      <c r="AJ490" s="115"/>
      <c r="AK490" s="115"/>
      <c r="AL490" s="115"/>
      <c r="AM490" s="115"/>
      <c r="AN490" s="115"/>
      <c r="AO490" s="115"/>
      <c r="AP490" s="115"/>
      <c r="AQ490" s="115"/>
      <c r="AR490" s="115"/>
      <c r="AS490" s="25"/>
      <c r="AT490" s="15"/>
      <c r="AW490" s="114"/>
    </row>
    <row r="491" spans="6:49" ht="19.5" x14ac:dyDescent="0.4">
      <c r="U491" s="26"/>
      <c r="V491" s="15"/>
      <c r="Z491" s="115"/>
      <c r="AA491" s="117"/>
      <c r="AB491" s="123"/>
      <c r="AC491" s="123"/>
      <c r="AD491" s="123"/>
      <c r="AE491" s="115"/>
      <c r="AF491" s="115"/>
      <c r="AG491" s="115"/>
      <c r="AH491" s="115"/>
      <c r="AI491" s="115"/>
      <c r="AJ491" s="115"/>
      <c r="AK491" s="115"/>
      <c r="AL491" s="115"/>
      <c r="AM491" s="115"/>
      <c r="AN491" s="115"/>
      <c r="AO491" s="115"/>
      <c r="AP491" s="115"/>
      <c r="AQ491" s="115"/>
      <c r="AR491" s="115"/>
      <c r="AS491" s="25">
        <v>45277</v>
      </c>
      <c r="AT491" s="15" t="s">
        <v>162</v>
      </c>
      <c r="AW491" s="114"/>
    </row>
    <row r="492" spans="6:49" ht="19.5" x14ac:dyDescent="0.4">
      <c r="L492" s="115"/>
      <c r="M492" s="115"/>
      <c r="N492" s="115"/>
      <c r="O492" s="115"/>
      <c r="P492" s="115"/>
      <c r="Q492" s="115"/>
      <c r="R492" s="115"/>
      <c r="S492" s="115"/>
      <c r="T492" s="115"/>
      <c r="U492" s="17"/>
      <c r="V492" s="15"/>
      <c r="Z492" s="115"/>
      <c r="AA492" s="117"/>
      <c r="AB492" s="123"/>
      <c r="AC492" s="123"/>
      <c r="AD492" s="123"/>
      <c r="AE492" s="115"/>
      <c r="AF492" s="115"/>
      <c r="AG492" s="115"/>
      <c r="AH492" s="115"/>
      <c r="AI492" s="115"/>
      <c r="AJ492" s="115"/>
      <c r="AK492" s="115"/>
      <c r="AL492" s="115"/>
      <c r="AM492" s="115"/>
      <c r="AN492" s="115"/>
      <c r="AO492" s="115"/>
      <c r="AP492" s="115"/>
      <c r="AQ492" s="115"/>
      <c r="AR492" s="115"/>
      <c r="AS492" s="131"/>
      <c r="AT492" s="13"/>
      <c r="AW492" s="114"/>
    </row>
    <row r="493" spans="6:49" ht="19.5" x14ac:dyDescent="0.4">
      <c r="U493" s="26"/>
      <c r="V493" s="15"/>
      <c r="Z493" s="115"/>
      <c r="AA493" s="117"/>
      <c r="AB493" s="123"/>
      <c r="AC493" s="123"/>
      <c r="AD493" s="123"/>
      <c r="AE493" s="115"/>
      <c r="AF493" s="115"/>
      <c r="AG493" s="115"/>
      <c r="AH493" s="115"/>
      <c r="AI493" s="115"/>
      <c r="AJ493" s="115"/>
      <c r="AK493" s="115"/>
      <c r="AL493" s="115"/>
      <c r="AM493" s="115"/>
      <c r="AN493" s="115"/>
      <c r="AO493" s="115"/>
      <c r="AP493" s="115"/>
      <c r="AQ493" s="115"/>
      <c r="AR493" s="115"/>
      <c r="AS493" s="26">
        <v>45277</v>
      </c>
      <c r="AT493" s="13" t="s">
        <v>162</v>
      </c>
      <c r="AW493" s="114"/>
    </row>
    <row r="494" spans="6:49" ht="19.5" x14ac:dyDescent="0.4">
      <c r="U494" s="26"/>
      <c r="V494" s="15"/>
      <c r="Z494" s="115"/>
      <c r="AA494" s="117"/>
      <c r="AB494" s="123"/>
      <c r="AC494" s="123"/>
      <c r="AD494" s="123"/>
      <c r="AE494" s="115"/>
      <c r="AF494" s="115"/>
      <c r="AG494" s="115"/>
      <c r="AH494" s="115"/>
      <c r="AI494" s="115"/>
      <c r="AJ494" s="115"/>
      <c r="AK494" s="115"/>
      <c r="AL494" s="115"/>
      <c r="AM494" s="115"/>
      <c r="AN494" s="115"/>
      <c r="AO494" s="115"/>
      <c r="AP494" s="115"/>
      <c r="AQ494" s="115"/>
      <c r="AR494" s="115"/>
      <c r="AS494" s="26">
        <v>45277</v>
      </c>
      <c r="AT494" s="15" t="s">
        <v>162</v>
      </c>
      <c r="AW494" s="114"/>
    </row>
    <row r="495" spans="6:49" ht="19.5" x14ac:dyDescent="0.4"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26"/>
      <c r="V495" s="15"/>
      <c r="Z495" s="115"/>
      <c r="AA495" s="117"/>
      <c r="AB495" s="123"/>
      <c r="AC495" s="123"/>
      <c r="AD495" s="123"/>
      <c r="AE495" s="115"/>
      <c r="AF495" s="115"/>
      <c r="AG495" s="115"/>
      <c r="AH495" s="115"/>
      <c r="AI495" s="115"/>
      <c r="AJ495" s="115"/>
      <c r="AK495" s="115"/>
      <c r="AL495" s="115"/>
      <c r="AM495" s="115"/>
      <c r="AN495" s="115"/>
      <c r="AO495" s="115"/>
      <c r="AP495" s="115"/>
      <c r="AQ495" s="115"/>
      <c r="AR495" s="115"/>
      <c r="AS495" s="26"/>
      <c r="AT495" s="15"/>
      <c r="AW495" s="114"/>
    </row>
    <row r="496" spans="6:49" ht="19.5" x14ac:dyDescent="0.4">
      <c r="U496" s="26"/>
      <c r="V496" s="15"/>
      <c r="Z496" s="115"/>
      <c r="AA496" s="117"/>
      <c r="AB496" s="123"/>
      <c r="AC496" s="123"/>
      <c r="AD496" s="123"/>
      <c r="AE496" s="115"/>
      <c r="AF496" s="115"/>
      <c r="AG496" s="115"/>
      <c r="AH496" s="115"/>
      <c r="AI496" s="115"/>
      <c r="AJ496" s="115"/>
      <c r="AK496" s="115"/>
      <c r="AL496" s="115"/>
      <c r="AM496" s="115"/>
      <c r="AN496" s="115"/>
      <c r="AO496" s="115"/>
      <c r="AP496" s="115"/>
      <c r="AQ496" s="115"/>
      <c r="AR496" s="115"/>
      <c r="AS496" s="26">
        <v>45277</v>
      </c>
      <c r="AT496" s="15" t="s">
        <v>162</v>
      </c>
      <c r="AW496" s="114"/>
    </row>
    <row r="497" spans="6:49" ht="19.5" x14ac:dyDescent="0.4">
      <c r="U497" s="26"/>
      <c r="V497" s="15"/>
      <c r="Z497" s="115"/>
      <c r="AA497" s="117"/>
      <c r="AB497" s="123"/>
      <c r="AC497" s="123"/>
      <c r="AD497" s="123"/>
      <c r="AE497" s="115"/>
      <c r="AF497" s="115"/>
      <c r="AG497" s="115"/>
      <c r="AH497" s="115"/>
      <c r="AI497" s="115"/>
      <c r="AJ497" s="115"/>
      <c r="AK497" s="115"/>
      <c r="AL497" s="115"/>
      <c r="AM497" s="115"/>
      <c r="AN497" s="115"/>
      <c r="AO497" s="115"/>
      <c r="AP497" s="115"/>
      <c r="AQ497" s="115"/>
      <c r="AR497" s="115" t="s">
        <v>160</v>
      </c>
      <c r="AS497" s="17">
        <f>SUBTOTAL(3,AS486:AS496)</f>
        <v>5</v>
      </c>
      <c r="AT497" s="15">
        <f>SUBTOTAL(3,AT486:AT496)</f>
        <v>5</v>
      </c>
      <c r="AW497" s="114"/>
    </row>
    <row r="498" spans="6:49" ht="19.5" x14ac:dyDescent="0.4"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26"/>
      <c r="V498" s="15"/>
      <c r="Z498" s="115"/>
      <c r="AA498" s="117"/>
      <c r="AB498" s="123"/>
      <c r="AC498" s="123"/>
      <c r="AD498" s="123"/>
      <c r="AE498" s="115"/>
      <c r="AF498" s="115"/>
      <c r="AG498" s="115"/>
      <c r="AH498" s="115"/>
      <c r="AI498" s="115"/>
      <c r="AJ498" s="115"/>
      <c r="AK498" s="115"/>
      <c r="AL498" s="115"/>
      <c r="AM498" s="115"/>
      <c r="AN498" s="115"/>
      <c r="AO498" s="115"/>
      <c r="AP498" s="115"/>
      <c r="AQ498" s="115"/>
      <c r="AR498" s="115"/>
      <c r="AS498" s="17"/>
      <c r="AT498" s="15"/>
      <c r="AW498" s="114"/>
    </row>
    <row r="499" spans="6:49" ht="19.5" x14ac:dyDescent="0.4"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26"/>
      <c r="V499" s="15"/>
      <c r="Z499" s="115"/>
      <c r="AA499" s="117"/>
      <c r="AB499" s="123"/>
      <c r="AC499" s="123"/>
      <c r="AD499" s="123"/>
      <c r="AE499" s="115"/>
      <c r="AF499" s="115"/>
      <c r="AG499" s="115"/>
      <c r="AH499" s="115"/>
      <c r="AI499" s="115"/>
      <c r="AJ499" s="115"/>
      <c r="AK499" s="115"/>
      <c r="AL499" s="115"/>
      <c r="AM499" s="115"/>
      <c r="AN499" s="115"/>
      <c r="AO499" s="115"/>
      <c r="AP499" s="115"/>
      <c r="AQ499" s="115"/>
      <c r="AR499" s="115"/>
      <c r="AS499" s="17"/>
      <c r="AT499" s="15"/>
      <c r="AW499" s="114"/>
    </row>
    <row r="500" spans="6:49" ht="19.5" x14ac:dyDescent="0.4">
      <c r="U500" s="26"/>
      <c r="V500" s="15"/>
      <c r="Z500" s="115"/>
      <c r="AA500" s="117"/>
      <c r="AB500" s="123"/>
      <c r="AC500" s="123"/>
      <c r="AD500" s="123"/>
      <c r="AE500" s="115"/>
      <c r="AF500" s="115"/>
      <c r="AG500" s="115"/>
      <c r="AH500" s="115"/>
      <c r="AI500" s="115"/>
      <c r="AJ500" s="115"/>
      <c r="AK500" s="115"/>
      <c r="AL500" s="115"/>
      <c r="AM500" s="115"/>
      <c r="AN500" s="115"/>
      <c r="AO500" s="115"/>
      <c r="AP500" s="115"/>
      <c r="AQ500" s="115"/>
      <c r="AR500" s="115"/>
      <c r="AS500" s="26">
        <v>45278</v>
      </c>
      <c r="AT500" s="15" t="s">
        <v>164</v>
      </c>
      <c r="AW500" s="114"/>
    </row>
    <row r="501" spans="6:49" ht="19.5" x14ac:dyDescent="0.4">
      <c r="U501" s="26"/>
      <c r="V501" s="15"/>
      <c r="Z501" s="115"/>
      <c r="AA501" s="117"/>
      <c r="AB501" s="123"/>
      <c r="AC501" s="123"/>
      <c r="AD501" s="123"/>
      <c r="AE501" s="115"/>
      <c r="AF501" s="115"/>
      <c r="AG501" s="115"/>
      <c r="AH501" s="115"/>
      <c r="AI501" s="115"/>
      <c r="AJ501" s="115"/>
      <c r="AK501" s="115"/>
      <c r="AL501" s="115"/>
      <c r="AM501" s="115"/>
      <c r="AN501" s="115"/>
      <c r="AO501" s="115"/>
      <c r="AP501" s="115"/>
      <c r="AQ501" s="115"/>
      <c r="AR501" s="115"/>
      <c r="AS501" s="26">
        <v>45278</v>
      </c>
      <c r="AT501" s="15" t="s">
        <v>164</v>
      </c>
      <c r="AW501" s="114"/>
    </row>
    <row r="502" spans="6:49" ht="19.5" x14ac:dyDescent="0.4"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26"/>
      <c r="V502" s="15"/>
      <c r="Z502" s="115"/>
      <c r="AA502" s="117"/>
      <c r="AB502" s="123"/>
      <c r="AC502" s="123"/>
      <c r="AD502" s="123"/>
      <c r="AE502" s="115"/>
      <c r="AF502" s="115"/>
      <c r="AG502" s="115"/>
      <c r="AH502" s="115"/>
      <c r="AI502" s="115"/>
      <c r="AJ502" s="115"/>
      <c r="AK502" s="115"/>
      <c r="AL502" s="115"/>
      <c r="AM502" s="115"/>
      <c r="AN502" s="115"/>
      <c r="AO502" s="115"/>
      <c r="AP502" s="115"/>
      <c r="AQ502" s="115"/>
      <c r="AR502" s="115"/>
      <c r="AS502" s="26"/>
      <c r="AT502" s="15"/>
      <c r="AW502" s="114"/>
    </row>
    <row r="503" spans="6:49" ht="19.5" x14ac:dyDescent="0.4">
      <c r="U503" s="26"/>
      <c r="V503" s="15"/>
      <c r="Z503" s="115"/>
      <c r="AA503" s="117"/>
      <c r="AB503" s="123"/>
      <c r="AC503" s="123"/>
      <c r="AD503" s="123"/>
      <c r="AE503" s="115"/>
      <c r="AF503" s="115"/>
      <c r="AG503" s="115"/>
      <c r="AH503" s="115"/>
      <c r="AI503" s="115"/>
      <c r="AJ503" s="115"/>
      <c r="AK503" s="115"/>
      <c r="AL503" s="115"/>
      <c r="AM503" s="115"/>
      <c r="AN503" s="115"/>
      <c r="AO503" s="115"/>
      <c r="AP503" s="115"/>
      <c r="AQ503" s="115"/>
      <c r="AR503" s="115"/>
      <c r="AS503" s="26">
        <v>45278</v>
      </c>
      <c r="AT503" s="15" t="s">
        <v>162</v>
      </c>
      <c r="AW503" s="114"/>
    </row>
    <row r="504" spans="6:49" ht="19.5" x14ac:dyDescent="0.4">
      <c r="L504" s="115"/>
      <c r="M504" s="115"/>
      <c r="N504" s="115"/>
      <c r="O504" s="115"/>
      <c r="P504" s="115"/>
      <c r="Q504" s="115"/>
      <c r="R504" s="115"/>
      <c r="S504" s="115"/>
      <c r="T504" s="115"/>
      <c r="U504" s="17"/>
      <c r="V504" s="15"/>
      <c r="Z504" s="115"/>
      <c r="AA504" s="117"/>
      <c r="AB504" s="123"/>
      <c r="AC504" s="123"/>
      <c r="AD504" s="123"/>
      <c r="AE504" s="115"/>
      <c r="AF504" s="115"/>
      <c r="AG504" s="115"/>
      <c r="AH504" s="115"/>
      <c r="AI504" s="115"/>
      <c r="AJ504" s="115"/>
      <c r="AK504" s="115"/>
      <c r="AL504" s="115"/>
      <c r="AM504" s="115"/>
      <c r="AN504" s="115"/>
      <c r="AO504" s="115"/>
      <c r="AP504" s="115"/>
      <c r="AQ504" s="115"/>
      <c r="AR504" s="115"/>
      <c r="AS504" s="26"/>
      <c r="AT504" s="15"/>
      <c r="AW504" s="114"/>
    </row>
    <row r="505" spans="6:49" ht="19.5" x14ac:dyDescent="0.4"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26"/>
      <c r="V505" s="15"/>
      <c r="Z505" s="115"/>
      <c r="AA505" s="117"/>
      <c r="AB505" s="123"/>
      <c r="AC505" s="123"/>
      <c r="AD505" s="123"/>
      <c r="AE505" s="115"/>
      <c r="AF505" s="115"/>
      <c r="AG505" s="115"/>
      <c r="AH505" s="115"/>
      <c r="AI505" s="115"/>
      <c r="AJ505" s="115"/>
      <c r="AK505" s="115"/>
      <c r="AL505" s="115"/>
      <c r="AM505" s="115"/>
      <c r="AN505" s="115"/>
      <c r="AO505" s="115"/>
      <c r="AP505" s="115"/>
      <c r="AQ505" s="115"/>
      <c r="AR505" s="115"/>
      <c r="AS505" s="26"/>
      <c r="AT505" s="15"/>
      <c r="AW505" s="114"/>
    </row>
    <row r="506" spans="6:49" ht="19.5" x14ac:dyDescent="0.4"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7"/>
      <c r="V506" s="15"/>
      <c r="Z506" s="115"/>
      <c r="AA506" s="117"/>
      <c r="AB506" s="123"/>
      <c r="AC506" s="123"/>
      <c r="AD506" s="123"/>
      <c r="AE506" s="115"/>
      <c r="AF506" s="115"/>
      <c r="AG506" s="115"/>
      <c r="AH506" s="115"/>
      <c r="AI506" s="115"/>
      <c r="AJ506" s="115"/>
      <c r="AK506" s="115"/>
      <c r="AL506" s="115"/>
      <c r="AM506" s="115"/>
      <c r="AN506" s="115"/>
      <c r="AO506" s="115"/>
      <c r="AP506" s="115"/>
      <c r="AQ506" s="115"/>
      <c r="AR506" s="115"/>
      <c r="AS506" s="26"/>
      <c r="AT506" s="15"/>
      <c r="AW506" s="114"/>
    </row>
    <row r="507" spans="6:49" ht="19.5" x14ac:dyDescent="0.4">
      <c r="U507" s="26"/>
      <c r="V507" s="15"/>
      <c r="Z507" s="115"/>
      <c r="AA507" s="117"/>
      <c r="AB507" s="123"/>
      <c r="AC507" s="123"/>
      <c r="AD507" s="123"/>
      <c r="AE507" s="115"/>
      <c r="AF507" s="115"/>
      <c r="AG507" s="115"/>
      <c r="AH507" s="115"/>
      <c r="AI507" s="115"/>
      <c r="AJ507" s="115"/>
      <c r="AK507" s="115"/>
      <c r="AL507" s="115"/>
      <c r="AM507" s="115"/>
      <c r="AN507" s="115"/>
      <c r="AO507" s="115"/>
      <c r="AP507" s="115"/>
      <c r="AQ507" s="115"/>
      <c r="AR507" s="115"/>
      <c r="AS507" s="26">
        <v>45278</v>
      </c>
      <c r="AT507" s="15" t="s">
        <v>142</v>
      </c>
      <c r="AW507" s="114"/>
    </row>
    <row r="508" spans="6:49" ht="19.5" x14ac:dyDescent="0.4">
      <c r="U508" s="26"/>
      <c r="V508" s="15"/>
      <c r="Z508" s="115"/>
      <c r="AA508" s="117"/>
      <c r="AB508" s="123"/>
      <c r="AC508" s="123"/>
      <c r="AD508" s="123"/>
      <c r="AE508" s="115"/>
      <c r="AF508" s="115"/>
      <c r="AG508" s="115"/>
      <c r="AH508" s="115"/>
      <c r="AI508" s="115"/>
      <c r="AJ508" s="115"/>
      <c r="AK508" s="115"/>
      <c r="AL508" s="115"/>
      <c r="AM508" s="115"/>
      <c r="AN508" s="115"/>
      <c r="AO508" s="115"/>
      <c r="AP508" s="115"/>
      <c r="AQ508" s="115"/>
      <c r="AR508" s="115"/>
      <c r="AS508" s="26">
        <v>45278</v>
      </c>
      <c r="AT508" s="15" t="s">
        <v>162</v>
      </c>
      <c r="AW508" s="114"/>
    </row>
    <row r="509" spans="6:49" ht="19.5" x14ac:dyDescent="0.4">
      <c r="U509" s="26"/>
      <c r="V509" s="15"/>
      <c r="Z509" s="115"/>
      <c r="AA509" s="117"/>
      <c r="AB509" s="123"/>
      <c r="AC509" s="123"/>
      <c r="AD509" s="123"/>
      <c r="AE509" s="115"/>
      <c r="AF509" s="115"/>
      <c r="AG509" s="115"/>
      <c r="AH509" s="115"/>
      <c r="AI509" s="115"/>
      <c r="AJ509" s="115"/>
      <c r="AK509" s="115"/>
      <c r="AL509" s="115"/>
      <c r="AM509" s="115"/>
      <c r="AN509" s="115"/>
      <c r="AO509" s="115"/>
      <c r="AP509" s="115"/>
      <c r="AQ509" s="115"/>
      <c r="AR509" s="115"/>
      <c r="AS509" s="26">
        <v>45278</v>
      </c>
      <c r="AT509" s="15" t="s">
        <v>162</v>
      </c>
      <c r="AW509" s="114"/>
    </row>
    <row r="510" spans="6:49" ht="19.5" x14ac:dyDescent="0.4">
      <c r="L510" s="115"/>
      <c r="M510" s="115"/>
      <c r="N510" s="115"/>
      <c r="O510" s="115"/>
      <c r="P510" s="115"/>
      <c r="Q510" s="115"/>
      <c r="R510" s="115"/>
      <c r="S510" s="115"/>
      <c r="T510" s="115"/>
      <c r="U510" s="17"/>
      <c r="V510" s="15"/>
      <c r="Z510" s="115"/>
      <c r="AA510" s="117"/>
      <c r="AB510" s="123"/>
      <c r="AC510" s="123"/>
      <c r="AD510" s="123"/>
      <c r="AE510" s="115"/>
      <c r="AF510" s="115"/>
      <c r="AG510" s="115"/>
      <c r="AH510" s="115"/>
      <c r="AI510" s="115"/>
      <c r="AJ510" s="115"/>
      <c r="AK510" s="115"/>
      <c r="AL510" s="115"/>
      <c r="AM510" s="115"/>
      <c r="AN510" s="115"/>
      <c r="AO510" s="115"/>
      <c r="AP510" s="115"/>
      <c r="AQ510" s="115"/>
      <c r="AR510" s="115"/>
      <c r="AS510" s="26"/>
      <c r="AT510" s="15"/>
      <c r="AW510" s="114"/>
    </row>
    <row r="511" spans="6:49" ht="19.5" x14ac:dyDescent="0.4"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26"/>
      <c r="V511" s="15"/>
      <c r="Z511" s="115"/>
      <c r="AA511" s="117"/>
      <c r="AB511" s="123"/>
      <c r="AC511" s="123"/>
      <c r="AD511" s="123"/>
      <c r="AE511" s="115"/>
      <c r="AF511" s="115"/>
      <c r="AG511" s="115"/>
      <c r="AH511" s="115"/>
      <c r="AI511" s="115"/>
      <c r="AJ511" s="115"/>
      <c r="AK511" s="115"/>
      <c r="AL511" s="115"/>
      <c r="AM511" s="115"/>
      <c r="AN511" s="115"/>
      <c r="AO511" s="115"/>
      <c r="AP511" s="115"/>
      <c r="AQ511" s="115"/>
      <c r="AR511" s="115"/>
      <c r="AS511" s="26"/>
      <c r="AT511" s="15"/>
      <c r="AW511" s="114"/>
    </row>
    <row r="512" spans="6:49" ht="19.5" x14ac:dyDescent="0.4"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26"/>
      <c r="V512" s="15"/>
      <c r="Z512" s="115"/>
      <c r="AA512" s="117"/>
      <c r="AB512" s="123"/>
      <c r="AC512" s="123"/>
      <c r="AD512" s="123"/>
      <c r="AE512" s="115"/>
      <c r="AF512" s="115"/>
      <c r="AG512" s="115"/>
      <c r="AH512" s="115"/>
      <c r="AI512" s="115"/>
      <c r="AJ512" s="115"/>
      <c r="AK512" s="115"/>
      <c r="AL512" s="115"/>
      <c r="AM512" s="115"/>
      <c r="AN512" s="115"/>
      <c r="AO512" s="115"/>
      <c r="AP512" s="115"/>
      <c r="AQ512" s="115"/>
      <c r="AR512" s="115"/>
      <c r="AS512" s="26"/>
      <c r="AT512" s="15"/>
      <c r="AW512" s="114"/>
    </row>
    <row r="513" spans="6:49" ht="19.5" x14ac:dyDescent="0.4"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7"/>
      <c r="V513" s="15"/>
      <c r="Z513" s="115"/>
      <c r="AA513" s="117"/>
      <c r="AB513" s="123"/>
      <c r="AC513" s="123"/>
      <c r="AD513" s="123"/>
      <c r="AE513" s="115"/>
      <c r="AF513" s="115"/>
      <c r="AG513" s="115"/>
      <c r="AH513" s="115"/>
      <c r="AI513" s="115"/>
      <c r="AJ513" s="115"/>
      <c r="AK513" s="115"/>
      <c r="AL513" s="115"/>
      <c r="AM513" s="115"/>
      <c r="AN513" s="115"/>
      <c r="AO513" s="115"/>
      <c r="AP513" s="115"/>
      <c r="AQ513" s="115"/>
      <c r="AR513" s="115"/>
      <c r="AS513" s="26"/>
      <c r="AT513" s="15"/>
      <c r="AW513" s="114"/>
    </row>
    <row r="514" spans="6:49" ht="19.5" x14ac:dyDescent="0.4"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26"/>
      <c r="V514" s="15"/>
      <c r="Z514" s="115"/>
      <c r="AA514" s="117"/>
      <c r="AB514" s="123"/>
      <c r="AC514" s="123"/>
      <c r="AD514" s="123"/>
      <c r="AE514" s="115"/>
      <c r="AF514" s="115"/>
      <c r="AG514" s="115"/>
      <c r="AH514" s="115"/>
      <c r="AI514" s="115"/>
      <c r="AJ514" s="115"/>
      <c r="AK514" s="115"/>
      <c r="AL514" s="115"/>
      <c r="AM514" s="115"/>
      <c r="AN514" s="115"/>
      <c r="AO514" s="115"/>
      <c r="AP514" s="115"/>
      <c r="AQ514" s="115"/>
      <c r="AR514" s="115"/>
      <c r="AS514" s="26"/>
      <c r="AT514" s="15"/>
      <c r="AW514" s="114"/>
    </row>
    <row r="515" spans="6:49" ht="19.5" x14ac:dyDescent="0.4">
      <c r="U515" s="26"/>
      <c r="V515" s="15"/>
      <c r="Z515" s="115"/>
      <c r="AA515" s="117"/>
      <c r="AB515" s="123"/>
      <c r="AC515" s="123"/>
      <c r="AD515" s="123"/>
      <c r="AE515" s="115"/>
      <c r="AF515" s="115"/>
      <c r="AG515" s="115"/>
      <c r="AH515" s="115"/>
      <c r="AI515" s="115"/>
      <c r="AJ515" s="115"/>
      <c r="AK515" s="115"/>
      <c r="AL515" s="115"/>
      <c r="AM515" s="115"/>
      <c r="AN515" s="115"/>
      <c r="AO515" s="115"/>
      <c r="AP515" s="115"/>
      <c r="AQ515" s="115"/>
      <c r="AR515" s="115"/>
      <c r="AS515" s="26">
        <v>45278</v>
      </c>
      <c r="AT515" s="15" t="s">
        <v>162</v>
      </c>
      <c r="AW515" s="114"/>
    </row>
    <row r="516" spans="6:49" ht="19.5" x14ac:dyDescent="0.4"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26"/>
      <c r="V516" s="15"/>
      <c r="Z516" s="115"/>
      <c r="AA516" s="117"/>
      <c r="AB516" s="123"/>
      <c r="AC516" s="123"/>
      <c r="AD516" s="123"/>
      <c r="AE516" s="115"/>
      <c r="AF516" s="115"/>
      <c r="AG516" s="115"/>
      <c r="AH516" s="115"/>
      <c r="AI516" s="115"/>
      <c r="AJ516" s="115"/>
      <c r="AK516" s="115"/>
      <c r="AL516" s="115"/>
      <c r="AM516" s="115"/>
      <c r="AN516" s="115"/>
      <c r="AO516" s="115"/>
      <c r="AP516" s="115"/>
      <c r="AQ516" s="115"/>
      <c r="AR516" s="115"/>
      <c r="AS516" s="26"/>
      <c r="AT516" s="15"/>
      <c r="AW516" s="114"/>
    </row>
    <row r="517" spans="6:49" ht="19.5" x14ac:dyDescent="0.4">
      <c r="U517" s="26"/>
      <c r="V517" s="15"/>
      <c r="Z517" s="115"/>
      <c r="AA517" s="117"/>
      <c r="AB517" s="123"/>
      <c r="AC517" s="123"/>
      <c r="AD517" s="123"/>
      <c r="AE517" s="115"/>
      <c r="AF517" s="115"/>
      <c r="AG517" s="115"/>
      <c r="AH517" s="115"/>
      <c r="AI517" s="115"/>
      <c r="AJ517" s="115"/>
      <c r="AK517" s="115"/>
      <c r="AL517" s="115"/>
      <c r="AM517" s="115"/>
      <c r="AN517" s="115"/>
      <c r="AO517" s="115"/>
      <c r="AP517" s="115"/>
      <c r="AQ517" s="115"/>
      <c r="AR517" s="115"/>
      <c r="AS517" s="26">
        <v>45278</v>
      </c>
      <c r="AT517" s="15" t="s">
        <v>163</v>
      </c>
      <c r="AW517" s="114"/>
    </row>
    <row r="518" spans="6:49" ht="19.5" x14ac:dyDescent="0.4">
      <c r="U518" s="26"/>
      <c r="V518" s="15"/>
      <c r="Z518" s="115"/>
      <c r="AA518" s="117"/>
      <c r="AB518" s="123"/>
      <c r="AC518" s="123"/>
      <c r="AD518" s="123"/>
      <c r="AE518" s="115"/>
      <c r="AF518" s="115"/>
      <c r="AG518" s="115"/>
      <c r="AH518" s="115"/>
      <c r="AI518" s="115"/>
      <c r="AJ518" s="115"/>
      <c r="AK518" s="115"/>
      <c r="AL518" s="115"/>
      <c r="AM518" s="115"/>
      <c r="AN518" s="115"/>
      <c r="AO518" s="115"/>
      <c r="AP518" s="115"/>
      <c r="AQ518" s="115"/>
      <c r="AR518" s="115"/>
      <c r="AS518" s="26">
        <v>45278</v>
      </c>
      <c r="AT518" s="105" t="s">
        <v>163</v>
      </c>
      <c r="AW518" s="114"/>
    </row>
    <row r="519" spans="6:49" ht="19.5" x14ac:dyDescent="0.4">
      <c r="U519" s="25"/>
      <c r="V519" s="13"/>
      <c r="Z519" s="115"/>
      <c r="AA519" s="117"/>
      <c r="AB519" s="123"/>
      <c r="AC519" s="123"/>
      <c r="AD519" s="123"/>
      <c r="AE519" s="115"/>
      <c r="AF519" s="115"/>
      <c r="AG519" s="115"/>
      <c r="AH519" s="115"/>
      <c r="AI519" s="115"/>
      <c r="AJ519" s="115"/>
      <c r="AK519" s="115"/>
      <c r="AL519" s="115"/>
      <c r="AM519" s="115"/>
      <c r="AN519" s="115"/>
      <c r="AO519" s="115"/>
      <c r="AP519" s="115"/>
      <c r="AQ519" s="115"/>
      <c r="AR519" s="115"/>
      <c r="AS519" s="26">
        <v>45278</v>
      </c>
      <c r="AT519" s="15" t="s">
        <v>163</v>
      </c>
      <c r="AW519" s="114"/>
    </row>
    <row r="520" spans="6:49" ht="19.5" x14ac:dyDescent="0.4"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25"/>
      <c r="V520" s="13"/>
      <c r="Z520" s="115"/>
      <c r="AA520" s="117"/>
      <c r="AB520" s="123"/>
      <c r="AC520" s="123"/>
      <c r="AD520" s="123"/>
      <c r="AE520" s="115"/>
      <c r="AF520" s="115"/>
      <c r="AG520" s="115"/>
      <c r="AH520" s="115"/>
      <c r="AI520" s="115"/>
      <c r="AJ520" s="115"/>
      <c r="AK520" s="115"/>
      <c r="AL520" s="115"/>
      <c r="AM520" s="115"/>
      <c r="AN520" s="115"/>
      <c r="AO520" s="115"/>
      <c r="AP520" s="115"/>
      <c r="AQ520" s="115"/>
      <c r="AR520" s="115"/>
      <c r="AS520" s="26"/>
      <c r="AT520" s="15"/>
      <c r="AW520" s="114"/>
    </row>
    <row r="521" spans="6:49" ht="19.5" x14ac:dyDescent="0.4"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25"/>
      <c r="V521" s="13"/>
      <c r="Z521" s="115"/>
      <c r="AA521" s="117"/>
      <c r="AB521" s="123"/>
      <c r="AC521" s="123"/>
      <c r="AD521" s="123"/>
      <c r="AE521" s="115"/>
      <c r="AF521" s="115"/>
      <c r="AG521" s="115"/>
      <c r="AH521" s="115"/>
      <c r="AI521" s="115"/>
      <c r="AJ521" s="115"/>
      <c r="AK521" s="115"/>
      <c r="AL521" s="115"/>
      <c r="AM521" s="115"/>
      <c r="AN521" s="115"/>
      <c r="AO521" s="115"/>
      <c r="AP521" s="115"/>
      <c r="AQ521" s="115"/>
      <c r="AR521" s="115"/>
      <c r="AS521" s="26"/>
      <c r="AT521" s="15"/>
      <c r="AW521" s="114"/>
    </row>
    <row r="522" spans="6:49" ht="19.5" x14ac:dyDescent="0.4"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25"/>
      <c r="V522" s="13"/>
      <c r="Z522" s="115"/>
      <c r="AA522" s="117"/>
      <c r="AB522" s="123"/>
      <c r="AC522" s="123"/>
      <c r="AD522" s="123"/>
      <c r="AE522" s="115"/>
      <c r="AF522" s="115"/>
      <c r="AG522" s="115"/>
      <c r="AH522" s="115"/>
      <c r="AI522" s="115"/>
      <c r="AJ522" s="115"/>
      <c r="AK522" s="115"/>
      <c r="AL522" s="115"/>
      <c r="AM522" s="115"/>
      <c r="AN522" s="115"/>
      <c r="AO522" s="115"/>
      <c r="AP522" s="115"/>
      <c r="AQ522" s="115"/>
      <c r="AR522" s="115"/>
      <c r="AS522" s="26"/>
      <c r="AT522" s="15"/>
      <c r="AW522" s="114"/>
    </row>
    <row r="523" spans="6:49" ht="19.5" x14ac:dyDescent="0.4"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25"/>
      <c r="V523" s="13"/>
      <c r="Z523" s="115"/>
      <c r="AA523" s="117"/>
      <c r="AB523" s="123"/>
      <c r="AC523" s="123"/>
      <c r="AD523" s="123"/>
      <c r="AE523" s="115"/>
      <c r="AF523" s="115"/>
      <c r="AG523" s="115"/>
      <c r="AH523" s="115"/>
      <c r="AI523" s="115"/>
      <c r="AJ523" s="115"/>
      <c r="AK523" s="115"/>
      <c r="AL523" s="115"/>
      <c r="AM523" s="115"/>
      <c r="AN523" s="115"/>
      <c r="AO523" s="115"/>
      <c r="AP523" s="115"/>
      <c r="AQ523" s="115"/>
      <c r="AR523" s="115"/>
      <c r="AS523" s="26"/>
      <c r="AT523" s="15"/>
      <c r="AW523" s="114"/>
    </row>
    <row r="524" spans="6:49" ht="19.5" x14ac:dyDescent="0.4"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25"/>
      <c r="V524" s="13"/>
      <c r="Z524" s="115"/>
      <c r="AA524" s="117"/>
      <c r="AB524" s="123"/>
      <c r="AC524" s="123"/>
      <c r="AD524" s="123"/>
      <c r="AE524" s="115"/>
      <c r="AF524" s="115"/>
      <c r="AG524" s="115"/>
      <c r="AH524" s="115"/>
      <c r="AI524" s="115"/>
      <c r="AJ524" s="115"/>
      <c r="AK524" s="115"/>
      <c r="AL524" s="115"/>
      <c r="AM524" s="115"/>
      <c r="AN524" s="115"/>
      <c r="AO524" s="115"/>
      <c r="AP524" s="115"/>
      <c r="AQ524" s="115"/>
      <c r="AR524" s="115"/>
      <c r="AS524" s="26"/>
      <c r="AT524" s="15"/>
      <c r="AW524" s="114"/>
    </row>
    <row r="525" spans="6:49" ht="19.5" x14ac:dyDescent="0.4"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25"/>
      <c r="V525" s="13"/>
      <c r="Z525" s="115"/>
      <c r="AA525" s="117"/>
      <c r="AB525" s="123"/>
      <c r="AC525" s="123"/>
      <c r="AD525" s="123"/>
      <c r="AE525" s="115"/>
      <c r="AF525" s="115"/>
      <c r="AG525" s="115"/>
      <c r="AH525" s="115"/>
      <c r="AI525" s="115"/>
      <c r="AJ525" s="115"/>
      <c r="AK525" s="115"/>
      <c r="AL525" s="115"/>
      <c r="AM525" s="115"/>
      <c r="AN525" s="115"/>
      <c r="AO525" s="115"/>
      <c r="AP525" s="115"/>
      <c r="AQ525" s="115"/>
      <c r="AR525" s="115"/>
      <c r="AS525" s="26"/>
      <c r="AT525" s="15"/>
      <c r="AW525" s="114"/>
    </row>
    <row r="526" spans="6:49" ht="19.5" x14ac:dyDescent="0.4">
      <c r="U526" s="25"/>
      <c r="V526" s="13"/>
      <c r="Z526" s="115"/>
      <c r="AA526" s="117"/>
      <c r="AB526" s="123"/>
      <c r="AC526" s="123"/>
      <c r="AD526" s="123"/>
      <c r="AE526" s="115"/>
      <c r="AF526" s="115"/>
      <c r="AG526" s="115"/>
      <c r="AH526" s="115"/>
      <c r="AI526" s="115"/>
      <c r="AJ526" s="115"/>
      <c r="AK526" s="115"/>
      <c r="AL526" s="115"/>
      <c r="AM526" s="115"/>
      <c r="AN526" s="115"/>
      <c r="AO526" s="115"/>
      <c r="AP526" s="115"/>
      <c r="AQ526" s="115"/>
      <c r="AR526" s="115"/>
      <c r="AS526" s="26">
        <v>45278</v>
      </c>
      <c r="AT526" s="15" t="s">
        <v>163</v>
      </c>
      <c r="AW526" s="114"/>
    </row>
    <row r="527" spans="6:49" ht="19.5" x14ac:dyDescent="0.4">
      <c r="U527" s="25"/>
      <c r="V527" s="13"/>
      <c r="Z527" s="115"/>
      <c r="AA527" s="117"/>
      <c r="AB527" s="123"/>
      <c r="AC527" s="123"/>
      <c r="AD527" s="123"/>
      <c r="AE527" s="115"/>
      <c r="AF527" s="115"/>
      <c r="AG527" s="115"/>
      <c r="AH527" s="115"/>
      <c r="AI527" s="115"/>
      <c r="AJ527" s="115"/>
      <c r="AK527" s="115"/>
      <c r="AL527" s="115"/>
      <c r="AM527" s="115"/>
      <c r="AN527" s="115"/>
      <c r="AO527" s="115"/>
      <c r="AP527" s="115"/>
      <c r="AQ527" s="115"/>
      <c r="AR527" s="115"/>
      <c r="AS527" s="26"/>
      <c r="AT527" s="15"/>
      <c r="AW527" s="114"/>
    </row>
    <row r="528" spans="6:49" ht="19.5" x14ac:dyDescent="0.4">
      <c r="L528" s="115"/>
      <c r="M528" s="115"/>
      <c r="N528" s="115"/>
      <c r="O528" s="115"/>
      <c r="P528" s="115"/>
      <c r="Q528" s="115"/>
      <c r="R528" s="115"/>
      <c r="S528" s="115"/>
      <c r="T528" s="115"/>
      <c r="U528" s="13"/>
      <c r="V528" s="13"/>
      <c r="Z528" s="115"/>
      <c r="AA528" s="117"/>
      <c r="AB528" s="123"/>
      <c r="AC528" s="123"/>
      <c r="AD528" s="123"/>
      <c r="AE528" s="115"/>
      <c r="AF528" s="115"/>
      <c r="AG528" s="115"/>
      <c r="AH528" s="115"/>
      <c r="AI528" s="115"/>
      <c r="AJ528" s="115"/>
      <c r="AK528" s="115"/>
      <c r="AL528" s="115"/>
      <c r="AM528" s="115"/>
      <c r="AN528" s="115"/>
      <c r="AO528" s="115"/>
      <c r="AP528" s="115"/>
      <c r="AQ528" s="115"/>
      <c r="AR528" s="115"/>
      <c r="AS528" s="26"/>
      <c r="AT528" s="15"/>
      <c r="AW528" s="114"/>
    </row>
    <row r="529" spans="12:49" ht="19.5" x14ac:dyDescent="0.4">
      <c r="U529" s="25"/>
      <c r="V529" s="13"/>
      <c r="Z529" s="115"/>
      <c r="AA529" s="117"/>
      <c r="AB529" s="123"/>
      <c r="AC529" s="123"/>
      <c r="AD529" s="123"/>
      <c r="AE529" s="115"/>
      <c r="AF529" s="115"/>
      <c r="AG529" s="115"/>
      <c r="AH529" s="115"/>
      <c r="AI529" s="115"/>
      <c r="AJ529" s="115"/>
      <c r="AK529" s="115"/>
      <c r="AL529" s="115"/>
      <c r="AM529" s="115"/>
      <c r="AN529" s="115"/>
      <c r="AO529" s="115"/>
      <c r="AP529" s="115"/>
      <c r="AQ529" s="115"/>
      <c r="AR529" s="115"/>
      <c r="AS529" s="26">
        <v>45278</v>
      </c>
      <c r="AT529" s="15" t="s">
        <v>163</v>
      </c>
      <c r="AW529" s="114"/>
    </row>
    <row r="530" spans="12:49" ht="19.5" x14ac:dyDescent="0.4">
      <c r="L530" s="115"/>
      <c r="M530" s="115"/>
      <c r="N530" s="115"/>
      <c r="O530" s="115"/>
      <c r="P530" s="115"/>
      <c r="Q530" s="115"/>
      <c r="R530" s="115"/>
      <c r="S530" s="115"/>
      <c r="T530" s="115"/>
      <c r="U530" s="13"/>
      <c r="V530" s="13"/>
      <c r="Z530" s="115"/>
      <c r="AA530" s="117"/>
      <c r="AB530" s="123"/>
      <c r="AC530" s="123"/>
      <c r="AD530" s="123"/>
      <c r="AE530" s="115"/>
      <c r="AF530" s="115"/>
      <c r="AG530" s="115"/>
      <c r="AH530" s="115"/>
      <c r="AI530" s="115"/>
      <c r="AJ530" s="115"/>
      <c r="AK530" s="115"/>
      <c r="AL530" s="115"/>
      <c r="AM530" s="115"/>
      <c r="AN530" s="115"/>
      <c r="AO530" s="115"/>
      <c r="AP530" s="115"/>
      <c r="AQ530" s="115"/>
      <c r="AR530" s="115"/>
      <c r="AS530" s="26"/>
      <c r="AT530" s="13"/>
      <c r="AW530" s="114"/>
    </row>
    <row r="531" spans="12:49" ht="19.5" x14ac:dyDescent="0.4">
      <c r="U531" s="25"/>
      <c r="V531" s="13"/>
      <c r="Z531" s="115"/>
      <c r="AA531" s="117"/>
      <c r="AB531" s="123"/>
      <c r="AC531" s="123"/>
      <c r="AD531" s="123"/>
      <c r="AE531" s="115"/>
      <c r="AF531" s="115"/>
      <c r="AG531" s="115"/>
      <c r="AH531" s="115"/>
      <c r="AI531" s="115"/>
      <c r="AJ531" s="115"/>
      <c r="AK531" s="115"/>
      <c r="AL531" s="115"/>
      <c r="AM531" s="115"/>
      <c r="AN531" s="115"/>
      <c r="AO531" s="115"/>
      <c r="AP531" s="115"/>
      <c r="AQ531" s="115"/>
      <c r="AR531" s="115" t="s">
        <v>153</v>
      </c>
      <c r="AS531" s="17">
        <f>SUBTOTAL(3,AS500:AS529)</f>
        <v>12</v>
      </c>
      <c r="AT531" s="13">
        <f>SUBTOTAL(3,AT500:AT529)</f>
        <v>12</v>
      </c>
      <c r="AW531" s="114"/>
    </row>
    <row r="532" spans="12:49" ht="19.5" x14ac:dyDescent="0.4">
      <c r="L532" s="115"/>
      <c r="M532" s="115"/>
      <c r="N532" s="115"/>
      <c r="O532" s="115"/>
      <c r="P532" s="115"/>
      <c r="Q532" s="115"/>
      <c r="R532" s="115"/>
      <c r="S532" s="115"/>
      <c r="T532" s="115"/>
      <c r="U532" s="13"/>
      <c r="V532" s="13"/>
      <c r="Z532" s="115"/>
      <c r="AA532" s="117"/>
      <c r="AB532" s="123"/>
      <c r="AC532" s="123"/>
      <c r="AD532" s="123"/>
      <c r="AE532" s="115"/>
      <c r="AF532" s="115"/>
      <c r="AG532" s="115"/>
      <c r="AH532" s="115"/>
      <c r="AI532" s="115"/>
      <c r="AJ532" s="115"/>
      <c r="AK532" s="115"/>
      <c r="AL532" s="115"/>
      <c r="AM532" s="115"/>
      <c r="AN532" s="115"/>
      <c r="AO532" s="115"/>
      <c r="AP532" s="115"/>
      <c r="AQ532" s="115"/>
      <c r="AR532" s="115"/>
      <c r="AS532" s="17"/>
      <c r="AT532" s="13"/>
      <c r="AW532" s="114"/>
    </row>
    <row r="533" spans="12:49" ht="19.5" x14ac:dyDescent="0.4">
      <c r="U533" s="25"/>
      <c r="V533" s="13"/>
      <c r="Z533" s="115"/>
      <c r="AA533" s="117"/>
      <c r="AB533" s="123"/>
      <c r="AC533" s="123"/>
      <c r="AD533" s="123"/>
      <c r="AE533" s="115"/>
      <c r="AF533" s="115"/>
      <c r="AG533" s="115"/>
      <c r="AH533" s="115"/>
      <c r="AI533" s="115"/>
      <c r="AJ533" s="115"/>
      <c r="AK533" s="115"/>
      <c r="AL533" s="115"/>
      <c r="AM533" s="115"/>
      <c r="AN533" s="115"/>
      <c r="AO533" s="115"/>
      <c r="AP533" s="115"/>
      <c r="AQ533" s="115"/>
      <c r="AR533" s="115"/>
      <c r="AS533" s="26">
        <v>45279</v>
      </c>
      <c r="AT533" s="25" t="s">
        <v>162</v>
      </c>
      <c r="AW533" s="114"/>
    </row>
    <row r="534" spans="12:49" ht="19.5" x14ac:dyDescent="0.4">
      <c r="U534" s="25"/>
      <c r="V534" s="13"/>
      <c r="Z534" s="115"/>
      <c r="AA534" s="117"/>
      <c r="AB534" s="123"/>
      <c r="AC534" s="123"/>
      <c r="AD534" s="123"/>
      <c r="AE534" s="115"/>
      <c r="AF534" s="115"/>
      <c r="AG534" s="115"/>
      <c r="AH534" s="115"/>
      <c r="AI534" s="115"/>
      <c r="AJ534" s="115"/>
      <c r="AK534" s="115"/>
      <c r="AL534" s="115"/>
      <c r="AM534" s="115"/>
      <c r="AN534" s="115"/>
      <c r="AO534" s="115"/>
      <c r="AP534" s="115"/>
      <c r="AQ534" s="115"/>
      <c r="AR534" s="115"/>
      <c r="AS534" s="26">
        <v>45279</v>
      </c>
      <c r="AT534" s="13" t="s">
        <v>162</v>
      </c>
      <c r="AW534" s="114"/>
    </row>
    <row r="535" spans="12:49" ht="19.5" x14ac:dyDescent="0.4">
      <c r="L535" s="115"/>
      <c r="M535" s="115"/>
      <c r="N535" s="115"/>
      <c r="O535" s="115"/>
      <c r="P535" s="115"/>
      <c r="Q535" s="115"/>
      <c r="R535" s="115"/>
      <c r="S535" s="115"/>
      <c r="T535" s="115"/>
      <c r="U535" s="20"/>
      <c r="V535" s="13"/>
      <c r="Z535" s="115"/>
      <c r="AA535" s="117"/>
      <c r="AB535" s="123"/>
      <c r="AC535" s="123"/>
      <c r="AD535" s="123"/>
      <c r="AE535" s="115"/>
      <c r="AF535" s="115"/>
      <c r="AG535" s="115"/>
      <c r="AH535" s="115"/>
      <c r="AI535" s="115"/>
      <c r="AJ535" s="115"/>
      <c r="AK535" s="115"/>
      <c r="AL535" s="115"/>
      <c r="AM535" s="115"/>
      <c r="AN535" s="115"/>
      <c r="AO535" s="115"/>
      <c r="AP535" s="115"/>
      <c r="AQ535" s="115"/>
      <c r="AR535" s="115"/>
      <c r="AS535" s="26"/>
      <c r="AT535" s="13"/>
      <c r="AW535" s="114"/>
    </row>
    <row r="536" spans="12:49" ht="19.5" x14ac:dyDescent="0.4">
      <c r="L536" s="115"/>
      <c r="M536" s="115"/>
      <c r="N536" s="115"/>
      <c r="O536" s="115"/>
      <c r="P536" s="115"/>
      <c r="Q536" s="115"/>
      <c r="R536" s="115"/>
      <c r="S536" s="115"/>
      <c r="T536" s="115"/>
      <c r="U536" s="20"/>
      <c r="V536" s="13"/>
      <c r="Z536" s="115"/>
      <c r="AA536" s="117"/>
      <c r="AB536" s="123"/>
      <c r="AC536" s="123"/>
      <c r="AD536" s="123"/>
      <c r="AE536" s="115"/>
      <c r="AF536" s="115"/>
      <c r="AG536" s="115"/>
      <c r="AH536" s="115"/>
      <c r="AI536" s="115"/>
      <c r="AJ536" s="115"/>
      <c r="AK536" s="115"/>
      <c r="AL536" s="115"/>
      <c r="AM536" s="115"/>
      <c r="AN536" s="115"/>
      <c r="AO536" s="115"/>
      <c r="AP536" s="115"/>
      <c r="AQ536" s="115"/>
      <c r="AR536" s="115"/>
      <c r="AS536" s="26"/>
      <c r="AT536" s="13"/>
      <c r="AW536" s="114"/>
    </row>
    <row r="537" spans="12:49" ht="19.5" x14ac:dyDescent="0.4">
      <c r="U537" s="26"/>
      <c r="V537" s="13"/>
      <c r="Z537" s="115"/>
      <c r="AA537" s="117"/>
      <c r="AB537" s="123"/>
      <c r="AC537" s="123"/>
      <c r="AD537" s="123"/>
      <c r="AE537" s="115"/>
      <c r="AF537" s="115"/>
      <c r="AG537" s="115"/>
      <c r="AH537" s="115"/>
      <c r="AI537" s="115"/>
      <c r="AJ537" s="115"/>
      <c r="AK537" s="115"/>
      <c r="AL537" s="115"/>
      <c r="AM537" s="115"/>
      <c r="AN537" s="115"/>
      <c r="AO537" s="115"/>
      <c r="AP537" s="115"/>
      <c r="AQ537" s="115"/>
      <c r="AR537" s="115"/>
      <c r="AS537" s="26">
        <v>45279</v>
      </c>
      <c r="AT537" s="13" t="s">
        <v>162</v>
      </c>
      <c r="AW537" s="114"/>
    </row>
    <row r="538" spans="12:49" ht="19.5" x14ac:dyDescent="0.4">
      <c r="U538" s="26"/>
      <c r="V538" s="13"/>
      <c r="Z538" s="115"/>
      <c r="AA538" s="117"/>
      <c r="AB538" s="123"/>
      <c r="AC538" s="123"/>
      <c r="AD538" s="123"/>
      <c r="AE538" s="115"/>
      <c r="AF538" s="115"/>
      <c r="AG538" s="115"/>
      <c r="AH538" s="115"/>
      <c r="AI538" s="115"/>
      <c r="AJ538" s="115"/>
      <c r="AK538" s="115"/>
      <c r="AL538" s="115"/>
      <c r="AM538" s="115"/>
      <c r="AN538" s="115"/>
      <c r="AO538" s="115"/>
      <c r="AP538" s="115"/>
      <c r="AQ538" s="115"/>
      <c r="AR538" s="115"/>
      <c r="AS538" s="26">
        <v>45279</v>
      </c>
      <c r="AT538" s="13" t="s">
        <v>162</v>
      </c>
      <c r="AW538" s="114"/>
    </row>
    <row r="539" spans="12:49" ht="19.5" x14ac:dyDescent="0.4">
      <c r="U539" s="129"/>
      <c r="V539" s="13"/>
      <c r="Z539" s="115"/>
      <c r="AA539" s="117"/>
      <c r="AB539" s="123"/>
      <c r="AC539" s="123"/>
      <c r="AD539" s="123"/>
      <c r="AE539" s="115"/>
      <c r="AF539" s="115"/>
      <c r="AG539" s="115"/>
      <c r="AH539" s="115"/>
      <c r="AI539" s="115"/>
      <c r="AJ539" s="115"/>
      <c r="AK539" s="115"/>
      <c r="AL539" s="115"/>
      <c r="AM539" s="115"/>
      <c r="AN539" s="115"/>
      <c r="AO539" s="115"/>
      <c r="AP539" s="115"/>
      <c r="AQ539" s="115"/>
      <c r="AR539" s="115"/>
      <c r="AS539" s="26"/>
      <c r="AT539" s="13"/>
      <c r="AW539" s="114"/>
    </row>
    <row r="540" spans="12:49" ht="19.5" x14ac:dyDescent="0.4">
      <c r="U540" s="26"/>
      <c r="V540" s="13"/>
      <c r="Z540" s="115"/>
      <c r="AA540" s="117"/>
      <c r="AB540" s="123"/>
      <c r="AC540" s="123"/>
      <c r="AD540" s="123"/>
      <c r="AE540" s="115"/>
      <c r="AF540" s="115"/>
      <c r="AG540" s="115"/>
      <c r="AH540" s="115"/>
      <c r="AI540" s="115"/>
      <c r="AJ540" s="115"/>
      <c r="AK540" s="115"/>
      <c r="AL540" s="115"/>
      <c r="AM540" s="115"/>
      <c r="AN540" s="115"/>
      <c r="AO540" s="115"/>
      <c r="AP540" s="115"/>
      <c r="AQ540" s="115"/>
      <c r="AR540" s="115"/>
      <c r="AS540" s="26">
        <v>45279</v>
      </c>
      <c r="AT540" s="13" t="s">
        <v>162</v>
      </c>
      <c r="AW540" s="114"/>
    </row>
    <row r="541" spans="12:49" ht="19.5" x14ac:dyDescent="0.4">
      <c r="U541" s="26"/>
      <c r="V541" s="13"/>
      <c r="Z541" s="115"/>
      <c r="AA541" s="117"/>
      <c r="AB541" s="123"/>
      <c r="AC541" s="123"/>
      <c r="AD541" s="123"/>
      <c r="AE541" s="115"/>
      <c r="AF541" s="115"/>
      <c r="AG541" s="115"/>
      <c r="AH541" s="115"/>
      <c r="AI541" s="115"/>
      <c r="AJ541" s="115"/>
      <c r="AK541" s="115"/>
      <c r="AL541" s="115"/>
      <c r="AM541" s="115"/>
      <c r="AN541" s="115"/>
      <c r="AO541" s="115"/>
      <c r="AP541" s="115"/>
      <c r="AQ541" s="115"/>
      <c r="AR541" s="115"/>
      <c r="AS541" s="26">
        <v>45279</v>
      </c>
      <c r="AT541" s="13" t="s">
        <v>162</v>
      </c>
      <c r="AW541" s="114"/>
    </row>
    <row r="542" spans="12:49" ht="19.5" x14ac:dyDescent="0.4">
      <c r="U542" s="26"/>
      <c r="V542" s="13"/>
      <c r="Z542" s="115"/>
      <c r="AA542" s="117"/>
      <c r="AB542" s="123"/>
      <c r="AC542" s="123"/>
      <c r="AD542" s="123"/>
      <c r="AE542" s="115"/>
      <c r="AF542" s="115"/>
      <c r="AG542" s="115"/>
      <c r="AH542" s="115"/>
      <c r="AI542" s="115"/>
      <c r="AJ542" s="115"/>
      <c r="AK542" s="115"/>
      <c r="AL542" s="115"/>
      <c r="AM542" s="115"/>
      <c r="AN542" s="115"/>
      <c r="AO542" s="115"/>
      <c r="AP542" s="115"/>
      <c r="AQ542" s="115"/>
      <c r="AR542" s="115" t="s">
        <v>170</v>
      </c>
      <c r="AS542" s="17">
        <f>SUBTOTAL(3,AS533:AS541)</f>
        <v>6</v>
      </c>
      <c r="AT542" s="13">
        <f>SUBTOTAL(3,AT533:AT541)</f>
        <v>6</v>
      </c>
      <c r="AW542" s="114"/>
    </row>
    <row r="543" spans="12:49" ht="19.5" x14ac:dyDescent="0.4">
      <c r="U543" s="129"/>
      <c r="V543" s="13"/>
      <c r="Z543" s="115"/>
      <c r="AA543" s="117"/>
      <c r="AB543" s="123"/>
      <c r="AC543" s="123"/>
      <c r="AD543" s="123"/>
      <c r="AE543" s="115"/>
      <c r="AF543" s="115"/>
      <c r="AG543" s="115"/>
      <c r="AH543" s="115"/>
      <c r="AI543" s="115"/>
      <c r="AJ543" s="115"/>
      <c r="AK543" s="115"/>
      <c r="AL543" s="115"/>
      <c r="AM543" s="115"/>
      <c r="AN543" s="115"/>
      <c r="AO543" s="115"/>
      <c r="AP543" s="115"/>
      <c r="AQ543" s="115"/>
      <c r="AR543" s="115"/>
      <c r="AS543" s="17"/>
      <c r="AT543" s="13"/>
      <c r="AW543" s="114"/>
    </row>
    <row r="544" spans="12:49" ht="19.5" x14ac:dyDescent="0.4">
      <c r="U544" s="26"/>
      <c r="V544" s="13"/>
      <c r="Z544" s="115"/>
      <c r="AA544" s="117"/>
      <c r="AB544" s="123"/>
      <c r="AC544" s="123"/>
      <c r="AD544" s="123"/>
      <c r="AE544" s="115"/>
      <c r="AF544" s="115"/>
      <c r="AG544" s="115"/>
      <c r="AH544" s="115"/>
      <c r="AI544" s="115"/>
      <c r="AJ544" s="115"/>
      <c r="AK544" s="115"/>
      <c r="AL544" s="115"/>
      <c r="AM544" s="115"/>
      <c r="AN544" s="115"/>
      <c r="AO544" s="115"/>
      <c r="AP544" s="115"/>
      <c r="AQ544" s="115"/>
      <c r="AR544" s="115"/>
      <c r="AS544" s="26">
        <v>45280</v>
      </c>
      <c r="AT544" s="13" t="s">
        <v>162</v>
      </c>
      <c r="AW544" s="114"/>
    </row>
    <row r="545" spans="21:49" ht="19.5" x14ac:dyDescent="0.4">
      <c r="U545" s="26"/>
      <c r="V545" s="13"/>
      <c r="Z545" s="115"/>
      <c r="AA545" s="116"/>
      <c r="AB545" s="123"/>
      <c r="AC545" s="123"/>
      <c r="AD545" s="123"/>
      <c r="AE545" s="115"/>
      <c r="AF545" s="115"/>
      <c r="AG545" s="115"/>
      <c r="AH545" s="115"/>
      <c r="AI545" s="115"/>
      <c r="AJ545" s="115"/>
      <c r="AK545" s="115"/>
      <c r="AL545" s="115"/>
      <c r="AM545" s="115"/>
      <c r="AN545" s="115"/>
      <c r="AO545" s="115"/>
      <c r="AP545" s="115"/>
      <c r="AQ545" s="115"/>
      <c r="AR545" s="115"/>
      <c r="AS545" s="26">
        <v>45280</v>
      </c>
      <c r="AT545" s="13" t="s">
        <v>162</v>
      </c>
      <c r="AW545" s="114"/>
    </row>
    <row r="546" spans="21:49" ht="19.5" x14ac:dyDescent="0.4">
      <c r="U546" s="26"/>
      <c r="V546" s="13"/>
      <c r="Z546" s="115"/>
      <c r="AA546" s="116"/>
      <c r="AB546" s="123"/>
      <c r="AC546" s="123"/>
      <c r="AD546" s="123"/>
      <c r="AE546" s="115"/>
      <c r="AF546" s="115"/>
      <c r="AG546" s="115"/>
      <c r="AH546" s="115"/>
      <c r="AI546" s="115"/>
      <c r="AJ546" s="115"/>
      <c r="AK546" s="115"/>
      <c r="AL546" s="115"/>
      <c r="AM546" s="115"/>
      <c r="AN546" s="115"/>
      <c r="AO546" s="115"/>
      <c r="AP546" s="115"/>
      <c r="AQ546" s="115"/>
      <c r="AR546" s="115"/>
      <c r="AS546" s="26">
        <v>45280</v>
      </c>
      <c r="AT546" s="13" t="s">
        <v>162</v>
      </c>
      <c r="AW546" s="114"/>
    </row>
    <row r="547" spans="21:49" ht="19.5" x14ac:dyDescent="0.4">
      <c r="U547" s="26"/>
      <c r="V547" s="13"/>
      <c r="Z547" s="115"/>
      <c r="AA547" s="116"/>
      <c r="AB547" s="123"/>
      <c r="AC547" s="123"/>
      <c r="AD547" s="123"/>
      <c r="AE547" s="115"/>
      <c r="AF547" s="115"/>
      <c r="AG547" s="115"/>
      <c r="AH547" s="115"/>
      <c r="AI547" s="115"/>
      <c r="AJ547" s="115"/>
      <c r="AK547" s="115"/>
      <c r="AL547" s="115"/>
      <c r="AM547" s="115"/>
      <c r="AN547" s="115"/>
      <c r="AO547" s="115"/>
      <c r="AP547" s="115"/>
      <c r="AQ547" s="115"/>
      <c r="AR547" s="115"/>
      <c r="AS547" s="26">
        <v>45280</v>
      </c>
      <c r="AT547" s="13" t="s">
        <v>162</v>
      </c>
      <c r="AW547" s="114"/>
    </row>
    <row r="548" spans="21:49" ht="19.5" x14ac:dyDescent="0.4">
      <c r="U548" s="129"/>
      <c r="V548" s="13"/>
      <c r="Z548" s="115"/>
      <c r="AA548" s="116"/>
      <c r="AB548" s="123"/>
      <c r="AC548" s="123"/>
      <c r="AD548" s="123"/>
      <c r="AE548" s="115"/>
      <c r="AF548" s="115"/>
      <c r="AG548" s="115"/>
      <c r="AH548" s="115"/>
      <c r="AI548" s="115"/>
      <c r="AJ548" s="115"/>
      <c r="AK548" s="115"/>
      <c r="AL548" s="115"/>
      <c r="AM548" s="115"/>
      <c r="AN548" s="115"/>
      <c r="AO548" s="115"/>
      <c r="AP548" s="115"/>
      <c r="AQ548" s="115"/>
      <c r="AR548" s="115"/>
      <c r="AS548" s="26"/>
      <c r="AT548" s="13"/>
      <c r="AW548" s="114"/>
    </row>
    <row r="549" spans="21:49" ht="19.5" x14ac:dyDescent="0.4">
      <c r="U549" s="26"/>
      <c r="V549" s="13"/>
      <c r="Z549" s="115"/>
      <c r="AA549" s="116"/>
      <c r="AB549" s="123"/>
      <c r="AC549" s="123"/>
      <c r="AD549" s="123"/>
      <c r="AE549" s="115"/>
      <c r="AF549" s="115"/>
      <c r="AG549" s="115"/>
      <c r="AH549" s="115"/>
      <c r="AI549" s="115"/>
      <c r="AJ549" s="115"/>
      <c r="AK549" s="115"/>
      <c r="AL549" s="115"/>
      <c r="AM549" s="115"/>
      <c r="AN549" s="115"/>
      <c r="AO549" s="115"/>
      <c r="AP549" s="115"/>
      <c r="AQ549" s="115"/>
      <c r="AR549" s="115"/>
      <c r="AS549" s="26">
        <v>45280</v>
      </c>
      <c r="AT549" s="13" t="s">
        <v>162</v>
      </c>
      <c r="AW549" s="114"/>
    </row>
    <row r="550" spans="21:49" ht="19.5" x14ac:dyDescent="0.4">
      <c r="U550" s="130"/>
      <c r="V550" s="119"/>
      <c r="Z550" s="115"/>
      <c r="AA550" s="116"/>
      <c r="AB550" s="123"/>
      <c r="AC550" s="123"/>
      <c r="AD550" s="123"/>
      <c r="AE550" s="115"/>
      <c r="AF550" s="115"/>
      <c r="AG550" s="115"/>
      <c r="AH550" s="115"/>
      <c r="AI550" s="115"/>
      <c r="AJ550" s="115"/>
      <c r="AK550" s="115"/>
      <c r="AL550" s="115"/>
      <c r="AM550" s="115"/>
      <c r="AN550" s="115"/>
      <c r="AO550" s="115"/>
      <c r="AP550" s="115"/>
      <c r="AQ550" s="115"/>
      <c r="AR550" s="115"/>
      <c r="AS550" s="26"/>
      <c r="AT550" s="13"/>
      <c r="AW550" s="114"/>
    </row>
    <row r="551" spans="21:49" ht="19.5" x14ac:dyDescent="0.4">
      <c r="U551" s="130"/>
      <c r="V551" s="119"/>
      <c r="Z551" s="115"/>
      <c r="AA551" s="116"/>
      <c r="AB551" s="123"/>
      <c r="AC551" s="123"/>
      <c r="AD551" s="123"/>
      <c r="AE551" s="115"/>
      <c r="AF551" s="115"/>
      <c r="AG551" s="115"/>
      <c r="AH551" s="115"/>
      <c r="AI551" s="115"/>
      <c r="AJ551" s="115"/>
      <c r="AK551" s="115"/>
      <c r="AL551" s="115"/>
      <c r="AM551" s="115"/>
      <c r="AN551" s="115"/>
      <c r="AO551" s="115"/>
      <c r="AP551" s="115"/>
      <c r="AQ551" s="115"/>
      <c r="AR551" s="115"/>
      <c r="AS551" s="26"/>
      <c r="AT551" s="13"/>
      <c r="AW551" s="114"/>
    </row>
    <row r="552" spans="21:49" ht="19.5" x14ac:dyDescent="0.4">
      <c r="Z552" s="115"/>
      <c r="AA552" s="116"/>
      <c r="AB552" s="123"/>
      <c r="AC552" s="123"/>
      <c r="AD552" s="123"/>
      <c r="AE552" s="115"/>
      <c r="AF552" s="115"/>
      <c r="AG552" s="115"/>
      <c r="AH552" s="115"/>
      <c r="AI552" s="115"/>
      <c r="AJ552" s="115"/>
      <c r="AK552" s="115"/>
      <c r="AL552" s="115"/>
      <c r="AM552" s="115"/>
      <c r="AN552" s="115"/>
      <c r="AO552" s="115"/>
      <c r="AP552" s="115"/>
      <c r="AQ552" s="115"/>
      <c r="AR552" s="115"/>
      <c r="AS552" s="26">
        <v>45280</v>
      </c>
      <c r="AT552" s="13" t="s">
        <v>162</v>
      </c>
      <c r="AW552" s="114"/>
    </row>
    <row r="553" spans="21:49" ht="19.5" x14ac:dyDescent="0.4">
      <c r="Z553" s="115"/>
      <c r="AA553" s="116"/>
      <c r="AB553" s="123"/>
      <c r="AC553" s="123"/>
      <c r="AD553" s="123"/>
      <c r="AE553" s="115"/>
      <c r="AF553" s="115"/>
      <c r="AG553" s="115"/>
      <c r="AH553" s="115"/>
      <c r="AI553" s="115"/>
      <c r="AJ553" s="115"/>
      <c r="AK553" s="115"/>
      <c r="AL553" s="115"/>
      <c r="AM553" s="115"/>
      <c r="AN553" s="115"/>
      <c r="AO553" s="115"/>
      <c r="AP553" s="115"/>
      <c r="AQ553" s="115"/>
      <c r="AR553" s="115"/>
      <c r="AS553" s="26">
        <v>45280</v>
      </c>
      <c r="AT553" s="13" t="s">
        <v>162</v>
      </c>
      <c r="AW553" s="114"/>
    </row>
    <row r="554" spans="21:49" ht="19.5" x14ac:dyDescent="0.4">
      <c r="Z554" s="115"/>
      <c r="AA554" s="116"/>
      <c r="AB554" s="123"/>
      <c r="AC554" s="123"/>
      <c r="AD554" s="123"/>
      <c r="AE554" s="115"/>
      <c r="AF554" s="115"/>
      <c r="AG554" s="115"/>
      <c r="AH554" s="115"/>
      <c r="AI554" s="115"/>
      <c r="AJ554" s="115"/>
      <c r="AK554" s="115"/>
      <c r="AL554" s="115"/>
      <c r="AM554" s="115"/>
      <c r="AN554" s="115"/>
      <c r="AO554" s="115"/>
      <c r="AP554" s="115"/>
      <c r="AQ554" s="115"/>
      <c r="AR554" s="115"/>
      <c r="AS554" s="26">
        <v>45280</v>
      </c>
      <c r="AT554" s="13" t="s">
        <v>162</v>
      </c>
      <c r="AW554" s="114"/>
    </row>
    <row r="555" spans="21:49" ht="19.5" x14ac:dyDescent="0.4">
      <c r="Y555" s="115"/>
      <c r="Z555" s="115"/>
      <c r="AA555" s="116"/>
      <c r="AB555" s="123"/>
      <c r="AC555" s="123"/>
      <c r="AD555" s="123"/>
      <c r="AE555" s="115"/>
      <c r="AF555" s="115"/>
      <c r="AG555" s="115"/>
      <c r="AH555" s="115"/>
      <c r="AI555" s="115"/>
      <c r="AJ555" s="115"/>
      <c r="AK555" s="115"/>
      <c r="AL555" s="115"/>
      <c r="AM555" s="115"/>
      <c r="AN555" s="115"/>
      <c r="AO555" s="115"/>
      <c r="AP555" s="115"/>
      <c r="AQ555" s="115"/>
      <c r="AR555" s="115"/>
      <c r="AS555" s="26">
        <v>45280</v>
      </c>
      <c r="AT555" s="13" t="s">
        <v>162</v>
      </c>
      <c r="AW555" s="114"/>
    </row>
    <row r="556" spans="21:49" ht="19.5" x14ac:dyDescent="0.4">
      <c r="Y556" s="115"/>
      <c r="Z556" s="115"/>
      <c r="AA556" s="116"/>
      <c r="AB556" s="123"/>
      <c r="AC556" s="123"/>
      <c r="AD556" s="123"/>
      <c r="AE556" s="115"/>
      <c r="AF556" s="115"/>
      <c r="AG556" s="115"/>
      <c r="AH556" s="115"/>
      <c r="AI556" s="115"/>
      <c r="AJ556" s="115"/>
      <c r="AK556" s="115"/>
      <c r="AL556" s="115"/>
      <c r="AM556" s="115"/>
      <c r="AN556" s="115"/>
      <c r="AO556" s="115"/>
      <c r="AP556" s="115"/>
      <c r="AQ556" s="115"/>
      <c r="AR556" s="115"/>
      <c r="AS556" s="26">
        <v>45280</v>
      </c>
      <c r="AT556" s="13" t="s">
        <v>162</v>
      </c>
      <c r="AW556" s="114"/>
    </row>
    <row r="557" spans="21:49" ht="19.5" x14ac:dyDescent="0.4">
      <c r="W557" s="115"/>
      <c r="X557" s="115"/>
      <c r="Y557" s="115"/>
      <c r="Z557" s="115"/>
      <c r="AA557" s="116"/>
      <c r="AB557" s="123"/>
      <c r="AC557" s="123"/>
      <c r="AD557" s="123"/>
      <c r="AE557" s="115"/>
      <c r="AF557" s="115"/>
      <c r="AG557" s="115"/>
      <c r="AH557" s="115"/>
      <c r="AI557" s="115"/>
      <c r="AJ557" s="115"/>
      <c r="AK557" s="115"/>
      <c r="AL557" s="115"/>
      <c r="AM557" s="115"/>
      <c r="AN557" s="115"/>
      <c r="AO557" s="115"/>
      <c r="AP557" s="115"/>
      <c r="AQ557" s="115"/>
      <c r="AR557" s="115"/>
      <c r="AS557" s="26">
        <v>45280</v>
      </c>
      <c r="AT557" s="13" t="s">
        <v>162</v>
      </c>
      <c r="AW557" s="114"/>
    </row>
    <row r="558" spans="21:49" x14ac:dyDescent="0.4">
      <c r="W558" s="115"/>
      <c r="X558" s="115"/>
      <c r="Y558" s="115"/>
      <c r="Z558" s="115"/>
      <c r="AA558" s="115"/>
      <c r="AB558" s="122"/>
      <c r="AC558" s="122"/>
      <c r="AD558" s="122"/>
      <c r="AE558" s="115"/>
      <c r="AF558" s="115"/>
      <c r="AG558" s="115"/>
      <c r="AH558" s="115"/>
      <c r="AI558" s="115"/>
      <c r="AJ558" s="115"/>
      <c r="AK558" s="115"/>
      <c r="AL558" s="115"/>
      <c r="AM558" s="115"/>
      <c r="AN558" s="115"/>
      <c r="AO558" s="115"/>
      <c r="AP558" s="115"/>
      <c r="AQ558" s="115"/>
      <c r="AR558" s="115"/>
      <c r="AS558" s="26">
        <v>45280</v>
      </c>
      <c r="AT558" s="13" t="s">
        <v>162</v>
      </c>
      <c r="AW558" s="114"/>
    </row>
    <row r="559" spans="21:49" x14ac:dyDescent="0.4">
      <c r="W559" s="115"/>
      <c r="X559" s="115"/>
      <c r="Y559" s="115"/>
      <c r="Z559" s="115"/>
      <c r="AA559" s="115"/>
      <c r="AB559" s="122"/>
      <c r="AC559" s="122"/>
      <c r="AD559" s="122"/>
      <c r="AE559" s="115"/>
      <c r="AF559" s="115"/>
      <c r="AG559" s="115"/>
      <c r="AH559" s="115"/>
      <c r="AI559" s="115"/>
      <c r="AJ559" s="115"/>
      <c r="AK559" s="115"/>
      <c r="AL559" s="115"/>
      <c r="AM559" s="115"/>
      <c r="AN559" s="115"/>
      <c r="AO559" s="115"/>
      <c r="AP559" s="115"/>
      <c r="AQ559" s="115"/>
      <c r="AR559" s="115"/>
      <c r="AS559" s="26">
        <v>45280</v>
      </c>
      <c r="AT559" s="13" t="s">
        <v>162</v>
      </c>
      <c r="AW559" s="114"/>
    </row>
    <row r="560" spans="21:49" x14ac:dyDescent="0.4">
      <c r="W560" s="115"/>
      <c r="X560" s="115"/>
      <c r="Y560" s="115"/>
      <c r="Z560" s="115"/>
      <c r="AA560" s="115"/>
      <c r="AB560" s="122"/>
      <c r="AC560" s="122"/>
      <c r="AD560" s="122"/>
      <c r="AE560" s="115"/>
      <c r="AF560" s="115"/>
      <c r="AG560" s="115"/>
      <c r="AH560" s="115"/>
      <c r="AI560" s="115"/>
      <c r="AJ560" s="115"/>
      <c r="AK560" s="115"/>
      <c r="AL560" s="115"/>
      <c r="AM560" s="115"/>
      <c r="AN560" s="115"/>
      <c r="AO560" s="115"/>
      <c r="AP560" s="115"/>
      <c r="AQ560" s="115"/>
      <c r="AR560" s="115" t="s">
        <v>171</v>
      </c>
      <c r="AS560" s="17">
        <f>SUBTOTAL(3,AS544:AS559)</f>
        <v>13</v>
      </c>
      <c r="AT560" s="13">
        <f>SUBTOTAL(3,AT544:AT559)</f>
        <v>13</v>
      </c>
      <c r="AW560" s="114"/>
    </row>
    <row r="561" spans="23:49" x14ac:dyDescent="0.4">
      <c r="W561" s="115"/>
      <c r="X561" s="115"/>
      <c r="Y561" s="115"/>
      <c r="Z561" s="115"/>
      <c r="AA561" s="115"/>
      <c r="AB561" s="122"/>
      <c r="AC561" s="122"/>
      <c r="AD561" s="122"/>
      <c r="AE561" s="115"/>
      <c r="AF561" s="115"/>
      <c r="AG561" s="115"/>
      <c r="AH561" s="115"/>
      <c r="AI561" s="115"/>
      <c r="AJ561" s="115"/>
      <c r="AK561" s="115"/>
      <c r="AL561" s="115"/>
      <c r="AM561" s="115"/>
      <c r="AN561" s="115"/>
      <c r="AO561" s="115"/>
      <c r="AP561" s="115"/>
      <c r="AQ561" s="115"/>
      <c r="AR561" s="115"/>
      <c r="AS561" s="26">
        <v>45283</v>
      </c>
      <c r="AT561" s="13" t="s">
        <v>162</v>
      </c>
      <c r="AW561" s="114"/>
    </row>
    <row r="562" spans="23:49" x14ac:dyDescent="0.4">
      <c r="W562" s="115"/>
      <c r="X562" s="115"/>
      <c r="Y562" s="115"/>
      <c r="Z562" s="115"/>
      <c r="AA562" s="115"/>
      <c r="AB562" s="122"/>
      <c r="AC562" s="122"/>
      <c r="AD562" s="122"/>
      <c r="AE562" s="115"/>
      <c r="AF562" s="115"/>
      <c r="AG562" s="115"/>
      <c r="AH562" s="115"/>
      <c r="AI562" s="115"/>
      <c r="AJ562" s="115"/>
      <c r="AK562" s="115"/>
      <c r="AL562" s="115"/>
      <c r="AM562" s="115"/>
      <c r="AN562" s="115"/>
      <c r="AO562" s="115"/>
      <c r="AP562" s="115"/>
      <c r="AQ562" s="115"/>
      <c r="AR562" s="115"/>
      <c r="AS562" s="26">
        <v>45283</v>
      </c>
      <c r="AT562" s="13" t="s">
        <v>162</v>
      </c>
      <c r="AW562" s="114"/>
    </row>
    <row r="563" spans="23:49" x14ac:dyDescent="0.4">
      <c r="W563" s="115"/>
      <c r="X563" s="115"/>
      <c r="Y563" s="115"/>
      <c r="Z563" s="115"/>
      <c r="AA563" s="115"/>
      <c r="AB563" s="122"/>
      <c r="AC563" s="122"/>
      <c r="AD563" s="122"/>
      <c r="AE563" s="115"/>
      <c r="AF563" s="115"/>
      <c r="AG563" s="115"/>
      <c r="AH563" s="115"/>
      <c r="AI563" s="115"/>
      <c r="AJ563" s="115"/>
      <c r="AK563" s="115"/>
      <c r="AL563" s="115"/>
      <c r="AM563" s="115"/>
      <c r="AN563" s="115"/>
      <c r="AO563" s="115"/>
      <c r="AP563" s="115"/>
      <c r="AQ563" s="115"/>
      <c r="AR563" s="115"/>
      <c r="AS563" s="26">
        <v>45283</v>
      </c>
      <c r="AT563" s="13" t="s">
        <v>162</v>
      </c>
      <c r="AW563" s="114"/>
    </row>
    <row r="564" spans="23:49" x14ac:dyDescent="0.4">
      <c r="W564" s="115"/>
      <c r="X564" s="115"/>
      <c r="Y564" s="115"/>
      <c r="Z564" s="115"/>
      <c r="AA564" s="115"/>
      <c r="AB564" s="122"/>
      <c r="AC564" s="122"/>
      <c r="AD564" s="122"/>
      <c r="AE564" s="115"/>
      <c r="AF564" s="115"/>
      <c r="AG564" s="115"/>
      <c r="AH564" s="115"/>
      <c r="AI564" s="115"/>
      <c r="AJ564" s="115"/>
      <c r="AK564" s="115"/>
      <c r="AL564" s="115"/>
      <c r="AM564" s="115"/>
      <c r="AN564" s="115"/>
      <c r="AO564" s="115"/>
      <c r="AP564" s="115"/>
      <c r="AQ564" s="115"/>
      <c r="AR564" s="115"/>
      <c r="AS564" s="26">
        <v>45283</v>
      </c>
      <c r="AT564" s="13" t="s">
        <v>162</v>
      </c>
      <c r="AW564" s="114"/>
    </row>
    <row r="565" spans="23:49" x14ac:dyDescent="0.4">
      <c r="W565" s="115"/>
      <c r="X565" s="115"/>
      <c r="Y565" s="115"/>
      <c r="Z565" s="115"/>
      <c r="AA565" s="115"/>
      <c r="AB565" s="122"/>
      <c r="AC565" s="122"/>
      <c r="AD565" s="122"/>
      <c r="AE565" s="115"/>
      <c r="AF565" s="115"/>
      <c r="AG565" s="115"/>
      <c r="AH565" s="115"/>
      <c r="AI565" s="115"/>
      <c r="AJ565" s="115"/>
      <c r="AK565" s="115"/>
      <c r="AL565" s="115"/>
      <c r="AM565" s="115"/>
      <c r="AN565" s="115"/>
      <c r="AO565" s="115"/>
      <c r="AP565" s="115"/>
      <c r="AQ565" s="115"/>
      <c r="AR565" s="115"/>
      <c r="AS565" s="26">
        <v>45283</v>
      </c>
      <c r="AT565" s="13" t="s">
        <v>162</v>
      </c>
      <c r="AW565" s="114"/>
    </row>
    <row r="566" spans="23:49" x14ac:dyDescent="0.4">
      <c r="W566" s="115"/>
      <c r="X566" s="115"/>
      <c r="Y566" s="115"/>
      <c r="Z566" s="115"/>
      <c r="AA566" s="115"/>
      <c r="AB566" s="122"/>
      <c r="AC566" s="122"/>
      <c r="AD566" s="122"/>
      <c r="AE566" s="115"/>
      <c r="AF566" s="115"/>
      <c r="AG566" s="115"/>
      <c r="AH566" s="115"/>
      <c r="AI566" s="115"/>
      <c r="AJ566" s="115"/>
      <c r="AK566" s="115"/>
      <c r="AL566" s="115"/>
      <c r="AM566" s="115"/>
      <c r="AN566" s="115"/>
      <c r="AO566" s="115"/>
      <c r="AP566" s="115"/>
      <c r="AQ566" s="115"/>
      <c r="AR566" s="115"/>
      <c r="AS566" s="26">
        <v>45283</v>
      </c>
      <c r="AT566" s="13" t="s">
        <v>162</v>
      </c>
      <c r="AW566" s="114"/>
    </row>
    <row r="567" spans="23:49" x14ac:dyDescent="0.4">
      <c r="W567" s="115"/>
      <c r="X567" s="115"/>
      <c r="Y567" s="115"/>
      <c r="Z567" s="115"/>
      <c r="AA567" s="115"/>
      <c r="AB567" s="122"/>
      <c r="AC567" s="122"/>
      <c r="AD567" s="122"/>
      <c r="AE567" s="115"/>
      <c r="AF567" s="115"/>
      <c r="AG567" s="115"/>
      <c r="AH567" s="115"/>
      <c r="AI567" s="115"/>
      <c r="AJ567" s="115"/>
      <c r="AK567" s="115"/>
      <c r="AL567" s="115"/>
      <c r="AM567" s="115"/>
      <c r="AN567" s="115"/>
      <c r="AO567" s="115"/>
      <c r="AP567" s="115"/>
      <c r="AQ567" s="115"/>
      <c r="AR567" s="115"/>
      <c r="AS567" s="26">
        <v>45283</v>
      </c>
      <c r="AT567" s="13" t="s">
        <v>162</v>
      </c>
      <c r="AW567" s="114"/>
    </row>
    <row r="568" spans="23:49" x14ac:dyDescent="0.4">
      <c r="W568" s="115"/>
      <c r="X568" s="115"/>
      <c r="Y568" s="115"/>
      <c r="Z568" s="115"/>
      <c r="AA568" s="115"/>
      <c r="AB568" s="122"/>
      <c r="AC568" s="122"/>
      <c r="AD568" s="122"/>
      <c r="AE568" s="115"/>
      <c r="AF568" s="115"/>
      <c r="AG568" s="115"/>
      <c r="AH568" s="115"/>
      <c r="AI568" s="115"/>
      <c r="AJ568" s="115"/>
      <c r="AK568" s="115"/>
      <c r="AL568" s="115"/>
      <c r="AM568" s="115"/>
      <c r="AN568" s="115"/>
      <c r="AO568" s="115"/>
      <c r="AP568" s="115"/>
      <c r="AQ568" s="115"/>
      <c r="AR568" s="115"/>
      <c r="AS568" s="26">
        <v>45283</v>
      </c>
      <c r="AT568" s="13" t="s">
        <v>162</v>
      </c>
      <c r="AW568" s="114"/>
    </row>
    <row r="569" spans="23:49" x14ac:dyDescent="0.4">
      <c r="W569" s="115"/>
      <c r="X569" s="115"/>
      <c r="Y569" s="115"/>
      <c r="Z569" s="115"/>
      <c r="AA569" s="115"/>
      <c r="AB569" s="122"/>
      <c r="AC569" s="122"/>
      <c r="AD569" s="122"/>
      <c r="AE569" s="115"/>
      <c r="AF569" s="115"/>
      <c r="AG569" s="115"/>
      <c r="AH569" s="115"/>
      <c r="AI569" s="115"/>
      <c r="AJ569" s="115"/>
      <c r="AK569" s="115"/>
      <c r="AL569" s="115"/>
      <c r="AM569" s="115"/>
      <c r="AN569" s="115"/>
      <c r="AO569" s="115"/>
      <c r="AP569" s="115"/>
      <c r="AQ569" s="115"/>
      <c r="AR569" s="115"/>
      <c r="AS569" s="26">
        <v>45283</v>
      </c>
      <c r="AT569" s="13" t="s">
        <v>162</v>
      </c>
      <c r="AW569" s="114"/>
    </row>
    <row r="570" spans="23:49" x14ac:dyDescent="0.4">
      <c r="W570" s="115"/>
      <c r="X570" s="115"/>
      <c r="Y570" s="115"/>
      <c r="Z570" s="115"/>
      <c r="AA570" s="115"/>
      <c r="AB570" s="122"/>
      <c r="AC570" s="122"/>
      <c r="AD570" s="122"/>
      <c r="AE570" s="115"/>
      <c r="AF570" s="115"/>
      <c r="AG570" s="115"/>
      <c r="AH570" s="115"/>
      <c r="AI570" s="115"/>
      <c r="AJ570" s="115"/>
      <c r="AK570" s="115"/>
      <c r="AL570" s="115"/>
      <c r="AM570" s="115"/>
      <c r="AN570" s="115"/>
      <c r="AO570" s="115"/>
      <c r="AP570" s="115"/>
      <c r="AQ570" s="115"/>
      <c r="AR570" s="115"/>
      <c r="AS570" s="26">
        <v>45283</v>
      </c>
      <c r="AT570" s="13" t="s">
        <v>162</v>
      </c>
      <c r="AW570" s="114"/>
    </row>
    <row r="571" spans="23:49" x14ac:dyDescent="0.4">
      <c r="W571" s="115"/>
      <c r="X571" s="115"/>
      <c r="Y571" s="115"/>
      <c r="Z571" s="115"/>
      <c r="AA571" s="115"/>
      <c r="AB571" s="122"/>
      <c r="AC571" s="122"/>
      <c r="AD571" s="122"/>
      <c r="AE571" s="115"/>
      <c r="AF571" s="115"/>
      <c r="AG571" s="115"/>
      <c r="AH571" s="115"/>
      <c r="AI571" s="115"/>
      <c r="AJ571" s="115"/>
      <c r="AK571" s="115"/>
      <c r="AL571" s="115"/>
      <c r="AM571" s="115"/>
      <c r="AN571" s="115"/>
      <c r="AO571" s="115"/>
      <c r="AP571" s="115"/>
      <c r="AQ571" s="115"/>
      <c r="AR571" s="115"/>
      <c r="AS571" s="26">
        <v>45283</v>
      </c>
      <c r="AT571" s="13" t="s">
        <v>163</v>
      </c>
      <c r="AW571" s="114"/>
    </row>
    <row r="572" spans="23:49" x14ac:dyDescent="0.4">
      <c r="W572" s="115"/>
      <c r="X572" s="115"/>
      <c r="Y572" s="115"/>
      <c r="Z572" s="115"/>
      <c r="AA572" s="115"/>
      <c r="AB572" s="122"/>
      <c r="AC572" s="122"/>
      <c r="AD572" s="122"/>
      <c r="AE572" s="115"/>
      <c r="AF572" s="115"/>
      <c r="AG572" s="115"/>
      <c r="AH572" s="115"/>
      <c r="AI572" s="115"/>
      <c r="AJ572" s="115"/>
      <c r="AK572" s="115"/>
      <c r="AL572" s="115"/>
      <c r="AM572" s="115"/>
      <c r="AN572" s="115"/>
      <c r="AO572" s="115"/>
      <c r="AP572" s="115"/>
      <c r="AQ572" s="115"/>
      <c r="AR572" s="115"/>
      <c r="AS572" s="26">
        <v>45283</v>
      </c>
      <c r="AT572" s="13" t="s">
        <v>163</v>
      </c>
      <c r="AW572" s="114"/>
    </row>
    <row r="573" spans="23:49" x14ac:dyDescent="0.4">
      <c r="W573" s="115"/>
      <c r="X573" s="115"/>
      <c r="Y573" s="115"/>
      <c r="Z573" s="115"/>
      <c r="AA573" s="115"/>
      <c r="AB573" s="122"/>
      <c r="AC573" s="122"/>
      <c r="AD573" s="122"/>
      <c r="AE573" s="115"/>
      <c r="AF573" s="115"/>
      <c r="AG573" s="115"/>
      <c r="AH573" s="115"/>
      <c r="AI573" s="115"/>
      <c r="AJ573" s="115"/>
      <c r="AK573" s="115"/>
      <c r="AL573" s="115"/>
      <c r="AM573" s="115"/>
      <c r="AN573" s="115"/>
      <c r="AO573" s="115"/>
      <c r="AP573" s="115"/>
      <c r="AQ573" s="115"/>
      <c r="AR573" s="115"/>
      <c r="AS573" s="26">
        <v>45283</v>
      </c>
      <c r="AT573" s="13" t="s">
        <v>163</v>
      </c>
      <c r="AW573" s="114"/>
    </row>
    <row r="574" spans="23:49" x14ac:dyDescent="0.4">
      <c r="W574" s="115"/>
      <c r="X574" s="115"/>
      <c r="Y574" s="115"/>
      <c r="Z574" s="115"/>
      <c r="AA574" s="115"/>
      <c r="AB574" s="122"/>
      <c r="AC574" s="122"/>
      <c r="AD574" s="122"/>
      <c r="AE574" s="115"/>
      <c r="AF574" s="115"/>
      <c r="AG574" s="115"/>
      <c r="AH574" s="115"/>
      <c r="AI574" s="115"/>
      <c r="AJ574" s="115"/>
      <c r="AK574" s="115"/>
      <c r="AL574" s="115"/>
      <c r="AM574" s="115"/>
      <c r="AN574" s="115"/>
      <c r="AO574" s="115"/>
      <c r="AP574" s="115"/>
      <c r="AQ574" s="115"/>
      <c r="AR574" s="115" t="s">
        <v>161</v>
      </c>
      <c r="AS574" s="17">
        <f>SUBTOTAL(3,AS561:AS573)</f>
        <v>13</v>
      </c>
      <c r="AT574" s="13">
        <f>SUBTOTAL(3,AT561:AT573)</f>
        <v>13</v>
      </c>
      <c r="AW574" s="114"/>
    </row>
    <row r="575" spans="23:49" x14ac:dyDescent="0.4">
      <c r="W575" s="115"/>
      <c r="X575" s="115"/>
      <c r="Y575" s="115"/>
      <c r="Z575" s="115"/>
      <c r="AA575" s="115"/>
      <c r="AB575" s="122"/>
      <c r="AC575" s="122"/>
      <c r="AD575" s="122"/>
      <c r="AE575" s="115"/>
      <c r="AF575" s="115"/>
      <c r="AG575" s="115"/>
      <c r="AH575" s="115"/>
      <c r="AI575" s="115"/>
      <c r="AJ575" s="115"/>
      <c r="AK575" s="115"/>
      <c r="AL575" s="115"/>
      <c r="AM575" s="115"/>
      <c r="AN575" s="115"/>
      <c r="AO575" s="115"/>
      <c r="AP575" s="115"/>
      <c r="AQ575" s="115"/>
      <c r="AR575" s="115"/>
      <c r="AS575" s="26">
        <v>45285</v>
      </c>
      <c r="AT575" s="13" t="s">
        <v>163</v>
      </c>
      <c r="AW575" s="114"/>
    </row>
    <row r="576" spans="23:49" x14ac:dyDescent="0.4">
      <c r="W576" s="115"/>
      <c r="X576" s="115"/>
      <c r="Y576" s="115"/>
      <c r="Z576" s="115"/>
      <c r="AA576" s="115"/>
      <c r="AB576" s="122"/>
      <c r="AC576" s="122"/>
      <c r="AD576" s="122"/>
      <c r="AE576" s="115"/>
      <c r="AF576" s="115"/>
      <c r="AG576" s="115"/>
      <c r="AH576" s="115"/>
      <c r="AI576" s="115"/>
      <c r="AJ576" s="115"/>
      <c r="AK576" s="115"/>
      <c r="AL576" s="115"/>
      <c r="AM576" s="115"/>
      <c r="AN576" s="115"/>
      <c r="AO576" s="115"/>
      <c r="AP576" s="115"/>
      <c r="AQ576" s="115"/>
      <c r="AR576" s="115" t="s">
        <v>172</v>
      </c>
      <c r="AS576" s="17">
        <f>SUBTOTAL(3,AS575:AS575)</f>
        <v>1</v>
      </c>
      <c r="AT576" s="13">
        <f>SUBTOTAL(3,AT575:AT575)</f>
        <v>1</v>
      </c>
      <c r="AW576" s="114"/>
    </row>
    <row r="577" spans="23:49" x14ac:dyDescent="0.4">
      <c r="W577" s="115"/>
      <c r="X577" s="115"/>
      <c r="Y577" s="115"/>
      <c r="Z577" s="115"/>
      <c r="AA577" s="115"/>
      <c r="AB577" s="122"/>
      <c r="AC577" s="122"/>
      <c r="AD577" s="122"/>
      <c r="AE577" s="115"/>
      <c r="AF577" s="115"/>
      <c r="AG577" s="115"/>
      <c r="AH577" s="115"/>
      <c r="AI577" s="115"/>
      <c r="AJ577" s="115"/>
      <c r="AK577" s="115"/>
      <c r="AL577" s="115"/>
      <c r="AM577" s="115"/>
      <c r="AN577" s="115"/>
      <c r="AO577" s="115"/>
      <c r="AP577" s="115"/>
      <c r="AQ577" s="115"/>
      <c r="AR577" s="115"/>
      <c r="AS577" s="26">
        <v>45299</v>
      </c>
      <c r="AT577" s="13" t="s">
        <v>164</v>
      </c>
      <c r="AW577" s="114"/>
    </row>
    <row r="578" spans="23:49" x14ac:dyDescent="0.4">
      <c r="W578" s="115"/>
      <c r="X578" s="115"/>
      <c r="Y578" s="115"/>
      <c r="Z578" s="115"/>
      <c r="AA578" s="115"/>
      <c r="AB578" s="122"/>
      <c r="AC578" s="122"/>
      <c r="AD578" s="122"/>
      <c r="AE578" s="115"/>
      <c r="AF578" s="115"/>
      <c r="AG578" s="115"/>
      <c r="AH578" s="115"/>
      <c r="AI578" s="115"/>
      <c r="AJ578" s="115"/>
      <c r="AK578" s="115"/>
      <c r="AL578" s="115"/>
      <c r="AM578" s="115"/>
      <c r="AN578" s="115"/>
      <c r="AO578" s="115"/>
      <c r="AP578" s="115"/>
      <c r="AQ578" s="115"/>
      <c r="AR578" s="115"/>
      <c r="AS578" s="26">
        <v>45299</v>
      </c>
      <c r="AT578" s="13" t="s">
        <v>162</v>
      </c>
      <c r="AW578" s="114"/>
    </row>
    <row r="579" spans="23:49" x14ac:dyDescent="0.4">
      <c r="W579" s="115"/>
      <c r="X579" s="115"/>
      <c r="Y579" s="115"/>
      <c r="Z579" s="115"/>
      <c r="AA579" s="115"/>
      <c r="AB579" s="122"/>
      <c r="AC579" s="122"/>
      <c r="AD579" s="122"/>
      <c r="AE579" s="115"/>
      <c r="AF579" s="115"/>
      <c r="AG579" s="115"/>
      <c r="AH579" s="115"/>
      <c r="AI579" s="115"/>
      <c r="AJ579" s="115"/>
      <c r="AK579" s="115"/>
      <c r="AL579" s="115"/>
      <c r="AM579" s="115"/>
      <c r="AN579" s="115"/>
      <c r="AO579" s="115"/>
      <c r="AP579" s="115"/>
      <c r="AQ579" s="115"/>
      <c r="AR579" s="115"/>
      <c r="AS579" s="26">
        <v>45299</v>
      </c>
      <c r="AT579" s="13" t="s">
        <v>162</v>
      </c>
      <c r="AW579" s="114"/>
    </row>
    <row r="580" spans="23:49" x14ac:dyDescent="0.4">
      <c r="W580" s="115"/>
      <c r="X580" s="115"/>
      <c r="Y580" s="115"/>
      <c r="Z580" s="115"/>
      <c r="AA580" s="115"/>
      <c r="AB580" s="122"/>
      <c r="AC580" s="122"/>
      <c r="AD580" s="122"/>
      <c r="AE580" s="115"/>
      <c r="AF580" s="115"/>
      <c r="AG580" s="115"/>
      <c r="AH580" s="115"/>
      <c r="AI580" s="115"/>
      <c r="AJ580" s="115"/>
      <c r="AK580" s="115"/>
      <c r="AL580" s="115"/>
      <c r="AM580" s="115"/>
      <c r="AN580" s="115"/>
      <c r="AO580" s="115"/>
      <c r="AP580" s="115"/>
      <c r="AQ580" s="115"/>
      <c r="AR580" s="115"/>
      <c r="AS580" s="26">
        <v>45299</v>
      </c>
      <c r="AT580" s="15" t="s">
        <v>162</v>
      </c>
      <c r="AW580" s="114"/>
    </row>
    <row r="581" spans="23:49" x14ac:dyDescent="0.4">
      <c r="W581" s="115"/>
      <c r="X581" s="115"/>
      <c r="Y581" s="115"/>
      <c r="Z581" s="115"/>
      <c r="AA581" s="115"/>
      <c r="AB581" s="122"/>
      <c r="AC581" s="122"/>
      <c r="AD581" s="122"/>
      <c r="AE581" s="115"/>
      <c r="AF581" s="115"/>
      <c r="AG581" s="115"/>
      <c r="AH581" s="115"/>
      <c r="AI581" s="115"/>
      <c r="AJ581" s="115"/>
      <c r="AK581" s="115"/>
      <c r="AL581" s="115"/>
      <c r="AM581" s="115"/>
      <c r="AN581" s="115"/>
      <c r="AO581" s="115"/>
      <c r="AP581" s="115"/>
      <c r="AQ581" s="115"/>
      <c r="AR581" s="115" t="s">
        <v>173</v>
      </c>
      <c r="AS581" s="17">
        <f>SUBTOTAL(3,AS577:AS580)</f>
        <v>4</v>
      </c>
      <c r="AT581" s="13">
        <f>SUBTOTAL(3,AT577:AT580)</f>
        <v>4</v>
      </c>
      <c r="AW581" s="114"/>
    </row>
    <row r="582" spans="23:49" x14ac:dyDescent="0.4">
      <c r="W582" s="115"/>
      <c r="X582" s="115"/>
      <c r="Y582" s="115"/>
      <c r="Z582" s="115"/>
      <c r="AA582" s="115"/>
      <c r="AB582" s="122"/>
      <c r="AC582" s="122"/>
      <c r="AD582" s="122"/>
      <c r="AE582" s="115"/>
      <c r="AF582" s="115"/>
      <c r="AG582" s="115"/>
      <c r="AH582" s="115"/>
      <c r="AI582" s="115"/>
      <c r="AJ582" s="115"/>
      <c r="AK582" s="115"/>
      <c r="AL582" s="115"/>
      <c r="AM582" s="115"/>
      <c r="AN582" s="115"/>
      <c r="AO582" s="115"/>
      <c r="AP582" s="115"/>
      <c r="AQ582" s="115"/>
      <c r="AR582" s="115" t="s">
        <v>145</v>
      </c>
      <c r="AS582" s="17">
        <f>SUBTOTAL(3,AS2:AS580)</f>
        <v>136</v>
      </c>
      <c r="AT582" s="13">
        <f>SUBTOTAL(3,AT2:AT580)</f>
        <v>136</v>
      </c>
      <c r="AW582" s="114"/>
    </row>
    <row r="583" spans="23:49" x14ac:dyDescent="0.4">
      <c r="W583" s="115"/>
      <c r="X583" s="115"/>
      <c r="Y583" s="115"/>
      <c r="Z583" s="115"/>
      <c r="AA583" s="115"/>
      <c r="AB583" s="122"/>
      <c r="AC583" s="122"/>
      <c r="AD583" s="122"/>
      <c r="AE583" s="115"/>
      <c r="AF583" s="115"/>
      <c r="AG583" s="115"/>
      <c r="AH583" s="115"/>
      <c r="AI583" s="115"/>
      <c r="AJ583" s="115"/>
      <c r="AK583" s="115"/>
      <c r="AL583" s="115"/>
      <c r="AM583" s="115"/>
      <c r="AN583" s="115"/>
      <c r="AO583" s="115"/>
      <c r="AP583" s="115" t="s">
        <v>145</v>
      </c>
      <c r="AQ583" s="115"/>
      <c r="AR583" s="115"/>
      <c r="AS583" s="26"/>
      <c r="AT583" s="13"/>
      <c r="AW583" s="114"/>
    </row>
    <row r="584" spans="23:49" x14ac:dyDescent="0.4">
      <c r="W584" s="115"/>
      <c r="X584" s="115"/>
      <c r="Y584" s="115"/>
      <c r="Z584" s="115"/>
      <c r="AA584" s="115"/>
      <c r="AB584" s="122"/>
      <c r="AC584" s="122"/>
      <c r="AD584" s="122"/>
      <c r="AE584" s="115"/>
      <c r="AF584" s="115"/>
      <c r="AG584" s="115"/>
      <c r="AH584" s="115"/>
      <c r="AI584" s="115"/>
      <c r="AJ584" s="115"/>
      <c r="AK584" s="115"/>
      <c r="AL584" s="115"/>
      <c r="AM584" s="115"/>
      <c r="AN584" s="115"/>
      <c r="AO584" s="115"/>
      <c r="AP584" s="115"/>
      <c r="AQ584" s="115"/>
      <c r="AR584" s="115"/>
      <c r="AS584" s="17"/>
      <c r="AT584" s="13"/>
      <c r="AW584" s="114"/>
    </row>
    <row r="585" spans="23:49" x14ac:dyDescent="0.4">
      <c r="W585" s="115"/>
      <c r="X585" s="115"/>
      <c r="Y585" s="115"/>
      <c r="Z585" s="115"/>
      <c r="AA585" s="115"/>
      <c r="AB585" s="122"/>
      <c r="AC585" s="122"/>
      <c r="AD585" s="122"/>
      <c r="AE585" s="115"/>
      <c r="AF585" s="115"/>
      <c r="AG585" s="115"/>
      <c r="AH585" s="115"/>
      <c r="AI585" s="115"/>
      <c r="AJ585" s="115"/>
      <c r="AK585" s="115"/>
      <c r="AL585" s="115"/>
      <c r="AM585" s="115"/>
      <c r="AN585" s="115"/>
      <c r="AO585" s="115"/>
      <c r="AP585" s="115"/>
      <c r="AQ585" s="115"/>
      <c r="AR585" s="115"/>
      <c r="AS585" s="26"/>
      <c r="AT585" s="13"/>
      <c r="AW585" s="114"/>
    </row>
    <row r="586" spans="23:49" x14ac:dyDescent="0.4">
      <c r="W586" s="115"/>
      <c r="X586" s="115"/>
      <c r="Y586" s="115"/>
      <c r="Z586" s="115"/>
      <c r="AA586" s="115"/>
      <c r="AB586" s="122"/>
      <c r="AC586" s="122"/>
      <c r="AD586" s="122"/>
      <c r="AE586" s="115"/>
      <c r="AF586" s="115"/>
      <c r="AG586" s="115"/>
      <c r="AH586" s="115"/>
      <c r="AI586" s="115"/>
      <c r="AJ586" s="115"/>
      <c r="AK586" s="115"/>
      <c r="AL586" s="115"/>
      <c r="AM586" s="115"/>
      <c r="AN586" s="115"/>
      <c r="AO586" s="115"/>
      <c r="AP586" s="115"/>
      <c r="AQ586" s="115"/>
      <c r="AR586" s="115"/>
      <c r="AS586" s="17"/>
      <c r="AT586" s="13"/>
      <c r="AW586" s="114"/>
    </row>
    <row r="587" spans="23:49" x14ac:dyDescent="0.4">
      <c r="W587" s="115"/>
      <c r="X587" s="115"/>
      <c r="Y587" s="115"/>
      <c r="Z587" s="115"/>
      <c r="AA587" s="115"/>
      <c r="AB587" s="122"/>
      <c r="AC587" s="122"/>
      <c r="AD587" s="122"/>
      <c r="AE587" s="115"/>
      <c r="AF587" s="115"/>
      <c r="AG587" s="115"/>
      <c r="AH587" s="115"/>
      <c r="AI587" s="115"/>
      <c r="AJ587" s="115"/>
      <c r="AK587" s="115"/>
      <c r="AL587" s="115"/>
      <c r="AM587" s="115"/>
      <c r="AN587" s="115"/>
      <c r="AO587" s="115"/>
      <c r="AP587" s="115"/>
      <c r="AQ587" s="115"/>
      <c r="AR587" s="115"/>
      <c r="AS587" s="26"/>
      <c r="AT587" s="13"/>
      <c r="AW587" s="114"/>
    </row>
    <row r="588" spans="23:49" x14ac:dyDescent="0.4">
      <c r="W588" s="115"/>
      <c r="X588" s="115"/>
      <c r="Y588" s="115"/>
      <c r="Z588" s="115"/>
      <c r="AA588" s="115"/>
      <c r="AB588" s="122"/>
      <c r="AC588" s="122"/>
      <c r="AD588" s="122"/>
      <c r="AE588" s="115"/>
      <c r="AF588" s="115"/>
      <c r="AG588" s="115"/>
      <c r="AH588" s="115"/>
      <c r="AI588" s="115"/>
      <c r="AJ588" s="115"/>
      <c r="AK588" s="115"/>
      <c r="AL588" s="115"/>
      <c r="AM588" s="115"/>
      <c r="AN588" s="115"/>
      <c r="AO588" s="115"/>
      <c r="AP588" s="115"/>
      <c r="AQ588" s="115"/>
      <c r="AR588" s="115"/>
      <c r="AS588" s="26"/>
      <c r="AT588" s="13"/>
      <c r="AW588" s="114"/>
    </row>
    <row r="589" spans="23:49" x14ac:dyDescent="0.4">
      <c r="W589" s="115"/>
      <c r="X589" s="115"/>
      <c r="Y589" s="115"/>
      <c r="Z589" s="115"/>
      <c r="AA589" s="115"/>
      <c r="AB589" s="122"/>
      <c r="AC589" s="122"/>
      <c r="AD589" s="122"/>
      <c r="AE589" s="115"/>
      <c r="AF589" s="115"/>
      <c r="AG589" s="115"/>
      <c r="AH589" s="115"/>
      <c r="AI589" s="115"/>
      <c r="AJ589" s="115"/>
      <c r="AK589" s="115"/>
      <c r="AL589" s="115"/>
      <c r="AM589" s="115"/>
      <c r="AN589" s="115"/>
      <c r="AO589" s="115"/>
      <c r="AP589" s="115"/>
      <c r="AQ589" s="115"/>
      <c r="AR589" s="115"/>
      <c r="AS589" s="26"/>
      <c r="AT589" s="13"/>
      <c r="AW589" s="114"/>
    </row>
    <row r="590" spans="23:49" x14ac:dyDescent="0.4">
      <c r="W590" s="115"/>
      <c r="X590" s="115"/>
      <c r="Y590" s="115"/>
      <c r="Z590" s="115"/>
      <c r="AA590" s="115"/>
      <c r="AB590" s="122"/>
      <c r="AC590" s="122"/>
      <c r="AD590" s="122"/>
      <c r="AE590" s="115"/>
      <c r="AF590" s="115"/>
      <c r="AG590" s="115"/>
      <c r="AH590" s="115"/>
      <c r="AI590" s="115"/>
      <c r="AJ590" s="115"/>
      <c r="AK590" s="115"/>
      <c r="AL590" s="115"/>
      <c r="AM590" s="115"/>
      <c r="AN590" s="115"/>
      <c r="AO590" s="115"/>
      <c r="AP590" s="115"/>
      <c r="AQ590" s="115"/>
      <c r="AR590" s="115"/>
      <c r="AS590" s="17"/>
      <c r="AT590" s="13"/>
      <c r="AW590" s="114"/>
    </row>
    <row r="591" spans="23:49" x14ac:dyDescent="0.4">
      <c r="W591" s="115"/>
      <c r="X591" s="115"/>
      <c r="Y591" s="115"/>
      <c r="Z591" s="115"/>
      <c r="AA591" s="115"/>
      <c r="AB591" s="122"/>
      <c r="AC591" s="122"/>
      <c r="AD591" s="122"/>
      <c r="AE591" s="115"/>
      <c r="AF591" s="115"/>
      <c r="AG591" s="115"/>
      <c r="AH591" s="115"/>
      <c r="AI591" s="115"/>
      <c r="AJ591" s="115"/>
      <c r="AK591" s="115"/>
      <c r="AL591" s="115"/>
      <c r="AM591" s="115"/>
      <c r="AN591" s="115"/>
      <c r="AO591" s="115"/>
      <c r="AP591" s="115"/>
      <c r="AQ591" s="115"/>
      <c r="AR591" s="115"/>
      <c r="AS591" s="26"/>
      <c r="AT591" s="13"/>
      <c r="AW591" s="114"/>
    </row>
    <row r="592" spans="23:49" x14ac:dyDescent="0.4">
      <c r="W592" s="115"/>
      <c r="X592" s="115"/>
      <c r="Y592" s="115"/>
      <c r="Z592" s="115"/>
      <c r="AA592" s="115"/>
      <c r="AB592" s="122"/>
      <c r="AC592" s="122"/>
      <c r="AD592" s="122"/>
      <c r="AE592" s="115"/>
      <c r="AF592" s="115"/>
      <c r="AG592" s="115"/>
      <c r="AH592" s="115"/>
      <c r="AI592" s="115"/>
      <c r="AJ592" s="115"/>
      <c r="AK592" s="115"/>
      <c r="AL592" s="115"/>
      <c r="AM592" s="115"/>
      <c r="AN592" s="115"/>
      <c r="AO592" s="115"/>
      <c r="AP592" s="115"/>
      <c r="AQ592" s="115"/>
      <c r="AR592" s="115"/>
      <c r="AS592" s="17"/>
      <c r="AT592" s="13"/>
      <c r="AW592" s="114"/>
    </row>
    <row r="593" spans="23:49" x14ac:dyDescent="0.4">
      <c r="W593" s="115"/>
      <c r="X593" s="115"/>
      <c r="Y593" s="115"/>
      <c r="Z593" s="115"/>
      <c r="AA593" s="115"/>
      <c r="AB593" s="122"/>
      <c r="AC593" s="122"/>
      <c r="AD593" s="122"/>
      <c r="AE593" s="115"/>
      <c r="AF593" s="115"/>
      <c r="AG593" s="115"/>
      <c r="AH593" s="115"/>
      <c r="AI593" s="115"/>
      <c r="AJ593" s="115"/>
      <c r="AK593" s="115"/>
      <c r="AL593" s="115"/>
      <c r="AM593" s="115"/>
      <c r="AN593" s="115"/>
      <c r="AO593" s="115"/>
      <c r="AP593" s="115"/>
      <c r="AQ593" s="115"/>
      <c r="AR593" s="115"/>
      <c r="AS593" s="26"/>
      <c r="AT593" s="13"/>
      <c r="AW593" s="114"/>
    </row>
    <row r="594" spans="23:49" x14ac:dyDescent="0.4">
      <c r="W594" s="115"/>
      <c r="X594" s="115"/>
      <c r="Y594" s="115"/>
      <c r="Z594" s="115"/>
      <c r="AA594" s="115"/>
      <c r="AB594" s="122"/>
      <c r="AC594" s="122"/>
      <c r="AD594" s="122"/>
      <c r="AE594" s="115"/>
      <c r="AF594" s="115"/>
      <c r="AG594" s="115"/>
      <c r="AH594" s="115"/>
      <c r="AI594" s="115"/>
      <c r="AJ594" s="115"/>
      <c r="AK594" s="115"/>
      <c r="AL594" s="115"/>
      <c r="AM594" s="115"/>
      <c r="AN594" s="115"/>
      <c r="AO594" s="115"/>
      <c r="AP594" s="115"/>
      <c r="AQ594" s="115"/>
      <c r="AR594" s="115"/>
      <c r="AS594" s="17"/>
      <c r="AT594" s="13"/>
      <c r="AW594" s="114"/>
    </row>
    <row r="595" spans="23:49" x14ac:dyDescent="0.4">
      <c r="W595" s="115"/>
      <c r="X595" s="115"/>
      <c r="Y595" s="115"/>
      <c r="Z595" s="115"/>
      <c r="AA595" s="115"/>
      <c r="AB595" s="122"/>
      <c r="AC595" s="122"/>
      <c r="AD595" s="122"/>
      <c r="AE595" s="115"/>
      <c r="AF595" s="115"/>
      <c r="AG595" s="115"/>
      <c r="AH595" s="115"/>
      <c r="AI595" s="115"/>
      <c r="AJ595" s="115"/>
      <c r="AK595" s="115"/>
      <c r="AL595" s="115"/>
      <c r="AM595" s="115"/>
      <c r="AN595" s="115"/>
      <c r="AO595" s="115"/>
      <c r="AP595" s="115"/>
      <c r="AQ595" s="115"/>
      <c r="AR595" s="115"/>
      <c r="AS595" s="17"/>
      <c r="AT595" s="13"/>
      <c r="AW595" s="114"/>
    </row>
    <row r="596" spans="23:49" x14ac:dyDescent="0.4">
      <c r="W596" s="115"/>
      <c r="X596" s="115"/>
      <c r="Y596" s="115"/>
      <c r="Z596" s="115"/>
      <c r="AA596" s="115"/>
      <c r="AB596" s="122"/>
      <c r="AC596" s="122"/>
      <c r="AD596" s="122"/>
      <c r="AE596" s="115"/>
      <c r="AF596" s="115"/>
      <c r="AG596" s="115"/>
      <c r="AH596" s="115"/>
      <c r="AI596" s="115"/>
      <c r="AJ596" s="115"/>
      <c r="AK596" s="115"/>
      <c r="AL596" s="115"/>
      <c r="AM596" s="115"/>
      <c r="AN596" s="115"/>
      <c r="AO596" s="115"/>
      <c r="AP596" s="115"/>
      <c r="AQ596" s="115"/>
      <c r="AR596" s="115"/>
      <c r="AS596" s="17"/>
      <c r="AT596" s="13"/>
      <c r="AW596" s="114"/>
    </row>
    <row r="597" spans="23:49" x14ac:dyDescent="0.4">
      <c r="W597" s="115"/>
      <c r="X597" s="115"/>
      <c r="Y597" s="115"/>
      <c r="Z597" s="115"/>
      <c r="AA597" s="115"/>
      <c r="AB597" s="122"/>
      <c r="AC597" s="122"/>
      <c r="AD597" s="122"/>
      <c r="AE597" s="115"/>
      <c r="AF597" s="115"/>
      <c r="AG597" s="115"/>
      <c r="AH597" s="115"/>
      <c r="AI597" s="115"/>
      <c r="AJ597" s="115"/>
      <c r="AK597" s="115"/>
      <c r="AL597" s="115"/>
      <c r="AM597" s="115"/>
      <c r="AN597" s="115"/>
      <c r="AO597" s="115"/>
      <c r="AP597" s="115"/>
      <c r="AQ597" s="115"/>
      <c r="AR597" s="115"/>
      <c r="AS597" s="26"/>
      <c r="AT597" s="13"/>
      <c r="AW597" s="114"/>
    </row>
    <row r="598" spans="23:49" x14ac:dyDescent="0.4">
      <c r="W598" s="115"/>
      <c r="X598" s="115"/>
      <c r="Y598" s="115"/>
      <c r="Z598" s="115"/>
      <c r="AA598" s="115"/>
      <c r="AB598" s="122"/>
      <c r="AC598" s="122"/>
      <c r="AD598" s="122"/>
      <c r="AE598" s="115"/>
      <c r="AF598" s="115"/>
      <c r="AG598" s="115"/>
      <c r="AH598" s="115"/>
      <c r="AI598" s="115"/>
      <c r="AJ598" s="115"/>
      <c r="AK598" s="115"/>
      <c r="AL598" s="115"/>
      <c r="AM598" s="115"/>
      <c r="AN598" s="115"/>
      <c r="AO598" s="115"/>
      <c r="AP598" s="115"/>
      <c r="AQ598" s="115"/>
      <c r="AR598" s="115"/>
      <c r="AS598" s="17"/>
      <c r="AT598" s="13"/>
      <c r="AW598" s="114"/>
    </row>
    <row r="599" spans="23:49" x14ac:dyDescent="0.4">
      <c r="W599" s="115"/>
      <c r="X599" s="115"/>
      <c r="Y599" s="115"/>
      <c r="Z599" s="115"/>
      <c r="AA599" s="115"/>
      <c r="AB599" s="122"/>
      <c r="AC599" s="122"/>
      <c r="AD599" s="122"/>
      <c r="AE599" s="115"/>
      <c r="AF599" s="115"/>
      <c r="AG599" s="115"/>
      <c r="AH599" s="115"/>
      <c r="AI599" s="115"/>
      <c r="AJ599" s="115"/>
      <c r="AK599" s="115"/>
      <c r="AL599" s="115"/>
      <c r="AM599" s="115"/>
      <c r="AN599" s="115"/>
      <c r="AO599" s="115"/>
      <c r="AP599" s="115"/>
      <c r="AQ599" s="115"/>
      <c r="AR599" s="115"/>
      <c r="AS599" s="26"/>
      <c r="AT599" s="13"/>
      <c r="AW599" s="114"/>
    </row>
    <row r="600" spans="23:49" x14ac:dyDescent="0.4">
      <c r="W600" s="115"/>
      <c r="X600" s="115"/>
      <c r="Y600" s="115"/>
      <c r="Z600" s="115"/>
      <c r="AA600" s="115"/>
      <c r="AB600" s="122"/>
      <c r="AC600" s="122"/>
      <c r="AD600" s="122"/>
      <c r="AE600" s="115"/>
      <c r="AF600" s="115"/>
      <c r="AG600" s="115"/>
      <c r="AH600" s="115"/>
      <c r="AI600" s="115"/>
      <c r="AJ600" s="115"/>
      <c r="AK600" s="115"/>
      <c r="AL600" s="115"/>
      <c r="AM600" s="115"/>
      <c r="AN600" s="115"/>
      <c r="AO600" s="115"/>
      <c r="AP600" s="115"/>
      <c r="AQ600" s="115"/>
      <c r="AR600" s="115"/>
      <c r="AS600" s="17"/>
      <c r="AT600" s="13"/>
      <c r="AW600" s="114"/>
    </row>
    <row r="601" spans="23:49" x14ac:dyDescent="0.4">
      <c r="W601" s="115"/>
      <c r="X601" s="115"/>
      <c r="Y601" s="115"/>
      <c r="Z601" s="115"/>
      <c r="AA601" s="115"/>
      <c r="AB601" s="122"/>
      <c r="AC601" s="122"/>
      <c r="AD601" s="122"/>
      <c r="AE601" s="115"/>
      <c r="AF601" s="115"/>
      <c r="AG601" s="115"/>
      <c r="AH601" s="115"/>
      <c r="AI601" s="115"/>
      <c r="AJ601" s="115"/>
      <c r="AK601" s="115"/>
      <c r="AL601" s="115"/>
      <c r="AM601" s="115"/>
      <c r="AN601" s="115"/>
      <c r="AO601" s="115"/>
      <c r="AP601" s="115"/>
      <c r="AQ601" s="115"/>
      <c r="AR601" s="115"/>
      <c r="AS601" s="26"/>
      <c r="AT601" s="25"/>
      <c r="AW601" s="114"/>
    </row>
    <row r="602" spans="23:49" x14ac:dyDescent="0.4">
      <c r="W602" s="115"/>
      <c r="X602" s="115"/>
      <c r="Y602" s="115"/>
      <c r="Z602" s="115"/>
      <c r="AA602" s="115"/>
      <c r="AB602" s="122"/>
      <c r="AC602" s="122"/>
      <c r="AD602" s="122"/>
      <c r="AE602" s="115"/>
      <c r="AF602" s="115"/>
      <c r="AG602" s="115"/>
      <c r="AH602" s="115"/>
      <c r="AI602" s="115"/>
      <c r="AJ602" s="115"/>
      <c r="AK602" s="115"/>
      <c r="AL602" s="115"/>
      <c r="AM602" s="115"/>
      <c r="AN602" s="115"/>
      <c r="AO602" s="115"/>
      <c r="AP602" s="115"/>
      <c r="AQ602" s="115"/>
      <c r="AR602" s="115"/>
      <c r="AS602" s="17"/>
      <c r="AT602" s="13"/>
      <c r="AW602" s="114"/>
    </row>
    <row r="603" spans="23:49" x14ac:dyDescent="0.4">
      <c r="W603" s="115"/>
      <c r="X603" s="115"/>
      <c r="Y603" s="115"/>
      <c r="Z603" s="115"/>
      <c r="AA603" s="115"/>
      <c r="AB603" s="122"/>
      <c r="AC603" s="122"/>
      <c r="AD603" s="122"/>
      <c r="AE603" s="115"/>
      <c r="AF603" s="115"/>
      <c r="AG603" s="115"/>
      <c r="AH603" s="115"/>
      <c r="AI603" s="115"/>
      <c r="AJ603" s="115"/>
      <c r="AK603" s="115"/>
      <c r="AL603" s="115"/>
      <c r="AM603" s="115"/>
      <c r="AN603" s="115"/>
      <c r="AO603" s="115"/>
      <c r="AP603" s="115"/>
      <c r="AQ603" s="115"/>
      <c r="AR603" s="115"/>
      <c r="AS603" s="17"/>
      <c r="AT603" s="13"/>
      <c r="AW603" s="114"/>
    </row>
    <row r="604" spans="23:49" x14ac:dyDescent="0.4">
      <c r="W604" s="115"/>
      <c r="X604" s="115"/>
      <c r="Y604" s="115"/>
      <c r="Z604" s="115"/>
      <c r="AA604" s="115"/>
      <c r="AB604" s="122"/>
      <c r="AC604" s="122"/>
      <c r="AD604" s="122"/>
      <c r="AE604" s="115"/>
      <c r="AF604" s="115"/>
      <c r="AG604" s="115"/>
      <c r="AH604" s="115"/>
      <c r="AI604" s="115"/>
      <c r="AJ604" s="115"/>
      <c r="AK604" s="115"/>
      <c r="AL604" s="115"/>
      <c r="AM604" s="115"/>
      <c r="AN604" s="115"/>
      <c r="AO604" s="115"/>
      <c r="AP604" s="115"/>
      <c r="AQ604" s="115"/>
      <c r="AR604" s="115"/>
      <c r="AS604" s="26"/>
      <c r="AT604" s="15"/>
      <c r="AW604" s="114"/>
    </row>
    <row r="605" spans="23:49" x14ac:dyDescent="0.4">
      <c r="W605" s="115"/>
      <c r="X605" s="115"/>
      <c r="Y605" s="115"/>
      <c r="Z605" s="115"/>
      <c r="AA605" s="115"/>
      <c r="AB605" s="122"/>
      <c r="AC605" s="122"/>
      <c r="AD605" s="122"/>
      <c r="AE605" s="115"/>
      <c r="AF605" s="115"/>
      <c r="AG605" s="115"/>
      <c r="AH605" s="115"/>
      <c r="AI605" s="115"/>
      <c r="AJ605" s="115"/>
      <c r="AK605" s="115"/>
      <c r="AL605" s="115"/>
      <c r="AM605" s="115"/>
      <c r="AN605" s="115"/>
      <c r="AO605" s="115"/>
      <c r="AP605" s="115"/>
      <c r="AQ605" s="115"/>
      <c r="AR605" s="115"/>
      <c r="AS605" s="26"/>
      <c r="AT605" s="15"/>
      <c r="AW605" s="114"/>
    </row>
    <row r="606" spans="23:49" x14ac:dyDescent="0.4">
      <c r="W606" s="115"/>
      <c r="X606" s="115"/>
      <c r="Y606" s="115"/>
      <c r="Z606" s="115"/>
      <c r="AA606" s="115"/>
      <c r="AB606" s="122"/>
      <c r="AC606" s="122"/>
      <c r="AD606" s="122"/>
      <c r="AE606" s="115"/>
      <c r="AF606" s="115"/>
      <c r="AG606" s="115"/>
      <c r="AH606" s="115"/>
      <c r="AI606" s="115"/>
      <c r="AJ606" s="115"/>
      <c r="AK606" s="115"/>
      <c r="AL606" s="115"/>
      <c r="AM606" s="115"/>
      <c r="AN606" s="115"/>
      <c r="AO606" s="115"/>
      <c r="AP606" s="115"/>
      <c r="AQ606" s="115"/>
      <c r="AR606" s="115"/>
      <c r="AS606" s="26"/>
      <c r="AT606" s="15"/>
      <c r="AW606" s="114"/>
    </row>
    <row r="607" spans="23:49" x14ac:dyDescent="0.4">
      <c r="W607" s="115"/>
      <c r="X607" s="115"/>
      <c r="Y607" s="115"/>
      <c r="Z607" s="115"/>
      <c r="AA607" s="115"/>
      <c r="AB607" s="122"/>
      <c r="AC607" s="122"/>
      <c r="AD607" s="122"/>
      <c r="AE607" s="115"/>
      <c r="AF607" s="115"/>
      <c r="AG607" s="115"/>
      <c r="AH607" s="115"/>
      <c r="AI607" s="115"/>
      <c r="AJ607" s="115"/>
      <c r="AK607" s="115"/>
      <c r="AL607" s="115"/>
      <c r="AM607" s="115"/>
      <c r="AN607" s="115"/>
      <c r="AO607" s="115"/>
      <c r="AP607" s="115"/>
      <c r="AQ607" s="115"/>
      <c r="AR607" s="115"/>
      <c r="AS607" s="26"/>
      <c r="AT607" s="15"/>
      <c r="AW607" s="114"/>
    </row>
    <row r="608" spans="23:49" x14ac:dyDescent="0.4">
      <c r="W608" s="115"/>
      <c r="X608" s="115"/>
      <c r="Y608" s="115"/>
      <c r="Z608" s="115"/>
      <c r="AA608" s="115"/>
      <c r="AB608" s="122"/>
      <c r="AC608" s="122"/>
      <c r="AD608" s="122"/>
      <c r="AE608" s="115"/>
      <c r="AF608" s="115"/>
      <c r="AG608" s="115"/>
      <c r="AH608" s="115"/>
      <c r="AI608" s="115"/>
      <c r="AJ608" s="115"/>
      <c r="AK608" s="115"/>
      <c r="AL608" s="115"/>
      <c r="AM608" s="115"/>
      <c r="AN608" s="115"/>
      <c r="AO608" s="115"/>
      <c r="AP608" s="115"/>
      <c r="AQ608" s="115"/>
      <c r="AR608" s="115"/>
      <c r="AS608" s="26"/>
      <c r="AT608" s="15"/>
      <c r="AW608" s="114"/>
    </row>
    <row r="609" spans="23:49" x14ac:dyDescent="0.4">
      <c r="W609" s="115"/>
      <c r="X609" s="115"/>
      <c r="Y609" s="115"/>
      <c r="Z609" s="115"/>
      <c r="AA609" s="115"/>
      <c r="AB609" s="122"/>
      <c r="AC609" s="122"/>
      <c r="AD609" s="122"/>
      <c r="AE609" s="115"/>
      <c r="AF609" s="115"/>
      <c r="AG609" s="115"/>
      <c r="AH609" s="115"/>
      <c r="AI609" s="115"/>
      <c r="AJ609" s="115"/>
      <c r="AK609" s="115"/>
      <c r="AL609" s="115"/>
      <c r="AM609" s="115"/>
      <c r="AN609" s="115"/>
      <c r="AO609" s="115"/>
      <c r="AP609" s="115"/>
      <c r="AQ609" s="115"/>
      <c r="AR609" s="115"/>
      <c r="AS609" s="26"/>
      <c r="AT609" s="15"/>
      <c r="AW609" s="114"/>
    </row>
    <row r="610" spans="23:49" x14ac:dyDescent="0.4">
      <c r="W610" s="115"/>
      <c r="X610" s="115"/>
      <c r="Y610" s="115"/>
      <c r="Z610" s="115"/>
      <c r="AA610" s="115"/>
      <c r="AB610" s="122"/>
      <c r="AC610" s="122"/>
      <c r="AD610" s="122"/>
      <c r="AE610" s="115"/>
      <c r="AF610" s="115"/>
      <c r="AG610" s="115"/>
      <c r="AH610" s="115"/>
      <c r="AI610" s="115"/>
      <c r="AJ610" s="115"/>
      <c r="AK610" s="115"/>
      <c r="AL610" s="115"/>
      <c r="AM610" s="115"/>
      <c r="AN610" s="115"/>
      <c r="AO610" s="115"/>
      <c r="AP610" s="115"/>
      <c r="AQ610" s="115"/>
      <c r="AR610" s="115"/>
      <c r="AS610" s="26"/>
      <c r="AT610" s="15"/>
      <c r="AW610" s="114"/>
    </row>
    <row r="611" spans="23:49" x14ac:dyDescent="0.4">
      <c r="W611" s="115"/>
      <c r="X611" s="115"/>
      <c r="Y611" s="115"/>
      <c r="Z611" s="115"/>
      <c r="AA611" s="115"/>
      <c r="AB611" s="122"/>
      <c r="AC611" s="122"/>
      <c r="AD611" s="122"/>
      <c r="AE611" s="115"/>
      <c r="AF611" s="115"/>
      <c r="AG611" s="115"/>
      <c r="AH611" s="115"/>
      <c r="AI611" s="115"/>
      <c r="AJ611" s="115"/>
      <c r="AK611" s="115"/>
      <c r="AL611" s="115"/>
      <c r="AM611" s="115"/>
      <c r="AN611" s="115"/>
      <c r="AO611" s="115"/>
      <c r="AP611" s="115"/>
      <c r="AQ611" s="115"/>
      <c r="AR611" s="115"/>
      <c r="AS611" s="26"/>
      <c r="AT611" s="15"/>
      <c r="AW611" s="114"/>
    </row>
    <row r="612" spans="23:49" x14ac:dyDescent="0.4">
      <c r="W612" s="115"/>
      <c r="X612" s="115"/>
      <c r="Y612" s="115"/>
      <c r="Z612" s="115"/>
      <c r="AA612" s="115"/>
      <c r="AB612" s="122"/>
      <c r="AC612" s="122"/>
      <c r="AD612" s="122"/>
      <c r="AE612" s="115"/>
      <c r="AF612" s="115"/>
      <c r="AG612" s="115"/>
      <c r="AH612" s="115"/>
      <c r="AI612" s="115"/>
      <c r="AJ612" s="115"/>
      <c r="AK612" s="115"/>
      <c r="AL612" s="115"/>
      <c r="AM612" s="115"/>
      <c r="AN612" s="115"/>
      <c r="AO612" s="115"/>
      <c r="AP612" s="115"/>
      <c r="AQ612" s="115"/>
      <c r="AR612" s="115"/>
      <c r="AS612" s="17"/>
      <c r="AT612" s="15"/>
      <c r="AW612" s="114"/>
    </row>
    <row r="613" spans="23:49" x14ac:dyDescent="0.4">
      <c r="W613" s="115"/>
      <c r="X613" s="115"/>
      <c r="Y613" s="115"/>
      <c r="Z613" s="115"/>
      <c r="AA613" s="115"/>
      <c r="AB613" s="122"/>
      <c r="AC613" s="122"/>
      <c r="AD613" s="122"/>
      <c r="AE613" s="115"/>
      <c r="AF613" s="115"/>
      <c r="AG613" s="115"/>
      <c r="AH613" s="115"/>
      <c r="AI613" s="115"/>
      <c r="AJ613" s="115"/>
      <c r="AK613" s="115"/>
      <c r="AL613" s="115"/>
      <c r="AM613" s="115"/>
      <c r="AN613" s="115"/>
      <c r="AO613" s="115"/>
      <c r="AP613" s="115"/>
      <c r="AQ613" s="115"/>
      <c r="AR613" s="115"/>
      <c r="AS613" s="26"/>
      <c r="AT613" s="15"/>
      <c r="AW613" s="114"/>
    </row>
    <row r="614" spans="23:49" x14ac:dyDescent="0.4">
      <c r="W614" s="115"/>
      <c r="X614" s="115"/>
      <c r="Y614" s="115"/>
      <c r="Z614" s="115"/>
      <c r="AA614" s="115"/>
      <c r="AB614" s="122"/>
      <c r="AC614" s="122"/>
      <c r="AD614" s="122"/>
      <c r="AE614" s="115"/>
      <c r="AF614" s="115"/>
      <c r="AG614" s="115"/>
      <c r="AH614" s="115"/>
      <c r="AI614" s="115"/>
      <c r="AJ614" s="115"/>
      <c r="AK614" s="115"/>
      <c r="AL614" s="115"/>
      <c r="AM614" s="115"/>
      <c r="AN614" s="115"/>
      <c r="AO614" s="115"/>
      <c r="AP614" s="115"/>
      <c r="AQ614" s="115"/>
      <c r="AR614" s="115"/>
      <c r="AS614" s="26"/>
      <c r="AT614" s="13"/>
      <c r="AW614" s="114"/>
    </row>
    <row r="615" spans="23:49" x14ac:dyDescent="0.4">
      <c r="W615" s="115"/>
      <c r="X615" s="115"/>
      <c r="Y615" s="115"/>
      <c r="Z615" s="115"/>
      <c r="AA615" s="115"/>
      <c r="AB615" s="122"/>
      <c r="AC615" s="122"/>
      <c r="AD615" s="122"/>
      <c r="AE615" s="115"/>
      <c r="AF615" s="115"/>
      <c r="AG615" s="115"/>
      <c r="AH615" s="115"/>
      <c r="AI615" s="115"/>
      <c r="AJ615" s="115"/>
      <c r="AK615" s="115"/>
      <c r="AL615" s="115"/>
      <c r="AM615" s="115"/>
      <c r="AN615" s="115"/>
      <c r="AO615" s="115"/>
      <c r="AP615" s="115"/>
      <c r="AQ615" s="115"/>
      <c r="AR615" s="115"/>
      <c r="AS615" s="26"/>
      <c r="AT615" s="13"/>
      <c r="AW615" s="114"/>
    </row>
    <row r="616" spans="23:49" x14ac:dyDescent="0.4">
      <c r="W616" s="115"/>
      <c r="X616" s="115"/>
      <c r="Y616" s="115"/>
      <c r="Z616" s="115"/>
      <c r="AA616" s="115"/>
      <c r="AB616" s="122"/>
      <c r="AC616" s="122"/>
      <c r="AD616" s="122"/>
      <c r="AE616" s="115"/>
      <c r="AF616" s="115"/>
      <c r="AG616" s="115"/>
      <c r="AH616" s="115"/>
      <c r="AI616" s="115"/>
      <c r="AJ616" s="115"/>
      <c r="AK616" s="115"/>
      <c r="AL616" s="115"/>
      <c r="AM616" s="115"/>
      <c r="AN616" s="115"/>
      <c r="AO616" s="115"/>
      <c r="AP616" s="115"/>
      <c r="AQ616" s="115"/>
      <c r="AR616" s="115"/>
      <c r="AS616" s="26"/>
      <c r="AT616" s="13"/>
      <c r="AW616" s="114"/>
    </row>
    <row r="617" spans="23:49" x14ac:dyDescent="0.4">
      <c r="W617" s="115"/>
      <c r="X617" s="115"/>
      <c r="Y617" s="115"/>
      <c r="Z617" s="115"/>
      <c r="AA617" s="115"/>
      <c r="AB617" s="122"/>
      <c r="AC617" s="122"/>
      <c r="AD617" s="122"/>
      <c r="AE617" s="115"/>
      <c r="AF617" s="115"/>
      <c r="AG617" s="115"/>
      <c r="AH617" s="115"/>
      <c r="AI617" s="115"/>
      <c r="AJ617" s="115"/>
      <c r="AK617" s="115"/>
      <c r="AL617" s="115"/>
      <c r="AM617" s="115"/>
      <c r="AN617" s="115"/>
      <c r="AO617" s="115"/>
      <c r="AP617" s="115"/>
      <c r="AQ617" s="115"/>
      <c r="AR617" s="115"/>
      <c r="AS617" s="26"/>
      <c r="AT617" s="13"/>
      <c r="AW617" s="114"/>
    </row>
    <row r="618" spans="23:49" x14ac:dyDescent="0.4">
      <c r="W618" s="115"/>
      <c r="X618" s="115"/>
      <c r="Y618" s="115"/>
      <c r="Z618" s="115"/>
      <c r="AA618" s="115"/>
      <c r="AB618" s="122"/>
      <c r="AC618" s="122"/>
      <c r="AD618" s="122"/>
      <c r="AE618" s="115"/>
      <c r="AF618" s="115"/>
      <c r="AG618" s="115"/>
      <c r="AH618" s="115"/>
      <c r="AI618" s="115"/>
      <c r="AJ618" s="115"/>
      <c r="AK618" s="115"/>
      <c r="AL618" s="115"/>
      <c r="AM618" s="115"/>
      <c r="AN618" s="115"/>
      <c r="AO618" s="115"/>
      <c r="AP618" s="115"/>
      <c r="AQ618" s="115"/>
      <c r="AR618" s="115"/>
      <c r="AS618" s="26"/>
      <c r="AT618" s="13"/>
      <c r="AW618" s="114"/>
    </row>
    <row r="619" spans="23:49" x14ac:dyDescent="0.4">
      <c r="W619" s="115"/>
      <c r="X619" s="115"/>
      <c r="Y619" s="115"/>
      <c r="Z619" s="115"/>
      <c r="AA619" s="115"/>
      <c r="AB619" s="122"/>
      <c r="AC619" s="122"/>
      <c r="AD619" s="122"/>
      <c r="AE619" s="115"/>
      <c r="AF619" s="115"/>
      <c r="AG619" s="115"/>
      <c r="AH619" s="115"/>
      <c r="AI619" s="115"/>
      <c r="AJ619" s="115"/>
      <c r="AK619" s="115"/>
      <c r="AL619" s="115"/>
      <c r="AM619" s="115"/>
      <c r="AN619" s="115"/>
      <c r="AO619" s="115"/>
      <c r="AP619" s="115"/>
      <c r="AQ619" s="115"/>
      <c r="AR619" s="115"/>
      <c r="AS619" s="26"/>
      <c r="AT619" s="13"/>
      <c r="AW619" s="114"/>
    </row>
    <row r="620" spans="23:49" x14ac:dyDescent="0.4">
      <c r="W620" s="115"/>
      <c r="X620" s="115"/>
      <c r="Y620" s="115"/>
      <c r="Z620" s="115"/>
      <c r="AA620" s="115"/>
      <c r="AB620" s="122"/>
      <c r="AC620" s="122"/>
      <c r="AD620" s="122"/>
      <c r="AE620" s="115"/>
      <c r="AF620" s="115"/>
      <c r="AG620" s="115"/>
      <c r="AH620" s="115"/>
      <c r="AI620" s="115"/>
      <c r="AJ620" s="115"/>
      <c r="AK620" s="115"/>
      <c r="AL620" s="115"/>
      <c r="AM620" s="115"/>
      <c r="AN620" s="115"/>
      <c r="AO620" s="115"/>
      <c r="AP620" s="115"/>
      <c r="AQ620" s="115"/>
      <c r="AR620" s="115"/>
      <c r="AS620" s="26"/>
      <c r="AT620" s="13"/>
      <c r="AW620" s="114"/>
    </row>
    <row r="621" spans="23:49" x14ac:dyDescent="0.4">
      <c r="W621" s="115"/>
      <c r="X621" s="115"/>
      <c r="Y621" s="115"/>
      <c r="Z621" s="115"/>
      <c r="AA621" s="115"/>
      <c r="AB621" s="122"/>
      <c r="AC621" s="122"/>
      <c r="AD621" s="122"/>
      <c r="AE621" s="115"/>
      <c r="AF621" s="115"/>
      <c r="AG621" s="115"/>
      <c r="AH621" s="115"/>
      <c r="AI621" s="115"/>
      <c r="AJ621" s="115"/>
      <c r="AK621" s="115"/>
      <c r="AL621" s="115"/>
      <c r="AM621" s="115"/>
      <c r="AN621" s="115"/>
      <c r="AO621" s="115"/>
      <c r="AP621" s="115"/>
      <c r="AQ621" s="115"/>
      <c r="AR621" s="115"/>
      <c r="AS621" s="26"/>
      <c r="AT621" s="13"/>
      <c r="AW621" s="114"/>
    </row>
    <row r="622" spans="23:49" x14ac:dyDescent="0.4">
      <c r="W622" s="115"/>
      <c r="X622" s="115"/>
      <c r="Y622" s="115"/>
      <c r="Z622" s="115"/>
      <c r="AA622" s="115"/>
      <c r="AB622" s="122"/>
      <c r="AC622" s="122"/>
      <c r="AD622" s="122"/>
      <c r="AE622" s="115"/>
      <c r="AF622" s="115"/>
      <c r="AG622" s="115"/>
      <c r="AH622" s="115"/>
      <c r="AI622" s="115"/>
      <c r="AJ622" s="115"/>
      <c r="AK622" s="115"/>
      <c r="AL622" s="115"/>
      <c r="AM622" s="115"/>
      <c r="AN622" s="115"/>
      <c r="AO622" s="115"/>
      <c r="AP622" s="115"/>
      <c r="AQ622" s="115"/>
      <c r="AR622" s="115"/>
      <c r="AS622" s="26"/>
      <c r="AT622" s="13"/>
      <c r="AW622" s="114"/>
    </row>
    <row r="623" spans="23:49" x14ac:dyDescent="0.4">
      <c r="W623" s="115"/>
      <c r="X623" s="115"/>
      <c r="Y623" s="115"/>
      <c r="Z623" s="115"/>
      <c r="AA623" s="115"/>
      <c r="AB623" s="122"/>
      <c r="AC623" s="122"/>
      <c r="AD623" s="122"/>
      <c r="AE623" s="115"/>
      <c r="AF623" s="115"/>
      <c r="AG623" s="115"/>
      <c r="AH623" s="115"/>
      <c r="AI623" s="115"/>
      <c r="AJ623" s="115"/>
      <c r="AK623" s="115"/>
      <c r="AL623" s="115"/>
      <c r="AM623" s="115"/>
      <c r="AN623" s="115"/>
      <c r="AO623" s="115"/>
      <c r="AP623" s="115"/>
      <c r="AQ623" s="115"/>
      <c r="AR623" s="115"/>
      <c r="AS623" s="26"/>
      <c r="AT623" s="13"/>
      <c r="AW623" s="114"/>
    </row>
    <row r="624" spans="23:49" x14ac:dyDescent="0.4">
      <c r="W624" s="115"/>
      <c r="X624" s="115"/>
      <c r="Y624" s="115"/>
      <c r="Z624" s="115"/>
      <c r="AA624" s="115"/>
      <c r="AB624" s="122"/>
      <c r="AC624" s="122"/>
      <c r="AD624" s="122"/>
      <c r="AE624" s="115"/>
      <c r="AF624" s="115"/>
      <c r="AG624" s="115"/>
      <c r="AH624" s="115"/>
      <c r="AI624" s="115"/>
      <c r="AJ624" s="115"/>
      <c r="AK624" s="115"/>
      <c r="AL624" s="115"/>
      <c r="AM624" s="115"/>
      <c r="AN624" s="115"/>
      <c r="AO624" s="115"/>
      <c r="AP624" s="115"/>
      <c r="AQ624" s="115"/>
      <c r="AR624" s="115"/>
      <c r="AS624" s="26"/>
      <c r="AT624" s="13"/>
      <c r="AW624" s="114"/>
    </row>
    <row r="625" spans="22:49" x14ac:dyDescent="0.4">
      <c r="W625" s="115"/>
      <c r="X625" s="115"/>
      <c r="Y625" s="115"/>
      <c r="Z625" s="115"/>
      <c r="AA625" s="115"/>
      <c r="AB625" s="122"/>
      <c r="AC625" s="122"/>
      <c r="AD625" s="122"/>
      <c r="AE625" s="115"/>
      <c r="AF625" s="115"/>
      <c r="AG625" s="115"/>
      <c r="AH625" s="115"/>
      <c r="AI625" s="115"/>
      <c r="AJ625" s="115"/>
      <c r="AK625" s="115"/>
      <c r="AL625" s="115"/>
      <c r="AM625" s="115"/>
      <c r="AN625" s="115"/>
      <c r="AO625" s="115"/>
      <c r="AP625" s="115"/>
      <c r="AQ625" s="115"/>
      <c r="AR625" s="115"/>
      <c r="AS625" s="17"/>
      <c r="AT625" s="13"/>
      <c r="AW625" s="114"/>
    </row>
    <row r="626" spans="22:49" x14ac:dyDescent="0.4">
      <c r="W626" s="115"/>
      <c r="X626" s="115"/>
      <c r="Y626" s="115"/>
      <c r="Z626" s="115"/>
      <c r="AA626" s="115"/>
      <c r="AB626" s="122"/>
      <c r="AC626" s="122"/>
      <c r="AD626" s="122"/>
      <c r="AE626" s="115"/>
      <c r="AF626" s="115"/>
      <c r="AG626" s="115"/>
      <c r="AH626" s="115"/>
      <c r="AI626" s="115"/>
      <c r="AJ626" s="115"/>
      <c r="AK626" s="115"/>
      <c r="AL626" s="115"/>
      <c r="AM626" s="115"/>
      <c r="AN626" s="115"/>
      <c r="AO626" s="115"/>
      <c r="AP626" s="115"/>
      <c r="AQ626" s="115"/>
      <c r="AR626" s="115"/>
      <c r="AS626" s="26"/>
      <c r="AT626" s="13"/>
      <c r="AW626" s="114"/>
    </row>
    <row r="627" spans="22:49" x14ac:dyDescent="0.4">
      <c r="W627" s="115"/>
      <c r="X627" s="115"/>
      <c r="Y627" s="115"/>
      <c r="Z627" s="115"/>
      <c r="AA627" s="115"/>
      <c r="AB627" s="122"/>
      <c r="AC627" s="122"/>
      <c r="AD627" s="122"/>
      <c r="AE627" s="115"/>
      <c r="AF627" s="115"/>
      <c r="AG627" s="115"/>
      <c r="AH627" s="115"/>
      <c r="AI627" s="115"/>
      <c r="AJ627" s="115"/>
      <c r="AK627" s="115"/>
      <c r="AL627" s="115"/>
      <c r="AM627" s="115"/>
      <c r="AN627" s="115"/>
      <c r="AO627" s="115"/>
      <c r="AP627" s="115"/>
      <c r="AQ627" s="115"/>
      <c r="AR627" s="115"/>
      <c r="AS627" s="26"/>
      <c r="AT627" s="13"/>
      <c r="AW627" s="114"/>
    </row>
    <row r="628" spans="22:49" x14ac:dyDescent="0.4">
      <c r="W628" s="115"/>
      <c r="X628" s="115"/>
      <c r="Y628" s="115"/>
      <c r="Z628" s="115"/>
      <c r="AA628" s="115"/>
      <c r="AB628" s="122"/>
      <c r="AC628" s="122"/>
      <c r="AD628" s="122"/>
      <c r="AE628" s="115"/>
      <c r="AF628" s="115"/>
      <c r="AG628" s="115"/>
      <c r="AH628" s="115"/>
      <c r="AI628" s="115"/>
      <c r="AJ628" s="115"/>
      <c r="AK628" s="115"/>
      <c r="AL628" s="115"/>
      <c r="AM628" s="115"/>
      <c r="AN628" s="115"/>
      <c r="AO628" s="115"/>
      <c r="AP628" s="115"/>
      <c r="AQ628" s="115"/>
      <c r="AR628" s="115"/>
      <c r="AS628" s="26"/>
      <c r="AT628" s="13"/>
      <c r="AW628" s="114"/>
    </row>
    <row r="629" spans="22:49" x14ac:dyDescent="0.4">
      <c r="W629" s="115"/>
      <c r="X629" s="115"/>
      <c r="Y629" s="115"/>
      <c r="Z629" s="115"/>
      <c r="AA629" s="115"/>
      <c r="AB629" s="122"/>
      <c r="AC629" s="122"/>
      <c r="AD629" s="122"/>
      <c r="AE629" s="115"/>
      <c r="AF629" s="115"/>
      <c r="AG629" s="115"/>
      <c r="AH629" s="115"/>
      <c r="AI629" s="115"/>
      <c r="AJ629" s="115"/>
      <c r="AK629" s="115"/>
      <c r="AL629" s="115"/>
      <c r="AM629" s="115"/>
      <c r="AN629" s="115"/>
      <c r="AO629" s="115"/>
      <c r="AP629" s="115"/>
      <c r="AQ629" s="115"/>
      <c r="AR629" s="115"/>
      <c r="AS629" s="17"/>
      <c r="AT629" s="13"/>
      <c r="AW629" s="114"/>
    </row>
    <row r="630" spans="22:49" x14ac:dyDescent="0.4">
      <c r="W630" s="115"/>
      <c r="X630" s="115"/>
      <c r="Y630" s="115"/>
      <c r="Z630" s="115"/>
      <c r="AA630" s="115"/>
      <c r="AB630" s="122"/>
      <c r="AC630" s="122"/>
      <c r="AD630" s="122"/>
      <c r="AE630" s="115"/>
      <c r="AF630" s="115"/>
      <c r="AG630" s="115"/>
      <c r="AH630" s="115"/>
      <c r="AI630" s="115"/>
      <c r="AJ630" s="115"/>
      <c r="AK630" s="115"/>
      <c r="AL630" s="115"/>
      <c r="AM630" s="115"/>
      <c r="AN630" s="115"/>
      <c r="AO630" s="115"/>
      <c r="AP630" s="115"/>
      <c r="AQ630" s="115"/>
      <c r="AR630" s="115"/>
      <c r="AS630" s="26"/>
      <c r="AT630" s="13"/>
      <c r="AW630" s="114"/>
    </row>
    <row r="631" spans="22:49" x14ac:dyDescent="0.4">
      <c r="W631" s="115"/>
      <c r="X631" s="115"/>
      <c r="Y631" s="115"/>
      <c r="Z631" s="115"/>
      <c r="AA631" s="115"/>
      <c r="AB631" s="122"/>
      <c r="AC631" s="122"/>
      <c r="AD631" s="122"/>
      <c r="AE631" s="115"/>
      <c r="AF631" s="115"/>
      <c r="AG631" s="115"/>
      <c r="AH631" s="115"/>
      <c r="AI631" s="115"/>
      <c r="AJ631" s="115"/>
      <c r="AK631" s="115"/>
      <c r="AL631" s="115"/>
      <c r="AM631" s="115"/>
      <c r="AN631" s="115"/>
      <c r="AO631" s="115"/>
      <c r="AP631" s="115"/>
      <c r="AQ631" s="115"/>
      <c r="AR631" s="115"/>
      <c r="AS631" s="17"/>
      <c r="AT631" s="13"/>
      <c r="AW631" s="114"/>
    </row>
    <row r="632" spans="22:49" x14ac:dyDescent="0.4">
      <c r="W632" s="115"/>
      <c r="X632" s="115"/>
      <c r="Y632" s="115"/>
      <c r="Z632" s="115"/>
      <c r="AA632" s="115"/>
      <c r="AB632" s="122"/>
      <c r="AC632" s="122"/>
      <c r="AD632" s="122"/>
      <c r="AE632" s="115"/>
      <c r="AF632" s="115"/>
      <c r="AG632" s="115"/>
      <c r="AH632" s="115"/>
      <c r="AI632" s="115"/>
      <c r="AJ632" s="115"/>
      <c r="AK632" s="115"/>
      <c r="AL632" s="115"/>
      <c r="AM632" s="115"/>
      <c r="AN632" s="115"/>
      <c r="AO632" s="115"/>
      <c r="AP632" s="115"/>
      <c r="AQ632" s="115"/>
      <c r="AR632" s="115"/>
      <c r="AS632" s="26"/>
      <c r="AT632" s="13"/>
      <c r="AW632" s="114"/>
    </row>
    <row r="633" spans="22:49" x14ac:dyDescent="0.4">
      <c r="W633" s="115"/>
      <c r="X633" s="115"/>
      <c r="Y633" s="115"/>
      <c r="Z633" s="115"/>
      <c r="AA633" s="115"/>
      <c r="AB633" s="122"/>
      <c r="AC633" s="122"/>
      <c r="AD633" s="122"/>
      <c r="AE633" s="115"/>
      <c r="AF633" s="115"/>
      <c r="AG633" s="115"/>
      <c r="AH633" s="115"/>
      <c r="AI633" s="115"/>
      <c r="AJ633" s="115"/>
      <c r="AK633" s="115"/>
      <c r="AL633" s="115"/>
      <c r="AM633" s="115"/>
      <c r="AN633" s="115"/>
      <c r="AO633" s="115"/>
      <c r="AP633" s="115"/>
      <c r="AQ633" s="115"/>
      <c r="AR633" s="115"/>
      <c r="AS633" s="26"/>
      <c r="AT633" s="15"/>
      <c r="AW633" s="114"/>
    </row>
    <row r="634" spans="22:49" x14ac:dyDescent="0.4">
      <c r="W634" s="115"/>
      <c r="X634" s="115"/>
      <c r="Y634" s="115"/>
      <c r="Z634" s="115"/>
      <c r="AA634" s="115"/>
      <c r="AB634" s="122"/>
      <c r="AC634" s="122"/>
      <c r="AD634" s="122"/>
      <c r="AE634" s="115"/>
      <c r="AF634" s="115"/>
      <c r="AG634" s="115"/>
      <c r="AH634" s="115"/>
      <c r="AI634" s="115"/>
      <c r="AJ634" s="115"/>
      <c r="AK634" s="115"/>
      <c r="AL634" s="115"/>
      <c r="AM634" s="115"/>
      <c r="AN634" s="115"/>
      <c r="AO634" s="115"/>
      <c r="AP634" s="115"/>
      <c r="AQ634" s="115"/>
      <c r="AR634" s="115"/>
      <c r="AS634" s="17"/>
      <c r="AT634" s="15"/>
      <c r="AW634" s="114"/>
    </row>
    <row r="635" spans="22:49" x14ac:dyDescent="0.4">
      <c r="W635" s="115"/>
      <c r="X635" s="115"/>
      <c r="Y635" s="115"/>
      <c r="Z635" s="115"/>
      <c r="AA635" s="115"/>
      <c r="AB635" s="122"/>
      <c r="AC635" s="122"/>
      <c r="AD635" s="122"/>
      <c r="AE635" s="115"/>
      <c r="AF635" s="115"/>
      <c r="AG635" s="115"/>
      <c r="AH635" s="115"/>
      <c r="AI635" s="115"/>
      <c r="AJ635" s="115"/>
      <c r="AK635" s="115"/>
      <c r="AL635" s="115"/>
      <c r="AM635" s="115"/>
      <c r="AN635" s="115"/>
      <c r="AO635" s="115"/>
      <c r="AP635" s="115"/>
      <c r="AQ635" s="115"/>
      <c r="AR635" s="115"/>
      <c r="AS635" s="17"/>
      <c r="AT635" s="15"/>
      <c r="AW635" s="114"/>
    </row>
    <row r="636" spans="22:49" x14ac:dyDescent="0.4">
      <c r="V636" s="115"/>
      <c r="W636" s="115"/>
      <c r="X636" s="115"/>
      <c r="Y636" s="115"/>
      <c r="Z636" s="115"/>
      <c r="AA636" s="115"/>
      <c r="AB636" s="122"/>
      <c r="AC636" s="122"/>
      <c r="AD636" s="122"/>
      <c r="AE636" s="115"/>
      <c r="AF636" s="115"/>
      <c r="AG636" s="115"/>
      <c r="AH636" s="115"/>
      <c r="AI636" s="115"/>
      <c r="AJ636" s="115"/>
      <c r="AK636" s="115"/>
      <c r="AL636" s="115"/>
      <c r="AM636" s="115"/>
      <c r="AN636" s="115"/>
      <c r="AO636" s="115"/>
      <c r="AP636" s="115"/>
      <c r="AQ636" s="115"/>
      <c r="AR636" s="115"/>
      <c r="AS636" s="26"/>
      <c r="AT636" s="15"/>
      <c r="AW636" s="114"/>
    </row>
    <row r="637" spans="22:49" x14ac:dyDescent="0.4">
      <c r="V637" s="115"/>
      <c r="W637" s="115"/>
      <c r="X637" s="115"/>
      <c r="Y637" s="115"/>
      <c r="Z637" s="115"/>
      <c r="AA637" s="115"/>
      <c r="AB637" s="122"/>
      <c r="AC637" s="122"/>
      <c r="AD637" s="122"/>
      <c r="AE637" s="115"/>
      <c r="AF637" s="115"/>
      <c r="AG637" s="115"/>
      <c r="AH637" s="115"/>
      <c r="AI637" s="115"/>
      <c r="AJ637" s="115"/>
      <c r="AK637" s="115"/>
      <c r="AL637" s="115"/>
      <c r="AM637" s="115"/>
      <c r="AN637" s="115"/>
      <c r="AO637" s="115"/>
      <c r="AP637" s="115"/>
      <c r="AQ637" s="115"/>
      <c r="AR637" s="115"/>
      <c r="AS637" s="17"/>
      <c r="AT637" s="15"/>
      <c r="AW637" s="114"/>
    </row>
    <row r="638" spans="22:49" x14ac:dyDescent="0.4">
      <c r="V638" s="115"/>
      <c r="W638" s="115"/>
      <c r="X638" s="115"/>
      <c r="Y638" s="115"/>
      <c r="Z638" s="115"/>
      <c r="AA638" s="115"/>
      <c r="AB638" s="122"/>
      <c r="AC638" s="122"/>
      <c r="AD638" s="122"/>
      <c r="AE638" s="115"/>
      <c r="AF638" s="115"/>
      <c r="AG638" s="115"/>
      <c r="AH638" s="115"/>
      <c r="AI638" s="115"/>
      <c r="AJ638" s="115"/>
      <c r="AK638" s="115"/>
      <c r="AL638" s="115"/>
      <c r="AM638" s="115"/>
      <c r="AN638" s="115"/>
      <c r="AO638" s="115"/>
      <c r="AP638" s="115"/>
      <c r="AQ638" s="115"/>
      <c r="AR638" s="115"/>
      <c r="AS638" s="26"/>
      <c r="AT638" s="15"/>
      <c r="AW638" s="114"/>
    </row>
    <row r="639" spans="22:49" x14ac:dyDescent="0.4">
      <c r="V639" s="115"/>
      <c r="W639" s="115"/>
      <c r="X639" s="115"/>
      <c r="Y639" s="115"/>
      <c r="Z639" s="115"/>
      <c r="AA639" s="115"/>
      <c r="AB639" s="122"/>
      <c r="AC639" s="122"/>
      <c r="AD639" s="122"/>
      <c r="AE639" s="115"/>
      <c r="AF639" s="115"/>
      <c r="AG639" s="115"/>
      <c r="AH639" s="115"/>
      <c r="AI639" s="115"/>
      <c r="AJ639" s="115"/>
      <c r="AK639" s="115"/>
      <c r="AL639" s="115"/>
      <c r="AM639" s="115"/>
      <c r="AN639" s="115"/>
      <c r="AO639" s="115"/>
      <c r="AP639" s="115"/>
      <c r="AQ639" s="115"/>
      <c r="AR639" s="115"/>
      <c r="AS639" s="26"/>
      <c r="AT639" s="15"/>
      <c r="AW639" s="114"/>
    </row>
    <row r="640" spans="22:49" x14ac:dyDescent="0.4">
      <c r="V640" s="115"/>
      <c r="W640" s="115"/>
      <c r="X640" s="115"/>
      <c r="Y640" s="115"/>
      <c r="Z640" s="115"/>
      <c r="AA640" s="115"/>
      <c r="AB640" s="122"/>
      <c r="AC640" s="122"/>
      <c r="AD640" s="122"/>
      <c r="AE640" s="115"/>
      <c r="AF640" s="115"/>
      <c r="AG640" s="115"/>
      <c r="AH640" s="115"/>
      <c r="AI640" s="115"/>
      <c r="AJ640" s="115"/>
      <c r="AK640" s="115"/>
      <c r="AL640" s="115"/>
      <c r="AM640" s="115"/>
      <c r="AN640" s="115"/>
      <c r="AO640" s="115"/>
      <c r="AP640" s="115"/>
      <c r="AQ640" s="115"/>
      <c r="AR640" s="115"/>
      <c r="AS640" s="17"/>
      <c r="AT640" s="15"/>
      <c r="AW640" s="114"/>
    </row>
    <row r="641" spans="22:49" x14ac:dyDescent="0.4">
      <c r="V641" s="115"/>
      <c r="W641" s="115"/>
      <c r="X641" s="115"/>
      <c r="Y641" s="115"/>
      <c r="Z641" s="115"/>
      <c r="AA641" s="115"/>
      <c r="AB641" s="122"/>
      <c r="AC641" s="122"/>
      <c r="AD641" s="122"/>
      <c r="AE641" s="115"/>
      <c r="AF641" s="115"/>
      <c r="AG641" s="115"/>
      <c r="AH641" s="115"/>
      <c r="AI641" s="115"/>
      <c r="AJ641" s="115"/>
      <c r="AK641" s="115"/>
      <c r="AL641" s="115"/>
      <c r="AM641" s="115"/>
      <c r="AN641" s="115"/>
      <c r="AO641" s="115"/>
      <c r="AP641" s="115"/>
      <c r="AQ641" s="115"/>
      <c r="AR641" s="115"/>
      <c r="AS641" s="26"/>
      <c r="AT641" s="15"/>
      <c r="AW641" s="114"/>
    </row>
    <row r="642" spans="22:49" x14ac:dyDescent="0.4">
      <c r="V642" s="115"/>
      <c r="W642" s="115"/>
      <c r="X642" s="115"/>
      <c r="Y642" s="115"/>
      <c r="Z642" s="115"/>
      <c r="AA642" s="115"/>
      <c r="AB642" s="122"/>
      <c r="AC642" s="122"/>
      <c r="AD642" s="122"/>
      <c r="AE642" s="115"/>
      <c r="AF642" s="115"/>
      <c r="AG642" s="115"/>
      <c r="AH642" s="115"/>
      <c r="AI642" s="115"/>
      <c r="AJ642" s="115"/>
      <c r="AK642" s="115"/>
      <c r="AL642" s="115"/>
      <c r="AM642" s="115"/>
      <c r="AN642" s="115"/>
      <c r="AO642" s="115"/>
      <c r="AP642" s="115"/>
      <c r="AQ642" s="115"/>
      <c r="AR642" s="115"/>
      <c r="AS642" s="17"/>
      <c r="AT642" s="15"/>
      <c r="AW642" s="114"/>
    </row>
    <row r="643" spans="22:49" x14ac:dyDescent="0.4">
      <c r="V643" s="115"/>
      <c r="W643" s="115"/>
      <c r="X643" s="115"/>
      <c r="Y643" s="115"/>
      <c r="Z643" s="115"/>
      <c r="AA643" s="115"/>
      <c r="AB643" s="122"/>
      <c r="AC643" s="122"/>
      <c r="AD643" s="122"/>
      <c r="AE643" s="115"/>
      <c r="AF643" s="115"/>
      <c r="AG643" s="115"/>
      <c r="AH643" s="115"/>
      <c r="AI643" s="115"/>
      <c r="AJ643" s="115"/>
      <c r="AK643" s="115"/>
      <c r="AL643" s="115"/>
      <c r="AM643" s="115"/>
      <c r="AN643" s="115"/>
      <c r="AO643" s="115"/>
      <c r="AP643" s="115"/>
      <c r="AQ643" s="115"/>
      <c r="AR643" s="115"/>
      <c r="AS643" s="17"/>
      <c r="AT643" s="15"/>
      <c r="AW643" s="114"/>
    </row>
    <row r="644" spans="22:49" x14ac:dyDescent="0.4">
      <c r="V644" s="115"/>
      <c r="W644" s="115"/>
      <c r="X644" s="115"/>
      <c r="Y644" s="115"/>
      <c r="Z644" s="115"/>
      <c r="AA644" s="115"/>
      <c r="AB644" s="122"/>
      <c r="AC644" s="122"/>
      <c r="AD644" s="122"/>
      <c r="AE644" s="115"/>
      <c r="AF644" s="115"/>
      <c r="AG644" s="115"/>
      <c r="AH644" s="115"/>
      <c r="AI644" s="115"/>
      <c r="AJ644" s="115"/>
      <c r="AK644" s="115"/>
      <c r="AL644" s="115"/>
      <c r="AM644" s="115"/>
      <c r="AN644" s="115"/>
      <c r="AO644" s="115"/>
      <c r="AP644" s="115"/>
      <c r="AQ644" s="115"/>
      <c r="AR644" s="115"/>
      <c r="AS644" s="26"/>
      <c r="AT644" s="15"/>
      <c r="AW644" s="114"/>
    </row>
    <row r="645" spans="22:49" x14ac:dyDescent="0.4">
      <c r="V645" s="115"/>
      <c r="W645" s="115"/>
      <c r="X645" s="115"/>
      <c r="Y645" s="115"/>
      <c r="Z645" s="115"/>
      <c r="AA645" s="115"/>
      <c r="AB645" s="122"/>
      <c r="AC645" s="122"/>
      <c r="AD645" s="122"/>
      <c r="AE645" s="115"/>
      <c r="AF645" s="115"/>
      <c r="AG645" s="115"/>
      <c r="AH645" s="115"/>
      <c r="AI645" s="115"/>
      <c r="AJ645" s="115"/>
      <c r="AK645" s="115"/>
      <c r="AL645" s="115"/>
      <c r="AM645" s="115"/>
      <c r="AN645" s="115"/>
      <c r="AO645" s="115"/>
      <c r="AP645" s="115"/>
      <c r="AQ645" s="115"/>
      <c r="AR645" s="115"/>
      <c r="AS645" s="26"/>
      <c r="AT645" s="15"/>
      <c r="AW645" s="114"/>
    </row>
    <row r="646" spans="22:49" x14ac:dyDescent="0.4">
      <c r="V646" s="115"/>
      <c r="W646" s="115"/>
      <c r="X646" s="115"/>
      <c r="Y646" s="115"/>
      <c r="Z646" s="115"/>
      <c r="AA646" s="115"/>
      <c r="AB646" s="122"/>
      <c r="AC646" s="122"/>
      <c r="AD646" s="122"/>
      <c r="AE646" s="115"/>
      <c r="AF646" s="115"/>
      <c r="AG646" s="115"/>
      <c r="AH646" s="115"/>
      <c r="AI646" s="115"/>
      <c r="AJ646" s="115"/>
      <c r="AK646" s="115"/>
      <c r="AL646" s="115"/>
      <c r="AM646" s="115"/>
      <c r="AN646" s="115"/>
      <c r="AO646" s="115"/>
      <c r="AP646" s="115"/>
      <c r="AQ646" s="115"/>
      <c r="AR646" s="115"/>
      <c r="AS646" s="26"/>
      <c r="AT646" s="15"/>
      <c r="AW646" s="114"/>
    </row>
    <row r="647" spans="22:49" x14ac:dyDescent="0.4">
      <c r="V647" s="115"/>
      <c r="W647" s="115"/>
      <c r="X647" s="115"/>
      <c r="Y647" s="115"/>
      <c r="Z647" s="115"/>
      <c r="AA647" s="115"/>
      <c r="AB647" s="122"/>
      <c r="AC647" s="122"/>
      <c r="AD647" s="122"/>
      <c r="AE647" s="115"/>
      <c r="AF647" s="115"/>
      <c r="AG647" s="115"/>
      <c r="AH647" s="115"/>
      <c r="AI647" s="115"/>
      <c r="AJ647" s="115"/>
      <c r="AK647" s="115"/>
      <c r="AL647" s="115"/>
      <c r="AM647" s="115"/>
      <c r="AN647" s="115"/>
      <c r="AO647" s="115"/>
      <c r="AP647" s="115"/>
      <c r="AQ647" s="115"/>
      <c r="AR647" s="115"/>
      <c r="AS647" s="26"/>
      <c r="AT647" s="15"/>
      <c r="AW647" s="114"/>
    </row>
    <row r="648" spans="22:49" x14ac:dyDescent="0.4">
      <c r="V648" s="115"/>
      <c r="W648" s="115"/>
      <c r="X648" s="115"/>
      <c r="Y648" s="115"/>
      <c r="Z648" s="115"/>
      <c r="AA648" s="115"/>
      <c r="AB648" s="122"/>
      <c r="AC648" s="122"/>
      <c r="AD648" s="122"/>
      <c r="AE648" s="115"/>
      <c r="AF648" s="115"/>
      <c r="AG648" s="115"/>
      <c r="AH648" s="115"/>
      <c r="AI648" s="115"/>
      <c r="AJ648" s="115"/>
      <c r="AK648" s="115"/>
      <c r="AL648" s="115"/>
      <c r="AM648" s="115"/>
      <c r="AN648" s="115"/>
      <c r="AO648" s="115"/>
      <c r="AP648" s="115"/>
      <c r="AQ648" s="115"/>
      <c r="AR648" s="115"/>
      <c r="AS648" s="26"/>
      <c r="AT648" s="15"/>
      <c r="AW648" s="114"/>
    </row>
    <row r="649" spans="22:49" x14ac:dyDescent="0.4">
      <c r="V649" s="115"/>
      <c r="W649" s="115"/>
      <c r="X649" s="115"/>
      <c r="Y649" s="115"/>
      <c r="Z649" s="115"/>
      <c r="AA649" s="115"/>
      <c r="AB649" s="122"/>
      <c r="AC649" s="122"/>
      <c r="AD649" s="122"/>
      <c r="AE649" s="115"/>
      <c r="AF649" s="115"/>
      <c r="AG649" s="115"/>
      <c r="AH649" s="115"/>
      <c r="AI649" s="115"/>
      <c r="AJ649" s="115"/>
      <c r="AK649" s="115"/>
      <c r="AL649" s="115"/>
      <c r="AM649" s="115"/>
      <c r="AN649" s="115"/>
      <c r="AO649" s="115"/>
      <c r="AP649" s="115"/>
      <c r="AQ649" s="115"/>
      <c r="AR649" s="115"/>
      <c r="AS649" s="26"/>
      <c r="AT649" s="15"/>
      <c r="AW649" s="114"/>
    </row>
    <row r="650" spans="22:49" x14ac:dyDescent="0.4">
      <c r="V650" s="115"/>
      <c r="W650" s="115"/>
      <c r="X650" s="115"/>
      <c r="Y650" s="115"/>
      <c r="Z650" s="115"/>
      <c r="AA650" s="115"/>
      <c r="AB650" s="122"/>
      <c r="AC650" s="122"/>
      <c r="AD650" s="122"/>
      <c r="AE650" s="115"/>
      <c r="AF650" s="115"/>
      <c r="AG650" s="115"/>
      <c r="AH650" s="115"/>
      <c r="AI650" s="115"/>
      <c r="AJ650" s="115"/>
      <c r="AK650" s="115"/>
      <c r="AL650" s="115"/>
      <c r="AM650" s="115"/>
      <c r="AN650" s="115"/>
      <c r="AO650" s="115"/>
      <c r="AP650" s="115"/>
      <c r="AQ650" s="115"/>
      <c r="AR650" s="115"/>
      <c r="AS650" s="26"/>
      <c r="AT650" s="15"/>
      <c r="AW650" s="114"/>
    </row>
    <row r="651" spans="22:49" x14ac:dyDescent="0.4">
      <c r="V651" s="115"/>
      <c r="W651" s="115"/>
      <c r="X651" s="115"/>
      <c r="Y651" s="115"/>
      <c r="Z651" s="115"/>
      <c r="AA651" s="115"/>
      <c r="AB651" s="122"/>
      <c r="AC651" s="122"/>
      <c r="AD651" s="122"/>
      <c r="AE651" s="115"/>
      <c r="AF651" s="115"/>
      <c r="AG651" s="115"/>
      <c r="AH651" s="115"/>
      <c r="AI651" s="115"/>
      <c r="AJ651" s="115"/>
      <c r="AK651" s="115"/>
      <c r="AL651" s="115"/>
      <c r="AM651" s="115"/>
      <c r="AN651" s="115"/>
      <c r="AO651" s="115"/>
      <c r="AP651" s="115"/>
      <c r="AQ651" s="115"/>
      <c r="AR651" s="115"/>
      <c r="AS651" s="17"/>
      <c r="AT651" s="15"/>
      <c r="AW651" s="114"/>
    </row>
    <row r="652" spans="22:49" x14ac:dyDescent="0.4">
      <c r="V652" s="115"/>
      <c r="W652" s="115"/>
      <c r="X652" s="115"/>
      <c r="Y652" s="115"/>
      <c r="Z652" s="115"/>
      <c r="AA652" s="115"/>
      <c r="AB652" s="122"/>
      <c r="AC652" s="122"/>
      <c r="AD652" s="122"/>
      <c r="AE652" s="115"/>
      <c r="AF652" s="115"/>
      <c r="AG652" s="115"/>
      <c r="AH652" s="115"/>
      <c r="AI652" s="115"/>
      <c r="AJ652" s="115"/>
      <c r="AK652" s="115"/>
      <c r="AL652" s="115"/>
      <c r="AM652" s="115"/>
      <c r="AN652" s="115"/>
      <c r="AO652" s="115"/>
      <c r="AP652" s="115"/>
      <c r="AQ652" s="115"/>
      <c r="AR652" s="115"/>
      <c r="AS652" s="26"/>
      <c r="AT652" s="15"/>
      <c r="AW652" s="114"/>
    </row>
    <row r="653" spans="22:49" x14ac:dyDescent="0.4">
      <c r="V653" s="115"/>
      <c r="W653" s="115"/>
      <c r="X653" s="115"/>
      <c r="Y653" s="115"/>
      <c r="Z653" s="115"/>
      <c r="AA653" s="115"/>
      <c r="AB653" s="122"/>
      <c r="AC653" s="122"/>
      <c r="AD653" s="122"/>
      <c r="AE653" s="115"/>
      <c r="AF653" s="115"/>
      <c r="AG653" s="115"/>
      <c r="AH653" s="115"/>
      <c r="AI653" s="115"/>
      <c r="AJ653" s="115"/>
      <c r="AK653" s="115"/>
      <c r="AL653" s="115"/>
      <c r="AM653" s="115"/>
      <c r="AN653" s="115"/>
      <c r="AO653" s="115"/>
      <c r="AP653" s="115"/>
      <c r="AQ653" s="115"/>
      <c r="AR653" s="115"/>
      <c r="AS653" s="26"/>
      <c r="AT653" s="15"/>
      <c r="AW653" s="114"/>
    </row>
    <row r="654" spans="22:49" x14ac:dyDescent="0.4">
      <c r="V654" s="115"/>
      <c r="W654" s="115"/>
      <c r="X654" s="115"/>
      <c r="Y654" s="115"/>
      <c r="Z654" s="115"/>
      <c r="AA654" s="115"/>
      <c r="AB654" s="122"/>
      <c r="AC654" s="122"/>
      <c r="AD654" s="122"/>
      <c r="AE654" s="115"/>
      <c r="AF654" s="115"/>
      <c r="AG654" s="115"/>
      <c r="AH654" s="115"/>
      <c r="AI654" s="115"/>
      <c r="AJ654" s="115"/>
      <c r="AK654" s="115"/>
      <c r="AL654" s="115"/>
      <c r="AM654" s="115"/>
      <c r="AN654" s="115"/>
      <c r="AO654" s="115"/>
      <c r="AP654" s="115"/>
      <c r="AQ654" s="115"/>
      <c r="AR654" s="115"/>
      <c r="AS654" s="26"/>
      <c r="AT654" s="15"/>
      <c r="AW654" s="114"/>
    </row>
    <row r="655" spans="22:49" x14ac:dyDescent="0.4">
      <c r="V655" s="115"/>
      <c r="W655" s="115"/>
      <c r="X655" s="115"/>
      <c r="Y655" s="115"/>
      <c r="Z655" s="115"/>
      <c r="AA655" s="115"/>
      <c r="AB655" s="122"/>
      <c r="AC655" s="122"/>
      <c r="AD655" s="122"/>
      <c r="AE655" s="115"/>
      <c r="AF655" s="115"/>
      <c r="AG655" s="115"/>
      <c r="AH655" s="115"/>
      <c r="AI655" s="115"/>
      <c r="AJ655" s="115"/>
      <c r="AK655" s="115"/>
      <c r="AL655" s="115"/>
      <c r="AM655" s="115"/>
      <c r="AN655" s="115"/>
      <c r="AO655" s="115"/>
      <c r="AP655" s="115"/>
      <c r="AQ655" s="115"/>
      <c r="AR655" s="115"/>
      <c r="AS655" s="26"/>
      <c r="AT655" s="13"/>
      <c r="AW655" s="114"/>
    </row>
    <row r="656" spans="22:49" x14ac:dyDescent="0.4">
      <c r="V656" s="115"/>
      <c r="W656" s="115"/>
      <c r="X656" s="115"/>
      <c r="Y656" s="115"/>
      <c r="Z656" s="115"/>
      <c r="AA656" s="115"/>
      <c r="AB656" s="122"/>
      <c r="AC656" s="122"/>
      <c r="AD656" s="122"/>
      <c r="AE656" s="115"/>
      <c r="AF656" s="115"/>
      <c r="AG656" s="115"/>
      <c r="AH656" s="115"/>
      <c r="AI656" s="115"/>
      <c r="AJ656" s="115"/>
      <c r="AK656" s="115"/>
      <c r="AL656" s="115"/>
      <c r="AM656" s="115"/>
      <c r="AN656" s="115"/>
      <c r="AO656" s="115"/>
      <c r="AP656" s="115"/>
      <c r="AQ656" s="115"/>
      <c r="AR656" s="115"/>
      <c r="AS656" s="17"/>
      <c r="AT656" s="13"/>
      <c r="AW656" s="114"/>
    </row>
    <row r="657" spans="5:49" x14ac:dyDescent="0.4">
      <c r="V657" s="115"/>
      <c r="W657" s="115"/>
      <c r="X657" s="115"/>
      <c r="Y657" s="115"/>
      <c r="Z657" s="115"/>
      <c r="AA657" s="115"/>
      <c r="AB657" s="122"/>
      <c r="AC657" s="122"/>
      <c r="AD657" s="122"/>
      <c r="AE657" s="115"/>
      <c r="AF657" s="115"/>
      <c r="AG657" s="115"/>
      <c r="AH657" s="115"/>
      <c r="AI657" s="115"/>
      <c r="AJ657" s="115"/>
      <c r="AK657" s="115"/>
      <c r="AL657" s="115"/>
      <c r="AM657" s="115"/>
      <c r="AN657" s="115"/>
      <c r="AO657" s="115"/>
      <c r="AP657" s="115"/>
      <c r="AQ657" s="115"/>
      <c r="AR657" s="115"/>
      <c r="AS657" s="26"/>
      <c r="AT657" s="13"/>
      <c r="AW657" s="114"/>
    </row>
    <row r="658" spans="5:49" x14ac:dyDescent="0.4">
      <c r="V658" s="115"/>
      <c r="W658" s="115"/>
      <c r="X658" s="115"/>
      <c r="Y658" s="115"/>
      <c r="Z658" s="115"/>
      <c r="AA658" s="115"/>
      <c r="AB658" s="122"/>
      <c r="AC658" s="122"/>
      <c r="AD658" s="122"/>
      <c r="AE658" s="115"/>
      <c r="AF658" s="115"/>
      <c r="AG658" s="115"/>
      <c r="AH658" s="115"/>
      <c r="AI658" s="115"/>
      <c r="AJ658" s="115"/>
      <c r="AK658" s="115"/>
      <c r="AL658" s="115"/>
      <c r="AM658" s="115"/>
      <c r="AN658" s="115"/>
      <c r="AO658" s="115"/>
      <c r="AP658" s="115"/>
      <c r="AQ658" s="115"/>
      <c r="AR658" s="115"/>
      <c r="AS658" s="26"/>
      <c r="AT658" s="13"/>
      <c r="AW658" s="114"/>
    </row>
    <row r="659" spans="5:49" x14ac:dyDescent="0.4">
      <c r="V659" s="115"/>
      <c r="W659" s="115"/>
      <c r="X659" s="115"/>
      <c r="Y659" s="115"/>
      <c r="Z659" s="115"/>
      <c r="AA659" s="115"/>
      <c r="AB659" s="122"/>
      <c r="AC659" s="122"/>
      <c r="AD659" s="122"/>
      <c r="AE659" s="115"/>
      <c r="AF659" s="115"/>
      <c r="AG659" s="115"/>
      <c r="AH659" s="115"/>
      <c r="AI659" s="115"/>
      <c r="AJ659" s="115"/>
      <c r="AK659" s="115"/>
      <c r="AL659" s="115"/>
      <c r="AM659" s="115"/>
      <c r="AN659" s="115"/>
      <c r="AO659" s="115"/>
      <c r="AP659" s="115"/>
      <c r="AQ659" s="115"/>
      <c r="AR659" s="115"/>
      <c r="AS659" s="26"/>
      <c r="AT659" s="13"/>
      <c r="AW659" s="114"/>
    </row>
    <row r="660" spans="5:49" x14ac:dyDescent="0.4">
      <c r="V660" s="115"/>
      <c r="W660" s="115"/>
      <c r="X660" s="115"/>
      <c r="Y660" s="115"/>
      <c r="Z660" s="115"/>
      <c r="AA660" s="115"/>
      <c r="AB660" s="122"/>
      <c r="AC660" s="122"/>
      <c r="AD660" s="122"/>
      <c r="AE660" s="115"/>
      <c r="AF660" s="115"/>
      <c r="AG660" s="115"/>
      <c r="AH660" s="115"/>
      <c r="AI660" s="115"/>
      <c r="AJ660" s="115"/>
      <c r="AK660" s="115"/>
      <c r="AL660" s="115"/>
      <c r="AM660" s="115"/>
      <c r="AN660" s="115"/>
      <c r="AO660" s="115"/>
      <c r="AP660" s="115"/>
      <c r="AQ660" s="115"/>
      <c r="AR660" s="115"/>
      <c r="AS660" s="26"/>
      <c r="AT660" s="13"/>
      <c r="AW660" s="114"/>
    </row>
    <row r="661" spans="5:49" x14ac:dyDescent="0.4">
      <c r="V661" s="115"/>
      <c r="W661" s="115"/>
      <c r="X661" s="115"/>
      <c r="Y661" s="115"/>
      <c r="Z661" s="115"/>
      <c r="AA661" s="115"/>
      <c r="AB661" s="122"/>
      <c r="AC661" s="122"/>
      <c r="AD661" s="122"/>
      <c r="AE661" s="115"/>
      <c r="AF661" s="115"/>
      <c r="AG661" s="115"/>
      <c r="AH661" s="115"/>
      <c r="AI661" s="115"/>
      <c r="AJ661" s="115"/>
      <c r="AK661" s="115"/>
      <c r="AL661" s="115"/>
      <c r="AM661" s="115"/>
      <c r="AN661" s="115"/>
      <c r="AO661" s="115"/>
      <c r="AP661" s="115"/>
      <c r="AQ661" s="115"/>
      <c r="AR661" s="115"/>
      <c r="AS661" s="26"/>
      <c r="AT661" s="13"/>
      <c r="AW661" s="114"/>
    </row>
    <row r="662" spans="5:49" x14ac:dyDescent="0.4">
      <c r="V662" s="115"/>
      <c r="W662" s="115"/>
      <c r="X662" s="115"/>
      <c r="Y662" s="115"/>
      <c r="Z662" s="115"/>
      <c r="AA662" s="115"/>
      <c r="AB662" s="122"/>
      <c r="AC662" s="122"/>
      <c r="AD662" s="122"/>
      <c r="AE662" s="115"/>
      <c r="AF662" s="115"/>
      <c r="AG662" s="115"/>
      <c r="AH662" s="115"/>
      <c r="AI662" s="115"/>
      <c r="AJ662" s="115"/>
      <c r="AK662" s="115"/>
      <c r="AL662" s="115"/>
      <c r="AM662" s="115"/>
      <c r="AN662" s="115"/>
      <c r="AO662" s="115"/>
      <c r="AP662" s="115"/>
      <c r="AQ662" s="115"/>
      <c r="AR662" s="115"/>
      <c r="AS662" s="26"/>
      <c r="AT662" s="13"/>
      <c r="AW662" s="114"/>
    </row>
    <row r="663" spans="5:49" x14ac:dyDescent="0.4">
      <c r="V663" s="115"/>
      <c r="W663" s="115"/>
      <c r="X663" s="115"/>
      <c r="Y663" s="115"/>
      <c r="Z663" s="115"/>
      <c r="AA663" s="115"/>
      <c r="AB663" s="122"/>
      <c r="AC663" s="122"/>
      <c r="AD663" s="122"/>
      <c r="AE663" s="115"/>
      <c r="AF663" s="115"/>
      <c r="AG663" s="115"/>
      <c r="AH663" s="115"/>
      <c r="AI663" s="115"/>
      <c r="AJ663" s="115"/>
      <c r="AK663" s="115"/>
      <c r="AL663" s="115"/>
      <c r="AM663" s="115"/>
      <c r="AN663" s="115"/>
      <c r="AO663" s="115"/>
      <c r="AP663" s="115"/>
      <c r="AQ663" s="115"/>
      <c r="AR663" s="115"/>
      <c r="AS663" s="17"/>
      <c r="AT663" s="13"/>
      <c r="AW663" s="114"/>
    </row>
    <row r="664" spans="5:49" x14ac:dyDescent="0.4">
      <c r="V664" s="115"/>
      <c r="W664" s="115"/>
      <c r="X664" s="115"/>
      <c r="Y664" s="115"/>
      <c r="Z664" s="115"/>
      <c r="AA664" s="115"/>
      <c r="AB664" s="122"/>
      <c r="AC664" s="122"/>
      <c r="AD664" s="122"/>
      <c r="AE664" s="115"/>
      <c r="AF664" s="115"/>
      <c r="AG664" s="115"/>
      <c r="AH664" s="115"/>
      <c r="AI664" s="115"/>
      <c r="AJ664" s="115"/>
      <c r="AK664" s="115"/>
      <c r="AL664" s="115"/>
      <c r="AM664" s="115"/>
      <c r="AN664" s="115"/>
      <c r="AO664" s="115"/>
      <c r="AP664" s="115"/>
      <c r="AQ664" s="115"/>
      <c r="AR664" s="115"/>
      <c r="AS664" s="26"/>
      <c r="AT664" s="13"/>
      <c r="AW664" s="114"/>
    </row>
    <row r="665" spans="5:49" x14ac:dyDescent="0.4">
      <c r="V665" s="115"/>
      <c r="W665" s="115"/>
      <c r="X665" s="115"/>
      <c r="Y665" s="115"/>
      <c r="Z665" s="115"/>
      <c r="AA665" s="115"/>
      <c r="AB665" s="122"/>
      <c r="AC665" s="122"/>
      <c r="AD665" s="122"/>
      <c r="AE665" s="115"/>
      <c r="AF665" s="115"/>
      <c r="AG665" s="115"/>
      <c r="AH665" s="115"/>
      <c r="AI665" s="115"/>
      <c r="AJ665" s="115"/>
      <c r="AK665" s="115"/>
      <c r="AL665" s="115"/>
      <c r="AM665" s="115"/>
      <c r="AN665" s="115"/>
      <c r="AO665" s="115"/>
      <c r="AP665" s="115"/>
      <c r="AQ665" s="115"/>
      <c r="AR665" s="115"/>
      <c r="AS665" s="26"/>
      <c r="AT665" s="13"/>
      <c r="AW665" s="114"/>
    </row>
    <row r="666" spans="5:49" x14ac:dyDescent="0.4"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  <c r="AA666" s="115"/>
      <c r="AB666" s="122"/>
      <c r="AC666" s="122"/>
      <c r="AD666" s="122"/>
      <c r="AE666" s="115"/>
      <c r="AF666" s="115"/>
      <c r="AG666" s="115"/>
      <c r="AH666" s="115"/>
      <c r="AI666" s="115"/>
      <c r="AJ666" s="115"/>
      <c r="AK666" s="115"/>
      <c r="AL666" s="115"/>
      <c r="AM666" s="115"/>
      <c r="AN666" s="115"/>
      <c r="AO666" s="115"/>
      <c r="AP666" s="115"/>
      <c r="AQ666" s="115"/>
      <c r="AR666" s="115"/>
      <c r="AS666" s="26"/>
      <c r="AT666" s="13"/>
      <c r="AW666" s="114"/>
    </row>
    <row r="667" spans="5:49" x14ac:dyDescent="0.4"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  <c r="AA667" s="115"/>
      <c r="AB667" s="122"/>
      <c r="AC667" s="122"/>
      <c r="AD667" s="122"/>
      <c r="AE667" s="115"/>
      <c r="AF667" s="115"/>
      <c r="AG667" s="115"/>
      <c r="AH667" s="115"/>
      <c r="AI667" s="115"/>
      <c r="AJ667" s="115"/>
      <c r="AK667" s="115"/>
      <c r="AL667" s="115"/>
      <c r="AM667" s="115"/>
      <c r="AN667" s="115"/>
      <c r="AO667" s="115"/>
      <c r="AP667" s="115"/>
      <c r="AQ667" s="115"/>
      <c r="AR667" s="115"/>
      <c r="AS667" s="26"/>
      <c r="AT667" s="13"/>
      <c r="AW667" s="114"/>
    </row>
    <row r="668" spans="5:49" x14ac:dyDescent="0.4"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  <c r="AA668" s="115"/>
      <c r="AB668" s="122"/>
      <c r="AC668" s="122"/>
      <c r="AD668" s="122"/>
      <c r="AE668" s="115"/>
      <c r="AF668" s="115"/>
      <c r="AG668" s="115"/>
      <c r="AH668" s="115"/>
      <c r="AI668" s="115"/>
      <c r="AJ668" s="115"/>
      <c r="AK668" s="115"/>
      <c r="AL668" s="115"/>
      <c r="AM668" s="115"/>
      <c r="AN668" s="115"/>
      <c r="AO668" s="115"/>
      <c r="AP668" s="115"/>
      <c r="AQ668" s="115"/>
      <c r="AR668" s="115"/>
      <c r="AS668" s="26"/>
      <c r="AT668" s="13"/>
      <c r="AW668" s="114"/>
    </row>
    <row r="669" spans="5:49" x14ac:dyDescent="0.4"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  <c r="AA669" s="115"/>
      <c r="AB669" s="122"/>
      <c r="AC669" s="122"/>
      <c r="AD669" s="122"/>
      <c r="AE669" s="115"/>
      <c r="AF669" s="115"/>
      <c r="AG669" s="115"/>
      <c r="AH669" s="115"/>
      <c r="AI669" s="115"/>
      <c r="AJ669" s="115"/>
      <c r="AK669" s="115"/>
      <c r="AL669" s="115"/>
      <c r="AM669" s="115"/>
      <c r="AN669" s="115"/>
      <c r="AO669" s="115"/>
      <c r="AP669" s="115"/>
      <c r="AQ669" s="115"/>
      <c r="AR669" s="115"/>
      <c r="AS669" s="26"/>
      <c r="AT669" s="13"/>
      <c r="AW669" s="114"/>
    </row>
    <row r="670" spans="5:49" x14ac:dyDescent="0.4"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  <c r="AA670" s="115"/>
      <c r="AB670" s="122"/>
      <c r="AC670" s="122"/>
      <c r="AD670" s="122"/>
      <c r="AE670" s="115"/>
      <c r="AF670" s="115"/>
      <c r="AG670" s="115"/>
      <c r="AH670" s="115"/>
      <c r="AI670" s="115"/>
      <c r="AJ670" s="115"/>
      <c r="AK670" s="115"/>
      <c r="AL670" s="115"/>
      <c r="AM670" s="115"/>
      <c r="AN670" s="115"/>
      <c r="AO670" s="115"/>
      <c r="AP670" s="115"/>
      <c r="AQ670" s="115"/>
      <c r="AR670" s="115"/>
      <c r="AS670" s="26"/>
      <c r="AT670" s="13"/>
      <c r="AW670" s="114"/>
    </row>
    <row r="671" spans="5:49" x14ac:dyDescent="0.4"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22"/>
      <c r="AC671" s="122"/>
      <c r="AD671" s="122"/>
      <c r="AE671" s="115"/>
      <c r="AF671" s="115"/>
      <c r="AG671" s="115"/>
      <c r="AH671" s="115"/>
      <c r="AI671" s="115"/>
      <c r="AJ671" s="115"/>
      <c r="AK671" s="115"/>
      <c r="AL671" s="115"/>
      <c r="AM671" s="115"/>
      <c r="AN671" s="115"/>
      <c r="AO671" s="115"/>
      <c r="AP671" s="115"/>
      <c r="AQ671" s="115"/>
      <c r="AR671" s="115"/>
      <c r="AS671" s="26"/>
      <c r="AT671" s="13"/>
      <c r="AW671" s="114"/>
    </row>
    <row r="672" spans="5:49" x14ac:dyDescent="0.4"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  <c r="AA672" s="115"/>
      <c r="AB672" s="122"/>
      <c r="AC672" s="122"/>
      <c r="AD672" s="122"/>
      <c r="AE672" s="115"/>
      <c r="AF672" s="115"/>
      <c r="AG672" s="115"/>
      <c r="AH672" s="115"/>
      <c r="AI672" s="115"/>
      <c r="AJ672" s="115"/>
      <c r="AK672" s="115"/>
      <c r="AL672" s="115"/>
      <c r="AM672" s="115"/>
      <c r="AN672" s="115"/>
      <c r="AO672" s="115"/>
      <c r="AP672" s="115"/>
      <c r="AQ672" s="115"/>
      <c r="AR672" s="115"/>
      <c r="AS672" s="26"/>
      <c r="AT672" s="13"/>
      <c r="AW672" s="114"/>
    </row>
    <row r="673" spans="3:49" x14ac:dyDescent="0.4"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  <c r="AA673" s="115"/>
      <c r="AB673" s="122"/>
      <c r="AC673" s="122"/>
      <c r="AD673" s="122"/>
      <c r="AE673" s="115"/>
      <c r="AF673" s="115"/>
      <c r="AG673" s="115"/>
      <c r="AH673" s="115"/>
      <c r="AI673" s="115"/>
      <c r="AJ673" s="115"/>
      <c r="AK673" s="115"/>
      <c r="AL673" s="115"/>
      <c r="AM673" s="115"/>
      <c r="AN673" s="115"/>
      <c r="AO673" s="115"/>
      <c r="AP673" s="115"/>
      <c r="AQ673" s="115"/>
      <c r="AR673" s="115"/>
      <c r="AS673" s="26"/>
      <c r="AT673" s="13"/>
      <c r="AW673" s="114"/>
    </row>
    <row r="674" spans="3:49" x14ac:dyDescent="0.4"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  <c r="AA674" s="115"/>
      <c r="AB674" s="122"/>
      <c r="AC674" s="122"/>
      <c r="AD674" s="122"/>
      <c r="AE674" s="115"/>
      <c r="AF674" s="115"/>
      <c r="AG674" s="115"/>
      <c r="AH674" s="115"/>
      <c r="AI674" s="115"/>
      <c r="AJ674" s="115"/>
      <c r="AK674" s="115"/>
      <c r="AL674" s="115"/>
      <c r="AM674" s="115"/>
      <c r="AN674" s="115"/>
      <c r="AO674" s="115"/>
      <c r="AP674" s="115"/>
      <c r="AQ674" s="115"/>
      <c r="AR674" s="115"/>
      <c r="AS674" s="26"/>
      <c r="AT674" s="13"/>
      <c r="AW674" s="114"/>
    </row>
    <row r="675" spans="3:49" x14ac:dyDescent="0.4"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  <c r="AA675" s="115"/>
      <c r="AB675" s="122"/>
      <c r="AC675" s="122"/>
      <c r="AD675" s="122"/>
      <c r="AE675" s="115"/>
      <c r="AF675" s="115"/>
      <c r="AG675" s="115"/>
      <c r="AH675" s="115"/>
      <c r="AI675" s="115"/>
      <c r="AJ675" s="115"/>
      <c r="AK675" s="115"/>
      <c r="AL675" s="115"/>
      <c r="AM675" s="115"/>
      <c r="AN675" s="115"/>
      <c r="AO675" s="115"/>
      <c r="AP675" s="115"/>
      <c r="AQ675" s="115"/>
      <c r="AR675" s="115"/>
      <c r="AS675" s="26"/>
      <c r="AT675" s="13"/>
      <c r="AW675" s="114"/>
    </row>
    <row r="676" spans="3:49" x14ac:dyDescent="0.4"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  <c r="AA676" s="115"/>
      <c r="AB676" s="122"/>
      <c r="AC676" s="122"/>
      <c r="AD676" s="122"/>
      <c r="AE676" s="115"/>
      <c r="AF676" s="115"/>
      <c r="AG676" s="115"/>
      <c r="AH676" s="115"/>
      <c r="AI676" s="115"/>
      <c r="AJ676" s="115"/>
      <c r="AK676" s="115"/>
      <c r="AL676" s="115"/>
      <c r="AM676" s="115"/>
      <c r="AN676" s="115"/>
      <c r="AO676" s="115"/>
      <c r="AP676" s="115"/>
      <c r="AQ676" s="115"/>
      <c r="AR676" s="115"/>
      <c r="AS676" s="26"/>
      <c r="AT676" s="13"/>
      <c r="AW676" s="114"/>
    </row>
    <row r="677" spans="3:49" x14ac:dyDescent="0.4"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22"/>
      <c r="AC677" s="122"/>
      <c r="AD677" s="122"/>
      <c r="AE677" s="115"/>
      <c r="AF677" s="115"/>
      <c r="AG677" s="115"/>
      <c r="AH677" s="115"/>
      <c r="AI677" s="115"/>
      <c r="AJ677" s="115"/>
      <c r="AK677" s="115"/>
      <c r="AL677" s="115"/>
      <c r="AM677" s="115"/>
      <c r="AN677" s="115"/>
      <c r="AO677" s="115"/>
      <c r="AP677" s="115"/>
      <c r="AQ677" s="115"/>
      <c r="AR677" s="115"/>
      <c r="AS677" s="26"/>
      <c r="AT677" s="13"/>
      <c r="AW677" s="114"/>
    </row>
    <row r="678" spans="3:49" x14ac:dyDescent="0.4"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  <c r="AA678" s="115"/>
      <c r="AB678" s="122"/>
      <c r="AC678" s="122"/>
      <c r="AD678" s="122"/>
      <c r="AE678" s="115"/>
      <c r="AF678" s="115"/>
      <c r="AG678" s="115"/>
      <c r="AH678" s="115"/>
      <c r="AI678" s="115"/>
      <c r="AJ678" s="115"/>
      <c r="AK678" s="115"/>
      <c r="AL678" s="115"/>
      <c r="AM678" s="115"/>
      <c r="AN678" s="115"/>
      <c r="AO678" s="115"/>
      <c r="AP678" s="115"/>
      <c r="AQ678" s="115"/>
      <c r="AR678" s="115"/>
      <c r="AS678" s="26"/>
      <c r="AT678" s="13"/>
      <c r="AW678" s="114"/>
    </row>
    <row r="679" spans="3:49" x14ac:dyDescent="0.4"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  <c r="AA679" s="115"/>
      <c r="AB679" s="122"/>
      <c r="AC679" s="122"/>
      <c r="AD679" s="122"/>
      <c r="AE679" s="115"/>
      <c r="AF679" s="115"/>
      <c r="AG679" s="115"/>
      <c r="AH679" s="115"/>
      <c r="AI679" s="115"/>
      <c r="AJ679" s="115"/>
      <c r="AK679" s="115"/>
      <c r="AL679" s="115"/>
      <c r="AM679" s="115"/>
      <c r="AN679" s="115"/>
      <c r="AO679" s="115"/>
      <c r="AP679" s="115"/>
      <c r="AQ679" s="115"/>
      <c r="AR679" s="115"/>
      <c r="AS679" s="26"/>
      <c r="AT679" s="13"/>
      <c r="AW679" s="114"/>
    </row>
    <row r="680" spans="3:49" x14ac:dyDescent="0.4"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  <c r="AA680" s="115"/>
      <c r="AB680" s="122"/>
      <c r="AC680" s="122"/>
      <c r="AD680" s="122"/>
      <c r="AE680" s="115"/>
      <c r="AF680" s="115"/>
      <c r="AG680" s="115"/>
      <c r="AH680" s="115"/>
      <c r="AI680" s="115"/>
      <c r="AJ680" s="115"/>
      <c r="AK680" s="115"/>
      <c r="AL680" s="115"/>
      <c r="AM680" s="115"/>
      <c r="AN680" s="115"/>
      <c r="AO680" s="115"/>
      <c r="AP680" s="115"/>
      <c r="AQ680" s="115"/>
      <c r="AR680" s="115"/>
      <c r="AS680" s="26"/>
      <c r="AT680" s="13"/>
      <c r="AW680" s="114"/>
    </row>
    <row r="681" spans="3:49" x14ac:dyDescent="0.4"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  <c r="AA681" s="115"/>
      <c r="AB681" s="122"/>
      <c r="AC681" s="122"/>
      <c r="AD681" s="122"/>
      <c r="AE681" s="115"/>
      <c r="AF681" s="115"/>
      <c r="AG681" s="115"/>
      <c r="AH681" s="115"/>
      <c r="AI681" s="115"/>
      <c r="AJ681" s="115"/>
      <c r="AK681" s="115"/>
      <c r="AL681" s="115"/>
      <c r="AM681" s="115"/>
      <c r="AN681" s="115"/>
      <c r="AO681" s="115"/>
      <c r="AP681" s="115"/>
      <c r="AQ681" s="115"/>
      <c r="AR681" s="115"/>
      <c r="AS681" s="26"/>
      <c r="AT681" s="13"/>
      <c r="AW681" s="114"/>
    </row>
    <row r="682" spans="3:49" x14ac:dyDescent="0.4"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  <c r="AA682" s="115"/>
      <c r="AB682" s="122"/>
      <c r="AC682" s="122"/>
      <c r="AD682" s="122"/>
      <c r="AE682" s="115"/>
      <c r="AF682" s="115"/>
      <c r="AG682" s="115"/>
      <c r="AH682" s="115"/>
      <c r="AI682" s="115"/>
      <c r="AJ682" s="115"/>
      <c r="AK682" s="115"/>
      <c r="AL682" s="115"/>
      <c r="AM682" s="115"/>
      <c r="AN682" s="115"/>
      <c r="AO682" s="115"/>
      <c r="AP682" s="115"/>
      <c r="AQ682" s="115"/>
      <c r="AR682" s="115"/>
      <c r="AS682" s="17"/>
      <c r="AT682" s="13"/>
      <c r="AW682" s="114"/>
    </row>
    <row r="683" spans="3:49" x14ac:dyDescent="0.4"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22"/>
      <c r="AC683" s="122"/>
      <c r="AD683" s="122"/>
      <c r="AE683" s="115"/>
      <c r="AF683" s="115"/>
      <c r="AG683" s="115"/>
      <c r="AH683" s="115"/>
      <c r="AI683" s="115"/>
      <c r="AJ683" s="115"/>
      <c r="AK683" s="115"/>
      <c r="AL683" s="115"/>
      <c r="AM683" s="115"/>
      <c r="AN683" s="115"/>
      <c r="AO683" s="115"/>
      <c r="AP683" s="115"/>
      <c r="AQ683" s="115"/>
      <c r="AR683" s="115"/>
      <c r="AS683" s="26"/>
      <c r="AT683" s="13"/>
      <c r="AW683" s="114"/>
    </row>
    <row r="684" spans="3:49" x14ac:dyDescent="0.4"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  <c r="AA684" s="115"/>
      <c r="AB684" s="122"/>
      <c r="AC684" s="122"/>
      <c r="AD684" s="122"/>
      <c r="AE684" s="115"/>
      <c r="AF684" s="115"/>
      <c r="AG684" s="115"/>
      <c r="AH684" s="115"/>
      <c r="AI684" s="115"/>
      <c r="AJ684" s="115"/>
      <c r="AK684" s="115"/>
      <c r="AL684" s="115"/>
      <c r="AM684" s="115"/>
      <c r="AN684" s="115"/>
      <c r="AO684" s="115"/>
      <c r="AP684" s="115"/>
      <c r="AQ684" s="115"/>
      <c r="AR684" s="115"/>
      <c r="AS684" s="26"/>
      <c r="AT684" s="13"/>
      <c r="AW684" s="114"/>
    </row>
    <row r="685" spans="3:49" x14ac:dyDescent="0.4"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  <c r="AA685" s="115"/>
      <c r="AB685" s="122"/>
      <c r="AC685" s="122"/>
      <c r="AD685" s="122"/>
      <c r="AE685" s="115"/>
      <c r="AF685" s="115"/>
      <c r="AG685" s="115"/>
      <c r="AH685" s="115"/>
      <c r="AI685" s="115"/>
      <c r="AJ685" s="115"/>
      <c r="AK685" s="115"/>
      <c r="AL685" s="115"/>
      <c r="AM685" s="115"/>
      <c r="AN685" s="115"/>
      <c r="AO685" s="115"/>
      <c r="AP685" s="115"/>
      <c r="AQ685" s="115"/>
      <c r="AR685" s="115"/>
      <c r="AS685" s="26"/>
      <c r="AT685" s="13"/>
      <c r="AW685" s="114"/>
    </row>
    <row r="686" spans="3:49" x14ac:dyDescent="0.4"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15"/>
      <c r="AB686" s="122"/>
      <c r="AC686" s="122"/>
      <c r="AD686" s="122"/>
      <c r="AE686" s="115"/>
      <c r="AF686" s="115"/>
      <c r="AG686" s="115"/>
      <c r="AH686" s="115"/>
      <c r="AI686" s="115"/>
      <c r="AJ686" s="115"/>
      <c r="AK686" s="115"/>
      <c r="AL686" s="115"/>
      <c r="AM686" s="115"/>
      <c r="AN686" s="115"/>
      <c r="AO686" s="115"/>
      <c r="AP686" s="115"/>
      <c r="AQ686" s="115"/>
      <c r="AR686" s="115"/>
      <c r="AS686" s="26"/>
      <c r="AT686" s="15"/>
      <c r="AW686" s="114"/>
    </row>
    <row r="687" spans="3:49" x14ac:dyDescent="0.4"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  <c r="AA687" s="115"/>
      <c r="AB687" s="122"/>
      <c r="AC687" s="122"/>
      <c r="AD687" s="122"/>
      <c r="AE687" s="115"/>
      <c r="AF687" s="115"/>
      <c r="AG687" s="115"/>
      <c r="AH687" s="115"/>
      <c r="AI687" s="115"/>
      <c r="AJ687" s="115"/>
      <c r="AK687" s="115"/>
      <c r="AL687" s="115"/>
      <c r="AM687" s="115"/>
      <c r="AN687" s="115"/>
      <c r="AO687" s="115"/>
      <c r="AP687" s="115"/>
      <c r="AQ687" s="115"/>
      <c r="AR687" s="115"/>
      <c r="AS687" s="26"/>
      <c r="AT687" s="15"/>
      <c r="AW687" s="114"/>
    </row>
    <row r="688" spans="3:49" x14ac:dyDescent="0.4"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  <c r="AA688" s="115"/>
      <c r="AB688" s="122"/>
      <c r="AC688" s="122"/>
      <c r="AD688" s="122"/>
      <c r="AE688" s="115"/>
      <c r="AF688" s="115"/>
      <c r="AG688" s="115"/>
      <c r="AH688" s="115"/>
      <c r="AI688" s="115"/>
      <c r="AJ688" s="115"/>
      <c r="AK688" s="115"/>
      <c r="AL688" s="115"/>
      <c r="AM688" s="115"/>
      <c r="AN688" s="115"/>
      <c r="AO688" s="115"/>
      <c r="AP688" s="115"/>
      <c r="AQ688" s="115"/>
      <c r="AR688" s="115"/>
      <c r="AS688" s="26"/>
      <c r="AT688" s="15"/>
      <c r="AW688" s="114"/>
    </row>
    <row r="689" spans="3:49" x14ac:dyDescent="0.4"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  <c r="AB689" s="122"/>
      <c r="AC689" s="122"/>
      <c r="AD689" s="122"/>
      <c r="AE689" s="115"/>
      <c r="AF689" s="115"/>
      <c r="AG689" s="115"/>
      <c r="AH689" s="115"/>
      <c r="AI689" s="115"/>
      <c r="AJ689" s="115"/>
      <c r="AK689" s="115"/>
      <c r="AL689" s="115"/>
      <c r="AM689" s="115"/>
      <c r="AN689" s="115"/>
      <c r="AO689" s="115"/>
      <c r="AP689" s="115"/>
      <c r="AQ689" s="115"/>
      <c r="AR689" s="115"/>
      <c r="AS689" s="26"/>
      <c r="AT689" s="13"/>
      <c r="AW689" s="114"/>
    </row>
    <row r="690" spans="3:49" x14ac:dyDescent="0.4"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  <c r="AB690" s="122"/>
      <c r="AC690" s="122"/>
      <c r="AD690" s="122"/>
      <c r="AE690" s="115"/>
      <c r="AF690" s="115"/>
      <c r="AG690" s="115"/>
      <c r="AH690" s="115"/>
      <c r="AI690" s="115"/>
      <c r="AJ690" s="115"/>
      <c r="AK690" s="115"/>
      <c r="AL690" s="115"/>
      <c r="AM690" s="115"/>
      <c r="AN690" s="115"/>
      <c r="AO690" s="115"/>
      <c r="AP690" s="115"/>
      <c r="AQ690" s="115"/>
      <c r="AR690" s="115"/>
      <c r="AS690" s="26"/>
      <c r="AT690" s="13"/>
      <c r="AW690" s="114"/>
    </row>
    <row r="691" spans="3:49" x14ac:dyDescent="0.4"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15"/>
      <c r="AB691" s="122"/>
      <c r="AC691" s="122"/>
      <c r="AD691" s="122"/>
      <c r="AE691" s="115"/>
      <c r="AF691" s="115"/>
      <c r="AG691" s="115"/>
      <c r="AH691" s="115"/>
      <c r="AI691" s="115"/>
      <c r="AJ691" s="115"/>
      <c r="AK691" s="115"/>
      <c r="AL691" s="115"/>
      <c r="AM691" s="115"/>
      <c r="AN691" s="115"/>
      <c r="AO691" s="115"/>
      <c r="AP691" s="115"/>
      <c r="AQ691" s="115"/>
      <c r="AR691" s="115"/>
      <c r="AS691" s="26"/>
      <c r="AT691" s="13"/>
      <c r="AW691" s="114"/>
    </row>
    <row r="692" spans="3:49" x14ac:dyDescent="0.4"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15"/>
      <c r="AB692" s="122"/>
      <c r="AC692" s="122"/>
      <c r="AD692" s="122"/>
      <c r="AE692" s="115"/>
      <c r="AF692" s="115"/>
      <c r="AG692" s="115"/>
      <c r="AH692" s="115"/>
      <c r="AI692" s="115"/>
      <c r="AJ692" s="115"/>
      <c r="AK692" s="115"/>
      <c r="AL692" s="115"/>
      <c r="AM692" s="115"/>
      <c r="AN692" s="115"/>
      <c r="AO692" s="115"/>
      <c r="AP692" s="115"/>
      <c r="AQ692" s="115"/>
      <c r="AR692" s="115"/>
      <c r="AS692" s="17"/>
      <c r="AT692" s="13"/>
      <c r="AW692" s="114"/>
    </row>
    <row r="693" spans="3:49" x14ac:dyDescent="0.4"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  <c r="AA693" s="115"/>
      <c r="AB693" s="122"/>
      <c r="AC693" s="122"/>
      <c r="AD693" s="122"/>
      <c r="AE693" s="115"/>
      <c r="AF693" s="115"/>
      <c r="AG693" s="115"/>
      <c r="AH693" s="115"/>
      <c r="AI693" s="115"/>
      <c r="AJ693" s="115"/>
      <c r="AK693" s="115"/>
      <c r="AL693" s="115"/>
      <c r="AM693" s="115"/>
      <c r="AN693" s="115"/>
      <c r="AO693" s="115"/>
      <c r="AP693" s="115"/>
      <c r="AQ693" s="115"/>
      <c r="AR693" s="115"/>
      <c r="AS693" s="26"/>
      <c r="AT693" s="13"/>
      <c r="AW693" s="114"/>
    </row>
    <row r="694" spans="3:49" x14ac:dyDescent="0.4"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  <c r="AB694" s="122"/>
      <c r="AC694" s="122"/>
      <c r="AD694" s="122"/>
      <c r="AE694" s="115"/>
      <c r="AF694" s="115"/>
      <c r="AG694" s="115"/>
      <c r="AH694" s="115"/>
      <c r="AI694" s="115"/>
      <c r="AJ694" s="115"/>
      <c r="AK694" s="115"/>
      <c r="AL694" s="115"/>
      <c r="AM694" s="115"/>
      <c r="AN694" s="115"/>
      <c r="AO694" s="115"/>
      <c r="AP694" s="115"/>
      <c r="AQ694" s="115"/>
      <c r="AR694" s="115"/>
      <c r="AS694" s="26"/>
      <c r="AT694" s="25"/>
      <c r="AW694" s="114"/>
    </row>
    <row r="695" spans="3:49" x14ac:dyDescent="0.4"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  <c r="AA695" s="115"/>
      <c r="AB695" s="122"/>
      <c r="AC695" s="122"/>
      <c r="AD695" s="122"/>
      <c r="AE695" s="115"/>
      <c r="AF695" s="115"/>
      <c r="AG695" s="115"/>
      <c r="AH695" s="115"/>
      <c r="AI695" s="115"/>
      <c r="AJ695" s="115"/>
      <c r="AK695" s="115"/>
      <c r="AL695" s="115"/>
      <c r="AM695" s="115"/>
      <c r="AN695" s="115"/>
      <c r="AO695" s="115"/>
      <c r="AP695" s="115"/>
      <c r="AQ695" s="115"/>
      <c r="AR695" s="115"/>
      <c r="AS695" s="26"/>
      <c r="AT695" s="13"/>
      <c r="AW695" s="114"/>
    </row>
    <row r="696" spans="3:49" x14ac:dyDescent="0.4"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22"/>
      <c r="AC696" s="122"/>
      <c r="AD696" s="122"/>
      <c r="AE696" s="115"/>
      <c r="AF696" s="115"/>
      <c r="AG696" s="115"/>
      <c r="AH696" s="115"/>
      <c r="AI696" s="115"/>
      <c r="AJ696" s="115"/>
      <c r="AK696" s="115"/>
      <c r="AL696" s="115"/>
      <c r="AM696" s="115"/>
      <c r="AN696" s="115"/>
      <c r="AO696" s="115"/>
      <c r="AP696" s="115"/>
      <c r="AQ696" s="115"/>
      <c r="AR696" s="115"/>
      <c r="AS696" s="26"/>
      <c r="AT696" s="13"/>
      <c r="AW696" s="114"/>
    </row>
    <row r="697" spans="3:49" x14ac:dyDescent="0.4"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  <c r="AA697" s="115"/>
      <c r="AB697" s="122"/>
      <c r="AC697" s="122"/>
      <c r="AD697" s="122"/>
      <c r="AE697" s="115"/>
      <c r="AF697" s="115"/>
      <c r="AG697" s="115"/>
      <c r="AH697" s="115"/>
      <c r="AI697" s="115"/>
      <c r="AJ697" s="115"/>
      <c r="AK697" s="115"/>
      <c r="AL697" s="115"/>
      <c r="AM697" s="115"/>
      <c r="AN697" s="115"/>
      <c r="AO697" s="115"/>
      <c r="AP697" s="115"/>
      <c r="AQ697" s="115"/>
      <c r="AR697" s="115"/>
      <c r="AS697" s="26"/>
      <c r="AT697" s="13"/>
      <c r="AW697" s="114"/>
    </row>
    <row r="698" spans="3:49" x14ac:dyDescent="0.4"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  <c r="AA698" s="115"/>
      <c r="AB698" s="122"/>
      <c r="AC698" s="122"/>
      <c r="AD698" s="122"/>
      <c r="AE698" s="115"/>
      <c r="AF698" s="115"/>
      <c r="AG698" s="115"/>
      <c r="AH698" s="115"/>
      <c r="AI698" s="115"/>
      <c r="AJ698" s="115"/>
      <c r="AK698" s="115"/>
      <c r="AL698" s="115"/>
      <c r="AM698" s="115"/>
      <c r="AN698" s="115"/>
      <c r="AO698" s="115"/>
      <c r="AP698" s="115"/>
      <c r="AQ698" s="115"/>
      <c r="AR698" s="115"/>
      <c r="AS698" s="26"/>
      <c r="AT698" s="13"/>
      <c r="AW698" s="114"/>
    </row>
    <row r="699" spans="3:49" x14ac:dyDescent="0.4"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  <c r="AA699" s="115"/>
      <c r="AB699" s="122"/>
      <c r="AC699" s="122"/>
      <c r="AD699" s="122"/>
      <c r="AE699" s="115"/>
      <c r="AF699" s="115"/>
      <c r="AG699" s="115"/>
      <c r="AH699" s="115"/>
      <c r="AS699" s="26"/>
      <c r="AT699" s="13"/>
      <c r="AW699" s="114"/>
    </row>
    <row r="700" spans="3:49" x14ac:dyDescent="0.4"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  <c r="AA700" s="115"/>
      <c r="AB700" s="122"/>
      <c r="AC700" s="122"/>
      <c r="AD700" s="122"/>
      <c r="AE700" s="115"/>
      <c r="AF700" s="115"/>
      <c r="AG700" s="115"/>
      <c r="AH700" s="115"/>
      <c r="AI700" s="115"/>
      <c r="AJ700" s="115"/>
      <c r="AK700" s="115"/>
      <c r="AL700" s="115"/>
      <c r="AM700" s="115"/>
      <c r="AN700" s="115"/>
      <c r="AO700" s="115"/>
      <c r="AP700" s="115"/>
      <c r="AQ700" s="115"/>
      <c r="AR700" s="115"/>
      <c r="AS700" s="26"/>
      <c r="AT700" s="13"/>
      <c r="AW700" s="114"/>
    </row>
    <row r="701" spans="3:49" x14ac:dyDescent="0.4"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  <c r="AA701" s="115"/>
      <c r="AB701" s="122"/>
      <c r="AC701" s="122"/>
      <c r="AD701" s="122"/>
      <c r="AE701" s="115"/>
      <c r="AF701" s="115"/>
      <c r="AG701" s="115"/>
      <c r="AH701" s="115"/>
      <c r="AI701" s="115"/>
      <c r="AJ701" s="115"/>
      <c r="AK701" s="115"/>
      <c r="AL701" s="115"/>
      <c r="AM701" s="115"/>
      <c r="AN701" s="115"/>
      <c r="AO701" s="115"/>
      <c r="AP701" s="115"/>
      <c r="AQ701" s="115"/>
      <c r="AR701" s="115"/>
      <c r="AS701" s="17"/>
      <c r="AT701" s="13"/>
      <c r="AW701" s="114"/>
    </row>
    <row r="702" spans="3:49" x14ac:dyDescent="0.4"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  <c r="AA702" s="115"/>
      <c r="AB702" s="122"/>
      <c r="AC702" s="122"/>
      <c r="AD702" s="122"/>
      <c r="AE702" s="115"/>
      <c r="AF702" s="115"/>
      <c r="AG702" s="115"/>
      <c r="AH702" s="115"/>
      <c r="AI702" s="115"/>
      <c r="AJ702" s="115"/>
      <c r="AK702" s="115"/>
      <c r="AL702" s="115"/>
      <c r="AM702" s="115"/>
      <c r="AN702" s="115"/>
      <c r="AO702" s="115"/>
      <c r="AP702" s="115"/>
      <c r="AQ702" s="115"/>
      <c r="AR702" s="115"/>
      <c r="AS702" s="26"/>
      <c r="AT702" s="13"/>
      <c r="AW702" s="114"/>
    </row>
    <row r="703" spans="3:49" x14ac:dyDescent="0.4"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  <c r="AA703" s="115"/>
      <c r="AB703" s="122"/>
      <c r="AC703" s="122"/>
      <c r="AD703" s="122"/>
      <c r="AE703" s="115"/>
      <c r="AF703" s="115"/>
      <c r="AG703" s="115"/>
      <c r="AH703" s="115"/>
      <c r="AI703" s="115"/>
      <c r="AJ703" s="115"/>
      <c r="AK703" s="115"/>
      <c r="AL703" s="115"/>
      <c r="AM703" s="115"/>
      <c r="AN703" s="115"/>
      <c r="AO703" s="115"/>
      <c r="AP703" s="115"/>
      <c r="AQ703" s="115"/>
      <c r="AR703" s="115"/>
      <c r="AS703" s="26"/>
      <c r="AT703" s="15"/>
      <c r="AW703" s="114"/>
    </row>
    <row r="704" spans="3:49" x14ac:dyDescent="0.4"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  <c r="AA704" s="115"/>
      <c r="AB704" s="122"/>
      <c r="AC704" s="122"/>
      <c r="AD704" s="122"/>
      <c r="AE704" s="115"/>
      <c r="AF704" s="115"/>
      <c r="AG704" s="115"/>
      <c r="AH704" s="115"/>
      <c r="AI704" s="115"/>
      <c r="AJ704" s="115"/>
      <c r="AK704" s="115"/>
      <c r="AL704" s="115"/>
      <c r="AM704" s="115"/>
      <c r="AN704" s="115"/>
      <c r="AO704" s="115"/>
      <c r="AP704" s="115"/>
      <c r="AQ704" s="115"/>
      <c r="AR704" s="115"/>
      <c r="AS704" s="17"/>
      <c r="AT704" s="15"/>
      <c r="AW704" s="114"/>
    </row>
    <row r="705" spans="1:49" x14ac:dyDescent="0.4"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  <c r="AA705" s="115"/>
      <c r="AB705" s="122"/>
      <c r="AC705" s="122"/>
      <c r="AD705" s="122"/>
      <c r="AE705" s="115"/>
      <c r="AF705" s="115"/>
      <c r="AG705" s="115"/>
      <c r="AH705" s="115"/>
      <c r="AI705" s="115"/>
      <c r="AJ705" s="115"/>
      <c r="AK705" s="115"/>
      <c r="AL705" s="115"/>
      <c r="AM705" s="115"/>
      <c r="AN705" s="115"/>
      <c r="AO705" s="115"/>
      <c r="AP705" s="115"/>
      <c r="AQ705" s="115"/>
      <c r="AR705" s="115"/>
      <c r="AS705" s="26"/>
      <c r="AT705" s="15"/>
      <c r="AW705" s="114"/>
    </row>
    <row r="706" spans="1:49" x14ac:dyDescent="0.4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  <c r="AA706" s="115"/>
      <c r="AB706" s="122"/>
      <c r="AC706" s="122"/>
      <c r="AD706" s="122"/>
      <c r="AE706" s="115"/>
      <c r="AF706" s="115"/>
      <c r="AG706" s="115"/>
      <c r="AH706" s="115"/>
      <c r="AI706" s="115"/>
      <c r="AJ706" s="115"/>
      <c r="AK706" s="115"/>
      <c r="AL706" s="115"/>
      <c r="AM706" s="115"/>
      <c r="AN706" s="115"/>
      <c r="AO706" s="115"/>
      <c r="AP706" s="115"/>
      <c r="AQ706" s="115"/>
      <c r="AR706" s="115"/>
      <c r="AS706" s="26"/>
      <c r="AT706" s="15"/>
      <c r="AW706" s="114"/>
    </row>
    <row r="707" spans="1:49" x14ac:dyDescent="0.4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22"/>
      <c r="AC707" s="122"/>
      <c r="AD707" s="122"/>
      <c r="AE707" s="115"/>
      <c r="AF707" s="115"/>
      <c r="AG707" s="115"/>
      <c r="AH707" s="115"/>
      <c r="AI707" s="115"/>
      <c r="AJ707" s="115"/>
      <c r="AK707" s="115"/>
      <c r="AL707" s="115"/>
      <c r="AM707" s="115"/>
      <c r="AN707" s="115"/>
      <c r="AO707" s="115"/>
      <c r="AP707" s="115"/>
      <c r="AQ707" s="115"/>
      <c r="AR707" s="115"/>
      <c r="AS707" s="17"/>
      <c r="AT707" s="13"/>
      <c r="AW707" s="114"/>
    </row>
    <row r="708" spans="1:49" x14ac:dyDescent="0.4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  <c r="AA708" s="115"/>
      <c r="AB708" s="122"/>
      <c r="AC708" s="122"/>
      <c r="AD708" s="122"/>
      <c r="AE708" s="115"/>
      <c r="AF708" s="115"/>
      <c r="AG708" s="115"/>
      <c r="AH708" s="115"/>
      <c r="AI708" s="115"/>
      <c r="AJ708" s="115"/>
      <c r="AK708" s="115"/>
      <c r="AL708" s="115"/>
      <c r="AM708" s="115"/>
      <c r="AN708" s="115"/>
      <c r="AO708" s="115"/>
      <c r="AP708" s="115"/>
      <c r="AQ708" s="115"/>
      <c r="AR708" s="115"/>
      <c r="AS708" s="17"/>
      <c r="AT708" s="13"/>
      <c r="AW708" s="114"/>
    </row>
    <row r="709" spans="1:49" x14ac:dyDescent="0.4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  <c r="AA709" s="115"/>
      <c r="AB709" s="122"/>
      <c r="AC709" s="122"/>
      <c r="AD709" s="122"/>
      <c r="AE709" s="115"/>
      <c r="AF709" s="115"/>
      <c r="AG709" s="115"/>
      <c r="AH709" s="115"/>
      <c r="AI709" s="115"/>
      <c r="AJ709" s="115"/>
      <c r="AK709" s="115"/>
      <c r="AL709" s="115"/>
      <c r="AM709" s="115"/>
      <c r="AN709" s="115"/>
      <c r="AO709" s="115"/>
      <c r="AP709" s="115"/>
      <c r="AQ709" s="115"/>
      <c r="AR709" s="115"/>
      <c r="AS709" s="26"/>
      <c r="AT709" s="13"/>
      <c r="AW709" s="114"/>
    </row>
    <row r="710" spans="1:49" x14ac:dyDescent="0.4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22"/>
      <c r="AC710" s="122"/>
      <c r="AD710" s="122"/>
      <c r="AE710" s="115"/>
      <c r="AF710" s="115"/>
      <c r="AG710" s="115"/>
      <c r="AH710" s="115"/>
      <c r="AI710" s="115"/>
      <c r="AJ710" s="115"/>
      <c r="AK710" s="115"/>
      <c r="AL710" s="115"/>
      <c r="AM710" s="115"/>
      <c r="AN710" s="115"/>
      <c r="AO710" s="115"/>
      <c r="AP710" s="115"/>
      <c r="AQ710" s="115"/>
      <c r="AR710" s="115"/>
      <c r="AS710" s="26"/>
      <c r="AT710" s="13"/>
      <c r="AW710" s="114"/>
    </row>
    <row r="711" spans="1:49" x14ac:dyDescent="0.4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  <c r="AB711" s="122"/>
      <c r="AC711" s="122"/>
      <c r="AD711" s="122"/>
      <c r="AE711" s="115"/>
      <c r="AF711" s="115"/>
      <c r="AG711" s="115"/>
      <c r="AH711" s="115"/>
      <c r="AI711" s="115"/>
      <c r="AJ711" s="115"/>
      <c r="AK711" s="115"/>
      <c r="AL711" s="115"/>
      <c r="AM711" s="115"/>
      <c r="AN711" s="115"/>
      <c r="AO711" s="115"/>
      <c r="AP711" s="115"/>
      <c r="AQ711" s="115"/>
      <c r="AR711" s="115"/>
      <c r="AS711" s="17"/>
      <c r="AT711" s="13"/>
      <c r="AW711" s="114"/>
    </row>
    <row r="712" spans="1:49" x14ac:dyDescent="0.4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22"/>
      <c r="AC712" s="122"/>
      <c r="AD712" s="122"/>
      <c r="AE712" s="115"/>
      <c r="AF712" s="115"/>
      <c r="AG712" s="115"/>
      <c r="AH712" s="115"/>
      <c r="AI712" s="115"/>
      <c r="AJ712" s="115"/>
      <c r="AK712" s="115"/>
      <c r="AL712" s="115"/>
      <c r="AM712" s="115"/>
      <c r="AN712" s="115"/>
      <c r="AO712" s="115"/>
      <c r="AP712" s="115"/>
      <c r="AQ712" s="115"/>
      <c r="AR712" s="115"/>
      <c r="AS712" s="26"/>
      <c r="AT712" s="15"/>
      <c r="AW712" s="114"/>
    </row>
    <row r="713" spans="1:49" x14ac:dyDescent="0.4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  <c r="AA713" s="115"/>
      <c r="AB713" s="122"/>
      <c r="AC713" s="122"/>
      <c r="AD713" s="122"/>
      <c r="AE713" s="115"/>
      <c r="AF713" s="115"/>
      <c r="AG713" s="115"/>
      <c r="AH713" s="115"/>
      <c r="AI713" s="115"/>
      <c r="AJ713" s="115"/>
      <c r="AK713" s="115"/>
      <c r="AL713" s="115"/>
      <c r="AM713" s="115"/>
      <c r="AN713" s="115"/>
      <c r="AO713" s="115"/>
      <c r="AP713" s="115"/>
      <c r="AQ713" s="115"/>
      <c r="AR713" s="115"/>
      <c r="AS713" s="26"/>
      <c r="AT713" s="15"/>
      <c r="AW713" s="114"/>
    </row>
    <row r="714" spans="1:49" x14ac:dyDescent="0.4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  <c r="AA714" s="115"/>
      <c r="AB714" s="122"/>
      <c r="AC714" s="122"/>
      <c r="AD714" s="122"/>
      <c r="AE714" s="115"/>
      <c r="AF714" s="115"/>
      <c r="AG714" s="115"/>
      <c r="AH714" s="115"/>
      <c r="AI714" s="115"/>
      <c r="AJ714" s="115"/>
      <c r="AK714" s="115"/>
      <c r="AL714" s="115"/>
      <c r="AM714" s="115"/>
      <c r="AN714" s="115"/>
      <c r="AO714" s="115"/>
      <c r="AP714" s="115"/>
      <c r="AQ714" s="115"/>
      <c r="AR714" s="115"/>
      <c r="AS714" s="26"/>
      <c r="AT714" s="15"/>
      <c r="AW714" s="114"/>
    </row>
    <row r="715" spans="1:49" x14ac:dyDescent="0.4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22"/>
      <c r="AC715" s="122"/>
      <c r="AD715" s="122"/>
      <c r="AE715" s="115"/>
      <c r="AF715" s="115"/>
      <c r="AG715" s="115"/>
      <c r="AH715" s="115"/>
      <c r="AI715" s="115"/>
      <c r="AJ715" s="115"/>
      <c r="AK715" s="115"/>
      <c r="AL715" s="115"/>
      <c r="AM715" s="115"/>
      <c r="AN715" s="115"/>
      <c r="AO715" s="115"/>
      <c r="AP715" s="115"/>
      <c r="AQ715" s="115"/>
      <c r="AR715" s="115"/>
      <c r="AS715" s="26"/>
      <c r="AT715" s="13"/>
      <c r="AW715" s="114"/>
    </row>
    <row r="716" spans="1:49" x14ac:dyDescent="0.4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  <c r="AA716" s="115"/>
      <c r="AB716" s="122"/>
      <c r="AC716" s="122"/>
      <c r="AD716" s="122"/>
      <c r="AE716" s="115"/>
      <c r="AF716" s="115"/>
      <c r="AG716" s="115"/>
      <c r="AH716" s="115"/>
      <c r="AI716" s="115"/>
      <c r="AJ716" s="115"/>
      <c r="AK716" s="115"/>
      <c r="AL716" s="115"/>
      <c r="AM716" s="115"/>
      <c r="AN716" s="115"/>
      <c r="AO716" s="115"/>
      <c r="AP716" s="115"/>
      <c r="AQ716" s="115"/>
      <c r="AR716" s="115"/>
      <c r="AS716" s="26"/>
      <c r="AT716" s="25"/>
      <c r="AW716" s="114"/>
    </row>
    <row r="717" spans="1:49" x14ac:dyDescent="0.4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22"/>
      <c r="AC717" s="122"/>
      <c r="AD717" s="122"/>
      <c r="AE717" s="115"/>
      <c r="AF717" s="115"/>
      <c r="AG717" s="115"/>
      <c r="AH717" s="115"/>
      <c r="AI717" s="115"/>
      <c r="AJ717" s="115"/>
      <c r="AK717" s="115"/>
      <c r="AL717" s="115"/>
      <c r="AM717" s="115"/>
      <c r="AN717" s="115"/>
      <c r="AO717" s="115"/>
      <c r="AP717" s="115"/>
      <c r="AQ717" s="115"/>
      <c r="AR717" s="115"/>
      <c r="AS717" s="26"/>
      <c r="AT717" s="13"/>
      <c r="AW717" s="114"/>
    </row>
    <row r="718" spans="1:49" x14ac:dyDescent="0.4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  <c r="AA718" s="115"/>
      <c r="AB718" s="122"/>
      <c r="AC718" s="122"/>
      <c r="AD718" s="122"/>
      <c r="AE718" s="115"/>
      <c r="AF718" s="115"/>
      <c r="AG718" s="115"/>
      <c r="AH718" s="115"/>
      <c r="AI718" s="115"/>
      <c r="AJ718" s="115"/>
      <c r="AK718" s="115"/>
      <c r="AL718" s="115"/>
      <c r="AM718" s="115"/>
      <c r="AN718" s="115"/>
      <c r="AO718" s="115"/>
      <c r="AP718" s="115"/>
      <c r="AQ718" s="115"/>
      <c r="AR718" s="115"/>
      <c r="AS718" s="26"/>
      <c r="AT718" s="13"/>
      <c r="AW718" s="114"/>
    </row>
    <row r="719" spans="1:49" x14ac:dyDescent="0.4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22"/>
      <c r="AC719" s="122"/>
      <c r="AD719" s="122"/>
      <c r="AE719" s="115"/>
      <c r="AF719" s="115"/>
      <c r="AG719" s="115"/>
      <c r="AH719" s="115"/>
      <c r="AI719" s="115"/>
      <c r="AJ719" s="115"/>
      <c r="AK719" s="115"/>
      <c r="AL719" s="115"/>
      <c r="AM719" s="115"/>
      <c r="AN719" s="115"/>
      <c r="AO719" s="115"/>
      <c r="AP719" s="115"/>
      <c r="AQ719" s="115"/>
      <c r="AR719" s="115"/>
      <c r="AS719" s="26"/>
      <c r="AT719" s="13"/>
      <c r="AW719" s="114"/>
    </row>
    <row r="720" spans="1:49" x14ac:dyDescent="0.4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22"/>
      <c r="AC720" s="122"/>
      <c r="AD720" s="122"/>
      <c r="AE720" s="115"/>
      <c r="AF720" s="115"/>
      <c r="AG720" s="115"/>
      <c r="AH720" s="115"/>
      <c r="AI720" s="115"/>
      <c r="AJ720" s="115"/>
      <c r="AK720" s="115"/>
      <c r="AL720" s="115"/>
      <c r="AM720" s="115"/>
      <c r="AN720" s="115"/>
      <c r="AO720" s="115"/>
      <c r="AP720" s="115"/>
      <c r="AQ720" s="115"/>
      <c r="AR720" s="115"/>
      <c r="AS720" s="26"/>
      <c r="AT720" s="13"/>
      <c r="AW720" s="114"/>
    </row>
    <row r="721" spans="1:49" x14ac:dyDescent="0.4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  <c r="AB721" s="122"/>
      <c r="AC721" s="122"/>
      <c r="AD721" s="122"/>
      <c r="AE721" s="115"/>
      <c r="AF721" s="115"/>
      <c r="AG721" s="115"/>
      <c r="AH721" s="115"/>
      <c r="AI721" s="115"/>
      <c r="AJ721" s="115"/>
      <c r="AK721" s="115"/>
      <c r="AL721" s="115"/>
      <c r="AM721" s="115"/>
      <c r="AN721" s="115"/>
      <c r="AO721" s="115"/>
      <c r="AP721" s="115"/>
      <c r="AQ721" s="115"/>
      <c r="AR721" s="115"/>
      <c r="AS721" s="26"/>
      <c r="AT721" s="13"/>
      <c r="AW721" s="114"/>
    </row>
    <row r="722" spans="1:49" x14ac:dyDescent="0.4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  <c r="AA722" s="115"/>
      <c r="AB722" s="122"/>
      <c r="AC722" s="122"/>
      <c r="AD722" s="122"/>
      <c r="AE722" s="115"/>
      <c r="AF722" s="115"/>
      <c r="AG722" s="115"/>
      <c r="AH722" s="115"/>
      <c r="AI722" s="115"/>
      <c r="AJ722" s="115"/>
      <c r="AK722" s="115"/>
      <c r="AL722" s="115"/>
      <c r="AM722" s="115"/>
      <c r="AN722" s="115"/>
      <c r="AO722" s="115"/>
      <c r="AP722" s="115"/>
      <c r="AQ722" s="115"/>
      <c r="AR722" s="115"/>
      <c r="AS722" s="26"/>
      <c r="AT722" s="13"/>
      <c r="AW722" s="114"/>
    </row>
    <row r="723" spans="1:49" x14ac:dyDescent="0.4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  <c r="AA723" s="115"/>
      <c r="AB723" s="122"/>
      <c r="AC723" s="122"/>
      <c r="AD723" s="122"/>
      <c r="AE723" s="115"/>
      <c r="AF723" s="115"/>
      <c r="AG723" s="115"/>
      <c r="AH723" s="115"/>
      <c r="AI723" s="115"/>
      <c r="AJ723" s="115"/>
      <c r="AK723" s="115"/>
      <c r="AL723" s="115"/>
      <c r="AM723" s="115"/>
      <c r="AN723" s="115"/>
      <c r="AO723" s="115"/>
      <c r="AP723" s="115"/>
      <c r="AQ723" s="115"/>
      <c r="AR723" s="115"/>
      <c r="AS723" s="26"/>
      <c r="AT723" s="13"/>
      <c r="AW723" s="114"/>
    </row>
    <row r="724" spans="1:49" x14ac:dyDescent="0.4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  <c r="AA724" s="115"/>
      <c r="AB724" s="122"/>
      <c r="AC724" s="122"/>
      <c r="AD724" s="122"/>
      <c r="AE724" s="115"/>
      <c r="AF724" s="115"/>
      <c r="AG724" s="115"/>
      <c r="AH724" s="115"/>
      <c r="AI724" s="115"/>
      <c r="AJ724" s="115"/>
      <c r="AK724" s="115"/>
      <c r="AL724" s="115"/>
      <c r="AM724" s="115"/>
      <c r="AN724" s="115"/>
      <c r="AO724" s="115"/>
      <c r="AP724" s="115"/>
      <c r="AQ724" s="115"/>
      <c r="AR724" s="115"/>
      <c r="AS724" s="26"/>
      <c r="AT724" s="13"/>
      <c r="AW724" s="114"/>
    </row>
    <row r="725" spans="1:49" x14ac:dyDescent="0.4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  <c r="AA725" s="115"/>
      <c r="AB725" s="122"/>
      <c r="AC725" s="122"/>
      <c r="AD725" s="122"/>
      <c r="AE725" s="115"/>
      <c r="AF725" s="115"/>
      <c r="AG725" s="115"/>
      <c r="AH725" s="115"/>
      <c r="AI725" s="115"/>
      <c r="AJ725" s="115"/>
      <c r="AK725" s="115"/>
      <c r="AL725" s="115"/>
      <c r="AM725" s="115"/>
      <c r="AN725" s="115"/>
      <c r="AO725" s="115"/>
      <c r="AP725" s="115"/>
      <c r="AQ725" s="115"/>
      <c r="AR725" s="115"/>
      <c r="AS725" s="26"/>
      <c r="AT725" s="13"/>
      <c r="AW725" s="114"/>
    </row>
    <row r="726" spans="1:49" x14ac:dyDescent="0.4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  <c r="AA726" s="115"/>
      <c r="AB726" s="122"/>
      <c r="AC726" s="122"/>
      <c r="AD726" s="122"/>
      <c r="AE726" s="115"/>
      <c r="AF726" s="115"/>
      <c r="AG726" s="115"/>
      <c r="AH726" s="115"/>
      <c r="AI726" s="115"/>
      <c r="AJ726" s="115"/>
      <c r="AK726" s="115"/>
      <c r="AL726" s="115"/>
      <c r="AM726" s="115"/>
      <c r="AN726" s="115"/>
      <c r="AO726" s="115"/>
      <c r="AP726" s="115"/>
      <c r="AQ726" s="115"/>
      <c r="AR726" s="115"/>
      <c r="AS726" s="26"/>
      <c r="AT726" s="13"/>
      <c r="AW726" s="114"/>
    </row>
    <row r="727" spans="1:49" x14ac:dyDescent="0.4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  <c r="AA727" s="115"/>
      <c r="AB727" s="122"/>
      <c r="AC727" s="122"/>
      <c r="AD727" s="122"/>
      <c r="AE727" s="115"/>
      <c r="AF727" s="115"/>
      <c r="AG727" s="115"/>
      <c r="AH727" s="115"/>
      <c r="AI727" s="115"/>
      <c r="AJ727" s="115"/>
      <c r="AK727" s="115"/>
      <c r="AL727" s="115"/>
      <c r="AM727" s="115"/>
      <c r="AN727" s="115"/>
      <c r="AO727" s="115"/>
      <c r="AP727" s="115"/>
      <c r="AQ727" s="115"/>
      <c r="AR727" s="115"/>
      <c r="AS727" s="26"/>
      <c r="AT727" s="15"/>
      <c r="AW727" s="114"/>
    </row>
    <row r="728" spans="1:49" x14ac:dyDescent="0.4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  <c r="AA728" s="115"/>
      <c r="AB728" s="122"/>
      <c r="AC728" s="122"/>
      <c r="AD728" s="122"/>
      <c r="AE728" s="115"/>
      <c r="AF728" s="115"/>
      <c r="AG728" s="115"/>
      <c r="AH728" s="115"/>
      <c r="AI728" s="115"/>
      <c r="AJ728" s="115"/>
      <c r="AK728" s="115"/>
      <c r="AL728" s="115"/>
      <c r="AM728" s="115"/>
      <c r="AN728" s="115"/>
      <c r="AO728" s="115"/>
      <c r="AP728" s="115"/>
      <c r="AQ728" s="115"/>
      <c r="AR728" s="115"/>
      <c r="AS728" s="26"/>
      <c r="AT728" s="15"/>
      <c r="AW728" s="114"/>
    </row>
    <row r="729" spans="1:49" x14ac:dyDescent="0.4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  <c r="AB729" s="122"/>
      <c r="AC729" s="122"/>
      <c r="AD729" s="122"/>
      <c r="AE729" s="115"/>
      <c r="AF729" s="115"/>
      <c r="AG729" s="115"/>
      <c r="AH729" s="115"/>
      <c r="AI729" s="115"/>
      <c r="AJ729" s="115"/>
      <c r="AK729" s="115"/>
      <c r="AL729" s="115"/>
      <c r="AM729" s="115"/>
      <c r="AN729" s="115"/>
      <c r="AO729" s="115"/>
      <c r="AP729" s="115"/>
      <c r="AQ729" s="115"/>
      <c r="AR729" s="115"/>
      <c r="AS729" s="26"/>
      <c r="AT729" s="15"/>
      <c r="AW729" s="114"/>
    </row>
    <row r="730" spans="1:49" x14ac:dyDescent="0.4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  <c r="AB730" s="122"/>
      <c r="AC730" s="122"/>
      <c r="AD730" s="122"/>
      <c r="AE730" s="115"/>
      <c r="AF730" s="115"/>
      <c r="AG730" s="115"/>
      <c r="AH730" s="115"/>
      <c r="AI730" s="115"/>
      <c r="AJ730" s="115"/>
      <c r="AK730" s="115"/>
      <c r="AL730" s="115"/>
      <c r="AM730" s="115"/>
      <c r="AN730" s="115"/>
      <c r="AO730" s="115"/>
      <c r="AP730" s="115"/>
      <c r="AQ730" s="115"/>
      <c r="AR730" s="115"/>
      <c r="AS730" s="26"/>
      <c r="AT730" s="15"/>
      <c r="AW730" s="114"/>
    </row>
    <row r="731" spans="1:49" x14ac:dyDescent="0.4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  <c r="AA731" s="115"/>
      <c r="AB731" s="122"/>
      <c r="AC731" s="122"/>
      <c r="AD731" s="122"/>
      <c r="AE731" s="115"/>
      <c r="AF731" s="115"/>
      <c r="AG731" s="115"/>
      <c r="AH731" s="115"/>
      <c r="AI731" s="115"/>
      <c r="AJ731" s="115"/>
      <c r="AK731" s="115"/>
      <c r="AL731" s="115"/>
      <c r="AM731" s="115"/>
      <c r="AN731" s="115"/>
      <c r="AO731" s="115"/>
      <c r="AP731" s="115"/>
      <c r="AQ731" s="115"/>
      <c r="AR731" s="115"/>
      <c r="AS731" s="26"/>
      <c r="AT731" s="13"/>
      <c r="AW731" s="114"/>
    </row>
    <row r="732" spans="1:49" x14ac:dyDescent="0.4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  <c r="AA732" s="115"/>
      <c r="AB732" s="122"/>
      <c r="AC732" s="122"/>
      <c r="AD732" s="122"/>
      <c r="AE732" s="115"/>
      <c r="AF732" s="115"/>
      <c r="AG732" s="115"/>
      <c r="AH732" s="115"/>
      <c r="AI732" s="115"/>
      <c r="AJ732" s="115"/>
      <c r="AK732" s="115"/>
      <c r="AL732" s="115"/>
      <c r="AM732" s="115"/>
      <c r="AN732" s="115"/>
      <c r="AO732" s="115"/>
      <c r="AP732" s="115"/>
      <c r="AQ732" s="115"/>
      <c r="AR732" s="115"/>
      <c r="AS732" s="26"/>
      <c r="AT732" s="15"/>
      <c r="AW732" s="114"/>
    </row>
    <row r="733" spans="1:49" x14ac:dyDescent="0.4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  <c r="AA733" s="115"/>
      <c r="AB733" s="122"/>
      <c r="AC733" s="122"/>
      <c r="AD733" s="122"/>
      <c r="AE733" s="115"/>
      <c r="AF733" s="115"/>
      <c r="AG733" s="115"/>
      <c r="AH733" s="115"/>
      <c r="AI733" s="115"/>
      <c r="AJ733" s="115"/>
      <c r="AK733" s="115"/>
      <c r="AL733" s="115"/>
      <c r="AM733" s="115"/>
      <c r="AN733" s="115"/>
      <c r="AO733" s="115"/>
      <c r="AP733" s="115"/>
      <c r="AQ733" s="115"/>
      <c r="AR733" s="115"/>
      <c r="AS733" s="26"/>
      <c r="AT733" s="15"/>
      <c r="AW733" s="114"/>
    </row>
    <row r="734" spans="1:49" x14ac:dyDescent="0.4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  <c r="AA734" s="115"/>
      <c r="AB734" s="122"/>
      <c r="AC734" s="122"/>
      <c r="AD734" s="122"/>
      <c r="AE734" s="115"/>
      <c r="AF734" s="115"/>
      <c r="AG734" s="115"/>
      <c r="AH734" s="115"/>
      <c r="AI734" s="115"/>
      <c r="AJ734" s="115"/>
      <c r="AK734" s="115"/>
      <c r="AL734" s="115"/>
      <c r="AM734" s="115"/>
      <c r="AN734" s="115"/>
      <c r="AO734" s="115"/>
      <c r="AP734" s="115"/>
      <c r="AQ734" s="115"/>
      <c r="AR734" s="115"/>
      <c r="AS734" s="26"/>
      <c r="AT734" s="15"/>
      <c r="AW734" s="114"/>
    </row>
    <row r="735" spans="1:49" x14ac:dyDescent="0.4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  <c r="AA735" s="115"/>
      <c r="AB735" s="122"/>
      <c r="AC735" s="122"/>
      <c r="AD735" s="122"/>
      <c r="AE735" s="115"/>
      <c r="AF735" s="115"/>
      <c r="AG735" s="115"/>
      <c r="AH735" s="115"/>
      <c r="AI735" s="115"/>
      <c r="AJ735" s="115"/>
      <c r="AK735" s="115"/>
      <c r="AL735" s="115"/>
      <c r="AM735" s="115"/>
      <c r="AN735" s="115"/>
      <c r="AO735" s="115"/>
      <c r="AP735" s="115"/>
      <c r="AQ735" s="115"/>
      <c r="AR735" s="115"/>
      <c r="AS735" s="26"/>
      <c r="AT735" s="15"/>
      <c r="AW735" s="114"/>
    </row>
    <row r="736" spans="1:49" x14ac:dyDescent="0.4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  <c r="AA736" s="115"/>
      <c r="AB736" s="122"/>
      <c r="AC736" s="122"/>
      <c r="AD736" s="122"/>
      <c r="AE736" s="115"/>
      <c r="AF736" s="115"/>
      <c r="AG736" s="115"/>
      <c r="AH736" s="115"/>
      <c r="AI736" s="115"/>
      <c r="AJ736" s="115"/>
      <c r="AK736" s="115"/>
      <c r="AL736" s="115"/>
      <c r="AM736" s="115"/>
      <c r="AN736" s="115"/>
      <c r="AO736" s="115"/>
      <c r="AP736" s="115"/>
      <c r="AQ736" s="115"/>
      <c r="AR736" s="115"/>
      <c r="AS736" s="26"/>
      <c r="AT736" s="15"/>
      <c r="AW736" s="114"/>
    </row>
    <row r="737" spans="1:49" x14ac:dyDescent="0.4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  <c r="AA737" s="115"/>
      <c r="AB737" s="122"/>
      <c r="AC737" s="122"/>
      <c r="AD737" s="122"/>
      <c r="AE737" s="115"/>
      <c r="AF737" s="115"/>
      <c r="AG737" s="115"/>
      <c r="AH737" s="115"/>
      <c r="AI737" s="115"/>
      <c r="AJ737" s="115"/>
      <c r="AK737" s="115"/>
      <c r="AL737" s="115"/>
      <c r="AM737" s="115"/>
      <c r="AN737" s="115"/>
      <c r="AO737" s="115"/>
      <c r="AP737" s="115"/>
      <c r="AQ737" s="115"/>
      <c r="AR737" s="115"/>
      <c r="AS737" s="26"/>
      <c r="AT737" s="105"/>
      <c r="AW737" s="114"/>
    </row>
    <row r="738" spans="1:49" x14ac:dyDescent="0.4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  <c r="AB738" s="122"/>
      <c r="AC738" s="122"/>
      <c r="AD738" s="122"/>
      <c r="AE738" s="115"/>
      <c r="AF738" s="115"/>
      <c r="AG738" s="115"/>
      <c r="AH738" s="115"/>
      <c r="AI738" s="115"/>
      <c r="AJ738" s="115"/>
      <c r="AK738" s="115"/>
      <c r="AL738" s="115"/>
      <c r="AM738" s="115"/>
      <c r="AN738" s="115"/>
      <c r="AO738" s="115"/>
      <c r="AP738" s="115"/>
      <c r="AQ738" s="115"/>
      <c r="AR738" s="115"/>
      <c r="AS738" s="17"/>
      <c r="AT738" s="15"/>
      <c r="AW738" s="114"/>
    </row>
    <row r="739" spans="1:49" x14ac:dyDescent="0.4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  <c r="AA739" s="115"/>
      <c r="AB739" s="122"/>
      <c r="AC739" s="122"/>
      <c r="AD739" s="122"/>
      <c r="AE739" s="115"/>
      <c r="AF739" s="115"/>
      <c r="AG739" s="115"/>
      <c r="AH739" s="115"/>
      <c r="AI739" s="115"/>
      <c r="AJ739" s="115"/>
      <c r="AK739" s="115"/>
      <c r="AL739" s="115"/>
      <c r="AM739" s="115"/>
      <c r="AN739" s="115"/>
      <c r="AO739" s="115"/>
      <c r="AP739" s="115"/>
      <c r="AQ739" s="115"/>
      <c r="AR739" s="115"/>
      <c r="AS739" s="26"/>
      <c r="AT739" s="15"/>
      <c r="AW739" s="114"/>
    </row>
    <row r="740" spans="1:49" x14ac:dyDescent="0.4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  <c r="AA740" s="115"/>
      <c r="AB740" s="122"/>
      <c r="AC740" s="122"/>
      <c r="AD740" s="122"/>
      <c r="AE740" s="115"/>
      <c r="AF740" s="115"/>
      <c r="AG740" s="115"/>
      <c r="AH740" s="115"/>
      <c r="AI740" s="115"/>
      <c r="AJ740" s="115"/>
      <c r="AK740" s="115"/>
      <c r="AL740" s="115"/>
      <c r="AM740" s="115"/>
      <c r="AN740" s="115"/>
      <c r="AO740" s="115"/>
      <c r="AP740" s="115"/>
      <c r="AQ740" s="115"/>
      <c r="AR740" s="115"/>
      <c r="AS740" s="26"/>
      <c r="AT740" s="15"/>
      <c r="AW740" s="114"/>
    </row>
    <row r="741" spans="1:49" x14ac:dyDescent="0.4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  <c r="AA741" s="115"/>
      <c r="AB741" s="122"/>
      <c r="AC741" s="122"/>
      <c r="AD741" s="122"/>
      <c r="AE741" s="115"/>
      <c r="AF741" s="115"/>
      <c r="AG741" s="115"/>
      <c r="AH741" s="115"/>
      <c r="AI741" s="115"/>
      <c r="AJ741" s="115"/>
      <c r="AK741" s="115"/>
      <c r="AL741" s="115"/>
      <c r="AM741" s="115"/>
      <c r="AN741" s="115"/>
      <c r="AO741" s="115"/>
      <c r="AP741" s="115"/>
      <c r="AQ741" s="115"/>
      <c r="AR741" s="115"/>
      <c r="AS741" s="26"/>
      <c r="AT741" s="105"/>
      <c r="AW741" s="114"/>
    </row>
    <row r="742" spans="1:49" x14ac:dyDescent="0.4">
      <c r="AS742" s="26"/>
      <c r="AT742" s="15"/>
      <c r="AW742" s="114"/>
    </row>
    <row r="743" spans="1:49" x14ac:dyDescent="0.4">
      <c r="AC743" s="122"/>
      <c r="AD743" s="122"/>
      <c r="AE743" s="115"/>
      <c r="AF743" s="115"/>
      <c r="AG743" s="115"/>
      <c r="AH743" s="115"/>
      <c r="AI743" s="115"/>
      <c r="AJ743" s="115"/>
      <c r="AK743" s="115"/>
      <c r="AL743" s="115"/>
      <c r="AM743" s="115"/>
      <c r="AN743" s="115"/>
      <c r="AO743" s="115"/>
      <c r="AP743" s="115"/>
      <c r="AQ743" s="115"/>
      <c r="AR743" s="115"/>
      <c r="AS743" s="26"/>
      <c r="AT743" s="15"/>
      <c r="AW743" s="114"/>
    </row>
    <row r="744" spans="1:49" x14ac:dyDescent="0.4">
      <c r="Y744" s="115"/>
      <c r="Z744" s="115"/>
      <c r="AA744" s="115"/>
      <c r="AB744" s="122"/>
      <c r="AC744" s="122"/>
      <c r="AD744" s="122"/>
      <c r="AE744" s="115"/>
      <c r="AF744" s="115"/>
      <c r="AG744" s="115"/>
      <c r="AH744" s="115"/>
      <c r="AI744" s="115"/>
      <c r="AJ744" s="115"/>
      <c r="AK744" s="115"/>
      <c r="AL744" s="115"/>
      <c r="AM744" s="115"/>
      <c r="AN744" s="115"/>
      <c r="AO744" s="115"/>
      <c r="AP744" s="115"/>
      <c r="AQ744" s="115"/>
      <c r="AR744" s="115"/>
      <c r="AS744" s="26"/>
      <c r="AT744" s="15"/>
      <c r="AW744" s="114"/>
    </row>
    <row r="745" spans="1:49" x14ac:dyDescent="0.4"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  <c r="AA745" s="115"/>
      <c r="AB745" s="122"/>
      <c r="AC745" s="122"/>
      <c r="AD745" s="122"/>
      <c r="AE745" s="115"/>
      <c r="AF745" s="115"/>
      <c r="AG745" s="115"/>
      <c r="AH745" s="115"/>
      <c r="AI745" s="115"/>
      <c r="AJ745" s="115"/>
      <c r="AK745" s="115"/>
      <c r="AL745" s="115"/>
      <c r="AM745" s="115"/>
      <c r="AN745" s="115"/>
      <c r="AO745" s="115"/>
      <c r="AP745" s="115"/>
      <c r="AQ745" s="115"/>
      <c r="AR745" s="115"/>
      <c r="AS745" s="26"/>
      <c r="AT745" s="15"/>
      <c r="AW745" s="114"/>
    </row>
    <row r="746" spans="1:49" x14ac:dyDescent="0.4"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  <c r="AA746" s="115"/>
      <c r="AB746" s="122"/>
      <c r="AC746" s="122"/>
      <c r="AD746" s="122"/>
      <c r="AE746" s="115"/>
      <c r="AF746" s="115"/>
      <c r="AG746" s="115"/>
      <c r="AH746" s="115"/>
      <c r="AI746" s="115"/>
      <c r="AJ746" s="115"/>
      <c r="AK746" s="115"/>
      <c r="AL746" s="115"/>
      <c r="AM746" s="115"/>
      <c r="AN746" s="115"/>
      <c r="AO746" s="115"/>
      <c r="AP746" s="115"/>
      <c r="AQ746" s="115"/>
      <c r="AR746" s="115"/>
      <c r="AS746" s="17"/>
      <c r="AT746" s="15"/>
      <c r="AW746" s="114"/>
    </row>
    <row r="747" spans="1:49" x14ac:dyDescent="0.4"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  <c r="AA747" s="115"/>
      <c r="AB747" s="122"/>
      <c r="AC747" s="122"/>
      <c r="AD747" s="122"/>
      <c r="AE747" s="115"/>
      <c r="AF747" s="115"/>
      <c r="AG747" s="115"/>
      <c r="AH747" s="115"/>
      <c r="AI747" s="115"/>
      <c r="AJ747" s="115"/>
      <c r="AK747" s="115"/>
      <c r="AL747" s="115"/>
      <c r="AM747" s="115"/>
      <c r="AN747" s="115"/>
      <c r="AO747" s="115"/>
      <c r="AP747" s="115"/>
      <c r="AQ747" s="115"/>
      <c r="AR747" s="115"/>
      <c r="AS747" s="26"/>
      <c r="AT747" s="15"/>
      <c r="AW747" s="114"/>
    </row>
    <row r="748" spans="1:49" x14ac:dyDescent="0.4"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  <c r="AA748" s="115"/>
      <c r="AB748" s="122"/>
      <c r="AC748" s="122"/>
      <c r="AD748" s="122"/>
      <c r="AE748" s="115"/>
      <c r="AF748" s="115"/>
      <c r="AG748" s="115"/>
      <c r="AH748" s="115"/>
      <c r="AI748" s="115"/>
      <c r="AJ748" s="115"/>
      <c r="AK748" s="115"/>
      <c r="AL748" s="115"/>
      <c r="AM748" s="115"/>
      <c r="AN748" s="115"/>
      <c r="AO748" s="115"/>
      <c r="AP748" s="115"/>
      <c r="AQ748" s="115"/>
      <c r="AR748" s="115"/>
      <c r="AS748" s="26"/>
      <c r="AT748" s="15"/>
      <c r="AW748" s="114"/>
    </row>
    <row r="749" spans="1:49" x14ac:dyDescent="0.4"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  <c r="AA749" s="115"/>
      <c r="AB749" s="122"/>
      <c r="AC749" s="122"/>
      <c r="AD749" s="122"/>
      <c r="AE749" s="115"/>
      <c r="AF749" s="115"/>
      <c r="AG749" s="115"/>
      <c r="AH749" s="115"/>
      <c r="AI749" s="115"/>
      <c r="AJ749" s="115"/>
      <c r="AK749" s="115"/>
      <c r="AL749" s="115"/>
      <c r="AM749" s="115"/>
      <c r="AN749" s="115"/>
      <c r="AO749" s="115"/>
      <c r="AP749" s="115"/>
      <c r="AQ749" s="115"/>
      <c r="AR749" s="115"/>
      <c r="AS749" s="26"/>
      <c r="AT749" s="15"/>
      <c r="AW749" s="114"/>
    </row>
    <row r="750" spans="1:49" x14ac:dyDescent="0.4"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  <c r="AB750" s="122"/>
      <c r="AC750" s="122"/>
      <c r="AD750" s="122"/>
      <c r="AE750" s="115"/>
      <c r="AF750" s="115"/>
      <c r="AG750" s="115"/>
      <c r="AH750" s="115"/>
      <c r="AI750" s="115"/>
      <c r="AJ750" s="115"/>
      <c r="AK750" s="115"/>
      <c r="AL750" s="115"/>
      <c r="AM750" s="115"/>
      <c r="AN750" s="115"/>
      <c r="AO750" s="115"/>
      <c r="AP750" s="115"/>
      <c r="AQ750" s="115"/>
      <c r="AR750" s="115"/>
      <c r="AS750" s="26"/>
      <c r="AT750" s="15"/>
      <c r="AW750" s="114"/>
    </row>
    <row r="751" spans="1:49" x14ac:dyDescent="0.4"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  <c r="AA751" s="115"/>
      <c r="AB751" s="122"/>
      <c r="AC751" s="122"/>
      <c r="AD751" s="122"/>
      <c r="AE751" s="115"/>
      <c r="AF751" s="115"/>
      <c r="AG751" s="115"/>
      <c r="AH751" s="115"/>
      <c r="AI751" s="115"/>
      <c r="AJ751" s="115"/>
      <c r="AK751" s="115"/>
      <c r="AL751" s="115"/>
      <c r="AM751" s="115"/>
      <c r="AN751" s="115"/>
      <c r="AO751" s="115"/>
      <c r="AP751" s="115"/>
      <c r="AQ751" s="115"/>
      <c r="AR751" s="115"/>
      <c r="AS751" s="26"/>
      <c r="AT751" s="15"/>
      <c r="AW751" s="114"/>
    </row>
    <row r="752" spans="1:49" x14ac:dyDescent="0.4"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  <c r="AA752" s="115"/>
      <c r="AB752" s="122"/>
      <c r="AC752" s="122"/>
      <c r="AD752" s="122"/>
      <c r="AE752" s="115"/>
      <c r="AF752" s="115"/>
      <c r="AG752" s="115"/>
      <c r="AH752" s="115"/>
      <c r="AI752" s="115"/>
      <c r="AJ752" s="115"/>
      <c r="AK752" s="115"/>
      <c r="AL752" s="115"/>
      <c r="AM752" s="115"/>
      <c r="AN752" s="115"/>
      <c r="AO752" s="115"/>
      <c r="AP752" s="115"/>
      <c r="AQ752" s="115"/>
      <c r="AR752" s="115"/>
      <c r="AS752" s="26"/>
      <c r="AT752" s="15"/>
      <c r="AW752" s="114"/>
    </row>
    <row r="753" spans="2:49" x14ac:dyDescent="0.4"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  <c r="AA753" s="115"/>
      <c r="AB753" s="122"/>
      <c r="AC753" s="122"/>
      <c r="AD753" s="122"/>
      <c r="AE753" s="115"/>
      <c r="AF753" s="115"/>
      <c r="AG753" s="115"/>
      <c r="AH753" s="115"/>
      <c r="AI753" s="115"/>
      <c r="AJ753" s="115"/>
      <c r="AK753" s="115"/>
      <c r="AL753" s="115"/>
      <c r="AM753" s="115"/>
      <c r="AN753" s="115"/>
      <c r="AO753" s="115"/>
      <c r="AP753" s="115"/>
      <c r="AQ753" s="115"/>
      <c r="AR753" s="115"/>
      <c r="AS753" s="26"/>
      <c r="AT753" s="15"/>
      <c r="AW753" s="114"/>
    </row>
    <row r="754" spans="2:49" x14ac:dyDescent="0.4"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  <c r="AA754" s="115"/>
      <c r="AB754" s="122"/>
      <c r="AC754" s="122"/>
      <c r="AD754" s="122"/>
      <c r="AE754" s="115"/>
      <c r="AF754" s="115"/>
      <c r="AG754" s="115"/>
      <c r="AH754" s="115"/>
      <c r="AI754" s="115"/>
      <c r="AJ754" s="115"/>
      <c r="AK754" s="115"/>
      <c r="AL754" s="115"/>
      <c r="AM754" s="115"/>
      <c r="AN754" s="115"/>
      <c r="AO754" s="115"/>
      <c r="AP754" s="115"/>
      <c r="AQ754" s="115"/>
      <c r="AR754" s="115"/>
      <c r="AS754" s="17"/>
      <c r="AT754" s="15"/>
      <c r="AW754" s="114"/>
    </row>
    <row r="755" spans="2:49" x14ac:dyDescent="0.4"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  <c r="AA755" s="115"/>
      <c r="AB755" s="122"/>
      <c r="AC755" s="122"/>
      <c r="AD755" s="122"/>
      <c r="AE755" s="115"/>
      <c r="AF755" s="115"/>
      <c r="AG755" s="115"/>
      <c r="AH755" s="115"/>
      <c r="AI755" s="115"/>
      <c r="AJ755" s="115"/>
      <c r="AK755" s="115"/>
      <c r="AL755" s="115"/>
      <c r="AM755" s="115"/>
      <c r="AN755" s="115"/>
      <c r="AO755" s="115"/>
      <c r="AP755" s="115"/>
      <c r="AQ755" s="115"/>
      <c r="AR755" s="115"/>
      <c r="AS755" s="26"/>
      <c r="AT755" s="15"/>
      <c r="AW755" s="114"/>
    </row>
    <row r="756" spans="2:49" x14ac:dyDescent="0.4"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  <c r="AB756" s="122"/>
      <c r="AC756" s="122"/>
      <c r="AD756" s="122"/>
      <c r="AE756" s="115"/>
      <c r="AF756" s="115"/>
      <c r="AG756" s="115"/>
      <c r="AH756" s="115"/>
      <c r="AI756" s="115"/>
      <c r="AJ756" s="115"/>
      <c r="AK756" s="115"/>
      <c r="AL756" s="115"/>
      <c r="AM756" s="115"/>
      <c r="AN756" s="115"/>
      <c r="AO756" s="115"/>
      <c r="AP756" s="115"/>
      <c r="AQ756" s="115"/>
      <c r="AR756" s="115"/>
      <c r="AS756" s="26"/>
      <c r="AT756" s="15"/>
      <c r="AW756" s="114"/>
    </row>
    <row r="757" spans="2:49" x14ac:dyDescent="0.4"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  <c r="AA757" s="115"/>
      <c r="AB757" s="122"/>
      <c r="AC757" s="122"/>
      <c r="AD757" s="122"/>
      <c r="AE757" s="115"/>
      <c r="AF757" s="115"/>
      <c r="AG757" s="115"/>
      <c r="AH757" s="115"/>
      <c r="AI757" s="115"/>
      <c r="AJ757" s="115"/>
      <c r="AK757" s="115"/>
      <c r="AL757" s="115"/>
      <c r="AM757" s="115"/>
      <c r="AN757" s="115"/>
      <c r="AO757" s="115"/>
      <c r="AP757" s="115"/>
      <c r="AQ757" s="115"/>
      <c r="AR757" s="115"/>
      <c r="AS757" s="26"/>
      <c r="AT757" s="15"/>
      <c r="AW757" s="114"/>
    </row>
    <row r="758" spans="2:49" x14ac:dyDescent="0.4"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  <c r="AA758" s="115"/>
      <c r="AB758" s="122"/>
      <c r="AC758" s="122"/>
      <c r="AD758" s="122"/>
      <c r="AE758" s="115"/>
      <c r="AF758" s="115"/>
      <c r="AG758" s="115"/>
      <c r="AH758" s="115"/>
      <c r="AI758" s="115"/>
      <c r="AJ758" s="115"/>
      <c r="AK758" s="115"/>
      <c r="AL758" s="115"/>
      <c r="AM758" s="115"/>
      <c r="AN758" s="115"/>
      <c r="AO758" s="115"/>
      <c r="AP758" s="115"/>
      <c r="AQ758" s="115"/>
      <c r="AR758" s="115"/>
      <c r="AS758" s="26"/>
      <c r="AT758" s="15"/>
      <c r="AW758" s="114"/>
    </row>
    <row r="759" spans="2:49" x14ac:dyDescent="0.4"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  <c r="AA759" s="115"/>
      <c r="AB759" s="122"/>
      <c r="AC759" s="122"/>
      <c r="AD759" s="122"/>
      <c r="AE759" s="115"/>
      <c r="AF759" s="115"/>
      <c r="AG759" s="115"/>
      <c r="AH759" s="115"/>
      <c r="AI759" s="115"/>
      <c r="AJ759" s="115"/>
      <c r="AK759" s="115"/>
      <c r="AL759" s="115"/>
      <c r="AM759" s="115"/>
      <c r="AN759" s="115"/>
      <c r="AO759" s="115"/>
      <c r="AP759" s="115"/>
      <c r="AQ759" s="115"/>
      <c r="AR759" s="115"/>
      <c r="AS759" s="26"/>
      <c r="AT759" s="15"/>
      <c r="AW759" s="114"/>
    </row>
    <row r="760" spans="2:49" x14ac:dyDescent="0.4"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  <c r="AA760" s="115"/>
      <c r="AB760" s="122"/>
      <c r="AC760" s="122"/>
      <c r="AD760" s="122"/>
      <c r="AE760" s="115"/>
      <c r="AF760" s="115"/>
      <c r="AG760" s="115"/>
      <c r="AH760" s="115"/>
      <c r="AI760" s="115"/>
      <c r="AJ760" s="115"/>
      <c r="AK760" s="115"/>
      <c r="AL760" s="115"/>
      <c r="AM760" s="115"/>
      <c r="AN760" s="115"/>
      <c r="AO760" s="115"/>
      <c r="AP760" s="115"/>
      <c r="AQ760" s="115"/>
      <c r="AR760" s="115"/>
      <c r="AS760" s="26"/>
      <c r="AT760" s="15"/>
      <c r="AW760" s="114"/>
    </row>
    <row r="761" spans="2:49" x14ac:dyDescent="0.4"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  <c r="AA761" s="115"/>
      <c r="AB761" s="122"/>
      <c r="AC761" s="122"/>
      <c r="AD761" s="122"/>
      <c r="AE761" s="115"/>
      <c r="AF761" s="115"/>
      <c r="AG761" s="115"/>
      <c r="AH761" s="115"/>
      <c r="AI761" s="115"/>
      <c r="AJ761" s="115"/>
      <c r="AK761" s="115"/>
      <c r="AL761" s="115"/>
      <c r="AM761" s="115"/>
      <c r="AN761" s="115"/>
      <c r="AO761" s="115"/>
      <c r="AP761" s="115"/>
      <c r="AQ761" s="115"/>
      <c r="AR761" s="115"/>
      <c r="AS761" s="26"/>
      <c r="AT761" s="15"/>
      <c r="AW761" s="114"/>
    </row>
    <row r="762" spans="2:49" x14ac:dyDescent="0.4"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  <c r="AA762" s="115"/>
      <c r="AB762" s="122"/>
      <c r="AC762" s="122"/>
      <c r="AD762" s="122"/>
      <c r="AE762" s="115"/>
      <c r="AF762" s="115"/>
      <c r="AG762" s="115"/>
      <c r="AH762" s="115"/>
      <c r="AI762" s="115"/>
      <c r="AJ762" s="115"/>
      <c r="AK762" s="115"/>
      <c r="AL762" s="115"/>
      <c r="AM762" s="115"/>
      <c r="AN762" s="115"/>
      <c r="AO762" s="115"/>
      <c r="AP762" s="115"/>
      <c r="AQ762" s="115"/>
      <c r="AR762" s="115"/>
      <c r="AS762" s="17"/>
      <c r="AT762" s="15"/>
      <c r="AW762" s="114"/>
    </row>
    <row r="763" spans="2:49" x14ac:dyDescent="0.4"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  <c r="AA763" s="115"/>
      <c r="AB763" s="122"/>
      <c r="AC763" s="122"/>
      <c r="AD763" s="122"/>
      <c r="AE763" s="115"/>
      <c r="AF763" s="115"/>
      <c r="AG763" s="115"/>
      <c r="AH763" s="115"/>
      <c r="AI763" s="115"/>
      <c r="AJ763" s="115"/>
      <c r="AK763" s="115"/>
      <c r="AL763" s="115"/>
      <c r="AM763" s="115"/>
      <c r="AN763" s="115"/>
      <c r="AO763" s="115"/>
      <c r="AP763" s="115"/>
      <c r="AQ763" s="115"/>
      <c r="AR763" s="115"/>
      <c r="AS763" s="26"/>
      <c r="AT763" s="15"/>
      <c r="AW763" s="114"/>
    </row>
    <row r="764" spans="2:49" x14ac:dyDescent="0.4"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  <c r="AA764" s="115"/>
      <c r="AB764" s="122"/>
      <c r="AC764" s="122"/>
      <c r="AD764" s="122"/>
      <c r="AE764" s="115"/>
      <c r="AF764" s="115"/>
      <c r="AG764" s="115"/>
      <c r="AH764" s="115"/>
      <c r="AI764" s="115"/>
      <c r="AJ764" s="115"/>
      <c r="AK764" s="115"/>
      <c r="AL764" s="115"/>
      <c r="AM764" s="115"/>
      <c r="AN764" s="115"/>
      <c r="AO764" s="115"/>
      <c r="AP764" s="115"/>
      <c r="AQ764" s="115"/>
      <c r="AR764" s="115"/>
      <c r="AS764" s="26"/>
      <c r="AT764" s="15"/>
      <c r="AW764" s="114"/>
    </row>
    <row r="765" spans="2:49" x14ac:dyDescent="0.4"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  <c r="AA765" s="115"/>
      <c r="AB765" s="122"/>
      <c r="AC765" s="122"/>
      <c r="AD765" s="122"/>
      <c r="AE765" s="115"/>
      <c r="AF765" s="115"/>
      <c r="AG765" s="115"/>
      <c r="AH765" s="115"/>
      <c r="AI765" s="115"/>
      <c r="AJ765" s="115"/>
      <c r="AK765" s="115"/>
      <c r="AL765" s="115"/>
      <c r="AM765" s="115"/>
      <c r="AN765" s="115"/>
      <c r="AO765" s="115"/>
      <c r="AP765" s="115"/>
      <c r="AQ765" s="115"/>
      <c r="AR765" s="115"/>
      <c r="AS765" s="26"/>
      <c r="AT765" s="15"/>
      <c r="AW765" s="114"/>
    </row>
    <row r="766" spans="2:49" x14ac:dyDescent="0.4"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  <c r="AA766" s="115"/>
      <c r="AB766" s="122"/>
      <c r="AC766" s="122"/>
      <c r="AD766" s="122"/>
      <c r="AE766" s="115"/>
      <c r="AF766" s="115"/>
      <c r="AG766" s="115"/>
      <c r="AH766" s="115"/>
      <c r="AI766" s="115"/>
      <c r="AJ766" s="115"/>
      <c r="AK766" s="115"/>
      <c r="AL766" s="115"/>
      <c r="AM766" s="115"/>
      <c r="AN766" s="115"/>
      <c r="AO766" s="115"/>
      <c r="AP766" s="115"/>
      <c r="AQ766" s="115"/>
      <c r="AR766" s="115"/>
      <c r="AS766" s="26"/>
      <c r="AT766" s="15"/>
      <c r="AW766" s="114"/>
    </row>
    <row r="767" spans="2:49" x14ac:dyDescent="0.4"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  <c r="AA767" s="115"/>
      <c r="AB767" s="122"/>
      <c r="AC767" s="122"/>
      <c r="AD767" s="122"/>
      <c r="AE767" s="115"/>
      <c r="AF767" s="115"/>
      <c r="AG767" s="115"/>
      <c r="AH767" s="115"/>
      <c r="AI767" s="115"/>
      <c r="AJ767" s="115"/>
      <c r="AK767" s="115"/>
      <c r="AL767" s="115"/>
      <c r="AM767" s="115"/>
      <c r="AN767" s="115"/>
      <c r="AO767" s="115"/>
      <c r="AP767" s="115"/>
      <c r="AQ767" s="115"/>
      <c r="AR767" s="115"/>
      <c r="AS767" s="26"/>
      <c r="AT767" s="15"/>
      <c r="AW767" s="114"/>
    </row>
    <row r="768" spans="2:49" x14ac:dyDescent="0.4"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  <c r="AA768" s="115"/>
      <c r="AB768" s="122"/>
      <c r="AC768" s="122"/>
      <c r="AD768" s="122"/>
      <c r="AE768" s="115"/>
      <c r="AF768" s="115"/>
      <c r="AG768" s="115"/>
      <c r="AH768" s="115"/>
      <c r="AI768" s="115"/>
      <c r="AJ768" s="115"/>
      <c r="AK768" s="115"/>
      <c r="AL768" s="115"/>
      <c r="AM768" s="115"/>
      <c r="AN768" s="115"/>
      <c r="AO768" s="115"/>
      <c r="AP768" s="115"/>
      <c r="AQ768" s="115"/>
      <c r="AR768" s="115"/>
      <c r="AS768" s="26"/>
      <c r="AT768" s="15"/>
      <c r="AW768" s="114"/>
    </row>
    <row r="769" spans="1:49" x14ac:dyDescent="0.4"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  <c r="AA769" s="115"/>
      <c r="AB769" s="122"/>
      <c r="AC769" s="122"/>
      <c r="AD769" s="122"/>
      <c r="AE769" s="115"/>
      <c r="AF769" s="115"/>
      <c r="AG769" s="115"/>
      <c r="AH769" s="115"/>
      <c r="AI769" s="115"/>
      <c r="AJ769" s="115"/>
      <c r="AK769" s="115"/>
      <c r="AL769" s="115"/>
      <c r="AM769" s="115"/>
      <c r="AN769" s="115"/>
      <c r="AO769" s="115"/>
      <c r="AP769" s="115"/>
      <c r="AQ769" s="115"/>
      <c r="AR769" s="115"/>
      <c r="AS769" s="26"/>
      <c r="AT769" s="15"/>
      <c r="AW769" s="114"/>
    </row>
    <row r="770" spans="1:49" x14ac:dyDescent="0.4"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  <c r="AA770" s="115"/>
      <c r="AB770" s="122"/>
      <c r="AC770" s="122"/>
      <c r="AD770" s="122"/>
      <c r="AE770" s="115"/>
      <c r="AF770" s="115"/>
      <c r="AG770" s="115"/>
      <c r="AH770" s="115"/>
      <c r="AI770" s="115"/>
      <c r="AJ770" s="115"/>
      <c r="AK770" s="115"/>
      <c r="AL770" s="115"/>
      <c r="AM770" s="115"/>
      <c r="AN770" s="115"/>
      <c r="AO770" s="115"/>
      <c r="AP770" s="115"/>
      <c r="AQ770" s="115"/>
      <c r="AR770" s="115"/>
      <c r="AS770" s="26"/>
      <c r="AT770" s="15"/>
      <c r="AW770" s="114"/>
    </row>
    <row r="771" spans="1:49" x14ac:dyDescent="0.4"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  <c r="AA771" s="115"/>
      <c r="AB771" s="122"/>
      <c r="AC771" s="122"/>
      <c r="AD771" s="122"/>
      <c r="AE771" s="115"/>
      <c r="AF771" s="115"/>
      <c r="AG771" s="115"/>
      <c r="AH771" s="115"/>
      <c r="AI771" s="115"/>
      <c r="AJ771" s="115"/>
      <c r="AK771" s="115"/>
      <c r="AL771" s="115"/>
      <c r="AM771" s="115"/>
      <c r="AN771" s="115"/>
      <c r="AO771" s="115"/>
      <c r="AP771" s="115"/>
      <c r="AQ771" s="115"/>
      <c r="AR771" s="115"/>
      <c r="AS771" s="17"/>
      <c r="AT771" s="15"/>
      <c r="AW771" s="114"/>
    </row>
    <row r="772" spans="1:49" x14ac:dyDescent="0.4"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  <c r="AA772" s="115"/>
      <c r="AB772" s="122"/>
      <c r="AC772" s="122"/>
      <c r="AD772" s="122"/>
      <c r="AE772" s="115"/>
      <c r="AF772" s="115"/>
      <c r="AG772" s="115"/>
      <c r="AH772" s="115"/>
      <c r="AI772" s="115"/>
      <c r="AJ772" s="115"/>
      <c r="AK772" s="115"/>
      <c r="AL772" s="115"/>
      <c r="AM772" s="115"/>
      <c r="AN772" s="115"/>
      <c r="AO772" s="115"/>
      <c r="AP772" s="115"/>
      <c r="AQ772" s="115"/>
      <c r="AR772" s="115"/>
      <c r="AS772" s="26"/>
      <c r="AT772" s="15"/>
      <c r="AW772" s="114"/>
    </row>
    <row r="773" spans="1:49" x14ac:dyDescent="0.4"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  <c r="AB773" s="122"/>
      <c r="AC773" s="122"/>
      <c r="AD773" s="122"/>
      <c r="AE773" s="115"/>
      <c r="AF773" s="115"/>
      <c r="AG773" s="115"/>
      <c r="AH773" s="115"/>
      <c r="AI773" s="115"/>
      <c r="AJ773" s="115"/>
      <c r="AK773" s="115"/>
      <c r="AL773" s="115"/>
      <c r="AM773" s="115"/>
      <c r="AN773" s="115"/>
      <c r="AO773" s="115"/>
      <c r="AP773" s="115"/>
      <c r="AQ773" s="115"/>
      <c r="AR773" s="115"/>
      <c r="AS773" s="17"/>
      <c r="AT773" s="15"/>
      <c r="AW773" s="114"/>
    </row>
    <row r="774" spans="1:49" x14ac:dyDescent="0.4"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  <c r="AA774" s="115"/>
      <c r="AB774" s="122"/>
      <c r="AC774" s="122"/>
      <c r="AD774" s="122"/>
      <c r="AE774" s="115"/>
      <c r="AF774" s="115"/>
      <c r="AG774" s="115"/>
      <c r="AH774" s="115"/>
      <c r="AI774" s="115"/>
      <c r="AJ774" s="115"/>
      <c r="AK774" s="115"/>
      <c r="AL774" s="115"/>
      <c r="AM774" s="115"/>
      <c r="AN774" s="115"/>
      <c r="AO774" s="115"/>
      <c r="AP774" s="115"/>
      <c r="AQ774" s="115"/>
      <c r="AR774" s="115"/>
      <c r="AS774" s="26"/>
      <c r="AT774" s="15"/>
      <c r="AW774" s="114"/>
    </row>
    <row r="775" spans="1:49" x14ac:dyDescent="0.4"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  <c r="AA775" s="115"/>
      <c r="AB775" s="122"/>
      <c r="AC775" s="122"/>
      <c r="AD775" s="122"/>
      <c r="AE775" s="115"/>
      <c r="AF775" s="115"/>
      <c r="AG775" s="115"/>
      <c r="AH775" s="115"/>
      <c r="AI775" s="115"/>
      <c r="AJ775" s="115"/>
      <c r="AK775" s="115"/>
      <c r="AL775" s="115"/>
      <c r="AM775" s="115"/>
      <c r="AN775" s="115"/>
      <c r="AO775" s="115"/>
      <c r="AP775" s="115"/>
      <c r="AQ775" s="115"/>
      <c r="AR775" s="115"/>
      <c r="AS775" s="17"/>
      <c r="AT775" s="15"/>
      <c r="AW775" s="114"/>
    </row>
    <row r="776" spans="1:49" x14ac:dyDescent="0.4"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  <c r="AA776" s="115"/>
      <c r="AB776" s="122"/>
      <c r="AC776" s="122"/>
      <c r="AD776" s="122"/>
      <c r="AE776" s="115"/>
      <c r="AF776" s="115"/>
      <c r="AG776" s="115"/>
      <c r="AH776" s="115"/>
      <c r="AI776" s="115"/>
      <c r="AJ776" s="115"/>
      <c r="AK776" s="115"/>
      <c r="AL776" s="115"/>
      <c r="AM776" s="115"/>
      <c r="AN776" s="115"/>
      <c r="AO776" s="115"/>
      <c r="AP776" s="115"/>
      <c r="AQ776" s="115"/>
      <c r="AR776" s="115"/>
      <c r="AS776" s="26"/>
      <c r="AT776" s="15"/>
      <c r="AW776" s="114"/>
    </row>
    <row r="777" spans="1:49" x14ac:dyDescent="0.4"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  <c r="AA777" s="115"/>
      <c r="AB777" s="122"/>
      <c r="AC777" s="122"/>
      <c r="AD777" s="122"/>
      <c r="AE777" s="115"/>
      <c r="AF777" s="115"/>
      <c r="AG777" s="115"/>
      <c r="AH777" s="115"/>
      <c r="AI777" s="115"/>
      <c r="AJ777" s="115"/>
      <c r="AK777" s="115"/>
      <c r="AL777" s="115"/>
      <c r="AM777" s="115"/>
      <c r="AN777" s="115"/>
      <c r="AO777" s="115"/>
      <c r="AP777" s="115"/>
      <c r="AQ777" s="115"/>
      <c r="AR777" s="115"/>
      <c r="AS777" s="26"/>
      <c r="AT777" s="15"/>
      <c r="AW777" s="114"/>
    </row>
    <row r="778" spans="1:49" x14ac:dyDescent="0.4"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  <c r="AA778" s="115"/>
      <c r="AB778" s="122"/>
      <c r="AC778" s="122"/>
      <c r="AD778" s="122"/>
      <c r="AE778" s="115"/>
      <c r="AF778" s="115"/>
      <c r="AG778" s="115"/>
      <c r="AH778" s="115"/>
      <c r="AI778" s="115"/>
      <c r="AJ778" s="115"/>
      <c r="AK778" s="115"/>
      <c r="AL778" s="115"/>
      <c r="AM778" s="115"/>
      <c r="AN778" s="115"/>
      <c r="AO778" s="115"/>
      <c r="AP778" s="115"/>
      <c r="AQ778" s="115"/>
      <c r="AR778" s="115"/>
      <c r="AS778" s="17"/>
      <c r="AT778" s="15"/>
      <c r="AW778" s="114"/>
    </row>
    <row r="779" spans="1:49" x14ac:dyDescent="0.4"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  <c r="AA779" s="115"/>
      <c r="AB779" s="122"/>
      <c r="AC779" s="122"/>
      <c r="AD779" s="122"/>
      <c r="AE779" s="115"/>
      <c r="AF779" s="115"/>
      <c r="AG779" s="115"/>
      <c r="AH779" s="115"/>
      <c r="AI779" s="115"/>
      <c r="AJ779" s="115"/>
      <c r="AK779" s="115"/>
      <c r="AL779" s="115"/>
      <c r="AM779" s="115"/>
      <c r="AN779" s="115"/>
      <c r="AO779" s="115"/>
      <c r="AP779" s="115"/>
      <c r="AQ779" s="115"/>
      <c r="AR779" s="115"/>
      <c r="AS779" s="26"/>
      <c r="AT779" s="15"/>
      <c r="AW779" s="114"/>
    </row>
    <row r="780" spans="1:49" x14ac:dyDescent="0.4"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  <c r="AA780" s="115"/>
      <c r="AB780" s="122"/>
      <c r="AC780" s="122"/>
      <c r="AD780" s="122"/>
      <c r="AE780" s="115"/>
      <c r="AF780" s="115"/>
      <c r="AG780" s="115"/>
      <c r="AH780" s="115"/>
      <c r="AI780" s="115"/>
      <c r="AJ780" s="115"/>
      <c r="AK780" s="115"/>
      <c r="AL780" s="115"/>
      <c r="AM780" s="115"/>
      <c r="AN780" s="115"/>
      <c r="AO780" s="115"/>
      <c r="AP780" s="115"/>
      <c r="AQ780" s="115"/>
      <c r="AR780" s="115"/>
      <c r="AS780" s="26"/>
      <c r="AT780" s="15"/>
      <c r="AW780" s="114"/>
    </row>
    <row r="781" spans="1:49" x14ac:dyDescent="0.4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  <c r="AB781" s="122"/>
      <c r="AC781" s="122"/>
      <c r="AD781" s="122"/>
      <c r="AE781" s="115"/>
      <c r="AF781" s="115"/>
      <c r="AG781" s="115"/>
      <c r="AH781" s="115"/>
      <c r="AI781" s="115"/>
      <c r="AJ781" s="115"/>
      <c r="AK781" s="115"/>
      <c r="AL781" s="115"/>
      <c r="AM781" s="115"/>
      <c r="AN781" s="115"/>
      <c r="AO781" s="115"/>
      <c r="AP781" s="115"/>
      <c r="AQ781" s="115"/>
      <c r="AR781" s="115"/>
      <c r="AS781" s="26"/>
      <c r="AT781" s="105"/>
      <c r="AW781" s="114"/>
    </row>
    <row r="782" spans="1:49" x14ac:dyDescent="0.4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  <c r="AB782" s="122"/>
      <c r="AC782" s="122"/>
      <c r="AD782" s="122"/>
      <c r="AE782" s="115"/>
      <c r="AF782" s="115"/>
      <c r="AG782" s="115"/>
      <c r="AH782" s="115"/>
      <c r="AI782" s="115"/>
      <c r="AJ782" s="115"/>
      <c r="AK782" s="115"/>
      <c r="AL782" s="115"/>
      <c r="AM782" s="115"/>
      <c r="AN782" s="115"/>
      <c r="AO782" s="115"/>
      <c r="AP782" s="115"/>
      <c r="AQ782" s="115"/>
      <c r="AR782" s="115"/>
      <c r="AS782" s="17"/>
      <c r="AT782" s="15"/>
      <c r="AW782" s="114"/>
    </row>
    <row r="783" spans="1:49" x14ac:dyDescent="0.4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  <c r="AA783" s="115"/>
      <c r="AB783" s="122"/>
      <c r="AC783" s="122"/>
      <c r="AD783" s="122"/>
      <c r="AE783" s="115"/>
      <c r="AF783" s="115"/>
      <c r="AG783" s="115"/>
      <c r="AH783" s="115"/>
      <c r="AI783" s="115"/>
      <c r="AJ783" s="115"/>
      <c r="AK783" s="115"/>
      <c r="AL783" s="115"/>
      <c r="AM783" s="115"/>
      <c r="AN783" s="115"/>
      <c r="AO783" s="115"/>
      <c r="AP783" s="115"/>
      <c r="AQ783" s="115"/>
      <c r="AR783" s="115"/>
      <c r="AS783" s="17"/>
      <c r="AT783" s="15"/>
      <c r="AW783" s="114"/>
    </row>
    <row r="784" spans="1:49" x14ac:dyDescent="0.4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  <c r="AB784" s="122"/>
      <c r="AC784" s="122"/>
      <c r="AD784" s="122"/>
      <c r="AE784" s="115"/>
      <c r="AF784" s="115"/>
      <c r="AG784" s="115"/>
      <c r="AH784" s="115"/>
      <c r="AI784" s="115"/>
      <c r="AJ784" s="115"/>
      <c r="AK784" s="115"/>
      <c r="AL784" s="115"/>
      <c r="AM784" s="115"/>
      <c r="AN784" s="115"/>
      <c r="AO784" s="115"/>
      <c r="AP784" s="115"/>
      <c r="AQ784" s="115"/>
      <c r="AR784" s="115"/>
      <c r="AS784" s="26"/>
      <c r="AT784" s="15"/>
      <c r="AW784" s="114"/>
    </row>
    <row r="785" spans="1:49" x14ac:dyDescent="0.4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  <c r="AA785" s="115"/>
      <c r="AB785" s="122"/>
      <c r="AC785" s="122"/>
      <c r="AD785" s="122"/>
      <c r="AE785" s="115"/>
      <c r="AF785" s="115"/>
      <c r="AG785" s="115"/>
      <c r="AH785" s="115"/>
      <c r="AI785" s="115"/>
      <c r="AJ785" s="115"/>
      <c r="AK785" s="115"/>
      <c r="AL785" s="115"/>
      <c r="AM785" s="115"/>
      <c r="AN785" s="115"/>
      <c r="AO785" s="115"/>
      <c r="AP785" s="115"/>
      <c r="AQ785" s="115"/>
      <c r="AR785" s="115"/>
      <c r="AS785" s="26"/>
      <c r="AT785" s="15"/>
      <c r="AW785" s="114"/>
    </row>
    <row r="786" spans="1:49" x14ac:dyDescent="0.4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  <c r="AB786" s="122"/>
      <c r="AC786" s="122"/>
      <c r="AD786" s="122"/>
      <c r="AE786" s="115"/>
      <c r="AF786" s="115"/>
      <c r="AG786" s="115"/>
      <c r="AH786" s="115"/>
      <c r="AI786" s="115"/>
      <c r="AJ786" s="115"/>
      <c r="AK786" s="115"/>
      <c r="AL786" s="115"/>
      <c r="AM786" s="115"/>
      <c r="AN786" s="115"/>
      <c r="AO786" s="115"/>
      <c r="AP786" s="115"/>
      <c r="AQ786" s="115"/>
      <c r="AR786" s="115"/>
      <c r="AS786" s="26"/>
      <c r="AT786" s="15"/>
      <c r="AW786" s="114"/>
    </row>
    <row r="787" spans="1:49" x14ac:dyDescent="0.4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  <c r="AA787" s="115"/>
      <c r="AB787" s="122"/>
      <c r="AC787" s="122"/>
      <c r="AD787" s="122"/>
      <c r="AE787" s="115"/>
      <c r="AF787" s="115"/>
      <c r="AG787" s="115"/>
      <c r="AH787" s="115"/>
      <c r="AI787" s="115"/>
      <c r="AJ787" s="115"/>
      <c r="AK787" s="115"/>
      <c r="AL787" s="115"/>
      <c r="AM787" s="115"/>
      <c r="AN787" s="115"/>
      <c r="AO787" s="115"/>
      <c r="AP787" s="115"/>
      <c r="AQ787" s="115"/>
      <c r="AR787" s="115"/>
      <c r="AS787" s="26"/>
      <c r="AT787" s="15"/>
      <c r="AW787" s="114"/>
    </row>
    <row r="788" spans="1:49" x14ac:dyDescent="0.4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  <c r="AA788" s="115"/>
      <c r="AB788" s="122"/>
      <c r="AC788" s="122"/>
      <c r="AD788" s="122"/>
      <c r="AE788" s="115"/>
      <c r="AF788" s="115"/>
      <c r="AG788" s="115"/>
      <c r="AH788" s="115"/>
      <c r="AI788" s="115"/>
      <c r="AJ788" s="115"/>
      <c r="AK788" s="115"/>
      <c r="AL788" s="115"/>
      <c r="AM788" s="115"/>
      <c r="AN788" s="115"/>
      <c r="AO788" s="115"/>
      <c r="AP788" s="115"/>
      <c r="AQ788" s="115"/>
      <c r="AR788" s="115"/>
      <c r="AS788" s="26"/>
      <c r="AT788" s="15"/>
      <c r="AW788" s="114"/>
    </row>
    <row r="789" spans="1:49" x14ac:dyDescent="0.4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  <c r="AA789" s="115"/>
      <c r="AB789" s="122"/>
      <c r="AC789" s="122"/>
      <c r="AD789" s="122"/>
      <c r="AE789" s="115"/>
      <c r="AF789" s="115"/>
      <c r="AG789" s="115"/>
      <c r="AH789" s="115"/>
      <c r="AI789" s="115"/>
      <c r="AJ789" s="115"/>
      <c r="AK789" s="115"/>
      <c r="AL789" s="115"/>
      <c r="AM789" s="115"/>
      <c r="AN789" s="115"/>
      <c r="AO789" s="115"/>
      <c r="AP789" s="115"/>
      <c r="AQ789" s="115"/>
      <c r="AR789" s="115"/>
      <c r="AS789" s="26"/>
      <c r="AT789" s="15"/>
      <c r="AW789" s="114"/>
    </row>
    <row r="790" spans="1:49" x14ac:dyDescent="0.4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  <c r="AA790" s="115"/>
      <c r="AB790" s="122"/>
      <c r="AC790" s="122"/>
      <c r="AD790" s="122"/>
      <c r="AE790" s="115"/>
      <c r="AF790" s="115"/>
      <c r="AG790" s="115"/>
      <c r="AH790" s="115"/>
      <c r="AI790" s="115"/>
      <c r="AJ790" s="115"/>
      <c r="AK790" s="115"/>
      <c r="AL790" s="115"/>
      <c r="AM790" s="115"/>
      <c r="AN790" s="115"/>
      <c r="AO790" s="115"/>
      <c r="AP790" s="115"/>
      <c r="AQ790" s="115"/>
      <c r="AR790" s="115"/>
      <c r="AS790" s="26"/>
      <c r="AT790" s="15"/>
      <c r="AW790" s="114"/>
    </row>
    <row r="791" spans="1:49" x14ac:dyDescent="0.4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  <c r="AA791" s="115"/>
      <c r="AB791" s="122"/>
      <c r="AC791" s="122"/>
      <c r="AD791" s="122"/>
      <c r="AE791" s="115"/>
      <c r="AF791" s="115"/>
      <c r="AG791" s="115"/>
      <c r="AH791" s="115"/>
      <c r="AI791" s="115"/>
      <c r="AJ791" s="115"/>
      <c r="AK791" s="115"/>
      <c r="AL791" s="115"/>
      <c r="AM791" s="115"/>
      <c r="AN791" s="115"/>
      <c r="AO791" s="115"/>
      <c r="AP791" s="115"/>
      <c r="AQ791" s="115"/>
      <c r="AR791" s="115"/>
      <c r="AS791" s="26"/>
      <c r="AT791" s="15"/>
      <c r="AW791" s="114"/>
    </row>
    <row r="792" spans="1:49" x14ac:dyDescent="0.4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  <c r="AA792" s="115"/>
      <c r="AB792" s="122"/>
      <c r="AC792" s="122"/>
      <c r="AD792" s="122"/>
      <c r="AE792" s="115"/>
      <c r="AF792" s="115"/>
      <c r="AG792" s="115"/>
      <c r="AH792" s="115"/>
      <c r="AI792" s="115"/>
      <c r="AJ792" s="115"/>
      <c r="AK792" s="115"/>
      <c r="AL792" s="115"/>
      <c r="AM792" s="115"/>
      <c r="AN792" s="115"/>
      <c r="AO792" s="115"/>
      <c r="AP792" s="115"/>
      <c r="AQ792" s="115"/>
      <c r="AR792" s="115"/>
      <c r="AS792" s="26"/>
      <c r="AT792" s="105"/>
      <c r="AW792" s="114"/>
    </row>
    <row r="793" spans="1:49" x14ac:dyDescent="0.4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  <c r="AA793" s="115"/>
      <c r="AB793" s="122"/>
      <c r="AC793" s="122"/>
      <c r="AD793" s="122"/>
      <c r="AE793" s="115"/>
      <c r="AF793" s="115"/>
      <c r="AG793" s="115"/>
      <c r="AH793" s="115"/>
      <c r="AI793" s="115"/>
      <c r="AJ793" s="115"/>
      <c r="AK793" s="115"/>
      <c r="AL793" s="115"/>
      <c r="AM793" s="115"/>
      <c r="AN793" s="115"/>
      <c r="AO793" s="115"/>
      <c r="AP793" s="115"/>
      <c r="AQ793" s="115"/>
      <c r="AR793" s="115"/>
      <c r="AS793" s="26"/>
      <c r="AT793" s="15"/>
      <c r="AW793" s="114"/>
    </row>
    <row r="794" spans="1:49" x14ac:dyDescent="0.4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  <c r="AA794" s="115"/>
      <c r="AB794" s="122"/>
      <c r="AC794" s="122"/>
      <c r="AD794" s="122"/>
      <c r="AE794" s="115"/>
      <c r="AF794" s="115"/>
      <c r="AG794" s="115"/>
      <c r="AH794" s="115"/>
      <c r="AI794" s="115"/>
      <c r="AJ794" s="115"/>
      <c r="AK794" s="115"/>
      <c r="AL794" s="115"/>
      <c r="AM794" s="115"/>
      <c r="AN794" s="115"/>
      <c r="AO794" s="115"/>
      <c r="AP794" s="115"/>
      <c r="AQ794" s="115"/>
      <c r="AR794" s="115"/>
      <c r="AS794" s="26"/>
      <c r="AT794" s="15"/>
      <c r="AW794" s="114"/>
    </row>
    <row r="795" spans="1:49" x14ac:dyDescent="0.4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  <c r="AA795" s="115"/>
      <c r="AB795" s="122"/>
      <c r="AC795" s="122"/>
      <c r="AD795" s="122"/>
      <c r="AE795" s="115"/>
      <c r="AF795" s="115"/>
      <c r="AG795" s="115"/>
      <c r="AH795" s="115"/>
      <c r="AI795" s="115"/>
      <c r="AJ795" s="115"/>
      <c r="AK795" s="115"/>
      <c r="AL795" s="115"/>
      <c r="AM795" s="115"/>
      <c r="AN795" s="115"/>
      <c r="AO795" s="115"/>
      <c r="AP795" s="115"/>
      <c r="AQ795" s="115"/>
      <c r="AR795" s="115"/>
      <c r="AS795" s="26"/>
      <c r="AT795" s="13"/>
      <c r="AW795" s="114"/>
    </row>
    <row r="796" spans="1:49" x14ac:dyDescent="0.4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  <c r="AA796" s="115"/>
      <c r="AB796" s="122"/>
      <c r="AC796" s="122"/>
      <c r="AD796" s="122"/>
      <c r="AE796" s="115"/>
      <c r="AF796" s="115"/>
      <c r="AG796" s="115"/>
      <c r="AH796" s="115"/>
      <c r="AI796" s="115"/>
      <c r="AJ796" s="115"/>
      <c r="AK796" s="115"/>
      <c r="AL796" s="115"/>
      <c r="AM796" s="115"/>
      <c r="AN796" s="115"/>
      <c r="AO796" s="115"/>
      <c r="AP796" s="115"/>
      <c r="AQ796" s="115"/>
      <c r="AR796" s="115"/>
      <c r="AS796" s="17"/>
      <c r="AT796" s="13"/>
      <c r="AW796" s="114"/>
    </row>
    <row r="797" spans="1:49" x14ac:dyDescent="0.4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  <c r="AA797" s="115"/>
      <c r="AB797" s="122"/>
      <c r="AC797" s="122"/>
      <c r="AD797" s="122"/>
      <c r="AE797" s="115"/>
      <c r="AF797" s="115"/>
      <c r="AG797" s="115"/>
      <c r="AH797" s="115"/>
      <c r="AI797" s="115"/>
      <c r="AJ797" s="115"/>
      <c r="AK797" s="115"/>
      <c r="AL797" s="115"/>
      <c r="AM797" s="115"/>
      <c r="AN797" s="115"/>
      <c r="AO797" s="115"/>
      <c r="AP797" s="115"/>
      <c r="AQ797" s="115"/>
      <c r="AR797" s="115"/>
      <c r="AS797" s="26"/>
      <c r="AT797" s="13"/>
      <c r="AW797" s="114"/>
    </row>
    <row r="798" spans="1:49" x14ac:dyDescent="0.4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  <c r="AA798" s="115"/>
      <c r="AB798" s="122"/>
      <c r="AC798" s="122"/>
      <c r="AD798" s="122"/>
      <c r="AE798" s="115"/>
      <c r="AF798" s="115"/>
      <c r="AG798" s="115"/>
      <c r="AH798" s="115"/>
      <c r="AI798" s="115"/>
      <c r="AJ798" s="115"/>
      <c r="AK798" s="115"/>
      <c r="AL798" s="115"/>
      <c r="AM798" s="115"/>
      <c r="AN798" s="115"/>
      <c r="AO798" s="115"/>
      <c r="AP798" s="115"/>
      <c r="AQ798" s="115"/>
      <c r="AR798" s="115"/>
      <c r="AS798" s="26"/>
      <c r="AT798" s="13"/>
      <c r="AW798" s="114"/>
    </row>
    <row r="799" spans="1:49" x14ac:dyDescent="0.4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  <c r="AA799" s="115"/>
      <c r="AB799" s="122"/>
      <c r="AC799" s="122"/>
      <c r="AD799" s="122"/>
      <c r="AE799" s="115"/>
      <c r="AF799" s="115"/>
      <c r="AG799" s="115"/>
      <c r="AH799" s="115"/>
      <c r="AI799" s="115"/>
      <c r="AJ799" s="115"/>
      <c r="AK799" s="115"/>
      <c r="AL799" s="115"/>
      <c r="AM799" s="115"/>
      <c r="AN799" s="115"/>
      <c r="AO799" s="115"/>
      <c r="AP799" s="115"/>
      <c r="AQ799" s="115"/>
      <c r="AR799" s="115"/>
      <c r="AS799" s="26"/>
      <c r="AT799" s="13"/>
      <c r="AW799" s="114"/>
    </row>
    <row r="800" spans="1:49" x14ac:dyDescent="0.4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  <c r="AA800" s="115"/>
      <c r="AB800" s="122"/>
      <c r="AC800" s="122"/>
      <c r="AD800" s="122"/>
      <c r="AE800" s="115"/>
      <c r="AF800" s="115"/>
      <c r="AG800" s="115"/>
      <c r="AH800" s="115"/>
      <c r="AI800" s="115"/>
      <c r="AJ800" s="115"/>
      <c r="AK800" s="115"/>
      <c r="AL800" s="115"/>
      <c r="AM800" s="115"/>
      <c r="AN800" s="115"/>
      <c r="AO800" s="115"/>
      <c r="AP800" s="115"/>
      <c r="AQ800" s="115"/>
      <c r="AR800" s="115"/>
      <c r="AS800" s="26"/>
      <c r="AT800" s="13"/>
      <c r="AW800" s="114"/>
    </row>
    <row r="801" spans="1:49" x14ac:dyDescent="0.4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  <c r="AA801" s="115"/>
      <c r="AB801" s="122"/>
      <c r="AC801" s="122"/>
      <c r="AD801" s="122"/>
      <c r="AE801" s="115"/>
      <c r="AF801" s="115"/>
      <c r="AG801" s="115"/>
      <c r="AH801" s="115"/>
      <c r="AI801" s="115"/>
      <c r="AJ801" s="115"/>
      <c r="AK801" s="115"/>
      <c r="AL801" s="115"/>
      <c r="AM801" s="115"/>
      <c r="AN801" s="115"/>
      <c r="AO801" s="115"/>
      <c r="AP801" s="115"/>
      <c r="AQ801" s="115"/>
      <c r="AR801" s="115"/>
      <c r="AS801" s="26"/>
      <c r="AT801" s="13"/>
      <c r="AW801" s="114"/>
    </row>
    <row r="802" spans="1:49" x14ac:dyDescent="0.4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  <c r="AA802" s="115"/>
      <c r="AB802" s="122"/>
      <c r="AC802" s="122"/>
      <c r="AD802" s="122"/>
      <c r="AE802" s="115"/>
      <c r="AF802" s="115"/>
      <c r="AG802" s="115"/>
      <c r="AH802" s="115"/>
      <c r="AI802" s="115"/>
      <c r="AJ802" s="115"/>
      <c r="AK802" s="115"/>
      <c r="AL802" s="115"/>
      <c r="AM802" s="115"/>
      <c r="AN802" s="115"/>
      <c r="AO802" s="115"/>
      <c r="AP802" s="115"/>
      <c r="AQ802" s="115"/>
      <c r="AR802" s="115"/>
      <c r="AS802" s="26"/>
      <c r="AT802" s="13"/>
      <c r="AW802" s="114"/>
    </row>
    <row r="803" spans="1:49" x14ac:dyDescent="0.4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  <c r="AA803" s="115"/>
      <c r="AB803" s="122"/>
      <c r="AC803" s="122"/>
      <c r="AD803" s="122"/>
      <c r="AE803" s="115"/>
      <c r="AF803" s="115"/>
      <c r="AG803" s="115"/>
      <c r="AH803" s="115"/>
      <c r="AI803" s="115"/>
      <c r="AJ803" s="115"/>
      <c r="AK803" s="115"/>
      <c r="AL803" s="115"/>
      <c r="AM803" s="115"/>
      <c r="AN803" s="115"/>
      <c r="AO803" s="115"/>
      <c r="AP803" s="115"/>
      <c r="AQ803" s="115"/>
      <c r="AR803" s="115"/>
      <c r="AS803" s="17"/>
      <c r="AT803" s="13"/>
      <c r="AW803" s="114"/>
    </row>
    <row r="804" spans="1:49" x14ac:dyDescent="0.4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  <c r="AA804" s="115"/>
      <c r="AB804" s="122"/>
      <c r="AC804" s="122"/>
      <c r="AD804" s="122"/>
      <c r="AE804" s="115"/>
      <c r="AF804" s="115"/>
      <c r="AG804" s="115"/>
      <c r="AH804" s="115"/>
      <c r="AI804" s="115"/>
      <c r="AJ804" s="115"/>
      <c r="AK804" s="115"/>
      <c r="AL804" s="115"/>
      <c r="AM804" s="115"/>
      <c r="AN804" s="115"/>
      <c r="AO804" s="115"/>
      <c r="AP804" s="115"/>
      <c r="AQ804" s="115"/>
      <c r="AR804" s="115"/>
      <c r="AS804" s="26"/>
      <c r="AT804" s="13"/>
      <c r="AW804" s="114"/>
    </row>
    <row r="805" spans="1:49" x14ac:dyDescent="0.4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  <c r="AA805" s="115"/>
      <c r="AB805" s="122"/>
      <c r="AC805" s="122"/>
      <c r="AD805" s="122"/>
      <c r="AE805" s="115"/>
      <c r="AF805" s="115"/>
      <c r="AG805" s="115"/>
      <c r="AH805" s="115"/>
      <c r="AI805" s="115"/>
      <c r="AJ805" s="115"/>
      <c r="AK805" s="115"/>
      <c r="AL805" s="115"/>
      <c r="AM805" s="115"/>
      <c r="AN805" s="115"/>
      <c r="AO805" s="115"/>
      <c r="AP805" s="115"/>
      <c r="AQ805" s="115"/>
      <c r="AR805" s="115"/>
      <c r="AS805" s="26"/>
      <c r="AT805" s="13"/>
      <c r="AW805" s="114"/>
    </row>
    <row r="806" spans="1:49" x14ac:dyDescent="0.4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  <c r="AB806" s="122"/>
      <c r="AC806" s="122"/>
      <c r="AD806" s="122"/>
      <c r="AE806" s="115"/>
      <c r="AF806" s="115"/>
      <c r="AG806" s="115"/>
      <c r="AH806" s="115"/>
      <c r="AI806" s="115"/>
      <c r="AJ806" s="115"/>
      <c r="AK806" s="115"/>
      <c r="AL806" s="115"/>
      <c r="AM806" s="115"/>
      <c r="AN806" s="115"/>
      <c r="AO806" s="115"/>
      <c r="AP806" s="115"/>
      <c r="AQ806" s="115"/>
      <c r="AR806" s="115"/>
      <c r="AS806" s="26"/>
      <c r="AT806" s="13"/>
      <c r="AW806" s="114"/>
    </row>
    <row r="807" spans="1:49" x14ac:dyDescent="0.4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  <c r="AA807" s="115"/>
      <c r="AB807" s="122"/>
      <c r="AC807" s="122"/>
      <c r="AD807" s="122"/>
      <c r="AE807" s="115"/>
      <c r="AF807" s="115"/>
      <c r="AG807" s="115"/>
      <c r="AH807" s="115"/>
      <c r="AI807" s="115"/>
      <c r="AJ807" s="115"/>
      <c r="AK807" s="115"/>
      <c r="AL807" s="115"/>
      <c r="AM807" s="115"/>
      <c r="AN807" s="115"/>
      <c r="AO807" s="115"/>
      <c r="AP807" s="115"/>
      <c r="AQ807" s="115"/>
      <c r="AR807" s="115"/>
      <c r="AS807" s="26"/>
      <c r="AT807" s="13"/>
      <c r="AW807" s="114"/>
    </row>
    <row r="808" spans="1:49" x14ac:dyDescent="0.4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  <c r="AA808" s="115"/>
      <c r="AB808" s="122"/>
      <c r="AC808" s="122"/>
      <c r="AD808" s="122"/>
      <c r="AE808" s="115"/>
      <c r="AF808" s="115"/>
      <c r="AG808" s="115"/>
      <c r="AH808" s="115"/>
      <c r="AI808" s="115"/>
      <c r="AJ808" s="115"/>
      <c r="AK808" s="115"/>
      <c r="AL808" s="115"/>
      <c r="AM808" s="115"/>
      <c r="AN808" s="115"/>
      <c r="AO808" s="115"/>
      <c r="AP808" s="115"/>
      <c r="AQ808" s="115"/>
      <c r="AR808" s="115"/>
      <c r="AS808" s="26"/>
      <c r="AT808" s="25"/>
      <c r="AW808" s="114"/>
    </row>
    <row r="809" spans="1:49" x14ac:dyDescent="0.4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  <c r="AA809" s="115"/>
      <c r="AB809" s="122"/>
      <c r="AC809" s="122"/>
      <c r="AD809" s="122"/>
      <c r="AE809" s="115"/>
      <c r="AF809" s="115"/>
      <c r="AG809" s="115"/>
      <c r="AH809" s="115"/>
      <c r="AI809" s="115"/>
      <c r="AJ809" s="115"/>
      <c r="AK809" s="115"/>
      <c r="AL809" s="115"/>
      <c r="AM809" s="115"/>
      <c r="AN809" s="115"/>
      <c r="AO809" s="115"/>
      <c r="AP809" s="115"/>
      <c r="AQ809" s="115"/>
      <c r="AR809" s="115"/>
      <c r="AS809" s="17"/>
      <c r="AT809" s="13"/>
      <c r="AW809" s="114"/>
    </row>
    <row r="810" spans="1:49" x14ac:dyDescent="0.4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  <c r="AA810" s="115"/>
      <c r="AB810" s="122"/>
      <c r="AC810" s="122"/>
      <c r="AD810" s="122"/>
      <c r="AE810" s="115"/>
      <c r="AF810" s="115"/>
      <c r="AG810" s="115"/>
      <c r="AH810" s="115"/>
      <c r="AI810" s="115"/>
      <c r="AJ810" s="115"/>
      <c r="AK810" s="115"/>
      <c r="AL810" s="115"/>
      <c r="AM810" s="115"/>
      <c r="AN810" s="115"/>
      <c r="AO810" s="115"/>
      <c r="AP810" s="115"/>
      <c r="AQ810" s="115"/>
      <c r="AR810" s="115"/>
      <c r="AS810" s="26"/>
      <c r="AT810" s="15"/>
      <c r="AW810" s="114"/>
    </row>
    <row r="811" spans="1:49" x14ac:dyDescent="0.4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  <c r="AA811" s="115"/>
      <c r="AB811" s="122"/>
      <c r="AC811" s="122"/>
      <c r="AD811" s="122"/>
      <c r="AE811" s="115"/>
      <c r="AF811" s="115"/>
      <c r="AG811" s="115"/>
      <c r="AH811" s="115"/>
      <c r="AI811" s="115"/>
      <c r="AJ811" s="115"/>
      <c r="AK811" s="115"/>
      <c r="AL811" s="115"/>
      <c r="AM811" s="115"/>
      <c r="AN811" s="115"/>
      <c r="AO811" s="115"/>
      <c r="AP811" s="115"/>
      <c r="AQ811" s="115"/>
      <c r="AR811" s="115"/>
      <c r="AS811" s="26"/>
      <c r="AT811" s="15"/>
      <c r="AW811" s="114"/>
    </row>
    <row r="812" spans="1:49" x14ac:dyDescent="0.4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  <c r="AA812" s="115"/>
      <c r="AB812" s="122"/>
      <c r="AC812" s="122"/>
      <c r="AD812" s="122"/>
      <c r="AE812" s="115"/>
      <c r="AF812" s="115"/>
      <c r="AG812" s="115"/>
      <c r="AH812" s="115"/>
      <c r="AI812" s="115"/>
      <c r="AJ812" s="115"/>
      <c r="AK812" s="115"/>
      <c r="AL812" s="115"/>
      <c r="AM812" s="115"/>
      <c r="AN812" s="115"/>
      <c r="AO812" s="115"/>
      <c r="AP812" s="115"/>
      <c r="AQ812" s="115"/>
      <c r="AR812" s="115"/>
      <c r="AS812" s="17"/>
      <c r="AT812" s="15"/>
      <c r="AW812" s="114"/>
    </row>
    <row r="813" spans="1:49" x14ac:dyDescent="0.4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  <c r="AA813" s="115"/>
      <c r="AB813" s="122"/>
      <c r="AC813" s="122"/>
      <c r="AD813" s="122"/>
      <c r="AE813" s="115"/>
      <c r="AF813" s="115"/>
      <c r="AG813" s="115"/>
      <c r="AH813" s="115"/>
      <c r="AI813" s="115"/>
      <c r="AJ813" s="115"/>
      <c r="AK813" s="115"/>
      <c r="AL813" s="115"/>
      <c r="AM813" s="115"/>
      <c r="AN813" s="115"/>
      <c r="AO813" s="115"/>
      <c r="AP813" s="115"/>
      <c r="AQ813" s="115"/>
      <c r="AR813" s="115"/>
      <c r="AS813" s="26"/>
      <c r="AT813" s="15"/>
      <c r="AW813" s="114"/>
    </row>
    <row r="814" spans="1:49" x14ac:dyDescent="0.4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  <c r="AA814" s="115"/>
      <c r="AB814" s="122"/>
      <c r="AC814" s="122"/>
      <c r="AD814" s="122"/>
      <c r="AE814" s="115"/>
      <c r="AF814" s="115"/>
      <c r="AG814" s="115"/>
      <c r="AH814" s="115"/>
      <c r="AI814" s="115"/>
      <c r="AJ814" s="115"/>
      <c r="AK814" s="115"/>
      <c r="AL814" s="115"/>
      <c r="AM814" s="115"/>
      <c r="AN814" s="115"/>
      <c r="AO814" s="115"/>
      <c r="AP814" s="115"/>
      <c r="AQ814" s="115"/>
      <c r="AR814" s="115"/>
      <c r="AS814" s="26"/>
      <c r="AT814" s="15"/>
      <c r="AW814" s="114"/>
    </row>
    <row r="815" spans="1:49" x14ac:dyDescent="0.4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  <c r="AA815" s="115"/>
      <c r="AB815" s="122"/>
      <c r="AC815" s="122"/>
      <c r="AD815" s="122"/>
      <c r="AE815" s="115"/>
      <c r="AF815" s="115"/>
      <c r="AG815" s="115"/>
      <c r="AH815" s="115"/>
      <c r="AI815" s="115"/>
      <c r="AJ815" s="115"/>
      <c r="AK815" s="115"/>
      <c r="AL815" s="115"/>
      <c r="AM815" s="115"/>
      <c r="AN815" s="115"/>
      <c r="AO815" s="115"/>
      <c r="AP815" s="115"/>
      <c r="AQ815" s="115"/>
      <c r="AR815" s="115"/>
      <c r="AS815" s="26"/>
      <c r="AT815" s="13"/>
      <c r="AW815" s="114"/>
    </row>
    <row r="816" spans="1:49" x14ac:dyDescent="0.4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  <c r="AA816" s="115"/>
      <c r="AB816" s="122"/>
      <c r="AC816" s="122"/>
      <c r="AD816" s="122"/>
      <c r="AE816" s="115"/>
      <c r="AF816" s="115"/>
      <c r="AG816" s="115"/>
      <c r="AH816" s="115"/>
      <c r="AI816" s="115"/>
      <c r="AJ816" s="115"/>
      <c r="AK816" s="115"/>
      <c r="AL816" s="115"/>
      <c r="AM816" s="115"/>
      <c r="AN816" s="115"/>
      <c r="AO816" s="115"/>
      <c r="AP816" s="115"/>
      <c r="AQ816" s="115"/>
      <c r="AR816" s="115"/>
      <c r="AS816" s="26"/>
      <c r="AT816" s="13"/>
      <c r="AW816" s="114"/>
    </row>
    <row r="817" spans="1:49" x14ac:dyDescent="0.4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  <c r="AA817" s="115"/>
      <c r="AB817" s="122"/>
      <c r="AC817" s="122"/>
      <c r="AD817" s="122"/>
      <c r="AE817" s="115"/>
      <c r="AF817" s="115"/>
      <c r="AG817" s="115"/>
      <c r="AH817" s="115"/>
      <c r="AI817" s="115"/>
      <c r="AJ817" s="115"/>
      <c r="AK817" s="115"/>
      <c r="AL817" s="115"/>
      <c r="AM817" s="115"/>
      <c r="AN817" s="115"/>
      <c r="AO817" s="115"/>
      <c r="AP817" s="115"/>
      <c r="AQ817" s="115"/>
      <c r="AR817" s="115"/>
      <c r="AS817" s="26"/>
      <c r="AT817" s="13"/>
      <c r="AW817" s="114"/>
    </row>
    <row r="818" spans="1:49" x14ac:dyDescent="0.4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  <c r="AA818" s="115"/>
      <c r="AB818" s="122"/>
      <c r="AC818" s="122"/>
      <c r="AD818" s="122"/>
      <c r="AE818" s="115"/>
      <c r="AF818" s="115"/>
      <c r="AG818" s="115"/>
      <c r="AH818" s="115"/>
      <c r="AI818" s="115"/>
      <c r="AJ818" s="115"/>
      <c r="AK818" s="115"/>
      <c r="AL818" s="115"/>
      <c r="AM818" s="115"/>
      <c r="AN818" s="115"/>
      <c r="AO818" s="115"/>
      <c r="AP818" s="115"/>
      <c r="AQ818" s="115"/>
      <c r="AR818" s="115"/>
      <c r="AS818" s="26"/>
      <c r="AT818" s="13"/>
      <c r="AW818" s="114"/>
    </row>
    <row r="819" spans="1:49" x14ac:dyDescent="0.4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  <c r="AA819" s="115"/>
      <c r="AB819" s="122"/>
      <c r="AC819" s="122"/>
      <c r="AD819" s="122"/>
      <c r="AE819" s="115"/>
      <c r="AF819" s="115"/>
      <c r="AG819" s="115"/>
      <c r="AH819" s="115"/>
      <c r="AI819" s="115"/>
      <c r="AJ819" s="115"/>
      <c r="AK819" s="115"/>
      <c r="AL819" s="115"/>
      <c r="AM819" s="115"/>
      <c r="AN819" s="115"/>
      <c r="AO819" s="115"/>
      <c r="AP819" s="115"/>
      <c r="AQ819" s="115"/>
      <c r="AR819" s="115"/>
      <c r="AS819" s="26"/>
      <c r="AT819" s="13"/>
      <c r="AW819" s="114"/>
    </row>
    <row r="820" spans="1:49" x14ac:dyDescent="0.4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  <c r="AA820" s="115"/>
      <c r="AB820" s="122"/>
      <c r="AC820" s="122"/>
      <c r="AD820" s="122"/>
      <c r="AE820" s="115"/>
      <c r="AF820" s="115"/>
      <c r="AG820" s="115"/>
      <c r="AH820" s="115"/>
      <c r="AI820" s="115"/>
      <c r="AJ820" s="115"/>
      <c r="AK820" s="115"/>
      <c r="AL820" s="115"/>
      <c r="AM820" s="115"/>
      <c r="AN820" s="115"/>
      <c r="AO820" s="115"/>
      <c r="AP820" s="115"/>
      <c r="AQ820" s="115"/>
      <c r="AR820" s="115"/>
      <c r="AS820" s="26"/>
      <c r="AT820" s="13"/>
      <c r="AW820" s="114"/>
    </row>
    <row r="821" spans="1:49" x14ac:dyDescent="0.4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  <c r="AA821" s="115"/>
      <c r="AB821" s="122"/>
      <c r="AC821" s="122"/>
      <c r="AD821" s="122"/>
      <c r="AE821" s="115"/>
      <c r="AF821" s="115"/>
      <c r="AG821" s="115"/>
      <c r="AH821" s="115"/>
      <c r="AI821" s="115"/>
      <c r="AJ821" s="115"/>
      <c r="AK821" s="115"/>
      <c r="AL821" s="115"/>
      <c r="AM821" s="115"/>
      <c r="AN821" s="115"/>
      <c r="AO821" s="115"/>
      <c r="AP821" s="115"/>
      <c r="AQ821" s="115"/>
      <c r="AR821" s="115"/>
      <c r="AS821" s="26"/>
      <c r="AT821" s="13"/>
      <c r="AW821" s="114"/>
    </row>
    <row r="822" spans="1:49" x14ac:dyDescent="0.4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  <c r="AA822" s="115"/>
      <c r="AB822" s="122"/>
      <c r="AC822" s="122"/>
      <c r="AD822" s="122"/>
      <c r="AE822" s="115"/>
      <c r="AF822" s="115"/>
      <c r="AG822" s="115"/>
      <c r="AH822" s="115"/>
      <c r="AI822" s="115"/>
      <c r="AJ822" s="115"/>
      <c r="AK822" s="115"/>
      <c r="AL822" s="115"/>
      <c r="AM822" s="115"/>
      <c r="AN822" s="115"/>
      <c r="AO822" s="115"/>
      <c r="AP822" s="115"/>
      <c r="AQ822" s="115"/>
      <c r="AR822" s="115"/>
      <c r="AS822" s="26"/>
      <c r="AT822" s="13"/>
      <c r="AW822" s="114"/>
    </row>
    <row r="823" spans="1:49" x14ac:dyDescent="0.4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  <c r="AA823" s="115"/>
      <c r="AB823" s="122"/>
      <c r="AC823" s="122"/>
      <c r="AD823" s="122"/>
      <c r="AE823" s="115"/>
      <c r="AF823" s="115"/>
      <c r="AG823" s="115"/>
      <c r="AH823" s="115"/>
      <c r="AI823" s="115"/>
      <c r="AJ823" s="115"/>
      <c r="AK823" s="115"/>
      <c r="AL823" s="115"/>
      <c r="AM823" s="115"/>
      <c r="AN823" s="115"/>
      <c r="AO823" s="115"/>
      <c r="AP823" s="115"/>
      <c r="AQ823" s="115"/>
      <c r="AR823" s="115"/>
      <c r="AS823" s="17"/>
      <c r="AT823" s="13"/>
      <c r="AW823" s="114"/>
    </row>
    <row r="824" spans="1:49" x14ac:dyDescent="0.4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  <c r="AA824" s="115"/>
      <c r="AB824" s="122"/>
      <c r="AC824" s="122"/>
      <c r="AD824" s="122"/>
      <c r="AE824" s="115"/>
      <c r="AF824" s="115"/>
      <c r="AG824" s="115"/>
      <c r="AH824" s="115"/>
      <c r="AI824" s="115"/>
      <c r="AJ824" s="115"/>
      <c r="AK824" s="115"/>
      <c r="AL824" s="115"/>
      <c r="AM824" s="115"/>
      <c r="AN824" s="115"/>
      <c r="AO824" s="115"/>
      <c r="AP824" s="115"/>
      <c r="AQ824" s="115"/>
      <c r="AR824" s="115"/>
      <c r="AS824" s="26"/>
      <c r="AT824" s="13"/>
      <c r="AW824" s="114"/>
    </row>
    <row r="825" spans="1:49" x14ac:dyDescent="0.4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  <c r="AA825" s="115"/>
      <c r="AB825" s="122"/>
      <c r="AC825" s="122"/>
      <c r="AD825" s="122"/>
      <c r="AE825" s="115"/>
      <c r="AF825" s="115"/>
      <c r="AG825" s="115"/>
      <c r="AH825" s="115"/>
      <c r="AI825" s="115"/>
      <c r="AJ825" s="115"/>
      <c r="AK825" s="115"/>
      <c r="AL825" s="115"/>
      <c r="AM825" s="115"/>
      <c r="AN825" s="115"/>
      <c r="AO825" s="115"/>
      <c r="AP825" s="115"/>
      <c r="AQ825" s="115"/>
      <c r="AR825" s="115"/>
      <c r="AS825" s="17"/>
      <c r="AT825" s="13"/>
      <c r="AW825" s="114"/>
    </row>
    <row r="826" spans="1:49" x14ac:dyDescent="0.4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  <c r="AA826" s="115"/>
      <c r="AB826" s="122"/>
      <c r="AC826" s="122"/>
      <c r="AD826" s="122"/>
      <c r="AE826" s="115"/>
      <c r="AF826" s="115"/>
      <c r="AG826" s="115"/>
      <c r="AH826" s="115"/>
      <c r="AI826" s="115"/>
      <c r="AJ826" s="115"/>
      <c r="AK826" s="115"/>
      <c r="AL826" s="115"/>
      <c r="AM826" s="115"/>
      <c r="AN826" s="115"/>
      <c r="AO826" s="115"/>
      <c r="AP826" s="115"/>
      <c r="AQ826" s="115"/>
      <c r="AR826" s="115"/>
      <c r="AS826" s="26"/>
      <c r="AT826" s="13"/>
      <c r="AW826" s="114"/>
    </row>
    <row r="827" spans="1:49" x14ac:dyDescent="0.4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  <c r="AA827" s="115"/>
      <c r="AB827" s="122"/>
      <c r="AC827" s="122"/>
      <c r="AD827" s="122"/>
      <c r="AE827" s="115"/>
      <c r="AF827" s="115"/>
      <c r="AG827" s="115"/>
      <c r="AH827" s="115"/>
      <c r="AI827" s="115"/>
      <c r="AJ827" s="115"/>
      <c r="AK827" s="115"/>
      <c r="AL827" s="115"/>
      <c r="AM827" s="115"/>
      <c r="AN827" s="115"/>
      <c r="AO827" s="115"/>
      <c r="AP827" s="115"/>
      <c r="AQ827" s="115"/>
      <c r="AR827" s="115"/>
      <c r="AS827" s="26"/>
      <c r="AT827" s="13"/>
      <c r="AW827" s="114"/>
    </row>
    <row r="828" spans="1:49" x14ac:dyDescent="0.4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  <c r="AA828" s="115"/>
      <c r="AB828" s="122"/>
      <c r="AC828" s="122"/>
      <c r="AD828" s="122"/>
      <c r="AE828" s="115"/>
      <c r="AF828" s="115"/>
      <c r="AG828" s="115"/>
      <c r="AH828" s="115"/>
      <c r="AI828" s="115"/>
      <c r="AJ828" s="115"/>
      <c r="AK828" s="115"/>
      <c r="AL828" s="115"/>
      <c r="AM828" s="115"/>
      <c r="AN828" s="115"/>
      <c r="AO828" s="115"/>
      <c r="AP828" s="115"/>
      <c r="AQ828" s="115"/>
      <c r="AR828" s="115"/>
      <c r="AS828" s="26"/>
      <c r="AT828" s="13"/>
      <c r="AW828" s="114"/>
    </row>
    <row r="829" spans="1:49" x14ac:dyDescent="0.4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  <c r="AA829" s="115"/>
      <c r="AB829" s="122"/>
      <c r="AC829" s="122"/>
      <c r="AD829" s="122"/>
      <c r="AE829" s="115"/>
      <c r="AF829" s="115"/>
      <c r="AG829" s="115"/>
      <c r="AH829" s="115"/>
      <c r="AI829" s="115"/>
      <c r="AJ829" s="115"/>
      <c r="AK829" s="115"/>
      <c r="AL829" s="115"/>
      <c r="AM829" s="115"/>
      <c r="AN829" s="115"/>
      <c r="AO829" s="115"/>
      <c r="AP829" s="115"/>
      <c r="AQ829" s="115"/>
      <c r="AR829" s="115"/>
      <c r="AS829" s="26"/>
      <c r="AT829" s="15"/>
      <c r="AW829" s="114"/>
    </row>
    <row r="830" spans="1:49" x14ac:dyDescent="0.4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  <c r="AA830" s="115"/>
      <c r="AB830" s="122"/>
      <c r="AC830" s="122"/>
      <c r="AD830" s="122"/>
      <c r="AE830" s="115"/>
      <c r="AF830" s="115"/>
      <c r="AG830" s="115"/>
      <c r="AH830" s="115"/>
      <c r="AI830" s="115"/>
      <c r="AJ830" s="115"/>
      <c r="AK830" s="115"/>
      <c r="AL830" s="115"/>
      <c r="AM830" s="115"/>
      <c r="AN830" s="115"/>
      <c r="AO830" s="115"/>
      <c r="AP830" s="115"/>
      <c r="AQ830" s="115"/>
      <c r="AR830" s="115"/>
      <c r="AS830" s="26"/>
      <c r="AT830" s="15"/>
      <c r="AW830" s="114"/>
    </row>
    <row r="831" spans="1:49" x14ac:dyDescent="0.4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  <c r="AA831" s="115"/>
      <c r="AB831" s="122"/>
      <c r="AC831" s="122"/>
      <c r="AD831" s="122"/>
      <c r="AE831" s="115"/>
      <c r="AF831" s="115"/>
      <c r="AG831" s="115"/>
      <c r="AH831" s="115"/>
      <c r="AI831" s="115"/>
      <c r="AJ831" s="115"/>
      <c r="AK831" s="115"/>
      <c r="AL831" s="115"/>
      <c r="AM831" s="115"/>
      <c r="AN831" s="115"/>
      <c r="AO831" s="115"/>
      <c r="AP831" s="115"/>
      <c r="AQ831" s="115"/>
      <c r="AR831" s="115"/>
      <c r="AS831" s="26"/>
      <c r="AT831" s="15"/>
      <c r="AW831" s="114"/>
    </row>
    <row r="832" spans="1:49" x14ac:dyDescent="0.4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15"/>
      <c r="AB832" s="122"/>
      <c r="AC832" s="122"/>
      <c r="AD832" s="122"/>
      <c r="AE832" s="115"/>
      <c r="AF832" s="115"/>
      <c r="AG832" s="115"/>
      <c r="AH832" s="115"/>
      <c r="AI832" s="115"/>
      <c r="AJ832" s="115"/>
      <c r="AK832" s="115"/>
      <c r="AL832" s="115"/>
      <c r="AM832" s="115"/>
      <c r="AN832" s="115"/>
      <c r="AO832" s="115"/>
      <c r="AP832" s="115"/>
      <c r="AQ832" s="115"/>
      <c r="AR832" s="115"/>
      <c r="AS832" s="26"/>
      <c r="AT832" s="13"/>
      <c r="AW832" s="114"/>
    </row>
    <row r="833" spans="1:50" x14ac:dyDescent="0.4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  <c r="AA833" s="115"/>
      <c r="AB833" s="122"/>
      <c r="AC833" s="122"/>
      <c r="AD833" s="122"/>
      <c r="AE833" s="115"/>
      <c r="AF833" s="115"/>
      <c r="AG833" s="115"/>
      <c r="AH833" s="115"/>
      <c r="AI833" s="115"/>
      <c r="AJ833" s="115"/>
      <c r="AK833" s="115"/>
      <c r="AL833" s="115"/>
      <c r="AM833" s="115"/>
      <c r="AN833" s="115"/>
      <c r="AO833" s="115"/>
      <c r="AP833" s="115"/>
      <c r="AQ833" s="115"/>
      <c r="AR833" s="115"/>
      <c r="AS833" s="26"/>
      <c r="AT833" s="15"/>
      <c r="AW833" s="114"/>
    </row>
    <row r="834" spans="1:50" x14ac:dyDescent="0.4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  <c r="AA834" s="115"/>
      <c r="AB834" s="122"/>
      <c r="AC834" s="122"/>
      <c r="AD834" s="122"/>
      <c r="AE834" s="115"/>
      <c r="AF834" s="115"/>
      <c r="AG834" s="115"/>
      <c r="AH834" s="115"/>
      <c r="AI834" s="115"/>
      <c r="AJ834" s="115"/>
      <c r="AK834" s="115"/>
      <c r="AL834" s="115"/>
      <c r="AM834" s="115"/>
      <c r="AN834" s="115"/>
      <c r="AO834" s="115"/>
      <c r="AP834" s="115"/>
      <c r="AQ834" s="115"/>
      <c r="AR834" s="115"/>
      <c r="AS834" s="26"/>
      <c r="AT834" s="15"/>
      <c r="AW834" s="114"/>
      <c r="AX834" s="120"/>
    </row>
    <row r="835" spans="1:50" x14ac:dyDescent="0.4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  <c r="AA835" s="115"/>
      <c r="AB835" s="122"/>
      <c r="AC835" s="122"/>
      <c r="AD835" s="122"/>
      <c r="AE835" s="115"/>
      <c r="AF835" s="115"/>
      <c r="AG835" s="115"/>
      <c r="AH835" s="115"/>
      <c r="AI835" s="115"/>
      <c r="AJ835" s="115"/>
      <c r="AK835" s="115"/>
      <c r="AL835" s="115"/>
      <c r="AM835" s="115"/>
      <c r="AN835" s="115"/>
      <c r="AO835" s="115"/>
      <c r="AP835" s="115"/>
      <c r="AQ835" s="115"/>
      <c r="AR835" s="115"/>
      <c r="AS835" s="26"/>
      <c r="AT835" s="15"/>
      <c r="AW835" s="114"/>
      <c r="AX835" s="120"/>
    </row>
    <row r="836" spans="1:50" x14ac:dyDescent="0.4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  <c r="AA836" s="115"/>
      <c r="AB836" s="122"/>
      <c r="AC836" s="122"/>
      <c r="AD836" s="122"/>
      <c r="AE836" s="115"/>
      <c r="AF836" s="115"/>
      <c r="AG836" s="115"/>
      <c r="AH836" s="115"/>
      <c r="AI836" s="115"/>
      <c r="AJ836" s="115"/>
      <c r="AK836" s="115"/>
      <c r="AL836" s="115"/>
      <c r="AM836" s="115"/>
      <c r="AN836" s="115"/>
      <c r="AO836" s="115"/>
      <c r="AP836" s="115"/>
      <c r="AQ836" s="115"/>
      <c r="AR836" s="115"/>
      <c r="AS836" s="26"/>
      <c r="AT836" s="15"/>
      <c r="AW836" s="114"/>
      <c r="AX836" s="120"/>
    </row>
    <row r="837" spans="1:50" x14ac:dyDescent="0.4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  <c r="AA837" s="115"/>
      <c r="AB837" s="122"/>
      <c r="AC837" s="122"/>
      <c r="AD837" s="122"/>
      <c r="AE837" s="115"/>
      <c r="AF837" s="115"/>
      <c r="AG837" s="115"/>
      <c r="AH837" s="115"/>
      <c r="AI837" s="115"/>
      <c r="AJ837" s="115"/>
      <c r="AK837" s="115"/>
      <c r="AL837" s="115"/>
      <c r="AM837" s="115"/>
      <c r="AN837" s="115"/>
      <c r="AO837" s="115"/>
      <c r="AP837" s="115"/>
      <c r="AQ837" s="115"/>
      <c r="AR837" s="115"/>
      <c r="AS837" s="26"/>
      <c r="AT837" s="15"/>
      <c r="AW837" s="114"/>
      <c r="AX837" s="120"/>
    </row>
    <row r="838" spans="1:50" x14ac:dyDescent="0.4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  <c r="AA838" s="115"/>
      <c r="AB838" s="122"/>
      <c r="AC838" s="122"/>
      <c r="AD838" s="122"/>
      <c r="AE838" s="115"/>
      <c r="AF838" s="115"/>
      <c r="AG838" s="115"/>
      <c r="AH838" s="115"/>
      <c r="AI838" s="115"/>
      <c r="AJ838" s="115"/>
      <c r="AK838" s="115"/>
      <c r="AL838" s="115"/>
      <c r="AM838" s="115"/>
      <c r="AN838" s="115"/>
      <c r="AO838" s="115"/>
      <c r="AP838" s="115"/>
      <c r="AQ838" s="115"/>
      <c r="AR838" s="115"/>
      <c r="AS838" s="26"/>
      <c r="AT838" s="15"/>
      <c r="AW838" s="114"/>
      <c r="AX838" s="120"/>
    </row>
    <row r="839" spans="1:50" x14ac:dyDescent="0.4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  <c r="AA839" s="115"/>
      <c r="AB839" s="122"/>
      <c r="AC839" s="122"/>
      <c r="AD839" s="122"/>
      <c r="AE839" s="115"/>
      <c r="AF839" s="115"/>
      <c r="AG839" s="115"/>
      <c r="AH839" s="115"/>
      <c r="AI839" s="115"/>
      <c r="AJ839" s="115"/>
      <c r="AK839" s="115"/>
      <c r="AL839" s="115"/>
      <c r="AM839" s="115"/>
      <c r="AN839" s="115"/>
      <c r="AO839" s="115"/>
      <c r="AP839" s="115"/>
      <c r="AQ839" s="115"/>
      <c r="AR839" s="115"/>
      <c r="AS839" s="26"/>
      <c r="AT839" s="15"/>
      <c r="AW839" s="114"/>
      <c r="AX839" s="120"/>
    </row>
    <row r="840" spans="1:50" x14ac:dyDescent="0.4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  <c r="AA840" s="115"/>
      <c r="AB840" s="122"/>
      <c r="AC840" s="122"/>
      <c r="AD840" s="122"/>
      <c r="AE840" s="115"/>
      <c r="AF840" s="115"/>
      <c r="AG840" s="115"/>
      <c r="AH840" s="115"/>
      <c r="AI840" s="115"/>
      <c r="AJ840" s="115"/>
      <c r="AK840" s="115"/>
      <c r="AL840" s="115"/>
      <c r="AM840" s="115"/>
      <c r="AN840" s="115"/>
      <c r="AO840" s="115"/>
      <c r="AP840" s="115"/>
      <c r="AQ840" s="115"/>
      <c r="AR840" s="115"/>
      <c r="AS840" s="26"/>
      <c r="AT840" s="15"/>
      <c r="AW840" s="114"/>
      <c r="AX840" s="120"/>
    </row>
    <row r="841" spans="1:50" x14ac:dyDescent="0.4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  <c r="AA841" s="115"/>
      <c r="AB841" s="122"/>
      <c r="AC841" s="122"/>
      <c r="AD841" s="122"/>
      <c r="AE841" s="115"/>
      <c r="AF841" s="115"/>
      <c r="AG841" s="115"/>
      <c r="AH841" s="115"/>
      <c r="AI841" s="115"/>
      <c r="AJ841" s="115"/>
      <c r="AK841" s="115"/>
      <c r="AL841" s="115"/>
      <c r="AM841" s="115"/>
      <c r="AN841" s="115"/>
      <c r="AO841" s="115"/>
      <c r="AP841" s="115"/>
      <c r="AQ841" s="115"/>
      <c r="AR841" s="115"/>
      <c r="AS841" s="17"/>
      <c r="AT841" s="15"/>
      <c r="AW841" s="114"/>
      <c r="AX841" s="120"/>
    </row>
    <row r="842" spans="1:50" x14ac:dyDescent="0.4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  <c r="AA842" s="115"/>
      <c r="AB842" s="122"/>
      <c r="AC842" s="122"/>
      <c r="AD842" s="122"/>
      <c r="AE842" s="115"/>
      <c r="AF842" s="115"/>
      <c r="AG842" s="115"/>
      <c r="AH842" s="115"/>
      <c r="AI842" s="115"/>
      <c r="AJ842" s="115"/>
      <c r="AK842" s="115"/>
      <c r="AL842" s="115"/>
      <c r="AM842" s="115"/>
      <c r="AN842" s="115"/>
      <c r="AO842" s="115"/>
      <c r="AP842" s="115"/>
      <c r="AQ842" s="115"/>
      <c r="AR842" s="115"/>
      <c r="AS842" s="26"/>
      <c r="AT842" s="15"/>
      <c r="AW842" s="114"/>
      <c r="AX842" s="120"/>
    </row>
    <row r="843" spans="1:50" x14ac:dyDescent="0.4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  <c r="AA843" s="115"/>
      <c r="AB843" s="122"/>
      <c r="AC843" s="122"/>
      <c r="AD843" s="122"/>
      <c r="AE843" s="115"/>
      <c r="AF843" s="115"/>
      <c r="AG843" s="115"/>
      <c r="AH843" s="115"/>
      <c r="AI843" s="115"/>
      <c r="AJ843" s="115"/>
      <c r="AK843" s="115"/>
      <c r="AL843" s="115"/>
      <c r="AM843" s="115"/>
      <c r="AN843" s="115"/>
      <c r="AO843" s="115"/>
      <c r="AP843" s="115"/>
      <c r="AQ843" s="115"/>
      <c r="AR843" s="115"/>
      <c r="AS843" s="26"/>
      <c r="AT843" s="15"/>
      <c r="AW843" s="114"/>
    </row>
    <row r="844" spans="1:50" x14ac:dyDescent="0.4">
      <c r="AS844" s="26"/>
      <c r="AT844" s="15"/>
      <c r="AW844" s="114"/>
    </row>
    <row r="845" spans="1:50" x14ac:dyDescent="0.4">
      <c r="AF845" s="115"/>
      <c r="AG845" s="115"/>
      <c r="AH845" s="115"/>
      <c r="AI845" s="115"/>
      <c r="AJ845" s="115"/>
      <c r="AK845" s="115"/>
      <c r="AL845" s="115"/>
      <c r="AM845" s="115"/>
      <c r="AN845" s="115"/>
      <c r="AO845" s="115"/>
      <c r="AP845" s="115"/>
      <c r="AQ845" s="115"/>
      <c r="AR845" s="115"/>
      <c r="AS845" s="17"/>
      <c r="AT845" s="15"/>
      <c r="AW845" s="114"/>
    </row>
    <row r="846" spans="1:50" x14ac:dyDescent="0.4">
      <c r="AF846" s="115"/>
      <c r="AG846" s="115"/>
      <c r="AH846" s="115"/>
      <c r="AI846" s="115"/>
      <c r="AJ846" s="115"/>
      <c r="AK846" s="115"/>
      <c r="AL846" s="115"/>
      <c r="AM846" s="115"/>
      <c r="AN846" s="115"/>
      <c r="AO846" s="115"/>
      <c r="AP846" s="115"/>
      <c r="AQ846" s="115"/>
      <c r="AR846" s="115"/>
      <c r="AS846" s="17"/>
      <c r="AT846" s="15"/>
      <c r="AW846" s="114"/>
    </row>
    <row r="847" spans="1:50" x14ac:dyDescent="0.4">
      <c r="AD847" s="122"/>
      <c r="AE847" s="115"/>
      <c r="AF847" s="115"/>
      <c r="AG847" s="115"/>
      <c r="AH847" s="115"/>
      <c r="AI847" s="115"/>
      <c r="AJ847" s="115"/>
      <c r="AK847" s="115"/>
      <c r="AL847" s="115"/>
      <c r="AM847" s="115"/>
      <c r="AN847" s="115"/>
      <c r="AO847" s="115"/>
      <c r="AP847" s="115"/>
      <c r="AQ847" s="115"/>
      <c r="AR847" s="115"/>
      <c r="AS847" s="17"/>
      <c r="AT847" s="15"/>
      <c r="AW847" s="114"/>
    </row>
    <row r="848" spans="1:50" x14ac:dyDescent="0.4">
      <c r="Y848" s="115"/>
      <c r="Z848" s="115"/>
      <c r="AA848" s="115"/>
      <c r="AB848" s="122"/>
      <c r="AC848" s="122"/>
      <c r="AD848" s="122"/>
      <c r="AE848" s="115"/>
      <c r="AF848" s="115"/>
      <c r="AG848" s="115"/>
      <c r="AH848" s="115"/>
      <c r="AI848" s="115"/>
      <c r="AJ848" s="115"/>
      <c r="AK848" s="115"/>
      <c r="AL848" s="115"/>
      <c r="AM848" s="115"/>
      <c r="AN848" s="115"/>
      <c r="AO848" s="115"/>
      <c r="AP848" s="115"/>
      <c r="AQ848" s="115"/>
      <c r="AR848" s="115"/>
      <c r="AS848" s="26"/>
      <c r="AT848" s="15"/>
      <c r="AW848" s="114"/>
    </row>
    <row r="849" spans="4:53" x14ac:dyDescent="0.4">
      <c r="Y849" s="115"/>
      <c r="Z849" s="115"/>
      <c r="AA849" s="115"/>
      <c r="AB849" s="122"/>
      <c r="AC849" s="122"/>
      <c r="AD849" s="122"/>
      <c r="AE849" s="115"/>
      <c r="AF849" s="115"/>
      <c r="AG849" s="115"/>
      <c r="AH849" s="115"/>
      <c r="AI849" s="115"/>
      <c r="AJ849" s="115"/>
      <c r="AK849" s="115"/>
      <c r="AL849" s="115"/>
      <c r="AM849" s="115"/>
      <c r="AN849" s="115"/>
      <c r="AO849" s="115"/>
      <c r="AP849" s="115"/>
      <c r="AQ849" s="115"/>
      <c r="AR849" s="115"/>
      <c r="AS849" s="17"/>
      <c r="AT849" s="15"/>
      <c r="AW849" s="114"/>
    </row>
    <row r="850" spans="4:53" x14ac:dyDescent="0.4">
      <c r="X850" s="115"/>
      <c r="Y850" s="115"/>
      <c r="Z850" s="115"/>
      <c r="AA850" s="115"/>
      <c r="AB850" s="122"/>
      <c r="AC850" s="122"/>
      <c r="AD850" s="122"/>
      <c r="AE850" s="115"/>
      <c r="AF850" s="115"/>
      <c r="AG850" s="115"/>
      <c r="AH850" s="115"/>
      <c r="AI850" s="115"/>
      <c r="AJ850" s="115"/>
      <c r="AK850" s="115"/>
      <c r="AL850" s="115"/>
      <c r="AM850" s="115"/>
      <c r="AN850" s="115"/>
      <c r="AO850" s="115"/>
      <c r="AP850" s="115"/>
      <c r="AQ850" s="115"/>
      <c r="AR850" s="115"/>
      <c r="AS850" s="26"/>
      <c r="AT850" s="15"/>
      <c r="AW850" s="114"/>
    </row>
    <row r="851" spans="4:53" x14ac:dyDescent="0.4">
      <c r="X851" s="115"/>
      <c r="Y851" s="115"/>
      <c r="Z851" s="115"/>
      <c r="AA851" s="115"/>
      <c r="AB851" s="122"/>
      <c r="AC851" s="122"/>
      <c r="AD851" s="122"/>
      <c r="AE851" s="115"/>
      <c r="AF851" s="115"/>
      <c r="AG851" s="115"/>
      <c r="AH851" s="115"/>
      <c r="AI851" s="115"/>
      <c r="AJ851" s="115"/>
      <c r="AK851" s="115"/>
      <c r="AL851" s="115"/>
      <c r="AM851" s="115"/>
      <c r="AN851" s="115"/>
      <c r="AO851" s="115"/>
      <c r="AP851" s="115"/>
      <c r="AQ851" s="115"/>
      <c r="AR851" s="115"/>
      <c r="AS851" s="17"/>
      <c r="AT851" s="15"/>
      <c r="AW851" s="114"/>
    </row>
    <row r="852" spans="4:53" x14ac:dyDescent="0.4">
      <c r="X852" s="115"/>
      <c r="Y852" s="115"/>
      <c r="Z852" s="115"/>
      <c r="AA852" s="115"/>
      <c r="AB852" s="122"/>
      <c r="AC852" s="122"/>
      <c r="AD852" s="122"/>
      <c r="AE852" s="115"/>
      <c r="AF852" s="115"/>
      <c r="AG852" s="115"/>
      <c r="AH852" s="115"/>
      <c r="AI852" s="115"/>
      <c r="AJ852" s="115"/>
      <c r="AK852" s="115"/>
      <c r="AL852" s="115"/>
      <c r="AM852" s="115"/>
      <c r="AN852" s="115"/>
      <c r="AO852" s="115"/>
      <c r="AP852" s="115"/>
      <c r="AQ852" s="115"/>
      <c r="AR852" s="115"/>
      <c r="AS852" s="17"/>
      <c r="AT852" s="15"/>
      <c r="AW852" s="114"/>
    </row>
    <row r="853" spans="4:53" x14ac:dyDescent="0.4">
      <c r="X853" s="115"/>
      <c r="Y853" s="115"/>
      <c r="Z853" s="115"/>
      <c r="AA853" s="115"/>
      <c r="AB853" s="122"/>
      <c r="AC853" s="122"/>
      <c r="AD853" s="122"/>
      <c r="AE853" s="115"/>
      <c r="AF853" s="115"/>
      <c r="AG853" s="115"/>
      <c r="AH853" s="115"/>
      <c r="AI853" s="115"/>
      <c r="AJ853" s="115"/>
      <c r="AK853" s="115"/>
      <c r="AL853" s="115"/>
      <c r="AM853" s="115"/>
      <c r="AN853" s="115"/>
      <c r="AO853" s="115"/>
      <c r="AP853" s="115"/>
      <c r="AQ853" s="115"/>
      <c r="AR853" s="115"/>
      <c r="AS853" s="17"/>
      <c r="AT853" s="15"/>
      <c r="AW853" s="114"/>
    </row>
    <row r="854" spans="4:53" x14ac:dyDescent="0.4">
      <c r="X854" s="115"/>
      <c r="Y854" s="115"/>
      <c r="Z854" s="115"/>
      <c r="AA854" s="115"/>
      <c r="AB854" s="122"/>
      <c r="AC854" s="122"/>
      <c r="AD854" s="122"/>
      <c r="AE854" s="115"/>
      <c r="AF854" s="115"/>
      <c r="AG854" s="115"/>
      <c r="AH854" s="115"/>
      <c r="AI854" s="115"/>
      <c r="AJ854" s="115"/>
      <c r="AK854" s="115"/>
      <c r="AL854" s="115"/>
      <c r="AM854" s="115"/>
      <c r="AN854" s="115"/>
      <c r="AO854" s="115"/>
      <c r="AP854" s="115"/>
      <c r="AQ854" s="115"/>
      <c r="AR854" s="115"/>
      <c r="AS854" s="26"/>
      <c r="AT854" s="15"/>
      <c r="AW854" s="114"/>
    </row>
    <row r="855" spans="4:53" x14ac:dyDescent="0.4">
      <c r="X855" s="115"/>
      <c r="Y855" s="115"/>
      <c r="Z855" s="115"/>
      <c r="AA855" s="115"/>
      <c r="AB855" s="122"/>
      <c r="AC855" s="122"/>
      <c r="AD855" s="122"/>
      <c r="AE855" s="115"/>
      <c r="AF855" s="115"/>
      <c r="AG855" s="115"/>
      <c r="AH855" s="115"/>
      <c r="AI855" s="115"/>
      <c r="AJ855" s="115"/>
      <c r="AK855" s="115"/>
      <c r="AL855" s="115"/>
      <c r="AM855" s="115"/>
      <c r="AN855" s="115"/>
      <c r="AO855" s="115"/>
      <c r="AP855" s="115"/>
      <c r="AQ855" s="115"/>
      <c r="AR855" s="115"/>
      <c r="AS855" s="17"/>
      <c r="AT855" s="15"/>
      <c r="AW855" s="114"/>
    </row>
    <row r="856" spans="4:53" ht="19.5" x14ac:dyDescent="0.4">
      <c r="AS856" s="26"/>
      <c r="AT856" s="15"/>
      <c r="AX856" s="116"/>
      <c r="AY856" s="116"/>
      <c r="AZ856" s="116"/>
      <c r="BA856" s="116"/>
    </row>
    <row r="857" spans="4:53" ht="19.5" x14ac:dyDescent="0.4">
      <c r="AC857" s="122"/>
      <c r="AD857" s="122"/>
      <c r="AE857" s="115"/>
      <c r="AF857" s="115"/>
      <c r="AG857" s="115"/>
      <c r="AH857" s="115"/>
      <c r="AI857" s="115"/>
      <c r="AJ857" s="115"/>
      <c r="AK857" s="115"/>
      <c r="AL857" s="115"/>
      <c r="AM857" s="115"/>
      <c r="AN857" s="115"/>
      <c r="AO857" s="115"/>
      <c r="AP857" s="115"/>
      <c r="AQ857" s="115"/>
      <c r="AR857" s="115"/>
      <c r="AS857" s="17"/>
      <c r="AT857" s="15"/>
      <c r="AX857" s="117"/>
      <c r="AY857" s="116"/>
      <c r="AZ857" s="116"/>
      <c r="BA857" s="116"/>
    </row>
    <row r="858" spans="4:53" ht="19.5" x14ac:dyDescent="0.4">
      <c r="U858" s="115"/>
      <c r="V858" s="115"/>
      <c r="W858" s="115"/>
      <c r="X858" s="115"/>
      <c r="Y858" s="115"/>
      <c r="Z858" s="115"/>
      <c r="AA858" s="115"/>
      <c r="AB858" s="122"/>
      <c r="AC858" s="122"/>
      <c r="AD858" s="122"/>
      <c r="AE858" s="115"/>
      <c r="AF858" s="115"/>
      <c r="AG858" s="115"/>
      <c r="AH858" s="115"/>
      <c r="AI858" s="115"/>
      <c r="AJ858" s="115"/>
      <c r="AK858" s="115"/>
      <c r="AL858" s="115"/>
      <c r="AM858" s="115"/>
      <c r="AN858" s="115"/>
      <c r="AO858" s="115"/>
      <c r="AP858" s="115"/>
      <c r="AQ858" s="115"/>
      <c r="AR858" s="115"/>
      <c r="AS858" s="26"/>
      <c r="AT858" s="15"/>
      <c r="AX858" s="117"/>
      <c r="AY858" s="116"/>
      <c r="AZ858" s="116"/>
      <c r="BA858" s="116"/>
    </row>
    <row r="859" spans="4:53" ht="19.5" x14ac:dyDescent="0.4"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  <c r="AA859" s="115"/>
      <c r="AB859" s="122"/>
      <c r="AC859" s="122"/>
      <c r="AD859" s="122"/>
      <c r="AE859" s="115"/>
      <c r="AF859" s="115"/>
      <c r="AG859" s="115"/>
      <c r="AH859" s="115"/>
      <c r="AI859" s="115"/>
      <c r="AJ859" s="115"/>
      <c r="AK859" s="115"/>
      <c r="AL859" s="115"/>
      <c r="AM859" s="115"/>
      <c r="AN859" s="115"/>
      <c r="AO859" s="115"/>
      <c r="AP859" s="115"/>
      <c r="AQ859" s="115"/>
      <c r="AR859" s="115"/>
      <c r="AS859" s="26"/>
      <c r="AT859" s="13"/>
      <c r="AX859" s="117"/>
      <c r="AY859" s="116"/>
      <c r="AZ859" s="116"/>
      <c r="BA859" s="116"/>
    </row>
    <row r="860" spans="4:53" ht="19.5" x14ac:dyDescent="0.4"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  <c r="AA860" s="115"/>
      <c r="AB860" s="122"/>
      <c r="AC860" s="122"/>
      <c r="AD860" s="122"/>
      <c r="AE860" s="115"/>
      <c r="AF860" s="115"/>
      <c r="AG860" s="115"/>
      <c r="AH860" s="115"/>
      <c r="AI860" s="115"/>
      <c r="AJ860" s="115"/>
      <c r="AK860" s="115"/>
      <c r="AL860" s="115"/>
      <c r="AM860" s="115"/>
      <c r="AN860" s="115"/>
      <c r="AO860" s="115"/>
      <c r="AP860" s="115"/>
      <c r="AQ860" s="115"/>
      <c r="AR860" s="115"/>
      <c r="AS860" s="26"/>
      <c r="AT860" s="15"/>
      <c r="AX860" s="117"/>
      <c r="AY860" s="116"/>
      <c r="AZ860" s="116"/>
      <c r="BA860" s="116"/>
    </row>
    <row r="861" spans="4:53" ht="19.5" x14ac:dyDescent="0.4"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  <c r="AA861" s="115"/>
      <c r="AB861" s="122"/>
      <c r="AC861" s="122"/>
      <c r="AD861" s="122"/>
      <c r="AE861" s="115"/>
      <c r="AF861" s="115"/>
      <c r="AG861" s="115"/>
      <c r="AH861" s="115"/>
      <c r="AI861" s="115"/>
      <c r="AJ861" s="115"/>
      <c r="AK861" s="115"/>
      <c r="AL861" s="115"/>
      <c r="AM861" s="115"/>
      <c r="AN861" s="115"/>
      <c r="AO861" s="115"/>
      <c r="AP861" s="115"/>
      <c r="AQ861" s="115"/>
      <c r="AR861" s="115"/>
      <c r="AS861" s="17"/>
      <c r="AT861" s="15"/>
      <c r="AX861" s="117"/>
      <c r="AY861" s="116"/>
      <c r="AZ861" s="116"/>
      <c r="BA861" s="116"/>
    </row>
    <row r="862" spans="4:53" ht="19.5" x14ac:dyDescent="0.4"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  <c r="AA862" s="115"/>
      <c r="AB862" s="122"/>
      <c r="AC862" s="122"/>
      <c r="AD862" s="122"/>
      <c r="AE862" s="115"/>
      <c r="AF862" s="115"/>
      <c r="AG862" s="115"/>
      <c r="AH862" s="115"/>
      <c r="AI862" s="115"/>
      <c r="AJ862" s="115"/>
      <c r="AK862" s="115"/>
      <c r="AL862" s="115"/>
      <c r="AM862" s="115"/>
      <c r="AN862" s="115"/>
      <c r="AO862" s="115"/>
      <c r="AP862" s="115"/>
      <c r="AQ862" s="115"/>
      <c r="AR862" s="115"/>
      <c r="AS862" s="26"/>
      <c r="AT862" s="15"/>
      <c r="AX862" s="117"/>
      <c r="AY862" s="116"/>
      <c r="AZ862" s="116"/>
      <c r="BA862" s="116"/>
    </row>
    <row r="863" spans="4:53" ht="19.5" x14ac:dyDescent="0.4"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  <c r="AA863" s="115"/>
      <c r="AB863" s="122"/>
      <c r="AC863" s="122"/>
      <c r="AD863" s="122"/>
      <c r="AE863" s="115"/>
      <c r="AF863" s="115"/>
      <c r="AG863" s="115"/>
      <c r="AH863" s="115"/>
      <c r="AI863" s="115"/>
      <c r="AJ863" s="115"/>
      <c r="AK863" s="115"/>
      <c r="AL863" s="115"/>
      <c r="AM863" s="115"/>
      <c r="AN863" s="115"/>
      <c r="AO863" s="115"/>
      <c r="AP863" s="115"/>
      <c r="AQ863" s="115"/>
      <c r="AR863" s="115"/>
      <c r="AS863" s="26"/>
      <c r="AT863" s="15"/>
      <c r="AX863" s="117"/>
      <c r="AY863" s="116"/>
      <c r="AZ863" s="116"/>
      <c r="BA863" s="116"/>
    </row>
    <row r="864" spans="4:53" ht="19.5" x14ac:dyDescent="0.4"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  <c r="AA864" s="115"/>
      <c r="AB864" s="122"/>
      <c r="AC864" s="122"/>
      <c r="AD864" s="122"/>
      <c r="AE864" s="115"/>
      <c r="AF864" s="115"/>
      <c r="AG864" s="115"/>
      <c r="AH864" s="115"/>
      <c r="AI864" s="115"/>
      <c r="AJ864" s="115"/>
      <c r="AK864" s="115"/>
      <c r="AL864" s="115"/>
      <c r="AM864" s="115"/>
      <c r="AN864" s="115"/>
      <c r="AO864" s="115"/>
      <c r="AP864" s="115"/>
      <c r="AQ864" s="115"/>
      <c r="AR864" s="115"/>
      <c r="AS864" s="17"/>
      <c r="AT864" s="15"/>
      <c r="AX864" s="117"/>
      <c r="AY864" s="116"/>
      <c r="AZ864" s="116"/>
      <c r="BA864" s="116"/>
    </row>
    <row r="865" spans="1:53" ht="19.5" x14ac:dyDescent="0.4"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  <c r="AA865" s="115"/>
      <c r="AB865" s="122"/>
      <c r="AC865" s="122"/>
      <c r="AD865" s="122"/>
      <c r="AE865" s="115"/>
      <c r="AF865" s="115"/>
      <c r="AG865" s="115"/>
      <c r="AH865" s="115"/>
      <c r="AI865" s="115"/>
      <c r="AJ865" s="115"/>
      <c r="AK865" s="115"/>
      <c r="AL865" s="115"/>
      <c r="AM865" s="115"/>
      <c r="AN865" s="115"/>
      <c r="AO865" s="115"/>
      <c r="AP865" s="115"/>
      <c r="AQ865" s="115"/>
      <c r="AR865" s="115"/>
      <c r="AS865" s="26"/>
      <c r="AT865" s="15"/>
      <c r="AX865" s="117"/>
      <c r="AY865" s="116"/>
      <c r="AZ865" s="116"/>
      <c r="BA865" s="116"/>
    </row>
    <row r="866" spans="1:53" ht="19.5" x14ac:dyDescent="0.4">
      <c r="AS866" s="26"/>
      <c r="AT866" s="15"/>
      <c r="AX866" s="117"/>
      <c r="AY866" s="116"/>
      <c r="AZ866" s="116"/>
      <c r="BA866" s="116"/>
    </row>
    <row r="867" spans="1:53" ht="19.5" x14ac:dyDescent="0.4">
      <c r="AC867" s="122"/>
      <c r="AD867" s="122"/>
      <c r="AE867" s="115"/>
      <c r="AF867" s="115"/>
      <c r="AG867" s="115"/>
      <c r="AH867" s="115"/>
      <c r="AI867" s="115"/>
      <c r="AJ867" s="115"/>
      <c r="AK867" s="115"/>
      <c r="AL867" s="115"/>
      <c r="AM867" s="115"/>
      <c r="AN867" s="115"/>
      <c r="AO867" s="115"/>
      <c r="AP867" s="115"/>
      <c r="AQ867" s="115"/>
      <c r="AR867" s="115"/>
      <c r="AS867" s="17"/>
      <c r="AT867" s="15"/>
      <c r="AX867" s="117"/>
      <c r="AY867" s="116"/>
      <c r="AZ867" s="116"/>
      <c r="BA867" s="116"/>
    </row>
    <row r="868" spans="1:53" ht="19.5" x14ac:dyDescent="0.4">
      <c r="Z868" s="115"/>
      <c r="AA868" s="115"/>
      <c r="AB868" s="122"/>
      <c r="AC868" s="122"/>
      <c r="AD868" s="122"/>
      <c r="AE868" s="115"/>
      <c r="AF868" s="115"/>
      <c r="AG868" s="115"/>
      <c r="AH868" s="115"/>
      <c r="AI868" s="115"/>
      <c r="AJ868" s="115"/>
      <c r="AK868" s="115"/>
      <c r="AL868" s="115"/>
      <c r="AM868" s="115"/>
      <c r="AN868" s="115"/>
      <c r="AO868" s="115"/>
      <c r="AP868" s="115"/>
      <c r="AQ868" s="115"/>
      <c r="AR868" s="115"/>
      <c r="AS868" s="26"/>
      <c r="AT868" s="15"/>
      <c r="AX868" s="117"/>
      <c r="AY868" s="116"/>
      <c r="AZ868" s="116"/>
      <c r="BA868" s="116"/>
    </row>
    <row r="869" spans="1:53" ht="19.5" x14ac:dyDescent="0.4">
      <c r="Z869" s="115"/>
      <c r="AA869" s="115"/>
      <c r="AB869" s="122"/>
      <c r="AC869" s="122"/>
      <c r="AD869" s="122"/>
      <c r="AE869" s="115"/>
      <c r="AF869" s="115"/>
      <c r="AG869" s="115"/>
      <c r="AH869" s="115"/>
      <c r="AI869" s="115"/>
      <c r="AJ869" s="115"/>
      <c r="AK869" s="115"/>
      <c r="AL869" s="115"/>
      <c r="AM869" s="115"/>
      <c r="AN869" s="115"/>
      <c r="AO869" s="115"/>
      <c r="AP869" s="115"/>
      <c r="AQ869" s="115"/>
      <c r="AR869" s="115"/>
      <c r="AS869" s="17"/>
      <c r="AT869" s="15"/>
      <c r="AX869" s="117"/>
      <c r="AY869" s="116"/>
      <c r="AZ869" s="116"/>
      <c r="BA869" s="116"/>
    </row>
    <row r="870" spans="1:53" ht="19.5" x14ac:dyDescent="0.4">
      <c r="Y870" s="115"/>
      <c r="Z870" s="115"/>
      <c r="AA870" s="115"/>
      <c r="AB870" s="122"/>
      <c r="AC870" s="122"/>
      <c r="AD870" s="122"/>
      <c r="AE870" s="115"/>
      <c r="AF870" s="115"/>
      <c r="AG870" s="115"/>
      <c r="AH870" s="115"/>
      <c r="AI870" s="115"/>
      <c r="AJ870" s="115"/>
      <c r="AK870" s="115"/>
      <c r="AL870" s="115"/>
      <c r="AM870" s="115"/>
      <c r="AN870" s="115"/>
      <c r="AO870" s="115"/>
      <c r="AP870" s="115"/>
      <c r="AQ870" s="115"/>
      <c r="AR870" s="115"/>
      <c r="AS870" s="26"/>
      <c r="AT870" s="15"/>
      <c r="AX870" s="117"/>
      <c r="AY870" s="116"/>
      <c r="AZ870" s="116"/>
      <c r="BA870" s="116"/>
    </row>
    <row r="871" spans="1:53" ht="19.5" x14ac:dyDescent="0.4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  <c r="AA871" s="115"/>
      <c r="AB871" s="122"/>
      <c r="AC871" s="122"/>
      <c r="AD871" s="122"/>
      <c r="AE871" s="115"/>
      <c r="AF871" s="115"/>
      <c r="AG871" s="115"/>
      <c r="AH871" s="115"/>
      <c r="AI871" s="115"/>
      <c r="AJ871" s="115"/>
      <c r="AK871" s="115"/>
      <c r="AL871" s="115"/>
      <c r="AM871" s="115"/>
      <c r="AN871" s="115"/>
      <c r="AO871" s="115"/>
      <c r="AP871" s="115"/>
      <c r="AQ871" s="115"/>
      <c r="AR871" s="115"/>
      <c r="AS871" s="26"/>
      <c r="AT871" s="15"/>
      <c r="AX871" s="117"/>
      <c r="AY871" s="116"/>
      <c r="AZ871" s="116"/>
      <c r="BA871" s="116"/>
    </row>
    <row r="872" spans="1:53" ht="19.5" x14ac:dyDescent="0.4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  <c r="AA872" s="115"/>
      <c r="AB872" s="122"/>
      <c r="AC872" s="122"/>
      <c r="AD872" s="122"/>
      <c r="AE872" s="115"/>
      <c r="AF872" s="115"/>
      <c r="AG872" s="115"/>
      <c r="AH872" s="115"/>
      <c r="AI872" s="115"/>
      <c r="AJ872" s="115"/>
      <c r="AK872" s="115"/>
      <c r="AL872" s="115"/>
      <c r="AM872" s="115"/>
      <c r="AN872" s="115"/>
      <c r="AO872" s="115"/>
      <c r="AP872" s="115"/>
      <c r="AQ872" s="115"/>
      <c r="AR872" s="115"/>
      <c r="AS872" s="26"/>
      <c r="AT872" s="15"/>
      <c r="AX872" s="117"/>
      <c r="AY872" s="116"/>
      <c r="AZ872" s="116"/>
      <c r="BA872" s="116"/>
    </row>
    <row r="873" spans="1:53" ht="19.5" x14ac:dyDescent="0.4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  <c r="AA873" s="115"/>
      <c r="AB873" s="122"/>
      <c r="AC873" s="122"/>
      <c r="AD873" s="122"/>
      <c r="AE873" s="115"/>
      <c r="AF873" s="115"/>
      <c r="AG873" s="115"/>
      <c r="AH873" s="115"/>
      <c r="AI873" s="115"/>
      <c r="AJ873" s="115"/>
      <c r="AK873" s="115"/>
      <c r="AL873" s="115"/>
      <c r="AM873" s="115"/>
      <c r="AN873" s="115"/>
      <c r="AO873" s="115"/>
      <c r="AP873" s="115"/>
      <c r="AQ873" s="115"/>
      <c r="AR873" s="115"/>
      <c r="AS873" s="26"/>
      <c r="AT873" s="15"/>
      <c r="AX873" s="117"/>
      <c r="AY873" s="116"/>
      <c r="AZ873" s="116"/>
      <c r="BA873" s="116"/>
    </row>
    <row r="874" spans="1:53" ht="19.5" x14ac:dyDescent="0.4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  <c r="AA874" s="115"/>
      <c r="AB874" s="122"/>
      <c r="AC874" s="122"/>
      <c r="AD874" s="122"/>
      <c r="AE874" s="115"/>
      <c r="AF874" s="115"/>
      <c r="AG874" s="115"/>
      <c r="AH874" s="115"/>
      <c r="AI874" s="115"/>
      <c r="AJ874" s="115"/>
      <c r="AK874" s="115"/>
      <c r="AL874" s="115"/>
      <c r="AM874" s="115"/>
      <c r="AN874" s="115"/>
      <c r="AO874" s="115"/>
      <c r="AP874" s="115"/>
      <c r="AQ874" s="115"/>
      <c r="AR874" s="115"/>
      <c r="AS874" s="26"/>
      <c r="AT874" s="105"/>
      <c r="AX874" s="117"/>
      <c r="AY874" s="116"/>
      <c r="AZ874" s="116"/>
      <c r="BA874" s="116"/>
    </row>
    <row r="875" spans="1:53" ht="19.5" x14ac:dyDescent="0.4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  <c r="AA875" s="115"/>
      <c r="AB875" s="122"/>
      <c r="AC875" s="122"/>
      <c r="AD875" s="122"/>
      <c r="AE875" s="115"/>
      <c r="AF875" s="115"/>
      <c r="AG875" s="115"/>
      <c r="AH875" s="115"/>
      <c r="AI875" s="115"/>
      <c r="AJ875" s="115"/>
      <c r="AK875" s="115"/>
      <c r="AL875" s="115"/>
      <c r="AM875" s="115"/>
      <c r="AN875" s="115"/>
      <c r="AO875" s="115"/>
      <c r="AP875" s="115"/>
      <c r="AQ875" s="115"/>
      <c r="AR875" s="115"/>
      <c r="AS875" s="26"/>
      <c r="AT875" s="105"/>
      <c r="AX875" s="117"/>
      <c r="AY875" s="116"/>
      <c r="AZ875" s="116"/>
      <c r="BA875" s="116"/>
    </row>
    <row r="876" spans="1:53" ht="19.5" x14ac:dyDescent="0.4">
      <c r="AS876" s="26"/>
      <c r="AT876" s="13"/>
      <c r="AX876" s="117"/>
      <c r="AY876" s="116"/>
      <c r="AZ876" s="116"/>
      <c r="BA876" s="116"/>
    </row>
    <row r="877" spans="1:53" ht="19.5" x14ac:dyDescent="0.4">
      <c r="Z877" s="115"/>
      <c r="AA877" s="115"/>
      <c r="AB877" s="122"/>
      <c r="AC877" s="122"/>
      <c r="AD877" s="122"/>
      <c r="AE877" s="115"/>
      <c r="AF877" s="115"/>
      <c r="AG877" s="115"/>
      <c r="AH877" s="115"/>
      <c r="AI877" s="115"/>
      <c r="AJ877" s="115"/>
      <c r="AK877" s="115"/>
      <c r="AL877" s="115"/>
      <c r="AM877" s="115"/>
      <c r="AN877" s="115"/>
      <c r="AO877" s="115"/>
      <c r="AP877" s="115"/>
      <c r="AQ877" s="115"/>
      <c r="AR877" s="115"/>
      <c r="AS877" s="26"/>
      <c r="AT877" s="13"/>
      <c r="AX877" s="117"/>
      <c r="AY877" s="116"/>
      <c r="AZ877" s="116"/>
      <c r="BA877" s="116"/>
    </row>
    <row r="878" spans="1:53" ht="19.5" x14ac:dyDescent="0.4">
      <c r="U878" s="115"/>
      <c r="V878" s="115"/>
      <c r="W878" s="115"/>
      <c r="X878" s="115"/>
      <c r="Y878" s="115"/>
      <c r="Z878" s="115"/>
      <c r="AA878" s="115"/>
      <c r="AB878" s="122"/>
      <c r="AC878" s="122"/>
      <c r="AD878" s="122"/>
      <c r="AE878" s="115"/>
      <c r="AF878" s="115"/>
      <c r="AG878" s="115"/>
      <c r="AH878" s="115"/>
      <c r="AI878" s="115"/>
      <c r="AJ878" s="115"/>
      <c r="AK878" s="115"/>
      <c r="AL878" s="115"/>
      <c r="AM878" s="115"/>
      <c r="AN878" s="115"/>
      <c r="AO878" s="115"/>
      <c r="AP878" s="115"/>
      <c r="AQ878" s="115"/>
      <c r="AR878" s="115"/>
      <c r="AS878" s="26"/>
      <c r="AT878" s="13"/>
      <c r="AX878" s="117"/>
      <c r="AY878" s="116"/>
      <c r="AZ878" s="116"/>
      <c r="BA878" s="116"/>
    </row>
    <row r="879" spans="1:53" ht="19.5" x14ac:dyDescent="0.4">
      <c r="AS879" s="26"/>
      <c r="AT879" s="13"/>
      <c r="AX879" s="117"/>
      <c r="AY879" s="116"/>
      <c r="AZ879" s="116"/>
      <c r="BA879" s="116"/>
    </row>
    <row r="880" spans="1:53" ht="19.5" x14ac:dyDescent="0.4"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  <c r="AA880" s="115"/>
      <c r="AB880" s="122"/>
      <c r="AC880" s="122"/>
      <c r="AD880" s="122"/>
      <c r="AE880" s="115"/>
      <c r="AF880" s="115"/>
      <c r="AG880" s="115"/>
      <c r="AH880" s="115"/>
      <c r="AI880" s="115"/>
      <c r="AJ880" s="115"/>
      <c r="AK880" s="115"/>
      <c r="AL880" s="115"/>
      <c r="AM880" s="115"/>
      <c r="AN880" s="115"/>
      <c r="AO880" s="115"/>
      <c r="AP880" s="115"/>
      <c r="AQ880" s="115"/>
      <c r="AR880" s="115"/>
      <c r="AS880" s="26"/>
      <c r="AT880" s="13"/>
      <c r="AX880" s="117"/>
      <c r="AY880" s="116"/>
      <c r="AZ880" s="116"/>
      <c r="BA880" s="116"/>
    </row>
    <row r="881" spans="3:53" ht="19.5" x14ac:dyDescent="0.4"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  <c r="AA881" s="115"/>
      <c r="AB881" s="122"/>
      <c r="AC881" s="122"/>
      <c r="AD881" s="122"/>
      <c r="AE881" s="115"/>
      <c r="AF881" s="115"/>
      <c r="AG881" s="115"/>
      <c r="AH881" s="115"/>
      <c r="AI881" s="115"/>
      <c r="AJ881" s="115"/>
      <c r="AK881" s="115"/>
      <c r="AL881" s="115"/>
      <c r="AM881" s="115"/>
      <c r="AN881" s="115"/>
      <c r="AO881" s="115"/>
      <c r="AP881" s="115"/>
      <c r="AQ881" s="115"/>
      <c r="AR881" s="115"/>
      <c r="AS881" s="26"/>
      <c r="AT881" s="13"/>
      <c r="AX881" s="117"/>
      <c r="AY881" s="116"/>
      <c r="AZ881" s="116"/>
      <c r="BA881" s="116"/>
    </row>
    <row r="882" spans="3:53" ht="19.5" x14ac:dyDescent="0.4"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  <c r="AA882" s="115"/>
      <c r="AB882" s="122"/>
      <c r="AC882" s="122"/>
      <c r="AD882" s="122"/>
      <c r="AE882" s="115"/>
      <c r="AF882" s="115"/>
      <c r="AG882" s="115"/>
      <c r="AH882" s="115"/>
      <c r="AI882" s="115"/>
      <c r="AJ882" s="115"/>
      <c r="AK882" s="115"/>
      <c r="AL882" s="115"/>
      <c r="AM882" s="115"/>
      <c r="AN882" s="115"/>
      <c r="AO882" s="115"/>
      <c r="AP882" s="115"/>
      <c r="AQ882" s="115"/>
      <c r="AR882" s="115"/>
      <c r="AS882" s="26"/>
      <c r="AT882" s="13"/>
      <c r="AX882" s="117"/>
      <c r="AY882" s="116"/>
      <c r="AZ882" s="116"/>
      <c r="BA882" s="116"/>
    </row>
    <row r="883" spans="3:53" ht="19.5" x14ac:dyDescent="0.4"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  <c r="AA883" s="115"/>
      <c r="AB883" s="122"/>
      <c r="AC883" s="122"/>
      <c r="AD883" s="122"/>
      <c r="AE883" s="115"/>
      <c r="AF883" s="115"/>
      <c r="AG883" s="115"/>
      <c r="AH883" s="115"/>
      <c r="AI883" s="115"/>
      <c r="AJ883" s="115"/>
      <c r="AK883" s="115"/>
      <c r="AL883" s="115"/>
      <c r="AM883" s="115"/>
      <c r="AN883" s="115"/>
      <c r="AO883" s="115"/>
      <c r="AP883" s="115"/>
      <c r="AQ883" s="115"/>
      <c r="AR883" s="115"/>
      <c r="AS883" s="26"/>
      <c r="AT883" s="13"/>
      <c r="AX883" s="117"/>
      <c r="AY883" s="116"/>
      <c r="AZ883" s="116"/>
      <c r="BA883" s="116"/>
    </row>
    <row r="884" spans="3:53" ht="19.5" x14ac:dyDescent="0.4"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  <c r="AA884" s="115"/>
      <c r="AB884" s="122"/>
      <c r="AC884" s="122"/>
      <c r="AD884" s="122"/>
      <c r="AE884" s="115"/>
      <c r="AF884" s="115"/>
      <c r="AG884" s="115"/>
      <c r="AH884" s="115"/>
      <c r="AI884" s="115"/>
      <c r="AJ884" s="115"/>
      <c r="AK884" s="115"/>
      <c r="AL884" s="115"/>
      <c r="AM884" s="115"/>
      <c r="AN884" s="115"/>
      <c r="AO884" s="115"/>
      <c r="AP884" s="115"/>
      <c r="AQ884" s="115"/>
      <c r="AR884" s="115"/>
      <c r="AS884" s="26"/>
      <c r="AT884" s="13"/>
      <c r="AX884" s="117"/>
      <c r="AY884" s="116"/>
      <c r="AZ884" s="116"/>
      <c r="BA884" s="116"/>
    </row>
    <row r="885" spans="3:53" ht="19.5" x14ac:dyDescent="0.4"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  <c r="AA885" s="115"/>
      <c r="AB885" s="122"/>
      <c r="AC885" s="122"/>
      <c r="AD885" s="122"/>
      <c r="AE885" s="115"/>
      <c r="AF885" s="115"/>
      <c r="AG885" s="115"/>
      <c r="AH885" s="115"/>
      <c r="AI885" s="115"/>
      <c r="AJ885" s="115"/>
      <c r="AK885" s="115"/>
      <c r="AL885" s="115"/>
      <c r="AM885" s="115"/>
      <c r="AN885" s="115"/>
      <c r="AO885" s="115"/>
      <c r="AP885" s="115"/>
      <c r="AQ885" s="115"/>
      <c r="AR885" s="115"/>
      <c r="AS885" s="26"/>
      <c r="AT885" s="13"/>
      <c r="AX885" s="117"/>
      <c r="AY885" s="116"/>
      <c r="AZ885" s="116"/>
      <c r="BA885" s="116"/>
    </row>
    <row r="886" spans="3:53" ht="19.5" x14ac:dyDescent="0.4"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  <c r="AA886" s="115"/>
      <c r="AB886" s="122"/>
      <c r="AC886" s="122"/>
      <c r="AD886" s="122"/>
      <c r="AE886" s="115"/>
      <c r="AF886" s="115"/>
      <c r="AG886" s="115"/>
      <c r="AH886" s="115"/>
      <c r="AI886" s="115"/>
      <c r="AJ886" s="115"/>
      <c r="AK886" s="115"/>
      <c r="AL886" s="115"/>
      <c r="AM886" s="115"/>
      <c r="AN886" s="115"/>
      <c r="AO886" s="115"/>
      <c r="AP886" s="115"/>
      <c r="AQ886" s="115"/>
      <c r="AR886" s="115"/>
      <c r="AS886" s="26"/>
      <c r="AT886" s="13"/>
      <c r="AX886" s="117"/>
      <c r="AY886" s="116"/>
      <c r="AZ886" s="116"/>
      <c r="BA886" s="116"/>
    </row>
    <row r="887" spans="3:53" ht="19.5" x14ac:dyDescent="0.4"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  <c r="AA887" s="115"/>
      <c r="AB887" s="122"/>
      <c r="AC887" s="122"/>
      <c r="AD887" s="122"/>
      <c r="AE887" s="115"/>
      <c r="AF887" s="115"/>
      <c r="AG887" s="115"/>
      <c r="AH887" s="115"/>
      <c r="AI887" s="115"/>
      <c r="AJ887" s="115"/>
      <c r="AK887" s="115"/>
      <c r="AL887" s="115"/>
      <c r="AM887" s="115"/>
      <c r="AN887" s="115"/>
      <c r="AO887" s="115"/>
      <c r="AP887" s="115"/>
      <c r="AQ887" s="115"/>
      <c r="AR887" s="115"/>
      <c r="AS887" s="26"/>
      <c r="AT887" s="13"/>
      <c r="AX887" s="117"/>
      <c r="AY887" s="116"/>
      <c r="AZ887" s="116"/>
      <c r="BA887" s="116"/>
    </row>
    <row r="888" spans="3:53" ht="19.5" x14ac:dyDescent="0.4">
      <c r="AS888" s="26"/>
      <c r="AT888" s="15"/>
      <c r="AX888" s="117"/>
      <c r="AY888" s="116"/>
      <c r="AZ888" s="116"/>
      <c r="BA888" s="116"/>
    </row>
    <row r="889" spans="3:53" ht="19.5" x14ac:dyDescent="0.4"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  <c r="AA889" s="115"/>
      <c r="AB889" s="122"/>
      <c r="AC889" s="122"/>
      <c r="AD889" s="122"/>
      <c r="AE889" s="115"/>
      <c r="AF889" s="115"/>
      <c r="AG889" s="115"/>
      <c r="AH889" s="115"/>
      <c r="AI889" s="115"/>
      <c r="AJ889" s="115"/>
      <c r="AK889" s="115"/>
      <c r="AL889" s="115"/>
      <c r="AM889" s="115"/>
      <c r="AN889" s="115"/>
      <c r="AO889" s="115"/>
      <c r="AP889" s="115"/>
      <c r="AQ889" s="115"/>
      <c r="AR889" s="115"/>
      <c r="AS889" s="26"/>
      <c r="AT889" s="15"/>
      <c r="AX889" s="117"/>
      <c r="AY889" s="116"/>
      <c r="AZ889" s="116"/>
      <c r="BA889" s="116"/>
    </row>
    <row r="890" spans="3:53" ht="19.5" x14ac:dyDescent="0.4"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  <c r="AA890" s="115"/>
      <c r="AB890" s="122"/>
      <c r="AC890" s="122"/>
      <c r="AD890" s="122"/>
      <c r="AE890" s="115"/>
      <c r="AF890" s="115"/>
      <c r="AG890" s="115"/>
      <c r="AH890" s="115"/>
      <c r="AI890" s="115"/>
      <c r="AJ890" s="115"/>
      <c r="AK890" s="115"/>
      <c r="AL890" s="115"/>
      <c r="AM890" s="115"/>
      <c r="AN890" s="115"/>
      <c r="AO890" s="115"/>
      <c r="AP890" s="115"/>
      <c r="AQ890" s="115"/>
      <c r="AR890" s="115"/>
      <c r="AS890" s="17"/>
      <c r="AT890" s="15"/>
      <c r="AX890" s="117"/>
      <c r="AY890" s="116"/>
      <c r="AZ890" s="116"/>
      <c r="BA890" s="116"/>
    </row>
    <row r="891" spans="3:53" ht="19.5" x14ac:dyDescent="0.4">
      <c r="AS891" s="26"/>
      <c r="AT891" s="15"/>
      <c r="AX891" s="117"/>
      <c r="AY891" s="116"/>
      <c r="AZ891" s="116"/>
      <c r="BA891" s="116"/>
    </row>
    <row r="892" spans="3:53" ht="19.5" x14ac:dyDescent="0.4">
      <c r="AS892" s="26"/>
      <c r="AT892" s="13"/>
      <c r="AX892" s="117"/>
      <c r="AY892" s="116"/>
      <c r="AZ892" s="116"/>
      <c r="BA892" s="116"/>
    </row>
    <row r="893" spans="3:53" ht="19.5" x14ac:dyDescent="0.4">
      <c r="Y893" s="115"/>
      <c r="Z893" s="115"/>
      <c r="AA893" s="115"/>
      <c r="AB893" s="122"/>
      <c r="AC893" s="122"/>
      <c r="AD893" s="122"/>
      <c r="AE893" s="115"/>
      <c r="AF893" s="115"/>
      <c r="AG893" s="115"/>
      <c r="AH893" s="115"/>
      <c r="AI893" s="115"/>
      <c r="AJ893" s="115"/>
      <c r="AK893" s="115"/>
      <c r="AL893" s="115"/>
      <c r="AM893" s="115"/>
      <c r="AN893" s="115"/>
      <c r="AO893" s="115"/>
      <c r="AP893" s="115"/>
      <c r="AQ893" s="115"/>
      <c r="AR893" s="115"/>
      <c r="AS893" s="26"/>
      <c r="AT893" s="13"/>
      <c r="AX893" s="117"/>
      <c r="AY893" s="116"/>
      <c r="AZ893" s="116"/>
      <c r="BA893" s="116"/>
    </row>
    <row r="894" spans="3:53" ht="19.5" x14ac:dyDescent="0.4"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  <c r="AA894" s="115"/>
      <c r="AB894" s="122"/>
      <c r="AC894" s="122"/>
      <c r="AD894" s="122"/>
      <c r="AE894" s="115"/>
      <c r="AF894" s="115"/>
      <c r="AG894" s="115"/>
      <c r="AH894" s="115"/>
      <c r="AI894" s="115"/>
      <c r="AJ894" s="115"/>
      <c r="AK894" s="115"/>
      <c r="AL894" s="115"/>
      <c r="AM894" s="115"/>
      <c r="AN894" s="115"/>
      <c r="AO894" s="115"/>
      <c r="AP894" s="115"/>
      <c r="AQ894" s="115"/>
      <c r="AR894" s="115"/>
      <c r="AS894" s="26"/>
      <c r="AT894" s="13"/>
      <c r="AX894" s="117"/>
      <c r="AY894" s="116"/>
      <c r="AZ894" s="116"/>
      <c r="BA894" s="116"/>
    </row>
    <row r="895" spans="3:53" ht="19.5" x14ac:dyDescent="0.4"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  <c r="AA895" s="115"/>
      <c r="AB895" s="122"/>
      <c r="AC895" s="122"/>
      <c r="AD895" s="122"/>
      <c r="AE895" s="115"/>
      <c r="AF895" s="115"/>
      <c r="AG895" s="115"/>
      <c r="AH895" s="115"/>
      <c r="AI895" s="115"/>
      <c r="AJ895" s="115"/>
      <c r="AK895" s="115"/>
      <c r="AL895" s="115"/>
      <c r="AM895" s="115"/>
      <c r="AN895" s="115"/>
      <c r="AO895" s="115"/>
      <c r="AP895" s="115"/>
      <c r="AQ895" s="115"/>
      <c r="AR895" s="115"/>
      <c r="AS895" s="17"/>
      <c r="AT895" s="13"/>
      <c r="AX895" s="117"/>
      <c r="AY895" s="116"/>
      <c r="AZ895" s="116"/>
      <c r="BA895" s="116"/>
    </row>
    <row r="896" spans="3:53" ht="19.5" x14ac:dyDescent="0.4"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  <c r="AA896" s="115"/>
      <c r="AB896" s="122"/>
      <c r="AC896" s="122"/>
      <c r="AD896" s="122"/>
      <c r="AE896" s="115"/>
      <c r="AF896" s="115"/>
      <c r="AG896" s="115"/>
      <c r="AH896" s="115"/>
      <c r="AI896" s="115"/>
      <c r="AJ896" s="115"/>
      <c r="AK896" s="115"/>
      <c r="AL896" s="115"/>
      <c r="AM896" s="115"/>
      <c r="AN896" s="115"/>
      <c r="AO896" s="115"/>
      <c r="AP896" s="115"/>
      <c r="AQ896" s="115"/>
      <c r="AR896" s="115"/>
      <c r="AS896" s="26"/>
      <c r="AT896" s="25"/>
      <c r="AX896" s="117"/>
      <c r="AY896" s="116"/>
      <c r="AZ896" s="116"/>
      <c r="BA896" s="116"/>
    </row>
    <row r="897" spans="1:53" ht="19.5" x14ac:dyDescent="0.4"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  <c r="AA897" s="115"/>
      <c r="AB897" s="122"/>
      <c r="AC897" s="122"/>
      <c r="AD897" s="122"/>
      <c r="AE897" s="115"/>
      <c r="AF897" s="115"/>
      <c r="AG897" s="115"/>
      <c r="AH897" s="115"/>
      <c r="AI897" s="115"/>
      <c r="AJ897" s="115"/>
      <c r="AK897" s="115"/>
      <c r="AL897" s="115"/>
      <c r="AM897" s="115"/>
      <c r="AN897" s="115"/>
      <c r="AO897" s="115"/>
      <c r="AP897" s="115"/>
      <c r="AQ897" s="115"/>
      <c r="AR897" s="115"/>
      <c r="AS897" s="17"/>
      <c r="AT897" s="13"/>
      <c r="AX897" s="117"/>
      <c r="AY897" s="116"/>
      <c r="AZ897" s="116"/>
      <c r="BA897" s="116"/>
    </row>
    <row r="898" spans="1:53" ht="19.5" x14ac:dyDescent="0.4"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  <c r="AA898" s="115"/>
      <c r="AB898" s="122"/>
      <c r="AC898" s="122"/>
      <c r="AD898" s="122"/>
      <c r="AE898" s="115"/>
      <c r="AF898" s="115"/>
      <c r="AG898" s="115"/>
      <c r="AH898" s="115"/>
      <c r="AI898" s="115"/>
      <c r="AJ898" s="115"/>
      <c r="AK898" s="115"/>
      <c r="AL898" s="115"/>
      <c r="AM898" s="115"/>
      <c r="AN898" s="115"/>
      <c r="AO898" s="115"/>
      <c r="AP898" s="115"/>
      <c r="AQ898" s="115"/>
      <c r="AR898" s="115"/>
      <c r="AS898" s="26"/>
      <c r="AT898" s="13"/>
      <c r="AX898" s="117"/>
      <c r="AY898" s="116"/>
      <c r="AZ898" s="116"/>
      <c r="BA898" s="116"/>
    </row>
    <row r="899" spans="1:53" ht="19.5" x14ac:dyDescent="0.4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  <c r="AA899" s="115"/>
      <c r="AB899" s="122"/>
      <c r="AC899" s="122"/>
      <c r="AD899" s="122"/>
      <c r="AE899" s="115"/>
      <c r="AF899" s="115"/>
      <c r="AG899" s="115"/>
      <c r="AH899" s="115"/>
      <c r="AI899" s="115"/>
      <c r="AJ899" s="115"/>
      <c r="AK899" s="115"/>
      <c r="AL899" s="115"/>
      <c r="AM899" s="115"/>
      <c r="AN899" s="115"/>
      <c r="AO899" s="115"/>
      <c r="AP899" s="115"/>
      <c r="AQ899" s="115"/>
      <c r="AR899" s="115"/>
      <c r="AS899" s="26"/>
      <c r="AT899" s="13"/>
      <c r="AX899" s="117"/>
      <c r="AY899" s="116"/>
      <c r="AZ899" s="116"/>
      <c r="BA899" s="116"/>
    </row>
    <row r="900" spans="1:53" ht="19.5" x14ac:dyDescent="0.4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  <c r="AA900" s="115"/>
      <c r="AB900" s="122"/>
      <c r="AC900" s="122"/>
      <c r="AD900" s="122"/>
      <c r="AE900" s="115"/>
      <c r="AF900" s="115"/>
      <c r="AG900" s="115"/>
      <c r="AH900" s="115"/>
      <c r="AI900" s="115"/>
      <c r="AJ900" s="115"/>
      <c r="AK900" s="115"/>
      <c r="AL900" s="115"/>
      <c r="AM900" s="115"/>
      <c r="AN900" s="115"/>
      <c r="AO900" s="115"/>
      <c r="AP900" s="115"/>
      <c r="AQ900" s="115"/>
      <c r="AR900" s="115"/>
      <c r="AS900" s="26"/>
      <c r="AT900" s="13"/>
      <c r="AX900" s="117"/>
      <c r="AY900" s="116"/>
      <c r="AZ900" s="116"/>
      <c r="BA900" s="116"/>
    </row>
    <row r="901" spans="1:53" ht="19.5" x14ac:dyDescent="0.4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  <c r="AA901" s="115"/>
      <c r="AB901" s="122"/>
      <c r="AC901" s="122"/>
      <c r="AD901" s="122"/>
      <c r="AE901" s="115"/>
      <c r="AF901" s="115"/>
      <c r="AG901" s="115"/>
      <c r="AH901" s="115"/>
      <c r="AI901" s="115"/>
      <c r="AJ901" s="115"/>
      <c r="AK901" s="115"/>
      <c r="AL901" s="115"/>
      <c r="AM901" s="115"/>
      <c r="AN901" s="115"/>
      <c r="AO901" s="115"/>
      <c r="AP901" s="115"/>
      <c r="AQ901" s="115"/>
      <c r="AR901" s="115"/>
      <c r="AS901" s="26"/>
      <c r="AT901" s="13"/>
      <c r="AX901" s="117"/>
      <c r="AY901" s="116"/>
      <c r="AZ901" s="116"/>
      <c r="BA901" s="116"/>
    </row>
    <row r="902" spans="1:53" ht="19.5" x14ac:dyDescent="0.4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  <c r="AA902" s="115"/>
      <c r="AB902" s="122"/>
      <c r="AC902" s="122"/>
      <c r="AD902" s="122"/>
      <c r="AE902" s="115"/>
      <c r="AF902" s="115"/>
      <c r="AG902" s="115"/>
      <c r="AH902" s="115"/>
      <c r="AI902" s="115"/>
      <c r="AJ902" s="115"/>
      <c r="AK902" s="115"/>
      <c r="AL902" s="115"/>
      <c r="AM902" s="115"/>
      <c r="AN902" s="115"/>
      <c r="AO902" s="115"/>
      <c r="AP902" s="115"/>
      <c r="AQ902" s="115"/>
      <c r="AR902" s="115"/>
      <c r="AS902" s="26"/>
      <c r="AT902" s="13"/>
      <c r="AX902" s="117"/>
      <c r="AY902" s="116"/>
      <c r="AZ902" s="116"/>
      <c r="BA902" s="116"/>
    </row>
    <row r="903" spans="1:53" ht="19.5" x14ac:dyDescent="0.4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  <c r="AA903" s="115"/>
      <c r="AB903" s="122"/>
      <c r="AC903" s="122"/>
      <c r="AD903" s="122"/>
      <c r="AE903" s="115"/>
      <c r="AF903" s="115"/>
      <c r="AG903" s="115"/>
      <c r="AH903" s="115"/>
      <c r="AI903" s="115"/>
      <c r="AJ903" s="115"/>
      <c r="AK903" s="115"/>
      <c r="AL903" s="115"/>
      <c r="AM903" s="115"/>
      <c r="AN903" s="115"/>
      <c r="AO903" s="115"/>
      <c r="AP903" s="115"/>
      <c r="AQ903" s="115"/>
      <c r="AR903" s="115"/>
      <c r="AS903" s="26"/>
      <c r="AT903" s="13"/>
      <c r="AX903" s="117"/>
      <c r="AY903" s="116"/>
      <c r="AZ903" s="116"/>
      <c r="BA903" s="116"/>
    </row>
    <row r="904" spans="1:53" ht="19.5" x14ac:dyDescent="0.4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  <c r="AA904" s="115"/>
      <c r="AB904" s="122"/>
      <c r="AC904" s="122"/>
      <c r="AD904" s="122"/>
      <c r="AE904" s="115"/>
      <c r="AF904" s="115"/>
      <c r="AG904" s="115"/>
      <c r="AH904" s="115"/>
      <c r="AI904" s="115"/>
      <c r="AJ904" s="115"/>
      <c r="AK904" s="115"/>
      <c r="AL904" s="115"/>
      <c r="AM904" s="115"/>
      <c r="AN904" s="115"/>
      <c r="AO904" s="115"/>
      <c r="AP904" s="115"/>
      <c r="AQ904" s="115"/>
      <c r="AR904" s="115"/>
      <c r="AS904" s="26"/>
      <c r="AT904" s="13"/>
      <c r="AX904" s="117"/>
      <c r="AY904" s="116"/>
      <c r="AZ904" s="116"/>
      <c r="BA904" s="116"/>
    </row>
    <row r="905" spans="1:53" ht="19.5" x14ac:dyDescent="0.4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  <c r="AA905" s="115"/>
      <c r="AB905" s="122"/>
      <c r="AC905" s="122"/>
      <c r="AD905" s="122"/>
      <c r="AE905" s="115"/>
      <c r="AF905" s="115"/>
      <c r="AG905" s="115"/>
      <c r="AH905" s="115"/>
      <c r="AI905" s="115"/>
      <c r="AJ905" s="115"/>
      <c r="AK905" s="115"/>
      <c r="AL905" s="115"/>
      <c r="AM905" s="115"/>
      <c r="AN905" s="115"/>
      <c r="AO905" s="115"/>
      <c r="AP905" s="115"/>
      <c r="AQ905" s="115"/>
      <c r="AR905" s="115"/>
      <c r="AS905" s="26"/>
      <c r="AT905" s="13"/>
      <c r="AX905" s="117"/>
      <c r="AY905" s="116"/>
      <c r="AZ905" s="116"/>
      <c r="BA905" s="116"/>
    </row>
    <row r="906" spans="1:53" ht="19.5" x14ac:dyDescent="0.4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  <c r="AA906" s="115"/>
      <c r="AB906" s="122"/>
      <c r="AC906" s="122"/>
      <c r="AD906" s="122"/>
      <c r="AE906" s="115"/>
      <c r="AF906" s="115"/>
      <c r="AG906" s="115"/>
      <c r="AH906" s="115"/>
      <c r="AI906" s="115"/>
      <c r="AJ906" s="115"/>
      <c r="AK906" s="115"/>
      <c r="AL906" s="115"/>
      <c r="AM906" s="115"/>
      <c r="AN906" s="115"/>
      <c r="AO906" s="115"/>
      <c r="AP906" s="115"/>
      <c r="AQ906" s="115"/>
      <c r="AR906" s="115"/>
      <c r="AS906" s="26"/>
      <c r="AT906" s="15"/>
      <c r="AX906" s="117"/>
      <c r="AY906" s="116"/>
      <c r="AZ906" s="116"/>
      <c r="BA906" s="116"/>
    </row>
    <row r="907" spans="1:53" ht="19.5" x14ac:dyDescent="0.4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  <c r="AA907" s="115"/>
      <c r="AB907" s="122"/>
      <c r="AC907" s="122"/>
      <c r="AD907" s="122"/>
      <c r="AE907" s="115"/>
      <c r="AF907" s="115"/>
      <c r="AG907" s="115"/>
      <c r="AH907" s="115"/>
      <c r="AI907" s="115"/>
      <c r="AJ907" s="115"/>
      <c r="AK907" s="115"/>
      <c r="AL907" s="115"/>
      <c r="AM907" s="115"/>
      <c r="AN907" s="115"/>
      <c r="AO907" s="115"/>
      <c r="AP907" s="115"/>
      <c r="AQ907" s="115"/>
      <c r="AR907" s="115"/>
      <c r="AS907" s="26"/>
      <c r="AT907" s="15"/>
      <c r="AX907" s="117"/>
      <c r="AY907" s="116"/>
      <c r="AZ907" s="116"/>
      <c r="BA907" s="116"/>
    </row>
    <row r="908" spans="1:53" ht="19.5" x14ac:dyDescent="0.4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  <c r="AA908" s="115"/>
      <c r="AB908" s="122"/>
      <c r="AC908" s="122"/>
      <c r="AD908" s="122"/>
      <c r="AE908" s="115"/>
      <c r="AF908" s="115"/>
      <c r="AG908" s="115"/>
      <c r="AH908" s="115"/>
      <c r="AI908" s="115"/>
      <c r="AJ908" s="115"/>
      <c r="AK908" s="115"/>
      <c r="AL908" s="115"/>
      <c r="AM908" s="115"/>
      <c r="AN908" s="115"/>
      <c r="AO908" s="115"/>
      <c r="AP908" s="115"/>
      <c r="AQ908" s="115"/>
      <c r="AR908" s="115"/>
      <c r="AS908" s="26"/>
      <c r="AT908" s="15"/>
      <c r="AX908" s="117"/>
      <c r="AY908" s="116"/>
      <c r="AZ908" s="116"/>
      <c r="BA908" s="116"/>
    </row>
    <row r="909" spans="1:53" ht="19.5" x14ac:dyDescent="0.4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  <c r="AA909" s="115"/>
      <c r="AB909" s="122"/>
      <c r="AC909" s="122"/>
      <c r="AD909" s="122"/>
      <c r="AE909" s="115"/>
      <c r="AF909" s="115"/>
      <c r="AG909" s="115"/>
      <c r="AH909" s="115"/>
      <c r="AI909" s="115"/>
      <c r="AJ909" s="115"/>
      <c r="AK909" s="115"/>
      <c r="AL909" s="115"/>
      <c r="AM909" s="115"/>
      <c r="AN909" s="115"/>
      <c r="AO909" s="115"/>
      <c r="AP909" s="115"/>
      <c r="AQ909" s="115"/>
      <c r="AR909" s="115"/>
      <c r="AS909" s="26"/>
      <c r="AT909" s="15"/>
      <c r="AX909" s="117"/>
      <c r="AY909" s="116"/>
      <c r="AZ909" s="116"/>
      <c r="BA909" s="116"/>
    </row>
    <row r="910" spans="1:53" ht="19.5" x14ac:dyDescent="0.4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  <c r="AA910" s="115"/>
      <c r="AB910" s="122"/>
      <c r="AC910" s="122"/>
      <c r="AD910" s="122"/>
      <c r="AE910" s="115"/>
      <c r="AF910" s="115"/>
      <c r="AG910" s="115"/>
      <c r="AH910" s="115"/>
      <c r="AI910" s="115"/>
      <c r="AJ910" s="115"/>
      <c r="AK910" s="115"/>
      <c r="AL910" s="115"/>
      <c r="AM910" s="115"/>
      <c r="AN910" s="115"/>
      <c r="AO910" s="115"/>
      <c r="AP910" s="115"/>
      <c r="AQ910" s="115"/>
      <c r="AR910" s="115"/>
      <c r="AS910" s="26"/>
      <c r="AT910" s="25"/>
      <c r="AX910" s="117"/>
      <c r="AY910" s="116"/>
      <c r="AZ910" s="116"/>
      <c r="BA910" s="116"/>
    </row>
    <row r="911" spans="1:53" ht="19.5" x14ac:dyDescent="0.4">
      <c r="AS911" s="26"/>
      <c r="AT911" s="15"/>
      <c r="AX911" s="117"/>
      <c r="AY911" s="116"/>
      <c r="AZ911" s="116"/>
      <c r="BA911" s="116"/>
    </row>
    <row r="912" spans="1:53" ht="19.5" x14ac:dyDescent="0.4">
      <c r="AA912" s="115"/>
      <c r="AB912" s="122"/>
      <c r="AC912" s="122"/>
      <c r="AD912" s="122"/>
      <c r="AE912" s="115"/>
      <c r="AF912" s="115"/>
      <c r="AG912" s="115"/>
      <c r="AH912" s="115"/>
      <c r="AI912" s="115"/>
      <c r="AJ912" s="115"/>
      <c r="AK912" s="115"/>
      <c r="AL912" s="115"/>
      <c r="AM912" s="115"/>
      <c r="AN912" s="115"/>
      <c r="AO912" s="115"/>
      <c r="AP912" s="115"/>
      <c r="AQ912" s="115"/>
      <c r="AR912" s="115"/>
      <c r="AS912" s="26"/>
      <c r="AT912" s="15"/>
      <c r="AX912" s="117"/>
      <c r="AY912" s="116"/>
      <c r="AZ912" s="116"/>
      <c r="BA912" s="116"/>
    </row>
    <row r="913" spans="1:53" ht="19.5" x14ac:dyDescent="0.4">
      <c r="Y913" s="115"/>
      <c r="Z913" s="115"/>
      <c r="AA913" s="115"/>
      <c r="AB913" s="122"/>
      <c r="AC913" s="122"/>
      <c r="AD913" s="122"/>
      <c r="AE913" s="115"/>
      <c r="AF913" s="115"/>
      <c r="AG913" s="115"/>
      <c r="AH913" s="115"/>
      <c r="AI913" s="115"/>
      <c r="AJ913" s="115"/>
      <c r="AK913" s="115"/>
      <c r="AL913" s="115"/>
      <c r="AM913" s="115"/>
      <c r="AN913" s="115"/>
      <c r="AO913" s="115"/>
      <c r="AP913" s="115"/>
      <c r="AQ913" s="115"/>
      <c r="AR913" s="115"/>
      <c r="AS913" s="26"/>
      <c r="AT913" s="15"/>
      <c r="AX913" s="117"/>
      <c r="AY913" s="116"/>
      <c r="AZ913" s="116"/>
      <c r="BA913" s="116"/>
    </row>
    <row r="914" spans="1:53" ht="19.5" x14ac:dyDescent="0.4">
      <c r="Y914" s="115"/>
      <c r="Z914" s="115"/>
      <c r="AA914" s="115"/>
      <c r="AB914" s="122"/>
      <c r="AC914" s="122"/>
      <c r="AD914" s="122"/>
      <c r="AE914" s="115"/>
      <c r="AF914" s="115"/>
      <c r="AG914" s="115"/>
      <c r="AH914" s="115"/>
      <c r="AI914" s="115"/>
      <c r="AJ914" s="115"/>
      <c r="AK914" s="115"/>
      <c r="AL914" s="115"/>
      <c r="AM914" s="115"/>
      <c r="AN914" s="115"/>
      <c r="AO914" s="115"/>
      <c r="AP914" s="115"/>
      <c r="AQ914" s="115"/>
      <c r="AR914" s="115"/>
      <c r="AS914" s="17"/>
      <c r="AT914" s="15"/>
      <c r="AX914" s="117"/>
      <c r="AY914" s="116"/>
      <c r="AZ914" s="116"/>
      <c r="BA914" s="116"/>
    </row>
    <row r="915" spans="1:53" ht="19.5" x14ac:dyDescent="0.4">
      <c r="V915" s="115"/>
      <c r="W915" s="115"/>
      <c r="X915" s="115"/>
      <c r="Y915" s="115"/>
      <c r="Z915" s="115"/>
      <c r="AA915" s="115"/>
      <c r="AB915" s="122"/>
      <c r="AC915" s="122"/>
      <c r="AD915" s="122"/>
      <c r="AE915" s="115"/>
      <c r="AF915" s="115"/>
      <c r="AG915" s="115"/>
      <c r="AH915" s="115"/>
      <c r="AI915" s="115"/>
      <c r="AJ915" s="115"/>
      <c r="AK915" s="115"/>
      <c r="AL915" s="115"/>
      <c r="AM915" s="115"/>
      <c r="AN915" s="115"/>
      <c r="AO915" s="115"/>
      <c r="AP915" s="115"/>
      <c r="AQ915" s="115"/>
      <c r="AR915" s="115"/>
      <c r="AS915" s="26"/>
      <c r="AT915" s="15"/>
      <c r="AX915" s="117"/>
      <c r="AY915" s="116"/>
      <c r="AZ915" s="116"/>
      <c r="BA915" s="116"/>
    </row>
    <row r="916" spans="1:53" ht="19.5" x14ac:dyDescent="0.4">
      <c r="V916" s="115"/>
      <c r="W916" s="115"/>
      <c r="X916" s="115"/>
      <c r="Y916" s="115"/>
      <c r="Z916" s="115"/>
      <c r="AA916" s="115"/>
      <c r="AB916" s="122"/>
      <c r="AC916" s="122"/>
      <c r="AD916" s="122"/>
      <c r="AE916" s="115"/>
      <c r="AF916" s="115"/>
      <c r="AG916" s="115"/>
      <c r="AH916" s="115"/>
      <c r="AI916" s="115"/>
      <c r="AJ916" s="115"/>
      <c r="AK916" s="115"/>
      <c r="AL916" s="115"/>
      <c r="AM916" s="115"/>
      <c r="AN916" s="115"/>
      <c r="AO916" s="115"/>
      <c r="AP916" s="115"/>
      <c r="AQ916" s="115"/>
      <c r="AR916" s="115"/>
      <c r="AS916" s="17"/>
      <c r="AT916" s="15"/>
      <c r="AX916" s="117"/>
      <c r="AY916" s="116"/>
      <c r="AZ916" s="116"/>
      <c r="BA916" s="116"/>
    </row>
    <row r="917" spans="1:53" ht="19.5" x14ac:dyDescent="0.4">
      <c r="V917" s="115"/>
      <c r="W917" s="115"/>
      <c r="X917" s="115"/>
      <c r="Y917" s="115"/>
      <c r="Z917" s="115"/>
      <c r="AA917" s="115"/>
      <c r="AB917" s="122"/>
      <c r="AC917" s="122"/>
      <c r="AD917" s="122"/>
      <c r="AE917" s="115"/>
      <c r="AF917" s="115"/>
      <c r="AG917" s="115"/>
      <c r="AH917" s="115"/>
      <c r="AI917" s="115"/>
      <c r="AJ917" s="115"/>
      <c r="AK917" s="115"/>
      <c r="AL917" s="115"/>
      <c r="AM917" s="115"/>
      <c r="AN917" s="115"/>
      <c r="AO917" s="115"/>
      <c r="AP917" s="115"/>
      <c r="AQ917" s="115"/>
      <c r="AR917" s="115"/>
      <c r="AS917" s="26"/>
      <c r="AT917" s="15"/>
      <c r="AX917" s="117"/>
      <c r="AY917" s="116"/>
      <c r="AZ917" s="116"/>
      <c r="BA917" s="116"/>
    </row>
    <row r="918" spans="1:53" ht="19.5" x14ac:dyDescent="0.4">
      <c r="V918" s="115"/>
      <c r="W918" s="115"/>
      <c r="X918" s="115"/>
      <c r="Y918" s="115"/>
      <c r="Z918" s="115"/>
      <c r="AA918" s="115"/>
      <c r="AB918" s="122"/>
      <c r="AC918" s="122"/>
      <c r="AD918" s="122"/>
      <c r="AE918" s="115"/>
      <c r="AF918" s="115"/>
      <c r="AG918" s="115"/>
      <c r="AH918" s="115"/>
      <c r="AI918" s="115"/>
      <c r="AJ918" s="115"/>
      <c r="AK918" s="115"/>
      <c r="AL918" s="115"/>
      <c r="AM918" s="115"/>
      <c r="AN918" s="115"/>
      <c r="AO918" s="115"/>
      <c r="AP918" s="115"/>
      <c r="AQ918" s="115"/>
      <c r="AR918" s="115"/>
      <c r="AS918" s="17"/>
      <c r="AT918" s="13"/>
      <c r="AX918" s="117"/>
      <c r="AY918" s="116"/>
      <c r="AZ918" s="116"/>
      <c r="BA918" s="116"/>
    </row>
    <row r="919" spans="1:53" ht="19.5" x14ac:dyDescent="0.4">
      <c r="V919" s="115"/>
      <c r="W919" s="115"/>
      <c r="X919" s="115"/>
      <c r="Y919" s="115"/>
      <c r="Z919" s="115"/>
      <c r="AA919" s="115"/>
      <c r="AB919" s="122"/>
      <c r="AC919" s="122"/>
      <c r="AD919" s="122"/>
      <c r="AE919" s="115"/>
      <c r="AF919" s="115"/>
      <c r="AG919" s="115"/>
      <c r="AH919" s="115"/>
      <c r="AI919" s="115"/>
      <c r="AJ919" s="115"/>
      <c r="AK919" s="115"/>
      <c r="AL919" s="115"/>
      <c r="AM919" s="115"/>
      <c r="AN919" s="115"/>
      <c r="AO919" s="115"/>
      <c r="AP919" s="115"/>
      <c r="AQ919" s="115"/>
      <c r="AR919" s="115"/>
      <c r="AS919" s="17"/>
      <c r="AT919" s="13"/>
      <c r="AX919" s="117"/>
      <c r="AY919" s="116"/>
      <c r="AZ919" s="116"/>
      <c r="BA919" s="116"/>
    </row>
    <row r="920" spans="1:53" ht="19.5" x14ac:dyDescent="0.4">
      <c r="AS920" s="26"/>
      <c r="AT920" s="13"/>
      <c r="AX920" s="117"/>
      <c r="AY920" s="116"/>
      <c r="AZ920" s="116"/>
      <c r="BA920" s="116"/>
    </row>
    <row r="921" spans="1:53" ht="19.5" x14ac:dyDescent="0.4">
      <c r="AA921" s="115"/>
      <c r="AB921" s="122"/>
      <c r="AC921" s="122"/>
      <c r="AD921" s="122"/>
      <c r="AE921" s="115"/>
      <c r="AF921" s="115"/>
      <c r="AG921" s="115"/>
      <c r="AH921" s="115"/>
      <c r="AI921" s="115"/>
      <c r="AJ921" s="115"/>
      <c r="AK921" s="115"/>
      <c r="AL921" s="115"/>
      <c r="AM921" s="115"/>
      <c r="AN921" s="115"/>
      <c r="AO921" s="115"/>
      <c r="AP921" s="115"/>
      <c r="AQ921" s="115"/>
      <c r="AR921" s="115"/>
      <c r="AS921" s="17"/>
      <c r="AT921" s="13"/>
      <c r="AX921" s="117"/>
      <c r="AY921" s="116"/>
      <c r="AZ921" s="116"/>
      <c r="BA921" s="116"/>
    </row>
    <row r="922" spans="1:53" ht="19.5" x14ac:dyDescent="0.4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  <c r="AA922" s="115"/>
      <c r="AB922" s="122"/>
      <c r="AC922" s="122"/>
      <c r="AD922" s="122"/>
      <c r="AE922" s="115"/>
      <c r="AF922" s="115"/>
      <c r="AG922" s="115"/>
      <c r="AH922" s="115"/>
      <c r="AI922" s="115"/>
      <c r="AJ922" s="115"/>
      <c r="AK922" s="115"/>
      <c r="AL922" s="115"/>
      <c r="AM922" s="115"/>
      <c r="AN922" s="115"/>
      <c r="AO922" s="115"/>
      <c r="AP922" s="115"/>
      <c r="AQ922" s="115"/>
      <c r="AR922" s="115"/>
      <c r="AS922" s="26"/>
      <c r="AT922" s="13"/>
      <c r="AX922" s="117"/>
      <c r="AY922" s="116"/>
      <c r="AZ922" s="116"/>
      <c r="BA922" s="116"/>
    </row>
    <row r="923" spans="1:53" ht="19.5" x14ac:dyDescent="0.4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  <c r="AA923" s="115"/>
      <c r="AB923" s="122"/>
      <c r="AC923" s="122"/>
      <c r="AD923" s="122"/>
      <c r="AE923" s="115"/>
      <c r="AF923" s="115"/>
      <c r="AG923" s="115"/>
      <c r="AH923" s="115"/>
      <c r="AI923" s="115"/>
      <c r="AJ923" s="115"/>
      <c r="AK923" s="115"/>
      <c r="AL923" s="115"/>
      <c r="AM923" s="115"/>
      <c r="AN923" s="115"/>
      <c r="AO923" s="115"/>
      <c r="AP923" s="115"/>
      <c r="AQ923" s="115"/>
      <c r="AR923" s="115"/>
      <c r="AS923" s="26"/>
      <c r="AT923" s="13"/>
      <c r="AX923" s="117"/>
      <c r="AY923" s="116"/>
      <c r="AZ923" s="116"/>
      <c r="BA923" s="116"/>
    </row>
    <row r="924" spans="1:53" ht="19.5" x14ac:dyDescent="0.4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  <c r="AA924" s="115"/>
      <c r="AB924" s="122"/>
      <c r="AC924" s="122"/>
      <c r="AD924" s="122"/>
      <c r="AE924" s="115"/>
      <c r="AF924" s="115"/>
      <c r="AG924" s="115"/>
      <c r="AH924" s="115"/>
      <c r="AI924" s="115"/>
      <c r="AJ924" s="115"/>
      <c r="AK924" s="115"/>
      <c r="AL924" s="115"/>
      <c r="AM924" s="115"/>
      <c r="AN924" s="115"/>
      <c r="AO924" s="115"/>
      <c r="AP924" s="115"/>
      <c r="AQ924" s="115"/>
      <c r="AR924" s="115"/>
      <c r="AS924" s="26"/>
      <c r="AT924" s="13"/>
      <c r="AX924" s="117"/>
      <c r="AY924" s="116"/>
      <c r="AZ924" s="116"/>
      <c r="BA924" s="116"/>
    </row>
    <row r="925" spans="1:53" ht="19.5" x14ac:dyDescent="0.4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  <c r="AA925" s="115"/>
      <c r="AB925" s="122"/>
      <c r="AC925" s="122"/>
      <c r="AD925" s="122"/>
      <c r="AE925" s="115"/>
      <c r="AF925" s="115"/>
      <c r="AG925" s="115"/>
      <c r="AH925" s="115"/>
      <c r="AI925" s="115"/>
      <c r="AJ925" s="115"/>
      <c r="AK925" s="115"/>
      <c r="AL925" s="115"/>
      <c r="AM925" s="115"/>
      <c r="AN925" s="115"/>
      <c r="AO925" s="115"/>
      <c r="AP925" s="115"/>
      <c r="AQ925" s="115"/>
      <c r="AR925" s="115"/>
      <c r="AS925" s="26"/>
      <c r="AT925" s="13"/>
      <c r="AX925" s="117"/>
      <c r="AY925" s="116"/>
      <c r="AZ925" s="116"/>
      <c r="BA925" s="116"/>
    </row>
    <row r="926" spans="1:53" ht="19.5" x14ac:dyDescent="0.4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  <c r="AA926" s="115"/>
      <c r="AB926" s="122"/>
      <c r="AC926" s="122"/>
      <c r="AD926" s="122"/>
      <c r="AE926" s="115"/>
      <c r="AF926" s="115"/>
      <c r="AG926" s="115"/>
      <c r="AH926" s="115"/>
      <c r="AI926" s="115"/>
      <c r="AJ926" s="115"/>
      <c r="AK926" s="115"/>
      <c r="AL926" s="115"/>
      <c r="AM926" s="115"/>
      <c r="AN926" s="115"/>
      <c r="AO926" s="115"/>
      <c r="AP926" s="115"/>
      <c r="AQ926" s="115"/>
      <c r="AR926" s="115"/>
      <c r="AS926" s="17"/>
      <c r="AT926" s="13"/>
      <c r="AX926" s="117"/>
      <c r="AY926" s="116"/>
      <c r="AZ926" s="116"/>
      <c r="BA926" s="116"/>
    </row>
    <row r="927" spans="1:53" ht="19.5" x14ac:dyDescent="0.4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  <c r="AA927" s="115"/>
      <c r="AB927" s="122"/>
      <c r="AC927" s="122"/>
      <c r="AD927" s="122"/>
      <c r="AE927" s="115"/>
      <c r="AF927" s="115"/>
      <c r="AG927" s="115"/>
      <c r="AH927" s="115"/>
      <c r="AI927" s="115"/>
      <c r="AJ927" s="115"/>
      <c r="AK927" s="115"/>
      <c r="AL927" s="115"/>
      <c r="AM927" s="115"/>
      <c r="AN927" s="115"/>
      <c r="AO927" s="115"/>
      <c r="AP927" s="115"/>
      <c r="AQ927" s="115"/>
      <c r="AR927" s="115"/>
      <c r="AS927" s="26"/>
      <c r="AT927" s="13"/>
      <c r="AX927" s="117"/>
      <c r="AY927" s="116"/>
      <c r="AZ927" s="116"/>
      <c r="BA927" s="116"/>
    </row>
    <row r="928" spans="1:53" ht="19.5" x14ac:dyDescent="0.4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  <c r="AA928" s="115"/>
      <c r="AB928" s="122"/>
      <c r="AC928" s="122"/>
      <c r="AD928" s="122"/>
      <c r="AE928" s="115"/>
      <c r="AF928" s="115"/>
      <c r="AG928" s="115"/>
      <c r="AH928" s="115"/>
      <c r="AI928" s="115"/>
      <c r="AJ928" s="115"/>
      <c r="AK928" s="115"/>
      <c r="AL928" s="115"/>
      <c r="AM928" s="115"/>
      <c r="AN928" s="115"/>
      <c r="AO928" s="115"/>
      <c r="AP928" s="115"/>
      <c r="AQ928" s="115"/>
      <c r="AR928" s="115"/>
      <c r="AS928" s="26"/>
      <c r="AT928" s="15"/>
      <c r="AX928" s="117"/>
      <c r="AY928" s="116"/>
      <c r="AZ928" s="116"/>
      <c r="BA928" s="116"/>
    </row>
    <row r="929" spans="1:53" ht="19.5" x14ac:dyDescent="0.4">
      <c r="AS929" s="26"/>
      <c r="AT929" s="15"/>
      <c r="AX929" s="117"/>
      <c r="AY929" s="116"/>
      <c r="AZ929" s="116"/>
      <c r="BA929" s="116"/>
    </row>
    <row r="930" spans="1:53" ht="19.5" x14ac:dyDescent="0.4">
      <c r="Z930" s="115"/>
      <c r="AA930" s="115"/>
      <c r="AB930" s="122"/>
      <c r="AC930" s="122"/>
      <c r="AD930" s="122"/>
      <c r="AE930" s="115"/>
      <c r="AF930" s="115"/>
      <c r="AG930" s="115"/>
      <c r="AH930" s="115"/>
      <c r="AI930" s="115"/>
      <c r="AJ930" s="115"/>
      <c r="AK930" s="115"/>
      <c r="AL930" s="115"/>
      <c r="AM930" s="115"/>
      <c r="AN930" s="115"/>
      <c r="AO930" s="115"/>
      <c r="AP930" s="115"/>
      <c r="AQ930" s="115"/>
      <c r="AR930" s="115"/>
      <c r="AS930" s="26"/>
      <c r="AT930" s="13"/>
      <c r="AX930" s="117"/>
      <c r="AY930" s="116"/>
      <c r="AZ930" s="116"/>
      <c r="BA930" s="116"/>
    </row>
    <row r="931" spans="1:53" ht="19.5" x14ac:dyDescent="0.4">
      <c r="X931" s="115"/>
      <c r="Y931" s="115"/>
      <c r="Z931" s="115"/>
      <c r="AA931" s="115"/>
      <c r="AB931" s="122"/>
      <c r="AC931" s="122"/>
      <c r="AD931" s="122"/>
      <c r="AE931" s="115"/>
      <c r="AF931" s="115"/>
      <c r="AG931" s="115"/>
      <c r="AH931" s="115"/>
      <c r="AI931" s="115"/>
      <c r="AJ931" s="115"/>
      <c r="AK931" s="115"/>
      <c r="AL931" s="115"/>
      <c r="AM931" s="115"/>
      <c r="AN931" s="115"/>
      <c r="AO931" s="115"/>
      <c r="AP931" s="115"/>
      <c r="AQ931" s="115"/>
      <c r="AR931" s="115"/>
      <c r="AS931" s="26"/>
      <c r="AT931" s="15"/>
      <c r="AX931" s="117"/>
      <c r="AY931" s="116"/>
      <c r="AZ931" s="116"/>
      <c r="BA931" s="116"/>
    </row>
    <row r="932" spans="1:53" ht="19.5" x14ac:dyDescent="0.4">
      <c r="X932" s="115"/>
      <c r="Y932" s="115"/>
      <c r="Z932" s="115"/>
      <c r="AA932" s="115"/>
      <c r="AB932" s="122"/>
      <c r="AC932" s="122"/>
      <c r="AD932" s="122"/>
      <c r="AE932" s="115"/>
      <c r="AF932" s="115"/>
      <c r="AG932" s="115"/>
      <c r="AH932" s="115"/>
      <c r="AI932" s="115"/>
      <c r="AJ932" s="115"/>
      <c r="AK932" s="115"/>
      <c r="AL932" s="115"/>
      <c r="AM932" s="115"/>
      <c r="AN932" s="115"/>
      <c r="AO932" s="115"/>
      <c r="AP932" s="115"/>
      <c r="AQ932" s="115"/>
      <c r="AR932" s="115"/>
      <c r="AS932" s="26"/>
      <c r="AT932" s="15"/>
      <c r="AX932" s="117"/>
      <c r="AY932" s="116"/>
      <c r="AZ932" s="116"/>
      <c r="BA932" s="116"/>
    </row>
    <row r="933" spans="1:53" ht="19.5" x14ac:dyDescent="0.4">
      <c r="X933" s="115"/>
      <c r="Y933" s="115"/>
      <c r="Z933" s="115"/>
      <c r="AA933" s="115"/>
      <c r="AB933" s="122"/>
      <c r="AC933" s="122"/>
      <c r="AD933" s="122"/>
      <c r="AE933" s="115"/>
      <c r="AF933" s="115"/>
      <c r="AG933" s="115"/>
      <c r="AH933" s="115"/>
      <c r="AI933" s="115"/>
      <c r="AJ933" s="115"/>
      <c r="AK933" s="115"/>
      <c r="AL933" s="115"/>
      <c r="AM933" s="115"/>
      <c r="AN933" s="115"/>
      <c r="AO933" s="115"/>
      <c r="AP933" s="115"/>
      <c r="AQ933" s="115"/>
      <c r="AR933" s="115"/>
      <c r="AS933" s="17"/>
      <c r="AT933" s="15"/>
      <c r="AX933" s="117"/>
      <c r="AY933" s="116"/>
      <c r="AZ933" s="116"/>
      <c r="BA933" s="116"/>
    </row>
    <row r="934" spans="1:53" ht="19.5" x14ac:dyDescent="0.4">
      <c r="W934" s="115"/>
      <c r="X934" s="115"/>
      <c r="Y934" s="115"/>
      <c r="Z934" s="115"/>
      <c r="AA934" s="115"/>
      <c r="AB934" s="122"/>
      <c r="AC934" s="122"/>
      <c r="AD934" s="122"/>
      <c r="AE934" s="115"/>
      <c r="AF934" s="115"/>
      <c r="AG934" s="115"/>
      <c r="AH934" s="115"/>
      <c r="AI934" s="115"/>
      <c r="AJ934" s="115"/>
      <c r="AK934" s="115"/>
      <c r="AL934" s="115"/>
      <c r="AM934" s="115"/>
      <c r="AN934" s="115"/>
      <c r="AO934" s="115"/>
      <c r="AP934" s="115"/>
      <c r="AQ934" s="115"/>
      <c r="AR934" s="115"/>
      <c r="AS934" s="26"/>
      <c r="AT934" s="15"/>
      <c r="AX934" s="117"/>
      <c r="AY934" s="116"/>
      <c r="AZ934" s="116"/>
      <c r="BA934" s="116"/>
    </row>
    <row r="935" spans="1:53" ht="19.5" x14ac:dyDescent="0.4">
      <c r="W935" s="115"/>
      <c r="X935" s="115"/>
      <c r="Y935" s="115"/>
      <c r="Z935" s="115"/>
      <c r="AA935" s="115"/>
      <c r="AB935" s="122"/>
      <c r="AC935" s="122"/>
      <c r="AD935" s="122"/>
      <c r="AE935" s="115"/>
      <c r="AF935" s="115"/>
      <c r="AG935" s="115"/>
      <c r="AH935" s="115"/>
      <c r="AI935" s="115"/>
      <c r="AJ935" s="115"/>
      <c r="AK935" s="115"/>
      <c r="AL935" s="115"/>
      <c r="AM935" s="115"/>
      <c r="AN935" s="115"/>
      <c r="AO935" s="115"/>
      <c r="AP935" s="115"/>
      <c r="AQ935" s="115"/>
      <c r="AR935" s="115"/>
      <c r="AS935" s="26"/>
      <c r="AT935" s="15"/>
      <c r="AX935" s="117"/>
      <c r="AY935" s="116"/>
      <c r="AZ935" s="116"/>
      <c r="BA935" s="116"/>
    </row>
    <row r="936" spans="1:53" ht="19.5" x14ac:dyDescent="0.4">
      <c r="W936" s="115"/>
      <c r="X936" s="115"/>
      <c r="Y936" s="115"/>
      <c r="Z936" s="115"/>
      <c r="AA936" s="115"/>
      <c r="AB936" s="122"/>
      <c r="AC936" s="122"/>
      <c r="AD936" s="122"/>
      <c r="AE936" s="115"/>
      <c r="AF936" s="115"/>
      <c r="AG936" s="115"/>
      <c r="AH936" s="115"/>
      <c r="AI936" s="115"/>
      <c r="AJ936" s="115"/>
      <c r="AK936" s="115"/>
      <c r="AL936" s="115"/>
      <c r="AM936" s="115"/>
      <c r="AN936" s="115"/>
      <c r="AO936" s="115"/>
      <c r="AP936" s="115"/>
      <c r="AQ936" s="115"/>
      <c r="AR936" s="115"/>
      <c r="AS936" s="26"/>
      <c r="AT936" s="105"/>
      <c r="AX936" s="117"/>
      <c r="AY936" s="116"/>
      <c r="AZ936" s="116"/>
      <c r="BA936" s="116"/>
    </row>
    <row r="937" spans="1:53" ht="19.5" x14ac:dyDescent="0.4">
      <c r="W937" s="115"/>
      <c r="X937" s="115"/>
      <c r="Y937" s="115"/>
      <c r="Z937" s="115"/>
      <c r="AA937" s="115"/>
      <c r="AB937" s="122"/>
      <c r="AC937" s="122"/>
      <c r="AD937" s="122"/>
      <c r="AE937" s="115"/>
      <c r="AF937" s="115"/>
      <c r="AG937" s="115"/>
      <c r="AH937" s="115"/>
      <c r="AI937" s="115"/>
      <c r="AJ937" s="115"/>
      <c r="AK937" s="115"/>
      <c r="AL937" s="115"/>
      <c r="AM937" s="115"/>
      <c r="AN937" s="115"/>
      <c r="AO937" s="115"/>
      <c r="AP937" s="115"/>
      <c r="AQ937" s="115"/>
      <c r="AR937" s="115"/>
      <c r="AS937" s="17"/>
      <c r="AT937" s="15"/>
      <c r="AX937" s="117"/>
      <c r="AY937" s="116"/>
      <c r="AZ937" s="116"/>
      <c r="BA937" s="116"/>
    </row>
    <row r="938" spans="1:53" ht="19.5" x14ac:dyDescent="0.4">
      <c r="W938" s="115"/>
      <c r="X938" s="115"/>
      <c r="Y938" s="115"/>
      <c r="Z938" s="115"/>
      <c r="AA938" s="115"/>
      <c r="AB938" s="122"/>
      <c r="AC938" s="122"/>
      <c r="AD938" s="122"/>
      <c r="AE938" s="115"/>
      <c r="AF938" s="115"/>
      <c r="AG938" s="115"/>
      <c r="AH938" s="115"/>
      <c r="AI938" s="115"/>
      <c r="AJ938" s="115"/>
      <c r="AK938" s="115"/>
      <c r="AL938" s="115"/>
      <c r="AM938" s="115"/>
      <c r="AN938" s="115"/>
      <c r="AO938" s="115"/>
      <c r="AP938" s="115"/>
      <c r="AQ938" s="115"/>
      <c r="AR938" s="115"/>
      <c r="AS938" s="26"/>
      <c r="AT938" s="15"/>
      <c r="AX938" s="117"/>
      <c r="AY938" s="116"/>
      <c r="AZ938" s="116"/>
      <c r="BA938" s="116"/>
    </row>
    <row r="939" spans="1:53" ht="19.5" x14ac:dyDescent="0.4">
      <c r="W939" s="115"/>
      <c r="X939" s="115"/>
      <c r="Y939" s="115"/>
      <c r="Z939" s="115"/>
      <c r="AA939" s="115"/>
      <c r="AB939" s="122"/>
      <c r="AC939" s="122"/>
      <c r="AD939" s="122"/>
      <c r="AE939" s="115"/>
      <c r="AF939" s="115"/>
      <c r="AG939" s="115"/>
      <c r="AH939" s="115"/>
      <c r="AI939" s="115"/>
      <c r="AJ939" s="115"/>
      <c r="AK939" s="115"/>
      <c r="AL939" s="115"/>
      <c r="AM939" s="115"/>
      <c r="AN939" s="115"/>
      <c r="AO939" s="115"/>
      <c r="AP939" s="115"/>
      <c r="AQ939" s="115"/>
      <c r="AR939" s="115"/>
      <c r="AS939" s="17"/>
      <c r="AT939" s="15"/>
      <c r="AX939" s="117"/>
      <c r="AY939" s="116"/>
      <c r="AZ939" s="116"/>
      <c r="BA939" s="116"/>
    </row>
    <row r="940" spans="1:53" ht="19.5" x14ac:dyDescent="0.4"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  <c r="AA940" s="115"/>
      <c r="AB940" s="122"/>
      <c r="AC940" s="122"/>
      <c r="AD940" s="122"/>
      <c r="AE940" s="115"/>
      <c r="AF940" s="115"/>
      <c r="AG940" s="115"/>
      <c r="AH940" s="115"/>
      <c r="AI940" s="115"/>
      <c r="AJ940" s="115"/>
      <c r="AK940" s="115"/>
      <c r="AL940" s="115"/>
      <c r="AM940" s="115"/>
      <c r="AN940" s="115"/>
      <c r="AO940" s="115"/>
      <c r="AP940" s="115"/>
      <c r="AQ940" s="115"/>
      <c r="AR940" s="115"/>
      <c r="AS940" s="26"/>
      <c r="AT940" s="15"/>
      <c r="AX940" s="117"/>
      <c r="AY940" s="116"/>
      <c r="AZ940" s="116"/>
      <c r="BA940" s="116"/>
    </row>
    <row r="941" spans="1:53" ht="19.5" x14ac:dyDescent="0.4"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  <c r="AA941" s="115"/>
      <c r="AB941" s="122"/>
      <c r="AC941" s="122"/>
      <c r="AD941" s="122"/>
      <c r="AE941" s="115"/>
      <c r="AF941" s="115"/>
      <c r="AG941" s="115"/>
      <c r="AH941" s="115"/>
      <c r="AI941" s="115"/>
      <c r="AJ941" s="115"/>
      <c r="AK941" s="115"/>
      <c r="AL941" s="115"/>
      <c r="AM941" s="115"/>
      <c r="AN941" s="115"/>
      <c r="AO941" s="115"/>
      <c r="AP941" s="115"/>
      <c r="AQ941" s="115"/>
      <c r="AR941" s="115"/>
      <c r="AS941" s="17"/>
      <c r="AT941" s="15"/>
      <c r="AX941" s="117"/>
      <c r="AY941" s="116"/>
      <c r="AZ941" s="116"/>
      <c r="BA941" s="116"/>
    </row>
    <row r="942" spans="1:53" ht="19.5" x14ac:dyDescent="0.4"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  <c r="AA942" s="115"/>
      <c r="AB942" s="122"/>
      <c r="AC942" s="122"/>
      <c r="AD942" s="122"/>
      <c r="AE942" s="115"/>
      <c r="AF942" s="115"/>
      <c r="AG942" s="115"/>
      <c r="AH942" s="115"/>
      <c r="AI942" s="115"/>
      <c r="AJ942" s="115"/>
      <c r="AK942" s="115"/>
      <c r="AL942" s="115"/>
      <c r="AM942" s="115"/>
      <c r="AN942" s="115"/>
      <c r="AO942" s="115"/>
      <c r="AP942" s="115"/>
      <c r="AQ942" s="115"/>
      <c r="AR942" s="115"/>
      <c r="AS942" s="26"/>
      <c r="AT942" s="15"/>
      <c r="AX942" s="117"/>
      <c r="AY942" s="116"/>
      <c r="AZ942" s="116"/>
      <c r="BA942" s="116"/>
    </row>
    <row r="943" spans="1:53" ht="19.5" x14ac:dyDescent="0.4"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  <c r="AA943" s="115"/>
      <c r="AB943" s="122"/>
      <c r="AC943" s="122"/>
      <c r="AD943" s="122"/>
      <c r="AE943" s="115"/>
      <c r="AF943" s="115"/>
      <c r="AG943" s="115"/>
      <c r="AH943" s="115"/>
      <c r="AI943" s="115"/>
      <c r="AJ943" s="115"/>
      <c r="AK943" s="115"/>
      <c r="AL943" s="115"/>
      <c r="AM943" s="115"/>
      <c r="AN943" s="115"/>
      <c r="AO943" s="115"/>
      <c r="AP943" s="115"/>
      <c r="AQ943" s="115"/>
      <c r="AR943" s="115"/>
      <c r="AS943" s="17"/>
      <c r="AT943" s="15"/>
      <c r="AX943" s="117"/>
      <c r="AY943" s="116"/>
      <c r="AZ943" s="116"/>
      <c r="BA943" s="116"/>
    </row>
    <row r="944" spans="1:53" ht="19.5" x14ac:dyDescent="0.4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  <c r="AA944" s="115"/>
      <c r="AB944" s="122"/>
      <c r="AC944" s="122"/>
      <c r="AD944" s="122"/>
      <c r="AE944" s="115"/>
      <c r="AF944" s="115"/>
      <c r="AG944" s="115"/>
      <c r="AH944" s="115"/>
      <c r="AI944" s="115"/>
      <c r="AJ944" s="115"/>
      <c r="AK944" s="115"/>
      <c r="AL944" s="115"/>
      <c r="AM944" s="115"/>
      <c r="AN944" s="115"/>
      <c r="AO944" s="115"/>
      <c r="AP944" s="115"/>
      <c r="AQ944" s="115"/>
      <c r="AR944" s="115"/>
      <c r="AS944" s="26"/>
      <c r="AT944" s="15"/>
      <c r="AX944" s="117"/>
      <c r="AY944" s="116"/>
      <c r="AZ944" s="116"/>
      <c r="BA944" s="116"/>
    </row>
    <row r="945" spans="1:53" ht="19.5" x14ac:dyDescent="0.4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  <c r="AA945" s="115"/>
      <c r="AB945" s="122"/>
      <c r="AC945" s="122"/>
      <c r="AD945" s="122"/>
      <c r="AE945" s="115"/>
      <c r="AF945" s="115"/>
      <c r="AG945" s="115"/>
      <c r="AH945" s="115"/>
      <c r="AI945" s="115"/>
      <c r="AJ945" s="115"/>
      <c r="AK945" s="115"/>
      <c r="AL945" s="115"/>
      <c r="AM945" s="115"/>
      <c r="AN945" s="115"/>
      <c r="AO945" s="115"/>
      <c r="AP945" s="115"/>
      <c r="AQ945" s="115"/>
      <c r="AR945" s="115"/>
      <c r="AS945" s="26"/>
      <c r="AT945" s="15"/>
      <c r="AX945" s="117"/>
      <c r="AY945" s="116"/>
      <c r="AZ945" s="116"/>
      <c r="BA945" s="116"/>
    </row>
    <row r="946" spans="1:53" ht="19.5" x14ac:dyDescent="0.4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  <c r="AA946" s="115"/>
      <c r="AB946" s="122"/>
      <c r="AC946" s="122"/>
      <c r="AD946" s="122"/>
      <c r="AE946" s="115"/>
      <c r="AF946" s="115"/>
      <c r="AG946" s="115"/>
      <c r="AH946" s="115"/>
      <c r="AI946" s="115"/>
      <c r="AJ946" s="115"/>
      <c r="AK946" s="115"/>
      <c r="AL946" s="115"/>
      <c r="AM946" s="115"/>
      <c r="AN946" s="115"/>
      <c r="AO946" s="115"/>
      <c r="AP946" s="115"/>
      <c r="AQ946" s="115"/>
      <c r="AR946" s="115"/>
      <c r="AS946" s="26"/>
      <c r="AT946" s="15"/>
      <c r="AX946" s="117"/>
      <c r="AY946" s="116"/>
      <c r="AZ946" s="116"/>
      <c r="BA946" s="116"/>
    </row>
    <row r="947" spans="1:53" ht="19.5" x14ac:dyDescent="0.4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  <c r="AA947" s="115"/>
      <c r="AB947" s="122"/>
      <c r="AC947" s="122"/>
      <c r="AD947" s="122"/>
      <c r="AE947" s="115"/>
      <c r="AF947" s="115"/>
      <c r="AG947" s="115"/>
      <c r="AH947" s="115"/>
      <c r="AI947" s="115"/>
      <c r="AJ947" s="115"/>
      <c r="AK947" s="115"/>
      <c r="AL947" s="115"/>
      <c r="AM947" s="115"/>
      <c r="AN947" s="115"/>
      <c r="AO947" s="115"/>
      <c r="AP947" s="115"/>
      <c r="AQ947" s="115"/>
      <c r="AR947" s="115"/>
      <c r="AS947" s="26"/>
      <c r="AT947" s="15"/>
      <c r="AX947" s="117"/>
      <c r="AY947" s="116"/>
      <c r="AZ947" s="116"/>
      <c r="BA947" s="116"/>
    </row>
    <row r="948" spans="1:53" ht="19.5" x14ac:dyDescent="0.4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  <c r="AA948" s="115"/>
      <c r="AB948" s="122"/>
      <c r="AC948" s="122"/>
      <c r="AD948" s="122"/>
      <c r="AE948" s="115"/>
      <c r="AF948" s="115"/>
      <c r="AG948" s="115"/>
      <c r="AH948" s="115"/>
      <c r="AI948" s="115"/>
      <c r="AJ948" s="115"/>
      <c r="AK948" s="115"/>
      <c r="AL948" s="115"/>
      <c r="AM948" s="115"/>
      <c r="AN948" s="115"/>
      <c r="AO948" s="115"/>
      <c r="AP948" s="115"/>
      <c r="AQ948" s="115"/>
      <c r="AR948" s="115"/>
      <c r="AS948" s="26"/>
      <c r="AT948" s="15"/>
      <c r="AX948" s="117"/>
      <c r="AY948" s="116"/>
      <c r="AZ948" s="116"/>
      <c r="BA948" s="116"/>
    </row>
    <row r="949" spans="1:53" ht="19.5" x14ac:dyDescent="0.4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  <c r="AA949" s="115"/>
      <c r="AB949" s="122"/>
      <c r="AC949" s="122"/>
      <c r="AD949" s="122"/>
      <c r="AE949" s="115"/>
      <c r="AF949" s="115"/>
      <c r="AG949" s="115"/>
      <c r="AH949" s="115"/>
      <c r="AI949" s="115"/>
      <c r="AJ949" s="115"/>
      <c r="AK949" s="115"/>
      <c r="AL949" s="115"/>
      <c r="AM949" s="115"/>
      <c r="AN949" s="115"/>
      <c r="AO949" s="115"/>
      <c r="AP949" s="115"/>
      <c r="AQ949" s="115"/>
      <c r="AR949" s="115"/>
      <c r="AS949" s="26"/>
      <c r="AT949" s="15"/>
      <c r="AX949" s="117"/>
      <c r="AY949" s="116"/>
      <c r="AZ949" s="116"/>
      <c r="BA949" s="116"/>
    </row>
    <row r="950" spans="1:53" ht="19.5" x14ac:dyDescent="0.4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  <c r="AA950" s="115"/>
      <c r="AB950" s="122"/>
      <c r="AC950" s="122"/>
      <c r="AD950" s="122"/>
      <c r="AE950" s="115"/>
      <c r="AF950" s="115"/>
      <c r="AG950" s="115"/>
      <c r="AH950" s="115"/>
      <c r="AI950" s="115"/>
      <c r="AJ950" s="115"/>
      <c r="AK950" s="115"/>
      <c r="AL950" s="115"/>
      <c r="AM950" s="115"/>
      <c r="AN950" s="115"/>
      <c r="AO950" s="115"/>
      <c r="AP950" s="115"/>
      <c r="AQ950" s="115"/>
      <c r="AR950" s="115"/>
      <c r="AS950" s="17"/>
      <c r="AT950" s="15"/>
      <c r="AX950" s="117"/>
      <c r="AY950" s="116"/>
      <c r="AZ950" s="116"/>
      <c r="BA950" s="116"/>
    </row>
    <row r="951" spans="1:53" ht="19.5" x14ac:dyDescent="0.4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  <c r="AA951" s="115"/>
      <c r="AB951" s="122"/>
      <c r="AC951" s="122"/>
      <c r="AD951" s="122"/>
      <c r="AE951" s="115"/>
      <c r="AF951" s="115"/>
      <c r="AG951" s="115"/>
      <c r="AH951" s="115"/>
      <c r="AI951" s="115"/>
      <c r="AJ951" s="115"/>
      <c r="AK951" s="115"/>
      <c r="AL951" s="115"/>
      <c r="AM951" s="115"/>
      <c r="AN951" s="115"/>
      <c r="AO951" s="115"/>
      <c r="AP951" s="115"/>
      <c r="AQ951" s="115"/>
      <c r="AR951" s="115"/>
      <c r="AS951" s="26"/>
      <c r="AT951" s="15"/>
      <c r="AX951" s="117"/>
      <c r="AY951" s="116"/>
      <c r="AZ951" s="116"/>
      <c r="BA951" s="116"/>
    </row>
    <row r="952" spans="1:53" ht="19.5" x14ac:dyDescent="0.4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  <c r="AA952" s="115"/>
      <c r="AB952" s="122"/>
      <c r="AC952" s="122"/>
      <c r="AD952" s="122"/>
      <c r="AE952" s="115"/>
      <c r="AF952" s="115"/>
      <c r="AG952" s="115"/>
      <c r="AH952" s="115"/>
      <c r="AI952" s="115"/>
      <c r="AJ952" s="115"/>
      <c r="AK952" s="115"/>
      <c r="AL952" s="115"/>
      <c r="AM952" s="115"/>
      <c r="AN952" s="115"/>
      <c r="AO952" s="115"/>
      <c r="AP952" s="115"/>
      <c r="AQ952" s="115"/>
      <c r="AR952" s="115"/>
      <c r="AS952" s="17"/>
      <c r="AT952" s="15"/>
      <c r="AX952" s="117"/>
      <c r="AY952" s="116"/>
      <c r="AZ952" s="116"/>
      <c r="BA952" s="116"/>
    </row>
    <row r="953" spans="1:53" ht="19.5" x14ac:dyDescent="0.4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  <c r="AA953" s="115"/>
      <c r="AB953" s="122"/>
      <c r="AC953" s="122"/>
      <c r="AD953" s="122"/>
      <c r="AE953" s="115"/>
      <c r="AF953" s="115"/>
      <c r="AG953" s="115"/>
      <c r="AH953" s="115"/>
      <c r="AI953" s="115"/>
      <c r="AJ953" s="115"/>
      <c r="AK953" s="115"/>
      <c r="AL953" s="115"/>
      <c r="AM953" s="115"/>
      <c r="AN953" s="115"/>
      <c r="AO953" s="115"/>
      <c r="AP953" s="115"/>
      <c r="AQ953" s="115"/>
      <c r="AR953" s="115"/>
      <c r="AS953" s="26"/>
      <c r="AT953" s="15"/>
      <c r="AX953" s="117"/>
      <c r="AY953" s="116"/>
      <c r="AZ953" s="116"/>
      <c r="BA953" s="116"/>
    </row>
    <row r="954" spans="1:53" ht="19.5" x14ac:dyDescent="0.4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  <c r="AA954" s="115"/>
      <c r="AB954" s="122"/>
      <c r="AC954" s="122"/>
      <c r="AD954" s="122"/>
      <c r="AE954" s="115"/>
      <c r="AF954" s="115"/>
      <c r="AG954" s="115"/>
      <c r="AH954" s="115"/>
      <c r="AI954" s="115"/>
      <c r="AJ954" s="115"/>
      <c r="AK954" s="115"/>
      <c r="AL954" s="115"/>
      <c r="AM954" s="115"/>
      <c r="AN954" s="115"/>
      <c r="AO954" s="115"/>
      <c r="AP954" s="115"/>
      <c r="AQ954" s="115"/>
      <c r="AR954" s="115"/>
      <c r="AS954" s="20"/>
      <c r="AT954" s="15"/>
      <c r="AX954" s="117"/>
      <c r="AY954" s="116"/>
      <c r="AZ954" s="116"/>
      <c r="BA954" s="116"/>
    </row>
    <row r="955" spans="1:53" ht="19.5" x14ac:dyDescent="0.4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  <c r="AA955" s="115"/>
      <c r="AB955" s="122"/>
      <c r="AC955" s="122"/>
      <c r="AD955" s="122"/>
      <c r="AE955" s="115"/>
      <c r="AF955" s="115"/>
      <c r="AG955" s="115"/>
      <c r="AH955" s="115"/>
      <c r="AI955" s="115"/>
      <c r="AJ955" s="115"/>
      <c r="AK955" s="115"/>
      <c r="AL955" s="115"/>
      <c r="AM955" s="115"/>
      <c r="AN955" s="115"/>
      <c r="AO955" s="115"/>
      <c r="AP955" s="115"/>
      <c r="AQ955" s="115"/>
      <c r="AR955" s="115"/>
      <c r="AS955" s="20"/>
      <c r="AT955" s="15"/>
      <c r="AX955" s="117"/>
      <c r="AY955" s="116"/>
      <c r="AZ955" s="116"/>
      <c r="BA955" s="116"/>
    </row>
    <row r="956" spans="1:53" ht="19.5" x14ac:dyDescent="0.4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  <c r="AA956" s="115"/>
      <c r="AB956" s="122"/>
      <c r="AC956" s="122"/>
      <c r="AD956" s="122"/>
      <c r="AE956" s="115"/>
      <c r="AF956" s="115"/>
      <c r="AG956" s="115"/>
      <c r="AH956" s="115"/>
      <c r="AI956" s="115"/>
      <c r="AJ956" s="115"/>
      <c r="AK956" s="115"/>
      <c r="AL956" s="115"/>
      <c r="AM956" s="115"/>
      <c r="AN956" s="115"/>
      <c r="AO956" s="115"/>
      <c r="AP956" s="115"/>
      <c r="AQ956" s="115"/>
      <c r="AR956" s="115"/>
      <c r="AS956" s="20"/>
      <c r="AT956" s="15"/>
      <c r="AX956" s="117"/>
      <c r="AY956" s="116"/>
      <c r="AZ956" s="116"/>
      <c r="BA956" s="116"/>
    </row>
    <row r="957" spans="1:53" ht="19.5" x14ac:dyDescent="0.4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  <c r="AA957" s="115"/>
      <c r="AB957" s="122"/>
      <c r="AC957" s="122"/>
      <c r="AD957" s="122"/>
      <c r="AE957" s="115"/>
      <c r="AF957" s="115"/>
      <c r="AG957" s="115"/>
      <c r="AH957" s="115"/>
      <c r="AI957" s="115"/>
      <c r="AJ957" s="115"/>
      <c r="AK957" s="115"/>
      <c r="AL957" s="115"/>
      <c r="AM957" s="115"/>
      <c r="AN957" s="115"/>
      <c r="AO957" s="115"/>
      <c r="AP957" s="115"/>
      <c r="AQ957" s="115"/>
      <c r="AR957" s="115"/>
      <c r="AS957" s="20"/>
      <c r="AT957" s="15"/>
      <c r="AX957" s="117"/>
      <c r="AY957" s="116"/>
      <c r="AZ957" s="116"/>
      <c r="BA957" s="116"/>
    </row>
    <row r="958" spans="1:53" ht="19.5" x14ac:dyDescent="0.4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  <c r="AA958" s="115"/>
      <c r="AB958" s="122"/>
      <c r="AC958" s="122"/>
      <c r="AD958" s="122"/>
      <c r="AE958" s="115"/>
      <c r="AF958" s="115"/>
      <c r="AG958" s="115"/>
      <c r="AH958" s="115"/>
      <c r="AI958" s="115"/>
      <c r="AJ958" s="115"/>
      <c r="AK958" s="115"/>
      <c r="AL958" s="115"/>
      <c r="AM958" s="115"/>
      <c r="AN958" s="115"/>
      <c r="AO958" s="115"/>
      <c r="AP958" s="115"/>
      <c r="AQ958" s="115"/>
      <c r="AR958" s="115"/>
      <c r="AS958" s="25"/>
      <c r="AT958" s="15"/>
      <c r="AX958" s="117"/>
      <c r="AY958" s="116"/>
      <c r="AZ958" s="116"/>
      <c r="BA958" s="116"/>
    </row>
    <row r="959" spans="1:53" ht="19.5" x14ac:dyDescent="0.4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  <c r="AA959" s="115"/>
      <c r="AB959" s="122"/>
      <c r="AC959" s="122"/>
      <c r="AD959" s="122"/>
      <c r="AE959" s="115"/>
      <c r="AF959" s="115"/>
      <c r="AG959" s="115"/>
      <c r="AH959" s="115"/>
      <c r="AI959" s="115"/>
      <c r="AJ959" s="115"/>
      <c r="AK959" s="115"/>
      <c r="AL959" s="115"/>
      <c r="AM959" s="115"/>
      <c r="AN959" s="115"/>
      <c r="AO959" s="115"/>
      <c r="AP959" s="115"/>
      <c r="AQ959" s="115"/>
      <c r="AR959" s="115"/>
      <c r="AS959" s="13"/>
      <c r="AT959" s="15"/>
      <c r="AX959" s="117"/>
      <c r="AY959" s="116"/>
      <c r="AZ959" s="116"/>
      <c r="BA959" s="116"/>
    </row>
    <row r="960" spans="1:53" ht="19.5" x14ac:dyDescent="0.4">
      <c r="AS960" s="25"/>
      <c r="AT960" s="15"/>
      <c r="AX960" s="117"/>
      <c r="AY960" s="116"/>
      <c r="AZ960" s="116"/>
      <c r="BA960" s="116"/>
    </row>
    <row r="961" spans="1:53" ht="19.5" x14ac:dyDescent="0.4">
      <c r="Y961" s="115"/>
      <c r="Z961" s="115"/>
      <c r="AA961" s="115"/>
      <c r="AB961" s="122"/>
      <c r="AC961" s="122"/>
      <c r="AD961" s="122"/>
      <c r="AE961" s="115"/>
      <c r="AF961" s="115"/>
      <c r="AG961" s="115"/>
      <c r="AH961" s="115"/>
      <c r="AI961" s="115"/>
      <c r="AJ961" s="115"/>
      <c r="AK961" s="115"/>
      <c r="AL961" s="115"/>
      <c r="AM961" s="115"/>
      <c r="AN961" s="115"/>
      <c r="AO961" s="115"/>
      <c r="AP961" s="115"/>
      <c r="AQ961" s="115"/>
      <c r="AR961" s="115"/>
      <c r="AS961" s="13"/>
      <c r="AT961" s="15"/>
      <c r="AX961" s="117"/>
      <c r="AY961" s="116"/>
      <c r="AZ961" s="116"/>
      <c r="BA961" s="116"/>
    </row>
    <row r="962" spans="1:53" ht="19.5" x14ac:dyDescent="0.4"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  <c r="AA962" s="115"/>
      <c r="AB962" s="122"/>
      <c r="AC962" s="122"/>
      <c r="AD962" s="122"/>
      <c r="AE962" s="115"/>
      <c r="AF962" s="115"/>
      <c r="AG962" s="115"/>
      <c r="AH962" s="115"/>
      <c r="AI962" s="115"/>
      <c r="AJ962" s="115"/>
      <c r="AK962" s="115"/>
      <c r="AL962" s="115"/>
      <c r="AM962" s="115"/>
      <c r="AN962" s="115"/>
      <c r="AO962" s="115"/>
      <c r="AP962" s="115"/>
      <c r="AQ962" s="115"/>
      <c r="AR962" s="115"/>
      <c r="AS962" s="25"/>
      <c r="AT962" s="15"/>
      <c r="AX962" s="117"/>
      <c r="AY962" s="116"/>
      <c r="AZ962" s="116"/>
      <c r="BA962" s="116"/>
    </row>
    <row r="963" spans="1:53" ht="19.5" x14ac:dyDescent="0.4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  <c r="AA963" s="115"/>
      <c r="AB963" s="122"/>
      <c r="AC963" s="122"/>
      <c r="AD963" s="122"/>
      <c r="AE963" s="115"/>
      <c r="AF963" s="115"/>
      <c r="AG963" s="115"/>
      <c r="AH963" s="115"/>
      <c r="AI963" s="115"/>
      <c r="AJ963" s="115"/>
      <c r="AK963" s="115"/>
      <c r="AL963" s="115"/>
      <c r="AM963" s="115"/>
      <c r="AN963" s="115"/>
      <c r="AO963" s="115"/>
      <c r="AP963" s="115"/>
      <c r="AQ963" s="115"/>
      <c r="AR963" s="115"/>
      <c r="AS963" s="25"/>
      <c r="AT963" s="15"/>
      <c r="AX963" s="117"/>
      <c r="AY963" s="116"/>
      <c r="AZ963" s="116"/>
      <c r="BA963" s="116"/>
    </row>
    <row r="964" spans="1:53" ht="19.5" x14ac:dyDescent="0.4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  <c r="AA964" s="115"/>
      <c r="AB964" s="122"/>
      <c r="AC964" s="122"/>
      <c r="AD964" s="122"/>
      <c r="AE964" s="115"/>
      <c r="AF964" s="115"/>
      <c r="AG964" s="115"/>
      <c r="AH964" s="115"/>
      <c r="AI964" s="115"/>
      <c r="AJ964" s="115"/>
      <c r="AK964" s="115"/>
      <c r="AL964" s="115"/>
      <c r="AM964" s="115"/>
      <c r="AN964" s="115"/>
      <c r="AO964" s="115"/>
      <c r="AP964" s="115"/>
      <c r="AQ964" s="115"/>
      <c r="AR964" s="115"/>
      <c r="AS964" s="13"/>
      <c r="AT964" s="15"/>
      <c r="AX964" s="117"/>
      <c r="AY964" s="116"/>
      <c r="AZ964" s="116"/>
      <c r="BA964" s="116"/>
    </row>
    <row r="965" spans="1:53" ht="19.5" x14ac:dyDescent="0.4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  <c r="AA965" s="115"/>
      <c r="AB965" s="122"/>
      <c r="AC965" s="122"/>
      <c r="AD965" s="122"/>
      <c r="AE965" s="115"/>
      <c r="AF965" s="115"/>
      <c r="AG965" s="115"/>
      <c r="AH965" s="115"/>
      <c r="AI965" s="115"/>
      <c r="AJ965" s="115"/>
      <c r="AK965" s="115"/>
      <c r="AL965" s="115"/>
      <c r="AM965" s="115"/>
      <c r="AN965" s="115"/>
      <c r="AO965" s="115"/>
      <c r="AP965" s="115"/>
      <c r="AQ965" s="115"/>
      <c r="AR965" s="115"/>
      <c r="AS965" s="25"/>
      <c r="AT965" s="15"/>
      <c r="AX965" s="117"/>
      <c r="AY965" s="116"/>
      <c r="AZ965" s="116"/>
      <c r="BA965" s="116"/>
    </row>
    <row r="966" spans="1:53" ht="19.5" x14ac:dyDescent="0.4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  <c r="AA966" s="115"/>
      <c r="AB966" s="122"/>
      <c r="AC966" s="122"/>
      <c r="AD966" s="122"/>
      <c r="AE966" s="115"/>
      <c r="AF966" s="115"/>
      <c r="AG966" s="115"/>
      <c r="AH966" s="115"/>
      <c r="AI966" s="115"/>
      <c r="AJ966" s="115"/>
      <c r="AK966" s="115"/>
      <c r="AL966" s="115"/>
      <c r="AM966" s="115"/>
      <c r="AN966" s="115"/>
      <c r="AO966" s="115"/>
      <c r="AP966" s="115"/>
      <c r="AQ966" s="115"/>
      <c r="AR966" s="115"/>
      <c r="AS966" s="13"/>
      <c r="AT966" s="15"/>
      <c r="AX966" s="117"/>
      <c r="AY966" s="116"/>
      <c r="AZ966" s="116"/>
      <c r="BA966" s="116"/>
    </row>
    <row r="967" spans="1:53" ht="19.5" x14ac:dyDescent="0.4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  <c r="AA967" s="115"/>
      <c r="AB967" s="122"/>
      <c r="AC967" s="122"/>
      <c r="AD967" s="122"/>
      <c r="AE967" s="115"/>
      <c r="AF967" s="115"/>
      <c r="AG967" s="115"/>
      <c r="AH967" s="115"/>
      <c r="AI967" s="115"/>
      <c r="AJ967" s="115"/>
      <c r="AK967" s="115"/>
      <c r="AL967" s="115"/>
      <c r="AM967" s="115"/>
      <c r="AN967" s="115"/>
      <c r="AO967" s="115"/>
      <c r="AP967" s="115"/>
      <c r="AQ967" s="115"/>
      <c r="AR967" s="115"/>
      <c r="AS967" s="25"/>
      <c r="AT967" s="15"/>
      <c r="AX967" s="117"/>
      <c r="AY967" s="116"/>
      <c r="AZ967" s="116"/>
      <c r="BA967" s="116"/>
    </row>
    <row r="968" spans="1:53" ht="19.5" x14ac:dyDescent="0.4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  <c r="AA968" s="115"/>
      <c r="AB968" s="122"/>
      <c r="AC968" s="122"/>
      <c r="AD968" s="122"/>
      <c r="AE968" s="115"/>
      <c r="AF968" s="115"/>
      <c r="AG968" s="115"/>
      <c r="AH968" s="115"/>
      <c r="AI968" s="115"/>
      <c r="AJ968" s="115"/>
      <c r="AK968" s="115"/>
      <c r="AL968" s="115"/>
      <c r="AM968" s="115"/>
      <c r="AN968" s="115"/>
      <c r="AO968" s="115"/>
      <c r="AP968" s="115"/>
      <c r="AQ968" s="115"/>
      <c r="AR968" s="115"/>
      <c r="AS968" s="26"/>
      <c r="AT968" s="15"/>
      <c r="AX968" s="117"/>
      <c r="AY968" s="116"/>
      <c r="AZ968" s="116"/>
      <c r="BA968" s="116"/>
    </row>
    <row r="969" spans="1:53" ht="19.5" x14ac:dyDescent="0.4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  <c r="AA969" s="115"/>
      <c r="AB969" s="122"/>
      <c r="AC969" s="122"/>
      <c r="AD969" s="122"/>
      <c r="AE969" s="115"/>
      <c r="AF969" s="115"/>
      <c r="AG969" s="115"/>
      <c r="AH969" s="115"/>
      <c r="AI969" s="115"/>
      <c r="AJ969" s="115"/>
      <c r="AK969" s="115"/>
      <c r="AL969" s="115"/>
      <c r="AM969" s="115"/>
      <c r="AN969" s="115"/>
      <c r="AO969" s="115"/>
      <c r="AP969" s="115"/>
      <c r="AQ969" s="115"/>
      <c r="AR969" s="115"/>
      <c r="AS969" s="17"/>
      <c r="AT969" s="13"/>
      <c r="AX969" s="117"/>
      <c r="AY969" s="116"/>
      <c r="AZ969" s="116"/>
      <c r="BA969" s="116"/>
    </row>
    <row r="970" spans="1:53" ht="19.5" x14ac:dyDescent="0.4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  <c r="AA970" s="115"/>
      <c r="AB970" s="122"/>
      <c r="AC970" s="122"/>
      <c r="AD970" s="122"/>
      <c r="AE970" s="115"/>
      <c r="AF970" s="115"/>
      <c r="AG970" s="115"/>
      <c r="AH970" s="115"/>
      <c r="AI970" s="115"/>
      <c r="AJ970" s="115"/>
      <c r="AK970" s="115"/>
      <c r="AL970" s="115"/>
      <c r="AM970" s="115"/>
      <c r="AN970" s="115"/>
      <c r="AO970" s="115"/>
      <c r="AP970" s="115"/>
      <c r="AQ970" s="115"/>
      <c r="AR970" s="115"/>
      <c r="AS970" s="26"/>
      <c r="AT970" s="13"/>
      <c r="AX970" s="117"/>
      <c r="AY970" s="116"/>
      <c r="AZ970" s="116"/>
      <c r="BA970" s="116"/>
    </row>
    <row r="971" spans="1:53" ht="19.5" x14ac:dyDescent="0.4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  <c r="AA971" s="115"/>
      <c r="AB971" s="122"/>
      <c r="AC971" s="122"/>
      <c r="AD971" s="122"/>
      <c r="AE971" s="115"/>
      <c r="AF971" s="115"/>
      <c r="AG971" s="115"/>
      <c r="AH971" s="115"/>
      <c r="AI971" s="115"/>
      <c r="AJ971" s="115"/>
      <c r="AK971" s="115"/>
      <c r="AL971" s="115"/>
      <c r="AM971" s="115"/>
      <c r="AN971" s="115"/>
      <c r="AO971" s="115"/>
      <c r="AP971" s="115"/>
      <c r="AQ971" s="115"/>
      <c r="AR971" s="115"/>
      <c r="AS971" s="17"/>
      <c r="AT971" s="13"/>
      <c r="AX971" s="117"/>
      <c r="AY971" s="116"/>
      <c r="AZ971" s="116"/>
      <c r="BA971" s="116"/>
    </row>
    <row r="972" spans="1:53" ht="19.5" x14ac:dyDescent="0.4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  <c r="AA972" s="115"/>
      <c r="AB972" s="122"/>
      <c r="AC972" s="122"/>
      <c r="AD972" s="122"/>
      <c r="AE972" s="115"/>
      <c r="AF972" s="115"/>
      <c r="AG972" s="115"/>
      <c r="AH972" s="115"/>
      <c r="AI972" s="115"/>
      <c r="AJ972" s="115"/>
      <c r="AK972" s="115"/>
      <c r="AL972" s="115"/>
      <c r="AM972" s="115"/>
      <c r="AN972" s="115"/>
      <c r="AO972" s="115"/>
      <c r="AP972" s="115"/>
      <c r="AQ972" s="115"/>
      <c r="AR972" s="115"/>
      <c r="AS972" s="26"/>
      <c r="AT972" s="15"/>
      <c r="AX972" s="117"/>
      <c r="AY972" s="116"/>
      <c r="AZ972" s="116"/>
      <c r="BA972" s="116"/>
    </row>
    <row r="973" spans="1:53" ht="19.5" x14ac:dyDescent="0.4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  <c r="AA973" s="115"/>
      <c r="AB973" s="122"/>
      <c r="AC973" s="122"/>
      <c r="AD973" s="122"/>
      <c r="AE973" s="115"/>
      <c r="AF973" s="115"/>
      <c r="AG973" s="115"/>
      <c r="AH973" s="115"/>
      <c r="AI973" s="115"/>
      <c r="AJ973" s="115"/>
      <c r="AK973" s="115"/>
      <c r="AL973" s="115"/>
      <c r="AM973" s="115"/>
      <c r="AN973" s="115"/>
      <c r="AO973" s="115"/>
      <c r="AP973" s="115"/>
      <c r="AQ973" s="115"/>
      <c r="AR973" s="115"/>
      <c r="AS973" s="17"/>
      <c r="AT973" s="15"/>
      <c r="AX973" s="117"/>
      <c r="AY973" s="116"/>
      <c r="AZ973" s="116"/>
      <c r="BA973" s="116"/>
    </row>
    <row r="974" spans="1:53" ht="19.5" x14ac:dyDescent="0.4">
      <c r="AS974" s="26"/>
      <c r="AT974" s="105"/>
      <c r="AX974" s="117"/>
      <c r="AY974" s="116"/>
      <c r="AZ974" s="116"/>
      <c r="BA974" s="116"/>
    </row>
    <row r="975" spans="1:53" ht="19.5" x14ac:dyDescent="0.4">
      <c r="Y975" s="115"/>
      <c r="Z975" s="115"/>
      <c r="AA975" s="115"/>
      <c r="AB975" s="122"/>
      <c r="AC975" s="122"/>
      <c r="AD975" s="122"/>
      <c r="AE975" s="115"/>
      <c r="AF975" s="115"/>
      <c r="AG975" s="115"/>
      <c r="AH975" s="115"/>
      <c r="AI975" s="115"/>
      <c r="AJ975" s="115"/>
      <c r="AK975" s="115"/>
      <c r="AL975" s="115"/>
      <c r="AM975" s="115"/>
      <c r="AN975" s="115"/>
      <c r="AO975" s="115"/>
      <c r="AP975" s="115"/>
      <c r="AQ975" s="115"/>
      <c r="AR975" s="115"/>
      <c r="AS975" s="17"/>
      <c r="AT975" s="15"/>
      <c r="AX975" s="117"/>
      <c r="AY975" s="116"/>
      <c r="AZ975" s="116"/>
      <c r="BA975" s="116"/>
    </row>
    <row r="976" spans="1:53" ht="19.5" x14ac:dyDescent="0.4">
      <c r="V976" s="115"/>
      <c r="W976" s="115"/>
      <c r="X976" s="115"/>
      <c r="Y976" s="115"/>
      <c r="Z976" s="115"/>
      <c r="AA976" s="115"/>
      <c r="AB976" s="122"/>
      <c r="AC976" s="122"/>
      <c r="AD976" s="122"/>
      <c r="AE976" s="115"/>
      <c r="AF976" s="115"/>
      <c r="AG976" s="115"/>
      <c r="AH976" s="115"/>
      <c r="AI976" s="115"/>
      <c r="AJ976" s="115"/>
      <c r="AK976" s="115"/>
      <c r="AL976" s="115"/>
      <c r="AM976" s="115"/>
      <c r="AN976" s="115"/>
      <c r="AO976" s="115"/>
      <c r="AP976" s="115"/>
      <c r="AQ976" s="115"/>
      <c r="AR976" s="115"/>
      <c r="AS976" s="26"/>
      <c r="AT976" s="15"/>
      <c r="AX976" s="117"/>
      <c r="AY976" s="116"/>
      <c r="AZ976" s="116"/>
      <c r="BA976" s="116"/>
    </row>
    <row r="977" spans="1:53" ht="19.5" x14ac:dyDescent="0.4">
      <c r="V977" s="115"/>
      <c r="W977" s="115"/>
      <c r="X977" s="115"/>
      <c r="Y977" s="115"/>
      <c r="Z977" s="115"/>
      <c r="AA977" s="115"/>
      <c r="AB977" s="122"/>
      <c r="AC977" s="122"/>
      <c r="AD977" s="122"/>
      <c r="AE977" s="115"/>
      <c r="AF977" s="115"/>
      <c r="AG977" s="115"/>
      <c r="AH977" s="115"/>
      <c r="AI977" s="115"/>
      <c r="AJ977" s="115"/>
      <c r="AK977" s="115"/>
      <c r="AL977" s="115"/>
      <c r="AM977" s="115"/>
      <c r="AN977" s="115"/>
      <c r="AO977" s="115"/>
      <c r="AP977" s="115"/>
      <c r="AQ977" s="115"/>
      <c r="AR977" s="115"/>
      <c r="AS977" s="17"/>
      <c r="AT977" s="15"/>
      <c r="AX977" s="117"/>
      <c r="AY977" s="116"/>
      <c r="AZ977" s="116"/>
      <c r="BA977" s="116"/>
    </row>
    <row r="978" spans="1:53" ht="19.5" x14ac:dyDescent="0.4"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  <c r="AB978" s="122"/>
      <c r="AC978" s="122"/>
      <c r="AD978" s="122"/>
      <c r="AE978" s="115"/>
      <c r="AF978" s="115"/>
      <c r="AG978" s="115"/>
      <c r="AH978" s="115"/>
      <c r="AI978" s="115"/>
      <c r="AJ978" s="115"/>
      <c r="AK978" s="115"/>
      <c r="AL978" s="115"/>
      <c r="AM978" s="115"/>
      <c r="AN978" s="115"/>
      <c r="AO978" s="115"/>
      <c r="AP978" s="115"/>
      <c r="AQ978" s="115"/>
      <c r="AR978" s="115"/>
      <c r="AS978" s="26"/>
      <c r="AT978" s="15"/>
      <c r="AX978" s="117"/>
      <c r="AY978" s="116"/>
      <c r="AZ978" s="116"/>
      <c r="BA978" s="116"/>
    </row>
    <row r="979" spans="1:53" ht="19.5" x14ac:dyDescent="0.4"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  <c r="AB979" s="122"/>
      <c r="AC979" s="122"/>
      <c r="AD979" s="122"/>
      <c r="AE979" s="115"/>
      <c r="AF979" s="115"/>
      <c r="AG979" s="115"/>
      <c r="AH979" s="115"/>
      <c r="AI979" s="115"/>
      <c r="AJ979" s="115"/>
      <c r="AK979" s="115"/>
      <c r="AL979" s="115"/>
      <c r="AM979" s="115"/>
      <c r="AN979" s="115"/>
      <c r="AO979" s="115"/>
      <c r="AP979" s="115"/>
      <c r="AQ979" s="115"/>
      <c r="AR979" s="115"/>
      <c r="AS979" s="17"/>
      <c r="AT979" s="15"/>
      <c r="AX979" s="117"/>
      <c r="AY979" s="116"/>
      <c r="AZ979" s="116"/>
      <c r="BA979" s="116"/>
    </row>
    <row r="980" spans="1:53" ht="19.5" x14ac:dyDescent="0.4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  <c r="AB980" s="122"/>
      <c r="AC980" s="122"/>
      <c r="AD980" s="122"/>
      <c r="AE980" s="115"/>
      <c r="AF980" s="115"/>
      <c r="AG980" s="115"/>
      <c r="AH980" s="115"/>
      <c r="AI980" s="115"/>
      <c r="AJ980" s="115"/>
      <c r="AK980" s="115"/>
      <c r="AL980" s="115"/>
      <c r="AM980" s="115"/>
      <c r="AN980" s="115"/>
      <c r="AO980" s="115"/>
      <c r="AP980" s="115"/>
      <c r="AQ980" s="115"/>
      <c r="AR980" s="115"/>
      <c r="AS980" s="26"/>
      <c r="AT980" s="15"/>
      <c r="AX980" s="117"/>
      <c r="AY980" s="116"/>
      <c r="AZ980" s="116"/>
      <c r="BA980" s="116"/>
    </row>
    <row r="981" spans="1:53" ht="19.5" x14ac:dyDescent="0.4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  <c r="AB981" s="122"/>
      <c r="AC981" s="122"/>
      <c r="AD981" s="122"/>
      <c r="AE981" s="115"/>
      <c r="AF981" s="115"/>
      <c r="AG981" s="115"/>
      <c r="AH981" s="115"/>
      <c r="AI981" s="115"/>
      <c r="AJ981" s="115"/>
      <c r="AK981" s="115"/>
      <c r="AL981" s="115"/>
      <c r="AM981" s="115"/>
      <c r="AN981" s="115"/>
      <c r="AO981" s="115"/>
      <c r="AP981" s="115"/>
      <c r="AQ981" s="115"/>
      <c r="AR981" s="115"/>
      <c r="AS981" s="26"/>
      <c r="AT981" s="15"/>
      <c r="AX981" s="117"/>
      <c r="AY981" s="116"/>
      <c r="AZ981" s="116"/>
      <c r="BA981" s="116"/>
    </row>
    <row r="982" spans="1:53" ht="19.5" x14ac:dyDescent="0.4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  <c r="AB982" s="122"/>
      <c r="AC982" s="122"/>
      <c r="AD982" s="122"/>
      <c r="AE982" s="115"/>
      <c r="AF982" s="115"/>
      <c r="AG982" s="115"/>
      <c r="AH982" s="115"/>
      <c r="AI982" s="115"/>
      <c r="AJ982" s="115"/>
      <c r="AK982" s="115"/>
      <c r="AL982" s="115"/>
      <c r="AM982" s="115"/>
      <c r="AN982" s="115"/>
      <c r="AO982" s="115"/>
      <c r="AP982" s="115"/>
      <c r="AQ982" s="115"/>
      <c r="AR982" s="115"/>
      <c r="AS982" s="17"/>
      <c r="AT982" s="15"/>
      <c r="AX982" s="117"/>
      <c r="AY982" s="116"/>
      <c r="AZ982" s="116"/>
      <c r="BA982" s="116"/>
    </row>
    <row r="983" spans="1:53" ht="19.5" x14ac:dyDescent="0.4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  <c r="AA983" s="115"/>
      <c r="AB983" s="122"/>
      <c r="AC983" s="122"/>
      <c r="AD983" s="122"/>
      <c r="AE983" s="115"/>
      <c r="AF983" s="115"/>
      <c r="AG983" s="115"/>
      <c r="AH983" s="115"/>
      <c r="AI983" s="115"/>
      <c r="AJ983" s="115"/>
      <c r="AK983" s="115"/>
      <c r="AL983" s="115"/>
      <c r="AM983" s="115"/>
      <c r="AN983" s="115"/>
      <c r="AO983" s="115"/>
      <c r="AP983" s="115"/>
      <c r="AQ983" s="115"/>
      <c r="AR983" s="115"/>
      <c r="AS983" s="26"/>
      <c r="AT983" s="15"/>
      <c r="AX983" s="117"/>
      <c r="AY983" s="116"/>
      <c r="AZ983" s="116"/>
      <c r="BA983" s="116"/>
    </row>
    <row r="984" spans="1:53" ht="19.5" x14ac:dyDescent="0.4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  <c r="AA984" s="115"/>
      <c r="AB984" s="122"/>
      <c r="AC984" s="122"/>
      <c r="AD984" s="122"/>
      <c r="AE984" s="115"/>
      <c r="AF984" s="115"/>
      <c r="AG984" s="115"/>
      <c r="AH984" s="115"/>
      <c r="AI984" s="115"/>
      <c r="AJ984" s="115"/>
      <c r="AK984" s="115"/>
      <c r="AL984" s="115"/>
      <c r="AM984" s="115"/>
      <c r="AN984" s="115"/>
      <c r="AO984" s="115"/>
      <c r="AP984" s="115"/>
      <c r="AQ984" s="115"/>
      <c r="AR984" s="115"/>
      <c r="AS984" s="17"/>
      <c r="AT984" s="15"/>
      <c r="AX984" s="117"/>
      <c r="AY984" s="116"/>
      <c r="AZ984" s="116"/>
      <c r="BA984" s="116"/>
    </row>
    <row r="985" spans="1:53" ht="19.5" x14ac:dyDescent="0.4">
      <c r="AS985" s="26"/>
      <c r="AT985" s="15"/>
      <c r="AX985" s="117"/>
      <c r="AY985" s="116"/>
      <c r="AZ985" s="116"/>
      <c r="BA985" s="116"/>
    </row>
    <row r="986" spans="1:53" ht="19.5" x14ac:dyDescent="0.4">
      <c r="Y986" s="115"/>
      <c r="Z986" s="115"/>
      <c r="AA986" s="115"/>
      <c r="AB986" s="122"/>
      <c r="AC986" s="122"/>
      <c r="AD986" s="122"/>
      <c r="AE986" s="115"/>
      <c r="AF986" s="115"/>
      <c r="AG986" s="115"/>
      <c r="AH986" s="115"/>
      <c r="AI986" s="115"/>
      <c r="AJ986" s="115"/>
      <c r="AK986" s="115"/>
      <c r="AL986" s="115"/>
      <c r="AM986" s="115"/>
      <c r="AN986" s="115"/>
      <c r="AO986" s="115"/>
      <c r="AP986" s="115"/>
      <c r="AQ986" s="115"/>
      <c r="AR986" s="115"/>
      <c r="AS986" s="17"/>
      <c r="AT986" s="15"/>
      <c r="AX986" s="117"/>
      <c r="AY986" s="116"/>
      <c r="AZ986" s="116"/>
      <c r="BA986" s="116"/>
    </row>
    <row r="987" spans="1:53" ht="19.5" x14ac:dyDescent="0.4">
      <c r="AS987" s="26"/>
      <c r="AT987" s="15"/>
      <c r="AX987" s="117"/>
      <c r="AY987" s="116"/>
      <c r="AZ987" s="116"/>
      <c r="BA987" s="116"/>
    </row>
    <row r="988" spans="1:53" ht="19.5" x14ac:dyDescent="0.4">
      <c r="Y988" s="115"/>
      <c r="Z988" s="115"/>
      <c r="AA988" s="115"/>
      <c r="AB988" s="122"/>
      <c r="AC988" s="122"/>
      <c r="AD988" s="122"/>
      <c r="AE988" s="115"/>
      <c r="AF988" s="115"/>
      <c r="AG988" s="115"/>
      <c r="AH988" s="115"/>
      <c r="AI988" s="115"/>
      <c r="AJ988" s="115"/>
      <c r="AK988" s="115"/>
      <c r="AL988" s="115"/>
      <c r="AM988" s="115"/>
      <c r="AN988" s="115"/>
      <c r="AO988" s="115"/>
      <c r="AP988" s="115"/>
      <c r="AQ988" s="115"/>
      <c r="AR988" s="115"/>
      <c r="AS988" s="17"/>
      <c r="AT988" s="15"/>
      <c r="AX988" s="117"/>
      <c r="AY988" s="116"/>
      <c r="AZ988" s="116"/>
      <c r="BA988" s="116"/>
    </row>
    <row r="989" spans="1:53" ht="19.5" x14ac:dyDescent="0.4">
      <c r="AS989" s="26"/>
      <c r="AT989" s="15"/>
      <c r="AX989" s="117"/>
      <c r="AY989" s="116"/>
      <c r="AZ989" s="116"/>
      <c r="BA989" s="116"/>
    </row>
    <row r="990" spans="1:53" ht="19.5" x14ac:dyDescent="0.4">
      <c r="Y990" s="115"/>
      <c r="Z990" s="115"/>
      <c r="AA990" s="115"/>
      <c r="AB990" s="122"/>
      <c r="AC990" s="122"/>
      <c r="AD990" s="122"/>
      <c r="AE990" s="115"/>
      <c r="AF990" s="115"/>
      <c r="AG990" s="115"/>
      <c r="AH990" s="115"/>
      <c r="AI990" s="115"/>
      <c r="AJ990" s="115"/>
      <c r="AK990" s="115"/>
      <c r="AL990" s="115"/>
      <c r="AM990" s="115"/>
      <c r="AN990" s="115"/>
      <c r="AO990" s="115"/>
      <c r="AP990" s="115"/>
      <c r="AQ990" s="115"/>
      <c r="AR990" s="115"/>
      <c r="AS990" s="17"/>
      <c r="AT990" s="15"/>
      <c r="AX990" s="117"/>
      <c r="AY990" s="116"/>
      <c r="AZ990" s="116"/>
      <c r="BA990" s="116"/>
    </row>
    <row r="991" spans="1:53" ht="19.5" x14ac:dyDescent="0.4"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  <c r="AA991" s="115"/>
      <c r="AB991" s="122"/>
      <c r="AC991" s="122"/>
      <c r="AD991" s="122"/>
      <c r="AE991" s="115"/>
      <c r="AF991" s="115"/>
      <c r="AG991" s="115"/>
      <c r="AH991" s="115"/>
      <c r="AI991" s="115"/>
      <c r="AJ991" s="115"/>
      <c r="AK991" s="115"/>
      <c r="AL991" s="115"/>
      <c r="AM991" s="115"/>
      <c r="AN991" s="115"/>
      <c r="AO991" s="115"/>
      <c r="AP991" s="115"/>
      <c r="AQ991" s="115"/>
      <c r="AR991" s="115"/>
      <c r="AS991" s="26"/>
      <c r="AT991" s="15"/>
      <c r="AX991" s="117"/>
      <c r="AY991" s="116"/>
      <c r="AZ991" s="116"/>
      <c r="BA991" s="116"/>
    </row>
    <row r="992" spans="1:53" ht="19.5" x14ac:dyDescent="0.4"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15"/>
      <c r="AB992" s="122"/>
      <c r="AC992" s="122"/>
      <c r="AD992" s="122"/>
      <c r="AE992" s="115"/>
      <c r="AF992" s="115"/>
      <c r="AG992" s="115"/>
      <c r="AH992" s="115"/>
      <c r="AI992" s="115"/>
      <c r="AJ992" s="115"/>
      <c r="AK992" s="115"/>
      <c r="AL992" s="115"/>
      <c r="AM992" s="115"/>
      <c r="AN992" s="115"/>
      <c r="AO992" s="115"/>
      <c r="AP992" s="115"/>
      <c r="AQ992" s="115"/>
      <c r="AR992" s="115"/>
      <c r="AS992" s="17"/>
      <c r="AT992" s="15"/>
      <c r="AX992" s="117"/>
      <c r="AY992" s="116"/>
      <c r="AZ992" s="116"/>
      <c r="BA992" s="116"/>
    </row>
    <row r="993" spans="1:53" ht="19.5" x14ac:dyDescent="0.4"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  <c r="AA993" s="115"/>
      <c r="AB993" s="122"/>
      <c r="AC993" s="122"/>
      <c r="AD993" s="122"/>
      <c r="AE993" s="115"/>
      <c r="AF993" s="115"/>
      <c r="AG993" s="115"/>
      <c r="AH993" s="115"/>
      <c r="AI993" s="115"/>
      <c r="AJ993" s="115"/>
      <c r="AK993" s="115"/>
      <c r="AL993" s="115"/>
      <c r="AM993" s="115"/>
      <c r="AN993" s="115"/>
      <c r="AO993" s="115"/>
      <c r="AP993" s="115"/>
      <c r="AQ993" s="115"/>
      <c r="AR993" s="115"/>
      <c r="AS993" s="26"/>
      <c r="AT993" s="15"/>
      <c r="AX993" s="117"/>
      <c r="AY993" s="116"/>
      <c r="AZ993" s="116"/>
      <c r="BA993" s="116"/>
    </row>
    <row r="994" spans="1:53" ht="19.5" x14ac:dyDescent="0.4">
      <c r="AS994" s="26"/>
      <c r="AT994" s="15"/>
      <c r="AX994" s="117"/>
      <c r="AY994" s="116"/>
      <c r="AZ994" s="116"/>
      <c r="BA994" s="116"/>
    </row>
    <row r="995" spans="1:53" ht="19.5" x14ac:dyDescent="0.4">
      <c r="Y995" s="115"/>
      <c r="Z995" s="115"/>
      <c r="AA995" s="115"/>
      <c r="AB995" s="122"/>
      <c r="AC995" s="122"/>
      <c r="AD995" s="122"/>
      <c r="AE995" s="115"/>
      <c r="AF995" s="115"/>
      <c r="AG995" s="115"/>
      <c r="AH995" s="115"/>
      <c r="AI995" s="115"/>
      <c r="AJ995" s="115"/>
      <c r="AK995" s="115"/>
      <c r="AL995" s="115"/>
      <c r="AM995" s="115"/>
      <c r="AN995" s="115"/>
      <c r="AO995" s="115"/>
      <c r="AP995" s="115"/>
      <c r="AQ995" s="115"/>
      <c r="AR995" s="115"/>
      <c r="AS995" s="17"/>
      <c r="AT995" s="15"/>
      <c r="AX995" s="117"/>
      <c r="AY995" s="116"/>
      <c r="AZ995" s="116"/>
      <c r="BA995" s="116"/>
    </row>
    <row r="996" spans="1:53" ht="19.5" x14ac:dyDescent="0.4">
      <c r="W996" s="115"/>
      <c r="X996" s="115"/>
      <c r="Y996" s="115"/>
      <c r="Z996" s="115"/>
      <c r="AA996" s="115"/>
      <c r="AB996" s="122"/>
      <c r="AC996" s="122"/>
      <c r="AD996" s="122"/>
      <c r="AE996" s="115"/>
      <c r="AF996" s="115"/>
      <c r="AG996" s="115"/>
      <c r="AH996" s="115"/>
      <c r="AI996" s="115"/>
      <c r="AJ996" s="115"/>
      <c r="AK996" s="115"/>
      <c r="AL996" s="115"/>
      <c r="AM996" s="115"/>
      <c r="AN996" s="115"/>
      <c r="AO996" s="115"/>
      <c r="AP996" s="115"/>
      <c r="AQ996" s="115"/>
      <c r="AR996" s="115"/>
      <c r="AS996" s="26"/>
      <c r="AT996" s="15"/>
      <c r="AX996" s="117"/>
      <c r="AY996" s="116"/>
      <c r="AZ996" s="116"/>
      <c r="BA996" s="116"/>
    </row>
    <row r="997" spans="1:53" ht="19.5" x14ac:dyDescent="0.4">
      <c r="W997" s="115"/>
      <c r="X997" s="115"/>
      <c r="Y997" s="115"/>
      <c r="Z997" s="115"/>
      <c r="AA997" s="115"/>
      <c r="AB997" s="122"/>
      <c r="AC997" s="122"/>
      <c r="AD997" s="122"/>
      <c r="AE997" s="115"/>
      <c r="AF997" s="115"/>
      <c r="AG997" s="115"/>
      <c r="AH997" s="115"/>
      <c r="AI997" s="115"/>
      <c r="AJ997" s="115"/>
      <c r="AK997" s="115"/>
      <c r="AL997" s="115"/>
      <c r="AM997" s="115"/>
      <c r="AN997" s="115"/>
      <c r="AO997" s="115"/>
      <c r="AP997" s="115"/>
      <c r="AQ997" s="115"/>
      <c r="AR997" s="115"/>
      <c r="AS997" s="17"/>
      <c r="AT997" s="13"/>
      <c r="AX997" s="117"/>
      <c r="AY997" s="116"/>
      <c r="AZ997" s="116"/>
      <c r="BA997" s="116"/>
    </row>
    <row r="998" spans="1:53" ht="19.5" x14ac:dyDescent="0.4">
      <c r="V998" s="115"/>
      <c r="W998" s="115"/>
      <c r="X998" s="115"/>
      <c r="Y998" s="115"/>
      <c r="Z998" s="115"/>
      <c r="AA998" s="115"/>
      <c r="AB998" s="122"/>
      <c r="AC998" s="122"/>
      <c r="AD998" s="122"/>
      <c r="AE998" s="115"/>
      <c r="AF998" s="115"/>
      <c r="AG998" s="115"/>
      <c r="AH998" s="115"/>
      <c r="AI998" s="115"/>
      <c r="AJ998" s="115"/>
      <c r="AK998" s="115"/>
      <c r="AL998" s="115"/>
      <c r="AM998" s="115"/>
      <c r="AN998" s="115"/>
      <c r="AO998" s="115"/>
      <c r="AP998" s="115"/>
      <c r="AQ998" s="115"/>
      <c r="AR998" s="115"/>
      <c r="AS998" s="26"/>
      <c r="AT998" s="13"/>
      <c r="AX998" s="117"/>
      <c r="AY998" s="116"/>
      <c r="AZ998" s="116"/>
      <c r="BA998" s="116"/>
    </row>
    <row r="999" spans="1:53" ht="19.5" x14ac:dyDescent="0.4">
      <c r="V999" s="115"/>
      <c r="W999" s="115"/>
      <c r="X999" s="115"/>
      <c r="Y999" s="115"/>
      <c r="Z999" s="115"/>
      <c r="AA999" s="115"/>
      <c r="AB999" s="122"/>
      <c r="AC999" s="122"/>
      <c r="AD999" s="122"/>
      <c r="AE999" s="115"/>
      <c r="AF999" s="115"/>
      <c r="AG999" s="115"/>
      <c r="AH999" s="115"/>
      <c r="AI999" s="115"/>
      <c r="AJ999" s="115"/>
      <c r="AK999" s="115"/>
      <c r="AL999" s="115"/>
      <c r="AM999" s="115"/>
      <c r="AN999" s="115"/>
      <c r="AO999" s="115"/>
      <c r="AP999" s="115"/>
      <c r="AQ999" s="115"/>
      <c r="AR999" s="115"/>
      <c r="AS999" s="17"/>
      <c r="AT999" s="13"/>
      <c r="AX999" s="117"/>
      <c r="AY999" s="116"/>
      <c r="AZ999" s="116"/>
      <c r="BA999" s="116"/>
    </row>
    <row r="1000" spans="1:53" ht="19.5" x14ac:dyDescent="0.4"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  <c r="AA1000" s="115"/>
      <c r="AB1000" s="122"/>
      <c r="AC1000" s="122"/>
      <c r="AD1000" s="122"/>
      <c r="AE1000" s="115"/>
      <c r="AF1000" s="115"/>
      <c r="AG1000" s="115"/>
      <c r="AH1000" s="115"/>
      <c r="AI1000" s="115"/>
      <c r="AJ1000" s="115"/>
      <c r="AK1000" s="115"/>
      <c r="AL1000" s="115"/>
      <c r="AM1000" s="115"/>
      <c r="AN1000" s="115"/>
      <c r="AO1000" s="115"/>
      <c r="AP1000" s="115"/>
      <c r="AQ1000" s="115"/>
      <c r="AR1000" s="115"/>
      <c r="AS1000" s="26"/>
      <c r="AT1000" s="15"/>
      <c r="AX1000" s="117"/>
      <c r="AY1000" s="116"/>
      <c r="AZ1000" s="116"/>
      <c r="BA1000" s="116"/>
    </row>
    <row r="1001" spans="1:53" ht="19.5" x14ac:dyDescent="0.4">
      <c r="C1001" s="115"/>
      <c r="D1001" s="115"/>
      <c r="E1001" s="115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  <c r="AA1001" s="115"/>
      <c r="AB1001" s="122"/>
      <c r="AC1001" s="122"/>
      <c r="AD1001" s="122"/>
      <c r="AE1001" s="115"/>
      <c r="AF1001" s="115"/>
      <c r="AG1001" s="115"/>
      <c r="AH1001" s="115"/>
      <c r="AI1001" s="115"/>
      <c r="AJ1001" s="115"/>
      <c r="AK1001" s="115"/>
      <c r="AL1001" s="115"/>
      <c r="AM1001" s="115"/>
      <c r="AN1001" s="115"/>
      <c r="AO1001" s="115"/>
      <c r="AP1001" s="115"/>
      <c r="AQ1001" s="115"/>
      <c r="AR1001" s="115"/>
      <c r="AS1001" s="17"/>
      <c r="AT1001" s="15"/>
      <c r="AX1001" s="117"/>
      <c r="AY1001" s="116"/>
      <c r="AZ1001" s="116"/>
      <c r="BA1001" s="116"/>
    </row>
    <row r="1002" spans="1:53" ht="19.5" x14ac:dyDescent="0.4">
      <c r="C1002" s="115"/>
      <c r="D1002" s="115"/>
      <c r="E1002" s="115"/>
      <c r="F1002" s="115"/>
      <c r="G1002" s="115"/>
      <c r="H1002" s="115"/>
      <c r="I1002" s="115"/>
      <c r="J1002" s="115"/>
      <c r="K1002" s="115"/>
      <c r="L1002" s="115"/>
      <c r="M1002" s="115"/>
      <c r="N1002" s="115"/>
      <c r="O1002" s="115"/>
      <c r="P1002" s="115"/>
      <c r="Q1002" s="115"/>
      <c r="R1002" s="115"/>
      <c r="S1002" s="115"/>
      <c r="T1002" s="115"/>
      <c r="U1002" s="115"/>
      <c r="V1002" s="115"/>
      <c r="W1002" s="115"/>
      <c r="X1002" s="115"/>
      <c r="Y1002" s="115"/>
      <c r="Z1002" s="115"/>
      <c r="AA1002" s="115"/>
      <c r="AB1002" s="122"/>
      <c r="AC1002" s="122"/>
      <c r="AD1002" s="122"/>
      <c r="AE1002" s="115"/>
      <c r="AF1002" s="115"/>
      <c r="AG1002" s="115"/>
      <c r="AH1002" s="115"/>
      <c r="AI1002" s="115"/>
      <c r="AJ1002" s="115"/>
      <c r="AK1002" s="115"/>
      <c r="AL1002" s="115"/>
      <c r="AM1002" s="115"/>
      <c r="AN1002" s="115"/>
      <c r="AO1002" s="115"/>
      <c r="AP1002" s="115"/>
      <c r="AQ1002" s="115"/>
      <c r="AR1002" s="115"/>
      <c r="AS1002" s="26"/>
      <c r="AT1002" s="105"/>
      <c r="AX1002" s="117"/>
      <c r="AY1002" s="116"/>
      <c r="AZ1002" s="116"/>
      <c r="BA1002" s="116"/>
    </row>
    <row r="1003" spans="1:53" ht="19.5" x14ac:dyDescent="0.4">
      <c r="C1003" s="115"/>
      <c r="D1003" s="115"/>
      <c r="E1003" s="115"/>
      <c r="F1003" s="115"/>
      <c r="G1003" s="115"/>
      <c r="H1003" s="115"/>
      <c r="I1003" s="115"/>
      <c r="J1003" s="115"/>
      <c r="K1003" s="115"/>
      <c r="L1003" s="115"/>
      <c r="M1003" s="115"/>
      <c r="N1003" s="115"/>
      <c r="O1003" s="115"/>
      <c r="P1003" s="115"/>
      <c r="Q1003" s="115"/>
      <c r="R1003" s="115"/>
      <c r="S1003" s="115"/>
      <c r="T1003" s="115"/>
      <c r="U1003" s="115"/>
      <c r="V1003" s="115"/>
      <c r="W1003" s="115"/>
      <c r="X1003" s="115"/>
      <c r="Y1003" s="115"/>
      <c r="Z1003" s="115"/>
      <c r="AA1003" s="115"/>
      <c r="AB1003" s="122"/>
      <c r="AC1003" s="122"/>
      <c r="AD1003" s="122"/>
      <c r="AE1003" s="115"/>
      <c r="AF1003" s="115"/>
      <c r="AG1003" s="115"/>
      <c r="AH1003" s="115"/>
      <c r="AI1003" s="115"/>
      <c r="AJ1003" s="115"/>
      <c r="AK1003" s="115"/>
      <c r="AL1003" s="115"/>
      <c r="AM1003" s="115"/>
      <c r="AN1003" s="115"/>
      <c r="AO1003" s="115"/>
      <c r="AP1003" s="115"/>
      <c r="AQ1003" s="115"/>
      <c r="AR1003" s="115"/>
      <c r="AS1003" s="17"/>
      <c r="AT1003" s="15"/>
      <c r="AX1003" s="117"/>
      <c r="AY1003" s="116"/>
      <c r="AZ1003" s="116"/>
      <c r="BA1003" s="116"/>
    </row>
    <row r="1004" spans="1:53" ht="19.5" x14ac:dyDescent="0.4">
      <c r="C1004" s="115"/>
      <c r="D1004" s="115"/>
      <c r="E1004" s="115"/>
      <c r="F1004" s="115"/>
      <c r="G1004" s="115"/>
      <c r="H1004" s="115"/>
      <c r="I1004" s="115"/>
      <c r="J1004" s="115"/>
      <c r="K1004" s="115"/>
      <c r="L1004" s="115"/>
      <c r="M1004" s="115"/>
      <c r="N1004" s="115"/>
      <c r="O1004" s="115"/>
      <c r="P1004" s="115"/>
      <c r="Q1004" s="115"/>
      <c r="R1004" s="115"/>
      <c r="S1004" s="115"/>
      <c r="T1004" s="115"/>
      <c r="U1004" s="115"/>
      <c r="V1004" s="115"/>
      <c r="W1004" s="115"/>
      <c r="X1004" s="115"/>
      <c r="Y1004" s="115"/>
      <c r="Z1004" s="115"/>
      <c r="AA1004" s="115"/>
      <c r="AB1004" s="122"/>
      <c r="AC1004" s="122"/>
      <c r="AD1004" s="122"/>
      <c r="AE1004" s="115"/>
      <c r="AF1004" s="115"/>
      <c r="AG1004" s="115"/>
      <c r="AH1004" s="115"/>
      <c r="AI1004" s="115"/>
      <c r="AJ1004" s="115"/>
      <c r="AK1004" s="115"/>
      <c r="AL1004" s="115"/>
      <c r="AM1004" s="115"/>
      <c r="AN1004" s="115"/>
      <c r="AO1004" s="115"/>
      <c r="AP1004" s="115"/>
      <c r="AQ1004" s="115"/>
      <c r="AR1004" s="115"/>
      <c r="AS1004" s="26"/>
      <c r="AT1004" s="15"/>
      <c r="AX1004" s="117"/>
      <c r="AY1004" s="116"/>
      <c r="AZ1004" s="116"/>
      <c r="BA1004" s="116"/>
    </row>
    <row r="1005" spans="1:53" ht="19.5" x14ac:dyDescent="0.4">
      <c r="C1005" s="115"/>
      <c r="D1005" s="115"/>
      <c r="E1005" s="115"/>
      <c r="F1005" s="115"/>
      <c r="G1005" s="115"/>
      <c r="H1005" s="115"/>
      <c r="I1005" s="115"/>
      <c r="J1005" s="115"/>
      <c r="K1005" s="115"/>
      <c r="L1005" s="115"/>
      <c r="M1005" s="115"/>
      <c r="N1005" s="115"/>
      <c r="O1005" s="115"/>
      <c r="P1005" s="115"/>
      <c r="Q1005" s="115"/>
      <c r="R1005" s="115"/>
      <c r="S1005" s="115"/>
      <c r="T1005" s="115"/>
      <c r="U1005" s="115"/>
      <c r="V1005" s="115"/>
      <c r="W1005" s="115"/>
      <c r="X1005" s="115"/>
      <c r="Y1005" s="115"/>
      <c r="Z1005" s="115"/>
      <c r="AA1005" s="115"/>
      <c r="AB1005" s="122"/>
      <c r="AC1005" s="122"/>
      <c r="AD1005" s="122"/>
      <c r="AE1005" s="115"/>
      <c r="AF1005" s="115"/>
      <c r="AG1005" s="115"/>
      <c r="AH1005" s="115"/>
      <c r="AI1005" s="115"/>
      <c r="AJ1005" s="115"/>
      <c r="AK1005" s="115"/>
      <c r="AL1005" s="115"/>
      <c r="AM1005" s="115"/>
      <c r="AN1005" s="115"/>
      <c r="AO1005" s="115"/>
      <c r="AP1005" s="115"/>
      <c r="AQ1005" s="115"/>
      <c r="AR1005" s="115"/>
      <c r="AS1005" s="26"/>
      <c r="AT1005" s="15"/>
      <c r="AX1005" s="117"/>
      <c r="AY1005" s="116"/>
      <c r="AZ1005" s="116"/>
      <c r="BA1005" s="116"/>
    </row>
    <row r="1006" spans="1:53" ht="19.5" x14ac:dyDescent="0.4">
      <c r="AS1006" s="26"/>
      <c r="AT1006" s="15"/>
      <c r="AX1006" s="117"/>
      <c r="AY1006" s="116"/>
      <c r="AZ1006" s="116"/>
      <c r="BA1006" s="116"/>
    </row>
    <row r="1007" spans="1:53" ht="19.5" x14ac:dyDescent="0.4">
      <c r="X1007" s="115"/>
      <c r="Y1007" s="115"/>
      <c r="Z1007" s="115"/>
      <c r="AA1007" s="115"/>
      <c r="AB1007" s="122"/>
      <c r="AC1007" s="122"/>
      <c r="AD1007" s="122"/>
      <c r="AE1007" s="115"/>
      <c r="AF1007" s="115"/>
      <c r="AG1007" s="115"/>
      <c r="AH1007" s="115"/>
      <c r="AI1007" s="115"/>
      <c r="AJ1007" s="115"/>
      <c r="AK1007" s="115"/>
      <c r="AL1007" s="115"/>
      <c r="AM1007" s="115"/>
      <c r="AN1007" s="115"/>
      <c r="AO1007" s="115"/>
      <c r="AP1007" s="115"/>
      <c r="AQ1007" s="115"/>
      <c r="AR1007" s="115"/>
      <c r="AS1007" s="26"/>
      <c r="AT1007" s="15"/>
      <c r="AX1007" s="117"/>
      <c r="AY1007" s="116"/>
      <c r="AZ1007" s="116"/>
      <c r="BA1007" s="116"/>
    </row>
    <row r="1008" spans="1:53" ht="19.5" x14ac:dyDescent="0.4">
      <c r="A1008" s="115"/>
      <c r="B1008" s="115"/>
      <c r="C1008" s="115"/>
      <c r="D1008" s="115"/>
      <c r="E1008" s="115"/>
      <c r="F1008" s="115"/>
      <c r="G1008" s="115"/>
      <c r="H1008" s="115"/>
      <c r="I1008" s="115"/>
      <c r="J1008" s="115"/>
      <c r="K1008" s="115"/>
      <c r="L1008" s="115"/>
      <c r="M1008" s="115"/>
      <c r="N1008" s="115"/>
      <c r="O1008" s="115"/>
      <c r="P1008" s="115"/>
      <c r="Q1008" s="115"/>
      <c r="R1008" s="115"/>
      <c r="S1008" s="115"/>
      <c r="T1008" s="115"/>
      <c r="U1008" s="115"/>
      <c r="V1008" s="115"/>
      <c r="W1008" s="115"/>
      <c r="X1008" s="115"/>
      <c r="Y1008" s="115"/>
      <c r="Z1008" s="115"/>
      <c r="AA1008" s="115"/>
      <c r="AB1008" s="122"/>
      <c r="AC1008" s="122"/>
      <c r="AD1008" s="122"/>
      <c r="AE1008" s="115"/>
      <c r="AF1008" s="115"/>
      <c r="AG1008" s="115"/>
      <c r="AH1008" s="115"/>
      <c r="AI1008" s="115"/>
      <c r="AJ1008" s="115"/>
      <c r="AK1008" s="115"/>
      <c r="AL1008" s="115"/>
      <c r="AM1008" s="115"/>
      <c r="AN1008" s="115"/>
      <c r="AO1008" s="115"/>
      <c r="AP1008" s="115"/>
      <c r="AQ1008" s="115"/>
      <c r="AR1008" s="115"/>
      <c r="AS1008" s="26"/>
      <c r="AT1008" s="15"/>
      <c r="AX1008" s="117"/>
      <c r="AY1008" s="116"/>
      <c r="AZ1008" s="116"/>
      <c r="BA1008" s="116"/>
    </row>
    <row r="1009" spans="1:53" ht="19.5" x14ac:dyDescent="0.4">
      <c r="A1009" s="115"/>
      <c r="B1009" s="115"/>
      <c r="C1009" s="115"/>
      <c r="D1009" s="115"/>
      <c r="E1009" s="115"/>
      <c r="F1009" s="115"/>
      <c r="G1009" s="115"/>
      <c r="H1009" s="115"/>
      <c r="I1009" s="115"/>
      <c r="J1009" s="115"/>
      <c r="K1009" s="115"/>
      <c r="L1009" s="115"/>
      <c r="M1009" s="115"/>
      <c r="N1009" s="115"/>
      <c r="O1009" s="115"/>
      <c r="P1009" s="115"/>
      <c r="Q1009" s="115"/>
      <c r="R1009" s="115"/>
      <c r="S1009" s="115"/>
      <c r="T1009" s="115"/>
      <c r="U1009" s="115"/>
      <c r="V1009" s="115"/>
      <c r="W1009" s="115"/>
      <c r="X1009" s="115"/>
      <c r="Y1009" s="115"/>
      <c r="Z1009" s="115"/>
      <c r="AA1009" s="115"/>
      <c r="AB1009" s="122"/>
      <c r="AC1009" s="122"/>
      <c r="AD1009" s="122"/>
      <c r="AE1009" s="115"/>
      <c r="AF1009" s="115"/>
      <c r="AG1009" s="115"/>
      <c r="AH1009" s="115"/>
      <c r="AI1009" s="115"/>
      <c r="AJ1009" s="115"/>
      <c r="AK1009" s="115"/>
      <c r="AL1009" s="115"/>
      <c r="AM1009" s="115"/>
      <c r="AN1009" s="115"/>
      <c r="AO1009" s="115"/>
      <c r="AP1009" s="115"/>
      <c r="AQ1009" s="115"/>
      <c r="AR1009" s="115"/>
      <c r="AS1009" s="26"/>
      <c r="AT1009" s="15"/>
      <c r="AX1009" s="117"/>
      <c r="AY1009" s="116"/>
      <c r="AZ1009" s="116"/>
      <c r="BA1009" s="116"/>
    </row>
    <row r="1010" spans="1:53" ht="19.5" x14ac:dyDescent="0.4">
      <c r="A1010" s="115"/>
      <c r="B1010" s="115"/>
      <c r="C1010" s="115"/>
      <c r="D1010" s="115"/>
      <c r="E1010" s="115"/>
      <c r="F1010" s="115"/>
      <c r="G1010" s="115"/>
      <c r="H1010" s="115"/>
      <c r="I1010" s="115"/>
      <c r="J1010" s="115"/>
      <c r="K1010" s="115"/>
      <c r="L1010" s="115"/>
      <c r="M1010" s="115"/>
      <c r="N1010" s="115"/>
      <c r="O1010" s="115"/>
      <c r="P1010" s="115"/>
      <c r="Q1010" s="115"/>
      <c r="R1010" s="115"/>
      <c r="S1010" s="115"/>
      <c r="T1010" s="115"/>
      <c r="U1010" s="115"/>
      <c r="V1010" s="115"/>
      <c r="W1010" s="115"/>
      <c r="X1010" s="115"/>
      <c r="Y1010" s="115"/>
      <c r="Z1010" s="115"/>
      <c r="AA1010" s="115"/>
      <c r="AB1010" s="122"/>
      <c r="AC1010" s="122"/>
      <c r="AD1010" s="122"/>
      <c r="AE1010" s="115"/>
      <c r="AF1010" s="115"/>
      <c r="AG1010" s="115"/>
      <c r="AH1010" s="115"/>
      <c r="AI1010" s="115"/>
      <c r="AJ1010" s="115"/>
      <c r="AK1010" s="115"/>
      <c r="AL1010" s="115"/>
      <c r="AM1010" s="115"/>
      <c r="AN1010" s="115"/>
      <c r="AO1010" s="115"/>
      <c r="AP1010" s="115"/>
      <c r="AQ1010" s="115"/>
      <c r="AR1010" s="115"/>
      <c r="AS1010" s="17"/>
      <c r="AT1010" s="15"/>
      <c r="AX1010" s="117"/>
      <c r="AY1010" s="116"/>
      <c r="AZ1010" s="116"/>
      <c r="BA1010" s="116"/>
    </row>
    <row r="1011" spans="1:53" ht="19.5" x14ac:dyDescent="0.4">
      <c r="AS1011" s="26"/>
      <c r="AT1011" s="15"/>
      <c r="AX1011" s="117"/>
      <c r="AY1011" s="116"/>
      <c r="AZ1011" s="116"/>
      <c r="BA1011" s="116"/>
    </row>
    <row r="1012" spans="1:53" ht="19.5" x14ac:dyDescent="0.4">
      <c r="Y1012" s="115"/>
      <c r="Z1012" s="115"/>
      <c r="AA1012" s="115"/>
      <c r="AB1012" s="122"/>
      <c r="AC1012" s="122"/>
      <c r="AD1012" s="122"/>
      <c r="AE1012" s="115"/>
      <c r="AF1012" s="115"/>
      <c r="AG1012" s="115"/>
      <c r="AH1012" s="115"/>
      <c r="AI1012" s="115"/>
      <c r="AJ1012" s="115"/>
      <c r="AK1012" s="115"/>
      <c r="AL1012" s="115"/>
      <c r="AM1012" s="115"/>
      <c r="AN1012" s="115"/>
      <c r="AO1012" s="115"/>
      <c r="AP1012" s="115"/>
      <c r="AQ1012" s="115"/>
      <c r="AR1012" s="115"/>
      <c r="AS1012" s="17"/>
      <c r="AT1012" s="15"/>
      <c r="AX1012" s="117"/>
      <c r="AY1012" s="116"/>
      <c r="AZ1012" s="116"/>
      <c r="BA1012" s="116"/>
    </row>
    <row r="1013" spans="1:53" ht="19.5" x14ac:dyDescent="0.4">
      <c r="X1013" s="115"/>
      <c r="Y1013" s="115"/>
      <c r="Z1013" s="115"/>
      <c r="AA1013" s="115"/>
      <c r="AB1013" s="122"/>
      <c r="AC1013" s="122"/>
      <c r="AD1013" s="122"/>
      <c r="AE1013" s="115"/>
      <c r="AF1013" s="115"/>
      <c r="AG1013" s="115"/>
      <c r="AH1013" s="115"/>
      <c r="AI1013" s="115"/>
      <c r="AJ1013" s="115"/>
      <c r="AK1013" s="115"/>
      <c r="AL1013" s="115"/>
      <c r="AM1013" s="115"/>
      <c r="AN1013" s="115"/>
      <c r="AO1013" s="115"/>
      <c r="AP1013" s="115"/>
      <c r="AQ1013" s="115"/>
      <c r="AR1013" s="115"/>
      <c r="AS1013" s="26"/>
      <c r="AT1013" s="15"/>
      <c r="AX1013" s="117"/>
      <c r="AY1013" s="116"/>
      <c r="AZ1013" s="116"/>
      <c r="BA1013" s="116"/>
    </row>
    <row r="1014" spans="1:53" ht="19.5" x14ac:dyDescent="0.4">
      <c r="C1014" s="115"/>
      <c r="D1014" s="115"/>
      <c r="E1014" s="115"/>
      <c r="F1014" s="115"/>
      <c r="G1014" s="115"/>
      <c r="H1014" s="115"/>
      <c r="I1014" s="115"/>
      <c r="J1014" s="115"/>
      <c r="K1014" s="115"/>
      <c r="L1014" s="115"/>
      <c r="M1014" s="115"/>
      <c r="N1014" s="115"/>
      <c r="O1014" s="115"/>
      <c r="P1014" s="115"/>
      <c r="Q1014" s="115"/>
      <c r="R1014" s="115"/>
      <c r="S1014" s="115"/>
      <c r="T1014" s="115"/>
      <c r="U1014" s="115"/>
      <c r="V1014" s="115"/>
      <c r="W1014" s="115"/>
      <c r="X1014" s="115"/>
      <c r="Y1014" s="115"/>
      <c r="Z1014" s="115"/>
      <c r="AA1014" s="115"/>
      <c r="AB1014" s="122"/>
      <c r="AC1014" s="122"/>
      <c r="AD1014" s="122"/>
      <c r="AE1014" s="115"/>
      <c r="AF1014" s="115"/>
      <c r="AG1014" s="115"/>
      <c r="AH1014" s="115"/>
      <c r="AI1014" s="115"/>
      <c r="AJ1014" s="115"/>
      <c r="AK1014" s="115"/>
      <c r="AL1014" s="115"/>
      <c r="AM1014" s="115"/>
      <c r="AN1014" s="115"/>
      <c r="AO1014" s="115"/>
      <c r="AP1014" s="115"/>
      <c r="AQ1014" s="115"/>
      <c r="AR1014" s="115"/>
      <c r="AS1014" s="26"/>
      <c r="AT1014" s="15"/>
      <c r="AX1014" s="117"/>
      <c r="AY1014" s="116"/>
      <c r="AZ1014" s="116"/>
      <c r="BA1014" s="116"/>
    </row>
    <row r="1015" spans="1:53" ht="19.5" x14ac:dyDescent="0.4">
      <c r="C1015" s="115"/>
      <c r="D1015" s="115"/>
      <c r="E1015" s="115"/>
      <c r="F1015" s="115"/>
      <c r="G1015" s="115"/>
      <c r="H1015" s="115"/>
      <c r="I1015" s="115"/>
      <c r="J1015" s="115"/>
      <c r="K1015" s="115"/>
      <c r="L1015" s="115"/>
      <c r="M1015" s="115"/>
      <c r="N1015" s="115"/>
      <c r="O1015" s="115"/>
      <c r="P1015" s="115"/>
      <c r="Q1015" s="115"/>
      <c r="R1015" s="115"/>
      <c r="S1015" s="115"/>
      <c r="T1015" s="115"/>
      <c r="U1015" s="115"/>
      <c r="V1015" s="115"/>
      <c r="W1015" s="115"/>
      <c r="X1015" s="115"/>
      <c r="Y1015" s="115"/>
      <c r="Z1015" s="115"/>
      <c r="AA1015" s="115"/>
      <c r="AB1015" s="122"/>
      <c r="AC1015" s="122"/>
      <c r="AD1015" s="122"/>
      <c r="AE1015" s="115"/>
      <c r="AF1015" s="115"/>
      <c r="AG1015" s="115"/>
      <c r="AH1015" s="115"/>
      <c r="AI1015" s="115"/>
      <c r="AJ1015" s="115"/>
      <c r="AK1015" s="115"/>
      <c r="AL1015" s="115"/>
      <c r="AM1015" s="115"/>
      <c r="AN1015" s="115"/>
      <c r="AO1015" s="115"/>
      <c r="AP1015" s="115"/>
      <c r="AQ1015" s="115"/>
      <c r="AR1015" s="115"/>
      <c r="AS1015" s="26"/>
      <c r="AT1015" s="15"/>
      <c r="AX1015" s="117"/>
      <c r="AY1015" s="116"/>
      <c r="AZ1015" s="116"/>
      <c r="BA1015" s="116"/>
    </row>
    <row r="1016" spans="1:53" ht="19.5" x14ac:dyDescent="0.4">
      <c r="B1016" s="115"/>
      <c r="C1016" s="115"/>
      <c r="D1016" s="115"/>
      <c r="E1016" s="115"/>
      <c r="F1016" s="115"/>
      <c r="G1016" s="115"/>
      <c r="H1016" s="115"/>
      <c r="I1016" s="115"/>
      <c r="J1016" s="115"/>
      <c r="K1016" s="115"/>
      <c r="L1016" s="115"/>
      <c r="M1016" s="115"/>
      <c r="N1016" s="115"/>
      <c r="O1016" s="115"/>
      <c r="P1016" s="115"/>
      <c r="Q1016" s="115"/>
      <c r="R1016" s="115"/>
      <c r="S1016" s="115"/>
      <c r="T1016" s="115"/>
      <c r="U1016" s="115"/>
      <c r="V1016" s="115"/>
      <c r="W1016" s="115"/>
      <c r="X1016" s="115"/>
      <c r="Y1016" s="115"/>
      <c r="Z1016" s="115"/>
      <c r="AA1016" s="115"/>
      <c r="AB1016" s="122"/>
      <c r="AC1016" s="122"/>
      <c r="AD1016" s="122"/>
      <c r="AE1016" s="115"/>
      <c r="AF1016" s="115"/>
      <c r="AG1016" s="115"/>
      <c r="AH1016" s="115"/>
      <c r="AI1016" s="115"/>
      <c r="AJ1016" s="115"/>
      <c r="AK1016" s="115"/>
      <c r="AL1016" s="115"/>
      <c r="AM1016" s="115"/>
      <c r="AN1016" s="115"/>
      <c r="AO1016" s="115"/>
      <c r="AP1016" s="115"/>
      <c r="AQ1016" s="115"/>
      <c r="AR1016" s="115"/>
      <c r="AS1016" s="26"/>
      <c r="AT1016" s="15"/>
      <c r="AX1016" s="117"/>
      <c r="AY1016" s="116"/>
      <c r="AZ1016" s="116"/>
      <c r="BA1016" s="116"/>
    </row>
    <row r="1017" spans="1:53" ht="19.5" x14ac:dyDescent="0.4">
      <c r="A1017" s="115"/>
      <c r="B1017" s="115"/>
      <c r="C1017" s="115"/>
      <c r="D1017" s="115"/>
      <c r="E1017" s="115"/>
      <c r="F1017" s="115"/>
      <c r="G1017" s="115"/>
      <c r="H1017" s="115"/>
      <c r="I1017" s="115"/>
      <c r="J1017" s="115"/>
      <c r="K1017" s="115"/>
      <c r="L1017" s="115"/>
      <c r="M1017" s="115"/>
      <c r="N1017" s="115"/>
      <c r="O1017" s="115"/>
      <c r="P1017" s="115"/>
      <c r="Q1017" s="115"/>
      <c r="R1017" s="115"/>
      <c r="S1017" s="115"/>
      <c r="T1017" s="115"/>
      <c r="U1017" s="115"/>
      <c r="V1017" s="115"/>
      <c r="W1017" s="115"/>
      <c r="X1017" s="115"/>
      <c r="Y1017" s="115"/>
      <c r="Z1017" s="115"/>
      <c r="AA1017" s="115"/>
      <c r="AB1017" s="122"/>
      <c r="AC1017" s="122"/>
      <c r="AD1017" s="122"/>
      <c r="AE1017" s="115"/>
      <c r="AF1017" s="115"/>
      <c r="AG1017" s="115"/>
      <c r="AH1017" s="115"/>
      <c r="AI1017" s="115"/>
      <c r="AJ1017" s="115"/>
      <c r="AK1017" s="115"/>
      <c r="AL1017" s="115"/>
      <c r="AM1017" s="115"/>
      <c r="AN1017" s="115"/>
      <c r="AO1017" s="115"/>
      <c r="AP1017" s="115"/>
      <c r="AQ1017" s="115"/>
      <c r="AR1017" s="115"/>
      <c r="AS1017" s="26"/>
      <c r="AT1017" s="15"/>
      <c r="AX1017" s="117"/>
      <c r="AY1017" s="116"/>
      <c r="AZ1017" s="116"/>
      <c r="BA1017" s="116"/>
    </row>
    <row r="1018" spans="1:53" ht="19.5" x14ac:dyDescent="0.4">
      <c r="A1018" s="115"/>
      <c r="B1018" s="115"/>
      <c r="C1018" s="115"/>
      <c r="D1018" s="115"/>
      <c r="E1018" s="115"/>
      <c r="F1018" s="115"/>
      <c r="G1018" s="115"/>
      <c r="H1018" s="115"/>
      <c r="I1018" s="115"/>
      <c r="J1018" s="115"/>
      <c r="K1018" s="115"/>
      <c r="L1018" s="115"/>
      <c r="M1018" s="115"/>
      <c r="N1018" s="115"/>
      <c r="O1018" s="115"/>
      <c r="P1018" s="115"/>
      <c r="Q1018" s="115"/>
      <c r="R1018" s="115"/>
      <c r="S1018" s="115"/>
      <c r="T1018" s="115"/>
      <c r="U1018" s="115"/>
      <c r="V1018" s="115"/>
      <c r="W1018" s="115"/>
      <c r="X1018" s="115"/>
      <c r="Y1018" s="115"/>
      <c r="Z1018" s="115"/>
      <c r="AA1018" s="115"/>
      <c r="AB1018" s="122"/>
      <c r="AC1018" s="122"/>
      <c r="AD1018" s="122"/>
      <c r="AE1018" s="115"/>
      <c r="AF1018" s="115"/>
      <c r="AG1018" s="115"/>
      <c r="AH1018" s="115"/>
      <c r="AI1018" s="115"/>
      <c r="AJ1018" s="115"/>
      <c r="AK1018" s="115"/>
      <c r="AL1018" s="115"/>
      <c r="AM1018" s="115"/>
      <c r="AN1018" s="115"/>
      <c r="AO1018" s="115"/>
      <c r="AP1018" s="115"/>
      <c r="AQ1018" s="115"/>
      <c r="AR1018" s="115"/>
      <c r="AS1018" s="26"/>
      <c r="AT1018" s="15"/>
      <c r="AX1018" s="117"/>
      <c r="AY1018" s="116"/>
      <c r="AZ1018" s="116"/>
      <c r="BA1018" s="116"/>
    </row>
    <row r="1019" spans="1:53" ht="19.5" x14ac:dyDescent="0.4">
      <c r="A1019" s="115"/>
      <c r="B1019" s="115"/>
      <c r="C1019" s="115"/>
      <c r="D1019" s="115"/>
      <c r="E1019" s="115"/>
      <c r="F1019" s="115"/>
      <c r="G1019" s="115"/>
      <c r="H1019" s="115"/>
      <c r="I1019" s="115"/>
      <c r="J1019" s="115"/>
      <c r="K1019" s="115"/>
      <c r="L1019" s="115"/>
      <c r="M1019" s="115"/>
      <c r="N1019" s="115"/>
      <c r="O1019" s="115"/>
      <c r="P1019" s="115"/>
      <c r="Q1019" s="115"/>
      <c r="R1019" s="115"/>
      <c r="S1019" s="115"/>
      <c r="T1019" s="115"/>
      <c r="U1019" s="115"/>
      <c r="V1019" s="115"/>
      <c r="W1019" s="115"/>
      <c r="X1019" s="115"/>
      <c r="Y1019" s="115"/>
      <c r="Z1019" s="115"/>
      <c r="AA1019" s="115"/>
      <c r="AB1019" s="122"/>
      <c r="AC1019" s="122"/>
      <c r="AD1019" s="122"/>
      <c r="AE1019" s="115"/>
      <c r="AF1019" s="115"/>
      <c r="AG1019" s="115"/>
      <c r="AH1019" s="115"/>
      <c r="AI1019" s="115"/>
      <c r="AJ1019" s="115"/>
      <c r="AK1019" s="115"/>
      <c r="AL1019" s="115"/>
      <c r="AM1019" s="115"/>
      <c r="AN1019" s="115"/>
      <c r="AO1019" s="115"/>
      <c r="AP1019" s="115"/>
      <c r="AQ1019" s="115"/>
      <c r="AR1019" s="115"/>
      <c r="AS1019" s="17"/>
      <c r="AT1019" s="15"/>
      <c r="AX1019" s="117"/>
      <c r="AY1019" s="116"/>
      <c r="AZ1019" s="116"/>
      <c r="BA1019" s="116"/>
    </row>
    <row r="1020" spans="1:53" ht="19.5" x14ac:dyDescent="0.4">
      <c r="AS1020" s="26"/>
      <c r="AT1020" s="15"/>
      <c r="AX1020" s="117"/>
      <c r="AY1020" s="116"/>
      <c r="AZ1020" s="116"/>
      <c r="BA1020" s="116"/>
    </row>
    <row r="1021" spans="1:53" ht="19.5" x14ac:dyDescent="0.4">
      <c r="Y1021" s="115"/>
      <c r="Z1021" s="115"/>
      <c r="AA1021" s="115"/>
      <c r="AB1021" s="122"/>
      <c r="AC1021" s="122"/>
      <c r="AD1021" s="122"/>
      <c r="AE1021" s="115"/>
      <c r="AF1021" s="115"/>
      <c r="AG1021" s="115"/>
      <c r="AH1021" s="115"/>
      <c r="AI1021" s="115"/>
      <c r="AJ1021" s="115"/>
      <c r="AK1021" s="115"/>
      <c r="AL1021" s="115"/>
      <c r="AM1021" s="115"/>
      <c r="AN1021" s="115"/>
      <c r="AO1021" s="115"/>
      <c r="AP1021" s="115"/>
      <c r="AQ1021" s="115"/>
      <c r="AR1021" s="115"/>
      <c r="AS1021" s="17"/>
      <c r="AT1021" s="13"/>
      <c r="AX1021" s="117"/>
      <c r="AY1021" s="116"/>
      <c r="AZ1021" s="116"/>
      <c r="BA1021" s="116"/>
    </row>
    <row r="1022" spans="1:53" ht="19.5" x14ac:dyDescent="0.4">
      <c r="Y1022" s="115"/>
      <c r="Z1022" s="115"/>
      <c r="AA1022" s="115"/>
      <c r="AB1022" s="122"/>
      <c r="AC1022" s="122"/>
      <c r="AD1022" s="122"/>
      <c r="AE1022" s="115"/>
      <c r="AF1022" s="115"/>
      <c r="AG1022" s="115"/>
      <c r="AH1022" s="115"/>
      <c r="AI1022" s="115"/>
      <c r="AJ1022" s="115"/>
      <c r="AK1022" s="115"/>
      <c r="AL1022" s="115"/>
      <c r="AM1022" s="115"/>
      <c r="AN1022" s="115"/>
      <c r="AO1022" s="115"/>
      <c r="AP1022" s="115"/>
      <c r="AQ1022" s="115"/>
      <c r="AR1022" s="115"/>
      <c r="AS1022" s="17"/>
      <c r="AT1022" s="13"/>
      <c r="AX1022" s="117"/>
      <c r="AY1022" s="116"/>
      <c r="AZ1022" s="116"/>
      <c r="BA1022" s="116"/>
    </row>
    <row r="1023" spans="1:53" ht="19.5" x14ac:dyDescent="0.4">
      <c r="AS1023" s="26"/>
      <c r="AT1023" s="13"/>
      <c r="AX1023" s="117"/>
      <c r="AY1023" s="116"/>
      <c r="AZ1023" s="116"/>
      <c r="BA1023" s="116"/>
    </row>
    <row r="1024" spans="1:53" ht="19.5" x14ac:dyDescent="0.4">
      <c r="AS1024" s="26"/>
      <c r="AT1024" s="13"/>
      <c r="AX1024" s="116"/>
      <c r="AY1024" s="116"/>
      <c r="AZ1024" s="116"/>
      <c r="BA1024" s="116"/>
    </row>
    <row r="1025" spans="1:53" ht="19.5" x14ac:dyDescent="0.4">
      <c r="D1025" s="115"/>
      <c r="E1025" s="115"/>
      <c r="F1025" s="115"/>
      <c r="G1025" s="115"/>
      <c r="H1025" s="115"/>
      <c r="I1025" s="115"/>
      <c r="J1025" s="115"/>
      <c r="K1025" s="115"/>
      <c r="L1025" s="115"/>
      <c r="M1025" s="115"/>
      <c r="N1025" s="115"/>
      <c r="O1025" s="115"/>
      <c r="P1025" s="115"/>
      <c r="Q1025" s="115"/>
      <c r="R1025" s="115"/>
      <c r="S1025" s="115"/>
      <c r="T1025" s="115"/>
      <c r="U1025" s="115"/>
      <c r="V1025" s="115"/>
      <c r="W1025" s="115"/>
      <c r="X1025" s="115"/>
      <c r="Y1025" s="115"/>
      <c r="Z1025" s="115"/>
      <c r="AA1025" s="115"/>
      <c r="AB1025" s="122"/>
      <c r="AC1025" s="122"/>
      <c r="AD1025" s="122"/>
      <c r="AE1025" s="115"/>
      <c r="AF1025" s="115"/>
      <c r="AG1025" s="115"/>
      <c r="AH1025" s="115"/>
      <c r="AI1025" s="115"/>
      <c r="AJ1025" s="115"/>
      <c r="AK1025" s="115"/>
      <c r="AL1025" s="115"/>
      <c r="AM1025" s="115"/>
      <c r="AN1025" s="115"/>
      <c r="AO1025" s="115"/>
      <c r="AP1025" s="115"/>
      <c r="AQ1025" s="115"/>
      <c r="AR1025" s="115"/>
      <c r="AS1025" s="26"/>
      <c r="AT1025" s="13"/>
      <c r="AX1025" s="118"/>
      <c r="AY1025" s="118"/>
      <c r="AZ1025" s="118"/>
      <c r="BA1025" s="118"/>
    </row>
    <row r="1026" spans="1:53" ht="19.5" x14ac:dyDescent="0.4">
      <c r="D1026" s="115"/>
      <c r="E1026" s="115"/>
      <c r="F1026" s="115"/>
      <c r="G1026" s="115"/>
      <c r="H1026" s="115"/>
      <c r="I1026" s="115"/>
      <c r="J1026" s="115"/>
      <c r="K1026" s="115"/>
      <c r="L1026" s="115"/>
      <c r="M1026" s="115"/>
      <c r="N1026" s="115"/>
      <c r="O1026" s="115"/>
      <c r="P1026" s="115"/>
      <c r="Q1026" s="115"/>
      <c r="R1026" s="115"/>
      <c r="S1026" s="115"/>
      <c r="T1026" s="115"/>
      <c r="U1026" s="115"/>
      <c r="V1026" s="115"/>
      <c r="W1026" s="115"/>
      <c r="X1026" s="115"/>
      <c r="Y1026" s="115"/>
      <c r="Z1026" s="115"/>
      <c r="AA1026" s="115"/>
      <c r="AB1026" s="122"/>
      <c r="AC1026" s="122"/>
      <c r="AD1026" s="122"/>
      <c r="AE1026" s="115"/>
      <c r="AF1026" s="115"/>
      <c r="AG1026" s="115"/>
      <c r="AH1026" s="115"/>
      <c r="AI1026" s="115"/>
      <c r="AJ1026" s="115"/>
      <c r="AK1026" s="115"/>
      <c r="AL1026" s="115"/>
      <c r="AM1026" s="115"/>
      <c r="AN1026" s="115"/>
      <c r="AO1026" s="115"/>
      <c r="AP1026" s="115"/>
      <c r="AQ1026" s="115"/>
      <c r="AR1026" s="115"/>
      <c r="AS1026" s="26"/>
      <c r="AT1026" s="13"/>
      <c r="AX1026" s="118"/>
      <c r="AY1026" s="118"/>
      <c r="AZ1026" s="118"/>
      <c r="BA1026" s="118"/>
    </row>
    <row r="1027" spans="1:53" ht="19.5" x14ac:dyDescent="0.4">
      <c r="B1027" s="115"/>
      <c r="C1027" s="115"/>
      <c r="D1027" s="115"/>
      <c r="E1027" s="115"/>
      <c r="F1027" s="115"/>
      <c r="G1027" s="115"/>
      <c r="H1027" s="115"/>
      <c r="I1027" s="115"/>
      <c r="J1027" s="115"/>
      <c r="K1027" s="115"/>
      <c r="L1027" s="115"/>
      <c r="M1027" s="115"/>
      <c r="N1027" s="115"/>
      <c r="O1027" s="115"/>
      <c r="P1027" s="115"/>
      <c r="Q1027" s="115"/>
      <c r="R1027" s="115"/>
      <c r="S1027" s="115"/>
      <c r="T1027" s="115"/>
      <c r="U1027" s="115"/>
      <c r="V1027" s="115"/>
      <c r="W1027" s="115"/>
      <c r="X1027" s="115"/>
      <c r="Y1027" s="115"/>
      <c r="Z1027" s="115"/>
      <c r="AA1027" s="115"/>
      <c r="AB1027" s="122"/>
      <c r="AC1027" s="122"/>
      <c r="AD1027" s="122"/>
      <c r="AE1027" s="115"/>
      <c r="AF1027" s="115"/>
      <c r="AG1027" s="115"/>
      <c r="AH1027" s="115"/>
      <c r="AI1027" s="115"/>
      <c r="AJ1027" s="115"/>
      <c r="AK1027" s="115"/>
      <c r="AL1027" s="115"/>
      <c r="AM1027" s="115"/>
      <c r="AN1027" s="115"/>
      <c r="AO1027" s="115"/>
      <c r="AP1027" s="115"/>
      <c r="AQ1027" s="115"/>
      <c r="AR1027" s="115"/>
      <c r="AS1027" s="26"/>
      <c r="AT1027" s="13"/>
      <c r="AX1027" s="118"/>
      <c r="AY1027" s="118"/>
      <c r="AZ1027" s="118"/>
      <c r="BA1027" s="118"/>
    </row>
    <row r="1028" spans="1:53" ht="19.5" x14ac:dyDescent="0.4">
      <c r="B1028" s="115"/>
      <c r="C1028" s="115"/>
      <c r="D1028" s="115"/>
      <c r="E1028" s="115"/>
      <c r="F1028" s="115"/>
      <c r="G1028" s="115"/>
      <c r="H1028" s="115"/>
      <c r="I1028" s="115"/>
      <c r="J1028" s="115"/>
      <c r="K1028" s="115"/>
      <c r="L1028" s="115"/>
      <c r="M1028" s="115"/>
      <c r="N1028" s="115"/>
      <c r="O1028" s="115"/>
      <c r="P1028" s="115"/>
      <c r="Q1028" s="115"/>
      <c r="R1028" s="115"/>
      <c r="S1028" s="115"/>
      <c r="T1028" s="115"/>
      <c r="U1028" s="115"/>
      <c r="V1028" s="115"/>
      <c r="W1028" s="115"/>
      <c r="X1028" s="115"/>
      <c r="Y1028" s="115"/>
      <c r="Z1028" s="115"/>
      <c r="AA1028" s="115"/>
      <c r="AB1028" s="122"/>
      <c r="AC1028" s="122"/>
      <c r="AD1028" s="122"/>
      <c r="AE1028" s="115"/>
      <c r="AF1028" s="115"/>
      <c r="AG1028" s="115"/>
      <c r="AH1028" s="115"/>
      <c r="AI1028" s="115"/>
      <c r="AJ1028" s="115"/>
      <c r="AK1028" s="115"/>
      <c r="AL1028" s="115"/>
      <c r="AM1028" s="115"/>
      <c r="AN1028" s="115"/>
      <c r="AO1028" s="115"/>
      <c r="AP1028" s="115"/>
      <c r="AQ1028" s="115"/>
      <c r="AR1028" s="115"/>
      <c r="AS1028" s="26"/>
      <c r="AT1028" s="15"/>
      <c r="AX1028" s="118"/>
      <c r="AY1028" s="118"/>
      <c r="AZ1028" s="118"/>
      <c r="BA1028" s="118"/>
    </row>
    <row r="1029" spans="1:53" ht="19.5" x14ac:dyDescent="0.4">
      <c r="B1029" s="115"/>
      <c r="C1029" s="115"/>
      <c r="D1029" s="115"/>
      <c r="E1029" s="115"/>
      <c r="F1029" s="115"/>
      <c r="G1029" s="115"/>
      <c r="H1029" s="115"/>
      <c r="I1029" s="115"/>
      <c r="J1029" s="115"/>
      <c r="K1029" s="115"/>
      <c r="L1029" s="115"/>
      <c r="M1029" s="115"/>
      <c r="N1029" s="115"/>
      <c r="O1029" s="115"/>
      <c r="P1029" s="115"/>
      <c r="Q1029" s="115"/>
      <c r="R1029" s="115"/>
      <c r="S1029" s="115"/>
      <c r="T1029" s="115"/>
      <c r="U1029" s="115"/>
      <c r="V1029" s="115"/>
      <c r="W1029" s="115"/>
      <c r="X1029" s="115"/>
      <c r="Y1029" s="115"/>
      <c r="Z1029" s="115"/>
      <c r="AA1029" s="115"/>
      <c r="AB1029" s="122"/>
      <c r="AC1029" s="122"/>
      <c r="AD1029" s="122"/>
      <c r="AE1029" s="115"/>
      <c r="AF1029" s="115"/>
      <c r="AG1029" s="115"/>
      <c r="AH1029" s="115"/>
      <c r="AI1029" s="115"/>
      <c r="AJ1029" s="115"/>
      <c r="AK1029" s="115"/>
      <c r="AL1029" s="115"/>
      <c r="AM1029" s="115"/>
      <c r="AN1029" s="115"/>
      <c r="AO1029" s="115"/>
      <c r="AP1029" s="115"/>
      <c r="AQ1029" s="115"/>
      <c r="AR1029" s="115"/>
      <c r="AS1029" s="26"/>
      <c r="AT1029" s="15"/>
      <c r="AX1029" s="118"/>
      <c r="AY1029" s="118"/>
      <c r="AZ1029" s="118"/>
      <c r="BA1029" s="118"/>
    </row>
    <row r="1030" spans="1:53" ht="19.5" x14ac:dyDescent="0.4">
      <c r="A1030" s="115"/>
      <c r="B1030" s="115"/>
      <c r="C1030" s="115"/>
      <c r="D1030" s="115"/>
      <c r="E1030" s="115"/>
      <c r="F1030" s="115"/>
      <c r="G1030" s="115"/>
      <c r="H1030" s="115"/>
      <c r="I1030" s="115"/>
      <c r="J1030" s="115"/>
      <c r="K1030" s="115"/>
      <c r="L1030" s="115"/>
      <c r="M1030" s="115"/>
      <c r="N1030" s="115"/>
      <c r="O1030" s="115"/>
      <c r="P1030" s="115"/>
      <c r="Q1030" s="115"/>
      <c r="R1030" s="115"/>
      <c r="S1030" s="115"/>
      <c r="T1030" s="115"/>
      <c r="U1030" s="115"/>
      <c r="V1030" s="115"/>
      <c r="W1030" s="115"/>
      <c r="X1030" s="115"/>
      <c r="Y1030" s="115"/>
      <c r="Z1030" s="115"/>
      <c r="AA1030" s="115"/>
      <c r="AB1030" s="122"/>
      <c r="AC1030" s="122"/>
      <c r="AD1030" s="122"/>
      <c r="AE1030" s="115"/>
      <c r="AF1030" s="115"/>
      <c r="AG1030" s="115"/>
      <c r="AH1030" s="115"/>
      <c r="AI1030" s="115"/>
      <c r="AJ1030" s="115"/>
      <c r="AK1030" s="115"/>
      <c r="AL1030" s="115"/>
      <c r="AM1030" s="115"/>
      <c r="AN1030" s="115"/>
      <c r="AO1030" s="115"/>
      <c r="AP1030" s="115"/>
      <c r="AQ1030" s="115"/>
      <c r="AR1030" s="115"/>
      <c r="AS1030" s="26"/>
      <c r="AT1030" s="15"/>
      <c r="AX1030" s="118"/>
      <c r="AY1030" s="118"/>
      <c r="AZ1030" s="118"/>
      <c r="BA1030" s="118"/>
    </row>
    <row r="1031" spans="1:53" ht="19.5" x14ac:dyDescent="0.4">
      <c r="A1031" s="115"/>
      <c r="B1031" s="115"/>
      <c r="C1031" s="115"/>
      <c r="D1031" s="115"/>
      <c r="E1031" s="115"/>
      <c r="F1031" s="115"/>
      <c r="G1031" s="115"/>
      <c r="H1031" s="115"/>
      <c r="I1031" s="115"/>
      <c r="J1031" s="115"/>
      <c r="K1031" s="115"/>
      <c r="L1031" s="115"/>
      <c r="M1031" s="115"/>
      <c r="N1031" s="115"/>
      <c r="O1031" s="115"/>
      <c r="P1031" s="115"/>
      <c r="Q1031" s="115"/>
      <c r="R1031" s="115"/>
      <c r="S1031" s="115"/>
      <c r="T1031" s="115"/>
      <c r="U1031" s="115"/>
      <c r="V1031" s="115"/>
      <c r="W1031" s="115"/>
      <c r="X1031" s="115"/>
      <c r="Y1031" s="115"/>
      <c r="Z1031" s="115"/>
      <c r="AA1031" s="115"/>
      <c r="AB1031" s="122"/>
      <c r="AC1031" s="122"/>
      <c r="AD1031" s="122"/>
      <c r="AE1031" s="115"/>
      <c r="AF1031" s="115"/>
      <c r="AG1031" s="115"/>
      <c r="AH1031" s="115"/>
      <c r="AI1031" s="115"/>
      <c r="AJ1031" s="115"/>
      <c r="AK1031" s="115"/>
      <c r="AL1031" s="115"/>
      <c r="AM1031" s="115"/>
      <c r="AN1031" s="115"/>
      <c r="AO1031" s="115"/>
      <c r="AP1031" s="115"/>
      <c r="AQ1031" s="115"/>
      <c r="AR1031" s="115"/>
      <c r="AS1031" s="26"/>
      <c r="AT1031" s="15"/>
      <c r="AX1031" s="118"/>
      <c r="AY1031" s="118"/>
      <c r="AZ1031" s="118"/>
      <c r="BA1031" s="118"/>
    </row>
    <row r="1032" spans="1:53" ht="20.25" customHeight="1" x14ac:dyDescent="0.4">
      <c r="A1032" s="115"/>
      <c r="B1032" s="115"/>
      <c r="C1032" s="115"/>
      <c r="D1032" s="115"/>
      <c r="E1032" s="115"/>
      <c r="F1032" s="115"/>
      <c r="G1032" s="115"/>
      <c r="H1032" s="115"/>
      <c r="I1032" s="115"/>
      <c r="J1032" s="115"/>
      <c r="K1032" s="115"/>
      <c r="L1032" s="115"/>
      <c r="M1032" s="115"/>
      <c r="N1032" s="115"/>
      <c r="O1032" s="115"/>
      <c r="P1032" s="115"/>
      <c r="Q1032" s="115"/>
      <c r="R1032" s="115"/>
      <c r="S1032" s="115"/>
      <c r="T1032" s="115"/>
      <c r="U1032" s="115"/>
      <c r="V1032" s="115"/>
      <c r="W1032" s="115"/>
      <c r="X1032" s="115"/>
      <c r="Y1032" s="115"/>
      <c r="Z1032" s="115"/>
      <c r="AA1032" s="115"/>
      <c r="AB1032" s="122"/>
      <c r="AC1032" s="122"/>
      <c r="AD1032" s="122"/>
      <c r="AE1032" s="115"/>
      <c r="AF1032" s="115"/>
      <c r="AG1032" s="115"/>
      <c r="AH1032" s="115"/>
      <c r="AI1032" s="115"/>
      <c r="AJ1032" s="115"/>
      <c r="AK1032" s="115"/>
      <c r="AL1032" s="115"/>
      <c r="AM1032" s="115"/>
      <c r="AN1032" s="115"/>
      <c r="AO1032" s="115"/>
      <c r="AP1032" s="115"/>
      <c r="AQ1032" s="115"/>
      <c r="AR1032" s="115"/>
      <c r="AS1032" s="26"/>
      <c r="AT1032" s="15"/>
      <c r="AX1032" s="118"/>
      <c r="AY1032" s="118"/>
      <c r="AZ1032" s="118"/>
      <c r="BA1032" s="118"/>
    </row>
    <row r="1033" spans="1:53" x14ac:dyDescent="0.4">
      <c r="AS1033" s="26"/>
      <c r="AT1033" s="15"/>
    </row>
    <row r="1034" spans="1:53" x14ac:dyDescent="0.4">
      <c r="AS1034" s="26"/>
      <c r="AT1034" s="13"/>
    </row>
    <row r="1035" spans="1:53" x14ac:dyDescent="0.4">
      <c r="W1035" s="115"/>
      <c r="X1035" s="115"/>
      <c r="Y1035" s="115"/>
      <c r="Z1035" s="115"/>
      <c r="AA1035" s="115"/>
      <c r="AB1035" s="122"/>
      <c r="AC1035" s="122"/>
      <c r="AD1035" s="122"/>
      <c r="AE1035" s="115"/>
      <c r="AF1035" s="115"/>
      <c r="AG1035" s="115"/>
      <c r="AH1035" s="115"/>
      <c r="AI1035" s="115"/>
      <c r="AJ1035" s="115"/>
      <c r="AK1035" s="115"/>
      <c r="AL1035" s="115"/>
      <c r="AM1035" s="115"/>
      <c r="AN1035" s="115"/>
      <c r="AO1035" s="115"/>
      <c r="AP1035" s="115"/>
      <c r="AQ1035" s="115"/>
      <c r="AR1035" s="115"/>
      <c r="AS1035" s="26"/>
      <c r="AT1035" s="13"/>
    </row>
    <row r="1036" spans="1:53" x14ac:dyDescent="0.4">
      <c r="W1036" s="115"/>
      <c r="X1036" s="115"/>
      <c r="Y1036" s="115"/>
      <c r="Z1036" s="115"/>
      <c r="AA1036" s="115"/>
      <c r="AB1036" s="122"/>
      <c r="AC1036" s="122"/>
      <c r="AD1036" s="122"/>
      <c r="AE1036" s="115"/>
      <c r="AF1036" s="115"/>
      <c r="AG1036" s="115"/>
      <c r="AH1036" s="115"/>
      <c r="AI1036" s="115"/>
      <c r="AJ1036" s="115"/>
      <c r="AK1036" s="115"/>
      <c r="AL1036" s="115"/>
      <c r="AM1036" s="115"/>
      <c r="AN1036" s="115"/>
      <c r="AO1036" s="115"/>
      <c r="AP1036" s="115"/>
      <c r="AQ1036" s="115"/>
      <c r="AR1036" s="115"/>
      <c r="AS1036" s="17"/>
      <c r="AT1036" s="13"/>
    </row>
    <row r="1037" spans="1:53" x14ac:dyDescent="0.4">
      <c r="C1037" s="115"/>
      <c r="D1037" s="115"/>
      <c r="E1037" s="115"/>
      <c r="F1037" s="115"/>
      <c r="G1037" s="115"/>
      <c r="H1037" s="115"/>
      <c r="I1037" s="115"/>
      <c r="J1037" s="115"/>
      <c r="K1037" s="115"/>
      <c r="L1037" s="115"/>
      <c r="M1037" s="115"/>
      <c r="N1037" s="115"/>
      <c r="O1037" s="115"/>
      <c r="P1037" s="115"/>
      <c r="Q1037" s="115"/>
      <c r="R1037" s="115"/>
      <c r="S1037" s="115"/>
      <c r="T1037" s="115"/>
      <c r="U1037" s="115"/>
      <c r="V1037" s="115"/>
      <c r="W1037" s="115"/>
      <c r="X1037" s="115"/>
      <c r="Y1037" s="115"/>
      <c r="Z1037" s="115"/>
      <c r="AA1037" s="115"/>
      <c r="AB1037" s="122"/>
      <c r="AC1037" s="122"/>
      <c r="AD1037" s="122"/>
      <c r="AE1037" s="115"/>
      <c r="AF1037" s="115"/>
      <c r="AG1037" s="115"/>
      <c r="AH1037" s="115"/>
      <c r="AI1037" s="115"/>
      <c r="AJ1037" s="115"/>
      <c r="AK1037" s="115"/>
      <c r="AL1037" s="115"/>
      <c r="AM1037" s="115"/>
      <c r="AN1037" s="115"/>
      <c r="AO1037" s="115"/>
      <c r="AP1037" s="115"/>
      <c r="AQ1037" s="115"/>
      <c r="AR1037" s="115"/>
      <c r="AS1037" s="26"/>
      <c r="AT1037" s="13"/>
    </row>
    <row r="1038" spans="1:53" x14ac:dyDescent="0.4">
      <c r="C1038" s="115"/>
      <c r="D1038" s="115"/>
      <c r="E1038" s="115"/>
      <c r="F1038" s="115"/>
      <c r="G1038" s="115"/>
      <c r="H1038" s="115"/>
      <c r="I1038" s="115"/>
      <c r="J1038" s="115"/>
      <c r="K1038" s="115"/>
      <c r="L1038" s="115"/>
      <c r="M1038" s="115"/>
      <c r="N1038" s="115"/>
      <c r="O1038" s="115"/>
      <c r="P1038" s="115"/>
      <c r="Q1038" s="115"/>
      <c r="R1038" s="115"/>
      <c r="S1038" s="115"/>
      <c r="T1038" s="115"/>
      <c r="U1038" s="115"/>
      <c r="V1038" s="115"/>
      <c r="W1038" s="115"/>
      <c r="X1038" s="115"/>
      <c r="Y1038" s="115"/>
      <c r="Z1038" s="115"/>
      <c r="AA1038" s="115"/>
      <c r="AB1038" s="122"/>
      <c r="AC1038" s="122"/>
      <c r="AD1038" s="122"/>
      <c r="AE1038" s="115"/>
      <c r="AF1038" s="115"/>
      <c r="AG1038" s="115"/>
      <c r="AH1038" s="115"/>
      <c r="AI1038" s="115"/>
      <c r="AJ1038" s="115"/>
      <c r="AK1038" s="115"/>
      <c r="AL1038" s="115"/>
      <c r="AM1038" s="115"/>
      <c r="AN1038" s="115"/>
      <c r="AO1038" s="115"/>
      <c r="AP1038" s="115"/>
      <c r="AQ1038" s="115"/>
      <c r="AR1038" s="115"/>
      <c r="AS1038" s="26"/>
      <c r="AT1038" s="13"/>
    </row>
    <row r="1039" spans="1:53" x14ac:dyDescent="0.4">
      <c r="AS1039" s="26"/>
      <c r="AT1039" s="13"/>
    </row>
    <row r="1040" spans="1:53" x14ac:dyDescent="0.4">
      <c r="E1040" s="115"/>
      <c r="F1040" s="115"/>
      <c r="G1040" s="115"/>
      <c r="H1040" s="115"/>
      <c r="I1040" s="115"/>
      <c r="J1040" s="115"/>
      <c r="K1040" s="115"/>
      <c r="L1040" s="115"/>
      <c r="M1040" s="115"/>
      <c r="N1040" s="115"/>
      <c r="O1040" s="115"/>
      <c r="P1040" s="115"/>
      <c r="Q1040" s="115"/>
      <c r="R1040" s="115"/>
      <c r="S1040" s="115"/>
      <c r="T1040" s="115"/>
      <c r="U1040" s="115"/>
      <c r="V1040" s="115"/>
      <c r="W1040" s="115"/>
      <c r="X1040" s="115"/>
      <c r="Y1040" s="115"/>
      <c r="Z1040" s="115"/>
      <c r="AA1040" s="115"/>
      <c r="AB1040" s="122"/>
      <c r="AC1040" s="122"/>
      <c r="AD1040" s="122"/>
      <c r="AE1040" s="115"/>
      <c r="AF1040" s="115"/>
      <c r="AG1040" s="115"/>
      <c r="AH1040" s="115"/>
      <c r="AI1040" s="115"/>
      <c r="AJ1040" s="115"/>
      <c r="AK1040" s="115"/>
      <c r="AL1040" s="115"/>
      <c r="AM1040" s="115"/>
      <c r="AN1040" s="115"/>
      <c r="AO1040" s="115"/>
      <c r="AP1040" s="115"/>
      <c r="AQ1040" s="115"/>
      <c r="AR1040" s="115"/>
      <c r="AS1040" s="26"/>
      <c r="AT1040" s="13"/>
    </row>
    <row r="1041" spans="1:46" x14ac:dyDescent="0.4">
      <c r="C1041" s="115"/>
      <c r="D1041" s="115"/>
      <c r="E1041" s="115"/>
      <c r="F1041" s="115"/>
      <c r="G1041" s="115"/>
      <c r="H1041" s="115"/>
      <c r="I1041" s="115"/>
      <c r="J1041" s="115"/>
      <c r="K1041" s="115"/>
      <c r="L1041" s="115"/>
      <c r="M1041" s="115"/>
      <c r="N1041" s="115"/>
      <c r="O1041" s="115"/>
      <c r="P1041" s="115"/>
      <c r="Q1041" s="115"/>
      <c r="R1041" s="115"/>
      <c r="S1041" s="115"/>
      <c r="T1041" s="115"/>
      <c r="U1041" s="115"/>
      <c r="V1041" s="115"/>
      <c r="W1041" s="115"/>
      <c r="X1041" s="115"/>
      <c r="Y1041" s="115"/>
      <c r="Z1041" s="115"/>
      <c r="AA1041" s="115"/>
      <c r="AB1041" s="122"/>
      <c r="AC1041" s="122"/>
      <c r="AD1041" s="122"/>
      <c r="AE1041" s="115"/>
      <c r="AF1041" s="115"/>
      <c r="AG1041" s="115"/>
      <c r="AH1041" s="115"/>
      <c r="AI1041" s="115"/>
      <c r="AJ1041" s="115"/>
      <c r="AK1041" s="115"/>
      <c r="AL1041" s="115"/>
      <c r="AM1041" s="115"/>
      <c r="AN1041" s="115"/>
      <c r="AO1041" s="115"/>
      <c r="AP1041" s="115"/>
      <c r="AQ1041" s="115"/>
      <c r="AR1041" s="115"/>
      <c r="AS1041" s="26"/>
      <c r="AT1041" s="13"/>
    </row>
    <row r="1042" spans="1:46" x14ac:dyDescent="0.4">
      <c r="AS1042" s="26"/>
      <c r="AT1042" s="13"/>
    </row>
    <row r="1043" spans="1:46" x14ac:dyDescent="0.4">
      <c r="C1043" s="115"/>
      <c r="D1043" s="115"/>
      <c r="E1043" s="115"/>
      <c r="F1043" s="115"/>
      <c r="G1043" s="115"/>
      <c r="H1043" s="115"/>
      <c r="I1043" s="115"/>
      <c r="J1043" s="115"/>
      <c r="K1043" s="115"/>
      <c r="L1043" s="115"/>
      <c r="M1043" s="115"/>
      <c r="N1043" s="115"/>
      <c r="O1043" s="115"/>
      <c r="P1043" s="115"/>
      <c r="Q1043" s="115"/>
      <c r="R1043" s="115"/>
      <c r="S1043" s="115"/>
      <c r="T1043" s="115"/>
      <c r="U1043" s="115"/>
      <c r="V1043" s="115"/>
      <c r="W1043" s="115"/>
      <c r="X1043" s="115"/>
      <c r="Y1043" s="115"/>
      <c r="Z1043" s="115"/>
      <c r="AA1043" s="115"/>
      <c r="AB1043" s="122"/>
      <c r="AC1043" s="122"/>
      <c r="AD1043" s="122"/>
      <c r="AE1043" s="115"/>
      <c r="AF1043" s="115"/>
      <c r="AG1043" s="115"/>
      <c r="AH1043" s="115"/>
      <c r="AI1043" s="115"/>
      <c r="AJ1043" s="115"/>
      <c r="AK1043" s="115"/>
      <c r="AL1043" s="115"/>
      <c r="AM1043" s="115"/>
      <c r="AN1043" s="115"/>
      <c r="AO1043" s="115"/>
      <c r="AP1043" s="115"/>
      <c r="AQ1043" s="115"/>
      <c r="AR1043" s="115"/>
      <c r="AS1043" s="26"/>
      <c r="AT1043" s="13"/>
    </row>
    <row r="1044" spans="1:46" x14ac:dyDescent="0.4">
      <c r="AS1044" s="26"/>
      <c r="AT1044" s="13"/>
    </row>
    <row r="1045" spans="1:46" x14ac:dyDescent="0.4">
      <c r="V1045" s="115"/>
      <c r="W1045" s="115"/>
      <c r="X1045" s="115"/>
      <c r="Y1045" s="115"/>
      <c r="Z1045" s="115"/>
      <c r="AA1045" s="115"/>
      <c r="AB1045" s="122"/>
      <c r="AC1045" s="122"/>
      <c r="AD1045" s="122"/>
      <c r="AE1045" s="115"/>
      <c r="AF1045" s="115"/>
      <c r="AG1045" s="115"/>
      <c r="AH1045" s="115"/>
      <c r="AI1045" s="115"/>
      <c r="AJ1045" s="115"/>
      <c r="AK1045" s="115"/>
      <c r="AL1045" s="115"/>
      <c r="AM1045" s="115"/>
      <c r="AN1045" s="115"/>
      <c r="AO1045" s="115"/>
      <c r="AP1045" s="115"/>
      <c r="AQ1045" s="115"/>
      <c r="AR1045" s="115"/>
      <c r="AS1045" s="26"/>
      <c r="AT1045" s="13"/>
    </row>
    <row r="1046" spans="1:46" x14ac:dyDescent="0.4">
      <c r="AS1046" s="26"/>
      <c r="AT1046" s="13"/>
    </row>
    <row r="1047" spans="1:46" x14ac:dyDescent="0.4">
      <c r="D1047" s="115"/>
      <c r="E1047" s="115"/>
      <c r="F1047" s="115"/>
      <c r="G1047" s="115"/>
      <c r="H1047" s="115"/>
      <c r="I1047" s="115"/>
      <c r="J1047" s="115"/>
      <c r="K1047" s="115"/>
      <c r="L1047" s="115"/>
      <c r="M1047" s="115"/>
      <c r="N1047" s="115"/>
      <c r="O1047" s="115"/>
      <c r="P1047" s="115"/>
      <c r="Q1047" s="115"/>
      <c r="R1047" s="115"/>
      <c r="S1047" s="115"/>
      <c r="T1047" s="115"/>
      <c r="U1047" s="115"/>
      <c r="V1047" s="115"/>
      <c r="W1047" s="115"/>
      <c r="X1047" s="115"/>
      <c r="Y1047" s="115"/>
      <c r="Z1047" s="115"/>
      <c r="AA1047" s="115"/>
      <c r="AB1047" s="122"/>
      <c r="AC1047" s="122"/>
      <c r="AD1047" s="122"/>
      <c r="AE1047" s="115"/>
      <c r="AF1047" s="115"/>
      <c r="AG1047" s="115"/>
      <c r="AH1047" s="115"/>
      <c r="AI1047" s="115"/>
      <c r="AJ1047" s="115"/>
      <c r="AK1047" s="115"/>
      <c r="AL1047" s="115"/>
      <c r="AM1047" s="115"/>
      <c r="AN1047" s="115"/>
      <c r="AO1047" s="115"/>
      <c r="AP1047" s="115"/>
      <c r="AQ1047" s="115"/>
      <c r="AR1047" s="115"/>
      <c r="AS1047" s="26"/>
      <c r="AT1047" s="15"/>
    </row>
    <row r="1048" spans="1:46" x14ac:dyDescent="0.4">
      <c r="D1048" s="115"/>
      <c r="E1048" s="115"/>
      <c r="F1048" s="115"/>
      <c r="G1048" s="115"/>
      <c r="H1048" s="115"/>
      <c r="I1048" s="115"/>
      <c r="J1048" s="115"/>
      <c r="K1048" s="115"/>
      <c r="L1048" s="115"/>
      <c r="M1048" s="115"/>
      <c r="N1048" s="115"/>
      <c r="O1048" s="115"/>
      <c r="P1048" s="115"/>
      <c r="Q1048" s="115"/>
      <c r="R1048" s="115"/>
      <c r="S1048" s="115"/>
      <c r="T1048" s="115"/>
      <c r="U1048" s="115"/>
      <c r="V1048" s="115"/>
      <c r="W1048" s="115"/>
      <c r="X1048" s="115"/>
      <c r="Y1048" s="115"/>
      <c r="Z1048" s="115"/>
      <c r="AA1048" s="115"/>
      <c r="AB1048" s="122"/>
      <c r="AC1048" s="122"/>
      <c r="AD1048" s="122"/>
      <c r="AE1048" s="115"/>
      <c r="AF1048" s="115"/>
      <c r="AG1048" s="115"/>
      <c r="AH1048" s="115"/>
      <c r="AI1048" s="115"/>
      <c r="AJ1048" s="115"/>
      <c r="AK1048" s="115"/>
      <c r="AL1048" s="115"/>
      <c r="AM1048" s="115"/>
      <c r="AN1048" s="115"/>
      <c r="AO1048" s="115"/>
      <c r="AP1048" s="115"/>
      <c r="AQ1048" s="115"/>
      <c r="AR1048" s="115"/>
      <c r="AS1048" s="26"/>
      <c r="AT1048" s="15"/>
    </row>
    <row r="1049" spans="1:46" x14ac:dyDescent="0.4">
      <c r="D1049" s="115"/>
      <c r="E1049" s="115"/>
      <c r="F1049" s="115"/>
      <c r="G1049" s="115"/>
      <c r="H1049" s="115"/>
      <c r="I1049" s="115"/>
      <c r="J1049" s="115"/>
      <c r="K1049" s="115"/>
      <c r="L1049" s="115"/>
      <c r="M1049" s="115"/>
      <c r="N1049" s="115"/>
      <c r="O1049" s="115"/>
      <c r="P1049" s="115"/>
      <c r="Q1049" s="115"/>
      <c r="R1049" s="115"/>
      <c r="S1049" s="115"/>
      <c r="T1049" s="115"/>
      <c r="U1049" s="115"/>
      <c r="V1049" s="115"/>
      <c r="W1049" s="115"/>
      <c r="X1049" s="115"/>
      <c r="Y1049" s="115"/>
      <c r="Z1049" s="115"/>
      <c r="AA1049" s="115"/>
      <c r="AB1049" s="122"/>
      <c r="AC1049" s="122"/>
      <c r="AD1049" s="122"/>
      <c r="AE1049" s="115"/>
      <c r="AF1049" s="115"/>
      <c r="AG1049" s="115"/>
      <c r="AH1049" s="115"/>
      <c r="AI1049" s="115"/>
      <c r="AJ1049" s="115"/>
      <c r="AK1049" s="115"/>
      <c r="AL1049" s="115"/>
      <c r="AM1049" s="115"/>
      <c r="AN1049" s="115"/>
      <c r="AO1049" s="115"/>
      <c r="AP1049" s="115"/>
      <c r="AQ1049" s="115"/>
      <c r="AR1049" s="115"/>
      <c r="AS1049" s="26"/>
      <c r="AT1049" s="15"/>
    </row>
    <row r="1050" spans="1:46" x14ac:dyDescent="0.4">
      <c r="AS1050" s="26"/>
      <c r="AT1050" s="13"/>
    </row>
    <row r="1051" spans="1:46" x14ac:dyDescent="0.4">
      <c r="A1051" s="115"/>
      <c r="B1051" s="115"/>
      <c r="C1051" s="115"/>
      <c r="D1051" s="115"/>
      <c r="E1051" s="115"/>
      <c r="F1051" s="115"/>
      <c r="G1051" s="115"/>
      <c r="H1051" s="115"/>
      <c r="I1051" s="115"/>
      <c r="J1051" s="115"/>
      <c r="K1051" s="115"/>
      <c r="L1051" s="115"/>
      <c r="M1051" s="115"/>
      <c r="N1051" s="115"/>
      <c r="O1051" s="115"/>
      <c r="P1051" s="115"/>
      <c r="Q1051" s="115"/>
      <c r="R1051" s="115"/>
      <c r="S1051" s="115"/>
      <c r="T1051" s="115"/>
      <c r="U1051" s="115"/>
      <c r="V1051" s="115"/>
      <c r="W1051" s="115"/>
      <c r="X1051" s="115"/>
      <c r="Y1051" s="115"/>
      <c r="Z1051" s="115"/>
      <c r="AA1051" s="115"/>
      <c r="AB1051" s="122"/>
      <c r="AC1051" s="122"/>
      <c r="AD1051" s="122"/>
      <c r="AE1051" s="115"/>
      <c r="AF1051" s="115"/>
      <c r="AG1051" s="115"/>
      <c r="AH1051" s="115"/>
      <c r="AI1051" s="115"/>
      <c r="AJ1051" s="115"/>
      <c r="AK1051" s="115"/>
      <c r="AL1051" s="115"/>
      <c r="AM1051" s="115"/>
      <c r="AN1051" s="115"/>
      <c r="AO1051" s="115"/>
      <c r="AP1051" s="115"/>
      <c r="AQ1051" s="115"/>
      <c r="AR1051" s="115"/>
      <c r="AS1051" s="26"/>
      <c r="AT1051" s="15"/>
    </row>
    <row r="1052" spans="1:46" x14ac:dyDescent="0.4">
      <c r="AS1052" s="26"/>
      <c r="AT1052" s="15"/>
    </row>
    <row r="1053" spans="1:46" x14ac:dyDescent="0.4">
      <c r="AS1053" s="26"/>
      <c r="AT1053" s="15"/>
    </row>
    <row r="1054" spans="1:46" x14ac:dyDescent="0.4">
      <c r="E1054" s="115"/>
      <c r="F1054" s="115"/>
      <c r="G1054" s="115"/>
      <c r="H1054" s="115"/>
      <c r="I1054" s="115"/>
      <c r="J1054" s="115"/>
      <c r="K1054" s="115"/>
      <c r="L1054" s="115"/>
      <c r="M1054" s="115"/>
      <c r="N1054" s="115"/>
      <c r="O1054" s="115"/>
      <c r="P1054" s="115"/>
      <c r="Q1054" s="115"/>
      <c r="R1054" s="115"/>
      <c r="S1054" s="115"/>
      <c r="T1054" s="115"/>
      <c r="U1054" s="115"/>
      <c r="V1054" s="115"/>
      <c r="W1054" s="115"/>
      <c r="X1054" s="115"/>
      <c r="Y1054" s="115"/>
      <c r="Z1054" s="115"/>
      <c r="AA1054" s="115"/>
      <c r="AB1054" s="122"/>
      <c r="AC1054" s="122"/>
      <c r="AD1054" s="122"/>
      <c r="AE1054" s="115"/>
      <c r="AF1054" s="115"/>
      <c r="AG1054" s="115"/>
      <c r="AH1054" s="115"/>
      <c r="AI1054" s="115"/>
      <c r="AJ1054" s="115"/>
      <c r="AK1054" s="115"/>
      <c r="AL1054" s="115"/>
      <c r="AM1054" s="115"/>
      <c r="AN1054" s="115"/>
      <c r="AO1054" s="115"/>
      <c r="AP1054" s="115"/>
      <c r="AQ1054" s="115"/>
      <c r="AR1054" s="115"/>
      <c r="AS1054" s="26"/>
      <c r="AT1054" s="15"/>
    </row>
    <row r="1055" spans="1:46" x14ac:dyDescent="0.4">
      <c r="C1055" s="115"/>
      <c r="D1055" s="115"/>
      <c r="E1055" s="115"/>
      <c r="F1055" s="115"/>
      <c r="G1055" s="115"/>
      <c r="H1055" s="115"/>
      <c r="I1055" s="115"/>
      <c r="J1055" s="115"/>
      <c r="K1055" s="115"/>
      <c r="L1055" s="115"/>
      <c r="M1055" s="115"/>
      <c r="N1055" s="115"/>
      <c r="O1055" s="115"/>
      <c r="P1055" s="115"/>
      <c r="Q1055" s="115"/>
      <c r="R1055" s="115"/>
      <c r="S1055" s="115"/>
      <c r="T1055" s="115"/>
      <c r="U1055" s="115"/>
      <c r="V1055" s="115"/>
      <c r="W1055" s="115"/>
      <c r="X1055" s="115"/>
      <c r="Y1055" s="115"/>
      <c r="Z1055" s="115"/>
      <c r="AA1055" s="115"/>
      <c r="AB1055" s="122"/>
      <c r="AC1055" s="122"/>
      <c r="AD1055" s="122"/>
      <c r="AE1055" s="115"/>
      <c r="AF1055" s="115"/>
      <c r="AG1055" s="115"/>
      <c r="AH1055" s="115"/>
      <c r="AI1055" s="115"/>
      <c r="AJ1055" s="115"/>
      <c r="AK1055" s="115"/>
      <c r="AL1055" s="115"/>
      <c r="AM1055" s="115"/>
      <c r="AN1055" s="115"/>
      <c r="AO1055" s="115"/>
      <c r="AP1055" s="115"/>
      <c r="AQ1055" s="115"/>
      <c r="AR1055" s="115"/>
      <c r="AS1055" s="26"/>
      <c r="AT1055" s="15"/>
    </row>
    <row r="1056" spans="1:46" x14ac:dyDescent="0.4">
      <c r="AS1056" s="26"/>
      <c r="AT1056" s="15"/>
    </row>
    <row r="1057" spans="1:46" x14ac:dyDescent="0.4">
      <c r="U1057" s="115"/>
      <c r="V1057" s="115"/>
      <c r="W1057" s="115"/>
      <c r="X1057" s="115"/>
      <c r="Y1057" s="115"/>
      <c r="Z1057" s="115"/>
      <c r="AA1057" s="115"/>
      <c r="AB1057" s="122"/>
      <c r="AC1057" s="122"/>
      <c r="AD1057" s="122"/>
      <c r="AE1057" s="115"/>
      <c r="AF1057" s="115"/>
      <c r="AG1057" s="115"/>
      <c r="AH1057" s="115"/>
      <c r="AI1057" s="115"/>
      <c r="AJ1057" s="115"/>
      <c r="AK1057" s="115"/>
      <c r="AL1057" s="115"/>
      <c r="AM1057" s="115"/>
      <c r="AN1057" s="115"/>
      <c r="AO1057" s="115"/>
      <c r="AP1057" s="115"/>
      <c r="AQ1057" s="115"/>
      <c r="AR1057" s="115"/>
      <c r="AS1057" s="26"/>
      <c r="AT1057" s="15"/>
    </row>
    <row r="1058" spans="1:46" x14ac:dyDescent="0.4">
      <c r="D1058" s="115"/>
      <c r="E1058" s="115"/>
      <c r="F1058" s="115"/>
      <c r="G1058" s="115"/>
      <c r="H1058" s="115"/>
      <c r="I1058" s="115"/>
      <c r="J1058" s="115"/>
      <c r="K1058" s="115"/>
      <c r="L1058" s="115"/>
      <c r="M1058" s="115"/>
      <c r="N1058" s="115"/>
      <c r="O1058" s="115"/>
      <c r="P1058" s="115"/>
      <c r="Q1058" s="115"/>
      <c r="R1058" s="115"/>
      <c r="S1058" s="115"/>
      <c r="T1058" s="115"/>
      <c r="U1058" s="115"/>
      <c r="V1058" s="115"/>
      <c r="W1058" s="115"/>
      <c r="X1058" s="115"/>
      <c r="Y1058" s="115"/>
      <c r="Z1058" s="115"/>
      <c r="AA1058" s="115"/>
      <c r="AB1058" s="122"/>
      <c r="AC1058" s="122"/>
      <c r="AD1058" s="122"/>
      <c r="AE1058" s="115"/>
      <c r="AF1058" s="115"/>
      <c r="AG1058" s="115"/>
      <c r="AH1058" s="115"/>
      <c r="AI1058" s="115"/>
      <c r="AJ1058" s="115"/>
      <c r="AK1058" s="115"/>
      <c r="AL1058" s="115"/>
      <c r="AM1058" s="115"/>
      <c r="AN1058" s="115"/>
      <c r="AO1058" s="115"/>
      <c r="AP1058" s="115"/>
      <c r="AQ1058" s="115"/>
      <c r="AR1058" s="115"/>
      <c r="AS1058" s="26"/>
      <c r="AT1058" s="15"/>
    </row>
    <row r="1059" spans="1:46" x14ac:dyDescent="0.4">
      <c r="D1059" s="115"/>
      <c r="E1059" s="115"/>
      <c r="F1059" s="115"/>
      <c r="G1059" s="115"/>
      <c r="H1059" s="115"/>
      <c r="I1059" s="115"/>
      <c r="J1059" s="115"/>
      <c r="K1059" s="115"/>
      <c r="L1059" s="115"/>
      <c r="M1059" s="115"/>
      <c r="N1059" s="115"/>
      <c r="O1059" s="115"/>
      <c r="P1059" s="115"/>
      <c r="Q1059" s="115"/>
      <c r="R1059" s="115"/>
      <c r="S1059" s="115"/>
      <c r="T1059" s="115"/>
      <c r="U1059" s="115"/>
      <c r="V1059" s="115"/>
      <c r="W1059" s="115"/>
      <c r="X1059" s="115"/>
      <c r="Y1059" s="115"/>
      <c r="Z1059" s="115"/>
      <c r="AA1059" s="115"/>
      <c r="AB1059" s="122"/>
      <c r="AC1059" s="122"/>
      <c r="AD1059" s="122"/>
      <c r="AE1059" s="115"/>
      <c r="AF1059" s="115"/>
      <c r="AG1059" s="115"/>
      <c r="AH1059" s="115"/>
      <c r="AI1059" s="115"/>
      <c r="AJ1059" s="115"/>
      <c r="AK1059" s="115"/>
      <c r="AL1059" s="115"/>
      <c r="AM1059" s="115"/>
      <c r="AN1059" s="115"/>
      <c r="AO1059" s="115"/>
      <c r="AP1059" s="115"/>
      <c r="AQ1059" s="115"/>
      <c r="AR1059" s="115"/>
      <c r="AS1059" s="26"/>
      <c r="AT1059" s="15"/>
    </row>
    <row r="1060" spans="1:46" x14ac:dyDescent="0.4">
      <c r="D1060" s="115"/>
      <c r="E1060" s="115"/>
      <c r="F1060" s="115"/>
      <c r="G1060" s="115"/>
      <c r="H1060" s="115"/>
      <c r="I1060" s="115"/>
      <c r="J1060" s="115"/>
      <c r="K1060" s="115"/>
      <c r="L1060" s="115"/>
      <c r="M1060" s="115"/>
      <c r="N1060" s="115"/>
      <c r="O1060" s="115"/>
      <c r="P1060" s="115"/>
      <c r="Q1060" s="115"/>
      <c r="R1060" s="115"/>
      <c r="S1060" s="115"/>
      <c r="T1060" s="115"/>
      <c r="U1060" s="115"/>
      <c r="V1060" s="115"/>
      <c r="W1060" s="115"/>
      <c r="X1060" s="115"/>
      <c r="Y1060" s="115"/>
      <c r="Z1060" s="115"/>
      <c r="AA1060" s="115"/>
      <c r="AB1060" s="122"/>
      <c r="AC1060" s="122"/>
      <c r="AD1060" s="122"/>
      <c r="AE1060" s="115"/>
      <c r="AF1060" s="115"/>
      <c r="AG1060" s="115"/>
      <c r="AH1060" s="115"/>
      <c r="AI1060" s="115"/>
      <c r="AJ1060" s="115"/>
      <c r="AK1060" s="115"/>
      <c r="AL1060" s="115"/>
      <c r="AM1060" s="115"/>
      <c r="AN1060" s="115"/>
      <c r="AO1060" s="115"/>
      <c r="AP1060" s="115"/>
      <c r="AQ1060" s="115"/>
      <c r="AR1060" s="115"/>
      <c r="AS1060" s="26"/>
      <c r="AT1060" s="15"/>
    </row>
    <row r="1061" spans="1:46" x14ac:dyDescent="0.4">
      <c r="C1061" s="115"/>
      <c r="D1061" s="115"/>
      <c r="E1061" s="115"/>
      <c r="F1061" s="115"/>
      <c r="G1061" s="115"/>
      <c r="H1061" s="115"/>
      <c r="I1061" s="115"/>
      <c r="J1061" s="115"/>
      <c r="K1061" s="115"/>
      <c r="L1061" s="115"/>
      <c r="M1061" s="115"/>
      <c r="N1061" s="115"/>
      <c r="O1061" s="115"/>
      <c r="P1061" s="115"/>
      <c r="Q1061" s="115"/>
      <c r="R1061" s="115"/>
      <c r="S1061" s="115"/>
      <c r="T1061" s="115"/>
      <c r="U1061" s="115"/>
      <c r="V1061" s="115"/>
      <c r="W1061" s="115"/>
      <c r="X1061" s="115"/>
      <c r="Y1061" s="115"/>
      <c r="Z1061" s="115"/>
      <c r="AA1061" s="115"/>
      <c r="AB1061" s="122"/>
      <c r="AC1061" s="122"/>
      <c r="AD1061" s="122"/>
      <c r="AE1061" s="115"/>
      <c r="AF1061" s="115"/>
      <c r="AG1061" s="115"/>
      <c r="AH1061" s="115"/>
      <c r="AI1061" s="115"/>
      <c r="AJ1061" s="115"/>
      <c r="AK1061" s="115"/>
      <c r="AL1061" s="115"/>
      <c r="AM1061" s="115"/>
      <c r="AN1061" s="115"/>
      <c r="AO1061" s="115"/>
      <c r="AP1061" s="115"/>
      <c r="AQ1061" s="115"/>
      <c r="AR1061" s="115"/>
      <c r="AS1061" s="26"/>
      <c r="AT1061" s="15"/>
    </row>
    <row r="1062" spans="1:46" x14ac:dyDescent="0.4">
      <c r="AS1062" s="26"/>
      <c r="AT1062" s="15"/>
    </row>
    <row r="1063" spans="1:46" x14ac:dyDescent="0.4">
      <c r="X1063" s="115"/>
      <c r="Y1063" s="115"/>
      <c r="Z1063" s="115"/>
      <c r="AA1063" s="115"/>
      <c r="AB1063" s="122"/>
      <c r="AC1063" s="122"/>
      <c r="AD1063" s="122"/>
      <c r="AE1063" s="115"/>
      <c r="AF1063" s="115"/>
      <c r="AG1063" s="115"/>
      <c r="AH1063" s="115"/>
      <c r="AI1063" s="115"/>
      <c r="AJ1063" s="115"/>
      <c r="AK1063" s="115"/>
      <c r="AL1063" s="115"/>
      <c r="AM1063" s="115"/>
      <c r="AN1063" s="115"/>
      <c r="AO1063" s="115"/>
      <c r="AP1063" s="115"/>
      <c r="AQ1063" s="115"/>
      <c r="AR1063" s="115"/>
      <c r="AS1063" s="17"/>
      <c r="AT1063" s="15"/>
    </row>
    <row r="1064" spans="1:46" x14ac:dyDescent="0.4">
      <c r="AS1064" s="26"/>
      <c r="AT1064" s="15"/>
    </row>
    <row r="1065" spans="1:46" x14ac:dyDescent="0.4">
      <c r="V1065" s="115"/>
      <c r="W1065" s="115"/>
      <c r="X1065" s="115"/>
      <c r="Y1065" s="115"/>
      <c r="Z1065" s="115"/>
      <c r="AA1065" s="115"/>
      <c r="AB1065" s="122"/>
      <c r="AC1065" s="122"/>
      <c r="AD1065" s="122"/>
      <c r="AE1065" s="115"/>
      <c r="AF1065" s="115"/>
      <c r="AG1065" s="115"/>
      <c r="AH1065" s="115"/>
      <c r="AI1065" s="115"/>
      <c r="AJ1065" s="115"/>
      <c r="AK1065" s="115"/>
      <c r="AL1065" s="115"/>
      <c r="AM1065" s="115"/>
      <c r="AN1065" s="115"/>
      <c r="AO1065" s="115"/>
      <c r="AP1065" s="115"/>
      <c r="AQ1065" s="115"/>
      <c r="AR1065" s="115"/>
      <c r="AS1065" s="26"/>
      <c r="AT1065" s="15"/>
    </row>
    <row r="1066" spans="1:46" x14ac:dyDescent="0.4">
      <c r="AS1066" s="26"/>
      <c r="AT1066" s="15"/>
    </row>
    <row r="1067" spans="1:46" x14ac:dyDescent="0.4">
      <c r="AS1067" s="26"/>
      <c r="AT1067" s="15"/>
    </row>
    <row r="1068" spans="1:46" x14ac:dyDescent="0.4">
      <c r="E1068" s="115"/>
      <c r="F1068" s="115"/>
      <c r="G1068" s="115"/>
      <c r="H1068" s="115"/>
      <c r="I1068" s="115"/>
      <c r="J1068" s="115"/>
      <c r="K1068" s="115"/>
      <c r="L1068" s="115"/>
      <c r="M1068" s="115"/>
      <c r="N1068" s="115"/>
      <c r="O1068" s="115"/>
      <c r="P1068" s="115"/>
      <c r="Q1068" s="115"/>
      <c r="R1068" s="115"/>
      <c r="S1068" s="115"/>
      <c r="T1068" s="115"/>
      <c r="U1068" s="115"/>
      <c r="V1068" s="115"/>
      <c r="W1068" s="115"/>
      <c r="X1068" s="115"/>
      <c r="Y1068" s="115"/>
      <c r="Z1068" s="115"/>
      <c r="AA1068" s="115"/>
      <c r="AB1068" s="122"/>
      <c r="AC1068" s="122"/>
      <c r="AD1068" s="122"/>
      <c r="AE1068" s="115"/>
      <c r="AF1068" s="115"/>
      <c r="AG1068" s="115"/>
      <c r="AH1068" s="115"/>
      <c r="AI1068" s="115"/>
      <c r="AJ1068" s="115"/>
      <c r="AK1068" s="115"/>
      <c r="AL1068" s="115"/>
      <c r="AM1068" s="115"/>
      <c r="AN1068" s="115"/>
      <c r="AO1068" s="115"/>
      <c r="AP1068" s="115"/>
      <c r="AQ1068" s="115"/>
      <c r="AR1068" s="115"/>
      <c r="AS1068" s="26"/>
      <c r="AT1068" s="15"/>
    </row>
    <row r="1069" spans="1:46" x14ac:dyDescent="0.4">
      <c r="E1069" s="115"/>
      <c r="F1069" s="115"/>
      <c r="G1069" s="115"/>
      <c r="H1069" s="115"/>
      <c r="I1069" s="115"/>
      <c r="J1069" s="115"/>
      <c r="K1069" s="115"/>
      <c r="L1069" s="115"/>
      <c r="M1069" s="115"/>
      <c r="N1069" s="115"/>
      <c r="O1069" s="115"/>
      <c r="P1069" s="115"/>
      <c r="Q1069" s="115"/>
      <c r="R1069" s="115"/>
      <c r="S1069" s="115"/>
      <c r="T1069" s="115"/>
      <c r="U1069" s="115"/>
      <c r="V1069" s="115"/>
      <c r="W1069" s="115"/>
      <c r="X1069" s="115"/>
      <c r="Y1069" s="115"/>
      <c r="Z1069" s="115"/>
      <c r="AA1069" s="115"/>
      <c r="AB1069" s="122"/>
      <c r="AC1069" s="122"/>
      <c r="AD1069" s="122"/>
      <c r="AE1069" s="115"/>
      <c r="AF1069" s="115"/>
      <c r="AG1069" s="115"/>
      <c r="AH1069" s="115"/>
      <c r="AI1069" s="115"/>
      <c r="AJ1069" s="115"/>
      <c r="AK1069" s="115"/>
      <c r="AL1069" s="115"/>
      <c r="AM1069" s="115"/>
      <c r="AN1069" s="115"/>
      <c r="AO1069" s="115"/>
      <c r="AP1069" s="115"/>
      <c r="AQ1069" s="115"/>
      <c r="AR1069" s="115"/>
      <c r="AS1069" s="26"/>
      <c r="AT1069" s="15"/>
    </row>
    <row r="1070" spans="1:46" x14ac:dyDescent="0.4">
      <c r="A1070" s="115"/>
      <c r="B1070" s="115"/>
      <c r="C1070" s="115"/>
      <c r="D1070" s="115"/>
      <c r="E1070" s="115"/>
      <c r="F1070" s="115"/>
      <c r="G1070" s="115"/>
      <c r="H1070" s="115"/>
      <c r="I1070" s="115"/>
      <c r="J1070" s="115"/>
      <c r="K1070" s="115"/>
      <c r="L1070" s="115"/>
      <c r="M1070" s="115"/>
      <c r="N1070" s="115"/>
      <c r="O1070" s="115"/>
      <c r="P1070" s="115"/>
      <c r="Q1070" s="115"/>
      <c r="R1070" s="115"/>
      <c r="S1070" s="115"/>
      <c r="T1070" s="115"/>
      <c r="U1070" s="115"/>
      <c r="V1070" s="115"/>
      <c r="W1070" s="115"/>
      <c r="X1070" s="115"/>
      <c r="Y1070" s="115"/>
      <c r="Z1070" s="115"/>
      <c r="AA1070" s="115"/>
      <c r="AB1070" s="122"/>
      <c r="AC1070" s="122"/>
      <c r="AD1070" s="122"/>
      <c r="AE1070" s="115"/>
      <c r="AF1070" s="115"/>
      <c r="AG1070" s="115"/>
      <c r="AH1070" s="115"/>
      <c r="AI1070" s="115"/>
      <c r="AJ1070" s="115"/>
      <c r="AK1070" s="115"/>
      <c r="AL1070" s="115"/>
      <c r="AM1070" s="115"/>
      <c r="AN1070" s="115"/>
      <c r="AO1070" s="115"/>
      <c r="AP1070" s="115"/>
      <c r="AQ1070" s="115"/>
      <c r="AR1070" s="115"/>
      <c r="AS1070" s="26"/>
      <c r="AT1070" s="15"/>
    </row>
    <row r="1071" spans="1:46" x14ac:dyDescent="0.4">
      <c r="A1071" s="115"/>
      <c r="B1071" s="115"/>
      <c r="C1071" s="115"/>
      <c r="D1071" s="115"/>
      <c r="E1071" s="115"/>
      <c r="F1071" s="115"/>
      <c r="G1071" s="115"/>
      <c r="H1071" s="115"/>
      <c r="I1071" s="115"/>
      <c r="J1071" s="115"/>
      <c r="K1071" s="115"/>
      <c r="L1071" s="115"/>
      <c r="M1071" s="115"/>
      <c r="N1071" s="115"/>
      <c r="O1071" s="115"/>
      <c r="P1071" s="115"/>
      <c r="Q1071" s="115"/>
      <c r="R1071" s="115"/>
      <c r="S1071" s="115"/>
      <c r="T1071" s="115"/>
      <c r="U1071" s="115"/>
      <c r="V1071" s="115"/>
      <c r="W1071" s="115"/>
      <c r="X1071" s="115"/>
      <c r="Y1071" s="115"/>
      <c r="Z1071" s="115"/>
      <c r="AA1071" s="115"/>
      <c r="AB1071" s="122"/>
      <c r="AC1071" s="122"/>
      <c r="AD1071" s="122"/>
      <c r="AE1071" s="115"/>
      <c r="AF1071" s="115"/>
      <c r="AG1071" s="115"/>
      <c r="AH1071" s="115"/>
      <c r="AI1071" s="115"/>
      <c r="AJ1071" s="115"/>
      <c r="AK1071" s="115"/>
      <c r="AL1071" s="115"/>
      <c r="AM1071" s="115"/>
      <c r="AN1071" s="115"/>
      <c r="AO1071" s="115"/>
      <c r="AP1071" s="115"/>
      <c r="AQ1071" s="115"/>
      <c r="AR1071" s="115"/>
      <c r="AS1071" s="26"/>
      <c r="AT1071" s="15"/>
    </row>
    <row r="1072" spans="1:46" x14ac:dyDescent="0.4">
      <c r="AS1072" s="26"/>
      <c r="AT1072" s="15"/>
    </row>
    <row r="1073" spans="3:46" x14ac:dyDescent="0.4">
      <c r="X1073" s="115"/>
      <c r="Y1073" s="115"/>
      <c r="Z1073" s="115"/>
      <c r="AA1073" s="115"/>
      <c r="AB1073" s="122"/>
      <c r="AC1073" s="122"/>
      <c r="AD1073" s="122"/>
      <c r="AE1073" s="115"/>
      <c r="AF1073" s="115"/>
      <c r="AG1073" s="115"/>
      <c r="AH1073" s="115"/>
      <c r="AI1073" s="115"/>
      <c r="AJ1073" s="115"/>
      <c r="AK1073" s="115"/>
      <c r="AL1073" s="115"/>
      <c r="AM1073" s="115"/>
      <c r="AN1073" s="115"/>
      <c r="AO1073" s="115"/>
      <c r="AP1073" s="115"/>
      <c r="AQ1073" s="115"/>
      <c r="AR1073" s="115"/>
      <c r="AS1073" s="17"/>
      <c r="AT1073" s="15"/>
    </row>
    <row r="1074" spans="3:46" x14ac:dyDescent="0.4">
      <c r="AS1074" s="26"/>
      <c r="AT1074" s="15"/>
    </row>
    <row r="1075" spans="3:46" x14ac:dyDescent="0.4">
      <c r="E1075" s="115"/>
      <c r="F1075" s="115"/>
      <c r="G1075" s="115"/>
      <c r="H1075" s="115"/>
      <c r="I1075" s="115"/>
      <c r="J1075" s="115"/>
      <c r="K1075" s="115"/>
      <c r="L1075" s="115"/>
      <c r="M1075" s="115"/>
      <c r="N1075" s="115"/>
      <c r="O1075" s="115"/>
      <c r="P1075" s="115"/>
      <c r="Q1075" s="115"/>
      <c r="R1075" s="115"/>
      <c r="S1075" s="115"/>
      <c r="T1075" s="115"/>
      <c r="U1075" s="115"/>
      <c r="V1075" s="115"/>
      <c r="W1075" s="115"/>
      <c r="X1075" s="115"/>
      <c r="Y1075" s="115"/>
      <c r="Z1075" s="115"/>
      <c r="AA1075" s="115"/>
      <c r="AB1075" s="122"/>
      <c r="AC1075" s="122"/>
      <c r="AD1075" s="122"/>
      <c r="AE1075" s="115"/>
      <c r="AF1075" s="115"/>
      <c r="AG1075" s="115"/>
      <c r="AH1075" s="115"/>
      <c r="AI1075" s="115"/>
      <c r="AJ1075" s="115"/>
      <c r="AK1075" s="115"/>
      <c r="AL1075" s="115"/>
      <c r="AM1075" s="115"/>
      <c r="AN1075" s="115"/>
      <c r="AO1075" s="115"/>
      <c r="AP1075" s="115"/>
      <c r="AQ1075" s="115"/>
      <c r="AR1075" s="115"/>
      <c r="AS1075" s="26"/>
      <c r="AT1075" s="15"/>
    </row>
    <row r="1076" spans="3:46" x14ac:dyDescent="0.4">
      <c r="C1076" s="115"/>
      <c r="D1076" s="115"/>
      <c r="E1076" s="115"/>
      <c r="F1076" s="115"/>
      <c r="G1076" s="115"/>
      <c r="H1076" s="115"/>
      <c r="I1076" s="115"/>
      <c r="J1076" s="115"/>
      <c r="K1076" s="115"/>
      <c r="L1076" s="115"/>
      <c r="M1076" s="115"/>
      <c r="N1076" s="115"/>
      <c r="O1076" s="115"/>
      <c r="P1076" s="115"/>
      <c r="Q1076" s="115"/>
      <c r="R1076" s="115"/>
      <c r="S1076" s="115"/>
      <c r="T1076" s="115"/>
      <c r="U1076" s="115"/>
      <c r="V1076" s="115"/>
      <c r="W1076" s="115"/>
      <c r="X1076" s="115"/>
      <c r="Y1076" s="115"/>
      <c r="Z1076" s="115"/>
      <c r="AA1076" s="115"/>
      <c r="AB1076" s="122"/>
      <c r="AC1076" s="122"/>
      <c r="AD1076" s="122"/>
      <c r="AE1076" s="115"/>
      <c r="AF1076" s="115"/>
      <c r="AG1076" s="115"/>
      <c r="AH1076" s="115"/>
      <c r="AI1076" s="115"/>
      <c r="AJ1076" s="115"/>
      <c r="AK1076" s="115"/>
      <c r="AL1076" s="115"/>
      <c r="AM1076" s="115"/>
      <c r="AN1076" s="115"/>
      <c r="AO1076" s="115"/>
      <c r="AP1076" s="115"/>
      <c r="AQ1076" s="115"/>
      <c r="AR1076" s="115"/>
      <c r="AS1076" s="26"/>
      <c r="AT1076" s="15"/>
    </row>
    <row r="1077" spans="3:46" x14ac:dyDescent="0.4">
      <c r="C1077" s="115"/>
      <c r="D1077" s="115"/>
      <c r="E1077" s="115"/>
      <c r="F1077" s="115"/>
      <c r="G1077" s="115"/>
      <c r="H1077" s="115"/>
      <c r="I1077" s="115"/>
      <c r="J1077" s="115"/>
      <c r="K1077" s="115"/>
      <c r="L1077" s="115"/>
      <c r="M1077" s="115"/>
      <c r="N1077" s="115"/>
      <c r="O1077" s="115"/>
      <c r="P1077" s="115"/>
      <c r="Q1077" s="115"/>
      <c r="R1077" s="115"/>
      <c r="S1077" s="115"/>
      <c r="T1077" s="115"/>
      <c r="U1077" s="115"/>
      <c r="V1077" s="115"/>
      <c r="W1077" s="115"/>
      <c r="X1077" s="115"/>
      <c r="Y1077" s="115"/>
      <c r="Z1077" s="115"/>
      <c r="AA1077" s="115"/>
      <c r="AB1077" s="122"/>
      <c r="AC1077" s="122"/>
      <c r="AD1077" s="122"/>
      <c r="AE1077" s="115"/>
      <c r="AF1077" s="115"/>
      <c r="AG1077" s="115"/>
      <c r="AH1077" s="115"/>
      <c r="AI1077" s="115"/>
      <c r="AJ1077" s="115"/>
      <c r="AK1077" s="115"/>
      <c r="AL1077" s="115"/>
      <c r="AM1077" s="115"/>
      <c r="AN1077" s="115"/>
      <c r="AO1077" s="115"/>
      <c r="AP1077" s="115"/>
      <c r="AQ1077" s="115"/>
      <c r="AR1077" s="115"/>
      <c r="AS1077" s="17"/>
      <c r="AT1077" s="15"/>
    </row>
    <row r="1078" spans="3:46" x14ac:dyDescent="0.4">
      <c r="AS1078" s="26"/>
      <c r="AT1078" s="15"/>
    </row>
    <row r="1079" spans="3:46" x14ac:dyDescent="0.4">
      <c r="D1079" s="115"/>
      <c r="E1079" s="115"/>
      <c r="F1079" s="115"/>
      <c r="G1079" s="115"/>
      <c r="H1079" s="115"/>
      <c r="I1079" s="115"/>
      <c r="J1079" s="115"/>
      <c r="K1079" s="115"/>
      <c r="L1079" s="115"/>
      <c r="M1079" s="115"/>
      <c r="N1079" s="115"/>
      <c r="O1079" s="115"/>
      <c r="P1079" s="115"/>
      <c r="Q1079" s="115"/>
      <c r="R1079" s="115"/>
      <c r="S1079" s="115"/>
      <c r="T1079" s="115"/>
      <c r="U1079" s="115"/>
      <c r="V1079" s="115"/>
      <c r="W1079" s="115"/>
      <c r="X1079" s="115"/>
      <c r="Y1079" s="115"/>
      <c r="Z1079" s="115"/>
      <c r="AA1079" s="115"/>
      <c r="AB1079" s="122"/>
      <c r="AC1079" s="122"/>
      <c r="AD1079" s="122"/>
      <c r="AE1079" s="115"/>
      <c r="AF1079" s="115"/>
      <c r="AG1079" s="115"/>
      <c r="AH1079" s="115"/>
      <c r="AI1079" s="115"/>
      <c r="AJ1079" s="115"/>
      <c r="AK1079" s="115"/>
      <c r="AL1079" s="115"/>
      <c r="AM1079" s="115"/>
      <c r="AN1079" s="115"/>
      <c r="AO1079" s="115"/>
      <c r="AP1079" s="115"/>
      <c r="AQ1079" s="115"/>
      <c r="AR1079" s="115"/>
      <c r="AS1079" s="26"/>
      <c r="AT1079" s="15"/>
    </row>
    <row r="1080" spans="3:46" x14ac:dyDescent="0.4">
      <c r="D1080" s="115"/>
      <c r="E1080" s="115"/>
      <c r="F1080" s="115"/>
      <c r="G1080" s="115"/>
      <c r="H1080" s="115"/>
      <c r="I1080" s="115"/>
      <c r="J1080" s="115"/>
      <c r="K1080" s="115"/>
      <c r="L1080" s="115"/>
      <c r="M1080" s="115"/>
      <c r="N1080" s="115"/>
      <c r="O1080" s="115"/>
      <c r="P1080" s="115"/>
      <c r="Q1080" s="115"/>
      <c r="R1080" s="115"/>
      <c r="S1080" s="115"/>
      <c r="T1080" s="115"/>
      <c r="U1080" s="115"/>
      <c r="V1080" s="115"/>
      <c r="W1080" s="115"/>
      <c r="X1080" s="115"/>
      <c r="Y1080" s="115"/>
      <c r="Z1080" s="115"/>
      <c r="AA1080" s="115"/>
      <c r="AB1080" s="122"/>
      <c r="AC1080" s="122"/>
      <c r="AD1080" s="122"/>
      <c r="AE1080" s="115"/>
      <c r="AF1080" s="115"/>
      <c r="AG1080" s="115"/>
      <c r="AH1080" s="115"/>
      <c r="AI1080" s="115"/>
      <c r="AJ1080" s="115"/>
      <c r="AK1080" s="115"/>
      <c r="AL1080" s="115"/>
      <c r="AM1080" s="115"/>
      <c r="AN1080" s="115"/>
      <c r="AO1080" s="115"/>
      <c r="AP1080" s="115"/>
      <c r="AQ1080" s="115"/>
      <c r="AR1080" s="115"/>
      <c r="AS1080" s="17"/>
      <c r="AT1080" s="15"/>
    </row>
    <row r="1081" spans="3:46" x14ac:dyDescent="0.4">
      <c r="AS1081" s="26"/>
      <c r="AT1081" s="15"/>
    </row>
    <row r="1082" spans="3:46" x14ac:dyDescent="0.4">
      <c r="X1082" s="115"/>
      <c r="Y1082" s="115"/>
      <c r="Z1082" s="115"/>
      <c r="AA1082" s="115"/>
      <c r="AB1082" s="122"/>
      <c r="AC1082" s="122"/>
      <c r="AD1082" s="122"/>
      <c r="AE1082" s="115"/>
      <c r="AF1082" s="115"/>
      <c r="AG1082" s="115"/>
      <c r="AH1082" s="115"/>
      <c r="AI1082" s="115"/>
      <c r="AJ1082" s="115"/>
      <c r="AK1082" s="115"/>
      <c r="AL1082" s="115"/>
      <c r="AM1082" s="115"/>
      <c r="AN1082" s="115"/>
      <c r="AO1082" s="115"/>
      <c r="AP1082" s="115"/>
      <c r="AQ1082" s="115"/>
      <c r="AR1082" s="115"/>
      <c r="AS1082" s="17"/>
      <c r="AT1082" s="15"/>
    </row>
    <row r="1083" spans="3:46" x14ac:dyDescent="0.4">
      <c r="C1083" s="115"/>
      <c r="D1083" s="115"/>
      <c r="E1083" s="115"/>
      <c r="F1083" s="115"/>
      <c r="G1083" s="115"/>
      <c r="H1083" s="115"/>
      <c r="I1083" s="115"/>
      <c r="J1083" s="115"/>
      <c r="K1083" s="115"/>
      <c r="L1083" s="115"/>
      <c r="M1083" s="115"/>
      <c r="N1083" s="115"/>
      <c r="O1083" s="115"/>
      <c r="P1083" s="115"/>
      <c r="Q1083" s="115"/>
      <c r="R1083" s="115"/>
      <c r="S1083" s="115"/>
      <c r="T1083" s="115"/>
      <c r="U1083" s="115"/>
      <c r="V1083" s="115"/>
      <c r="W1083" s="115"/>
      <c r="X1083" s="115"/>
      <c r="Y1083" s="115"/>
      <c r="Z1083" s="115"/>
      <c r="AA1083" s="115"/>
      <c r="AB1083" s="122"/>
      <c r="AC1083" s="122"/>
      <c r="AD1083" s="122"/>
      <c r="AE1083" s="115"/>
      <c r="AF1083" s="115"/>
      <c r="AG1083" s="115"/>
      <c r="AH1083" s="115"/>
      <c r="AI1083" s="115"/>
      <c r="AJ1083" s="115"/>
      <c r="AK1083" s="115"/>
      <c r="AL1083" s="115"/>
      <c r="AM1083" s="115"/>
      <c r="AN1083" s="115"/>
      <c r="AO1083" s="115"/>
      <c r="AP1083" s="115"/>
      <c r="AQ1083" s="115"/>
      <c r="AR1083" s="115"/>
      <c r="AS1083" s="26"/>
      <c r="AT1083" s="15"/>
    </row>
    <row r="1084" spans="3:46" x14ac:dyDescent="0.4">
      <c r="C1084" s="115"/>
      <c r="D1084" s="115"/>
      <c r="E1084" s="115"/>
      <c r="F1084" s="115"/>
      <c r="G1084" s="115"/>
      <c r="H1084" s="115"/>
      <c r="I1084" s="115"/>
      <c r="J1084" s="115"/>
      <c r="K1084" s="115"/>
      <c r="L1084" s="115"/>
      <c r="M1084" s="115"/>
      <c r="N1084" s="115"/>
      <c r="O1084" s="115"/>
      <c r="P1084" s="115"/>
      <c r="Q1084" s="115"/>
      <c r="R1084" s="115"/>
      <c r="S1084" s="115"/>
      <c r="T1084" s="115"/>
      <c r="U1084" s="115"/>
      <c r="V1084" s="115"/>
      <c r="W1084" s="115"/>
      <c r="X1084" s="115"/>
      <c r="Y1084" s="115"/>
      <c r="Z1084" s="115"/>
      <c r="AA1084" s="115"/>
      <c r="AB1084" s="122"/>
      <c r="AC1084" s="122"/>
      <c r="AD1084" s="122"/>
      <c r="AE1084" s="115"/>
      <c r="AF1084" s="115"/>
      <c r="AG1084" s="115"/>
      <c r="AH1084" s="115"/>
      <c r="AI1084" s="115"/>
      <c r="AJ1084" s="115"/>
      <c r="AK1084" s="115"/>
      <c r="AL1084" s="115"/>
      <c r="AM1084" s="115"/>
      <c r="AN1084" s="115"/>
      <c r="AO1084" s="115"/>
      <c r="AP1084" s="115"/>
      <c r="AQ1084" s="115"/>
      <c r="AR1084" s="115"/>
      <c r="AS1084" s="17"/>
      <c r="AT1084" s="15"/>
    </row>
    <row r="1085" spans="3:46" x14ac:dyDescent="0.4">
      <c r="AS1085" s="26"/>
      <c r="AT1085" s="15"/>
    </row>
    <row r="1086" spans="3:46" x14ac:dyDescent="0.4">
      <c r="AS1086" s="26"/>
      <c r="AT1086" s="15"/>
    </row>
    <row r="1087" spans="3:46" x14ac:dyDescent="0.4">
      <c r="W1087" s="115"/>
      <c r="X1087" s="115"/>
      <c r="Y1087" s="115"/>
      <c r="Z1087" s="115"/>
      <c r="AA1087" s="115"/>
      <c r="AB1087" s="122"/>
      <c r="AC1087" s="122"/>
      <c r="AD1087" s="122"/>
      <c r="AE1087" s="115"/>
      <c r="AF1087" s="115"/>
      <c r="AG1087" s="115"/>
      <c r="AH1087" s="115"/>
      <c r="AI1087" s="115"/>
      <c r="AJ1087" s="115"/>
      <c r="AK1087" s="115"/>
      <c r="AL1087" s="115"/>
      <c r="AM1087" s="115"/>
      <c r="AN1087" s="115"/>
      <c r="AO1087" s="115"/>
      <c r="AP1087" s="115"/>
      <c r="AQ1087" s="115"/>
      <c r="AR1087" s="115"/>
      <c r="AS1087" s="26"/>
      <c r="AT1087" s="15"/>
    </row>
    <row r="1088" spans="3:46" x14ac:dyDescent="0.4">
      <c r="U1088" s="115"/>
      <c r="V1088" s="115"/>
      <c r="W1088" s="115"/>
      <c r="X1088" s="115"/>
      <c r="Y1088" s="115"/>
      <c r="Z1088" s="115"/>
      <c r="AA1088" s="115"/>
      <c r="AB1088" s="122"/>
      <c r="AC1088" s="122"/>
      <c r="AD1088" s="122"/>
      <c r="AE1088" s="115"/>
      <c r="AF1088" s="115"/>
      <c r="AG1088" s="115"/>
      <c r="AH1088" s="115"/>
      <c r="AI1088" s="115"/>
      <c r="AJ1088" s="115"/>
      <c r="AK1088" s="115"/>
      <c r="AL1088" s="115"/>
      <c r="AM1088" s="115"/>
      <c r="AN1088" s="115"/>
      <c r="AO1088" s="115"/>
      <c r="AP1088" s="115"/>
      <c r="AQ1088" s="115"/>
      <c r="AR1088" s="115"/>
      <c r="AS1088" s="26"/>
      <c r="AT1088" s="15"/>
    </row>
    <row r="1089" spans="3:46" x14ac:dyDescent="0.4">
      <c r="U1089" s="115"/>
      <c r="V1089" s="115"/>
      <c r="W1089" s="115"/>
      <c r="X1089" s="115"/>
      <c r="Y1089" s="115"/>
      <c r="Z1089" s="115"/>
      <c r="AA1089" s="115"/>
      <c r="AB1089" s="122"/>
      <c r="AC1089" s="122"/>
      <c r="AD1089" s="122"/>
      <c r="AE1089" s="115"/>
      <c r="AF1089" s="115"/>
      <c r="AG1089" s="115"/>
      <c r="AH1089" s="115"/>
      <c r="AI1089" s="115"/>
      <c r="AJ1089" s="115"/>
      <c r="AK1089" s="115"/>
      <c r="AL1089" s="115"/>
      <c r="AM1089" s="115"/>
      <c r="AN1089" s="115"/>
      <c r="AO1089" s="115"/>
      <c r="AP1089" s="115"/>
      <c r="AQ1089" s="115"/>
      <c r="AR1089" s="115"/>
      <c r="AS1089" s="26"/>
      <c r="AT1089" s="15"/>
    </row>
    <row r="1090" spans="3:46" x14ac:dyDescent="0.4">
      <c r="E1090" s="115"/>
      <c r="F1090" s="115"/>
      <c r="G1090" s="115"/>
      <c r="H1090" s="115"/>
      <c r="I1090" s="115"/>
      <c r="J1090" s="115"/>
      <c r="K1090" s="115"/>
      <c r="L1090" s="115"/>
      <c r="M1090" s="115"/>
      <c r="N1090" s="115"/>
      <c r="O1090" s="115"/>
      <c r="P1090" s="115"/>
      <c r="Q1090" s="115"/>
      <c r="R1090" s="115"/>
      <c r="S1090" s="115"/>
      <c r="T1090" s="115"/>
      <c r="U1090" s="115"/>
      <c r="V1090" s="115"/>
      <c r="W1090" s="115"/>
      <c r="X1090" s="115"/>
      <c r="Y1090" s="115"/>
      <c r="Z1090" s="115"/>
      <c r="AA1090" s="115"/>
      <c r="AB1090" s="122"/>
      <c r="AC1090" s="122"/>
      <c r="AD1090" s="122"/>
      <c r="AE1090" s="115"/>
      <c r="AF1090" s="115"/>
      <c r="AG1090" s="115"/>
      <c r="AH1090" s="115"/>
      <c r="AI1090" s="115"/>
      <c r="AJ1090" s="115"/>
      <c r="AK1090" s="115"/>
      <c r="AL1090" s="115"/>
      <c r="AM1090" s="115"/>
      <c r="AN1090" s="115"/>
      <c r="AO1090" s="115"/>
      <c r="AP1090" s="115"/>
      <c r="AQ1090" s="115"/>
      <c r="AR1090" s="115"/>
      <c r="AS1090" s="26"/>
      <c r="AT1090" s="15"/>
    </row>
    <row r="1091" spans="3:46" x14ac:dyDescent="0.4">
      <c r="E1091" s="115"/>
      <c r="F1091" s="115"/>
      <c r="G1091" s="115"/>
      <c r="H1091" s="115"/>
      <c r="I1091" s="115"/>
      <c r="J1091" s="115"/>
      <c r="K1091" s="115"/>
      <c r="L1091" s="115"/>
      <c r="M1091" s="115"/>
      <c r="N1091" s="115"/>
      <c r="O1091" s="115"/>
      <c r="P1091" s="115"/>
      <c r="Q1091" s="115"/>
      <c r="R1091" s="115"/>
      <c r="S1091" s="115"/>
      <c r="T1091" s="115"/>
      <c r="U1091" s="115"/>
      <c r="V1091" s="115"/>
      <c r="W1091" s="115"/>
      <c r="X1091" s="115"/>
      <c r="Y1091" s="115"/>
      <c r="Z1091" s="115"/>
      <c r="AA1091" s="115"/>
      <c r="AB1091" s="122"/>
      <c r="AC1091" s="122"/>
      <c r="AD1091" s="122"/>
      <c r="AE1091" s="115"/>
      <c r="AF1091" s="115"/>
      <c r="AG1091" s="115"/>
      <c r="AH1091" s="115"/>
      <c r="AI1091" s="115"/>
      <c r="AJ1091" s="115"/>
      <c r="AK1091" s="115"/>
      <c r="AL1091" s="115"/>
      <c r="AM1091" s="115"/>
      <c r="AN1091" s="115"/>
      <c r="AO1091" s="115"/>
      <c r="AP1091" s="115"/>
      <c r="AQ1091" s="115"/>
      <c r="AR1091" s="115"/>
      <c r="AS1091" s="26"/>
      <c r="AT1091" s="15"/>
    </row>
    <row r="1092" spans="3:46" x14ac:dyDescent="0.4">
      <c r="AS1092" s="26"/>
      <c r="AT1092" s="15"/>
    </row>
    <row r="1093" spans="3:46" x14ac:dyDescent="0.4">
      <c r="W1093" s="115"/>
      <c r="X1093" s="115"/>
      <c r="Y1093" s="115"/>
      <c r="Z1093" s="115"/>
      <c r="AA1093" s="115"/>
      <c r="AB1093" s="122"/>
      <c r="AC1093" s="122"/>
      <c r="AD1093" s="122"/>
      <c r="AE1093" s="115"/>
      <c r="AF1093" s="115"/>
      <c r="AG1093" s="115"/>
      <c r="AH1093" s="115"/>
      <c r="AI1093" s="115"/>
      <c r="AJ1093" s="115"/>
      <c r="AK1093" s="115"/>
      <c r="AL1093" s="115"/>
      <c r="AM1093" s="115"/>
      <c r="AN1093" s="115"/>
      <c r="AO1093" s="115"/>
      <c r="AP1093" s="115"/>
      <c r="AQ1093" s="115"/>
      <c r="AR1093" s="115"/>
      <c r="AS1093" s="26"/>
      <c r="AT1093" s="15"/>
    </row>
    <row r="1094" spans="3:46" x14ac:dyDescent="0.4">
      <c r="AS1094" s="26"/>
      <c r="AT1094" s="15"/>
    </row>
    <row r="1095" spans="3:46" x14ac:dyDescent="0.4">
      <c r="X1095" s="115"/>
      <c r="Y1095" s="115"/>
      <c r="Z1095" s="115"/>
      <c r="AA1095" s="115"/>
      <c r="AB1095" s="122"/>
      <c r="AC1095" s="122"/>
      <c r="AD1095" s="122"/>
      <c r="AE1095" s="115"/>
      <c r="AF1095" s="115"/>
      <c r="AG1095" s="115"/>
      <c r="AH1095" s="115"/>
      <c r="AI1095" s="115"/>
      <c r="AJ1095" s="115"/>
      <c r="AK1095" s="115"/>
      <c r="AL1095" s="115"/>
      <c r="AM1095" s="115"/>
      <c r="AN1095" s="115"/>
      <c r="AO1095" s="115"/>
      <c r="AP1095" s="115"/>
      <c r="AQ1095" s="115"/>
      <c r="AR1095" s="115"/>
      <c r="AS1095" s="17"/>
      <c r="AT1095" s="15"/>
    </row>
    <row r="1096" spans="3:46" x14ac:dyDescent="0.4">
      <c r="W1096" s="115"/>
      <c r="X1096" s="115"/>
      <c r="Y1096" s="115"/>
      <c r="Z1096" s="115"/>
      <c r="AA1096" s="115"/>
      <c r="AB1096" s="122"/>
      <c r="AC1096" s="122"/>
      <c r="AD1096" s="122"/>
      <c r="AE1096" s="115"/>
      <c r="AF1096" s="115"/>
      <c r="AG1096" s="115"/>
      <c r="AH1096" s="115"/>
      <c r="AI1096" s="115"/>
      <c r="AJ1096" s="115"/>
      <c r="AK1096" s="115"/>
      <c r="AL1096" s="115"/>
      <c r="AM1096" s="115"/>
      <c r="AN1096" s="115"/>
      <c r="AO1096" s="115"/>
      <c r="AP1096" s="115"/>
      <c r="AQ1096" s="115"/>
      <c r="AR1096" s="115"/>
      <c r="AS1096" s="26"/>
      <c r="AT1096" s="15"/>
    </row>
    <row r="1097" spans="3:46" x14ac:dyDescent="0.4">
      <c r="C1097" s="115"/>
      <c r="D1097" s="115"/>
      <c r="E1097" s="115"/>
      <c r="F1097" s="115"/>
      <c r="G1097" s="115"/>
      <c r="H1097" s="115"/>
      <c r="I1097" s="115"/>
      <c r="J1097" s="115"/>
      <c r="K1097" s="115"/>
      <c r="L1097" s="115"/>
      <c r="M1097" s="115"/>
      <c r="N1097" s="115"/>
      <c r="O1097" s="115"/>
      <c r="P1097" s="115"/>
      <c r="Q1097" s="115"/>
      <c r="R1097" s="115"/>
      <c r="S1097" s="115"/>
      <c r="T1097" s="115"/>
      <c r="U1097" s="115"/>
      <c r="V1097" s="115"/>
      <c r="W1097" s="115"/>
      <c r="X1097" s="115"/>
      <c r="Y1097" s="115"/>
      <c r="Z1097" s="115"/>
      <c r="AA1097" s="115"/>
      <c r="AB1097" s="122"/>
      <c r="AC1097" s="122"/>
      <c r="AD1097" s="122"/>
      <c r="AE1097" s="115"/>
      <c r="AF1097" s="115"/>
      <c r="AG1097" s="115"/>
      <c r="AH1097" s="115"/>
      <c r="AI1097" s="115"/>
      <c r="AJ1097" s="115"/>
      <c r="AK1097" s="115"/>
      <c r="AL1097" s="115"/>
      <c r="AM1097" s="115"/>
      <c r="AN1097" s="115"/>
      <c r="AO1097" s="115"/>
      <c r="AP1097" s="115"/>
      <c r="AQ1097" s="115"/>
      <c r="AR1097" s="115"/>
      <c r="AS1097" s="26"/>
      <c r="AT1097" s="15"/>
    </row>
    <row r="1098" spans="3:46" x14ac:dyDescent="0.4">
      <c r="C1098" s="115"/>
      <c r="D1098" s="115"/>
      <c r="E1098" s="115"/>
      <c r="F1098" s="115"/>
      <c r="G1098" s="115"/>
      <c r="H1098" s="115"/>
      <c r="I1098" s="115"/>
      <c r="J1098" s="115"/>
      <c r="K1098" s="115"/>
      <c r="L1098" s="115"/>
      <c r="M1098" s="115"/>
      <c r="N1098" s="115"/>
      <c r="O1098" s="115"/>
      <c r="P1098" s="115"/>
      <c r="Q1098" s="115"/>
      <c r="R1098" s="115"/>
      <c r="S1098" s="115"/>
      <c r="T1098" s="115"/>
      <c r="U1098" s="115"/>
      <c r="V1098" s="115"/>
      <c r="W1098" s="115"/>
      <c r="X1098" s="115"/>
      <c r="Y1098" s="115"/>
      <c r="Z1098" s="115"/>
      <c r="AA1098" s="115"/>
      <c r="AB1098" s="122"/>
      <c r="AC1098" s="122"/>
      <c r="AD1098" s="122"/>
      <c r="AE1098" s="115"/>
      <c r="AF1098" s="115"/>
      <c r="AG1098" s="115"/>
      <c r="AH1098" s="115"/>
      <c r="AI1098" s="115"/>
      <c r="AJ1098" s="115"/>
      <c r="AK1098" s="115"/>
      <c r="AL1098" s="115"/>
      <c r="AM1098" s="115"/>
      <c r="AN1098" s="115"/>
      <c r="AO1098" s="115"/>
      <c r="AP1098" s="115"/>
      <c r="AQ1098" s="115"/>
      <c r="AR1098" s="115"/>
      <c r="AS1098" s="17"/>
      <c r="AT1098" s="15"/>
    </row>
    <row r="1099" spans="3:46" x14ac:dyDescent="0.4">
      <c r="AS1099" s="26"/>
      <c r="AT1099" s="15"/>
    </row>
    <row r="1100" spans="3:46" x14ac:dyDescent="0.4">
      <c r="X1100" s="115"/>
      <c r="Y1100" s="115"/>
      <c r="Z1100" s="115"/>
      <c r="AA1100" s="115"/>
      <c r="AB1100" s="122"/>
      <c r="AC1100" s="122"/>
      <c r="AD1100" s="122"/>
      <c r="AE1100" s="115"/>
      <c r="AF1100" s="115"/>
      <c r="AG1100" s="115"/>
      <c r="AH1100" s="115"/>
      <c r="AI1100" s="115"/>
      <c r="AJ1100" s="115"/>
      <c r="AK1100" s="115"/>
      <c r="AL1100" s="115"/>
      <c r="AM1100" s="115"/>
      <c r="AN1100" s="115"/>
      <c r="AO1100" s="115"/>
      <c r="AP1100" s="115"/>
      <c r="AQ1100" s="115"/>
      <c r="AR1100" s="115"/>
      <c r="AS1100" s="17"/>
      <c r="AT1100" s="15"/>
    </row>
    <row r="1101" spans="3:46" x14ac:dyDescent="0.4">
      <c r="W1101" s="115"/>
      <c r="X1101" s="115"/>
      <c r="Y1101" s="115"/>
      <c r="Z1101" s="115"/>
      <c r="AA1101" s="115"/>
      <c r="AB1101" s="122"/>
      <c r="AC1101" s="122"/>
      <c r="AD1101" s="122"/>
      <c r="AE1101" s="115"/>
      <c r="AF1101" s="115"/>
      <c r="AG1101" s="115"/>
      <c r="AH1101" s="115"/>
      <c r="AI1101" s="115"/>
      <c r="AJ1101" s="115"/>
      <c r="AK1101" s="115"/>
      <c r="AL1101" s="115"/>
      <c r="AM1101" s="115"/>
      <c r="AN1101" s="115"/>
      <c r="AO1101" s="115"/>
      <c r="AP1101" s="115"/>
      <c r="AQ1101" s="115"/>
      <c r="AR1101" s="115"/>
      <c r="AS1101" s="26"/>
      <c r="AT1101" s="15"/>
    </row>
    <row r="1102" spans="3:46" x14ac:dyDescent="0.4">
      <c r="W1102" s="115"/>
      <c r="X1102" s="115"/>
      <c r="Y1102" s="115"/>
      <c r="Z1102" s="115"/>
      <c r="AA1102" s="115"/>
      <c r="AB1102" s="122"/>
      <c r="AC1102" s="122"/>
      <c r="AD1102" s="122"/>
      <c r="AE1102" s="115"/>
      <c r="AF1102" s="115"/>
      <c r="AG1102" s="115"/>
      <c r="AH1102" s="115"/>
      <c r="AI1102" s="115"/>
      <c r="AJ1102" s="115"/>
      <c r="AK1102" s="115"/>
      <c r="AL1102" s="115"/>
      <c r="AM1102" s="115"/>
      <c r="AN1102" s="115"/>
      <c r="AO1102" s="115"/>
      <c r="AP1102" s="115"/>
      <c r="AQ1102" s="115"/>
      <c r="AR1102" s="115"/>
      <c r="AS1102" s="17"/>
      <c r="AT1102" s="15"/>
    </row>
    <row r="1103" spans="3:46" x14ac:dyDescent="0.4">
      <c r="W1103" s="115"/>
      <c r="X1103" s="115"/>
      <c r="Y1103" s="115"/>
      <c r="Z1103" s="115"/>
      <c r="AA1103" s="115"/>
      <c r="AB1103" s="122"/>
      <c r="AC1103" s="122"/>
      <c r="AD1103" s="122"/>
      <c r="AE1103" s="115"/>
      <c r="AF1103" s="115"/>
      <c r="AG1103" s="115"/>
      <c r="AH1103" s="115"/>
      <c r="AI1103" s="115"/>
      <c r="AJ1103" s="115"/>
      <c r="AK1103" s="115"/>
      <c r="AL1103" s="115"/>
      <c r="AM1103" s="115"/>
      <c r="AN1103" s="115"/>
      <c r="AO1103" s="115"/>
      <c r="AP1103" s="115"/>
      <c r="AQ1103" s="115"/>
      <c r="AR1103" s="115"/>
      <c r="AS1103" s="17"/>
      <c r="AT1103" s="15"/>
    </row>
    <row r="1104" spans="3:46" x14ac:dyDescent="0.4">
      <c r="E1104" s="115"/>
      <c r="F1104" s="115"/>
      <c r="G1104" s="115"/>
      <c r="H1104" s="115"/>
      <c r="I1104" s="115"/>
      <c r="J1104" s="115"/>
      <c r="K1104" s="115"/>
      <c r="L1104" s="115"/>
      <c r="M1104" s="115"/>
      <c r="N1104" s="115"/>
      <c r="O1104" s="115"/>
      <c r="P1104" s="115"/>
      <c r="Q1104" s="115"/>
      <c r="R1104" s="115"/>
      <c r="S1104" s="115"/>
      <c r="T1104" s="115"/>
      <c r="U1104" s="115"/>
      <c r="V1104" s="115"/>
      <c r="W1104" s="115"/>
      <c r="X1104" s="115"/>
      <c r="Y1104" s="115"/>
      <c r="Z1104" s="115"/>
      <c r="AA1104" s="115"/>
      <c r="AB1104" s="122"/>
      <c r="AC1104" s="122"/>
      <c r="AD1104" s="122"/>
      <c r="AE1104" s="115"/>
      <c r="AF1104" s="115"/>
      <c r="AG1104" s="115"/>
      <c r="AH1104" s="115"/>
      <c r="AI1104" s="115"/>
      <c r="AJ1104" s="115"/>
      <c r="AK1104" s="115"/>
      <c r="AL1104" s="115"/>
      <c r="AM1104" s="115"/>
      <c r="AN1104" s="115"/>
      <c r="AO1104" s="115"/>
      <c r="AP1104" s="115"/>
      <c r="AQ1104" s="115"/>
      <c r="AR1104" s="115"/>
      <c r="AS1104" s="26"/>
      <c r="AT1104" s="15"/>
    </row>
    <row r="1105" spans="3:46" x14ac:dyDescent="0.4">
      <c r="E1105" s="115"/>
      <c r="F1105" s="115"/>
      <c r="G1105" s="115"/>
      <c r="H1105" s="115"/>
      <c r="I1105" s="115"/>
      <c r="J1105" s="115"/>
      <c r="K1105" s="115"/>
      <c r="L1105" s="115"/>
      <c r="M1105" s="115"/>
      <c r="N1105" s="115"/>
      <c r="O1105" s="115"/>
      <c r="P1105" s="115"/>
      <c r="Q1105" s="115"/>
      <c r="R1105" s="115"/>
      <c r="S1105" s="115"/>
      <c r="T1105" s="115"/>
      <c r="U1105" s="115"/>
      <c r="V1105" s="115"/>
      <c r="W1105" s="115"/>
      <c r="X1105" s="115"/>
      <c r="Y1105" s="115"/>
      <c r="Z1105" s="115"/>
      <c r="AA1105" s="115"/>
      <c r="AB1105" s="122"/>
      <c r="AC1105" s="122"/>
      <c r="AD1105" s="122"/>
      <c r="AE1105" s="115"/>
      <c r="AF1105" s="115"/>
      <c r="AG1105" s="115"/>
      <c r="AH1105" s="115"/>
      <c r="AI1105" s="115"/>
      <c r="AJ1105" s="115"/>
      <c r="AK1105" s="115"/>
      <c r="AL1105" s="115"/>
      <c r="AM1105" s="115"/>
      <c r="AN1105" s="115"/>
      <c r="AO1105" s="115"/>
      <c r="AP1105" s="115"/>
      <c r="AQ1105" s="115"/>
      <c r="AR1105" s="115"/>
      <c r="AS1105" s="26"/>
      <c r="AT1105" s="15"/>
    </row>
    <row r="1106" spans="3:46" x14ac:dyDescent="0.4">
      <c r="E1106" s="115"/>
      <c r="F1106" s="115"/>
      <c r="G1106" s="115"/>
      <c r="H1106" s="115"/>
      <c r="I1106" s="115"/>
      <c r="J1106" s="115"/>
      <c r="K1106" s="115"/>
      <c r="L1106" s="115"/>
      <c r="M1106" s="115"/>
      <c r="N1106" s="115"/>
      <c r="O1106" s="115"/>
      <c r="P1106" s="115"/>
      <c r="Q1106" s="115"/>
      <c r="R1106" s="115"/>
      <c r="S1106" s="115"/>
      <c r="T1106" s="115"/>
      <c r="U1106" s="115"/>
      <c r="V1106" s="115"/>
      <c r="W1106" s="115"/>
      <c r="X1106" s="115"/>
      <c r="Y1106" s="115"/>
      <c r="Z1106" s="115"/>
      <c r="AA1106" s="115"/>
      <c r="AB1106" s="122"/>
      <c r="AC1106" s="122"/>
      <c r="AD1106" s="122"/>
      <c r="AE1106" s="115"/>
      <c r="AF1106" s="115"/>
      <c r="AG1106" s="115"/>
      <c r="AH1106" s="115"/>
      <c r="AI1106" s="115"/>
      <c r="AJ1106" s="115"/>
      <c r="AK1106" s="115"/>
      <c r="AL1106" s="115"/>
      <c r="AM1106" s="115"/>
      <c r="AN1106" s="115"/>
      <c r="AO1106" s="115"/>
      <c r="AP1106" s="115"/>
      <c r="AQ1106" s="115"/>
      <c r="AR1106" s="115"/>
      <c r="AS1106" s="26"/>
      <c r="AT1106" s="15"/>
    </row>
    <row r="1107" spans="3:46" x14ac:dyDescent="0.4">
      <c r="D1107" s="115"/>
      <c r="E1107" s="115"/>
      <c r="F1107" s="115"/>
      <c r="G1107" s="115"/>
      <c r="H1107" s="115"/>
      <c r="I1107" s="115"/>
      <c r="J1107" s="115"/>
      <c r="K1107" s="115"/>
      <c r="L1107" s="115"/>
      <c r="M1107" s="115"/>
      <c r="N1107" s="115"/>
      <c r="O1107" s="115"/>
      <c r="P1107" s="115"/>
      <c r="Q1107" s="115"/>
      <c r="R1107" s="115"/>
      <c r="S1107" s="115"/>
      <c r="T1107" s="115"/>
      <c r="U1107" s="115"/>
      <c r="V1107" s="115"/>
      <c r="W1107" s="115"/>
      <c r="X1107" s="115"/>
      <c r="Y1107" s="115"/>
      <c r="Z1107" s="115"/>
      <c r="AA1107" s="115"/>
      <c r="AB1107" s="122"/>
      <c r="AC1107" s="122"/>
      <c r="AD1107" s="122"/>
      <c r="AE1107" s="115"/>
      <c r="AF1107" s="115"/>
      <c r="AG1107" s="115"/>
      <c r="AH1107" s="115"/>
      <c r="AI1107" s="115"/>
      <c r="AJ1107" s="115"/>
      <c r="AK1107" s="115"/>
      <c r="AL1107" s="115"/>
      <c r="AM1107" s="115"/>
      <c r="AN1107" s="115"/>
      <c r="AO1107" s="115"/>
      <c r="AP1107" s="115"/>
      <c r="AQ1107" s="115"/>
      <c r="AR1107" s="115"/>
      <c r="AS1107" s="26"/>
      <c r="AT1107" s="15"/>
    </row>
    <row r="1108" spans="3:46" x14ac:dyDescent="0.4">
      <c r="D1108" s="115"/>
      <c r="E1108" s="115"/>
      <c r="F1108" s="115"/>
      <c r="G1108" s="115"/>
      <c r="H1108" s="115"/>
      <c r="I1108" s="115"/>
      <c r="J1108" s="115"/>
      <c r="K1108" s="115"/>
      <c r="L1108" s="115"/>
      <c r="M1108" s="115"/>
      <c r="N1108" s="115"/>
      <c r="O1108" s="115"/>
      <c r="P1108" s="115"/>
      <c r="Q1108" s="115"/>
      <c r="R1108" s="115"/>
      <c r="S1108" s="115"/>
      <c r="T1108" s="115"/>
      <c r="U1108" s="115"/>
      <c r="V1108" s="115"/>
      <c r="W1108" s="115"/>
      <c r="X1108" s="115"/>
      <c r="Y1108" s="115"/>
      <c r="Z1108" s="115"/>
      <c r="AA1108" s="115"/>
      <c r="AB1108" s="122"/>
      <c r="AC1108" s="122"/>
      <c r="AD1108" s="122"/>
      <c r="AE1108" s="115"/>
      <c r="AF1108" s="115"/>
      <c r="AG1108" s="115"/>
      <c r="AH1108" s="115"/>
      <c r="AI1108" s="115"/>
      <c r="AJ1108" s="115"/>
      <c r="AK1108" s="115"/>
      <c r="AL1108" s="115"/>
      <c r="AM1108" s="115"/>
      <c r="AN1108" s="115"/>
      <c r="AO1108" s="115"/>
      <c r="AP1108" s="115"/>
      <c r="AQ1108" s="115"/>
      <c r="AR1108" s="115"/>
      <c r="AS1108" s="26"/>
      <c r="AT1108" s="15"/>
    </row>
    <row r="1109" spans="3:46" x14ac:dyDescent="0.4">
      <c r="D1109" s="115"/>
      <c r="E1109" s="115"/>
      <c r="F1109" s="115"/>
      <c r="G1109" s="115"/>
      <c r="H1109" s="115"/>
      <c r="I1109" s="115"/>
      <c r="J1109" s="115"/>
      <c r="K1109" s="115"/>
      <c r="L1109" s="115"/>
      <c r="M1109" s="115"/>
      <c r="N1109" s="115"/>
      <c r="O1109" s="115"/>
      <c r="P1109" s="115"/>
      <c r="Q1109" s="115"/>
      <c r="R1109" s="115"/>
      <c r="S1109" s="115"/>
      <c r="T1109" s="115"/>
      <c r="U1109" s="115"/>
      <c r="V1109" s="115"/>
      <c r="W1109" s="115"/>
      <c r="X1109" s="115"/>
      <c r="Y1109" s="115"/>
      <c r="Z1109" s="115"/>
      <c r="AA1109" s="115"/>
      <c r="AB1109" s="122"/>
      <c r="AC1109" s="122"/>
      <c r="AD1109" s="122"/>
      <c r="AE1109" s="115"/>
      <c r="AF1109" s="115"/>
      <c r="AG1109" s="115"/>
      <c r="AH1109" s="115"/>
      <c r="AI1109" s="115"/>
      <c r="AJ1109" s="115"/>
      <c r="AK1109" s="115"/>
      <c r="AL1109" s="115"/>
      <c r="AM1109" s="115"/>
      <c r="AN1109" s="115"/>
      <c r="AO1109" s="115"/>
      <c r="AP1109" s="115"/>
      <c r="AQ1109" s="115"/>
      <c r="AR1109" s="115"/>
      <c r="AS1109" s="17"/>
      <c r="AT1109" s="15"/>
    </row>
    <row r="1110" spans="3:46" x14ac:dyDescent="0.4">
      <c r="AS1110" s="26"/>
      <c r="AT1110" s="15"/>
    </row>
    <row r="1111" spans="3:46" x14ac:dyDescent="0.4">
      <c r="W1111" s="115"/>
      <c r="X1111" s="115"/>
      <c r="Y1111" s="115"/>
      <c r="Z1111" s="115"/>
      <c r="AA1111" s="115"/>
      <c r="AB1111" s="122"/>
      <c r="AC1111" s="122"/>
      <c r="AD1111" s="122"/>
      <c r="AE1111" s="115"/>
      <c r="AF1111" s="115"/>
      <c r="AG1111" s="115"/>
      <c r="AH1111" s="115"/>
      <c r="AI1111" s="115"/>
      <c r="AJ1111" s="115"/>
      <c r="AK1111" s="115"/>
      <c r="AL1111" s="115"/>
      <c r="AM1111" s="115"/>
      <c r="AN1111" s="115"/>
      <c r="AO1111" s="115"/>
      <c r="AP1111" s="115"/>
      <c r="AQ1111" s="115"/>
      <c r="AR1111" s="115"/>
      <c r="AS1111" s="17"/>
      <c r="AT1111" s="13"/>
    </row>
    <row r="1112" spans="3:46" x14ac:dyDescent="0.4">
      <c r="W1112" s="115"/>
      <c r="X1112" s="115"/>
      <c r="Y1112" s="115"/>
      <c r="Z1112" s="115"/>
      <c r="AA1112" s="115"/>
      <c r="AB1112" s="122"/>
      <c r="AC1112" s="122"/>
      <c r="AD1112" s="122"/>
      <c r="AE1112" s="115"/>
      <c r="AF1112" s="115"/>
      <c r="AG1112" s="115"/>
      <c r="AH1112" s="115"/>
      <c r="AI1112" s="115"/>
      <c r="AJ1112" s="115"/>
      <c r="AK1112" s="115"/>
      <c r="AL1112" s="115"/>
      <c r="AM1112" s="115"/>
      <c r="AN1112" s="115"/>
      <c r="AO1112" s="115"/>
      <c r="AP1112" s="115"/>
      <c r="AQ1112" s="115"/>
      <c r="AR1112" s="115"/>
      <c r="AS1112" s="17"/>
      <c r="AT1112" s="13"/>
    </row>
    <row r="1113" spans="3:46" x14ac:dyDescent="0.4">
      <c r="U1113" s="115"/>
      <c r="V1113" s="115"/>
      <c r="W1113" s="115"/>
      <c r="X1113" s="115"/>
      <c r="Y1113" s="115"/>
      <c r="Z1113" s="115"/>
      <c r="AA1113" s="115"/>
      <c r="AB1113" s="122"/>
      <c r="AC1113" s="122"/>
      <c r="AD1113" s="122"/>
      <c r="AE1113" s="115"/>
      <c r="AF1113" s="115"/>
      <c r="AG1113" s="115"/>
      <c r="AH1113" s="115"/>
      <c r="AI1113" s="115"/>
      <c r="AJ1113" s="115"/>
      <c r="AK1113" s="115"/>
      <c r="AL1113" s="115"/>
      <c r="AM1113" s="115"/>
      <c r="AN1113" s="115"/>
      <c r="AO1113" s="115"/>
      <c r="AP1113" s="115"/>
      <c r="AQ1113" s="115"/>
      <c r="AR1113" s="115"/>
      <c r="AS1113" s="26"/>
      <c r="AT1113" s="13"/>
    </row>
    <row r="1114" spans="3:46" x14ac:dyDescent="0.4">
      <c r="U1114" s="115"/>
      <c r="V1114" s="115"/>
      <c r="W1114" s="115"/>
      <c r="X1114" s="115"/>
      <c r="Y1114" s="115"/>
      <c r="Z1114" s="115"/>
      <c r="AA1114" s="115"/>
      <c r="AB1114" s="122"/>
      <c r="AC1114" s="122"/>
      <c r="AD1114" s="122"/>
      <c r="AE1114" s="115"/>
      <c r="AF1114" s="115"/>
      <c r="AG1114" s="115"/>
      <c r="AH1114" s="115"/>
      <c r="AI1114" s="115"/>
      <c r="AJ1114" s="115"/>
      <c r="AK1114" s="115"/>
      <c r="AL1114" s="115"/>
      <c r="AM1114" s="115"/>
      <c r="AN1114" s="115"/>
      <c r="AO1114" s="115"/>
      <c r="AP1114" s="115"/>
      <c r="AQ1114" s="115"/>
      <c r="AR1114" s="115"/>
      <c r="AS1114" s="17"/>
      <c r="AT1114" s="13"/>
    </row>
    <row r="1115" spans="3:46" x14ac:dyDescent="0.4">
      <c r="AS1115" s="26"/>
      <c r="AT1115" s="13"/>
    </row>
    <row r="1116" spans="3:46" x14ac:dyDescent="0.4">
      <c r="V1116" s="115"/>
      <c r="W1116" s="115"/>
      <c r="X1116" s="115"/>
      <c r="Y1116" s="115"/>
      <c r="Z1116" s="115"/>
      <c r="AA1116" s="115"/>
      <c r="AB1116" s="122"/>
      <c r="AC1116" s="122"/>
      <c r="AD1116" s="122"/>
      <c r="AE1116" s="115"/>
      <c r="AF1116" s="115"/>
      <c r="AG1116" s="115"/>
      <c r="AH1116" s="115"/>
      <c r="AI1116" s="115"/>
      <c r="AJ1116" s="115"/>
      <c r="AK1116" s="115"/>
      <c r="AL1116" s="115"/>
      <c r="AM1116" s="115"/>
      <c r="AN1116" s="115"/>
      <c r="AO1116" s="115"/>
      <c r="AP1116" s="115"/>
      <c r="AQ1116" s="115"/>
      <c r="AR1116" s="115"/>
      <c r="AS1116" s="17"/>
      <c r="AT1116" s="13"/>
    </row>
    <row r="1117" spans="3:46" x14ac:dyDescent="0.4">
      <c r="AS1117" s="26"/>
      <c r="AT1117" s="13"/>
    </row>
    <row r="1118" spans="3:46" x14ac:dyDescent="0.4">
      <c r="AS1118" s="26"/>
      <c r="AT1118" s="13"/>
    </row>
    <row r="1119" spans="3:46" x14ac:dyDescent="0.4">
      <c r="D1119" s="115"/>
      <c r="E1119" s="115"/>
      <c r="F1119" s="115"/>
      <c r="G1119" s="115"/>
      <c r="H1119" s="115"/>
      <c r="I1119" s="115"/>
      <c r="J1119" s="115"/>
      <c r="K1119" s="115"/>
      <c r="L1119" s="115"/>
      <c r="M1119" s="115"/>
      <c r="N1119" s="115"/>
      <c r="O1119" s="115"/>
      <c r="P1119" s="115"/>
      <c r="Q1119" s="115"/>
      <c r="R1119" s="115"/>
      <c r="S1119" s="115"/>
      <c r="T1119" s="115"/>
      <c r="U1119" s="115"/>
      <c r="V1119" s="115"/>
      <c r="W1119" s="115"/>
      <c r="X1119" s="115"/>
      <c r="Y1119" s="115"/>
      <c r="Z1119" s="115"/>
      <c r="AA1119" s="115"/>
      <c r="AB1119" s="122"/>
      <c r="AC1119" s="122"/>
      <c r="AD1119" s="122"/>
      <c r="AE1119" s="115"/>
      <c r="AF1119" s="115"/>
      <c r="AG1119" s="115"/>
      <c r="AH1119" s="115"/>
      <c r="AI1119" s="115"/>
      <c r="AJ1119" s="115"/>
      <c r="AK1119" s="115"/>
      <c r="AL1119" s="115"/>
      <c r="AM1119" s="115"/>
      <c r="AN1119" s="115"/>
      <c r="AO1119" s="115"/>
      <c r="AP1119" s="115"/>
      <c r="AQ1119" s="115"/>
      <c r="AR1119" s="115"/>
      <c r="AS1119" s="26"/>
      <c r="AT1119" s="13"/>
    </row>
    <row r="1120" spans="3:46" x14ac:dyDescent="0.4">
      <c r="C1120" s="115"/>
      <c r="D1120" s="115"/>
      <c r="E1120" s="115"/>
      <c r="F1120" s="115"/>
      <c r="G1120" s="115"/>
      <c r="H1120" s="115"/>
      <c r="I1120" s="115"/>
      <c r="J1120" s="115"/>
      <c r="K1120" s="115"/>
      <c r="L1120" s="115"/>
      <c r="M1120" s="115"/>
      <c r="N1120" s="115"/>
      <c r="O1120" s="115"/>
      <c r="P1120" s="115"/>
      <c r="Q1120" s="115"/>
      <c r="R1120" s="115"/>
      <c r="S1120" s="115"/>
      <c r="T1120" s="115"/>
      <c r="U1120" s="115"/>
      <c r="V1120" s="115"/>
      <c r="W1120" s="115"/>
      <c r="X1120" s="115"/>
      <c r="Y1120" s="115"/>
      <c r="Z1120" s="115"/>
      <c r="AA1120" s="115"/>
      <c r="AB1120" s="122"/>
      <c r="AC1120" s="122"/>
      <c r="AD1120" s="122"/>
      <c r="AE1120" s="115"/>
      <c r="AF1120" s="115"/>
      <c r="AG1120" s="115"/>
      <c r="AH1120" s="115"/>
      <c r="AI1120" s="115"/>
      <c r="AJ1120" s="115"/>
      <c r="AK1120" s="115"/>
      <c r="AL1120" s="115"/>
      <c r="AM1120" s="115"/>
      <c r="AN1120" s="115"/>
      <c r="AO1120" s="115"/>
      <c r="AP1120" s="115"/>
      <c r="AQ1120" s="115"/>
      <c r="AR1120" s="115"/>
      <c r="AS1120" s="26"/>
      <c r="AT1120" s="13"/>
    </row>
    <row r="1121" spans="3:46" x14ac:dyDescent="0.4">
      <c r="AS1121" s="26"/>
      <c r="AT1121" s="13"/>
    </row>
    <row r="1122" spans="3:46" x14ac:dyDescent="0.4">
      <c r="AS1122" s="26"/>
      <c r="AT1122" s="13"/>
    </row>
    <row r="1123" spans="3:46" x14ac:dyDescent="0.4">
      <c r="E1123" s="115"/>
      <c r="F1123" s="115"/>
      <c r="G1123" s="115"/>
      <c r="H1123" s="115"/>
      <c r="I1123" s="115"/>
      <c r="J1123" s="115"/>
      <c r="K1123" s="115"/>
      <c r="L1123" s="115"/>
      <c r="M1123" s="115"/>
      <c r="N1123" s="115"/>
      <c r="O1123" s="115"/>
      <c r="P1123" s="115"/>
      <c r="Q1123" s="115"/>
      <c r="R1123" s="115"/>
      <c r="S1123" s="115"/>
      <c r="T1123" s="115"/>
      <c r="U1123" s="115"/>
      <c r="V1123" s="115"/>
      <c r="W1123" s="115"/>
      <c r="X1123" s="115"/>
      <c r="Y1123" s="115"/>
      <c r="Z1123" s="115"/>
      <c r="AA1123" s="115"/>
      <c r="AB1123" s="122"/>
      <c r="AC1123" s="122"/>
      <c r="AD1123" s="122"/>
      <c r="AE1123" s="115"/>
      <c r="AF1123" s="115"/>
      <c r="AG1123" s="115"/>
      <c r="AH1123" s="115"/>
      <c r="AI1123" s="115"/>
      <c r="AJ1123" s="115"/>
      <c r="AK1123" s="115"/>
      <c r="AL1123" s="115"/>
      <c r="AM1123" s="115"/>
      <c r="AN1123" s="115"/>
      <c r="AO1123" s="115"/>
      <c r="AP1123" s="115"/>
      <c r="AQ1123" s="115"/>
      <c r="AR1123" s="115"/>
      <c r="AS1123" s="26"/>
      <c r="AT1123" s="13"/>
    </row>
    <row r="1124" spans="3:46" x14ac:dyDescent="0.4">
      <c r="AS1124" s="26"/>
      <c r="AT1124" s="105"/>
    </row>
    <row r="1125" spans="3:46" x14ac:dyDescent="0.4">
      <c r="E1125" s="115"/>
      <c r="F1125" s="115"/>
      <c r="G1125" s="115"/>
      <c r="H1125" s="115"/>
      <c r="I1125" s="115"/>
      <c r="J1125" s="115"/>
      <c r="K1125" s="115"/>
      <c r="L1125" s="115"/>
      <c r="M1125" s="115"/>
      <c r="N1125" s="115"/>
      <c r="O1125" s="115"/>
      <c r="P1125" s="115"/>
      <c r="Q1125" s="115"/>
      <c r="R1125" s="115"/>
      <c r="S1125" s="115"/>
      <c r="T1125" s="115"/>
      <c r="U1125" s="115"/>
      <c r="V1125" s="115"/>
      <c r="W1125" s="115"/>
      <c r="X1125" s="115"/>
      <c r="Y1125" s="115"/>
      <c r="Z1125" s="115"/>
      <c r="AA1125" s="115"/>
      <c r="AB1125" s="122"/>
      <c r="AC1125" s="122"/>
      <c r="AD1125" s="122"/>
      <c r="AE1125" s="115"/>
      <c r="AF1125" s="115"/>
      <c r="AG1125" s="115"/>
      <c r="AH1125" s="115"/>
      <c r="AI1125" s="115"/>
      <c r="AJ1125" s="115"/>
      <c r="AK1125" s="115"/>
      <c r="AL1125" s="115"/>
      <c r="AM1125" s="115"/>
      <c r="AN1125" s="115"/>
      <c r="AO1125" s="115"/>
      <c r="AP1125" s="115"/>
      <c r="AQ1125" s="115"/>
      <c r="AR1125" s="115"/>
      <c r="AS1125" s="26"/>
      <c r="AT1125" s="15"/>
    </row>
    <row r="1126" spans="3:46" x14ac:dyDescent="0.4">
      <c r="E1126" s="115"/>
      <c r="F1126" s="115"/>
      <c r="G1126" s="115"/>
      <c r="H1126" s="115"/>
      <c r="I1126" s="115"/>
      <c r="J1126" s="115"/>
      <c r="K1126" s="115"/>
      <c r="L1126" s="115"/>
      <c r="M1126" s="115"/>
      <c r="N1126" s="115"/>
      <c r="O1126" s="115"/>
      <c r="P1126" s="115"/>
      <c r="Q1126" s="115"/>
      <c r="R1126" s="115"/>
      <c r="S1126" s="115"/>
      <c r="T1126" s="115"/>
      <c r="U1126" s="115"/>
      <c r="V1126" s="115"/>
      <c r="W1126" s="115"/>
      <c r="X1126" s="115"/>
      <c r="Y1126" s="115"/>
      <c r="Z1126" s="115"/>
      <c r="AA1126" s="115"/>
      <c r="AB1126" s="122"/>
      <c r="AC1126" s="122"/>
      <c r="AD1126" s="122"/>
      <c r="AE1126" s="115"/>
      <c r="AF1126" s="115"/>
      <c r="AG1126" s="115"/>
      <c r="AH1126" s="115"/>
      <c r="AI1126" s="115"/>
      <c r="AJ1126" s="115"/>
      <c r="AK1126" s="115"/>
      <c r="AL1126" s="115"/>
      <c r="AM1126" s="115"/>
      <c r="AN1126" s="115"/>
      <c r="AO1126" s="115"/>
      <c r="AP1126" s="115"/>
      <c r="AQ1126" s="115"/>
      <c r="AR1126" s="115"/>
      <c r="AS1126" s="17"/>
      <c r="AT1126" s="15"/>
    </row>
    <row r="1127" spans="3:46" x14ac:dyDescent="0.4">
      <c r="AS1127" s="26"/>
      <c r="AT1127" s="15"/>
    </row>
    <row r="1128" spans="3:46" x14ac:dyDescent="0.4">
      <c r="E1128" s="115"/>
      <c r="F1128" s="115"/>
      <c r="G1128" s="115"/>
      <c r="H1128" s="115"/>
      <c r="I1128" s="115"/>
      <c r="J1128" s="115"/>
      <c r="K1128" s="115"/>
      <c r="L1128" s="115"/>
      <c r="M1128" s="115"/>
      <c r="N1128" s="115"/>
      <c r="O1128" s="115"/>
      <c r="P1128" s="115"/>
      <c r="Q1128" s="115"/>
      <c r="R1128" s="115"/>
      <c r="S1128" s="115"/>
      <c r="T1128" s="115"/>
      <c r="U1128" s="115"/>
      <c r="V1128" s="115"/>
      <c r="W1128" s="115"/>
      <c r="X1128" s="115"/>
      <c r="Y1128" s="115"/>
      <c r="Z1128" s="115"/>
      <c r="AA1128" s="115"/>
      <c r="AB1128" s="122"/>
      <c r="AC1128" s="122"/>
      <c r="AD1128" s="122"/>
      <c r="AE1128" s="115"/>
      <c r="AF1128" s="115"/>
      <c r="AG1128" s="115"/>
      <c r="AH1128" s="115"/>
      <c r="AI1128" s="115"/>
      <c r="AJ1128" s="115"/>
      <c r="AK1128" s="115"/>
      <c r="AL1128" s="115"/>
      <c r="AM1128" s="115"/>
      <c r="AN1128" s="115"/>
      <c r="AO1128" s="115"/>
      <c r="AP1128" s="115"/>
      <c r="AQ1128" s="115"/>
      <c r="AR1128" s="115"/>
      <c r="AS1128" s="26"/>
      <c r="AT1128" s="15"/>
    </row>
    <row r="1129" spans="3:46" x14ac:dyDescent="0.4">
      <c r="C1129" s="115"/>
      <c r="D1129" s="115"/>
      <c r="E1129" s="115"/>
      <c r="F1129" s="115"/>
      <c r="G1129" s="115"/>
      <c r="H1129" s="115"/>
      <c r="I1129" s="115"/>
      <c r="J1129" s="115"/>
      <c r="K1129" s="115"/>
      <c r="L1129" s="115"/>
      <c r="M1129" s="115"/>
      <c r="N1129" s="115"/>
      <c r="O1129" s="115"/>
      <c r="P1129" s="115"/>
      <c r="Q1129" s="115"/>
      <c r="R1129" s="115"/>
      <c r="S1129" s="115"/>
      <c r="T1129" s="115"/>
      <c r="U1129" s="115"/>
      <c r="V1129" s="115"/>
      <c r="W1129" s="115"/>
      <c r="X1129" s="115"/>
      <c r="Y1129" s="115"/>
      <c r="Z1129" s="115"/>
      <c r="AA1129" s="115"/>
      <c r="AB1129" s="122"/>
      <c r="AC1129" s="122"/>
      <c r="AD1129" s="122"/>
      <c r="AE1129" s="115"/>
      <c r="AF1129" s="115"/>
      <c r="AG1129" s="115"/>
      <c r="AH1129" s="115"/>
      <c r="AI1129" s="115"/>
      <c r="AJ1129" s="115"/>
      <c r="AK1129" s="115"/>
      <c r="AL1129" s="115"/>
      <c r="AM1129" s="115"/>
      <c r="AN1129" s="115"/>
      <c r="AO1129" s="115"/>
      <c r="AP1129" s="115"/>
      <c r="AQ1129" s="115"/>
      <c r="AR1129" s="115"/>
      <c r="AS1129" s="26"/>
      <c r="AT1129" s="15"/>
    </row>
    <row r="1130" spans="3:46" x14ac:dyDescent="0.4">
      <c r="C1130" s="115"/>
      <c r="D1130" s="115"/>
      <c r="E1130" s="115"/>
      <c r="F1130" s="115"/>
      <c r="G1130" s="115"/>
      <c r="H1130" s="115"/>
      <c r="I1130" s="115"/>
      <c r="J1130" s="115"/>
      <c r="K1130" s="115"/>
      <c r="L1130" s="115"/>
      <c r="M1130" s="115"/>
      <c r="N1130" s="115"/>
      <c r="O1130" s="115"/>
      <c r="P1130" s="115"/>
      <c r="Q1130" s="115"/>
      <c r="R1130" s="115"/>
      <c r="S1130" s="115"/>
      <c r="T1130" s="115"/>
      <c r="U1130" s="115"/>
      <c r="V1130" s="115"/>
      <c r="W1130" s="115"/>
      <c r="X1130" s="115"/>
      <c r="Y1130" s="115"/>
      <c r="Z1130" s="115"/>
      <c r="AA1130" s="115"/>
      <c r="AB1130" s="122"/>
      <c r="AC1130" s="122"/>
      <c r="AD1130" s="122"/>
      <c r="AE1130" s="115"/>
      <c r="AF1130" s="115"/>
      <c r="AG1130" s="115"/>
      <c r="AH1130" s="115"/>
      <c r="AI1130" s="115"/>
      <c r="AJ1130" s="115"/>
      <c r="AK1130" s="115"/>
      <c r="AL1130" s="115"/>
      <c r="AM1130" s="115"/>
      <c r="AN1130" s="115"/>
      <c r="AO1130" s="115"/>
      <c r="AP1130" s="115"/>
      <c r="AQ1130" s="115"/>
      <c r="AR1130" s="115"/>
      <c r="AS1130" s="26"/>
      <c r="AT1130" s="13"/>
    </row>
    <row r="1131" spans="3:46" x14ac:dyDescent="0.4">
      <c r="AS1131" s="26"/>
      <c r="AT1131" s="15"/>
    </row>
    <row r="1132" spans="3:46" x14ac:dyDescent="0.4">
      <c r="E1132" s="115"/>
      <c r="F1132" s="115"/>
      <c r="G1132" s="115"/>
      <c r="H1132" s="115"/>
      <c r="I1132" s="115"/>
      <c r="J1132" s="115"/>
      <c r="K1132" s="115"/>
      <c r="L1132" s="115"/>
      <c r="M1132" s="115"/>
      <c r="N1132" s="115"/>
      <c r="O1132" s="115"/>
      <c r="P1132" s="115"/>
      <c r="Q1132" s="115"/>
      <c r="R1132" s="115"/>
      <c r="S1132" s="115"/>
      <c r="T1132" s="115"/>
      <c r="U1132" s="115"/>
      <c r="V1132" s="115"/>
      <c r="W1132" s="115"/>
      <c r="X1132" s="115"/>
      <c r="Y1132" s="115"/>
      <c r="Z1132" s="115"/>
      <c r="AA1132" s="115"/>
      <c r="AB1132" s="122"/>
      <c r="AC1132" s="122"/>
      <c r="AD1132" s="122"/>
      <c r="AE1132" s="115"/>
      <c r="AF1132" s="115"/>
      <c r="AG1132" s="115"/>
      <c r="AH1132" s="115"/>
      <c r="AI1132" s="115"/>
      <c r="AJ1132" s="115"/>
      <c r="AK1132" s="115"/>
      <c r="AL1132" s="115"/>
      <c r="AM1132" s="115"/>
      <c r="AN1132" s="115"/>
      <c r="AO1132" s="115"/>
      <c r="AP1132" s="115"/>
      <c r="AQ1132" s="115"/>
      <c r="AR1132" s="115"/>
      <c r="AS1132" s="26"/>
      <c r="AT1132" s="15"/>
    </row>
    <row r="1133" spans="3:46" x14ac:dyDescent="0.4">
      <c r="E1133" s="115"/>
      <c r="F1133" s="115"/>
      <c r="G1133" s="115"/>
      <c r="H1133" s="115"/>
      <c r="I1133" s="115"/>
      <c r="J1133" s="115"/>
      <c r="K1133" s="115"/>
      <c r="L1133" s="115"/>
      <c r="M1133" s="115"/>
      <c r="N1133" s="115"/>
      <c r="O1133" s="115"/>
      <c r="P1133" s="115"/>
      <c r="Q1133" s="115"/>
      <c r="R1133" s="115"/>
      <c r="S1133" s="115"/>
      <c r="T1133" s="115"/>
      <c r="U1133" s="115"/>
      <c r="V1133" s="115"/>
      <c r="W1133" s="115"/>
      <c r="X1133" s="115"/>
      <c r="Y1133" s="115"/>
      <c r="Z1133" s="115"/>
      <c r="AA1133" s="115"/>
      <c r="AB1133" s="122"/>
      <c r="AC1133" s="122"/>
      <c r="AD1133" s="122"/>
      <c r="AE1133" s="115"/>
      <c r="AF1133" s="115"/>
      <c r="AG1133" s="115"/>
      <c r="AH1133" s="115"/>
      <c r="AI1133" s="115"/>
      <c r="AJ1133" s="115"/>
      <c r="AK1133" s="115"/>
      <c r="AL1133" s="115"/>
      <c r="AM1133" s="115"/>
      <c r="AN1133" s="115"/>
      <c r="AO1133" s="115"/>
      <c r="AP1133" s="115"/>
      <c r="AQ1133" s="115"/>
      <c r="AR1133" s="115"/>
      <c r="AS1133" s="26"/>
      <c r="AT1133" s="15"/>
    </row>
    <row r="1134" spans="3:46" x14ac:dyDescent="0.4">
      <c r="D1134" s="115"/>
      <c r="E1134" s="115"/>
      <c r="F1134" s="115"/>
      <c r="G1134" s="115"/>
      <c r="H1134" s="115"/>
      <c r="I1134" s="115"/>
      <c r="J1134" s="115"/>
      <c r="K1134" s="115"/>
      <c r="L1134" s="115"/>
      <c r="M1134" s="115"/>
      <c r="N1134" s="115"/>
      <c r="O1134" s="115"/>
      <c r="P1134" s="115"/>
      <c r="Q1134" s="115"/>
      <c r="R1134" s="115"/>
      <c r="S1134" s="115"/>
      <c r="T1134" s="115"/>
      <c r="U1134" s="115"/>
      <c r="V1134" s="115"/>
      <c r="W1134" s="115"/>
      <c r="X1134" s="115"/>
      <c r="Y1134" s="115"/>
      <c r="Z1134" s="115"/>
      <c r="AA1134" s="115"/>
      <c r="AB1134" s="122"/>
      <c r="AC1134" s="122"/>
      <c r="AD1134" s="122"/>
      <c r="AE1134" s="115"/>
      <c r="AF1134" s="115"/>
      <c r="AG1134" s="115"/>
      <c r="AH1134" s="115"/>
      <c r="AI1134" s="115"/>
      <c r="AJ1134" s="115"/>
      <c r="AK1134" s="115"/>
      <c r="AL1134" s="115"/>
      <c r="AM1134" s="115"/>
      <c r="AN1134" s="115"/>
      <c r="AO1134" s="115"/>
      <c r="AP1134" s="115"/>
      <c r="AQ1134" s="115"/>
      <c r="AR1134" s="115"/>
      <c r="AS1134" s="26"/>
      <c r="AT1134" s="15"/>
    </row>
    <row r="1135" spans="3:46" x14ac:dyDescent="0.4">
      <c r="D1135" s="115"/>
      <c r="E1135" s="115"/>
      <c r="F1135" s="115"/>
      <c r="G1135" s="115"/>
      <c r="H1135" s="115"/>
      <c r="I1135" s="115"/>
      <c r="J1135" s="115"/>
      <c r="K1135" s="115"/>
      <c r="L1135" s="115"/>
      <c r="M1135" s="115"/>
      <c r="N1135" s="115"/>
      <c r="O1135" s="115"/>
      <c r="P1135" s="115"/>
      <c r="Q1135" s="115"/>
      <c r="R1135" s="115"/>
      <c r="S1135" s="115"/>
      <c r="T1135" s="115"/>
      <c r="U1135" s="115"/>
      <c r="V1135" s="115"/>
      <c r="W1135" s="115"/>
      <c r="X1135" s="115"/>
      <c r="Y1135" s="115"/>
      <c r="Z1135" s="115"/>
      <c r="AA1135" s="115"/>
      <c r="AB1135" s="122"/>
      <c r="AC1135" s="122"/>
      <c r="AD1135" s="122"/>
      <c r="AE1135" s="115"/>
      <c r="AF1135" s="115"/>
      <c r="AG1135" s="115"/>
      <c r="AH1135" s="115"/>
      <c r="AI1135" s="115"/>
      <c r="AJ1135" s="115"/>
      <c r="AK1135" s="115"/>
      <c r="AL1135" s="115"/>
      <c r="AM1135" s="115"/>
      <c r="AN1135" s="115"/>
      <c r="AO1135" s="115"/>
      <c r="AP1135" s="115"/>
      <c r="AQ1135" s="115"/>
      <c r="AR1135" s="115"/>
      <c r="AS1135" s="26"/>
      <c r="AT1135" s="15"/>
    </row>
    <row r="1136" spans="3:46" x14ac:dyDescent="0.4">
      <c r="D1136" s="115"/>
      <c r="E1136" s="115"/>
      <c r="F1136" s="115"/>
      <c r="G1136" s="115"/>
      <c r="H1136" s="115"/>
      <c r="I1136" s="115"/>
      <c r="J1136" s="115"/>
      <c r="K1136" s="115"/>
      <c r="L1136" s="115"/>
      <c r="M1136" s="115"/>
      <c r="N1136" s="115"/>
      <c r="O1136" s="115"/>
      <c r="P1136" s="115"/>
      <c r="Q1136" s="115"/>
      <c r="R1136" s="115"/>
      <c r="S1136" s="115"/>
      <c r="T1136" s="115"/>
      <c r="U1136" s="115"/>
      <c r="V1136" s="115"/>
      <c r="W1136" s="115"/>
      <c r="X1136" s="115"/>
      <c r="Y1136" s="115"/>
      <c r="Z1136" s="115"/>
      <c r="AA1136" s="115"/>
      <c r="AB1136" s="122"/>
      <c r="AC1136" s="122"/>
      <c r="AD1136" s="122"/>
      <c r="AE1136" s="115"/>
      <c r="AF1136" s="115"/>
      <c r="AG1136" s="115"/>
      <c r="AH1136" s="115"/>
      <c r="AI1136" s="115"/>
      <c r="AJ1136" s="115"/>
      <c r="AK1136" s="115"/>
      <c r="AL1136" s="115"/>
      <c r="AM1136" s="115"/>
      <c r="AN1136" s="115"/>
      <c r="AO1136" s="115"/>
      <c r="AP1136" s="115"/>
      <c r="AQ1136" s="115"/>
      <c r="AR1136" s="115"/>
      <c r="AS1136" s="26"/>
      <c r="AT1136" s="15"/>
    </row>
    <row r="1137" spans="1:46" x14ac:dyDescent="0.4">
      <c r="C1137" s="115"/>
      <c r="D1137" s="115"/>
      <c r="E1137" s="115"/>
      <c r="F1137" s="115"/>
      <c r="G1137" s="115"/>
      <c r="H1137" s="115"/>
      <c r="I1137" s="115"/>
      <c r="J1137" s="115"/>
      <c r="K1137" s="115"/>
      <c r="L1137" s="115"/>
      <c r="M1137" s="115"/>
      <c r="N1137" s="115"/>
      <c r="O1137" s="115"/>
      <c r="P1137" s="115"/>
      <c r="Q1137" s="115"/>
      <c r="R1137" s="115"/>
      <c r="S1137" s="115"/>
      <c r="T1137" s="115"/>
      <c r="U1137" s="115"/>
      <c r="V1137" s="115"/>
      <c r="W1137" s="115"/>
      <c r="X1137" s="115"/>
      <c r="Y1137" s="115"/>
      <c r="Z1137" s="115"/>
      <c r="AA1137" s="115"/>
      <c r="AB1137" s="122"/>
      <c r="AC1137" s="122"/>
      <c r="AD1137" s="122"/>
      <c r="AE1137" s="115"/>
      <c r="AF1137" s="115"/>
      <c r="AG1137" s="115"/>
      <c r="AH1137" s="115"/>
      <c r="AI1137" s="115"/>
      <c r="AJ1137" s="115"/>
      <c r="AK1137" s="115"/>
      <c r="AL1137" s="115"/>
      <c r="AM1137" s="115"/>
      <c r="AN1137" s="115"/>
      <c r="AO1137" s="115"/>
      <c r="AP1137" s="115"/>
      <c r="AQ1137" s="115"/>
      <c r="AR1137" s="115"/>
      <c r="AS1137" s="26"/>
      <c r="AT1137" s="15"/>
    </row>
    <row r="1138" spans="1:46" ht="19.5" customHeight="1" x14ac:dyDescent="0.4">
      <c r="B1138" s="115"/>
      <c r="C1138" s="115"/>
      <c r="D1138" s="115"/>
      <c r="E1138" s="115"/>
      <c r="F1138" s="115"/>
      <c r="G1138" s="115"/>
      <c r="H1138" s="115"/>
      <c r="I1138" s="115"/>
      <c r="J1138" s="115"/>
      <c r="K1138" s="115"/>
      <c r="L1138" s="115"/>
      <c r="M1138" s="115"/>
      <c r="N1138" s="115"/>
      <c r="O1138" s="115"/>
      <c r="P1138" s="115"/>
      <c r="Q1138" s="115"/>
      <c r="R1138" s="115"/>
      <c r="S1138" s="115"/>
      <c r="T1138" s="115"/>
      <c r="U1138" s="115"/>
      <c r="V1138" s="115"/>
      <c r="W1138" s="115"/>
      <c r="X1138" s="115"/>
      <c r="Y1138" s="115"/>
      <c r="Z1138" s="115"/>
      <c r="AA1138" s="115"/>
      <c r="AB1138" s="122"/>
      <c r="AC1138" s="122"/>
      <c r="AD1138" s="122"/>
      <c r="AE1138" s="115"/>
      <c r="AF1138" s="115"/>
      <c r="AG1138" s="115"/>
      <c r="AH1138" s="115"/>
      <c r="AI1138" s="115"/>
      <c r="AJ1138" s="115"/>
      <c r="AK1138" s="115"/>
      <c r="AL1138" s="115"/>
      <c r="AM1138" s="115"/>
      <c r="AN1138" s="115"/>
      <c r="AO1138" s="115"/>
      <c r="AP1138" s="115"/>
      <c r="AQ1138" s="115"/>
      <c r="AR1138" s="115"/>
      <c r="AS1138" s="26"/>
      <c r="AT1138" s="15"/>
    </row>
    <row r="1139" spans="1:46" ht="19.5" customHeight="1" x14ac:dyDescent="0.4">
      <c r="B1139" s="115"/>
      <c r="C1139" s="115"/>
      <c r="D1139" s="115"/>
      <c r="E1139" s="115"/>
      <c r="F1139" s="115"/>
      <c r="G1139" s="115"/>
      <c r="H1139" s="115"/>
      <c r="I1139" s="115"/>
      <c r="J1139" s="115"/>
      <c r="K1139" s="115"/>
      <c r="L1139" s="115"/>
      <c r="M1139" s="115"/>
      <c r="N1139" s="115"/>
      <c r="O1139" s="115"/>
      <c r="P1139" s="115"/>
      <c r="Q1139" s="115"/>
      <c r="R1139" s="115"/>
      <c r="S1139" s="115"/>
      <c r="T1139" s="115"/>
      <c r="U1139" s="115"/>
      <c r="V1139" s="115"/>
      <c r="W1139" s="115"/>
      <c r="X1139" s="115"/>
      <c r="Y1139" s="115"/>
      <c r="Z1139" s="115"/>
      <c r="AA1139" s="115"/>
      <c r="AB1139" s="122"/>
      <c r="AC1139" s="122"/>
      <c r="AD1139" s="122"/>
      <c r="AE1139" s="115"/>
      <c r="AF1139" s="115"/>
      <c r="AG1139" s="115"/>
      <c r="AH1139" s="115"/>
      <c r="AI1139" s="115"/>
      <c r="AJ1139" s="115"/>
      <c r="AK1139" s="115"/>
      <c r="AL1139" s="115"/>
      <c r="AM1139" s="115"/>
      <c r="AN1139" s="115"/>
      <c r="AO1139" s="115"/>
      <c r="AP1139" s="115"/>
      <c r="AQ1139" s="115"/>
      <c r="AR1139" s="115"/>
      <c r="AS1139" s="26"/>
      <c r="AT1139" s="15"/>
    </row>
    <row r="1140" spans="1:46" x14ac:dyDescent="0.4">
      <c r="AS1140" s="26"/>
      <c r="AT1140" s="15"/>
    </row>
    <row r="1141" spans="1:46" x14ac:dyDescent="0.4">
      <c r="D1141" s="115"/>
      <c r="E1141" s="115"/>
      <c r="F1141" s="115"/>
      <c r="G1141" s="115"/>
      <c r="H1141" s="115"/>
      <c r="I1141" s="115"/>
      <c r="J1141" s="115"/>
      <c r="K1141" s="115"/>
      <c r="L1141" s="115"/>
      <c r="M1141" s="115"/>
      <c r="N1141" s="115"/>
      <c r="O1141" s="115"/>
      <c r="P1141" s="115"/>
      <c r="Q1141" s="115"/>
      <c r="R1141" s="115"/>
      <c r="S1141" s="115"/>
      <c r="T1141" s="115"/>
      <c r="U1141" s="115"/>
      <c r="V1141" s="115"/>
      <c r="W1141" s="115"/>
      <c r="X1141" s="115"/>
      <c r="Y1141" s="115"/>
      <c r="Z1141" s="115"/>
      <c r="AA1141" s="115"/>
      <c r="AB1141" s="122"/>
      <c r="AC1141" s="122"/>
      <c r="AD1141" s="122"/>
      <c r="AE1141" s="115"/>
      <c r="AF1141" s="115"/>
      <c r="AG1141" s="115"/>
      <c r="AH1141" s="115"/>
      <c r="AI1141" s="115"/>
      <c r="AJ1141" s="115"/>
      <c r="AK1141" s="115"/>
      <c r="AL1141" s="115"/>
      <c r="AM1141" s="115"/>
      <c r="AN1141" s="115"/>
      <c r="AO1141" s="115"/>
      <c r="AP1141" s="115"/>
      <c r="AQ1141" s="115"/>
      <c r="AR1141" s="115"/>
      <c r="AS1141" s="26"/>
      <c r="AT1141" s="15"/>
    </row>
    <row r="1142" spans="1:46" x14ac:dyDescent="0.4">
      <c r="C1142" s="115"/>
      <c r="D1142" s="115"/>
      <c r="E1142" s="115"/>
      <c r="F1142" s="115"/>
      <c r="G1142" s="115"/>
      <c r="H1142" s="115"/>
      <c r="I1142" s="115"/>
      <c r="J1142" s="115"/>
      <c r="K1142" s="115"/>
      <c r="L1142" s="115"/>
      <c r="M1142" s="115"/>
      <c r="N1142" s="115"/>
      <c r="O1142" s="115"/>
      <c r="P1142" s="115"/>
      <c r="Q1142" s="115"/>
      <c r="R1142" s="115"/>
      <c r="S1142" s="115"/>
      <c r="T1142" s="115"/>
      <c r="U1142" s="115"/>
      <c r="V1142" s="115"/>
      <c r="W1142" s="115"/>
      <c r="X1142" s="115"/>
      <c r="Y1142" s="115"/>
      <c r="Z1142" s="115"/>
      <c r="AA1142" s="115"/>
      <c r="AB1142" s="122"/>
      <c r="AC1142" s="122"/>
      <c r="AD1142" s="122"/>
      <c r="AE1142" s="115"/>
      <c r="AF1142" s="115"/>
      <c r="AG1142" s="115"/>
      <c r="AH1142" s="115"/>
      <c r="AI1142" s="115"/>
      <c r="AJ1142" s="115"/>
      <c r="AK1142" s="115"/>
      <c r="AL1142" s="115"/>
      <c r="AM1142" s="115"/>
      <c r="AN1142" s="115"/>
      <c r="AO1142" s="115"/>
      <c r="AP1142" s="115"/>
      <c r="AQ1142" s="115"/>
      <c r="AR1142" s="115"/>
      <c r="AS1142" s="26"/>
      <c r="AT1142" s="15"/>
    </row>
    <row r="1143" spans="1:46" x14ac:dyDescent="0.4">
      <c r="C1143" s="115"/>
      <c r="D1143" s="115"/>
      <c r="E1143" s="115"/>
      <c r="F1143" s="115"/>
      <c r="G1143" s="115"/>
      <c r="H1143" s="115"/>
      <c r="I1143" s="115"/>
      <c r="J1143" s="115"/>
      <c r="K1143" s="115"/>
      <c r="L1143" s="115"/>
      <c r="M1143" s="115"/>
      <c r="N1143" s="115"/>
      <c r="O1143" s="115"/>
      <c r="P1143" s="115"/>
      <c r="Q1143" s="115"/>
      <c r="R1143" s="115"/>
      <c r="S1143" s="115"/>
      <c r="T1143" s="115"/>
      <c r="U1143" s="115"/>
      <c r="V1143" s="115"/>
      <c r="W1143" s="115"/>
      <c r="X1143" s="115"/>
      <c r="Y1143" s="115"/>
      <c r="Z1143" s="115"/>
      <c r="AA1143" s="115"/>
      <c r="AB1143" s="122"/>
      <c r="AC1143" s="122"/>
      <c r="AD1143" s="122"/>
      <c r="AE1143" s="115"/>
      <c r="AF1143" s="115"/>
      <c r="AG1143" s="115"/>
      <c r="AH1143" s="115"/>
      <c r="AI1143" s="115"/>
      <c r="AJ1143" s="115"/>
      <c r="AK1143" s="115"/>
      <c r="AL1143" s="115"/>
      <c r="AM1143" s="115"/>
      <c r="AN1143" s="115"/>
      <c r="AO1143" s="115"/>
      <c r="AP1143" s="115"/>
      <c r="AQ1143" s="115"/>
      <c r="AR1143" s="115"/>
      <c r="AS1143" s="17"/>
      <c r="AT1143" s="15"/>
    </row>
    <row r="1144" spans="1:46" x14ac:dyDescent="0.4">
      <c r="AS1144" s="26"/>
      <c r="AT1144" s="15"/>
    </row>
    <row r="1145" spans="1:46" x14ac:dyDescent="0.4">
      <c r="V1145" s="115"/>
      <c r="W1145" s="115"/>
      <c r="X1145" s="115"/>
      <c r="Y1145" s="115"/>
      <c r="Z1145" s="115"/>
      <c r="AA1145" s="115"/>
      <c r="AB1145" s="122"/>
      <c r="AC1145" s="122"/>
      <c r="AD1145" s="122"/>
      <c r="AE1145" s="115"/>
      <c r="AF1145" s="115"/>
      <c r="AG1145" s="115"/>
      <c r="AH1145" s="115"/>
      <c r="AI1145" s="115"/>
      <c r="AJ1145" s="115"/>
      <c r="AK1145" s="115"/>
      <c r="AL1145" s="115"/>
      <c r="AM1145" s="115"/>
      <c r="AN1145" s="115"/>
      <c r="AO1145" s="115"/>
      <c r="AP1145" s="115"/>
      <c r="AQ1145" s="115"/>
      <c r="AR1145" s="115"/>
      <c r="AS1145" s="17"/>
      <c r="AT1145" s="15"/>
    </row>
    <row r="1146" spans="1:46" x14ac:dyDescent="0.4">
      <c r="C1146" s="115"/>
      <c r="D1146" s="115"/>
      <c r="E1146" s="115"/>
      <c r="F1146" s="115"/>
      <c r="G1146" s="115"/>
      <c r="H1146" s="115"/>
      <c r="I1146" s="115"/>
      <c r="J1146" s="115"/>
      <c r="K1146" s="115"/>
      <c r="L1146" s="115"/>
      <c r="M1146" s="115"/>
      <c r="N1146" s="115"/>
      <c r="O1146" s="115"/>
      <c r="P1146" s="115"/>
      <c r="Q1146" s="115"/>
      <c r="R1146" s="115"/>
      <c r="S1146" s="115"/>
      <c r="T1146" s="115"/>
      <c r="U1146" s="115"/>
      <c r="V1146" s="115"/>
      <c r="W1146" s="115"/>
      <c r="X1146" s="115"/>
      <c r="Y1146" s="115"/>
      <c r="Z1146" s="115"/>
      <c r="AA1146" s="115"/>
      <c r="AB1146" s="122"/>
      <c r="AC1146" s="122"/>
      <c r="AD1146" s="122"/>
      <c r="AE1146" s="115"/>
      <c r="AF1146" s="115"/>
      <c r="AG1146" s="115"/>
      <c r="AH1146" s="115"/>
      <c r="AI1146" s="115"/>
      <c r="AJ1146" s="115"/>
      <c r="AK1146" s="115"/>
      <c r="AL1146" s="115"/>
      <c r="AM1146" s="115"/>
      <c r="AN1146" s="115"/>
      <c r="AO1146" s="115"/>
      <c r="AP1146" s="115"/>
      <c r="AQ1146" s="115"/>
      <c r="AR1146" s="115"/>
      <c r="AS1146" s="26"/>
      <c r="AT1146" s="15"/>
    </row>
    <row r="1147" spans="1:46" x14ac:dyDescent="0.4">
      <c r="AS1147" s="26"/>
      <c r="AT1147" s="15"/>
    </row>
    <row r="1148" spans="1:46" x14ac:dyDescent="0.4">
      <c r="AS1148" s="26"/>
      <c r="AT1148" s="15"/>
    </row>
    <row r="1149" spans="1:46" x14ac:dyDescent="0.4">
      <c r="U1149" s="115"/>
      <c r="V1149" s="115"/>
      <c r="W1149" s="115"/>
      <c r="X1149" s="115"/>
      <c r="Y1149" s="115"/>
      <c r="Z1149" s="115"/>
      <c r="AA1149" s="115"/>
      <c r="AB1149" s="122"/>
      <c r="AC1149" s="122"/>
      <c r="AD1149" s="122"/>
      <c r="AE1149" s="115"/>
      <c r="AF1149" s="115"/>
      <c r="AG1149" s="115"/>
      <c r="AH1149" s="115"/>
      <c r="AI1149" s="115"/>
      <c r="AJ1149" s="115"/>
      <c r="AK1149" s="115"/>
      <c r="AL1149" s="115"/>
      <c r="AM1149" s="115"/>
      <c r="AN1149" s="115"/>
      <c r="AO1149" s="115"/>
      <c r="AP1149" s="115"/>
      <c r="AQ1149" s="115"/>
      <c r="AR1149" s="115"/>
      <c r="AS1149" s="26"/>
      <c r="AT1149" s="15"/>
    </row>
    <row r="1150" spans="1:46" x14ac:dyDescent="0.4">
      <c r="AS1150" s="26"/>
      <c r="AT1150" s="15"/>
    </row>
    <row r="1151" spans="1:46" x14ac:dyDescent="0.4">
      <c r="V1151" s="115"/>
      <c r="W1151" s="115"/>
      <c r="X1151" s="115"/>
      <c r="Y1151" s="115"/>
      <c r="Z1151" s="115"/>
      <c r="AA1151" s="115"/>
      <c r="AB1151" s="122"/>
      <c r="AC1151" s="122"/>
      <c r="AD1151" s="122"/>
      <c r="AE1151" s="115"/>
      <c r="AF1151" s="115"/>
      <c r="AG1151" s="115"/>
      <c r="AH1151" s="115"/>
      <c r="AI1151" s="115"/>
      <c r="AJ1151" s="115"/>
      <c r="AK1151" s="115"/>
      <c r="AL1151" s="115"/>
      <c r="AM1151" s="115"/>
      <c r="AN1151" s="115"/>
      <c r="AO1151" s="115"/>
      <c r="AP1151" s="115"/>
      <c r="AQ1151" s="115"/>
      <c r="AR1151" s="115"/>
      <c r="AS1151" s="17"/>
      <c r="AT1151" s="15"/>
    </row>
    <row r="1152" spans="1:46" x14ac:dyDescent="0.4">
      <c r="A1152" s="115"/>
      <c r="B1152" s="115"/>
      <c r="C1152" s="115"/>
      <c r="D1152" s="115"/>
      <c r="E1152" s="115"/>
      <c r="F1152" s="115"/>
      <c r="G1152" s="115"/>
      <c r="H1152" s="115"/>
      <c r="I1152" s="115"/>
      <c r="J1152" s="115"/>
      <c r="K1152" s="115"/>
      <c r="L1152" s="115"/>
      <c r="M1152" s="115"/>
      <c r="N1152" s="115"/>
      <c r="O1152" s="115"/>
      <c r="P1152" s="115"/>
      <c r="Q1152" s="115"/>
      <c r="R1152" s="115"/>
      <c r="S1152" s="115"/>
      <c r="T1152" s="115"/>
      <c r="U1152" s="115"/>
      <c r="V1152" s="115"/>
      <c r="W1152" s="115"/>
      <c r="X1152" s="115"/>
      <c r="Y1152" s="115"/>
      <c r="Z1152" s="115"/>
      <c r="AA1152" s="115"/>
      <c r="AB1152" s="122"/>
      <c r="AC1152" s="122"/>
      <c r="AD1152" s="122"/>
      <c r="AE1152" s="115"/>
      <c r="AF1152" s="115"/>
      <c r="AG1152" s="115"/>
      <c r="AH1152" s="115"/>
      <c r="AI1152" s="115"/>
      <c r="AJ1152" s="115"/>
      <c r="AK1152" s="115"/>
      <c r="AL1152" s="115"/>
      <c r="AM1152" s="115"/>
      <c r="AN1152" s="115"/>
      <c r="AO1152" s="115"/>
      <c r="AP1152" s="115"/>
      <c r="AQ1152" s="115"/>
      <c r="AR1152" s="115"/>
      <c r="AS1152" s="26"/>
      <c r="AT1152" s="15"/>
    </row>
    <row r="1153" spans="1:46" x14ac:dyDescent="0.4">
      <c r="A1153" s="115"/>
      <c r="B1153" s="115"/>
      <c r="C1153" s="115"/>
      <c r="D1153" s="115"/>
      <c r="E1153" s="115"/>
      <c r="F1153" s="115"/>
      <c r="G1153" s="115"/>
      <c r="H1153" s="115"/>
      <c r="I1153" s="115"/>
      <c r="J1153" s="115"/>
      <c r="K1153" s="115"/>
      <c r="L1153" s="115"/>
      <c r="M1153" s="115"/>
      <c r="N1153" s="115"/>
      <c r="O1153" s="115"/>
      <c r="P1153" s="115"/>
      <c r="Q1153" s="115"/>
      <c r="R1153" s="115"/>
      <c r="S1153" s="115"/>
      <c r="T1153" s="115"/>
      <c r="U1153" s="115"/>
      <c r="V1153" s="115"/>
      <c r="W1153" s="115"/>
      <c r="X1153" s="115"/>
      <c r="Y1153" s="115"/>
      <c r="Z1153" s="115"/>
      <c r="AA1153" s="115"/>
      <c r="AB1153" s="122"/>
      <c r="AC1153" s="122"/>
      <c r="AD1153" s="122"/>
      <c r="AE1153" s="115"/>
      <c r="AF1153" s="115"/>
      <c r="AG1153" s="115"/>
      <c r="AH1153" s="115"/>
      <c r="AI1153" s="115"/>
      <c r="AJ1153" s="115"/>
      <c r="AK1153" s="115"/>
      <c r="AL1153" s="115"/>
      <c r="AM1153" s="115"/>
      <c r="AN1153" s="115"/>
      <c r="AO1153" s="115"/>
      <c r="AP1153" s="115"/>
      <c r="AQ1153" s="115"/>
      <c r="AR1153" s="115"/>
      <c r="AS1153" s="17"/>
      <c r="AT1153" s="13"/>
    </row>
    <row r="1154" spans="1:46" x14ac:dyDescent="0.4">
      <c r="A1154" s="115"/>
      <c r="B1154" s="115"/>
      <c r="C1154" s="115"/>
      <c r="D1154" s="115"/>
      <c r="E1154" s="115"/>
      <c r="F1154" s="115"/>
      <c r="G1154" s="115"/>
      <c r="H1154" s="115"/>
      <c r="I1154" s="115"/>
      <c r="J1154" s="115"/>
      <c r="K1154" s="115"/>
      <c r="L1154" s="115"/>
      <c r="M1154" s="115"/>
      <c r="N1154" s="115"/>
      <c r="O1154" s="115"/>
      <c r="P1154" s="115"/>
      <c r="Q1154" s="115"/>
      <c r="R1154" s="115"/>
      <c r="S1154" s="115"/>
      <c r="T1154" s="115"/>
      <c r="U1154" s="115"/>
      <c r="V1154" s="115"/>
      <c r="W1154" s="115"/>
      <c r="X1154" s="115"/>
      <c r="Y1154" s="115"/>
      <c r="Z1154" s="115"/>
      <c r="AA1154" s="115"/>
      <c r="AB1154" s="122"/>
      <c r="AC1154" s="122"/>
      <c r="AD1154" s="122"/>
      <c r="AE1154" s="115"/>
      <c r="AF1154" s="115"/>
      <c r="AG1154" s="115"/>
      <c r="AH1154" s="115"/>
      <c r="AI1154" s="115"/>
      <c r="AJ1154" s="115"/>
      <c r="AK1154" s="115"/>
      <c r="AL1154" s="115"/>
      <c r="AM1154" s="115"/>
      <c r="AN1154" s="115"/>
      <c r="AO1154" s="115"/>
      <c r="AP1154" s="115"/>
      <c r="AQ1154" s="115"/>
      <c r="AR1154" s="115"/>
      <c r="AS1154" s="17"/>
      <c r="AT1154" s="13"/>
    </row>
    <row r="1155" spans="1:46" x14ac:dyDescent="0.4">
      <c r="AS1155" s="26"/>
      <c r="AT1155" s="13"/>
    </row>
    <row r="1156" spans="1:46" x14ac:dyDescent="0.4">
      <c r="C1156" s="115"/>
      <c r="D1156" s="115"/>
      <c r="E1156" s="115"/>
      <c r="F1156" s="115"/>
      <c r="G1156" s="115"/>
      <c r="H1156" s="115"/>
      <c r="I1156" s="115"/>
      <c r="J1156" s="115"/>
      <c r="K1156" s="115"/>
      <c r="L1156" s="115"/>
      <c r="M1156" s="115"/>
      <c r="N1156" s="115"/>
      <c r="O1156" s="115"/>
      <c r="P1156" s="115"/>
      <c r="Q1156" s="115"/>
      <c r="R1156" s="115"/>
      <c r="S1156" s="115"/>
      <c r="T1156" s="115"/>
      <c r="U1156" s="115"/>
      <c r="V1156" s="115"/>
      <c r="W1156" s="115"/>
      <c r="X1156" s="115"/>
      <c r="Y1156" s="115"/>
      <c r="Z1156" s="115"/>
      <c r="AA1156" s="115"/>
      <c r="AB1156" s="122"/>
      <c r="AC1156" s="122"/>
      <c r="AD1156" s="122"/>
      <c r="AE1156" s="115"/>
      <c r="AF1156" s="115"/>
      <c r="AG1156" s="115"/>
      <c r="AH1156" s="115"/>
      <c r="AI1156" s="115"/>
      <c r="AJ1156" s="115"/>
      <c r="AK1156" s="115"/>
      <c r="AL1156" s="115"/>
      <c r="AM1156" s="115"/>
      <c r="AN1156" s="115"/>
      <c r="AO1156" s="115"/>
      <c r="AP1156" s="115"/>
      <c r="AQ1156" s="115"/>
      <c r="AR1156" s="115"/>
      <c r="AS1156" s="26"/>
      <c r="AT1156" s="15"/>
    </row>
    <row r="1157" spans="1:46" x14ac:dyDescent="0.4">
      <c r="C1157" s="115"/>
      <c r="D1157" s="115"/>
      <c r="E1157" s="115"/>
      <c r="F1157" s="115"/>
      <c r="G1157" s="115"/>
      <c r="H1157" s="115"/>
      <c r="I1157" s="115"/>
      <c r="J1157" s="115"/>
      <c r="K1157" s="115"/>
      <c r="L1157" s="115"/>
      <c r="M1157" s="115"/>
      <c r="N1157" s="115"/>
      <c r="O1157" s="115"/>
      <c r="P1157" s="115"/>
      <c r="Q1157" s="115"/>
      <c r="R1157" s="115"/>
      <c r="S1157" s="115"/>
      <c r="T1157" s="115"/>
      <c r="U1157" s="115"/>
      <c r="V1157" s="115"/>
      <c r="W1157" s="115"/>
      <c r="X1157" s="115"/>
      <c r="Y1157" s="115"/>
      <c r="Z1157" s="115"/>
      <c r="AA1157" s="115"/>
      <c r="AB1157" s="122"/>
      <c r="AC1157" s="122"/>
      <c r="AD1157" s="122"/>
      <c r="AE1157" s="115"/>
      <c r="AF1157" s="115"/>
      <c r="AG1157" s="115"/>
      <c r="AH1157" s="115"/>
      <c r="AI1157" s="115"/>
      <c r="AJ1157" s="115"/>
      <c r="AK1157" s="115"/>
      <c r="AL1157" s="115"/>
      <c r="AM1157" s="115"/>
      <c r="AN1157" s="115"/>
      <c r="AO1157" s="115"/>
      <c r="AP1157" s="115"/>
      <c r="AQ1157" s="115"/>
      <c r="AR1157" s="115"/>
      <c r="AS1157" s="26"/>
      <c r="AT1157" s="15"/>
    </row>
    <row r="1158" spans="1:46" x14ac:dyDescent="0.4">
      <c r="AS1158" s="26"/>
      <c r="AT1158" s="15"/>
    </row>
    <row r="1159" spans="1:46" x14ac:dyDescent="0.4">
      <c r="D1159" s="115"/>
      <c r="E1159" s="115"/>
      <c r="F1159" s="115"/>
      <c r="G1159" s="115"/>
      <c r="H1159" s="115"/>
      <c r="I1159" s="115"/>
      <c r="J1159" s="115"/>
      <c r="K1159" s="115"/>
      <c r="L1159" s="115"/>
      <c r="M1159" s="115"/>
      <c r="N1159" s="115"/>
      <c r="O1159" s="115"/>
      <c r="P1159" s="115"/>
      <c r="Q1159" s="115"/>
      <c r="R1159" s="115"/>
      <c r="S1159" s="115"/>
      <c r="T1159" s="115"/>
      <c r="U1159" s="115"/>
      <c r="V1159" s="115"/>
      <c r="W1159" s="115"/>
      <c r="X1159" s="115"/>
      <c r="Y1159" s="115"/>
      <c r="Z1159" s="115"/>
      <c r="AA1159" s="115"/>
      <c r="AB1159" s="122"/>
      <c r="AC1159" s="122"/>
      <c r="AD1159" s="122"/>
      <c r="AE1159" s="115"/>
      <c r="AF1159" s="115"/>
      <c r="AG1159" s="115"/>
      <c r="AH1159" s="115"/>
      <c r="AI1159" s="115"/>
      <c r="AJ1159" s="115"/>
      <c r="AK1159" s="115"/>
      <c r="AL1159" s="115"/>
      <c r="AM1159" s="115"/>
      <c r="AN1159" s="115"/>
      <c r="AO1159" s="115"/>
      <c r="AP1159" s="115"/>
      <c r="AQ1159" s="115"/>
      <c r="AR1159" s="115"/>
      <c r="AS1159" s="26"/>
      <c r="AT1159" s="15"/>
    </row>
    <row r="1160" spans="1:46" x14ac:dyDescent="0.4">
      <c r="C1160" s="115"/>
      <c r="D1160" s="115"/>
      <c r="E1160" s="115"/>
      <c r="F1160" s="115"/>
      <c r="G1160" s="115"/>
      <c r="H1160" s="115"/>
      <c r="I1160" s="115"/>
      <c r="J1160" s="115"/>
      <c r="K1160" s="115"/>
      <c r="L1160" s="115"/>
      <c r="M1160" s="115"/>
      <c r="N1160" s="115"/>
      <c r="O1160" s="115"/>
      <c r="P1160" s="115"/>
      <c r="Q1160" s="115"/>
      <c r="R1160" s="115"/>
      <c r="S1160" s="115"/>
      <c r="T1160" s="115"/>
      <c r="U1160" s="115"/>
      <c r="V1160" s="115"/>
      <c r="W1160" s="115"/>
      <c r="X1160" s="115"/>
      <c r="Y1160" s="115"/>
      <c r="Z1160" s="115"/>
      <c r="AA1160" s="115"/>
      <c r="AB1160" s="122"/>
      <c r="AC1160" s="122"/>
      <c r="AD1160" s="122"/>
      <c r="AE1160" s="115"/>
      <c r="AF1160" s="115"/>
      <c r="AG1160" s="115"/>
      <c r="AH1160" s="115"/>
      <c r="AI1160" s="115"/>
      <c r="AJ1160" s="115"/>
      <c r="AK1160" s="115"/>
      <c r="AL1160" s="115"/>
      <c r="AM1160" s="115"/>
      <c r="AN1160" s="115"/>
      <c r="AO1160" s="115"/>
      <c r="AP1160" s="115"/>
      <c r="AQ1160" s="115"/>
      <c r="AR1160" s="115"/>
      <c r="AS1160" s="26"/>
      <c r="AT1160" s="15"/>
    </row>
    <row r="1161" spans="1:46" x14ac:dyDescent="0.4">
      <c r="C1161" s="115"/>
      <c r="D1161" s="115"/>
      <c r="E1161" s="115"/>
      <c r="F1161" s="115"/>
      <c r="G1161" s="115"/>
      <c r="H1161" s="115"/>
      <c r="I1161" s="115"/>
      <c r="J1161" s="115"/>
      <c r="K1161" s="115"/>
      <c r="L1161" s="115"/>
      <c r="M1161" s="115"/>
      <c r="N1161" s="115"/>
      <c r="O1161" s="115"/>
      <c r="P1161" s="115"/>
      <c r="Q1161" s="115"/>
      <c r="R1161" s="115"/>
      <c r="S1161" s="115"/>
      <c r="T1161" s="115"/>
      <c r="U1161" s="115"/>
      <c r="V1161" s="115"/>
      <c r="W1161" s="115"/>
      <c r="X1161" s="115"/>
      <c r="Y1161" s="115"/>
      <c r="Z1161" s="115"/>
      <c r="AA1161" s="115"/>
      <c r="AB1161" s="122"/>
      <c r="AC1161" s="122"/>
      <c r="AD1161" s="122"/>
      <c r="AE1161" s="115"/>
      <c r="AF1161" s="115"/>
      <c r="AG1161" s="115"/>
      <c r="AH1161" s="115"/>
      <c r="AI1161" s="115"/>
      <c r="AJ1161" s="115"/>
      <c r="AK1161" s="115"/>
      <c r="AL1161" s="115"/>
      <c r="AM1161" s="115"/>
      <c r="AN1161" s="115"/>
      <c r="AO1161" s="115"/>
      <c r="AP1161" s="115"/>
      <c r="AQ1161" s="115"/>
      <c r="AR1161" s="115"/>
      <c r="AS1161" s="26"/>
      <c r="AT1161" s="15"/>
    </row>
    <row r="1162" spans="1:46" x14ac:dyDescent="0.4">
      <c r="C1162" s="115"/>
      <c r="D1162" s="115"/>
      <c r="E1162" s="115"/>
      <c r="F1162" s="115"/>
      <c r="G1162" s="115"/>
      <c r="H1162" s="115"/>
      <c r="I1162" s="115"/>
      <c r="J1162" s="115"/>
      <c r="K1162" s="115"/>
      <c r="L1162" s="115"/>
      <c r="M1162" s="115"/>
      <c r="N1162" s="115"/>
      <c r="O1162" s="115"/>
      <c r="P1162" s="115"/>
      <c r="Q1162" s="115"/>
      <c r="R1162" s="115"/>
      <c r="S1162" s="115"/>
      <c r="T1162" s="115"/>
      <c r="U1162" s="115"/>
      <c r="V1162" s="115"/>
      <c r="W1162" s="115"/>
      <c r="X1162" s="115"/>
      <c r="Y1162" s="115"/>
      <c r="Z1162" s="115"/>
      <c r="AA1162" s="115"/>
      <c r="AB1162" s="122"/>
      <c r="AC1162" s="122"/>
      <c r="AD1162" s="122"/>
      <c r="AE1162" s="115"/>
      <c r="AF1162" s="115"/>
      <c r="AG1162" s="115"/>
      <c r="AH1162" s="115"/>
      <c r="AI1162" s="115"/>
      <c r="AJ1162" s="115"/>
      <c r="AK1162" s="115"/>
      <c r="AL1162" s="115"/>
      <c r="AM1162" s="115"/>
      <c r="AN1162" s="115"/>
      <c r="AO1162" s="115"/>
      <c r="AP1162" s="115"/>
      <c r="AQ1162" s="115"/>
      <c r="AR1162" s="115"/>
      <c r="AS1162" s="26"/>
      <c r="AT1162" s="15"/>
    </row>
    <row r="1163" spans="1:46" x14ac:dyDescent="0.4">
      <c r="AS1163" s="26"/>
      <c r="AT1163" s="15"/>
    </row>
    <row r="1164" spans="1:46" x14ac:dyDescent="0.4">
      <c r="D1164" s="115"/>
      <c r="E1164" s="115"/>
      <c r="F1164" s="115"/>
      <c r="G1164" s="115"/>
      <c r="H1164" s="115"/>
      <c r="I1164" s="115"/>
      <c r="J1164" s="115"/>
      <c r="K1164" s="115"/>
      <c r="L1164" s="115"/>
      <c r="M1164" s="115"/>
      <c r="N1164" s="115"/>
      <c r="O1164" s="115"/>
      <c r="P1164" s="115"/>
      <c r="Q1164" s="115"/>
      <c r="R1164" s="115"/>
      <c r="S1164" s="115"/>
      <c r="T1164" s="115"/>
      <c r="U1164" s="115"/>
      <c r="V1164" s="115"/>
      <c r="W1164" s="115"/>
      <c r="X1164" s="115"/>
      <c r="Y1164" s="115"/>
      <c r="Z1164" s="115"/>
      <c r="AA1164" s="115"/>
      <c r="AB1164" s="122"/>
      <c r="AC1164" s="122"/>
      <c r="AD1164" s="122"/>
      <c r="AE1164" s="115"/>
      <c r="AF1164" s="115"/>
      <c r="AG1164" s="115"/>
      <c r="AH1164" s="115"/>
      <c r="AI1164" s="115"/>
      <c r="AJ1164" s="115"/>
      <c r="AK1164" s="115"/>
      <c r="AL1164" s="115"/>
      <c r="AM1164" s="115"/>
      <c r="AN1164" s="115"/>
      <c r="AO1164" s="115"/>
      <c r="AP1164" s="115"/>
      <c r="AQ1164" s="115"/>
      <c r="AR1164" s="115"/>
      <c r="AS1164" s="26"/>
      <c r="AT1164" s="15"/>
    </row>
    <row r="1165" spans="1:46" x14ac:dyDescent="0.4">
      <c r="AS1165" s="26"/>
      <c r="AT1165" s="15"/>
    </row>
    <row r="1166" spans="1:46" x14ac:dyDescent="0.4">
      <c r="D1166" s="115"/>
      <c r="E1166" s="115"/>
      <c r="F1166" s="115"/>
      <c r="G1166" s="115"/>
      <c r="H1166" s="115"/>
      <c r="I1166" s="115"/>
      <c r="J1166" s="115"/>
      <c r="K1166" s="115"/>
      <c r="L1166" s="115"/>
      <c r="M1166" s="115"/>
      <c r="N1166" s="115"/>
      <c r="O1166" s="115"/>
      <c r="P1166" s="115"/>
      <c r="Q1166" s="115"/>
      <c r="R1166" s="115"/>
      <c r="S1166" s="115"/>
      <c r="T1166" s="115"/>
      <c r="U1166" s="115"/>
      <c r="V1166" s="115"/>
      <c r="W1166" s="115"/>
      <c r="X1166" s="115"/>
      <c r="Y1166" s="115"/>
      <c r="Z1166" s="115"/>
      <c r="AA1166" s="115"/>
      <c r="AB1166" s="122"/>
      <c r="AC1166" s="122"/>
      <c r="AD1166" s="122"/>
      <c r="AE1166" s="115"/>
      <c r="AF1166" s="115"/>
      <c r="AG1166" s="115"/>
      <c r="AH1166" s="115"/>
      <c r="AI1166" s="115"/>
      <c r="AJ1166" s="115"/>
      <c r="AK1166" s="115"/>
      <c r="AL1166" s="115"/>
      <c r="AM1166" s="115"/>
      <c r="AN1166" s="115"/>
      <c r="AO1166" s="115"/>
      <c r="AP1166" s="115"/>
      <c r="AQ1166" s="115"/>
      <c r="AR1166" s="115"/>
      <c r="AS1166" s="26"/>
      <c r="AT1166" s="15"/>
    </row>
    <row r="1167" spans="1:46" x14ac:dyDescent="0.4">
      <c r="D1167" s="115"/>
      <c r="E1167" s="115"/>
      <c r="F1167" s="115"/>
      <c r="G1167" s="115"/>
      <c r="H1167" s="115"/>
      <c r="I1167" s="115"/>
      <c r="J1167" s="115"/>
      <c r="K1167" s="115"/>
      <c r="L1167" s="115"/>
      <c r="M1167" s="115"/>
      <c r="N1167" s="115"/>
      <c r="O1167" s="115"/>
      <c r="P1167" s="115"/>
      <c r="Q1167" s="115"/>
      <c r="R1167" s="115"/>
      <c r="S1167" s="115"/>
      <c r="T1167" s="115"/>
      <c r="U1167" s="115"/>
      <c r="V1167" s="115"/>
      <c r="W1167" s="115"/>
      <c r="X1167" s="115"/>
      <c r="Y1167" s="115"/>
      <c r="Z1167" s="115"/>
      <c r="AA1167" s="115"/>
      <c r="AB1167" s="122"/>
      <c r="AC1167" s="122"/>
      <c r="AD1167" s="122"/>
      <c r="AE1167" s="115"/>
      <c r="AF1167" s="115"/>
      <c r="AG1167" s="115"/>
      <c r="AH1167" s="115"/>
      <c r="AI1167" s="115"/>
      <c r="AJ1167" s="115"/>
      <c r="AK1167" s="115"/>
      <c r="AL1167" s="115"/>
      <c r="AM1167" s="115"/>
      <c r="AN1167" s="115"/>
      <c r="AO1167" s="115"/>
      <c r="AP1167" s="115"/>
      <c r="AQ1167" s="115"/>
      <c r="AR1167" s="115"/>
      <c r="AS1167" s="26"/>
      <c r="AT1167" s="15"/>
    </row>
    <row r="1168" spans="1:46" x14ac:dyDescent="0.4">
      <c r="D1168" s="115"/>
      <c r="E1168" s="115"/>
      <c r="F1168" s="115"/>
      <c r="G1168" s="115"/>
      <c r="H1168" s="115"/>
      <c r="I1168" s="115"/>
      <c r="J1168" s="115"/>
      <c r="K1168" s="115"/>
      <c r="L1168" s="115"/>
      <c r="M1168" s="115"/>
      <c r="N1168" s="115"/>
      <c r="O1168" s="115"/>
      <c r="P1168" s="115"/>
      <c r="Q1168" s="115"/>
      <c r="R1168" s="115"/>
      <c r="S1168" s="115"/>
      <c r="T1168" s="115"/>
      <c r="U1168" s="115"/>
      <c r="V1168" s="115"/>
      <c r="W1168" s="115"/>
      <c r="X1168" s="115"/>
      <c r="Y1168" s="115"/>
      <c r="Z1168" s="115"/>
      <c r="AA1168" s="115"/>
      <c r="AB1168" s="122"/>
      <c r="AC1168" s="122"/>
      <c r="AD1168" s="122"/>
      <c r="AE1168" s="115"/>
      <c r="AF1168" s="115"/>
      <c r="AG1168" s="115"/>
      <c r="AH1168" s="115"/>
      <c r="AI1168" s="115"/>
      <c r="AJ1168" s="115"/>
      <c r="AK1168" s="115"/>
      <c r="AL1168" s="115"/>
      <c r="AM1168" s="115"/>
      <c r="AN1168" s="115"/>
      <c r="AO1168" s="115"/>
      <c r="AP1168" s="115"/>
      <c r="AQ1168" s="115"/>
      <c r="AR1168" s="115"/>
      <c r="AS1168" s="17"/>
      <c r="AT1168" s="15"/>
    </row>
    <row r="1169" spans="1:46" x14ac:dyDescent="0.4">
      <c r="AS1169" s="26"/>
      <c r="AT1169" s="15"/>
    </row>
    <row r="1170" spans="1:46" x14ac:dyDescent="0.4">
      <c r="AS1170" s="26"/>
      <c r="AT1170" s="15"/>
    </row>
    <row r="1171" spans="1:46" x14ac:dyDescent="0.4">
      <c r="A1171" s="115"/>
      <c r="B1171" s="115"/>
      <c r="C1171" s="115"/>
      <c r="D1171" s="115"/>
      <c r="E1171" s="115"/>
      <c r="F1171" s="115"/>
      <c r="G1171" s="115"/>
      <c r="H1171" s="115"/>
      <c r="I1171" s="115"/>
      <c r="J1171" s="115"/>
      <c r="K1171" s="115"/>
      <c r="L1171" s="115"/>
      <c r="M1171" s="115"/>
      <c r="N1171" s="115"/>
      <c r="O1171" s="115"/>
      <c r="P1171" s="115"/>
      <c r="Q1171" s="115"/>
      <c r="R1171" s="115"/>
      <c r="S1171" s="115"/>
      <c r="T1171" s="115"/>
      <c r="U1171" s="115"/>
      <c r="V1171" s="115"/>
      <c r="W1171" s="115"/>
      <c r="X1171" s="115"/>
      <c r="Y1171" s="115"/>
      <c r="Z1171" s="115"/>
      <c r="AA1171" s="115"/>
      <c r="AB1171" s="122"/>
      <c r="AC1171" s="122"/>
      <c r="AD1171" s="122"/>
      <c r="AE1171" s="115"/>
      <c r="AF1171" s="115"/>
      <c r="AG1171" s="115"/>
      <c r="AH1171" s="115"/>
      <c r="AI1171" s="115"/>
      <c r="AJ1171" s="115"/>
      <c r="AK1171" s="115"/>
      <c r="AL1171" s="115"/>
      <c r="AM1171" s="115"/>
      <c r="AN1171" s="115"/>
      <c r="AO1171" s="115"/>
      <c r="AP1171" s="115"/>
      <c r="AQ1171" s="115"/>
      <c r="AR1171" s="115"/>
      <c r="AS1171" s="26"/>
      <c r="AT1171" s="15"/>
    </row>
    <row r="1172" spans="1:46" x14ac:dyDescent="0.4">
      <c r="A1172" s="115"/>
      <c r="B1172" s="115"/>
      <c r="C1172" s="115"/>
      <c r="D1172" s="115"/>
      <c r="E1172" s="115"/>
      <c r="F1172" s="115"/>
      <c r="G1172" s="115"/>
      <c r="H1172" s="115"/>
      <c r="I1172" s="115"/>
      <c r="J1172" s="115"/>
      <c r="K1172" s="115"/>
      <c r="L1172" s="115"/>
      <c r="M1172" s="115"/>
      <c r="N1172" s="115"/>
      <c r="O1172" s="115"/>
      <c r="P1172" s="115"/>
      <c r="Q1172" s="115"/>
      <c r="R1172" s="115"/>
      <c r="S1172" s="115"/>
      <c r="T1172" s="115"/>
      <c r="U1172" s="115"/>
      <c r="V1172" s="115"/>
      <c r="W1172" s="115"/>
      <c r="X1172" s="115"/>
      <c r="Y1172" s="115"/>
      <c r="Z1172" s="115"/>
      <c r="AA1172" s="115"/>
      <c r="AB1172" s="122"/>
      <c r="AC1172" s="122"/>
      <c r="AD1172" s="122"/>
      <c r="AE1172" s="115"/>
      <c r="AF1172" s="115"/>
      <c r="AG1172" s="115"/>
      <c r="AH1172" s="115"/>
      <c r="AI1172" s="115"/>
      <c r="AJ1172" s="115"/>
      <c r="AK1172" s="115"/>
      <c r="AL1172" s="115"/>
      <c r="AM1172" s="115"/>
      <c r="AN1172" s="115"/>
      <c r="AO1172" s="115"/>
      <c r="AP1172" s="115"/>
      <c r="AQ1172" s="115"/>
      <c r="AR1172" s="115"/>
      <c r="AS1172" s="17"/>
      <c r="AT1172" s="15"/>
    </row>
    <row r="1173" spans="1:46" x14ac:dyDescent="0.4">
      <c r="AS1173" s="26"/>
      <c r="AT1173" s="15"/>
    </row>
    <row r="1174" spans="1:46" ht="17.25" customHeight="1" x14ac:dyDescent="0.4">
      <c r="B1174" s="115"/>
      <c r="C1174" s="115"/>
      <c r="D1174" s="115"/>
      <c r="E1174" s="115"/>
      <c r="F1174" s="115"/>
      <c r="G1174" s="115"/>
      <c r="H1174" s="115"/>
      <c r="I1174" s="115"/>
      <c r="J1174" s="115"/>
      <c r="K1174" s="115"/>
      <c r="L1174" s="115"/>
      <c r="M1174" s="115"/>
      <c r="N1174" s="115"/>
      <c r="O1174" s="115"/>
      <c r="P1174" s="115"/>
      <c r="Q1174" s="115"/>
      <c r="R1174" s="115"/>
      <c r="S1174" s="115"/>
      <c r="T1174" s="115"/>
      <c r="U1174" s="115"/>
      <c r="V1174" s="115"/>
      <c r="W1174" s="115"/>
      <c r="X1174" s="115"/>
      <c r="Y1174" s="115"/>
      <c r="Z1174" s="115"/>
      <c r="AA1174" s="115"/>
      <c r="AB1174" s="122"/>
      <c r="AC1174" s="122"/>
      <c r="AD1174" s="122"/>
      <c r="AE1174" s="115"/>
      <c r="AF1174" s="115"/>
      <c r="AG1174" s="115"/>
      <c r="AH1174" s="115"/>
      <c r="AI1174" s="115"/>
      <c r="AJ1174" s="115"/>
      <c r="AK1174" s="115"/>
      <c r="AL1174" s="115"/>
      <c r="AM1174" s="115"/>
      <c r="AN1174" s="115"/>
      <c r="AO1174" s="115"/>
      <c r="AP1174" s="115"/>
      <c r="AQ1174" s="115"/>
      <c r="AR1174" s="115"/>
      <c r="AS1174" s="26"/>
      <c r="AT1174" s="15"/>
    </row>
    <row r="1175" spans="1:46" x14ac:dyDescent="0.4">
      <c r="AS1175" s="26"/>
      <c r="AT1175" s="15"/>
    </row>
    <row r="1176" spans="1:46" x14ac:dyDescent="0.4">
      <c r="U1176" s="115"/>
      <c r="V1176" s="115"/>
      <c r="W1176" s="115"/>
      <c r="X1176" s="115"/>
      <c r="Y1176" s="115"/>
      <c r="Z1176" s="115"/>
      <c r="AA1176" s="115"/>
      <c r="AB1176" s="122"/>
      <c r="AC1176" s="122"/>
      <c r="AD1176" s="122"/>
      <c r="AE1176" s="115"/>
      <c r="AF1176" s="115"/>
      <c r="AG1176" s="115"/>
      <c r="AH1176" s="115"/>
      <c r="AI1176" s="115"/>
      <c r="AJ1176" s="115"/>
      <c r="AK1176" s="115"/>
      <c r="AL1176" s="115"/>
      <c r="AM1176" s="115"/>
      <c r="AN1176" s="115"/>
      <c r="AO1176" s="115"/>
      <c r="AP1176" s="115"/>
      <c r="AQ1176" s="115"/>
      <c r="AR1176" s="115"/>
      <c r="AS1176" s="17"/>
      <c r="AT1176" s="15"/>
    </row>
    <row r="1177" spans="1:46" ht="16.5" customHeight="1" x14ac:dyDescent="0.4">
      <c r="A1177" s="115"/>
      <c r="B1177" s="115"/>
      <c r="C1177" s="115"/>
      <c r="D1177" s="115"/>
      <c r="E1177" s="115"/>
      <c r="F1177" s="115"/>
      <c r="G1177" s="115"/>
      <c r="H1177" s="115"/>
      <c r="I1177" s="115"/>
      <c r="J1177" s="115"/>
      <c r="K1177" s="115"/>
      <c r="L1177" s="115"/>
      <c r="M1177" s="115"/>
      <c r="N1177" s="115"/>
      <c r="O1177" s="115"/>
      <c r="P1177" s="115"/>
      <c r="Q1177" s="115"/>
      <c r="R1177" s="115"/>
      <c r="S1177" s="115"/>
      <c r="T1177" s="115"/>
      <c r="U1177" s="115"/>
      <c r="V1177" s="115"/>
      <c r="W1177" s="115"/>
      <c r="X1177" s="115"/>
      <c r="Y1177" s="115"/>
      <c r="Z1177" s="115"/>
      <c r="AA1177" s="115"/>
      <c r="AB1177" s="122"/>
      <c r="AC1177" s="122"/>
      <c r="AD1177" s="122"/>
      <c r="AE1177" s="115"/>
      <c r="AF1177" s="115"/>
      <c r="AG1177" s="115"/>
      <c r="AH1177" s="115"/>
      <c r="AI1177" s="115"/>
      <c r="AJ1177" s="115"/>
      <c r="AK1177" s="115"/>
      <c r="AL1177" s="115"/>
      <c r="AM1177" s="115"/>
      <c r="AN1177" s="115"/>
      <c r="AO1177" s="115"/>
      <c r="AP1177" s="115"/>
      <c r="AQ1177" s="115"/>
      <c r="AR1177" s="115"/>
      <c r="AS1177" s="26"/>
      <c r="AT1177" s="15"/>
    </row>
    <row r="1178" spans="1:46" ht="22.5" customHeight="1" x14ac:dyDescent="0.4">
      <c r="A1178" s="115"/>
      <c r="B1178" s="115"/>
      <c r="C1178" s="115"/>
      <c r="D1178" s="115"/>
      <c r="E1178" s="115"/>
      <c r="F1178" s="115"/>
      <c r="G1178" s="115"/>
      <c r="H1178" s="115"/>
      <c r="I1178" s="115"/>
      <c r="J1178" s="115"/>
      <c r="K1178" s="115"/>
      <c r="L1178" s="115"/>
      <c r="M1178" s="115"/>
      <c r="N1178" s="115"/>
      <c r="O1178" s="115"/>
      <c r="P1178" s="115"/>
      <c r="Q1178" s="115"/>
      <c r="R1178" s="115"/>
      <c r="S1178" s="115"/>
      <c r="T1178" s="115"/>
      <c r="U1178" s="115"/>
      <c r="V1178" s="115"/>
      <c r="W1178" s="115"/>
      <c r="X1178" s="115"/>
      <c r="Y1178" s="115"/>
      <c r="Z1178" s="115"/>
      <c r="AA1178" s="115"/>
      <c r="AB1178" s="122"/>
      <c r="AC1178" s="122"/>
      <c r="AD1178" s="122"/>
      <c r="AE1178" s="115"/>
      <c r="AF1178" s="115"/>
      <c r="AG1178" s="115"/>
      <c r="AH1178" s="115"/>
      <c r="AI1178" s="115"/>
      <c r="AJ1178" s="115"/>
      <c r="AK1178" s="115"/>
      <c r="AL1178" s="115"/>
      <c r="AM1178" s="115"/>
      <c r="AN1178" s="115"/>
      <c r="AO1178" s="115"/>
      <c r="AP1178" s="115"/>
      <c r="AQ1178" s="115"/>
      <c r="AR1178" s="115"/>
      <c r="AS1178" s="26"/>
      <c r="AT1178" s="15"/>
    </row>
    <row r="1179" spans="1:46" x14ac:dyDescent="0.4">
      <c r="AS1179" s="26"/>
      <c r="AT1179" s="15"/>
    </row>
    <row r="1180" spans="1:46" x14ac:dyDescent="0.4">
      <c r="AS1180" s="26"/>
      <c r="AT1180" s="105"/>
    </row>
    <row r="1181" spans="1:46" x14ac:dyDescent="0.4">
      <c r="A1181" s="115"/>
      <c r="B1181" s="115"/>
      <c r="C1181" s="115"/>
      <c r="D1181" s="115"/>
      <c r="E1181" s="115"/>
      <c r="F1181" s="115"/>
      <c r="G1181" s="115"/>
      <c r="H1181" s="115"/>
      <c r="I1181" s="115"/>
      <c r="J1181" s="115"/>
      <c r="K1181" s="115"/>
      <c r="L1181" s="115"/>
      <c r="M1181" s="115"/>
      <c r="N1181" s="115"/>
      <c r="O1181" s="115"/>
      <c r="P1181" s="115"/>
      <c r="Q1181" s="115"/>
      <c r="R1181" s="115"/>
      <c r="S1181" s="115"/>
      <c r="T1181" s="115"/>
      <c r="U1181" s="115"/>
      <c r="V1181" s="115"/>
      <c r="W1181" s="115"/>
      <c r="X1181" s="115"/>
      <c r="Y1181" s="115"/>
      <c r="Z1181" s="115"/>
      <c r="AA1181" s="115"/>
      <c r="AB1181" s="122"/>
      <c r="AC1181" s="122"/>
      <c r="AD1181" s="122"/>
      <c r="AE1181" s="115"/>
      <c r="AF1181" s="115"/>
      <c r="AG1181" s="115"/>
      <c r="AH1181" s="115"/>
      <c r="AI1181" s="115"/>
      <c r="AJ1181" s="115"/>
      <c r="AK1181" s="115"/>
      <c r="AL1181" s="115"/>
      <c r="AM1181" s="115"/>
      <c r="AN1181" s="115"/>
      <c r="AO1181" s="115"/>
      <c r="AP1181" s="115"/>
      <c r="AQ1181" s="115"/>
      <c r="AR1181" s="115"/>
      <c r="AS1181" s="26"/>
      <c r="AT1181" s="15"/>
    </row>
    <row r="1182" spans="1:46" x14ac:dyDescent="0.4">
      <c r="AS1182" s="26"/>
      <c r="AT1182" s="15"/>
    </row>
    <row r="1183" spans="1:46" x14ac:dyDescent="0.4">
      <c r="AS1183" s="26"/>
      <c r="AT1183" s="15"/>
    </row>
    <row r="1184" spans="1:46" x14ac:dyDescent="0.4">
      <c r="AS1184" s="26"/>
      <c r="AT1184" s="15"/>
    </row>
    <row r="1185" spans="1:46" x14ac:dyDescent="0.4">
      <c r="AS1185" s="26"/>
      <c r="AT1185" s="15"/>
    </row>
    <row r="1186" spans="1:46" x14ac:dyDescent="0.4">
      <c r="A1186" s="115"/>
      <c r="B1186" s="115"/>
      <c r="C1186" s="115"/>
      <c r="D1186" s="115"/>
      <c r="E1186" s="115"/>
      <c r="F1186" s="115"/>
      <c r="G1186" s="115"/>
      <c r="H1186" s="115"/>
      <c r="I1186" s="115"/>
      <c r="J1186" s="115"/>
      <c r="K1186" s="115"/>
      <c r="L1186" s="115"/>
      <c r="M1186" s="115"/>
      <c r="N1186" s="115"/>
      <c r="O1186" s="115"/>
      <c r="P1186" s="115"/>
      <c r="Q1186" s="115"/>
      <c r="R1186" s="115"/>
      <c r="S1186" s="115"/>
      <c r="T1186" s="115"/>
      <c r="U1186" s="115"/>
      <c r="V1186" s="115"/>
      <c r="W1186" s="115"/>
      <c r="X1186" s="115"/>
      <c r="Y1186" s="115"/>
      <c r="Z1186" s="115"/>
      <c r="AA1186" s="115"/>
      <c r="AB1186" s="122"/>
      <c r="AC1186" s="122"/>
      <c r="AD1186" s="122"/>
      <c r="AE1186" s="115"/>
      <c r="AF1186" s="115"/>
      <c r="AG1186" s="115"/>
      <c r="AH1186" s="115"/>
      <c r="AI1186" s="115"/>
      <c r="AJ1186" s="115"/>
      <c r="AK1186" s="115"/>
      <c r="AL1186" s="115"/>
      <c r="AM1186" s="115"/>
      <c r="AN1186" s="115"/>
      <c r="AO1186" s="115"/>
      <c r="AP1186" s="115"/>
      <c r="AQ1186" s="115"/>
      <c r="AR1186" s="115"/>
      <c r="AS1186" s="26"/>
      <c r="AT1186" s="15"/>
    </row>
    <row r="1187" spans="1:46" x14ac:dyDescent="0.4">
      <c r="AS1187" s="26"/>
      <c r="AT1187" s="15"/>
    </row>
    <row r="1188" spans="1:46" x14ac:dyDescent="0.4">
      <c r="AS1188" s="26"/>
      <c r="AT1188" s="15"/>
    </row>
    <row r="1189" spans="1:46" x14ac:dyDescent="0.4">
      <c r="AS1189" s="26"/>
      <c r="AT1189" s="15"/>
    </row>
    <row r="1190" spans="1:46" x14ac:dyDescent="0.4">
      <c r="AS1190" s="26"/>
      <c r="AT1190" s="15"/>
    </row>
    <row r="1191" spans="1:46" ht="18.75" customHeight="1" x14ac:dyDescent="0.4">
      <c r="B1191" s="115"/>
      <c r="C1191" s="115"/>
      <c r="D1191" s="115"/>
      <c r="E1191" s="115"/>
      <c r="F1191" s="115"/>
      <c r="G1191" s="115"/>
      <c r="H1191" s="115"/>
      <c r="I1191" s="115"/>
      <c r="J1191" s="115"/>
      <c r="K1191" s="115"/>
      <c r="L1191" s="115"/>
      <c r="M1191" s="115"/>
      <c r="N1191" s="115"/>
      <c r="O1191" s="115"/>
      <c r="P1191" s="115"/>
      <c r="Q1191" s="115"/>
      <c r="R1191" s="115"/>
      <c r="S1191" s="115"/>
      <c r="T1191" s="115"/>
      <c r="U1191" s="115"/>
      <c r="V1191" s="115"/>
      <c r="W1191" s="115"/>
      <c r="X1191" s="115"/>
      <c r="Y1191" s="115"/>
      <c r="Z1191" s="115"/>
      <c r="AA1191" s="115"/>
      <c r="AB1191" s="122"/>
      <c r="AC1191" s="122"/>
      <c r="AD1191" s="122"/>
      <c r="AE1191" s="115"/>
      <c r="AF1191" s="115"/>
      <c r="AG1191" s="115"/>
      <c r="AH1191" s="115"/>
      <c r="AI1191" s="115"/>
      <c r="AJ1191" s="115"/>
      <c r="AK1191" s="115"/>
      <c r="AL1191" s="115"/>
      <c r="AM1191" s="115"/>
      <c r="AN1191" s="115"/>
      <c r="AO1191" s="115"/>
      <c r="AP1191" s="115"/>
      <c r="AQ1191" s="115"/>
      <c r="AR1191" s="115"/>
      <c r="AS1191" s="26"/>
      <c r="AT1191" s="15"/>
    </row>
    <row r="1192" spans="1:46" x14ac:dyDescent="0.4">
      <c r="AS1192" s="26"/>
      <c r="AT1192" s="15"/>
    </row>
    <row r="1193" spans="1:46" x14ac:dyDescent="0.4">
      <c r="AS1193" s="26"/>
      <c r="AT1193" s="15"/>
    </row>
    <row r="1194" spans="1:46" x14ac:dyDescent="0.4">
      <c r="B1194" s="115"/>
      <c r="C1194" s="115"/>
      <c r="D1194" s="115"/>
      <c r="E1194" s="115"/>
      <c r="F1194" s="115"/>
      <c r="G1194" s="115"/>
      <c r="H1194" s="115"/>
      <c r="I1194" s="115"/>
      <c r="J1194" s="115"/>
      <c r="K1194" s="115"/>
      <c r="L1194" s="115"/>
      <c r="M1194" s="115"/>
      <c r="N1194" s="115"/>
      <c r="O1194" s="115"/>
      <c r="P1194" s="115"/>
      <c r="Q1194" s="115"/>
      <c r="R1194" s="115"/>
      <c r="S1194" s="115"/>
      <c r="T1194" s="115"/>
      <c r="U1194" s="115"/>
      <c r="V1194" s="115"/>
      <c r="W1194" s="115"/>
      <c r="X1194" s="115"/>
      <c r="Y1194" s="115"/>
      <c r="Z1194" s="115"/>
      <c r="AA1194" s="115"/>
      <c r="AB1194" s="122"/>
      <c r="AC1194" s="122"/>
      <c r="AD1194" s="122"/>
      <c r="AE1194" s="115"/>
      <c r="AF1194" s="115"/>
      <c r="AG1194" s="115"/>
      <c r="AH1194" s="115"/>
      <c r="AI1194" s="115"/>
      <c r="AJ1194" s="115"/>
      <c r="AK1194" s="115"/>
      <c r="AL1194" s="115"/>
      <c r="AM1194" s="115"/>
      <c r="AN1194" s="115"/>
      <c r="AO1194" s="115"/>
      <c r="AP1194" s="115"/>
      <c r="AQ1194" s="115"/>
      <c r="AR1194" s="115"/>
      <c r="AS1194" s="26"/>
      <c r="AT1194" s="15"/>
    </row>
    <row r="1195" spans="1:46" x14ac:dyDescent="0.4">
      <c r="A1195" s="115"/>
      <c r="B1195" s="115"/>
      <c r="C1195" s="115"/>
      <c r="D1195" s="115"/>
      <c r="E1195" s="115"/>
      <c r="F1195" s="115"/>
      <c r="G1195" s="115"/>
      <c r="H1195" s="115"/>
      <c r="I1195" s="115"/>
      <c r="J1195" s="115"/>
      <c r="K1195" s="115"/>
      <c r="L1195" s="115"/>
      <c r="M1195" s="115"/>
      <c r="N1195" s="115"/>
      <c r="O1195" s="115"/>
      <c r="P1195" s="115"/>
      <c r="Q1195" s="115"/>
      <c r="R1195" s="115"/>
      <c r="S1195" s="115"/>
      <c r="T1195" s="115"/>
      <c r="U1195" s="115"/>
      <c r="V1195" s="115"/>
      <c r="W1195" s="115"/>
      <c r="X1195" s="115"/>
      <c r="Y1195" s="115"/>
      <c r="Z1195" s="115"/>
      <c r="AA1195" s="115"/>
      <c r="AB1195" s="122"/>
      <c r="AC1195" s="122"/>
      <c r="AD1195" s="122"/>
      <c r="AE1195" s="115"/>
      <c r="AF1195" s="115"/>
      <c r="AG1195" s="115"/>
      <c r="AH1195" s="115"/>
      <c r="AI1195" s="115"/>
      <c r="AJ1195" s="115"/>
      <c r="AK1195" s="115"/>
      <c r="AL1195" s="115"/>
      <c r="AM1195" s="115"/>
      <c r="AN1195" s="115"/>
      <c r="AO1195" s="115"/>
      <c r="AP1195" s="115"/>
      <c r="AQ1195" s="115"/>
      <c r="AR1195" s="115"/>
      <c r="AS1195" s="26"/>
      <c r="AT1195" s="15"/>
    </row>
    <row r="1196" spans="1:46" x14ac:dyDescent="0.4">
      <c r="AS1196" s="26"/>
      <c r="AT1196" s="15"/>
    </row>
    <row r="1197" spans="1:46" x14ac:dyDescent="0.4">
      <c r="U1197" s="115"/>
      <c r="V1197" s="115"/>
      <c r="W1197" s="115"/>
      <c r="X1197" s="115"/>
      <c r="Y1197" s="115"/>
      <c r="Z1197" s="115"/>
      <c r="AA1197" s="115"/>
      <c r="AB1197" s="122"/>
      <c r="AC1197" s="122"/>
      <c r="AD1197" s="122"/>
      <c r="AE1197" s="115"/>
      <c r="AF1197" s="115"/>
      <c r="AG1197" s="115"/>
      <c r="AH1197" s="115"/>
      <c r="AI1197" s="115"/>
      <c r="AJ1197" s="115"/>
      <c r="AK1197" s="115"/>
      <c r="AL1197" s="115"/>
      <c r="AM1197" s="115"/>
      <c r="AN1197" s="115"/>
      <c r="AO1197" s="115"/>
      <c r="AP1197" s="115"/>
      <c r="AQ1197" s="115"/>
      <c r="AR1197" s="115"/>
      <c r="AS1197" s="17"/>
      <c r="AT1197" s="15"/>
    </row>
    <row r="1198" spans="1:46" x14ac:dyDescent="0.4">
      <c r="A1198" s="115"/>
      <c r="B1198" s="115"/>
      <c r="C1198" s="115"/>
      <c r="D1198" s="115"/>
      <c r="E1198" s="115"/>
      <c r="F1198" s="115"/>
      <c r="G1198" s="115"/>
      <c r="H1198" s="115"/>
      <c r="I1198" s="115"/>
      <c r="J1198" s="115"/>
      <c r="K1198" s="115"/>
      <c r="L1198" s="115"/>
      <c r="M1198" s="115"/>
      <c r="N1198" s="115"/>
      <c r="O1198" s="115"/>
      <c r="P1198" s="115"/>
      <c r="Q1198" s="115"/>
      <c r="R1198" s="115"/>
      <c r="S1198" s="115"/>
      <c r="T1198" s="115"/>
      <c r="U1198" s="115"/>
      <c r="V1198" s="115"/>
      <c r="W1198" s="115"/>
      <c r="X1198" s="115"/>
      <c r="Y1198" s="115"/>
      <c r="Z1198" s="115"/>
      <c r="AA1198" s="115"/>
      <c r="AB1198" s="122"/>
      <c r="AC1198" s="122"/>
      <c r="AD1198" s="122"/>
      <c r="AE1198" s="115"/>
      <c r="AF1198" s="115"/>
      <c r="AG1198" s="115"/>
      <c r="AH1198" s="115"/>
      <c r="AI1198" s="115"/>
      <c r="AJ1198" s="115"/>
      <c r="AK1198" s="115"/>
      <c r="AL1198" s="115"/>
      <c r="AM1198" s="115"/>
      <c r="AN1198" s="115"/>
      <c r="AO1198" s="115"/>
      <c r="AP1198" s="115"/>
      <c r="AQ1198" s="115"/>
      <c r="AR1198" s="115"/>
      <c r="AS1198" s="26"/>
      <c r="AT1198" s="15"/>
    </row>
    <row r="1199" spans="1:46" x14ac:dyDescent="0.4">
      <c r="AS1199" s="26"/>
      <c r="AT1199" s="15"/>
    </row>
    <row r="1200" spans="1:46" x14ac:dyDescent="0.4">
      <c r="U1200" s="115"/>
      <c r="V1200" s="115"/>
      <c r="W1200" s="115"/>
      <c r="X1200" s="115"/>
      <c r="Y1200" s="115"/>
      <c r="Z1200" s="115"/>
      <c r="AA1200" s="115"/>
      <c r="AB1200" s="122"/>
      <c r="AC1200" s="122"/>
      <c r="AD1200" s="122"/>
      <c r="AE1200" s="115"/>
      <c r="AF1200" s="115"/>
      <c r="AG1200" s="115"/>
      <c r="AH1200" s="115"/>
      <c r="AI1200" s="115"/>
      <c r="AJ1200" s="115"/>
      <c r="AK1200" s="115"/>
      <c r="AL1200" s="115"/>
      <c r="AM1200" s="115"/>
      <c r="AN1200" s="115"/>
      <c r="AO1200" s="115"/>
      <c r="AP1200" s="115"/>
      <c r="AQ1200" s="115"/>
      <c r="AR1200" s="115"/>
      <c r="AS1200" s="17"/>
      <c r="AT1200" s="15"/>
    </row>
    <row r="1201" spans="1:46" x14ac:dyDescent="0.4">
      <c r="AS1201" s="26"/>
      <c r="AT1201" s="15"/>
    </row>
    <row r="1202" spans="1:46" x14ac:dyDescent="0.4">
      <c r="B1202" s="115"/>
      <c r="C1202" s="115"/>
      <c r="D1202" s="115"/>
      <c r="E1202" s="115"/>
      <c r="F1202" s="115"/>
      <c r="G1202" s="115"/>
      <c r="H1202" s="115"/>
      <c r="I1202" s="115"/>
      <c r="J1202" s="115"/>
      <c r="K1202" s="115"/>
      <c r="L1202" s="115"/>
      <c r="M1202" s="115"/>
      <c r="N1202" s="115"/>
      <c r="O1202" s="115"/>
      <c r="P1202" s="115"/>
      <c r="Q1202" s="115"/>
      <c r="R1202" s="115"/>
      <c r="S1202" s="115"/>
      <c r="T1202" s="115"/>
      <c r="U1202" s="115"/>
      <c r="V1202" s="115"/>
      <c r="W1202" s="115"/>
      <c r="X1202" s="115"/>
      <c r="Y1202" s="115"/>
      <c r="Z1202" s="115"/>
      <c r="AA1202" s="115"/>
      <c r="AB1202" s="122"/>
      <c r="AC1202" s="122"/>
      <c r="AD1202" s="122"/>
      <c r="AE1202" s="115"/>
      <c r="AF1202" s="115"/>
      <c r="AG1202" s="115"/>
      <c r="AH1202" s="115"/>
      <c r="AI1202" s="115"/>
      <c r="AJ1202" s="115"/>
      <c r="AK1202" s="115"/>
      <c r="AL1202" s="115"/>
      <c r="AM1202" s="115"/>
      <c r="AN1202" s="115"/>
      <c r="AO1202" s="115"/>
      <c r="AP1202" s="115"/>
      <c r="AQ1202" s="115"/>
      <c r="AR1202" s="115"/>
      <c r="AS1202" s="26"/>
      <c r="AT1202" s="15"/>
    </row>
    <row r="1203" spans="1:46" x14ac:dyDescent="0.4">
      <c r="A1203" s="115"/>
      <c r="B1203" s="115"/>
      <c r="C1203" s="115"/>
      <c r="D1203" s="115"/>
      <c r="E1203" s="115"/>
      <c r="F1203" s="115"/>
      <c r="G1203" s="115"/>
      <c r="H1203" s="115"/>
      <c r="I1203" s="115"/>
      <c r="J1203" s="115"/>
      <c r="K1203" s="115"/>
      <c r="L1203" s="115"/>
      <c r="M1203" s="115"/>
      <c r="N1203" s="115"/>
      <c r="O1203" s="115"/>
      <c r="P1203" s="115"/>
      <c r="Q1203" s="115"/>
      <c r="R1203" s="115"/>
      <c r="S1203" s="115"/>
      <c r="T1203" s="115"/>
      <c r="U1203" s="115"/>
      <c r="V1203" s="115"/>
      <c r="W1203" s="115"/>
      <c r="X1203" s="115"/>
      <c r="Y1203" s="115"/>
      <c r="Z1203" s="115"/>
      <c r="AA1203" s="115"/>
      <c r="AB1203" s="122"/>
      <c r="AC1203" s="122"/>
      <c r="AD1203" s="122"/>
      <c r="AE1203" s="115"/>
      <c r="AF1203" s="115"/>
      <c r="AG1203" s="115"/>
      <c r="AH1203" s="115"/>
      <c r="AI1203" s="115"/>
      <c r="AJ1203" s="115"/>
      <c r="AK1203" s="115"/>
      <c r="AL1203" s="115"/>
      <c r="AM1203" s="115"/>
      <c r="AN1203" s="115"/>
      <c r="AO1203" s="115"/>
      <c r="AP1203" s="115"/>
      <c r="AQ1203" s="115"/>
      <c r="AR1203" s="115"/>
      <c r="AS1203" s="26"/>
      <c r="AT1203" s="15"/>
    </row>
    <row r="1204" spans="1:46" x14ac:dyDescent="0.4">
      <c r="A1204" s="115"/>
      <c r="B1204" s="115"/>
      <c r="C1204" s="115"/>
      <c r="D1204" s="115"/>
      <c r="E1204" s="115"/>
      <c r="F1204" s="115"/>
      <c r="G1204" s="115"/>
      <c r="H1204" s="115"/>
      <c r="I1204" s="115"/>
      <c r="J1204" s="115"/>
      <c r="K1204" s="115"/>
      <c r="L1204" s="115"/>
      <c r="M1204" s="115"/>
      <c r="N1204" s="115"/>
      <c r="O1204" s="115"/>
      <c r="P1204" s="115"/>
      <c r="Q1204" s="115"/>
      <c r="R1204" s="115"/>
      <c r="S1204" s="115"/>
      <c r="T1204" s="115"/>
      <c r="U1204" s="115"/>
      <c r="V1204" s="115"/>
      <c r="W1204" s="115"/>
      <c r="X1204" s="115"/>
      <c r="Y1204" s="115"/>
      <c r="Z1204" s="115"/>
      <c r="AA1204" s="115"/>
      <c r="AB1204" s="122"/>
      <c r="AC1204" s="122"/>
      <c r="AD1204" s="122"/>
      <c r="AE1204" s="115"/>
      <c r="AF1204" s="115"/>
      <c r="AG1204" s="115"/>
      <c r="AH1204" s="115"/>
      <c r="AI1204" s="115"/>
      <c r="AJ1204" s="115"/>
      <c r="AK1204" s="115"/>
      <c r="AL1204" s="115"/>
      <c r="AM1204" s="115"/>
      <c r="AN1204" s="115"/>
      <c r="AO1204" s="115"/>
      <c r="AP1204" s="115"/>
      <c r="AQ1204" s="115"/>
      <c r="AR1204" s="115"/>
      <c r="AS1204" s="26"/>
      <c r="AT1204" s="15"/>
    </row>
    <row r="1205" spans="1:46" x14ac:dyDescent="0.4">
      <c r="AS1205" s="26"/>
      <c r="AT1205" s="15"/>
    </row>
    <row r="1206" spans="1:46" x14ac:dyDescent="0.4">
      <c r="B1206" s="115"/>
      <c r="C1206" s="115"/>
      <c r="D1206" s="115"/>
      <c r="E1206" s="115"/>
      <c r="F1206" s="115"/>
      <c r="G1206" s="115"/>
      <c r="H1206" s="115"/>
      <c r="I1206" s="115"/>
      <c r="J1206" s="115"/>
      <c r="K1206" s="115"/>
      <c r="L1206" s="115"/>
      <c r="M1206" s="115"/>
      <c r="N1206" s="115"/>
      <c r="O1206" s="115"/>
      <c r="P1206" s="115"/>
      <c r="Q1206" s="115"/>
      <c r="R1206" s="115"/>
      <c r="S1206" s="115"/>
      <c r="T1206" s="115"/>
      <c r="U1206" s="115"/>
      <c r="V1206" s="115"/>
      <c r="W1206" s="115"/>
      <c r="X1206" s="115"/>
      <c r="Y1206" s="115"/>
      <c r="Z1206" s="115"/>
      <c r="AA1206" s="115"/>
      <c r="AB1206" s="122"/>
      <c r="AC1206" s="122"/>
      <c r="AD1206" s="122"/>
      <c r="AE1206" s="115"/>
      <c r="AF1206" s="115"/>
      <c r="AG1206" s="115"/>
      <c r="AH1206" s="115"/>
      <c r="AI1206" s="115"/>
      <c r="AJ1206" s="115"/>
      <c r="AK1206" s="115"/>
      <c r="AL1206" s="115"/>
      <c r="AM1206" s="115"/>
      <c r="AN1206" s="115"/>
      <c r="AO1206" s="115"/>
      <c r="AP1206" s="115"/>
      <c r="AQ1206" s="115"/>
      <c r="AR1206" s="115"/>
      <c r="AS1206" s="26"/>
      <c r="AT1206" s="15"/>
    </row>
    <row r="1207" spans="1:46" x14ac:dyDescent="0.4">
      <c r="AS1207" s="26"/>
      <c r="AT1207" s="15"/>
    </row>
    <row r="1208" spans="1:46" x14ac:dyDescent="0.4">
      <c r="B1208" s="115"/>
      <c r="C1208" s="115"/>
      <c r="D1208" s="115"/>
      <c r="E1208" s="115"/>
      <c r="F1208" s="115"/>
      <c r="G1208" s="115"/>
      <c r="H1208" s="115"/>
      <c r="I1208" s="115"/>
      <c r="J1208" s="115"/>
      <c r="K1208" s="115"/>
      <c r="L1208" s="115"/>
      <c r="M1208" s="115"/>
      <c r="N1208" s="115"/>
      <c r="O1208" s="115"/>
      <c r="P1208" s="115"/>
      <c r="Q1208" s="115"/>
      <c r="R1208" s="115"/>
      <c r="S1208" s="115"/>
      <c r="T1208" s="115"/>
      <c r="U1208" s="115"/>
      <c r="V1208" s="115"/>
      <c r="W1208" s="115"/>
      <c r="X1208" s="115"/>
      <c r="Y1208" s="115"/>
      <c r="Z1208" s="115"/>
      <c r="AA1208" s="115"/>
      <c r="AB1208" s="122"/>
      <c r="AC1208" s="122"/>
      <c r="AD1208" s="122"/>
      <c r="AE1208" s="115"/>
      <c r="AF1208" s="115"/>
      <c r="AG1208" s="115"/>
      <c r="AH1208" s="115"/>
      <c r="AI1208" s="115"/>
      <c r="AJ1208" s="115"/>
      <c r="AK1208" s="115"/>
      <c r="AL1208" s="115"/>
      <c r="AM1208" s="115"/>
      <c r="AN1208" s="115"/>
      <c r="AO1208" s="115"/>
      <c r="AP1208" s="115"/>
      <c r="AQ1208" s="115"/>
      <c r="AR1208" s="115"/>
      <c r="AS1208" s="26"/>
      <c r="AT1208" s="15"/>
    </row>
    <row r="1209" spans="1:46" x14ac:dyDescent="0.4">
      <c r="AS1209" s="26"/>
      <c r="AT1209" s="15"/>
    </row>
    <row r="1210" spans="1:46" x14ac:dyDescent="0.4">
      <c r="AS1210" s="26"/>
      <c r="AT1210" s="15"/>
    </row>
    <row r="1211" spans="1:46" x14ac:dyDescent="0.4">
      <c r="AS1211" s="26"/>
      <c r="AT1211" s="15"/>
    </row>
    <row r="1212" spans="1:46" x14ac:dyDescent="0.4">
      <c r="AS1212" s="26"/>
      <c r="AT1212" s="15"/>
    </row>
    <row r="1213" spans="1:46" x14ac:dyDescent="0.4">
      <c r="AS1213" s="26"/>
      <c r="AT1213" s="15"/>
    </row>
    <row r="1214" spans="1:46" x14ac:dyDescent="0.4">
      <c r="AS1214" s="26"/>
      <c r="AT1214" s="15"/>
    </row>
    <row r="1215" spans="1:46" x14ac:dyDescent="0.4">
      <c r="A1215" s="115"/>
      <c r="B1215" s="115"/>
      <c r="C1215" s="115"/>
      <c r="D1215" s="115"/>
      <c r="E1215" s="115"/>
      <c r="F1215" s="115"/>
      <c r="G1215" s="115"/>
      <c r="H1215" s="115"/>
      <c r="I1215" s="115"/>
      <c r="J1215" s="115"/>
      <c r="K1215" s="115"/>
      <c r="L1215" s="115"/>
      <c r="M1215" s="115"/>
      <c r="N1215" s="115"/>
      <c r="O1215" s="115"/>
      <c r="P1215" s="115"/>
      <c r="Q1215" s="115"/>
      <c r="R1215" s="115"/>
      <c r="S1215" s="115"/>
      <c r="T1215" s="115"/>
      <c r="U1215" s="115"/>
      <c r="V1215" s="115"/>
      <c r="W1215" s="115"/>
      <c r="X1215" s="115"/>
      <c r="Y1215" s="115"/>
      <c r="Z1215" s="115"/>
      <c r="AA1215" s="115"/>
      <c r="AB1215" s="122"/>
      <c r="AC1215" s="122"/>
      <c r="AD1215" s="122"/>
      <c r="AE1215" s="115"/>
      <c r="AF1215" s="115"/>
      <c r="AG1215" s="115"/>
      <c r="AH1215" s="115"/>
      <c r="AI1215" s="115"/>
      <c r="AJ1215" s="115"/>
      <c r="AK1215" s="115"/>
      <c r="AL1215" s="115"/>
      <c r="AM1215" s="115"/>
      <c r="AN1215" s="115"/>
      <c r="AO1215" s="115"/>
      <c r="AP1215" s="115"/>
      <c r="AQ1215" s="115"/>
      <c r="AR1215" s="115"/>
      <c r="AS1215" s="26"/>
      <c r="AT1215" s="15"/>
    </row>
    <row r="1216" spans="1:46" x14ac:dyDescent="0.4">
      <c r="AS1216" s="26"/>
      <c r="AT1216" s="15"/>
    </row>
    <row r="1217" spans="1:46" x14ac:dyDescent="0.4">
      <c r="AS1217" s="26"/>
      <c r="AT1217" s="15"/>
    </row>
    <row r="1218" spans="1:46" x14ac:dyDescent="0.4">
      <c r="AS1218" s="26"/>
      <c r="AT1218" s="15"/>
    </row>
    <row r="1219" spans="1:46" x14ac:dyDescent="0.4">
      <c r="AS1219" s="26"/>
      <c r="AT1219" s="15"/>
    </row>
    <row r="1220" spans="1:46" x14ac:dyDescent="0.4">
      <c r="AS1220" s="26"/>
      <c r="AT1220" s="15"/>
    </row>
    <row r="1221" spans="1:46" x14ac:dyDescent="0.4">
      <c r="U1221" s="115"/>
      <c r="V1221" s="115"/>
      <c r="W1221" s="115"/>
      <c r="X1221" s="115"/>
      <c r="Y1221" s="115"/>
      <c r="Z1221" s="115"/>
      <c r="AA1221" s="115"/>
      <c r="AB1221" s="122"/>
      <c r="AC1221" s="122"/>
      <c r="AD1221" s="122"/>
      <c r="AE1221" s="115"/>
      <c r="AF1221" s="115"/>
      <c r="AG1221" s="115"/>
      <c r="AH1221" s="115"/>
      <c r="AI1221" s="115"/>
      <c r="AJ1221" s="115"/>
      <c r="AK1221" s="115"/>
      <c r="AL1221" s="115"/>
      <c r="AM1221" s="115"/>
      <c r="AN1221" s="115"/>
      <c r="AO1221" s="115"/>
      <c r="AP1221" s="115"/>
      <c r="AQ1221" s="115"/>
      <c r="AR1221" s="115"/>
      <c r="AS1221" s="17"/>
      <c r="AT1221" s="15"/>
    </row>
    <row r="1222" spans="1:46" x14ac:dyDescent="0.4">
      <c r="U1222" s="115"/>
      <c r="V1222" s="115"/>
      <c r="W1222" s="115"/>
      <c r="X1222" s="115"/>
      <c r="Y1222" s="115"/>
      <c r="Z1222" s="115"/>
      <c r="AA1222" s="115"/>
      <c r="AB1222" s="122"/>
      <c r="AC1222" s="122"/>
      <c r="AD1222" s="122"/>
      <c r="AE1222" s="115"/>
      <c r="AF1222" s="115"/>
      <c r="AG1222" s="115"/>
      <c r="AH1222" s="115"/>
      <c r="AI1222" s="115"/>
      <c r="AJ1222" s="115"/>
      <c r="AK1222" s="115"/>
      <c r="AL1222" s="115"/>
      <c r="AM1222" s="115"/>
      <c r="AN1222" s="115"/>
      <c r="AO1222" s="115"/>
      <c r="AP1222" s="115"/>
      <c r="AQ1222" s="115"/>
      <c r="AR1222" s="115"/>
      <c r="AS1222" s="17"/>
      <c r="AT1222" s="15"/>
    </row>
    <row r="1223" spans="1:46" x14ac:dyDescent="0.4">
      <c r="AS1223" s="26"/>
      <c r="AT1223" s="15"/>
    </row>
    <row r="1224" spans="1:46" x14ac:dyDescent="0.4">
      <c r="AS1224" s="26"/>
      <c r="AT1224" s="15"/>
    </row>
    <row r="1225" spans="1:46" x14ac:dyDescent="0.4">
      <c r="A1225" s="115"/>
      <c r="B1225" s="115"/>
      <c r="C1225" s="115"/>
      <c r="D1225" s="115"/>
      <c r="E1225" s="115"/>
      <c r="F1225" s="115"/>
      <c r="G1225" s="115"/>
      <c r="H1225" s="115"/>
      <c r="I1225" s="115"/>
      <c r="J1225" s="115"/>
      <c r="K1225" s="115"/>
      <c r="L1225" s="115"/>
      <c r="M1225" s="115"/>
      <c r="N1225" s="115"/>
      <c r="O1225" s="115"/>
      <c r="P1225" s="115"/>
      <c r="Q1225" s="115"/>
      <c r="R1225" s="115"/>
      <c r="S1225" s="115"/>
      <c r="T1225" s="115"/>
      <c r="U1225" s="115"/>
      <c r="V1225" s="115"/>
      <c r="W1225" s="115"/>
      <c r="X1225" s="115"/>
      <c r="Y1225" s="115"/>
      <c r="Z1225" s="115"/>
      <c r="AA1225" s="115"/>
      <c r="AB1225" s="122"/>
      <c r="AC1225" s="122"/>
      <c r="AD1225" s="122"/>
      <c r="AE1225" s="115"/>
      <c r="AF1225" s="115"/>
      <c r="AG1225" s="115"/>
      <c r="AH1225" s="115"/>
      <c r="AI1225" s="115"/>
      <c r="AJ1225" s="115"/>
      <c r="AK1225" s="115"/>
      <c r="AL1225" s="115"/>
      <c r="AM1225" s="115"/>
      <c r="AN1225" s="115"/>
      <c r="AO1225" s="115"/>
      <c r="AP1225" s="115"/>
      <c r="AQ1225" s="115"/>
      <c r="AR1225" s="115"/>
      <c r="AS1225" s="26"/>
      <c r="AT1225" s="15"/>
    </row>
    <row r="1226" spans="1:46" x14ac:dyDescent="0.4">
      <c r="A1226" s="115"/>
      <c r="B1226" s="115"/>
      <c r="C1226" s="115"/>
      <c r="D1226" s="115"/>
      <c r="E1226" s="115"/>
      <c r="F1226" s="115"/>
      <c r="G1226" s="115"/>
      <c r="H1226" s="115"/>
      <c r="I1226" s="115"/>
      <c r="J1226" s="115"/>
      <c r="K1226" s="115"/>
      <c r="L1226" s="115"/>
      <c r="M1226" s="115"/>
      <c r="N1226" s="115"/>
      <c r="O1226" s="115"/>
      <c r="P1226" s="115"/>
      <c r="Q1226" s="115"/>
      <c r="R1226" s="115"/>
      <c r="S1226" s="115"/>
      <c r="T1226" s="115"/>
      <c r="U1226" s="115"/>
      <c r="V1226" s="115"/>
      <c r="W1226" s="115"/>
      <c r="X1226" s="115"/>
      <c r="Y1226" s="115"/>
      <c r="Z1226" s="115"/>
      <c r="AA1226" s="115"/>
      <c r="AB1226" s="122"/>
      <c r="AC1226" s="122"/>
      <c r="AD1226" s="122"/>
      <c r="AE1226" s="115"/>
      <c r="AF1226" s="115"/>
      <c r="AG1226" s="115"/>
      <c r="AH1226" s="115"/>
      <c r="AI1226" s="115"/>
      <c r="AJ1226" s="115"/>
      <c r="AK1226" s="115"/>
      <c r="AL1226" s="115"/>
      <c r="AM1226" s="115"/>
      <c r="AN1226" s="115"/>
      <c r="AO1226" s="115"/>
      <c r="AP1226" s="115"/>
      <c r="AQ1226" s="115"/>
      <c r="AR1226" s="115"/>
      <c r="AS1226" s="26"/>
      <c r="AT1226" s="13"/>
    </row>
    <row r="1227" spans="1:46" x14ac:dyDescent="0.4">
      <c r="AS1227" s="26"/>
      <c r="AT1227" s="15"/>
    </row>
    <row r="1228" spans="1:46" x14ac:dyDescent="0.4">
      <c r="B1228" s="115"/>
      <c r="C1228" s="115"/>
      <c r="D1228" s="115"/>
      <c r="E1228" s="115"/>
      <c r="F1228" s="115"/>
      <c r="G1228" s="115"/>
      <c r="H1228" s="115"/>
      <c r="I1228" s="115"/>
      <c r="J1228" s="115"/>
      <c r="K1228" s="115"/>
      <c r="L1228" s="115"/>
      <c r="M1228" s="115"/>
      <c r="N1228" s="115"/>
      <c r="O1228" s="115"/>
      <c r="P1228" s="115"/>
      <c r="Q1228" s="115"/>
      <c r="R1228" s="115"/>
      <c r="S1228" s="115"/>
      <c r="T1228" s="115"/>
      <c r="U1228" s="115"/>
      <c r="V1228" s="115"/>
      <c r="W1228" s="115"/>
      <c r="X1228" s="115"/>
      <c r="Y1228" s="115"/>
      <c r="Z1228" s="115"/>
      <c r="AA1228" s="115"/>
      <c r="AB1228" s="122"/>
      <c r="AC1228" s="122"/>
      <c r="AD1228" s="122"/>
      <c r="AE1228" s="115"/>
      <c r="AF1228" s="115"/>
      <c r="AG1228" s="115"/>
      <c r="AH1228" s="115"/>
      <c r="AI1228" s="115"/>
      <c r="AJ1228" s="115"/>
      <c r="AK1228" s="115"/>
      <c r="AL1228" s="115"/>
      <c r="AM1228" s="115"/>
      <c r="AN1228" s="115"/>
      <c r="AO1228" s="115"/>
      <c r="AP1228" s="115"/>
      <c r="AQ1228" s="115"/>
      <c r="AR1228" s="115"/>
      <c r="AS1228" s="26"/>
      <c r="AT1228" s="15"/>
    </row>
    <row r="1229" spans="1:46" x14ac:dyDescent="0.4">
      <c r="AS1229" s="26"/>
      <c r="AT1229" s="15"/>
    </row>
    <row r="1230" spans="1:46" x14ac:dyDescent="0.4">
      <c r="AS1230" s="26"/>
      <c r="AT1230" s="15"/>
    </row>
    <row r="1231" spans="1:46" x14ac:dyDescent="0.4">
      <c r="A1231" s="115"/>
      <c r="B1231" s="115"/>
      <c r="C1231" s="115"/>
      <c r="D1231" s="115"/>
      <c r="E1231" s="115"/>
      <c r="F1231" s="115"/>
      <c r="G1231" s="115"/>
      <c r="H1231" s="115"/>
      <c r="I1231" s="115"/>
      <c r="J1231" s="115"/>
      <c r="K1231" s="115"/>
      <c r="L1231" s="115"/>
      <c r="M1231" s="115"/>
      <c r="N1231" s="115"/>
      <c r="O1231" s="115"/>
      <c r="P1231" s="115"/>
      <c r="Q1231" s="115"/>
      <c r="R1231" s="115"/>
      <c r="S1231" s="115"/>
      <c r="T1231" s="115"/>
      <c r="U1231" s="115"/>
      <c r="V1231" s="115"/>
      <c r="W1231" s="115"/>
      <c r="X1231" s="115"/>
      <c r="Y1231" s="115"/>
      <c r="Z1231" s="115"/>
      <c r="AA1231" s="115"/>
      <c r="AB1231" s="122"/>
      <c r="AC1231" s="122"/>
      <c r="AD1231" s="122"/>
      <c r="AE1231" s="115"/>
      <c r="AF1231" s="115"/>
      <c r="AG1231" s="115"/>
      <c r="AH1231" s="115"/>
      <c r="AI1231" s="115"/>
      <c r="AJ1231" s="115"/>
      <c r="AK1231" s="115"/>
      <c r="AL1231" s="115"/>
      <c r="AM1231" s="115"/>
      <c r="AN1231" s="115"/>
      <c r="AO1231" s="115"/>
      <c r="AP1231" s="115"/>
      <c r="AQ1231" s="115"/>
      <c r="AR1231" s="115"/>
      <c r="AS1231" s="26"/>
      <c r="AT1231" s="15"/>
    </row>
    <row r="1232" spans="1:46" x14ac:dyDescent="0.4">
      <c r="AS1232" s="26"/>
      <c r="AT1232" s="13"/>
    </row>
    <row r="1233" spans="1:46" x14ac:dyDescent="0.4">
      <c r="AS1233" s="26"/>
      <c r="AT1233" s="13"/>
    </row>
    <row r="1234" spans="1:46" x14ac:dyDescent="0.4">
      <c r="A1234" s="115"/>
      <c r="B1234" s="115"/>
      <c r="C1234" s="115"/>
      <c r="D1234" s="115"/>
      <c r="E1234" s="115"/>
      <c r="F1234" s="115"/>
      <c r="G1234" s="115"/>
      <c r="H1234" s="115"/>
      <c r="I1234" s="115"/>
      <c r="J1234" s="115"/>
      <c r="K1234" s="115"/>
      <c r="L1234" s="115"/>
      <c r="M1234" s="115"/>
      <c r="N1234" s="115"/>
      <c r="O1234" s="115"/>
      <c r="P1234" s="115"/>
      <c r="Q1234" s="115"/>
      <c r="R1234" s="115"/>
      <c r="S1234" s="115"/>
      <c r="T1234" s="115"/>
      <c r="U1234" s="115"/>
      <c r="V1234" s="115"/>
      <c r="W1234" s="115"/>
      <c r="X1234" s="115"/>
      <c r="Y1234" s="115"/>
      <c r="Z1234" s="115"/>
      <c r="AA1234" s="115"/>
      <c r="AB1234" s="122"/>
      <c r="AC1234" s="122"/>
      <c r="AD1234" s="122"/>
      <c r="AE1234" s="115"/>
      <c r="AF1234" s="115"/>
      <c r="AG1234" s="115"/>
      <c r="AH1234" s="115"/>
      <c r="AI1234" s="115"/>
      <c r="AJ1234" s="115"/>
      <c r="AK1234" s="115"/>
      <c r="AL1234" s="115"/>
      <c r="AM1234" s="115"/>
      <c r="AN1234" s="115"/>
      <c r="AO1234" s="115"/>
      <c r="AP1234" s="115"/>
      <c r="AQ1234" s="115"/>
      <c r="AR1234" s="115"/>
      <c r="AS1234" s="26"/>
      <c r="AT1234" s="13"/>
    </row>
    <row r="1235" spans="1:46" x14ac:dyDescent="0.4">
      <c r="AS1235" s="26"/>
      <c r="AT1235" s="13"/>
    </row>
    <row r="1236" spans="1:46" x14ac:dyDescent="0.4">
      <c r="AS1236" s="26"/>
      <c r="AT1236" s="13"/>
    </row>
    <row r="1237" spans="1:46" x14ac:dyDescent="0.4">
      <c r="AS1237" s="26"/>
      <c r="AT1237" s="13"/>
    </row>
    <row r="1238" spans="1:46" x14ac:dyDescent="0.4">
      <c r="AS1238" s="26"/>
      <c r="AT1238" s="13"/>
    </row>
    <row r="1239" spans="1:46" x14ac:dyDescent="0.4">
      <c r="AS1239" s="26"/>
      <c r="AT1239" s="13"/>
    </row>
    <row r="1240" spans="1:46" x14ac:dyDescent="0.4">
      <c r="A1240" s="115"/>
      <c r="B1240" s="115"/>
      <c r="C1240" s="115"/>
      <c r="D1240" s="115"/>
      <c r="E1240" s="115"/>
      <c r="F1240" s="115"/>
      <c r="G1240" s="115"/>
      <c r="H1240" s="115"/>
      <c r="I1240" s="115"/>
      <c r="J1240" s="115"/>
      <c r="K1240" s="115"/>
      <c r="L1240" s="115"/>
      <c r="M1240" s="115"/>
      <c r="N1240" s="115"/>
      <c r="O1240" s="115"/>
      <c r="P1240" s="115"/>
      <c r="Q1240" s="115"/>
      <c r="R1240" s="115"/>
      <c r="S1240" s="115"/>
      <c r="T1240" s="115"/>
      <c r="U1240" s="115"/>
      <c r="V1240" s="115"/>
      <c r="W1240" s="115"/>
      <c r="X1240" s="115"/>
      <c r="Y1240" s="115"/>
      <c r="Z1240" s="115"/>
      <c r="AA1240" s="115"/>
      <c r="AB1240" s="122"/>
      <c r="AC1240" s="122"/>
      <c r="AD1240" s="122"/>
      <c r="AE1240" s="115"/>
      <c r="AF1240" s="115"/>
      <c r="AG1240" s="115"/>
      <c r="AH1240" s="115"/>
      <c r="AI1240" s="115"/>
      <c r="AJ1240" s="115"/>
      <c r="AK1240" s="115"/>
      <c r="AL1240" s="115"/>
      <c r="AM1240" s="115"/>
      <c r="AN1240" s="115"/>
      <c r="AO1240" s="115"/>
      <c r="AP1240" s="115"/>
      <c r="AQ1240" s="115"/>
      <c r="AR1240" s="115"/>
      <c r="AS1240" s="26"/>
      <c r="AT1240" s="25"/>
    </row>
    <row r="1241" spans="1:46" x14ac:dyDescent="0.4">
      <c r="AS1241" s="26"/>
      <c r="AT1241" s="13"/>
    </row>
    <row r="1242" spans="1:46" x14ac:dyDescent="0.4">
      <c r="A1242" s="115"/>
      <c r="B1242" s="115"/>
      <c r="C1242" s="115"/>
      <c r="D1242" s="115"/>
      <c r="E1242" s="115"/>
      <c r="F1242" s="115"/>
      <c r="G1242" s="115"/>
      <c r="H1242" s="115"/>
      <c r="I1242" s="115"/>
      <c r="J1242" s="115"/>
      <c r="K1242" s="115"/>
      <c r="L1242" s="115"/>
      <c r="M1242" s="115"/>
      <c r="N1242" s="115"/>
      <c r="O1242" s="115"/>
      <c r="P1242" s="115"/>
      <c r="Q1242" s="115"/>
      <c r="R1242" s="115"/>
      <c r="S1242" s="115"/>
      <c r="T1242" s="115"/>
      <c r="U1242" s="115"/>
      <c r="V1242" s="115"/>
      <c r="W1242" s="115"/>
      <c r="X1242" s="115"/>
      <c r="Y1242" s="115"/>
      <c r="Z1242" s="115"/>
      <c r="AA1242" s="115"/>
      <c r="AB1242" s="122"/>
      <c r="AC1242" s="122"/>
      <c r="AD1242" s="122"/>
      <c r="AE1242" s="115"/>
      <c r="AF1242" s="115"/>
      <c r="AG1242" s="115"/>
      <c r="AH1242" s="115"/>
      <c r="AI1242" s="115"/>
      <c r="AJ1242" s="115"/>
      <c r="AK1242" s="115"/>
      <c r="AL1242" s="115"/>
      <c r="AM1242" s="115"/>
      <c r="AN1242" s="115"/>
      <c r="AO1242" s="115"/>
      <c r="AP1242" s="115"/>
      <c r="AQ1242" s="115"/>
      <c r="AR1242" s="115"/>
      <c r="AS1242" s="26"/>
      <c r="AT1242" s="13"/>
    </row>
    <row r="1243" spans="1:46" x14ac:dyDescent="0.4">
      <c r="A1243" s="115"/>
      <c r="B1243" s="115"/>
      <c r="C1243" s="115"/>
      <c r="D1243" s="115"/>
      <c r="E1243" s="115"/>
      <c r="F1243" s="115"/>
      <c r="G1243" s="115"/>
      <c r="H1243" s="115"/>
      <c r="I1243" s="115"/>
      <c r="J1243" s="115"/>
      <c r="K1243" s="115"/>
      <c r="L1243" s="115"/>
      <c r="M1243" s="115"/>
      <c r="N1243" s="115"/>
      <c r="O1243" s="115"/>
      <c r="P1243" s="115"/>
      <c r="Q1243" s="115"/>
      <c r="R1243" s="115"/>
      <c r="S1243" s="115"/>
      <c r="T1243" s="115"/>
      <c r="U1243" s="115"/>
      <c r="V1243" s="115"/>
      <c r="W1243" s="115"/>
      <c r="X1243" s="115"/>
      <c r="Y1243" s="115"/>
      <c r="Z1243" s="115"/>
      <c r="AA1243" s="115"/>
      <c r="AB1243" s="122"/>
      <c r="AC1243" s="122"/>
      <c r="AD1243" s="122"/>
      <c r="AE1243" s="115"/>
      <c r="AF1243" s="115"/>
      <c r="AG1243" s="115"/>
      <c r="AH1243" s="115"/>
      <c r="AI1243" s="115"/>
      <c r="AJ1243" s="115"/>
      <c r="AK1243" s="115"/>
      <c r="AL1243" s="115"/>
      <c r="AM1243" s="115"/>
      <c r="AN1243" s="115"/>
      <c r="AO1243" s="115"/>
      <c r="AP1243" s="115"/>
      <c r="AQ1243" s="115"/>
      <c r="AR1243" s="115"/>
      <c r="AS1243" s="26"/>
      <c r="AT1243" s="13"/>
    </row>
    <row r="1244" spans="1:46" x14ac:dyDescent="0.4">
      <c r="AS1244" s="26"/>
      <c r="AT1244" s="15"/>
    </row>
    <row r="1245" spans="1:46" x14ac:dyDescent="0.4">
      <c r="AS1245" s="26"/>
      <c r="AT1245" s="15"/>
    </row>
    <row r="1246" spans="1:46" x14ac:dyDescent="0.4">
      <c r="AS1246" s="26"/>
      <c r="AT1246" s="15"/>
    </row>
    <row r="1247" spans="1:46" x14ac:dyDescent="0.4">
      <c r="AS1247" s="26"/>
      <c r="AT1247" s="13"/>
    </row>
    <row r="1248" spans="1:46" x14ac:dyDescent="0.4">
      <c r="AS1248" s="26"/>
      <c r="AT1248" s="15"/>
    </row>
    <row r="1249" spans="2:46" x14ac:dyDescent="0.4">
      <c r="B1249" s="115"/>
      <c r="C1249" s="115"/>
      <c r="D1249" s="115"/>
      <c r="E1249" s="115"/>
      <c r="F1249" s="115"/>
      <c r="G1249" s="115"/>
      <c r="H1249" s="115"/>
      <c r="I1249" s="115"/>
      <c r="J1249" s="115"/>
      <c r="K1249" s="115"/>
      <c r="L1249" s="115"/>
      <c r="M1249" s="115"/>
      <c r="N1249" s="115"/>
      <c r="O1249" s="115"/>
      <c r="P1249" s="115"/>
      <c r="Q1249" s="115"/>
      <c r="R1249" s="115"/>
      <c r="S1249" s="115"/>
      <c r="T1249" s="115"/>
      <c r="U1249" s="115"/>
      <c r="V1249" s="115"/>
      <c r="W1249" s="115"/>
      <c r="X1249" s="115"/>
      <c r="Y1249" s="115"/>
      <c r="Z1249" s="115"/>
      <c r="AA1249" s="115"/>
      <c r="AB1249" s="122"/>
      <c r="AC1249" s="122"/>
      <c r="AD1249" s="122"/>
      <c r="AE1249" s="115"/>
      <c r="AF1249" s="115"/>
      <c r="AG1249" s="115"/>
      <c r="AH1249" s="115"/>
      <c r="AI1249" s="115"/>
      <c r="AJ1249" s="115"/>
      <c r="AK1249" s="115"/>
      <c r="AL1249" s="115"/>
      <c r="AM1249" s="115"/>
      <c r="AN1249" s="115"/>
      <c r="AO1249" s="115"/>
      <c r="AP1249" s="115"/>
      <c r="AQ1249" s="115"/>
      <c r="AR1249" s="115"/>
      <c r="AS1249" s="17"/>
      <c r="AT1249" s="15"/>
    </row>
    <row r="1250" spans="2:46" x14ac:dyDescent="0.4">
      <c r="AS1250" s="26"/>
      <c r="AT1250" s="15"/>
    </row>
    <row r="1251" spans="2:46" x14ac:dyDescent="0.4">
      <c r="B1251" s="115"/>
      <c r="C1251" s="115"/>
      <c r="D1251" s="115"/>
      <c r="E1251" s="115"/>
      <c r="F1251" s="115"/>
      <c r="G1251" s="115"/>
      <c r="H1251" s="115"/>
      <c r="I1251" s="115"/>
      <c r="J1251" s="115"/>
      <c r="K1251" s="115"/>
      <c r="L1251" s="115"/>
      <c r="M1251" s="115"/>
      <c r="N1251" s="115"/>
      <c r="O1251" s="115"/>
      <c r="P1251" s="115"/>
      <c r="Q1251" s="115"/>
      <c r="R1251" s="115"/>
      <c r="S1251" s="115"/>
      <c r="T1251" s="115"/>
      <c r="U1251" s="115"/>
      <c r="V1251" s="115"/>
      <c r="W1251" s="115"/>
      <c r="X1251" s="115"/>
      <c r="Y1251" s="115"/>
      <c r="Z1251" s="115"/>
      <c r="AA1251" s="115"/>
      <c r="AB1251" s="122"/>
      <c r="AC1251" s="122"/>
      <c r="AD1251" s="122"/>
      <c r="AE1251" s="115"/>
      <c r="AF1251" s="115"/>
      <c r="AG1251" s="115"/>
      <c r="AH1251" s="115"/>
      <c r="AI1251" s="115"/>
      <c r="AJ1251" s="115"/>
      <c r="AK1251" s="115"/>
      <c r="AL1251" s="115"/>
      <c r="AM1251" s="115"/>
      <c r="AN1251" s="115"/>
      <c r="AO1251" s="115"/>
      <c r="AP1251" s="115"/>
      <c r="AQ1251" s="115"/>
      <c r="AR1251" s="115"/>
      <c r="AS1251" s="17"/>
      <c r="AT1251" s="15"/>
    </row>
    <row r="1252" spans="2:46" x14ac:dyDescent="0.4">
      <c r="AS1252" s="26"/>
      <c r="AT1252" s="15"/>
    </row>
    <row r="1253" spans="2:46" x14ac:dyDescent="0.4">
      <c r="AS1253" s="26"/>
      <c r="AT1253" s="15"/>
    </row>
    <row r="1254" spans="2:46" x14ac:dyDescent="0.4">
      <c r="B1254" s="115"/>
      <c r="C1254" s="115"/>
      <c r="D1254" s="115"/>
      <c r="E1254" s="115"/>
      <c r="F1254" s="115"/>
      <c r="G1254" s="115"/>
      <c r="H1254" s="115"/>
      <c r="I1254" s="115"/>
      <c r="J1254" s="115"/>
      <c r="K1254" s="115"/>
      <c r="L1254" s="115"/>
      <c r="M1254" s="115"/>
      <c r="N1254" s="115"/>
      <c r="O1254" s="115"/>
      <c r="P1254" s="115"/>
      <c r="Q1254" s="115"/>
      <c r="R1254" s="115"/>
      <c r="S1254" s="115"/>
      <c r="T1254" s="115"/>
      <c r="U1254" s="115"/>
      <c r="V1254" s="115"/>
      <c r="W1254" s="115"/>
      <c r="X1254" s="115"/>
      <c r="Y1254" s="115"/>
      <c r="Z1254" s="115"/>
      <c r="AA1254" s="115"/>
      <c r="AB1254" s="122"/>
      <c r="AC1254" s="122"/>
      <c r="AD1254" s="122"/>
      <c r="AE1254" s="115"/>
      <c r="AF1254" s="115"/>
      <c r="AG1254" s="115"/>
      <c r="AH1254" s="115"/>
      <c r="AI1254" s="115"/>
      <c r="AJ1254" s="115"/>
      <c r="AK1254" s="115"/>
      <c r="AL1254" s="115"/>
      <c r="AM1254" s="115"/>
      <c r="AN1254" s="115"/>
      <c r="AO1254" s="115"/>
      <c r="AP1254" s="115"/>
      <c r="AQ1254" s="115"/>
      <c r="AR1254" s="115"/>
      <c r="AS1254" s="17"/>
      <c r="AT1254" s="15"/>
    </row>
    <row r="1255" spans="2:46" x14ac:dyDescent="0.4">
      <c r="AS1255" s="26"/>
      <c r="AT1255" s="15"/>
    </row>
    <row r="1256" spans="2:46" x14ac:dyDescent="0.4">
      <c r="AS1256" s="26"/>
      <c r="AT1256" s="15"/>
    </row>
    <row r="1257" spans="2:46" x14ac:dyDescent="0.4">
      <c r="AS1257" s="26"/>
      <c r="AT1257" s="105"/>
    </row>
    <row r="1258" spans="2:46" x14ac:dyDescent="0.4">
      <c r="AS1258" s="26"/>
      <c r="AT1258" s="15"/>
    </row>
    <row r="1259" spans="2:46" x14ac:dyDescent="0.4">
      <c r="AS1259" s="26"/>
      <c r="AT1259" s="15"/>
    </row>
    <row r="1260" spans="2:46" x14ac:dyDescent="0.4">
      <c r="AS1260" s="26"/>
      <c r="AT1260" s="15"/>
    </row>
    <row r="1261" spans="2:46" x14ac:dyDescent="0.4">
      <c r="AS1261" s="26"/>
      <c r="AT1261" s="15"/>
    </row>
    <row r="1262" spans="2:46" x14ac:dyDescent="0.4">
      <c r="AS1262" s="26"/>
      <c r="AT1262" s="15"/>
    </row>
    <row r="1263" spans="2:46" x14ac:dyDescent="0.4">
      <c r="B1263" s="115"/>
      <c r="C1263" s="115"/>
      <c r="D1263" s="115"/>
      <c r="E1263" s="115"/>
      <c r="F1263" s="115"/>
      <c r="G1263" s="115"/>
      <c r="H1263" s="115"/>
      <c r="I1263" s="115"/>
      <c r="J1263" s="115"/>
      <c r="K1263" s="115"/>
      <c r="L1263" s="115"/>
      <c r="M1263" s="115"/>
      <c r="N1263" s="115"/>
      <c r="O1263" s="115"/>
      <c r="P1263" s="115"/>
      <c r="Q1263" s="115"/>
      <c r="R1263" s="115"/>
      <c r="S1263" s="115"/>
      <c r="T1263" s="115"/>
      <c r="U1263" s="115"/>
      <c r="V1263" s="115"/>
      <c r="W1263" s="115"/>
      <c r="X1263" s="115"/>
      <c r="Y1263" s="115"/>
      <c r="Z1263" s="115"/>
      <c r="AA1263" s="115"/>
      <c r="AB1263" s="122"/>
      <c r="AC1263" s="122"/>
      <c r="AD1263" s="122"/>
      <c r="AE1263" s="115"/>
      <c r="AF1263" s="115"/>
      <c r="AG1263" s="115"/>
      <c r="AH1263" s="115"/>
      <c r="AI1263" s="115"/>
      <c r="AJ1263" s="115"/>
      <c r="AK1263" s="115"/>
      <c r="AL1263" s="115"/>
      <c r="AM1263" s="115"/>
      <c r="AN1263" s="115"/>
      <c r="AO1263" s="115"/>
      <c r="AP1263" s="115"/>
      <c r="AQ1263" s="115"/>
      <c r="AR1263" s="115"/>
      <c r="AS1263" s="119"/>
      <c r="AT1263" s="119"/>
    </row>
    <row r="1264" spans="2:46" x14ac:dyDescent="0.4">
      <c r="B1264" s="115"/>
      <c r="C1264" s="115"/>
      <c r="D1264" s="115"/>
      <c r="E1264" s="115"/>
      <c r="F1264" s="115"/>
      <c r="G1264" s="115"/>
      <c r="H1264" s="115"/>
      <c r="I1264" s="115"/>
      <c r="J1264" s="115"/>
      <c r="K1264" s="115"/>
      <c r="L1264" s="115"/>
      <c r="M1264" s="115"/>
      <c r="N1264" s="115"/>
      <c r="O1264" s="115"/>
      <c r="P1264" s="115"/>
      <c r="Q1264" s="115"/>
      <c r="R1264" s="115"/>
      <c r="S1264" s="115"/>
      <c r="T1264" s="115"/>
      <c r="U1264" s="115"/>
      <c r="V1264" s="115"/>
      <c r="W1264" s="115"/>
      <c r="X1264" s="115"/>
      <c r="Y1264" s="115"/>
      <c r="Z1264" s="115"/>
      <c r="AA1264" s="115"/>
      <c r="AB1264" s="122"/>
      <c r="AC1264" s="122"/>
      <c r="AD1264" s="122"/>
      <c r="AE1264" s="115"/>
      <c r="AF1264" s="115"/>
      <c r="AG1264" s="115"/>
      <c r="AH1264" s="115"/>
      <c r="AI1264" s="115"/>
      <c r="AJ1264" s="115"/>
      <c r="AK1264" s="115"/>
      <c r="AL1264" s="115"/>
      <c r="AM1264" s="115"/>
      <c r="AN1264" s="115"/>
      <c r="AO1264" s="115"/>
      <c r="AP1264" s="115"/>
      <c r="AQ1264" s="115"/>
      <c r="AR1264" s="115"/>
      <c r="AS1264" s="119"/>
      <c r="AT1264" s="119"/>
    </row>
  </sheetData>
  <sortState xmlns:xlrd2="http://schemas.microsoft.com/office/spreadsheetml/2017/richdata2" ref="J2:K180">
    <sortCondition ref="J2:J180"/>
  </sortState>
  <phoneticPr fontId="1"/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09F4-1B35-49E8-AB8C-AC7B95961BC3}">
  <dimension ref="A1:AF720"/>
  <sheetViews>
    <sheetView topLeftCell="C1" zoomScaleNormal="100" workbookViewId="0">
      <selection activeCell="G1" sqref="G1:J28"/>
    </sheetView>
  </sheetViews>
  <sheetFormatPr defaultRowHeight="18.75" x14ac:dyDescent="0.4"/>
  <cols>
    <col min="1" max="1" width="13.625" customWidth="1"/>
    <col min="7" max="7" width="10.375" customWidth="1"/>
    <col min="8" max="8" width="8.625" customWidth="1"/>
    <col min="9" max="9" width="8.875" customWidth="1"/>
    <col min="10" max="10" width="8.5" customWidth="1"/>
    <col min="11" max="15" width="17.5" customWidth="1"/>
    <col min="18" max="30" width="14.875" customWidth="1"/>
    <col min="31" max="31" width="13.625" customWidth="1"/>
    <col min="32" max="32" width="15.5" customWidth="1"/>
  </cols>
  <sheetData>
    <row r="1" spans="1:32" x14ac:dyDescent="0.4">
      <c r="A1" s="120" t="s">
        <v>175</v>
      </c>
      <c r="B1" s="121" t="s">
        <v>146</v>
      </c>
      <c r="C1" s="121" t="s">
        <v>147</v>
      </c>
      <c r="D1" s="121" t="s">
        <v>148</v>
      </c>
      <c r="G1" s="120" t="s">
        <v>176</v>
      </c>
      <c r="H1" s="121"/>
      <c r="I1" s="121"/>
      <c r="J1" s="121"/>
      <c r="N1" t="s">
        <v>143</v>
      </c>
      <c r="O1" t="s">
        <v>144</v>
      </c>
    </row>
    <row r="2" spans="1:32" ht="19.5" x14ac:dyDescent="0.4">
      <c r="A2" s="117"/>
      <c r="B2" s="123"/>
      <c r="C2" s="123"/>
      <c r="D2" s="123"/>
      <c r="G2" s="116"/>
      <c r="H2" s="123" t="s">
        <v>146</v>
      </c>
      <c r="I2" s="123" t="s">
        <v>147</v>
      </c>
      <c r="J2" s="123" t="s">
        <v>148</v>
      </c>
      <c r="N2" s="25">
        <v>45557</v>
      </c>
      <c r="O2" s="13" t="s">
        <v>147</v>
      </c>
      <c r="AE2" s="127"/>
      <c r="AF2" s="29"/>
    </row>
    <row r="3" spans="1:32" ht="19.5" x14ac:dyDescent="0.4">
      <c r="A3" s="117"/>
      <c r="B3" s="123"/>
      <c r="C3" s="123"/>
      <c r="D3" s="123"/>
      <c r="G3" s="117">
        <v>45543</v>
      </c>
      <c r="H3" s="123">
        <v>1</v>
      </c>
      <c r="I3" s="123"/>
      <c r="J3" s="123"/>
      <c r="M3" s="115"/>
      <c r="N3" s="25">
        <v>45546</v>
      </c>
      <c r="O3" s="13" t="s">
        <v>146</v>
      </c>
      <c r="AE3" s="127"/>
      <c r="AF3" s="29"/>
    </row>
    <row r="4" spans="1:32" ht="19.5" x14ac:dyDescent="0.4">
      <c r="A4" s="117"/>
      <c r="B4" s="123"/>
      <c r="C4" s="123"/>
      <c r="D4" s="123"/>
      <c r="G4" s="117">
        <v>45544</v>
      </c>
      <c r="H4" s="123">
        <v>1</v>
      </c>
      <c r="I4" s="123"/>
      <c r="J4" s="123"/>
      <c r="L4" s="115"/>
      <c r="M4" s="115"/>
      <c r="N4" s="25">
        <v>45544</v>
      </c>
      <c r="O4" s="13" t="s">
        <v>146</v>
      </c>
      <c r="AE4" s="127"/>
      <c r="AF4" s="29"/>
    </row>
    <row r="5" spans="1:32" ht="19.5" x14ac:dyDescent="0.4">
      <c r="A5" s="117"/>
      <c r="B5" s="123"/>
      <c r="C5" s="123"/>
      <c r="D5" s="123"/>
      <c r="G5" s="117">
        <v>45545</v>
      </c>
      <c r="H5" s="123"/>
      <c r="I5" s="123"/>
      <c r="J5" s="123">
        <v>1</v>
      </c>
      <c r="L5" s="115"/>
      <c r="M5" s="115"/>
      <c r="N5" s="25">
        <v>45546</v>
      </c>
      <c r="O5" s="13" t="s">
        <v>146</v>
      </c>
      <c r="AE5" s="127"/>
      <c r="AF5" s="29"/>
    </row>
    <row r="6" spans="1:32" ht="19.5" x14ac:dyDescent="0.4">
      <c r="A6" s="117"/>
      <c r="B6" s="123"/>
      <c r="C6" s="123"/>
      <c r="D6" s="123"/>
      <c r="G6" s="117">
        <v>45546</v>
      </c>
      <c r="H6" s="123">
        <v>7</v>
      </c>
      <c r="I6" s="123">
        <v>2</v>
      </c>
      <c r="J6" s="123">
        <v>2</v>
      </c>
      <c r="K6" s="115"/>
      <c r="L6" s="115"/>
      <c r="M6" s="115"/>
      <c r="N6" s="25">
        <v>45550</v>
      </c>
      <c r="O6" s="13" t="s">
        <v>147</v>
      </c>
      <c r="AE6" s="127"/>
      <c r="AF6" s="29"/>
    </row>
    <row r="7" spans="1:32" ht="19.5" x14ac:dyDescent="0.4">
      <c r="A7" s="117"/>
      <c r="B7" s="123"/>
      <c r="C7" s="123"/>
      <c r="D7" s="123"/>
      <c r="G7" s="117">
        <v>45550</v>
      </c>
      <c r="H7" s="123">
        <v>7</v>
      </c>
      <c r="I7" s="123">
        <v>5</v>
      </c>
      <c r="J7" s="123">
        <v>2</v>
      </c>
      <c r="K7" s="115"/>
      <c r="L7" s="115"/>
      <c r="M7" s="115"/>
      <c r="N7" s="25">
        <v>45553</v>
      </c>
      <c r="O7" s="13" t="s">
        <v>147</v>
      </c>
      <c r="AE7" s="127"/>
      <c r="AF7" s="29"/>
    </row>
    <row r="8" spans="1:32" ht="19.5" x14ac:dyDescent="0.4">
      <c r="A8" s="117"/>
      <c r="B8" s="123"/>
      <c r="C8" s="123"/>
      <c r="D8" s="123"/>
      <c r="G8" s="117">
        <v>45551</v>
      </c>
      <c r="H8" s="123">
        <v>1</v>
      </c>
      <c r="I8" s="123">
        <v>1</v>
      </c>
      <c r="J8" s="123">
        <v>2</v>
      </c>
      <c r="K8" s="115"/>
      <c r="L8" s="115"/>
      <c r="M8" s="115"/>
      <c r="N8" s="25">
        <v>45555</v>
      </c>
      <c r="O8" s="13" t="s">
        <v>147</v>
      </c>
      <c r="AE8" s="127"/>
      <c r="AF8" s="29"/>
    </row>
    <row r="9" spans="1:32" ht="19.5" x14ac:dyDescent="0.4">
      <c r="A9" s="117"/>
      <c r="B9" s="123"/>
      <c r="C9" s="123"/>
      <c r="D9" s="123"/>
      <c r="G9" s="117">
        <v>45552</v>
      </c>
      <c r="H9" s="123">
        <v>12</v>
      </c>
      <c r="I9" s="123"/>
      <c r="J9" s="123"/>
      <c r="K9" s="115"/>
      <c r="L9" s="115"/>
      <c r="M9" s="115"/>
      <c r="N9" s="25">
        <v>45573</v>
      </c>
      <c r="O9" s="13" t="s">
        <v>146</v>
      </c>
      <c r="AE9" s="127"/>
      <c r="AF9" s="29"/>
    </row>
    <row r="10" spans="1:32" ht="19.5" x14ac:dyDescent="0.4">
      <c r="A10" s="117"/>
      <c r="B10" s="123"/>
      <c r="C10" s="123"/>
      <c r="D10" s="123"/>
      <c r="G10" s="117">
        <v>45553</v>
      </c>
      <c r="H10" s="123">
        <v>2</v>
      </c>
      <c r="I10" s="123">
        <v>2</v>
      </c>
      <c r="J10" s="123">
        <v>1</v>
      </c>
      <c r="K10" s="115"/>
      <c r="L10" s="115"/>
      <c r="M10" s="115"/>
      <c r="N10" s="25">
        <v>45546</v>
      </c>
      <c r="O10" s="13" t="s">
        <v>148</v>
      </c>
      <c r="AE10" s="127"/>
      <c r="AF10" s="29"/>
    </row>
    <row r="11" spans="1:32" ht="19.5" x14ac:dyDescent="0.4">
      <c r="A11" s="117"/>
      <c r="B11" s="123"/>
      <c r="C11" s="123"/>
      <c r="D11" s="123"/>
      <c r="G11" s="117">
        <v>45554</v>
      </c>
      <c r="H11" s="123">
        <v>1</v>
      </c>
      <c r="I11" s="123">
        <v>2</v>
      </c>
      <c r="J11" s="123">
        <v>1</v>
      </c>
      <c r="K11" s="115"/>
      <c r="L11" s="115"/>
      <c r="M11" s="115"/>
      <c r="N11" s="25">
        <v>45550</v>
      </c>
      <c r="O11" s="13" t="s">
        <v>146</v>
      </c>
      <c r="AE11" s="127"/>
      <c r="AF11" s="29"/>
    </row>
    <row r="12" spans="1:32" ht="19.5" x14ac:dyDescent="0.4">
      <c r="A12" s="117"/>
      <c r="B12" s="123"/>
      <c r="C12" s="123"/>
      <c r="D12" s="123"/>
      <c r="G12" s="117">
        <v>45555</v>
      </c>
      <c r="H12" s="123"/>
      <c r="I12" s="123">
        <v>1</v>
      </c>
      <c r="J12" s="123"/>
      <c r="N12" s="25">
        <v>45551</v>
      </c>
      <c r="O12" s="13" t="s">
        <v>148</v>
      </c>
      <c r="AE12" s="127"/>
      <c r="AF12" s="29"/>
    </row>
    <row r="13" spans="1:32" ht="19.5" x14ac:dyDescent="0.4">
      <c r="A13" s="117"/>
      <c r="B13" s="123"/>
      <c r="C13" s="123"/>
      <c r="D13" s="123"/>
      <c r="G13" s="117">
        <v>45556</v>
      </c>
      <c r="H13" s="123"/>
      <c r="I13" s="123">
        <v>1</v>
      </c>
      <c r="J13" s="123"/>
      <c r="L13" s="115"/>
      <c r="M13" s="115"/>
      <c r="N13" s="25">
        <v>45550</v>
      </c>
      <c r="O13" s="13" t="s">
        <v>147</v>
      </c>
      <c r="AE13" s="127"/>
      <c r="AF13" s="29"/>
    </row>
    <row r="14" spans="1:32" ht="19.5" x14ac:dyDescent="0.4">
      <c r="A14" s="117"/>
      <c r="B14" s="123"/>
      <c r="C14" s="123"/>
      <c r="D14" s="123"/>
      <c r="G14" s="117">
        <v>45557</v>
      </c>
      <c r="H14" s="123">
        <v>4</v>
      </c>
      <c r="I14" s="123">
        <v>13</v>
      </c>
      <c r="J14" s="123">
        <v>8</v>
      </c>
      <c r="K14" s="115"/>
      <c r="L14" s="115"/>
      <c r="M14" s="115"/>
      <c r="N14" s="25">
        <v>45557</v>
      </c>
      <c r="O14" s="13" t="s">
        <v>147</v>
      </c>
      <c r="AE14" s="127"/>
      <c r="AF14" s="29"/>
    </row>
    <row r="15" spans="1:32" ht="19.5" x14ac:dyDescent="0.4">
      <c r="A15" s="117"/>
      <c r="B15" s="123"/>
      <c r="C15" s="123"/>
      <c r="D15" s="123"/>
      <c r="G15" s="117">
        <v>45558</v>
      </c>
      <c r="H15" s="123">
        <v>4</v>
      </c>
      <c r="I15" s="123">
        <v>2</v>
      </c>
      <c r="J15" s="123">
        <v>2</v>
      </c>
      <c r="K15" s="115"/>
      <c r="L15" s="115"/>
      <c r="M15" s="115"/>
      <c r="N15" s="25">
        <v>45557</v>
      </c>
      <c r="O15" s="13" t="s">
        <v>147</v>
      </c>
      <c r="AD15" s="115"/>
      <c r="AE15" s="29"/>
      <c r="AF15" s="29"/>
    </row>
    <row r="16" spans="1:32" ht="19.5" x14ac:dyDescent="0.4">
      <c r="A16" s="117"/>
      <c r="B16" s="123"/>
      <c r="C16" s="123"/>
      <c r="D16" s="123"/>
      <c r="G16" s="117">
        <v>45559</v>
      </c>
      <c r="H16" s="123">
        <v>4</v>
      </c>
      <c r="I16" s="123">
        <v>5</v>
      </c>
      <c r="J16" s="123">
        <v>2</v>
      </c>
      <c r="K16" s="115"/>
      <c r="L16" s="115"/>
      <c r="M16" s="115"/>
      <c r="N16" s="25">
        <v>45550</v>
      </c>
      <c r="O16" s="13" t="s">
        <v>147</v>
      </c>
      <c r="AD16" s="115"/>
      <c r="AE16" s="29"/>
      <c r="AF16" s="29"/>
    </row>
    <row r="17" spans="1:32" ht="19.5" x14ac:dyDescent="0.4">
      <c r="A17" s="117"/>
      <c r="B17" s="123"/>
      <c r="C17" s="123"/>
      <c r="D17" s="123"/>
      <c r="G17" s="117">
        <v>45560</v>
      </c>
      <c r="H17" s="123">
        <v>1</v>
      </c>
      <c r="I17" s="123">
        <v>1</v>
      </c>
      <c r="J17" s="123">
        <v>1</v>
      </c>
      <c r="K17" s="115"/>
      <c r="L17" s="115"/>
      <c r="M17" s="115"/>
      <c r="N17" s="25">
        <v>45557</v>
      </c>
      <c r="O17" s="13" t="s">
        <v>147</v>
      </c>
      <c r="AD17" s="115"/>
      <c r="AE17" s="29"/>
      <c r="AF17" s="29"/>
    </row>
    <row r="18" spans="1:32" ht="19.5" x14ac:dyDescent="0.4">
      <c r="A18" s="117"/>
      <c r="B18" s="123"/>
      <c r="C18" s="123"/>
      <c r="D18" s="123"/>
      <c r="G18" s="117">
        <v>45561</v>
      </c>
      <c r="H18" s="123">
        <v>2</v>
      </c>
      <c r="I18" s="123">
        <v>3</v>
      </c>
      <c r="J18" s="123">
        <v>1</v>
      </c>
      <c r="K18" s="115"/>
      <c r="L18" s="115"/>
      <c r="M18" s="115"/>
      <c r="N18" s="25">
        <v>45558</v>
      </c>
      <c r="O18" s="13" t="s">
        <v>148</v>
      </c>
      <c r="AD18" s="115"/>
      <c r="AE18" s="29"/>
      <c r="AF18" s="29"/>
    </row>
    <row r="19" spans="1:32" ht="19.5" x14ac:dyDescent="0.4">
      <c r="A19" s="117"/>
      <c r="B19" s="123"/>
      <c r="C19" s="123"/>
      <c r="D19" s="123"/>
      <c r="G19" s="117">
        <v>45563</v>
      </c>
      <c r="H19" s="123">
        <v>10</v>
      </c>
      <c r="I19" s="123">
        <v>7</v>
      </c>
      <c r="J19" s="123">
        <v>1</v>
      </c>
      <c r="K19" s="115"/>
      <c r="L19" s="115"/>
      <c r="M19" s="115"/>
      <c r="N19" s="25">
        <v>45557</v>
      </c>
      <c r="O19" s="13" t="s">
        <v>148</v>
      </c>
      <c r="AD19" s="115"/>
      <c r="AE19" s="29"/>
      <c r="AF19" s="29"/>
    </row>
    <row r="20" spans="1:32" ht="19.5" x14ac:dyDescent="0.4">
      <c r="A20" s="117"/>
      <c r="B20" s="123"/>
      <c r="C20" s="123"/>
      <c r="D20" s="123"/>
      <c r="G20" s="117">
        <v>45565</v>
      </c>
      <c r="H20" s="123">
        <v>4</v>
      </c>
      <c r="I20" s="123">
        <v>1</v>
      </c>
      <c r="J20" s="123"/>
      <c r="K20" s="115"/>
      <c r="L20" s="115"/>
      <c r="M20" s="115"/>
      <c r="N20" s="25">
        <v>45557</v>
      </c>
      <c r="O20" s="13" t="s">
        <v>148</v>
      </c>
      <c r="AD20" s="115"/>
      <c r="AE20" s="29"/>
      <c r="AF20" s="29"/>
    </row>
    <row r="21" spans="1:32" ht="19.5" x14ac:dyDescent="0.4">
      <c r="A21" s="117"/>
      <c r="B21" s="123"/>
      <c r="C21" s="123"/>
      <c r="D21" s="123"/>
      <c r="G21" s="117">
        <v>45566</v>
      </c>
      <c r="H21" s="123"/>
      <c r="I21" s="123">
        <v>2</v>
      </c>
      <c r="J21" s="123"/>
      <c r="K21" s="115"/>
      <c r="L21" s="115"/>
      <c r="M21" s="115"/>
      <c r="N21" s="25">
        <v>45556</v>
      </c>
      <c r="O21" s="13" t="s">
        <v>147</v>
      </c>
      <c r="AD21" s="115"/>
      <c r="AE21" s="29"/>
      <c r="AF21" s="29"/>
    </row>
    <row r="22" spans="1:32" ht="19.5" x14ac:dyDescent="0.4">
      <c r="A22" s="117"/>
      <c r="B22" s="123"/>
      <c r="C22" s="123"/>
      <c r="D22" s="123"/>
      <c r="G22" s="117">
        <v>45567</v>
      </c>
      <c r="H22" s="123">
        <v>6</v>
      </c>
      <c r="I22" s="123"/>
      <c r="J22" s="123"/>
      <c r="K22" s="115"/>
      <c r="L22" s="115"/>
      <c r="M22" s="115"/>
      <c r="N22" s="25">
        <v>45558</v>
      </c>
      <c r="O22" s="13" t="s">
        <v>142</v>
      </c>
      <c r="AD22" s="115"/>
      <c r="AE22" s="29"/>
      <c r="AF22" s="29"/>
    </row>
    <row r="23" spans="1:32" ht="19.5" x14ac:dyDescent="0.4">
      <c r="A23" s="117"/>
      <c r="B23" s="123"/>
      <c r="C23" s="123"/>
      <c r="D23" s="123"/>
      <c r="G23" s="117">
        <v>45568</v>
      </c>
      <c r="H23" s="123">
        <v>1</v>
      </c>
      <c r="I23" s="123">
        <v>2</v>
      </c>
      <c r="J23" s="123"/>
      <c r="K23" s="115"/>
      <c r="L23" s="115"/>
      <c r="M23" s="115"/>
      <c r="N23" s="25">
        <v>45558</v>
      </c>
      <c r="O23" s="13" t="s">
        <v>146</v>
      </c>
      <c r="AD23" s="115"/>
      <c r="AE23" s="29"/>
      <c r="AF23" s="29"/>
    </row>
    <row r="24" spans="1:32" ht="19.5" x14ac:dyDescent="0.4">
      <c r="A24" s="117"/>
      <c r="B24" s="123"/>
      <c r="C24" s="123"/>
      <c r="D24" s="123"/>
      <c r="G24" s="117">
        <v>45573</v>
      </c>
      <c r="H24" s="123">
        <v>4</v>
      </c>
      <c r="I24" s="123"/>
      <c r="J24" s="123"/>
      <c r="K24" s="115"/>
      <c r="L24" s="115"/>
      <c r="M24" s="115"/>
      <c r="N24" s="25">
        <v>45558</v>
      </c>
      <c r="O24" s="13" t="s">
        <v>146</v>
      </c>
      <c r="AD24" s="115"/>
      <c r="AE24" s="29"/>
      <c r="AF24" s="29"/>
    </row>
    <row r="25" spans="1:32" ht="19.5" x14ac:dyDescent="0.4">
      <c r="A25" s="117"/>
      <c r="B25" s="123"/>
      <c r="C25" s="123"/>
      <c r="D25" s="123"/>
      <c r="G25" s="117">
        <v>45583</v>
      </c>
      <c r="H25" s="123"/>
      <c r="I25" s="123"/>
      <c r="J25" s="123">
        <v>1</v>
      </c>
      <c r="K25" s="115"/>
      <c r="L25" s="115"/>
      <c r="M25" s="115"/>
      <c r="N25" s="25">
        <v>45563</v>
      </c>
      <c r="O25" s="13" t="s">
        <v>146</v>
      </c>
      <c r="AC25" s="115"/>
      <c r="AD25" s="115"/>
      <c r="AE25" s="127"/>
      <c r="AF25" s="29"/>
    </row>
    <row r="26" spans="1:32" ht="19.5" x14ac:dyDescent="0.4">
      <c r="A26" s="117"/>
      <c r="B26" s="123"/>
      <c r="C26" s="123"/>
      <c r="D26" s="123"/>
      <c r="G26" s="117"/>
      <c r="H26" s="123">
        <f>SUM(H3:H25)</f>
        <v>72</v>
      </c>
      <c r="I26" s="123">
        <f>SUM(I3:I25)</f>
        <v>50</v>
      </c>
      <c r="J26" s="123">
        <f>SUM(J3:J25)</f>
        <v>25</v>
      </c>
      <c r="K26" s="115"/>
      <c r="L26" s="115"/>
      <c r="M26" s="115"/>
      <c r="N26" s="25">
        <v>45567</v>
      </c>
      <c r="O26" s="13" t="s">
        <v>146</v>
      </c>
      <c r="AC26" s="115"/>
      <c r="AD26" s="115"/>
      <c r="AE26" s="127"/>
      <c r="AF26" s="29"/>
    </row>
    <row r="27" spans="1:32" ht="19.5" x14ac:dyDescent="0.4">
      <c r="A27" s="117"/>
      <c r="B27" s="123"/>
      <c r="C27" s="123"/>
      <c r="D27" s="123"/>
      <c r="G27" s="117"/>
      <c r="H27" s="123"/>
      <c r="I27" s="123"/>
      <c r="J27" s="123">
        <f>SUM(H26:J26)</f>
        <v>147</v>
      </c>
      <c r="K27" s="115"/>
      <c r="L27" s="115"/>
      <c r="M27" s="115"/>
      <c r="N27" s="25">
        <v>45563</v>
      </c>
      <c r="O27" s="13" t="s">
        <v>146</v>
      </c>
      <c r="AC27" s="115"/>
      <c r="AD27" s="115"/>
      <c r="AE27" s="127"/>
      <c r="AF27" s="29"/>
    </row>
    <row r="28" spans="1:32" ht="19.5" x14ac:dyDescent="0.4">
      <c r="A28" s="117"/>
      <c r="B28" s="123"/>
      <c r="C28" s="123"/>
      <c r="D28" s="123"/>
      <c r="H28" s="115"/>
      <c r="I28" s="115"/>
      <c r="J28" s="115"/>
      <c r="K28" s="115"/>
      <c r="L28" s="115"/>
      <c r="M28" s="115"/>
      <c r="N28" s="25">
        <v>45559</v>
      </c>
      <c r="O28" s="13" t="s">
        <v>146</v>
      </c>
      <c r="AC28" s="115"/>
      <c r="AD28" s="115"/>
      <c r="AE28" s="127"/>
      <c r="AF28" s="29"/>
    </row>
    <row r="29" spans="1:32" ht="19.5" x14ac:dyDescent="0.4">
      <c r="A29" s="117"/>
      <c r="B29" s="123"/>
      <c r="C29" s="123"/>
      <c r="D29" s="123"/>
      <c r="H29" s="115"/>
      <c r="I29" s="115"/>
      <c r="J29" s="115"/>
      <c r="K29" s="115"/>
      <c r="L29" s="115"/>
      <c r="M29" s="115"/>
      <c r="N29" s="25">
        <v>45563</v>
      </c>
      <c r="O29" s="13" t="s">
        <v>146</v>
      </c>
      <c r="AC29" s="115"/>
      <c r="AD29" s="115"/>
      <c r="AE29" s="127"/>
      <c r="AF29" s="29"/>
    </row>
    <row r="30" spans="1:32" ht="19.5" x14ac:dyDescent="0.4">
      <c r="A30" s="117"/>
      <c r="B30" s="123"/>
      <c r="C30" s="123"/>
      <c r="D30" s="123"/>
      <c r="H30" s="115"/>
      <c r="I30" s="115"/>
      <c r="J30" s="115"/>
      <c r="K30" s="115"/>
      <c r="L30" s="115"/>
      <c r="M30" s="115"/>
      <c r="N30" s="25">
        <v>45563</v>
      </c>
      <c r="O30" s="13" t="s">
        <v>146</v>
      </c>
      <c r="AC30" s="115"/>
      <c r="AD30" s="115"/>
      <c r="AE30" s="127"/>
      <c r="AF30" s="29"/>
    </row>
    <row r="31" spans="1:32" ht="19.5" x14ac:dyDescent="0.4">
      <c r="A31" s="117"/>
      <c r="B31" s="123"/>
      <c r="C31" s="123"/>
      <c r="D31" s="123"/>
      <c r="H31" s="115"/>
      <c r="I31" s="115"/>
      <c r="J31" s="115"/>
      <c r="K31" s="115"/>
      <c r="L31" s="115"/>
      <c r="M31" s="115"/>
      <c r="N31" s="25">
        <v>45553</v>
      </c>
      <c r="O31" s="13" t="s">
        <v>146</v>
      </c>
      <c r="AC31" s="115"/>
      <c r="AD31" s="115"/>
      <c r="AE31" s="29"/>
      <c r="AF31" s="29"/>
    </row>
    <row r="32" spans="1:32" ht="19.5" x14ac:dyDescent="0.4">
      <c r="A32" s="117"/>
      <c r="B32" s="123"/>
      <c r="C32" s="123"/>
      <c r="D32" s="123"/>
      <c r="H32" s="115"/>
      <c r="I32" s="115"/>
      <c r="J32" s="115"/>
      <c r="K32" s="115"/>
      <c r="L32" s="115"/>
      <c r="M32" s="115"/>
      <c r="N32" s="25">
        <v>45561</v>
      </c>
      <c r="O32" s="15" t="s">
        <v>147</v>
      </c>
      <c r="AC32" s="115"/>
      <c r="AD32" s="115"/>
      <c r="AE32" s="29"/>
      <c r="AF32" s="29"/>
    </row>
    <row r="33" spans="1:32" ht="19.5" x14ac:dyDescent="0.4">
      <c r="A33" s="117"/>
      <c r="B33" s="123"/>
      <c r="C33" s="123"/>
      <c r="D33" s="123"/>
      <c r="H33" s="115"/>
      <c r="I33" s="115"/>
      <c r="J33" s="115"/>
      <c r="K33" s="115"/>
      <c r="L33" s="115"/>
      <c r="M33" s="115"/>
      <c r="N33" s="25">
        <v>45561</v>
      </c>
      <c r="O33" s="15" t="s">
        <v>147</v>
      </c>
      <c r="AC33" s="115"/>
      <c r="AD33" s="115"/>
      <c r="AE33" s="29"/>
      <c r="AF33" s="29"/>
    </row>
    <row r="34" spans="1:32" ht="19.5" x14ac:dyDescent="0.4">
      <c r="A34" s="117"/>
      <c r="B34" s="123"/>
      <c r="C34" s="123"/>
      <c r="D34" s="123"/>
      <c r="H34" s="115"/>
      <c r="I34" s="115"/>
      <c r="J34" s="115"/>
      <c r="K34" s="115"/>
      <c r="L34" s="115"/>
      <c r="M34" s="115"/>
      <c r="N34" s="25">
        <v>45546</v>
      </c>
      <c r="O34" s="15" t="s">
        <v>146</v>
      </c>
      <c r="AC34" s="115"/>
      <c r="AD34" s="115"/>
      <c r="AE34" s="29"/>
      <c r="AF34" s="29"/>
    </row>
    <row r="35" spans="1:32" ht="19.5" x14ac:dyDescent="0.4">
      <c r="A35" s="117"/>
      <c r="B35" s="123"/>
      <c r="C35" s="123"/>
      <c r="D35" s="123"/>
      <c r="H35" s="115"/>
      <c r="I35" s="115"/>
      <c r="J35" s="115"/>
      <c r="K35" s="115"/>
      <c r="L35" s="115"/>
      <c r="M35" s="115"/>
      <c r="N35" s="25">
        <v>45546</v>
      </c>
      <c r="O35" s="15" t="s">
        <v>148</v>
      </c>
      <c r="AC35" s="115"/>
      <c r="AD35" s="115"/>
      <c r="AE35" s="29"/>
      <c r="AF35" s="29"/>
    </row>
    <row r="36" spans="1:32" ht="19.5" x14ac:dyDescent="0.4">
      <c r="A36" s="117"/>
      <c r="B36" s="123"/>
      <c r="C36" s="123"/>
      <c r="D36" s="123"/>
      <c r="H36" s="115"/>
      <c r="I36" s="115"/>
      <c r="J36" s="115"/>
      <c r="K36" s="115"/>
      <c r="L36" s="115"/>
      <c r="M36" s="115"/>
      <c r="N36" s="25">
        <v>45546</v>
      </c>
      <c r="O36" s="15" t="s">
        <v>146</v>
      </c>
      <c r="AC36" s="115"/>
      <c r="AD36" s="115"/>
      <c r="AE36" s="29"/>
      <c r="AF36" s="29"/>
    </row>
    <row r="37" spans="1:32" ht="19.5" x14ac:dyDescent="0.4">
      <c r="A37" s="117"/>
      <c r="B37" s="123"/>
      <c r="C37" s="123"/>
      <c r="D37" s="123"/>
      <c r="H37" s="115"/>
      <c r="I37" s="115"/>
      <c r="J37" s="115"/>
      <c r="K37" s="115"/>
      <c r="L37" s="115"/>
      <c r="M37" s="115"/>
      <c r="N37" s="25">
        <v>45546</v>
      </c>
      <c r="O37" s="15" t="s">
        <v>146</v>
      </c>
      <c r="AC37" s="115"/>
      <c r="AD37" s="115"/>
      <c r="AE37" s="29"/>
      <c r="AF37" s="29"/>
    </row>
    <row r="38" spans="1:32" ht="19.5" x14ac:dyDescent="0.4">
      <c r="A38" s="117"/>
      <c r="B38" s="123"/>
      <c r="C38" s="123"/>
      <c r="D38" s="123"/>
      <c r="H38" s="115"/>
      <c r="I38" s="115"/>
      <c r="J38" s="115"/>
      <c r="K38" s="115"/>
      <c r="L38" s="115"/>
      <c r="M38" s="115"/>
      <c r="N38" s="25">
        <v>45553</v>
      </c>
      <c r="O38" s="15" t="s">
        <v>147</v>
      </c>
      <c r="AC38" s="115"/>
      <c r="AD38" s="115"/>
      <c r="AE38" s="29"/>
      <c r="AF38" s="29"/>
    </row>
    <row r="39" spans="1:32" ht="19.5" x14ac:dyDescent="0.4">
      <c r="A39" s="117"/>
      <c r="B39" s="123"/>
      <c r="C39" s="123"/>
      <c r="D39" s="123"/>
      <c r="H39" s="115"/>
      <c r="I39" s="115"/>
      <c r="J39" s="115"/>
      <c r="K39" s="115"/>
      <c r="L39" s="115"/>
      <c r="M39" s="115"/>
      <c r="N39" s="25">
        <v>45557</v>
      </c>
      <c r="O39" s="15" t="s">
        <v>147</v>
      </c>
      <c r="AC39" s="115"/>
      <c r="AD39" s="115"/>
      <c r="AE39" s="29"/>
      <c r="AF39" s="29"/>
    </row>
    <row r="40" spans="1:32" ht="19.5" x14ac:dyDescent="0.4">
      <c r="A40" s="117"/>
      <c r="B40" s="123"/>
      <c r="C40" s="123"/>
      <c r="D40" s="123"/>
      <c r="H40" s="115"/>
      <c r="I40" s="115"/>
      <c r="J40" s="115"/>
      <c r="K40" s="115"/>
      <c r="L40" s="115"/>
      <c r="M40" s="115"/>
      <c r="N40" s="25">
        <v>45563</v>
      </c>
      <c r="O40" s="15" t="s">
        <v>146</v>
      </c>
      <c r="AC40" s="115"/>
      <c r="AD40" s="115"/>
      <c r="AE40" s="29"/>
      <c r="AF40" s="29"/>
    </row>
    <row r="41" spans="1:32" ht="19.5" x14ac:dyDescent="0.4">
      <c r="A41" s="117"/>
      <c r="B41" s="123"/>
      <c r="C41" s="123"/>
      <c r="D41" s="123"/>
      <c r="H41" s="115"/>
      <c r="I41" s="115"/>
      <c r="J41" s="115"/>
      <c r="K41" s="115"/>
      <c r="L41" s="115"/>
      <c r="M41" s="115"/>
      <c r="N41" s="25">
        <v>45557</v>
      </c>
      <c r="O41" s="15" t="s">
        <v>147</v>
      </c>
      <c r="AB41" s="115"/>
      <c r="AC41" s="115"/>
      <c r="AD41" s="115"/>
      <c r="AE41" s="127"/>
      <c r="AF41" s="29"/>
    </row>
    <row r="42" spans="1:32" ht="19.5" x14ac:dyDescent="0.4">
      <c r="A42" s="117"/>
      <c r="B42" s="123"/>
      <c r="C42" s="123"/>
      <c r="D42" s="123"/>
      <c r="H42" s="115"/>
      <c r="I42" s="115"/>
      <c r="J42" s="115"/>
      <c r="K42" s="115"/>
      <c r="L42" s="115"/>
      <c r="M42" s="115"/>
      <c r="N42" s="25">
        <v>45550</v>
      </c>
      <c r="O42" s="15" t="s">
        <v>148</v>
      </c>
      <c r="AB42" s="115"/>
      <c r="AC42" s="115"/>
      <c r="AD42" s="115"/>
      <c r="AE42" s="127"/>
      <c r="AF42" s="29"/>
    </row>
    <row r="43" spans="1:32" ht="19.5" x14ac:dyDescent="0.4">
      <c r="A43" s="117"/>
      <c r="B43" s="123"/>
      <c r="C43" s="123"/>
      <c r="D43" s="123"/>
      <c r="H43" s="115"/>
      <c r="I43" s="115"/>
      <c r="J43" s="115"/>
      <c r="K43" s="115"/>
      <c r="L43" s="115"/>
      <c r="M43" s="115"/>
      <c r="N43" s="25">
        <v>45558</v>
      </c>
      <c r="O43" s="15" t="s">
        <v>147</v>
      </c>
      <c r="AB43" s="115"/>
      <c r="AC43" s="115"/>
      <c r="AD43" s="115"/>
      <c r="AE43" s="127"/>
      <c r="AF43" s="29"/>
    </row>
    <row r="44" spans="1:32" ht="19.5" x14ac:dyDescent="0.4">
      <c r="A44" s="117"/>
      <c r="B44" s="123"/>
      <c r="C44" s="123"/>
      <c r="D44" s="123"/>
      <c r="H44" s="115"/>
      <c r="I44" s="115"/>
      <c r="J44" s="115"/>
      <c r="K44" s="115"/>
      <c r="L44" s="115"/>
      <c r="M44" s="115"/>
      <c r="N44" s="25">
        <v>45558</v>
      </c>
      <c r="O44" s="15" t="s">
        <v>147</v>
      </c>
      <c r="AB44" s="115"/>
      <c r="AC44" s="115"/>
      <c r="AD44" s="115"/>
      <c r="AE44" s="127"/>
      <c r="AF44" s="29"/>
    </row>
    <row r="45" spans="1:32" ht="19.5" x14ac:dyDescent="0.4">
      <c r="A45" s="117"/>
      <c r="B45" s="123"/>
      <c r="C45" s="123"/>
      <c r="D45" s="123"/>
      <c r="H45" s="115"/>
      <c r="I45" s="115"/>
      <c r="J45" s="115"/>
      <c r="K45" s="115"/>
      <c r="L45" s="115"/>
      <c r="M45" s="115"/>
      <c r="N45" s="25">
        <v>45560</v>
      </c>
      <c r="O45" s="15" t="s">
        <v>148</v>
      </c>
      <c r="AB45" s="115"/>
      <c r="AC45" s="115"/>
      <c r="AD45" s="115"/>
      <c r="AE45" s="127"/>
      <c r="AF45" s="29"/>
    </row>
    <row r="46" spans="1:32" ht="19.5" x14ac:dyDescent="0.4">
      <c r="A46" s="117"/>
      <c r="B46" s="123"/>
      <c r="C46" s="123"/>
      <c r="D46" s="123"/>
      <c r="H46" s="115"/>
      <c r="I46" s="115"/>
      <c r="J46" s="115"/>
      <c r="K46" s="115"/>
      <c r="L46" s="115"/>
      <c r="M46" s="115"/>
      <c r="N46" s="25">
        <v>45552</v>
      </c>
      <c r="O46" s="13" t="s">
        <v>146</v>
      </c>
      <c r="AB46" s="115"/>
      <c r="AC46" s="115"/>
      <c r="AD46" s="115"/>
      <c r="AE46" s="127"/>
      <c r="AF46" s="29"/>
    </row>
    <row r="47" spans="1:32" ht="19.5" x14ac:dyDescent="0.4">
      <c r="A47" s="117"/>
      <c r="B47" s="123"/>
      <c r="C47" s="123"/>
      <c r="D47" s="123"/>
      <c r="H47" s="115"/>
      <c r="I47" s="115"/>
      <c r="J47" s="115"/>
      <c r="K47" s="115"/>
      <c r="L47" s="115"/>
      <c r="M47" s="115"/>
      <c r="N47" s="25">
        <v>45552</v>
      </c>
      <c r="O47" s="13" t="s">
        <v>146</v>
      </c>
      <c r="AA47" s="115"/>
      <c r="AB47" s="115"/>
      <c r="AC47" s="115"/>
      <c r="AD47" s="115"/>
      <c r="AE47" s="127"/>
      <c r="AF47" s="29"/>
    </row>
    <row r="48" spans="1:32" ht="19.5" x14ac:dyDescent="0.4">
      <c r="A48" s="117"/>
      <c r="B48" s="123"/>
      <c r="C48" s="123"/>
      <c r="D48" s="123"/>
      <c r="H48" s="115"/>
      <c r="I48" s="115"/>
      <c r="J48" s="115"/>
      <c r="K48" s="115"/>
      <c r="L48" s="115"/>
      <c r="M48" s="115"/>
      <c r="N48" s="25">
        <v>45557</v>
      </c>
      <c r="O48" s="13" t="s">
        <v>147</v>
      </c>
      <c r="AA48" s="115"/>
      <c r="AB48" s="115"/>
      <c r="AC48" s="115"/>
      <c r="AD48" s="115"/>
      <c r="AE48" s="127"/>
      <c r="AF48" s="29"/>
    </row>
    <row r="49" spans="1:32" ht="19.5" x14ac:dyDescent="0.4">
      <c r="A49" s="117"/>
      <c r="B49" s="123"/>
      <c r="C49" s="123"/>
      <c r="D49" s="123"/>
      <c r="H49" s="115"/>
      <c r="I49" s="115"/>
      <c r="J49" s="115"/>
      <c r="K49" s="115"/>
      <c r="L49" s="115"/>
      <c r="M49" s="115"/>
      <c r="N49" s="25">
        <v>45557</v>
      </c>
      <c r="O49" s="13" t="s">
        <v>147</v>
      </c>
      <c r="Y49" s="115"/>
      <c r="Z49" s="115"/>
      <c r="AA49" s="115"/>
      <c r="AB49" s="115"/>
      <c r="AC49" s="115"/>
      <c r="AD49" s="115"/>
      <c r="AE49" s="127"/>
      <c r="AF49" s="29"/>
    </row>
    <row r="50" spans="1:32" ht="19.5" x14ac:dyDescent="0.4">
      <c r="A50" s="117"/>
      <c r="B50" s="123"/>
      <c r="C50" s="123"/>
      <c r="D50" s="123"/>
      <c r="H50" s="115"/>
      <c r="I50" s="115"/>
      <c r="J50" s="115"/>
      <c r="K50" s="115"/>
      <c r="L50" s="115"/>
      <c r="M50" s="115"/>
      <c r="N50" s="25">
        <v>45557</v>
      </c>
      <c r="O50" s="13" t="s">
        <v>147</v>
      </c>
      <c r="Y50" s="115"/>
      <c r="Z50" s="115"/>
      <c r="AA50" s="115"/>
      <c r="AB50" s="115"/>
      <c r="AC50" s="115"/>
      <c r="AD50" s="115"/>
      <c r="AE50" s="127"/>
      <c r="AF50" s="29"/>
    </row>
    <row r="51" spans="1:32" ht="19.5" x14ac:dyDescent="0.4">
      <c r="A51" s="117"/>
      <c r="B51" s="123"/>
      <c r="C51" s="123"/>
      <c r="D51" s="123"/>
      <c r="H51" s="115"/>
      <c r="I51" s="115"/>
      <c r="J51" s="115"/>
      <c r="K51" s="115"/>
      <c r="L51" s="115"/>
      <c r="M51" s="115"/>
      <c r="N51" s="25">
        <v>45557</v>
      </c>
      <c r="O51" s="13" t="s">
        <v>148</v>
      </c>
      <c r="Y51" s="115"/>
      <c r="Z51" s="115"/>
      <c r="AA51" s="115"/>
      <c r="AB51" s="115"/>
      <c r="AC51" s="115"/>
      <c r="AD51" s="115"/>
      <c r="AE51" s="127"/>
      <c r="AF51" s="29"/>
    </row>
    <row r="52" spans="1:32" ht="19.5" x14ac:dyDescent="0.4">
      <c r="A52" s="117"/>
      <c r="B52" s="123"/>
      <c r="C52" s="123"/>
      <c r="D52" s="123"/>
      <c r="H52" s="115"/>
      <c r="I52" s="115"/>
      <c r="J52" s="115"/>
      <c r="K52" s="115"/>
      <c r="L52" s="115"/>
      <c r="M52" s="115"/>
      <c r="N52" s="25">
        <v>45552</v>
      </c>
      <c r="O52" s="13" t="s">
        <v>146</v>
      </c>
      <c r="Y52" s="115"/>
      <c r="Z52" s="115"/>
      <c r="AA52" s="115"/>
      <c r="AB52" s="115"/>
      <c r="AC52" s="115"/>
      <c r="AD52" s="115"/>
      <c r="AE52" s="127"/>
      <c r="AF52" s="29"/>
    </row>
    <row r="53" spans="1:32" ht="19.5" x14ac:dyDescent="0.4">
      <c r="A53" s="117"/>
      <c r="B53" s="123"/>
      <c r="C53" s="123"/>
      <c r="D53" s="123"/>
      <c r="H53" s="115"/>
      <c r="I53" s="115"/>
      <c r="J53" s="115"/>
      <c r="K53" s="115"/>
      <c r="L53" s="115"/>
      <c r="M53" s="115"/>
      <c r="N53" s="25">
        <v>45552</v>
      </c>
      <c r="O53" s="13" t="s">
        <v>146</v>
      </c>
      <c r="Y53" s="115"/>
      <c r="Z53" s="115"/>
      <c r="AA53" s="115"/>
      <c r="AB53" s="115"/>
      <c r="AC53" s="115"/>
      <c r="AD53" s="115"/>
      <c r="AE53" s="127"/>
      <c r="AF53" s="29"/>
    </row>
    <row r="54" spans="1:32" ht="19.5" x14ac:dyDescent="0.4">
      <c r="A54" s="117"/>
      <c r="B54" s="123"/>
      <c r="C54" s="123"/>
      <c r="D54" s="123"/>
      <c r="H54" s="115"/>
      <c r="I54" s="115"/>
      <c r="J54" s="115"/>
      <c r="K54" s="115"/>
      <c r="L54" s="115"/>
      <c r="M54" s="115"/>
      <c r="N54" s="25">
        <v>45552</v>
      </c>
      <c r="O54" s="13" t="s">
        <v>146</v>
      </c>
      <c r="Y54" s="115"/>
      <c r="Z54" s="115"/>
      <c r="AA54" s="115"/>
      <c r="AB54" s="115"/>
      <c r="AC54" s="115"/>
      <c r="AD54" s="115"/>
      <c r="AE54" s="127"/>
      <c r="AF54" s="29"/>
    </row>
    <row r="55" spans="1:32" ht="19.5" x14ac:dyDescent="0.4">
      <c r="A55" s="117"/>
      <c r="B55" s="123"/>
      <c r="C55" s="123"/>
      <c r="D55" s="123"/>
      <c r="H55" s="115"/>
      <c r="I55" s="115"/>
      <c r="J55" s="115"/>
      <c r="K55" s="115"/>
      <c r="L55" s="115"/>
      <c r="M55" s="115"/>
      <c r="N55" s="25">
        <v>45557</v>
      </c>
      <c r="O55" s="13" t="s">
        <v>148</v>
      </c>
      <c r="Y55" s="115"/>
      <c r="Z55" s="115"/>
      <c r="AA55" s="115"/>
      <c r="AB55" s="115"/>
      <c r="AC55" s="115"/>
      <c r="AD55" s="115"/>
      <c r="AE55" s="127"/>
      <c r="AF55" s="29"/>
    </row>
    <row r="56" spans="1:32" ht="19.5" x14ac:dyDescent="0.4">
      <c r="A56" s="117"/>
      <c r="B56" s="123"/>
      <c r="C56" s="123"/>
      <c r="D56" s="123"/>
      <c r="H56" s="115"/>
      <c r="I56" s="115"/>
      <c r="J56" s="115"/>
      <c r="K56" s="115"/>
      <c r="L56" s="115"/>
      <c r="M56" s="115"/>
      <c r="N56" s="25">
        <v>45557</v>
      </c>
      <c r="O56" s="13" t="s">
        <v>148</v>
      </c>
      <c r="Y56" s="115"/>
      <c r="Z56" s="115"/>
      <c r="AA56" s="115"/>
      <c r="AB56" s="115"/>
      <c r="AC56" s="115"/>
      <c r="AD56" s="115"/>
      <c r="AE56" s="127"/>
      <c r="AF56" s="29"/>
    </row>
    <row r="57" spans="1:32" ht="19.5" x14ac:dyDescent="0.4">
      <c r="A57" s="117"/>
      <c r="B57" s="123"/>
      <c r="C57" s="123"/>
      <c r="D57" s="123"/>
      <c r="H57" s="115"/>
      <c r="I57" s="115"/>
      <c r="J57" s="115"/>
      <c r="K57" s="115"/>
      <c r="L57" s="115"/>
      <c r="M57" s="115"/>
      <c r="N57" s="25">
        <v>45559</v>
      </c>
      <c r="O57" s="13" t="s">
        <v>146</v>
      </c>
      <c r="Y57" s="115"/>
      <c r="Z57" s="115"/>
      <c r="AA57" s="115"/>
      <c r="AB57" s="115"/>
      <c r="AC57" s="115"/>
      <c r="AD57" s="115"/>
      <c r="AE57" s="127"/>
      <c r="AF57" s="29"/>
    </row>
    <row r="58" spans="1:32" ht="19.5" x14ac:dyDescent="0.4">
      <c r="A58" s="117"/>
      <c r="B58" s="123"/>
      <c r="C58" s="123"/>
      <c r="D58" s="123"/>
      <c r="H58" s="115"/>
      <c r="I58" s="115"/>
      <c r="J58" s="115"/>
      <c r="K58" s="115"/>
      <c r="L58" s="115"/>
      <c r="M58" s="115"/>
      <c r="N58" s="25">
        <v>45559</v>
      </c>
      <c r="O58" s="13" t="s">
        <v>146</v>
      </c>
      <c r="Y58" s="115"/>
      <c r="Z58" s="115"/>
      <c r="AA58" s="115"/>
      <c r="AB58" s="115"/>
      <c r="AC58" s="115"/>
      <c r="AD58" s="115"/>
      <c r="AE58" s="127"/>
      <c r="AF58" s="29"/>
    </row>
    <row r="59" spans="1:32" ht="19.5" x14ac:dyDescent="0.4">
      <c r="A59" s="117"/>
      <c r="B59" s="123"/>
      <c r="C59" s="123"/>
      <c r="D59" s="123"/>
      <c r="H59" s="115"/>
      <c r="I59" s="115"/>
      <c r="J59" s="115"/>
      <c r="K59" s="115"/>
      <c r="L59" s="115"/>
      <c r="M59" s="115"/>
      <c r="N59" s="25">
        <v>45559</v>
      </c>
      <c r="O59" s="13" t="s">
        <v>148</v>
      </c>
      <c r="Y59" s="115"/>
      <c r="Z59" s="115"/>
      <c r="AA59" s="115"/>
      <c r="AB59" s="115"/>
      <c r="AC59" s="115"/>
      <c r="AD59" s="115"/>
      <c r="AE59" s="29"/>
      <c r="AF59" s="29"/>
    </row>
    <row r="60" spans="1:32" ht="19.5" x14ac:dyDescent="0.4">
      <c r="A60" s="117"/>
      <c r="B60" s="123"/>
      <c r="C60" s="123"/>
      <c r="D60" s="123"/>
      <c r="H60" s="115"/>
      <c r="I60" s="115"/>
      <c r="J60" s="115"/>
      <c r="K60" s="115"/>
      <c r="L60" s="115"/>
      <c r="M60" s="115"/>
      <c r="N60" s="25">
        <v>45557</v>
      </c>
      <c r="O60" s="13" t="s">
        <v>146</v>
      </c>
      <c r="Y60" s="115"/>
      <c r="Z60" s="115"/>
      <c r="AA60" s="115"/>
      <c r="AB60" s="115"/>
      <c r="AC60" s="115"/>
      <c r="AD60" s="115"/>
      <c r="AE60" s="127"/>
      <c r="AF60" s="29"/>
    </row>
    <row r="61" spans="1:32" ht="19.5" x14ac:dyDescent="0.4">
      <c r="A61" s="117"/>
      <c r="B61" s="123"/>
      <c r="C61" s="123"/>
      <c r="D61" s="123"/>
      <c r="H61" s="115"/>
      <c r="I61" s="115"/>
      <c r="J61" s="115"/>
      <c r="K61" s="115"/>
      <c r="L61" s="115"/>
      <c r="M61" s="115"/>
      <c r="N61" s="25">
        <v>45546</v>
      </c>
      <c r="O61" s="13" t="s">
        <v>142</v>
      </c>
      <c r="Y61" s="115"/>
      <c r="Z61" s="115"/>
      <c r="AA61" s="115"/>
      <c r="AB61" s="115"/>
      <c r="AC61" s="115"/>
      <c r="AD61" s="115"/>
      <c r="AE61" s="127"/>
      <c r="AF61" s="29"/>
    </row>
    <row r="62" spans="1:32" ht="19.5" x14ac:dyDescent="0.4">
      <c r="A62" s="117"/>
      <c r="B62" s="123"/>
      <c r="C62" s="123"/>
      <c r="D62" s="123"/>
      <c r="H62" s="115"/>
      <c r="I62" s="115"/>
      <c r="J62" s="115"/>
      <c r="K62" s="115"/>
      <c r="L62" s="115"/>
      <c r="M62" s="115"/>
      <c r="N62" s="25">
        <v>45546</v>
      </c>
      <c r="O62" s="15" t="s">
        <v>146</v>
      </c>
      <c r="X62" s="115"/>
      <c r="Y62" s="115"/>
      <c r="Z62" s="115"/>
      <c r="AA62" s="115"/>
      <c r="AB62" s="115"/>
      <c r="AC62" s="115"/>
      <c r="AD62" s="115"/>
      <c r="AE62" s="127"/>
      <c r="AF62" s="29"/>
    </row>
    <row r="63" spans="1:32" ht="19.5" x14ac:dyDescent="0.4">
      <c r="A63" s="117"/>
      <c r="B63" s="123"/>
      <c r="C63" s="123"/>
      <c r="D63" s="123"/>
      <c r="H63" s="115"/>
      <c r="I63" s="115"/>
      <c r="J63" s="115"/>
      <c r="K63" s="115"/>
      <c r="L63" s="115"/>
      <c r="M63" s="115"/>
      <c r="N63" s="25">
        <v>45561</v>
      </c>
      <c r="O63" s="15" t="s">
        <v>146</v>
      </c>
      <c r="X63" s="115"/>
      <c r="Y63" s="115"/>
      <c r="Z63" s="115"/>
      <c r="AA63" s="115"/>
      <c r="AB63" s="115"/>
      <c r="AC63" s="115"/>
      <c r="AD63" s="115"/>
      <c r="AE63" s="127"/>
      <c r="AF63" s="29"/>
    </row>
    <row r="64" spans="1:32" ht="19.5" x14ac:dyDescent="0.4">
      <c r="A64" s="117"/>
      <c r="B64" s="123"/>
      <c r="C64" s="123"/>
      <c r="D64" s="123"/>
      <c r="H64" s="115"/>
      <c r="I64" s="115"/>
      <c r="J64" s="115"/>
      <c r="K64" s="115"/>
      <c r="L64" s="115"/>
      <c r="M64" s="115"/>
      <c r="N64" s="25">
        <v>45546</v>
      </c>
      <c r="O64" s="15" t="s">
        <v>147</v>
      </c>
      <c r="X64" s="115"/>
      <c r="Y64" s="115"/>
      <c r="Z64" s="115"/>
      <c r="AA64" s="115"/>
      <c r="AB64" s="115"/>
      <c r="AC64" s="115"/>
      <c r="AD64" s="115"/>
      <c r="AE64" s="29"/>
      <c r="AF64" s="29"/>
    </row>
    <row r="65" spans="1:32" ht="19.5" x14ac:dyDescent="0.4">
      <c r="A65" s="117"/>
      <c r="B65" s="123"/>
      <c r="C65" s="123"/>
      <c r="D65" s="123"/>
      <c r="H65" s="115"/>
      <c r="I65" s="115"/>
      <c r="J65" s="115"/>
      <c r="K65" s="115"/>
      <c r="L65" s="115"/>
      <c r="M65" s="115"/>
      <c r="N65" s="25">
        <v>45550</v>
      </c>
      <c r="O65" s="15" t="s">
        <v>147</v>
      </c>
      <c r="X65" s="115"/>
      <c r="Y65" s="115"/>
      <c r="Z65" s="115"/>
      <c r="AA65" s="115"/>
      <c r="AB65" s="115"/>
      <c r="AC65" s="115"/>
      <c r="AD65" s="115"/>
      <c r="AE65" s="127"/>
      <c r="AF65" s="29"/>
    </row>
    <row r="66" spans="1:32" ht="19.5" x14ac:dyDescent="0.4">
      <c r="A66" s="117"/>
      <c r="B66" s="123"/>
      <c r="C66" s="123"/>
      <c r="D66" s="123"/>
      <c r="H66" s="115"/>
      <c r="I66" s="115"/>
      <c r="J66" s="115"/>
      <c r="K66" s="115"/>
      <c r="L66" s="115"/>
      <c r="M66" s="115"/>
      <c r="N66" s="25">
        <v>45559</v>
      </c>
      <c r="O66" s="15" t="s">
        <v>147</v>
      </c>
      <c r="X66" s="115"/>
      <c r="Y66" s="115"/>
      <c r="Z66" s="115"/>
      <c r="AA66" s="115"/>
      <c r="AB66" s="115"/>
      <c r="AC66" s="115"/>
      <c r="AD66" s="115"/>
      <c r="AE66" s="29"/>
      <c r="AF66" s="29"/>
    </row>
    <row r="67" spans="1:32" ht="19.5" x14ac:dyDescent="0.4">
      <c r="A67" s="117"/>
      <c r="B67" s="123"/>
      <c r="C67" s="123"/>
      <c r="D67" s="123"/>
      <c r="H67" s="115"/>
      <c r="I67" s="115"/>
      <c r="J67" s="115"/>
      <c r="K67" s="115"/>
      <c r="L67" s="115"/>
      <c r="M67" s="115"/>
      <c r="N67" s="25">
        <v>45553</v>
      </c>
      <c r="O67" s="15" t="s">
        <v>146</v>
      </c>
      <c r="X67" s="115"/>
      <c r="Y67" s="115"/>
      <c r="Z67" s="115"/>
      <c r="AA67" s="115"/>
      <c r="AB67" s="115"/>
      <c r="AC67" s="115"/>
      <c r="AD67" s="115"/>
      <c r="AE67" s="127"/>
      <c r="AF67" s="29"/>
    </row>
    <row r="68" spans="1:32" ht="19.5" x14ac:dyDescent="0.4">
      <c r="A68" s="117"/>
      <c r="B68" s="123"/>
      <c r="C68" s="123"/>
      <c r="D68" s="123"/>
      <c r="H68" s="115"/>
      <c r="I68" s="115"/>
      <c r="J68" s="115"/>
      <c r="K68" s="115"/>
      <c r="L68" s="115"/>
      <c r="M68" s="115"/>
      <c r="N68" s="25">
        <v>45553</v>
      </c>
      <c r="O68" s="15" t="s">
        <v>148</v>
      </c>
      <c r="X68" s="115"/>
      <c r="Y68" s="115"/>
      <c r="Z68" s="115"/>
      <c r="AA68" s="115"/>
      <c r="AB68" s="115"/>
      <c r="AC68" s="115"/>
      <c r="AD68" s="115"/>
      <c r="AE68" s="127"/>
      <c r="AF68" s="29"/>
    </row>
    <row r="69" spans="1:32" ht="19.5" x14ac:dyDescent="0.4">
      <c r="A69" s="117"/>
      <c r="B69" s="123"/>
      <c r="C69" s="123"/>
      <c r="D69" s="123"/>
      <c r="H69" s="115"/>
      <c r="I69" s="115"/>
      <c r="J69" s="115"/>
      <c r="K69" s="115"/>
      <c r="L69" s="115"/>
      <c r="M69" s="115"/>
      <c r="N69" s="25">
        <v>45563</v>
      </c>
      <c r="O69" s="15" t="s">
        <v>147</v>
      </c>
      <c r="X69" s="115"/>
      <c r="Y69" s="115"/>
      <c r="Z69" s="115"/>
      <c r="AA69" s="115"/>
      <c r="AB69" s="115"/>
      <c r="AC69" s="115"/>
      <c r="AD69" s="115"/>
      <c r="AE69" s="127"/>
      <c r="AF69" s="29"/>
    </row>
    <row r="70" spans="1:32" ht="19.5" x14ac:dyDescent="0.4">
      <c r="A70" s="117"/>
      <c r="B70" s="123"/>
      <c r="C70" s="123"/>
      <c r="D70" s="123"/>
      <c r="H70" s="115"/>
      <c r="I70" s="115"/>
      <c r="J70" s="115"/>
      <c r="K70" s="115"/>
      <c r="L70" s="115"/>
      <c r="M70" s="115"/>
      <c r="N70" s="25">
        <v>45551</v>
      </c>
      <c r="O70" s="15" t="s">
        <v>147</v>
      </c>
      <c r="X70" s="115"/>
      <c r="Y70" s="115"/>
      <c r="Z70" s="115"/>
      <c r="AA70" s="115"/>
      <c r="AB70" s="115"/>
      <c r="AC70" s="115"/>
      <c r="AD70" s="115"/>
      <c r="AE70" s="127"/>
      <c r="AF70" s="29"/>
    </row>
    <row r="71" spans="1:32" ht="19.5" x14ac:dyDescent="0.4">
      <c r="A71" s="117"/>
      <c r="B71" s="123"/>
      <c r="C71" s="123"/>
      <c r="D71" s="123"/>
      <c r="H71" s="115"/>
      <c r="I71" s="115"/>
      <c r="J71" s="115"/>
      <c r="K71" s="115"/>
      <c r="L71" s="115"/>
      <c r="M71" s="115"/>
      <c r="N71" s="25">
        <v>45559</v>
      </c>
      <c r="O71" s="15" t="s">
        <v>147</v>
      </c>
      <c r="X71" s="115"/>
      <c r="Y71" s="115"/>
      <c r="Z71" s="115"/>
      <c r="AA71" s="115"/>
      <c r="AB71" s="115"/>
      <c r="AC71" s="115"/>
      <c r="AD71" s="115"/>
      <c r="AE71" s="127"/>
      <c r="AF71" s="29"/>
    </row>
    <row r="72" spans="1:32" ht="19.5" x14ac:dyDescent="0.4">
      <c r="A72" s="117"/>
      <c r="B72" s="123"/>
      <c r="C72" s="123"/>
      <c r="D72" s="123"/>
      <c r="H72" s="115"/>
      <c r="I72" s="115"/>
      <c r="J72" s="115"/>
      <c r="K72" s="115"/>
      <c r="L72" s="115"/>
      <c r="M72" s="115"/>
      <c r="N72" s="25">
        <v>45550</v>
      </c>
      <c r="O72" s="15" t="s">
        <v>146</v>
      </c>
      <c r="X72" s="115"/>
      <c r="Y72" s="115"/>
      <c r="Z72" s="115"/>
      <c r="AA72" s="115"/>
      <c r="AB72" s="115"/>
      <c r="AC72" s="115"/>
      <c r="AD72" s="115"/>
      <c r="AE72" s="127"/>
      <c r="AF72" s="29"/>
    </row>
    <row r="73" spans="1:32" ht="19.5" x14ac:dyDescent="0.4">
      <c r="A73" s="117"/>
      <c r="B73" s="123"/>
      <c r="C73" s="123"/>
      <c r="D73" s="123"/>
      <c r="H73" s="115"/>
      <c r="I73" s="115"/>
      <c r="J73" s="115"/>
      <c r="K73" s="115"/>
      <c r="L73" s="115"/>
      <c r="M73" s="115"/>
      <c r="N73" s="25">
        <v>45550</v>
      </c>
      <c r="O73" s="105" t="s">
        <v>146</v>
      </c>
      <c r="X73" s="115"/>
      <c r="Y73" s="115"/>
      <c r="Z73" s="115"/>
      <c r="AA73" s="115"/>
      <c r="AB73" s="115"/>
      <c r="AC73" s="115"/>
      <c r="AD73" s="115"/>
      <c r="AE73" s="29"/>
      <c r="AF73" s="29"/>
    </row>
    <row r="74" spans="1:32" ht="19.5" x14ac:dyDescent="0.4">
      <c r="A74" s="117"/>
      <c r="B74" s="123"/>
      <c r="C74" s="123"/>
      <c r="D74" s="123"/>
      <c r="H74" s="115"/>
      <c r="I74" s="115"/>
      <c r="J74" s="115"/>
      <c r="K74" s="115"/>
      <c r="L74" s="115"/>
      <c r="M74" s="115"/>
      <c r="N74" s="25">
        <v>45550</v>
      </c>
      <c r="O74" s="15" t="s">
        <v>146</v>
      </c>
      <c r="X74" s="115"/>
      <c r="Y74" s="115"/>
      <c r="Z74" s="115"/>
      <c r="AA74" s="115"/>
      <c r="AB74" s="115"/>
      <c r="AC74" s="115"/>
      <c r="AD74" s="115"/>
      <c r="AE74" s="29"/>
      <c r="AF74" s="29"/>
    </row>
    <row r="75" spans="1:32" ht="19.5" x14ac:dyDescent="0.4">
      <c r="A75" s="117"/>
      <c r="B75" s="123"/>
      <c r="C75" s="123"/>
      <c r="D75" s="123"/>
      <c r="H75" s="115"/>
      <c r="I75" s="115"/>
      <c r="J75" s="115"/>
      <c r="K75" s="115"/>
      <c r="L75" s="115"/>
      <c r="M75" s="115"/>
      <c r="N75" s="25">
        <v>45552</v>
      </c>
      <c r="O75" s="15" t="s">
        <v>146</v>
      </c>
      <c r="W75" s="115"/>
      <c r="X75" s="115"/>
      <c r="Y75" s="115"/>
      <c r="Z75" s="115"/>
      <c r="AA75" s="115"/>
      <c r="AB75" s="115"/>
      <c r="AC75" s="115"/>
      <c r="AD75" s="115"/>
      <c r="AE75" s="127"/>
      <c r="AF75" s="29"/>
    </row>
    <row r="76" spans="1:32" ht="19.5" x14ac:dyDescent="0.4">
      <c r="A76" s="117"/>
      <c r="B76" s="123"/>
      <c r="C76" s="123"/>
      <c r="D76" s="123"/>
      <c r="H76" s="115"/>
      <c r="I76" s="115"/>
      <c r="J76" s="115"/>
      <c r="K76" s="115"/>
      <c r="L76" s="115"/>
      <c r="M76" s="115"/>
      <c r="N76" s="25">
        <v>45552</v>
      </c>
      <c r="O76" s="15" t="s">
        <v>146</v>
      </c>
      <c r="W76" s="115"/>
      <c r="X76" s="115"/>
      <c r="Y76" s="115"/>
      <c r="Z76" s="115"/>
      <c r="AA76" s="115"/>
      <c r="AB76" s="115"/>
      <c r="AC76" s="115"/>
      <c r="AD76" s="115"/>
      <c r="AE76" s="127"/>
      <c r="AF76" s="29"/>
    </row>
    <row r="77" spans="1:32" ht="19.5" x14ac:dyDescent="0.4">
      <c r="A77" s="117"/>
      <c r="B77" s="123"/>
      <c r="C77" s="123"/>
      <c r="D77" s="123"/>
      <c r="H77" s="115"/>
      <c r="I77" s="115"/>
      <c r="J77" s="115"/>
      <c r="K77" s="115"/>
      <c r="L77" s="115"/>
      <c r="M77" s="115"/>
      <c r="N77" s="25">
        <v>45552</v>
      </c>
      <c r="O77" s="15" t="s">
        <v>146</v>
      </c>
      <c r="W77" s="115"/>
      <c r="X77" s="115"/>
      <c r="Y77" s="115"/>
      <c r="Z77" s="115"/>
      <c r="AA77" s="115"/>
      <c r="AB77" s="115"/>
      <c r="AC77" s="115"/>
      <c r="AD77" s="115"/>
      <c r="AE77" s="127"/>
      <c r="AF77" s="29"/>
    </row>
    <row r="78" spans="1:32" ht="19.5" x14ac:dyDescent="0.4">
      <c r="A78" s="117"/>
      <c r="B78" s="123"/>
      <c r="C78" s="123"/>
      <c r="D78" s="123"/>
      <c r="H78" s="115"/>
      <c r="I78" s="115"/>
      <c r="J78" s="115"/>
      <c r="K78" s="115"/>
      <c r="L78" s="115"/>
      <c r="M78" s="115"/>
      <c r="N78" s="25">
        <v>45552</v>
      </c>
      <c r="O78" s="25" t="s">
        <v>146</v>
      </c>
      <c r="W78" s="115"/>
      <c r="X78" s="115"/>
      <c r="Y78" s="115"/>
      <c r="Z78" s="115"/>
      <c r="AA78" s="115"/>
      <c r="AB78" s="115"/>
      <c r="AC78" s="115"/>
      <c r="AD78" s="115"/>
      <c r="AE78" s="127"/>
      <c r="AF78" s="29"/>
    </row>
    <row r="79" spans="1:32" ht="19.5" x14ac:dyDescent="0.4">
      <c r="A79" s="117"/>
      <c r="B79" s="123"/>
      <c r="C79" s="123"/>
      <c r="D79" s="123"/>
      <c r="H79" s="115"/>
      <c r="I79" s="115"/>
      <c r="J79" s="115"/>
      <c r="K79" s="115"/>
      <c r="L79" s="115"/>
      <c r="M79" s="115"/>
      <c r="N79" s="25">
        <v>45552</v>
      </c>
      <c r="O79" s="25" t="s">
        <v>146</v>
      </c>
      <c r="W79" s="115"/>
      <c r="X79" s="115"/>
      <c r="Y79" s="115"/>
      <c r="Z79" s="115"/>
      <c r="AA79" s="115"/>
      <c r="AB79" s="115"/>
      <c r="AC79" s="115"/>
      <c r="AD79" s="115"/>
      <c r="AE79" s="127"/>
      <c r="AF79" s="29"/>
    </row>
    <row r="80" spans="1:32" ht="19.5" x14ac:dyDescent="0.4">
      <c r="A80" s="117"/>
      <c r="B80" s="123"/>
      <c r="C80" s="123"/>
      <c r="D80" s="123"/>
      <c r="H80" s="115"/>
      <c r="I80" s="115"/>
      <c r="J80" s="115"/>
      <c r="K80" s="115"/>
      <c r="L80" s="115"/>
      <c r="M80" s="115"/>
      <c r="N80" s="25">
        <v>45559</v>
      </c>
      <c r="O80" s="25" t="s">
        <v>146</v>
      </c>
      <c r="W80" s="115"/>
      <c r="X80" s="115"/>
      <c r="Y80" s="115"/>
      <c r="Z80" s="115"/>
      <c r="AA80" s="115"/>
      <c r="AB80" s="115"/>
      <c r="AC80" s="115"/>
      <c r="AD80" s="115"/>
      <c r="AE80" s="127"/>
      <c r="AF80" s="29"/>
    </row>
    <row r="81" spans="1:32" ht="19.5" x14ac:dyDescent="0.4">
      <c r="A81" s="117"/>
      <c r="B81" s="123"/>
      <c r="C81" s="123"/>
      <c r="D81" s="123"/>
      <c r="H81" s="115"/>
      <c r="I81" s="115"/>
      <c r="J81" s="115"/>
      <c r="K81" s="115"/>
      <c r="L81" s="115"/>
      <c r="M81" s="115"/>
      <c r="N81" s="25">
        <v>45559</v>
      </c>
      <c r="O81" s="25" t="s">
        <v>148</v>
      </c>
      <c r="W81" s="115"/>
      <c r="X81" s="115"/>
      <c r="Y81" s="115"/>
      <c r="Z81" s="115"/>
      <c r="AA81" s="115"/>
      <c r="AB81" s="115"/>
      <c r="AC81" s="115"/>
      <c r="AD81" s="115"/>
      <c r="AE81" s="127"/>
      <c r="AF81" s="29"/>
    </row>
    <row r="82" spans="1:32" ht="19.5" x14ac:dyDescent="0.4">
      <c r="A82" s="117"/>
      <c r="B82" s="123"/>
      <c r="C82" s="123"/>
      <c r="D82" s="123"/>
      <c r="H82" s="115"/>
      <c r="I82" s="115"/>
      <c r="J82" s="115"/>
      <c r="K82" s="115"/>
      <c r="L82" s="115"/>
      <c r="M82" s="115"/>
      <c r="N82" s="25">
        <v>45557</v>
      </c>
      <c r="O82" s="25" t="s">
        <v>147</v>
      </c>
      <c r="W82" s="115"/>
      <c r="X82" s="115"/>
      <c r="Y82" s="115"/>
      <c r="Z82" s="115"/>
      <c r="AA82" s="115"/>
      <c r="AB82" s="115"/>
      <c r="AC82" s="115"/>
      <c r="AD82" s="115"/>
      <c r="AE82" s="127"/>
      <c r="AF82" s="29"/>
    </row>
    <row r="83" spans="1:32" ht="19.5" x14ac:dyDescent="0.4">
      <c r="A83" s="117"/>
      <c r="B83" s="123"/>
      <c r="C83" s="123"/>
      <c r="D83" s="123"/>
      <c r="H83" s="115"/>
      <c r="I83" s="115"/>
      <c r="J83" s="115"/>
      <c r="K83" s="115"/>
      <c r="L83" s="115"/>
      <c r="M83" s="115"/>
      <c r="N83" s="25">
        <v>45559</v>
      </c>
      <c r="O83" s="25" t="s">
        <v>147</v>
      </c>
      <c r="W83" s="115"/>
      <c r="X83" s="115"/>
      <c r="Y83" s="115"/>
      <c r="Z83" s="115"/>
      <c r="AA83" s="115"/>
      <c r="AB83" s="115"/>
      <c r="AC83" s="115"/>
      <c r="AD83" s="115"/>
      <c r="AE83" s="127"/>
      <c r="AF83" s="29"/>
    </row>
    <row r="84" spans="1:32" ht="19.5" x14ac:dyDescent="0.4">
      <c r="A84" s="117"/>
      <c r="B84" s="123"/>
      <c r="C84" s="123"/>
      <c r="D84" s="123"/>
      <c r="H84" s="115"/>
      <c r="I84" s="115"/>
      <c r="J84" s="115"/>
      <c r="K84" s="115"/>
      <c r="L84" s="115"/>
      <c r="M84" s="115"/>
      <c r="N84" s="25">
        <v>45557</v>
      </c>
      <c r="O84" s="15" t="s">
        <v>147</v>
      </c>
      <c r="W84" s="115"/>
      <c r="X84" s="115"/>
      <c r="Y84" s="115"/>
      <c r="Z84" s="115"/>
      <c r="AA84" s="115"/>
      <c r="AB84" s="115"/>
      <c r="AC84" s="115"/>
      <c r="AD84" s="115"/>
      <c r="AE84" s="127"/>
      <c r="AF84" s="29"/>
    </row>
    <row r="85" spans="1:32" ht="19.5" x14ac:dyDescent="0.4">
      <c r="A85" s="117"/>
      <c r="B85" s="123"/>
      <c r="C85" s="123"/>
      <c r="D85" s="123"/>
      <c r="H85" s="115"/>
      <c r="I85" s="115"/>
      <c r="J85" s="115"/>
      <c r="K85" s="115"/>
      <c r="L85" s="115"/>
      <c r="M85" s="115"/>
      <c r="N85" s="25">
        <v>45557</v>
      </c>
      <c r="O85" s="15" t="s">
        <v>147</v>
      </c>
      <c r="W85" s="115"/>
      <c r="X85" s="115"/>
      <c r="Y85" s="115"/>
      <c r="Z85" s="115"/>
      <c r="AA85" s="115"/>
      <c r="AB85" s="115"/>
      <c r="AC85" s="115"/>
      <c r="AD85" s="115"/>
      <c r="AE85" s="127"/>
      <c r="AF85" s="29"/>
    </row>
    <row r="86" spans="1:32" ht="19.5" x14ac:dyDescent="0.4">
      <c r="A86" s="117"/>
      <c r="B86" s="123"/>
      <c r="C86" s="123"/>
      <c r="D86" s="123"/>
      <c r="H86" s="115"/>
      <c r="I86" s="115"/>
      <c r="J86" s="115"/>
      <c r="K86" s="115"/>
      <c r="L86" s="115"/>
      <c r="M86" s="115"/>
      <c r="N86" s="25">
        <v>45557</v>
      </c>
      <c r="O86" s="15" t="s">
        <v>147</v>
      </c>
      <c r="W86" s="115"/>
      <c r="X86" s="115"/>
      <c r="Y86" s="115"/>
      <c r="Z86" s="115"/>
      <c r="AA86" s="115"/>
      <c r="AB86" s="115"/>
      <c r="AC86" s="115"/>
      <c r="AD86" s="115"/>
      <c r="AE86" s="127"/>
      <c r="AF86" s="29"/>
    </row>
    <row r="87" spans="1:32" ht="19.5" x14ac:dyDescent="0.4">
      <c r="A87" s="117"/>
      <c r="B87" s="123"/>
      <c r="C87" s="123"/>
      <c r="D87" s="123"/>
      <c r="H87" s="115"/>
      <c r="I87" s="115"/>
      <c r="J87" s="115"/>
      <c r="K87" s="115"/>
      <c r="L87" s="115"/>
      <c r="M87" s="115"/>
      <c r="N87" s="25">
        <v>45557</v>
      </c>
      <c r="O87" s="15" t="s">
        <v>148</v>
      </c>
      <c r="W87" s="115"/>
      <c r="X87" s="115"/>
      <c r="Y87" s="115"/>
      <c r="Z87" s="115"/>
      <c r="AA87" s="115"/>
      <c r="AB87" s="115"/>
      <c r="AC87" s="115"/>
      <c r="AD87" s="115"/>
      <c r="AE87" s="127"/>
      <c r="AF87" s="29"/>
    </row>
    <row r="88" spans="1:32" ht="19.5" x14ac:dyDescent="0.4">
      <c r="A88" s="117"/>
      <c r="B88" s="123"/>
      <c r="C88" s="123"/>
      <c r="D88" s="123"/>
      <c r="H88" s="115"/>
      <c r="I88" s="115"/>
      <c r="J88" s="115"/>
      <c r="K88" s="115"/>
      <c r="L88" s="115"/>
      <c r="M88" s="115"/>
      <c r="N88" s="25">
        <v>45557</v>
      </c>
      <c r="O88" s="15" t="s">
        <v>146</v>
      </c>
      <c r="W88" s="115"/>
      <c r="X88" s="115"/>
      <c r="Y88" s="115"/>
      <c r="Z88" s="115"/>
      <c r="AA88" s="115"/>
      <c r="AB88" s="115"/>
      <c r="AC88" s="115"/>
      <c r="AD88" s="115"/>
      <c r="AE88" s="127"/>
      <c r="AF88" s="29"/>
    </row>
    <row r="89" spans="1:32" ht="19.5" x14ac:dyDescent="0.4">
      <c r="A89" s="117"/>
      <c r="B89" s="123"/>
      <c r="C89" s="123"/>
      <c r="D89" s="123"/>
      <c r="H89" s="115"/>
      <c r="I89" s="115"/>
      <c r="J89" s="115"/>
      <c r="K89" s="115"/>
      <c r="L89" s="115"/>
      <c r="M89" s="115"/>
      <c r="N89" s="25">
        <v>45552</v>
      </c>
      <c r="O89" s="15" t="s">
        <v>146</v>
      </c>
      <c r="W89" s="115"/>
      <c r="X89" s="115"/>
      <c r="Y89" s="115"/>
      <c r="Z89" s="115"/>
      <c r="AA89" s="115"/>
      <c r="AB89" s="115"/>
      <c r="AC89" s="115"/>
      <c r="AD89" s="115"/>
      <c r="AE89" s="127"/>
      <c r="AF89" s="29"/>
    </row>
    <row r="90" spans="1:32" ht="19.5" x14ac:dyDescent="0.4">
      <c r="A90" s="117"/>
      <c r="B90" s="123"/>
      <c r="C90" s="123"/>
      <c r="D90" s="123"/>
      <c r="H90" s="115"/>
      <c r="I90" s="115"/>
      <c r="J90" s="115"/>
      <c r="K90" s="115"/>
      <c r="L90" s="115"/>
      <c r="M90" s="115"/>
      <c r="N90" s="25">
        <v>45557</v>
      </c>
      <c r="O90" s="15" t="s">
        <v>148</v>
      </c>
      <c r="W90" s="115"/>
      <c r="X90" s="115"/>
      <c r="Y90" s="115"/>
      <c r="Z90" s="115"/>
      <c r="AA90" s="115"/>
      <c r="AB90" s="115"/>
      <c r="AC90" s="115"/>
      <c r="AD90" s="115"/>
      <c r="AE90" s="127"/>
      <c r="AF90" s="29"/>
    </row>
    <row r="91" spans="1:32" ht="19.5" x14ac:dyDescent="0.4">
      <c r="A91" s="117"/>
      <c r="B91" s="123"/>
      <c r="C91" s="123"/>
      <c r="D91" s="123"/>
      <c r="H91" s="115"/>
      <c r="I91" s="115"/>
      <c r="J91" s="115"/>
      <c r="K91" s="115"/>
      <c r="L91" s="115"/>
      <c r="M91" s="115"/>
      <c r="N91" s="25">
        <v>45557</v>
      </c>
      <c r="O91" s="15" t="s">
        <v>148</v>
      </c>
      <c r="W91" s="115"/>
      <c r="X91" s="115"/>
      <c r="Y91" s="115"/>
      <c r="Z91" s="115"/>
      <c r="AA91" s="115"/>
      <c r="AB91" s="115"/>
      <c r="AC91" s="115"/>
      <c r="AD91" s="115"/>
      <c r="AE91" s="127"/>
      <c r="AF91" s="29"/>
    </row>
    <row r="92" spans="1:32" ht="19.5" x14ac:dyDescent="0.4">
      <c r="A92" s="117"/>
      <c r="B92" s="123"/>
      <c r="C92" s="123"/>
      <c r="D92" s="123"/>
      <c r="H92" s="115"/>
      <c r="I92" s="115"/>
      <c r="J92" s="115"/>
      <c r="K92" s="115"/>
      <c r="L92" s="115"/>
      <c r="M92" s="115"/>
      <c r="N92" s="25">
        <v>45536</v>
      </c>
      <c r="O92" s="15" t="s">
        <v>146</v>
      </c>
      <c r="W92" s="115"/>
      <c r="X92" s="115"/>
      <c r="Y92" s="115"/>
      <c r="Z92" s="115"/>
      <c r="AA92" s="115"/>
      <c r="AB92" s="115"/>
      <c r="AC92" s="115"/>
      <c r="AD92" s="115"/>
      <c r="AE92" s="127"/>
      <c r="AF92" s="29"/>
    </row>
    <row r="93" spans="1:32" ht="19.5" x14ac:dyDescent="0.4">
      <c r="A93" s="117"/>
      <c r="B93" s="123"/>
      <c r="C93" s="123"/>
      <c r="D93" s="123"/>
      <c r="H93" s="115"/>
      <c r="I93" s="115"/>
      <c r="J93" s="115"/>
      <c r="K93" s="115"/>
      <c r="L93" s="115"/>
      <c r="M93" s="115"/>
      <c r="N93" s="25">
        <v>45566</v>
      </c>
      <c r="O93" s="15" t="s">
        <v>147</v>
      </c>
      <c r="W93" s="115"/>
      <c r="X93" s="115"/>
      <c r="Y93" s="115"/>
      <c r="Z93" s="115"/>
      <c r="AA93" s="115"/>
      <c r="AB93" s="115"/>
      <c r="AC93" s="115"/>
      <c r="AD93" s="115"/>
      <c r="AE93" s="127"/>
      <c r="AF93" s="29"/>
    </row>
    <row r="94" spans="1:32" ht="19.5" x14ac:dyDescent="0.4">
      <c r="A94" s="117"/>
      <c r="B94" s="123"/>
      <c r="C94" s="123"/>
      <c r="D94" s="123"/>
      <c r="H94" s="115"/>
      <c r="I94" s="115"/>
      <c r="J94" s="115"/>
      <c r="K94" s="115"/>
      <c r="L94" s="115"/>
      <c r="M94" s="115"/>
      <c r="N94" s="25">
        <v>45566</v>
      </c>
      <c r="O94" s="15" t="s">
        <v>147</v>
      </c>
      <c r="W94" s="115"/>
      <c r="X94" s="115"/>
      <c r="Y94" s="115"/>
      <c r="Z94" s="115"/>
      <c r="AA94" s="115"/>
      <c r="AB94" s="115"/>
      <c r="AC94" s="115"/>
      <c r="AD94" s="115"/>
      <c r="AE94" s="127"/>
      <c r="AF94" s="29"/>
    </row>
    <row r="95" spans="1:32" ht="19.5" x14ac:dyDescent="0.4">
      <c r="A95" s="117"/>
      <c r="B95" s="123"/>
      <c r="C95" s="123"/>
      <c r="D95" s="123"/>
      <c r="H95" s="115"/>
      <c r="I95" s="115"/>
      <c r="J95" s="115"/>
      <c r="K95" s="115"/>
      <c r="L95" s="115"/>
      <c r="M95" s="115"/>
      <c r="N95" s="25">
        <v>45550</v>
      </c>
      <c r="O95" s="15" t="s">
        <v>142</v>
      </c>
      <c r="W95" s="115"/>
      <c r="X95" s="115"/>
      <c r="Y95" s="115"/>
      <c r="Z95" s="115"/>
      <c r="AA95" s="115"/>
      <c r="AB95" s="115"/>
      <c r="AC95" s="115"/>
      <c r="AD95" s="115"/>
      <c r="AE95" s="127"/>
      <c r="AF95" s="29"/>
    </row>
    <row r="96" spans="1:32" ht="19.5" x14ac:dyDescent="0.4">
      <c r="A96" s="117"/>
      <c r="B96" s="123"/>
      <c r="C96" s="123"/>
      <c r="D96" s="123"/>
      <c r="H96" s="115"/>
      <c r="I96" s="115"/>
      <c r="J96" s="115"/>
      <c r="K96" s="115"/>
      <c r="L96" s="115"/>
      <c r="M96" s="115"/>
      <c r="N96" s="25">
        <v>45559</v>
      </c>
      <c r="O96" s="15" t="s">
        <v>147</v>
      </c>
      <c r="W96" s="115"/>
      <c r="X96" s="115"/>
      <c r="Y96" s="115"/>
      <c r="Z96" s="115"/>
      <c r="AA96" s="115"/>
      <c r="AB96" s="115"/>
      <c r="AC96" s="115"/>
      <c r="AD96" s="115"/>
      <c r="AE96" s="127"/>
      <c r="AF96" s="29"/>
    </row>
    <row r="97" spans="1:32" ht="19.5" x14ac:dyDescent="0.4">
      <c r="A97" s="117"/>
      <c r="B97" s="123"/>
      <c r="C97" s="123"/>
      <c r="D97" s="123"/>
      <c r="H97" s="115"/>
      <c r="I97" s="115"/>
      <c r="J97" s="115"/>
      <c r="K97" s="115"/>
      <c r="L97" s="115"/>
      <c r="M97" s="115"/>
      <c r="N97" s="25">
        <v>45560</v>
      </c>
      <c r="O97" s="15" t="s">
        <v>147</v>
      </c>
      <c r="V97" s="115"/>
      <c r="W97" s="115"/>
      <c r="X97" s="115"/>
      <c r="Y97" s="115"/>
      <c r="Z97" s="115"/>
      <c r="AA97" s="115"/>
      <c r="AB97" s="115"/>
      <c r="AC97" s="115"/>
      <c r="AD97" s="115"/>
      <c r="AE97" s="127"/>
      <c r="AF97" s="29"/>
    </row>
    <row r="98" spans="1:32" ht="19.5" x14ac:dyDescent="0.4">
      <c r="A98" s="117"/>
      <c r="B98" s="123"/>
      <c r="C98" s="123"/>
      <c r="D98" s="123"/>
      <c r="H98" s="115"/>
      <c r="I98" s="115"/>
      <c r="J98" s="115"/>
      <c r="K98" s="115"/>
      <c r="L98" s="115"/>
      <c r="M98" s="115"/>
      <c r="N98" s="25">
        <v>45563</v>
      </c>
      <c r="O98" s="15" t="s">
        <v>147</v>
      </c>
      <c r="V98" s="115"/>
      <c r="W98" s="115"/>
      <c r="X98" s="115"/>
      <c r="Y98" s="115"/>
      <c r="Z98" s="115"/>
      <c r="AA98" s="115"/>
      <c r="AB98" s="115"/>
      <c r="AC98" s="115"/>
      <c r="AD98" s="115"/>
      <c r="AE98" s="127"/>
      <c r="AF98" s="29"/>
    </row>
    <row r="99" spans="1:32" ht="19.5" x14ac:dyDescent="0.4">
      <c r="A99" s="117"/>
      <c r="B99" s="123"/>
      <c r="C99" s="123"/>
      <c r="D99" s="123"/>
      <c r="H99" s="115"/>
      <c r="I99" s="115"/>
      <c r="J99" s="115"/>
      <c r="K99" s="115"/>
      <c r="L99" s="115"/>
      <c r="M99" s="115"/>
      <c r="N99" s="25">
        <v>45559</v>
      </c>
      <c r="O99" s="15" t="s">
        <v>147</v>
      </c>
      <c r="V99" s="115"/>
      <c r="W99" s="115"/>
      <c r="X99" s="115"/>
      <c r="Y99" s="115"/>
      <c r="Z99" s="115"/>
      <c r="AA99" s="115"/>
      <c r="AB99" s="115"/>
      <c r="AC99" s="115"/>
      <c r="AD99" s="115"/>
      <c r="AE99" s="127"/>
      <c r="AF99" s="29"/>
    </row>
    <row r="100" spans="1:32" ht="19.5" x14ac:dyDescent="0.4">
      <c r="A100" s="117"/>
      <c r="B100" s="123"/>
      <c r="C100" s="123"/>
      <c r="D100" s="123"/>
      <c r="H100" s="115"/>
      <c r="I100" s="115"/>
      <c r="J100" s="115"/>
      <c r="K100" s="115"/>
      <c r="L100" s="115"/>
      <c r="M100" s="115"/>
      <c r="N100" s="25">
        <v>45563</v>
      </c>
      <c r="O100" s="15" t="s">
        <v>148</v>
      </c>
      <c r="V100" s="115"/>
      <c r="W100" s="115"/>
      <c r="X100" s="115"/>
      <c r="Y100" s="115"/>
      <c r="Z100" s="115"/>
      <c r="AA100" s="115"/>
      <c r="AB100" s="115"/>
      <c r="AC100" s="115"/>
      <c r="AD100" s="115"/>
      <c r="AE100" s="127"/>
      <c r="AF100" s="29"/>
    </row>
    <row r="101" spans="1:32" ht="19.5" x14ac:dyDescent="0.4">
      <c r="A101" s="117"/>
      <c r="B101" s="123"/>
      <c r="C101" s="123"/>
      <c r="D101" s="123"/>
      <c r="H101" s="115"/>
      <c r="I101" s="115"/>
      <c r="J101" s="115"/>
      <c r="K101" s="115"/>
      <c r="L101" s="115"/>
      <c r="M101" s="115"/>
      <c r="N101" s="25">
        <v>45563</v>
      </c>
      <c r="O101" s="15" t="s">
        <v>146</v>
      </c>
      <c r="V101" s="115"/>
      <c r="W101" s="115"/>
      <c r="X101" s="115"/>
      <c r="Y101" s="115"/>
      <c r="Z101" s="115"/>
      <c r="AA101" s="115"/>
      <c r="AB101" s="115"/>
      <c r="AC101" s="115"/>
      <c r="AD101" s="115"/>
      <c r="AE101" s="127"/>
      <c r="AF101" s="29"/>
    </row>
    <row r="102" spans="1:32" ht="19.5" x14ac:dyDescent="0.4">
      <c r="A102" s="117"/>
      <c r="B102" s="123"/>
      <c r="C102" s="123"/>
      <c r="D102" s="123"/>
      <c r="H102" s="115"/>
      <c r="I102" s="115"/>
      <c r="J102" s="115"/>
      <c r="K102" s="115"/>
      <c r="L102" s="115"/>
      <c r="M102" s="115"/>
      <c r="N102" s="25">
        <v>45563</v>
      </c>
      <c r="O102" s="15" t="s">
        <v>147</v>
      </c>
      <c r="V102" s="115"/>
      <c r="W102" s="115"/>
      <c r="X102" s="115"/>
      <c r="Y102" s="115"/>
      <c r="Z102" s="115"/>
      <c r="AA102" s="115"/>
      <c r="AB102" s="115"/>
      <c r="AC102" s="115"/>
      <c r="AD102" s="115"/>
      <c r="AE102" s="127"/>
      <c r="AF102" s="29"/>
    </row>
    <row r="103" spans="1:32" ht="19.5" x14ac:dyDescent="0.4">
      <c r="A103" s="117"/>
      <c r="B103" s="123"/>
      <c r="C103" s="123"/>
      <c r="D103" s="123"/>
      <c r="H103" s="115"/>
      <c r="I103" s="115"/>
      <c r="J103" s="115"/>
      <c r="K103" s="115"/>
      <c r="L103" s="115"/>
      <c r="M103" s="115"/>
      <c r="N103" s="25">
        <v>45563</v>
      </c>
      <c r="O103" s="15" t="s">
        <v>147</v>
      </c>
      <c r="V103" s="115"/>
      <c r="W103" s="115"/>
      <c r="X103" s="115"/>
      <c r="Y103" s="115"/>
      <c r="Z103" s="115"/>
      <c r="AA103" s="115"/>
      <c r="AB103" s="115"/>
      <c r="AC103" s="115"/>
      <c r="AD103" s="115"/>
      <c r="AE103" s="127"/>
      <c r="AF103" s="29"/>
    </row>
    <row r="104" spans="1:32" ht="19.5" x14ac:dyDescent="0.4">
      <c r="A104" s="117"/>
      <c r="B104" s="123"/>
      <c r="C104" s="123"/>
      <c r="D104" s="123"/>
      <c r="H104" s="115"/>
      <c r="I104" s="115"/>
      <c r="J104" s="115"/>
      <c r="K104" s="115"/>
      <c r="L104" s="115"/>
      <c r="M104" s="115"/>
      <c r="N104" s="25">
        <v>45563</v>
      </c>
      <c r="O104" s="15" t="s">
        <v>146</v>
      </c>
      <c r="V104" s="115"/>
      <c r="W104" s="115"/>
      <c r="X104" s="115"/>
      <c r="Y104" s="115"/>
      <c r="Z104" s="115"/>
      <c r="AA104" s="115"/>
      <c r="AB104" s="115"/>
      <c r="AC104" s="115"/>
      <c r="AD104" s="115"/>
      <c r="AE104" s="127"/>
      <c r="AF104" s="29"/>
    </row>
    <row r="105" spans="1:32" ht="19.5" x14ac:dyDescent="0.4">
      <c r="A105" s="117"/>
      <c r="B105" s="123"/>
      <c r="C105" s="123"/>
      <c r="D105" s="123"/>
      <c r="H105" s="115"/>
      <c r="I105" s="115"/>
      <c r="J105" s="115"/>
      <c r="K105" s="115"/>
      <c r="L105" s="115"/>
      <c r="M105" s="115"/>
      <c r="N105" s="25">
        <v>45550</v>
      </c>
      <c r="O105" s="15" t="s">
        <v>146</v>
      </c>
      <c r="V105" s="115"/>
      <c r="W105" s="115"/>
      <c r="X105" s="115"/>
      <c r="Y105" s="115"/>
      <c r="Z105" s="115"/>
      <c r="AA105" s="115"/>
      <c r="AB105" s="115"/>
      <c r="AC105" s="115"/>
      <c r="AD105" s="115"/>
      <c r="AE105" s="127"/>
      <c r="AF105" s="29"/>
    </row>
    <row r="106" spans="1:32" ht="19.5" x14ac:dyDescent="0.4">
      <c r="A106" s="117"/>
      <c r="B106" s="123"/>
      <c r="C106" s="123"/>
      <c r="D106" s="123"/>
      <c r="H106" s="115"/>
      <c r="I106" s="115"/>
      <c r="J106" s="115"/>
      <c r="K106" s="115"/>
      <c r="L106" s="115"/>
      <c r="M106" s="115"/>
      <c r="N106" s="25">
        <v>45550</v>
      </c>
      <c r="O106" s="15" t="s">
        <v>146</v>
      </c>
      <c r="V106" s="115"/>
      <c r="W106" s="115"/>
      <c r="X106" s="115"/>
      <c r="Y106" s="115"/>
      <c r="Z106" s="115"/>
      <c r="AA106" s="115"/>
      <c r="AB106" s="115"/>
      <c r="AC106" s="115"/>
      <c r="AD106" s="115"/>
      <c r="AE106" s="127"/>
      <c r="AF106" s="29"/>
    </row>
    <row r="107" spans="1:32" ht="19.5" x14ac:dyDescent="0.4">
      <c r="A107" s="117"/>
      <c r="B107" s="123"/>
      <c r="C107" s="123"/>
      <c r="D107" s="123"/>
      <c r="H107" s="115"/>
      <c r="I107" s="115"/>
      <c r="J107" s="115"/>
      <c r="K107" s="115"/>
      <c r="L107" s="115"/>
      <c r="M107" s="115"/>
      <c r="N107" s="26">
        <v>45567</v>
      </c>
      <c r="O107" s="13" t="s">
        <v>146</v>
      </c>
      <c r="V107" s="115"/>
      <c r="W107" s="115"/>
      <c r="X107" s="115"/>
      <c r="Y107" s="115"/>
      <c r="Z107" s="115"/>
      <c r="AA107" s="115"/>
      <c r="AB107" s="115"/>
      <c r="AC107" s="115"/>
      <c r="AD107" s="115"/>
      <c r="AE107" s="127"/>
      <c r="AF107" s="29"/>
    </row>
    <row r="108" spans="1:32" ht="19.5" x14ac:dyDescent="0.4">
      <c r="A108" s="117"/>
      <c r="B108" s="123"/>
      <c r="C108" s="123"/>
      <c r="D108" s="123"/>
      <c r="H108" s="115"/>
      <c r="I108" s="115"/>
      <c r="J108" s="115"/>
      <c r="K108" s="115"/>
      <c r="L108" s="115"/>
      <c r="M108" s="115"/>
      <c r="N108" s="26">
        <v>45567</v>
      </c>
      <c r="O108" s="13" t="s">
        <v>146</v>
      </c>
      <c r="V108" s="115"/>
      <c r="W108" s="115"/>
      <c r="X108" s="115"/>
      <c r="Y108" s="115"/>
      <c r="Z108" s="115"/>
      <c r="AA108" s="115"/>
      <c r="AB108" s="115"/>
      <c r="AC108" s="115"/>
      <c r="AD108" s="115"/>
      <c r="AE108" s="127"/>
      <c r="AF108" s="29"/>
    </row>
    <row r="109" spans="1:32" ht="19.5" x14ac:dyDescent="0.4">
      <c r="A109" s="117"/>
      <c r="B109" s="123"/>
      <c r="C109" s="123"/>
      <c r="D109" s="123"/>
      <c r="H109" s="115"/>
      <c r="I109" s="115"/>
      <c r="J109" s="115"/>
      <c r="K109" s="115"/>
      <c r="L109" s="115"/>
      <c r="M109" s="115"/>
      <c r="N109" s="26">
        <v>45567</v>
      </c>
      <c r="O109" s="13" t="s">
        <v>146</v>
      </c>
      <c r="V109" s="115"/>
      <c r="W109" s="115"/>
      <c r="X109" s="115"/>
      <c r="Y109" s="115"/>
      <c r="Z109" s="115"/>
      <c r="AA109" s="115"/>
      <c r="AB109" s="115"/>
      <c r="AC109" s="115"/>
      <c r="AD109" s="115"/>
      <c r="AE109" s="127"/>
      <c r="AF109" s="29"/>
    </row>
    <row r="110" spans="1:32" ht="19.5" x14ac:dyDescent="0.4">
      <c r="A110" s="117"/>
      <c r="B110" s="123"/>
      <c r="C110" s="123"/>
      <c r="D110" s="123"/>
      <c r="H110" s="115"/>
      <c r="I110" s="115"/>
      <c r="J110" s="115"/>
      <c r="K110" s="115"/>
      <c r="L110" s="115"/>
      <c r="M110" s="115"/>
      <c r="N110" s="26">
        <v>45567</v>
      </c>
      <c r="O110" s="13" t="s">
        <v>146</v>
      </c>
      <c r="V110" s="115"/>
      <c r="W110" s="115"/>
      <c r="X110" s="115"/>
      <c r="Y110" s="115"/>
      <c r="Z110" s="115"/>
      <c r="AA110" s="115"/>
      <c r="AB110" s="115"/>
      <c r="AC110" s="115"/>
      <c r="AD110" s="115"/>
      <c r="AE110" s="127"/>
      <c r="AF110" s="29"/>
    </row>
    <row r="111" spans="1:32" ht="19.5" x14ac:dyDescent="0.4">
      <c r="A111" s="117"/>
      <c r="B111" s="123"/>
      <c r="C111" s="123"/>
      <c r="D111" s="123"/>
      <c r="H111" s="115"/>
      <c r="I111" s="115"/>
      <c r="J111" s="115"/>
      <c r="K111" s="115"/>
      <c r="L111" s="115"/>
      <c r="M111" s="115"/>
      <c r="N111" s="26">
        <v>45567</v>
      </c>
      <c r="O111" s="13" t="s">
        <v>146</v>
      </c>
      <c r="V111" s="115"/>
      <c r="W111" s="115"/>
      <c r="X111" s="115"/>
      <c r="Y111" s="115"/>
      <c r="Z111" s="115"/>
      <c r="AA111" s="115"/>
      <c r="AB111" s="115"/>
      <c r="AC111" s="115"/>
      <c r="AD111" s="115"/>
      <c r="AE111" s="127"/>
      <c r="AF111" s="29"/>
    </row>
    <row r="112" spans="1:32" ht="19.5" x14ac:dyDescent="0.4">
      <c r="A112" s="117"/>
      <c r="B112" s="123"/>
      <c r="C112" s="123"/>
      <c r="D112" s="123"/>
      <c r="H112" s="115"/>
      <c r="I112" s="115"/>
      <c r="J112" s="115"/>
      <c r="K112" s="115"/>
      <c r="L112" s="115"/>
      <c r="M112" s="115"/>
      <c r="N112" s="26">
        <v>45573</v>
      </c>
      <c r="O112" s="13" t="s">
        <v>146</v>
      </c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27"/>
      <c r="AF112" s="29"/>
    </row>
    <row r="113" spans="1:32" ht="19.5" x14ac:dyDescent="0.4">
      <c r="A113" s="117"/>
      <c r="B113" s="123"/>
      <c r="C113" s="123"/>
      <c r="D113" s="123"/>
      <c r="H113" s="115"/>
      <c r="I113" s="115"/>
      <c r="J113" s="115"/>
      <c r="K113" s="115"/>
      <c r="L113" s="115"/>
      <c r="M113" s="115"/>
      <c r="N113" s="26">
        <v>45573</v>
      </c>
      <c r="O113" s="13" t="s">
        <v>146</v>
      </c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15"/>
      <c r="AE113" s="127"/>
      <c r="AF113" s="29"/>
    </row>
    <row r="114" spans="1:32" ht="19.5" x14ac:dyDescent="0.4">
      <c r="A114" s="117"/>
      <c r="B114" s="123"/>
      <c r="C114" s="123"/>
      <c r="D114" s="123"/>
      <c r="H114" s="115"/>
      <c r="I114" s="115"/>
      <c r="J114" s="115"/>
      <c r="K114" s="115"/>
      <c r="L114" s="115"/>
      <c r="M114" s="115"/>
      <c r="N114" s="26">
        <v>45573</v>
      </c>
      <c r="O114" s="13" t="s">
        <v>146</v>
      </c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15"/>
      <c r="AE114" s="29"/>
      <c r="AF114" s="29"/>
    </row>
    <row r="115" spans="1:32" ht="19.5" x14ac:dyDescent="0.4">
      <c r="A115" s="117"/>
      <c r="B115" s="123"/>
      <c r="C115" s="123"/>
      <c r="D115" s="123"/>
      <c r="H115" s="115"/>
      <c r="I115" s="115"/>
      <c r="J115" s="115"/>
      <c r="K115" s="115"/>
      <c r="L115" s="115"/>
      <c r="M115" s="115"/>
      <c r="N115" s="25"/>
      <c r="O115" s="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15"/>
      <c r="AE115" s="127"/>
      <c r="AF115" s="29"/>
    </row>
    <row r="116" spans="1:32" ht="19.5" x14ac:dyDescent="0.4">
      <c r="A116" s="117"/>
      <c r="B116" s="123"/>
      <c r="C116" s="123"/>
      <c r="D116" s="123"/>
      <c r="H116" s="115"/>
      <c r="I116" s="115"/>
      <c r="J116" s="115"/>
      <c r="K116" s="115"/>
      <c r="L116" s="115"/>
      <c r="M116" s="115"/>
      <c r="N116" s="26"/>
      <c r="O116" s="13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27"/>
      <c r="AF116" s="29"/>
    </row>
    <row r="117" spans="1:32" ht="19.5" x14ac:dyDescent="0.4">
      <c r="A117" s="117"/>
      <c r="B117" s="123"/>
      <c r="C117" s="123"/>
      <c r="D117" s="123"/>
      <c r="H117" s="115"/>
      <c r="I117" s="115"/>
      <c r="J117" s="115"/>
      <c r="K117" s="115"/>
      <c r="L117" s="115"/>
      <c r="M117" s="115"/>
      <c r="N117" s="26"/>
      <c r="O117" s="13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27"/>
      <c r="AF117" s="29"/>
    </row>
    <row r="118" spans="1:32" ht="19.5" x14ac:dyDescent="0.4">
      <c r="A118" s="117"/>
      <c r="B118" s="123"/>
      <c r="C118" s="123"/>
      <c r="D118" s="123"/>
      <c r="H118" s="115"/>
      <c r="I118" s="115"/>
      <c r="J118" s="115"/>
      <c r="K118" s="115"/>
      <c r="L118" s="115"/>
      <c r="M118" s="115"/>
      <c r="N118" s="26"/>
      <c r="O118" s="13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29"/>
      <c r="AF118" s="29"/>
    </row>
    <row r="119" spans="1:32" ht="19.5" x14ac:dyDescent="0.4">
      <c r="A119" s="117"/>
      <c r="B119" s="123"/>
      <c r="C119" s="123"/>
      <c r="D119" s="123"/>
      <c r="H119" s="115"/>
      <c r="I119" s="115"/>
      <c r="J119" s="115"/>
      <c r="K119" s="115"/>
      <c r="L119" s="115"/>
      <c r="M119" s="115"/>
      <c r="N119" s="26"/>
      <c r="O119" s="13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29"/>
      <c r="AF119" s="29"/>
    </row>
    <row r="120" spans="1:32" ht="19.5" x14ac:dyDescent="0.4">
      <c r="A120" s="117"/>
      <c r="B120" s="123"/>
      <c r="C120" s="123"/>
      <c r="D120" s="123"/>
      <c r="H120" s="115"/>
      <c r="I120" s="115"/>
      <c r="J120" s="115"/>
      <c r="K120" s="115"/>
      <c r="L120" s="115"/>
      <c r="M120" s="115"/>
      <c r="N120" s="26"/>
      <c r="O120" s="13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15"/>
      <c r="AE120" s="29"/>
      <c r="AF120" s="29"/>
    </row>
    <row r="121" spans="1:32" ht="19.5" x14ac:dyDescent="0.4">
      <c r="A121" s="117"/>
      <c r="B121" s="123"/>
      <c r="C121" s="123"/>
      <c r="D121" s="123"/>
      <c r="H121" s="115"/>
      <c r="I121" s="115"/>
      <c r="J121" s="115"/>
      <c r="K121" s="115"/>
      <c r="L121" s="115"/>
      <c r="M121" s="115"/>
      <c r="N121" s="26"/>
      <c r="O121" s="13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15"/>
      <c r="AE121" s="29"/>
      <c r="AF121" s="29"/>
    </row>
    <row r="122" spans="1:32" ht="19.5" x14ac:dyDescent="0.4">
      <c r="A122" s="117"/>
      <c r="B122" s="123"/>
      <c r="C122" s="123"/>
      <c r="D122" s="123"/>
      <c r="H122" s="115"/>
      <c r="I122" s="115"/>
      <c r="J122" s="115"/>
      <c r="K122" s="115"/>
      <c r="L122" s="115"/>
      <c r="M122" s="115"/>
      <c r="N122" s="26"/>
      <c r="O122" s="13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27"/>
      <c r="AF122" s="29"/>
    </row>
    <row r="123" spans="1:32" ht="19.5" x14ac:dyDescent="0.4">
      <c r="A123" s="117"/>
      <c r="B123" s="123"/>
      <c r="C123" s="123"/>
      <c r="D123" s="123"/>
      <c r="H123" s="115"/>
      <c r="I123" s="115"/>
      <c r="J123" s="115"/>
      <c r="K123" s="115"/>
      <c r="L123" s="115"/>
      <c r="M123" s="115"/>
      <c r="N123" s="17"/>
      <c r="O123" s="13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15"/>
      <c r="AE123" s="127"/>
      <c r="AF123" s="29"/>
    </row>
    <row r="124" spans="1:32" ht="19.5" x14ac:dyDescent="0.4">
      <c r="A124" s="117"/>
      <c r="B124" s="123"/>
      <c r="C124" s="123"/>
      <c r="D124" s="123"/>
      <c r="H124" s="115"/>
      <c r="I124" s="115"/>
      <c r="J124" s="115"/>
      <c r="K124" s="115"/>
      <c r="L124" s="115"/>
      <c r="M124" s="115"/>
      <c r="N124" s="26"/>
      <c r="O124" s="13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/>
      <c r="AD124" s="115"/>
      <c r="AE124" s="127"/>
      <c r="AF124" s="29"/>
    </row>
    <row r="125" spans="1:32" ht="19.5" x14ac:dyDescent="0.4">
      <c r="A125" s="117"/>
      <c r="B125" s="123"/>
      <c r="C125" s="123"/>
      <c r="D125" s="123"/>
      <c r="H125" s="115"/>
      <c r="I125" s="115"/>
      <c r="J125" s="115"/>
      <c r="K125" s="115"/>
      <c r="L125" s="115"/>
      <c r="M125" s="115"/>
      <c r="N125" s="26"/>
      <c r="O125" s="13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15"/>
      <c r="AE125" s="127"/>
      <c r="AF125" s="29"/>
    </row>
    <row r="126" spans="1:32" ht="19.5" x14ac:dyDescent="0.4">
      <c r="A126" s="117"/>
      <c r="B126" s="123"/>
      <c r="C126" s="123"/>
      <c r="D126" s="123"/>
      <c r="H126" s="115"/>
      <c r="I126" s="115"/>
      <c r="J126" s="115"/>
      <c r="K126" s="115"/>
      <c r="L126" s="115"/>
      <c r="M126" s="115"/>
      <c r="N126" s="26"/>
      <c r="O126" s="13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15"/>
      <c r="AE126" s="127"/>
      <c r="AF126" s="29"/>
    </row>
    <row r="127" spans="1:32" ht="19.5" x14ac:dyDescent="0.4">
      <c r="A127" s="117"/>
      <c r="B127" s="123"/>
      <c r="C127" s="123"/>
      <c r="D127" s="123"/>
      <c r="H127" s="115"/>
      <c r="I127" s="115"/>
      <c r="J127" s="115"/>
      <c r="K127" s="115"/>
      <c r="L127" s="115"/>
      <c r="M127" s="115"/>
      <c r="N127" s="26"/>
      <c r="O127" s="13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15"/>
      <c r="AE127" s="127"/>
      <c r="AF127" s="29"/>
    </row>
    <row r="128" spans="1:32" ht="19.5" x14ac:dyDescent="0.4">
      <c r="A128" s="117"/>
      <c r="B128" s="123"/>
      <c r="C128" s="123"/>
      <c r="D128" s="123"/>
      <c r="H128" s="115"/>
      <c r="I128" s="115"/>
      <c r="J128" s="115"/>
      <c r="K128" s="115"/>
      <c r="L128" s="115"/>
      <c r="M128" s="115"/>
      <c r="N128" s="26"/>
      <c r="O128" s="13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15"/>
      <c r="AE128" s="127"/>
      <c r="AF128" s="29"/>
    </row>
    <row r="129" spans="1:32" ht="19.5" x14ac:dyDescent="0.4">
      <c r="A129" s="117"/>
      <c r="B129" s="123"/>
      <c r="C129" s="123"/>
      <c r="D129" s="123"/>
      <c r="H129" s="115"/>
      <c r="I129" s="115"/>
      <c r="J129" s="115"/>
      <c r="K129" s="115"/>
      <c r="L129" s="115"/>
      <c r="M129" s="115"/>
      <c r="N129" s="26"/>
      <c r="O129" s="13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15"/>
      <c r="AE129" s="127"/>
      <c r="AF129" s="29"/>
    </row>
    <row r="130" spans="1:32" ht="19.5" x14ac:dyDescent="0.4">
      <c r="A130" s="117"/>
      <c r="B130" s="123"/>
      <c r="C130" s="123"/>
      <c r="D130" s="123"/>
      <c r="H130" s="115"/>
      <c r="I130" s="115"/>
      <c r="J130" s="115"/>
      <c r="K130" s="115"/>
      <c r="L130" s="115"/>
      <c r="M130" s="115"/>
      <c r="N130" s="17"/>
      <c r="O130" s="13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115"/>
      <c r="AE130" s="127"/>
      <c r="AF130" s="29"/>
    </row>
    <row r="131" spans="1:32" ht="19.5" x14ac:dyDescent="0.4">
      <c r="A131" s="117"/>
      <c r="B131" s="123"/>
      <c r="C131" s="123"/>
      <c r="D131" s="123"/>
      <c r="H131" s="115"/>
      <c r="I131" s="115"/>
      <c r="J131" s="115"/>
      <c r="K131" s="115"/>
      <c r="L131" s="115"/>
      <c r="M131" s="115"/>
      <c r="N131" s="26"/>
      <c r="O131" s="13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115"/>
      <c r="AE131" s="127"/>
      <c r="AF131" s="29"/>
    </row>
    <row r="132" spans="1:32" ht="19.5" x14ac:dyDescent="0.4">
      <c r="A132" s="117"/>
      <c r="B132" s="123"/>
      <c r="C132" s="123"/>
      <c r="D132" s="123"/>
      <c r="H132" s="115"/>
      <c r="I132" s="115"/>
      <c r="J132" s="115"/>
      <c r="K132" s="115"/>
      <c r="L132" s="115"/>
      <c r="M132" s="115"/>
      <c r="N132" s="26"/>
      <c r="O132" s="13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15"/>
      <c r="AE132" s="127"/>
      <c r="AF132" s="29"/>
    </row>
    <row r="133" spans="1:32" ht="19.5" x14ac:dyDescent="0.4">
      <c r="A133" s="117"/>
      <c r="B133" s="123"/>
      <c r="C133" s="123"/>
      <c r="D133" s="123"/>
      <c r="H133" s="115"/>
      <c r="I133" s="115"/>
      <c r="J133" s="115"/>
      <c r="K133" s="115"/>
      <c r="L133" s="115"/>
      <c r="M133" s="115"/>
      <c r="N133" s="26"/>
      <c r="O133" s="13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15"/>
      <c r="AE133" s="127"/>
      <c r="AF133" s="29"/>
    </row>
    <row r="134" spans="1:32" ht="19.5" x14ac:dyDescent="0.4">
      <c r="A134" s="117"/>
      <c r="B134" s="123"/>
      <c r="C134" s="123"/>
      <c r="D134" s="123"/>
      <c r="H134" s="115"/>
      <c r="I134" s="115"/>
      <c r="J134" s="115"/>
      <c r="K134" s="115"/>
      <c r="L134" s="115"/>
      <c r="M134" s="115"/>
      <c r="N134" s="26"/>
      <c r="O134" s="13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115"/>
      <c r="AE134" s="127"/>
      <c r="AF134" s="29"/>
    </row>
    <row r="135" spans="1:32" ht="19.5" x14ac:dyDescent="0.4">
      <c r="A135" s="117"/>
      <c r="B135" s="123"/>
      <c r="C135" s="123"/>
      <c r="D135" s="123"/>
      <c r="H135" s="115"/>
      <c r="I135" s="115"/>
      <c r="J135" s="115"/>
      <c r="K135" s="115"/>
      <c r="L135" s="115"/>
      <c r="M135" s="115"/>
      <c r="N135" s="26"/>
      <c r="O135" s="13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115"/>
      <c r="AE135" s="127"/>
      <c r="AF135" s="29"/>
    </row>
    <row r="136" spans="1:32" ht="19.5" x14ac:dyDescent="0.4">
      <c r="A136" s="117"/>
      <c r="B136" s="123"/>
      <c r="C136" s="123"/>
      <c r="D136" s="123"/>
      <c r="H136" s="115"/>
      <c r="I136" s="115"/>
      <c r="J136" s="115"/>
      <c r="K136" s="115"/>
      <c r="L136" s="115"/>
      <c r="M136" s="115"/>
      <c r="N136" s="26"/>
      <c r="O136" s="13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15"/>
      <c r="AE136" s="127"/>
      <c r="AF136" s="29"/>
    </row>
    <row r="137" spans="1:32" ht="19.5" x14ac:dyDescent="0.4">
      <c r="A137" s="117"/>
      <c r="B137" s="123"/>
      <c r="C137" s="123"/>
      <c r="D137" s="123"/>
      <c r="H137" s="115"/>
      <c r="I137" s="115"/>
      <c r="J137" s="115"/>
      <c r="K137" s="115"/>
      <c r="L137" s="115"/>
      <c r="M137" s="115"/>
      <c r="N137" s="26"/>
      <c r="O137" s="13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27"/>
      <c r="AF137" s="29"/>
    </row>
    <row r="138" spans="1:32" ht="19.5" x14ac:dyDescent="0.4">
      <c r="A138" s="117"/>
      <c r="B138" s="123"/>
      <c r="C138" s="123"/>
      <c r="D138" s="123"/>
      <c r="H138" s="115"/>
      <c r="I138" s="115"/>
      <c r="J138" s="115"/>
      <c r="K138" s="115"/>
      <c r="L138" s="115"/>
      <c r="M138" s="115"/>
      <c r="N138" s="26"/>
      <c r="O138" s="13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15"/>
      <c r="AE138" s="127"/>
      <c r="AF138" s="29"/>
    </row>
    <row r="139" spans="1:32" ht="19.5" x14ac:dyDescent="0.4">
      <c r="A139" s="117"/>
      <c r="B139" s="123"/>
      <c r="C139" s="123"/>
      <c r="D139" s="123"/>
      <c r="H139" s="115"/>
      <c r="I139" s="115"/>
      <c r="J139" s="115"/>
      <c r="K139" s="115"/>
      <c r="L139" s="115"/>
      <c r="M139" s="115"/>
      <c r="N139" s="26"/>
      <c r="O139" s="13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27"/>
      <c r="AF139" s="29"/>
    </row>
    <row r="140" spans="1:32" ht="19.5" x14ac:dyDescent="0.4">
      <c r="A140" s="117"/>
      <c r="B140" s="123"/>
      <c r="C140" s="123"/>
      <c r="D140" s="123"/>
      <c r="H140" s="115"/>
      <c r="I140" s="115"/>
      <c r="J140" s="115"/>
      <c r="K140" s="115"/>
      <c r="L140" s="115"/>
      <c r="M140" s="115"/>
      <c r="N140" s="26"/>
      <c r="O140" s="13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15"/>
      <c r="AE140" s="29"/>
      <c r="AF140" s="29"/>
    </row>
    <row r="141" spans="1:32" ht="19.5" x14ac:dyDescent="0.4">
      <c r="A141" s="117"/>
      <c r="B141" s="123"/>
      <c r="C141" s="123"/>
      <c r="D141" s="123"/>
      <c r="H141" s="115"/>
      <c r="I141" s="115"/>
      <c r="J141" s="115"/>
      <c r="K141" s="115"/>
      <c r="L141" s="115"/>
      <c r="M141" s="115"/>
      <c r="N141" s="17"/>
      <c r="O141" s="13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29"/>
      <c r="AF141" s="29"/>
    </row>
    <row r="142" spans="1:32" ht="19.5" x14ac:dyDescent="0.4">
      <c r="A142" s="117"/>
      <c r="B142" s="123"/>
      <c r="C142" s="123"/>
      <c r="D142" s="123"/>
      <c r="H142" s="115"/>
      <c r="I142" s="115"/>
      <c r="J142" s="115"/>
      <c r="K142" s="115"/>
      <c r="L142" s="115"/>
      <c r="M142" s="115"/>
      <c r="N142" s="26"/>
      <c r="O142" s="13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15"/>
      <c r="AE142" s="29"/>
      <c r="AF142" s="29"/>
    </row>
    <row r="143" spans="1:32" ht="19.5" x14ac:dyDescent="0.4">
      <c r="A143" s="117"/>
      <c r="B143" s="123"/>
      <c r="C143" s="123"/>
      <c r="D143" s="123"/>
      <c r="H143" s="115"/>
      <c r="I143" s="115"/>
      <c r="J143" s="115"/>
      <c r="K143" s="115"/>
      <c r="L143" s="115"/>
      <c r="M143" s="115"/>
      <c r="N143" s="26"/>
      <c r="O143" s="13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15"/>
      <c r="AE143" s="127"/>
      <c r="AF143" s="29"/>
    </row>
    <row r="144" spans="1:32" ht="19.5" x14ac:dyDescent="0.4">
      <c r="A144" s="117"/>
      <c r="B144" s="123"/>
      <c r="C144" s="123"/>
      <c r="D144" s="123"/>
      <c r="H144" s="115"/>
      <c r="I144" s="115"/>
      <c r="J144" s="115"/>
      <c r="K144" s="115"/>
      <c r="L144" s="115"/>
      <c r="M144" s="115"/>
      <c r="N144" s="26"/>
      <c r="O144" s="13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15"/>
      <c r="AE144" s="127"/>
      <c r="AF144" s="29"/>
    </row>
    <row r="145" spans="1:32" ht="19.5" x14ac:dyDescent="0.4">
      <c r="A145" s="117"/>
      <c r="B145" s="123"/>
      <c r="C145" s="123"/>
      <c r="D145" s="123"/>
      <c r="H145" s="115"/>
      <c r="I145" s="115"/>
      <c r="J145" s="115"/>
      <c r="K145" s="115"/>
      <c r="L145" s="115"/>
      <c r="M145" s="115"/>
      <c r="N145" s="26"/>
      <c r="O145" s="13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15"/>
      <c r="AE145" s="127"/>
      <c r="AF145" s="29"/>
    </row>
    <row r="146" spans="1:32" ht="19.5" x14ac:dyDescent="0.4">
      <c r="A146" s="117"/>
      <c r="B146" s="123"/>
      <c r="C146" s="123"/>
      <c r="D146" s="123"/>
      <c r="H146" s="115"/>
      <c r="I146" s="115"/>
      <c r="J146" s="115"/>
      <c r="K146" s="115"/>
      <c r="L146" s="115"/>
      <c r="M146" s="115"/>
      <c r="N146" s="17"/>
      <c r="O146" s="13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15"/>
      <c r="AE146" s="127"/>
      <c r="AF146" s="29"/>
    </row>
    <row r="147" spans="1:32" ht="19.5" x14ac:dyDescent="0.4">
      <c r="A147" s="117"/>
      <c r="B147" s="123"/>
      <c r="C147" s="123"/>
      <c r="D147" s="123"/>
      <c r="H147" s="115"/>
      <c r="I147" s="115"/>
      <c r="J147" s="115"/>
      <c r="K147" s="115"/>
      <c r="L147" s="115"/>
      <c r="M147" s="115"/>
      <c r="N147" s="26"/>
      <c r="O147" s="13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15"/>
      <c r="AE147" s="127"/>
      <c r="AF147" s="29"/>
    </row>
    <row r="148" spans="1:32" ht="19.5" x14ac:dyDescent="0.4">
      <c r="A148" s="117"/>
      <c r="B148" s="123"/>
      <c r="C148" s="123"/>
      <c r="D148" s="123"/>
      <c r="H148" s="115"/>
      <c r="I148" s="115"/>
      <c r="J148" s="115"/>
      <c r="K148" s="115"/>
      <c r="L148" s="115"/>
      <c r="M148" s="115"/>
      <c r="N148" s="17"/>
      <c r="O148" s="13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27"/>
      <c r="AF148" s="29"/>
    </row>
    <row r="149" spans="1:32" ht="19.5" x14ac:dyDescent="0.4">
      <c r="A149" s="117"/>
      <c r="B149" s="123"/>
      <c r="C149" s="123"/>
      <c r="D149" s="123"/>
      <c r="H149" s="115"/>
      <c r="I149" s="115"/>
      <c r="J149" s="115"/>
      <c r="K149" s="115"/>
      <c r="L149" s="115"/>
      <c r="M149" s="115"/>
      <c r="N149" s="26"/>
      <c r="O149" s="13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15"/>
      <c r="AE149" s="29"/>
      <c r="AF149" s="29"/>
    </row>
    <row r="150" spans="1:32" ht="19.5" x14ac:dyDescent="0.4">
      <c r="A150" s="117"/>
      <c r="B150" s="123"/>
      <c r="C150" s="123"/>
      <c r="D150" s="123"/>
      <c r="H150" s="115"/>
      <c r="I150" s="115"/>
      <c r="J150" s="115"/>
      <c r="K150" s="115"/>
      <c r="L150" s="115"/>
      <c r="M150" s="115"/>
      <c r="N150" s="26"/>
      <c r="O150" s="13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115"/>
      <c r="AE150" s="127"/>
      <c r="AF150" s="29"/>
    </row>
    <row r="151" spans="1:32" ht="19.5" x14ac:dyDescent="0.4">
      <c r="A151" s="117"/>
      <c r="B151" s="123"/>
      <c r="C151" s="123"/>
      <c r="D151" s="123"/>
      <c r="H151" s="115"/>
      <c r="I151" s="115"/>
      <c r="J151" s="115"/>
      <c r="K151" s="115"/>
      <c r="L151" s="115"/>
      <c r="M151" s="115"/>
      <c r="N151" s="17"/>
      <c r="O151" s="13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15"/>
      <c r="AE151" s="127"/>
      <c r="AF151" s="29"/>
    </row>
    <row r="152" spans="1:32" ht="19.5" x14ac:dyDescent="0.4">
      <c r="A152" s="117"/>
      <c r="B152" s="123"/>
      <c r="C152" s="123"/>
      <c r="D152" s="123"/>
      <c r="H152" s="115"/>
      <c r="I152" s="115"/>
      <c r="J152" s="115"/>
      <c r="K152" s="115"/>
      <c r="L152" s="115"/>
      <c r="M152" s="115"/>
      <c r="N152" s="26"/>
      <c r="O152" s="13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27"/>
      <c r="AF152" s="29"/>
    </row>
    <row r="153" spans="1:32" ht="19.5" x14ac:dyDescent="0.4">
      <c r="A153" s="117"/>
      <c r="B153" s="123"/>
      <c r="C153" s="123"/>
      <c r="D153" s="123"/>
      <c r="H153" s="115"/>
      <c r="I153" s="115"/>
      <c r="J153" s="115"/>
      <c r="K153" s="115"/>
      <c r="L153" s="115"/>
      <c r="M153" s="115"/>
      <c r="N153" s="26"/>
      <c r="O153" s="13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27"/>
      <c r="AF153" s="29"/>
    </row>
    <row r="154" spans="1:32" ht="19.5" x14ac:dyDescent="0.4">
      <c r="A154" s="117"/>
      <c r="B154" s="123"/>
      <c r="C154" s="123"/>
      <c r="D154" s="123"/>
      <c r="H154" s="115"/>
      <c r="I154" s="115"/>
      <c r="J154" s="115"/>
      <c r="K154" s="115"/>
      <c r="L154" s="115"/>
      <c r="M154" s="115"/>
      <c r="N154" s="26"/>
      <c r="O154" s="13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27"/>
      <c r="AF154" s="29"/>
    </row>
    <row r="155" spans="1:32" ht="19.5" x14ac:dyDescent="0.4">
      <c r="A155" s="117"/>
      <c r="B155" s="123"/>
      <c r="C155" s="123"/>
      <c r="D155" s="123"/>
      <c r="H155" s="115"/>
      <c r="I155" s="115"/>
      <c r="J155" s="115"/>
      <c r="K155" s="115"/>
      <c r="L155" s="115"/>
      <c r="M155" s="115"/>
      <c r="N155" s="26"/>
      <c r="O155" s="13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27"/>
      <c r="AF155" s="29"/>
    </row>
    <row r="156" spans="1:32" ht="19.5" x14ac:dyDescent="0.4">
      <c r="A156" s="117"/>
      <c r="B156" s="123"/>
      <c r="C156" s="123"/>
      <c r="D156" s="123"/>
      <c r="H156" s="115"/>
      <c r="I156" s="115"/>
      <c r="J156" s="115"/>
      <c r="K156" s="115"/>
      <c r="L156" s="115"/>
      <c r="M156" s="115"/>
      <c r="N156" s="26"/>
      <c r="O156" s="13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27"/>
      <c r="AF156" s="29"/>
    </row>
    <row r="157" spans="1:32" ht="19.5" x14ac:dyDescent="0.4">
      <c r="A157" s="117"/>
      <c r="B157" s="123"/>
      <c r="C157" s="123"/>
      <c r="D157" s="123"/>
      <c r="H157" s="115"/>
      <c r="I157" s="115"/>
      <c r="J157" s="115"/>
      <c r="K157" s="115"/>
      <c r="L157" s="115"/>
      <c r="M157" s="115"/>
      <c r="N157" s="26"/>
      <c r="O157" s="13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27"/>
      <c r="AF157" s="29"/>
    </row>
    <row r="158" spans="1:32" ht="19.5" x14ac:dyDescent="0.4">
      <c r="A158" s="117"/>
      <c r="B158" s="123"/>
      <c r="C158" s="123"/>
      <c r="D158" s="123"/>
      <c r="H158" s="115"/>
      <c r="I158" s="115"/>
      <c r="J158" s="115"/>
      <c r="K158" s="115"/>
      <c r="L158" s="115"/>
      <c r="M158" s="115"/>
      <c r="N158" s="26"/>
      <c r="O158" s="13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27"/>
      <c r="AF158" s="29"/>
    </row>
    <row r="159" spans="1:32" ht="19.5" x14ac:dyDescent="0.4">
      <c r="A159" s="117"/>
      <c r="B159" s="123"/>
      <c r="C159" s="123"/>
      <c r="D159" s="123"/>
      <c r="H159" s="115"/>
      <c r="I159" s="115"/>
      <c r="J159" s="115"/>
      <c r="K159" s="115"/>
      <c r="L159" s="115"/>
      <c r="M159" s="115"/>
      <c r="N159" s="26"/>
      <c r="O159" s="13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27"/>
      <c r="AF159" s="29"/>
    </row>
    <row r="160" spans="1:32" ht="19.5" x14ac:dyDescent="0.4">
      <c r="A160" s="117"/>
      <c r="B160" s="123"/>
      <c r="C160" s="123"/>
      <c r="D160" s="123"/>
      <c r="H160" s="115"/>
      <c r="I160" s="115"/>
      <c r="J160" s="115"/>
      <c r="K160" s="115"/>
      <c r="L160" s="115"/>
      <c r="M160" s="115"/>
      <c r="N160" s="17"/>
      <c r="O160" s="13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27"/>
      <c r="AF160" s="29"/>
    </row>
    <row r="161" spans="1:32" ht="19.5" x14ac:dyDescent="0.4">
      <c r="A161" s="117"/>
      <c r="B161" s="123"/>
      <c r="C161" s="123"/>
      <c r="D161" s="123"/>
      <c r="H161" s="115"/>
      <c r="I161" s="115"/>
      <c r="J161" s="115"/>
      <c r="K161" s="115"/>
      <c r="L161" s="115"/>
      <c r="M161" s="115"/>
      <c r="N161" s="26"/>
      <c r="O161" s="13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27"/>
      <c r="AF161" s="29"/>
    </row>
    <row r="162" spans="1:32" ht="19.5" x14ac:dyDescent="0.4">
      <c r="A162" s="117"/>
      <c r="B162" s="123"/>
      <c r="C162" s="123"/>
      <c r="D162" s="123"/>
      <c r="H162" s="115"/>
      <c r="I162" s="115"/>
      <c r="J162" s="115"/>
      <c r="K162" s="115"/>
      <c r="L162" s="115"/>
      <c r="M162" s="115"/>
      <c r="N162" s="26"/>
      <c r="O162" s="13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29"/>
      <c r="AF162" s="29"/>
    </row>
    <row r="163" spans="1:32" ht="19.5" x14ac:dyDescent="0.4">
      <c r="A163" s="117"/>
      <c r="B163" s="123"/>
      <c r="C163" s="123"/>
      <c r="D163" s="123"/>
      <c r="H163" s="115"/>
      <c r="I163" s="115"/>
      <c r="J163" s="115"/>
      <c r="K163" s="115"/>
      <c r="L163" s="115"/>
      <c r="M163" s="115"/>
      <c r="N163" s="26"/>
      <c r="O163" s="13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29"/>
      <c r="AF163" s="29"/>
    </row>
    <row r="164" spans="1:32" ht="19.5" x14ac:dyDescent="0.4">
      <c r="A164" s="117"/>
      <c r="B164" s="123"/>
      <c r="C164" s="123"/>
      <c r="D164" s="123"/>
      <c r="H164" s="115"/>
      <c r="I164" s="115"/>
      <c r="J164" s="115"/>
      <c r="K164" s="115"/>
      <c r="L164" s="115"/>
      <c r="M164" s="115"/>
      <c r="N164" s="17"/>
      <c r="O164" s="13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29"/>
      <c r="AF164" s="29"/>
    </row>
    <row r="165" spans="1:32" ht="19.5" x14ac:dyDescent="0.4">
      <c r="A165" s="117"/>
      <c r="B165" s="123"/>
      <c r="C165" s="123"/>
      <c r="D165" s="123"/>
      <c r="H165" s="115"/>
      <c r="I165" s="115"/>
      <c r="J165" s="115"/>
      <c r="K165" s="115"/>
      <c r="L165" s="115"/>
      <c r="M165" s="115"/>
      <c r="N165" s="26"/>
      <c r="O165" s="13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29"/>
      <c r="AF165" s="29"/>
    </row>
    <row r="166" spans="1:32" ht="19.5" x14ac:dyDescent="0.4">
      <c r="A166" s="117"/>
      <c r="B166" s="123"/>
      <c r="C166" s="123"/>
      <c r="D166" s="123"/>
      <c r="H166" s="115"/>
      <c r="I166" s="115"/>
      <c r="J166" s="115"/>
      <c r="K166" s="115"/>
      <c r="L166" s="115"/>
      <c r="M166" s="115"/>
      <c r="N166" s="17"/>
      <c r="O166" s="13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29"/>
      <c r="AF166" s="29"/>
    </row>
    <row r="167" spans="1:32" ht="19.5" x14ac:dyDescent="0.4">
      <c r="A167" s="117"/>
      <c r="B167" s="123"/>
      <c r="C167" s="123"/>
      <c r="D167" s="123"/>
      <c r="H167" s="115"/>
      <c r="I167" s="115"/>
      <c r="J167" s="115"/>
      <c r="K167" s="115"/>
      <c r="L167" s="115"/>
      <c r="M167" s="115"/>
      <c r="N167" s="26"/>
      <c r="O167" s="13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29"/>
      <c r="AF167" s="29"/>
    </row>
    <row r="168" spans="1:32" ht="19.5" x14ac:dyDescent="0.4">
      <c r="A168" s="117"/>
      <c r="B168" s="123"/>
      <c r="C168" s="123"/>
      <c r="D168" s="123"/>
      <c r="H168" s="115"/>
      <c r="I168" s="115"/>
      <c r="J168" s="115"/>
      <c r="K168" s="115"/>
      <c r="L168" s="115"/>
      <c r="M168" s="115"/>
      <c r="N168" s="26"/>
      <c r="O168" s="2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29"/>
      <c r="AF168" s="29"/>
    </row>
    <row r="169" spans="1:32" ht="19.5" x14ac:dyDescent="0.4">
      <c r="A169" s="117"/>
      <c r="B169" s="123"/>
      <c r="C169" s="123"/>
      <c r="D169" s="123"/>
      <c r="H169" s="115"/>
      <c r="I169" s="115"/>
      <c r="J169" s="115"/>
      <c r="K169" s="115"/>
      <c r="L169" s="115"/>
      <c r="M169" s="115"/>
      <c r="N169" s="26"/>
      <c r="O169" s="2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27"/>
      <c r="AF169" s="29"/>
    </row>
    <row r="170" spans="1:32" ht="19.5" x14ac:dyDescent="0.4">
      <c r="A170" s="117"/>
      <c r="B170" s="123"/>
      <c r="C170" s="123"/>
      <c r="D170" s="123"/>
      <c r="H170" s="115"/>
      <c r="I170" s="115"/>
      <c r="J170" s="115"/>
      <c r="K170" s="115"/>
      <c r="L170" s="115"/>
      <c r="M170" s="115"/>
      <c r="N170" s="26"/>
      <c r="O170" s="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15"/>
      <c r="AE170" s="127"/>
      <c r="AF170" s="29"/>
    </row>
    <row r="171" spans="1:32" ht="19.5" x14ac:dyDescent="0.4">
      <c r="A171" s="117"/>
      <c r="B171" s="123"/>
      <c r="C171" s="123"/>
      <c r="D171" s="123"/>
      <c r="H171" s="115"/>
      <c r="I171" s="115"/>
      <c r="J171" s="115"/>
      <c r="K171" s="115"/>
      <c r="L171" s="115"/>
      <c r="M171" s="115"/>
      <c r="N171" s="26"/>
      <c r="O171" s="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15"/>
      <c r="AE171" s="127"/>
      <c r="AF171" s="29"/>
    </row>
    <row r="172" spans="1:32" ht="19.5" x14ac:dyDescent="0.4">
      <c r="A172" s="117"/>
      <c r="B172" s="123"/>
      <c r="C172" s="123"/>
      <c r="D172" s="123"/>
      <c r="H172" s="115"/>
      <c r="I172" s="115"/>
      <c r="J172" s="115"/>
      <c r="K172" s="115"/>
      <c r="L172" s="115"/>
      <c r="M172" s="115"/>
      <c r="N172" s="26"/>
      <c r="O172" s="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15"/>
      <c r="AE172" s="127"/>
      <c r="AF172" s="29"/>
    </row>
    <row r="173" spans="1:32" ht="19.5" x14ac:dyDescent="0.4">
      <c r="A173" s="117"/>
      <c r="B173" s="123"/>
      <c r="C173" s="123"/>
      <c r="D173" s="123"/>
      <c r="H173" s="115"/>
      <c r="I173" s="115"/>
      <c r="J173" s="115"/>
      <c r="K173" s="115"/>
      <c r="L173" s="115"/>
      <c r="M173" s="115"/>
      <c r="N173" s="26"/>
      <c r="O173" s="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15"/>
      <c r="AE173" s="127"/>
      <c r="AF173" s="29"/>
    </row>
    <row r="174" spans="1:32" ht="19.5" x14ac:dyDescent="0.4">
      <c r="A174" s="117"/>
      <c r="B174" s="123"/>
      <c r="C174" s="123"/>
      <c r="D174" s="123"/>
      <c r="H174" s="115"/>
      <c r="I174" s="115"/>
      <c r="J174" s="115"/>
      <c r="K174" s="115"/>
      <c r="L174" s="115"/>
      <c r="M174" s="115"/>
      <c r="N174" s="26"/>
      <c r="O174" s="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15"/>
      <c r="AE174" s="127"/>
      <c r="AF174" s="29"/>
    </row>
    <row r="175" spans="1:32" ht="19.5" x14ac:dyDescent="0.4">
      <c r="A175" s="117"/>
      <c r="B175" s="123"/>
      <c r="C175" s="123"/>
      <c r="D175" s="123"/>
      <c r="H175" s="115"/>
      <c r="I175" s="115"/>
      <c r="J175" s="115"/>
      <c r="K175" s="115"/>
      <c r="L175" s="115"/>
      <c r="M175" s="115"/>
      <c r="N175" s="26"/>
      <c r="O175" s="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15"/>
      <c r="AE175" s="127"/>
      <c r="AF175" s="29"/>
    </row>
    <row r="176" spans="1:32" ht="19.5" x14ac:dyDescent="0.4">
      <c r="A176" s="117"/>
      <c r="B176" s="123"/>
      <c r="C176" s="123"/>
      <c r="D176" s="123"/>
      <c r="H176" s="115"/>
      <c r="I176" s="115"/>
      <c r="J176" s="115"/>
      <c r="K176" s="115"/>
      <c r="L176" s="115"/>
      <c r="M176" s="115"/>
      <c r="N176" s="26"/>
      <c r="O176" s="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15"/>
      <c r="AE176" s="127"/>
      <c r="AF176" s="29"/>
    </row>
    <row r="177" spans="1:32" ht="19.5" x14ac:dyDescent="0.4">
      <c r="A177" s="117"/>
      <c r="B177" s="123"/>
      <c r="C177" s="123"/>
      <c r="D177" s="123"/>
      <c r="H177" s="115"/>
      <c r="I177" s="115"/>
      <c r="J177" s="115"/>
      <c r="K177" s="115"/>
      <c r="L177" s="115"/>
      <c r="M177" s="115"/>
      <c r="N177" s="26"/>
      <c r="O177" s="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15"/>
      <c r="AE177" s="127"/>
      <c r="AF177" s="29"/>
    </row>
    <row r="178" spans="1:32" ht="19.5" x14ac:dyDescent="0.4">
      <c r="A178" s="117"/>
      <c r="B178" s="123"/>
      <c r="C178" s="123"/>
      <c r="D178" s="123"/>
      <c r="H178" s="115"/>
      <c r="I178" s="115"/>
      <c r="J178" s="115"/>
      <c r="K178" s="115"/>
      <c r="L178" s="115"/>
      <c r="M178" s="115"/>
      <c r="N178" s="26"/>
      <c r="O178" s="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15"/>
      <c r="AE178" s="127"/>
      <c r="AF178" s="29"/>
    </row>
    <row r="179" spans="1:32" ht="19.5" x14ac:dyDescent="0.4">
      <c r="A179" s="117"/>
      <c r="B179" s="123"/>
      <c r="C179" s="123"/>
      <c r="D179" s="123"/>
      <c r="H179" s="115"/>
      <c r="I179" s="115"/>
      <c r="J179" s="115"/>
      <c r="K179" s="115"/>
      <c r="L179" s="115"/>
      <c r="M179" s="115"/>
      <c r="N179" s="17"/>
      <c r="O179" s="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15"/>
      <c r="AE179" s="127"/>
      <c r="AF179" s="29"/>
    </row>
    <row r="180" spans="1:32" ht="19.5" x14ac:dyDescent="0.4">
      <c r="A180" s="117"/>
      <c r="B180" s="123"/>
      <c r="C180" s="123"/>
      <c r="D180" s="123"/>
      <c r="H180" s="115"/>
      <c r="I180" s="115"/>
      <c r="J180" s="115"/>
      <c r="K180" s="115"/>
      <c r="L180" s="115"/>
      <c r="M180" s="115"/>
      <c r="N180" s="26"/>
      <c r="O180" s="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15"/>
      <c r="AE180" s="127"/>
      <c r="AF180" s="29"/>
    </row>
    <row r="181" spans="1:32" ht="19.5" x14ac:dyDescent="0.4">
      <c r="A181" s="117"/>
      <c r="B181" s="123"/>
      <c r="C181" s="123"/>
      <c r="D181" s="123"/>
      <c r="H181" s="115"/>
      <c r="I181" s="115"/>
      <c r="J181" s="115"/>
      <c r="K181" s="115"/>
      <c r="L181" s="115"/>
      <c r="M181" s="115"/>
      <c r="N181" s="17"/>
      <c r="O181" s="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15"/>
      <c r="AE181" s="127"/>
      <c r="AF181" s="29"/>
    </row>
    <row r="182" spans="1:32" ht="19.5" x14ac:dyDescent="0.4">
      <c r="A182" s="117"/>
      <c r="B182" s="123"/>
      <c r="C182" s="123"/>
      <c r="D182" s="123"/>
      <c r="H182" s="115"/>
      <c r="I182" s="115"/>
      <c r="J182" s="115"/>
      <c r="K182" s="115"/>
      <c r="L182" s="115"/>
      <c r="M182" s="115"/>
      <c r="N182" s="26"/>
      <c r="O182" s="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15"/>
      <c r="AE182" s="127"/>
      <c r="AF182" s="29"/>
    </row>
    <row r="183" spans="1:32" ht="19.5" x14ac:dyDescent="0.4">
      <c r="A183" s="117"/>
      <c r="B183" s="123"/>
      <c r="C183" s="123"/>
      <c r="D183" s="123"/>
      <c r="H183" s="115"/>
      <c r="I183" s="115"/>
      <c r="J183" s="115"/>
      <c r="K183" s="115"/>
      <c r="L183" s="115"/>
      <c r="M183" s="115"/>
      <c r="N183" s="26"/>
      <c r="O183" s="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15"/>
      <c r="AE183" s="127"/>
      <c r="AF183" s="29"/>
    </row>
    <row r="184" spans="1:32" ht="19.5" x14ac:dyDescent="0.4">
      <c r="A184" s="117"/>
      <c r="B184" s="123"/>
      <c r="C184" s="123"/>
      <c r="D184" s="123"/>
      <c r="H184" s="115"/>
      <c r="I184" s="115"/>
      <c r="J184" s="115"/>
      <c r="K184" s="115"/>
      <c r="L184" s="115"/>
      <c r="M184" s="115"/>
      <c r="N184" s="26"/>
      <c r="O184" s="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15"/>
      <c r="AE184" s="127"/>
      <c r="AF184" s="29"/>
    </row>
    <row r="185" spans="1:32" ht="19.5" x14ac:dyDescent="0.4">
      <c r="A185" s="117"/>
      <c r="B185" s="123"/>
      <c r="C185" s="123"/>
      <c r="D185" s="123"/>
      <c r="H185" s="115"/>
      <c r="I185" s="115"/>
      <c r="J185" s="115"/>
      <c r="K185" s="115"/>
      <c r="L185" s="115"/>
      <c r="M185" s="115"/>
      <c r="N185" s="26"/>
      <c r="O185" s="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27"/>
      <c r="AF185" s="29"/>
    </row>
    <row r="186" spans="1:32" ht="19.5" x14ac:dyDescent="0.4">
      <c r="A186" s="117"/>
      <c r="B186" s="123"/>
      <c r="C186" s="123"/>
      <c r="D186" s="123"/>
      <c r="H186" s="115"/>
      <c r="I186" s="115"/>
      <c r="J186" s="115"/>
      <c r="K186" s="115"/>
      <c r="L186" s="115"/>
      <c r="M186" s="115"/>
      <c r="N186" s="17"/>
      <c r="O186" s="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15"/>
      <c r="AE186" s="127"/>
      <c r="AF186" s="29"/>
    </row>
    <row r="187" spans="1:32" ht="19.5" x14ac:dyDescent="0.4">
      <c r="A187" s="117"/>
      <c r="B187" s="123"/>
      <c r="C187" s="123"/>
      <c r="D187" s="123"/>
      <c r="H187" s="115"/>
      <c r="I187" s="115"/>
      <c r="J187" s="115"/>
      <c r="K187" s="115"/>
      <c r="L187" s="115"/>
      <c r="M187" s="115"/>
      <c r="N187" s="26"/>
      <c r="O187" s="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15"/>
      <c r="AE187" s="127"/>
      <c r="AF187" s="29"/>
    </row>
    <row r="188" spans="1:32" ht="19.5" x14ac:dyDescent="0.4">
      <c r="A188" s="117"/>
      <c r="B188" s="123"/>
      <c r="C188" s="123"/>
      <c r="D188" s="123"/>
      <c r="H188" s="115"/>
      <c r="I188" s="115"/>
      <c r="J188" s="115"/>
      <c r="K188" s="115"/>
      <c r="L188" s="115"/>
      <c r="M188" s="115"/>
      <c r="N188" s="17"/>
      <c r="O188" s="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15"/>
      <c r="AE188" s="127"/>
      <c r="AF188" s="29"/>
    </row>
    <row r="189" spans="1:32" ht="19.5" x14ac:dyDescent="0.4">
      <c r="A189" s="117"/>
      <c r="B189" s="123"/>
      <c r="C189" s="123"/>
      <c r="D189" s="123"/>
      <c r="H189" s="115"/>
      <c r="I189" s="115"/>
      <c r="J189" s="115"/>
      <c r="K189" s="115"/>
      <c r="L189" s="115"/>
      <c r="M189" s="115"/>
      <c r="N189" s="26"/>
      <c r="O189" s="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15"/>
      <c r="AE189" s="127"/>
      <c r="AF189" s="29"/>
    </row>
    <row r="190" spans="1:32" ht="19.5" x14ac:dyDescent="0.4">
      <c r="A190" s="117"/>
      <c r="B190" s="123"/>
      <c r="C190" s="123"/>
      <c r="D190" s="123"/>
      <c r="H190" s="115"/>
      <c r="I190" s="115"/>
      <c r="J190" s="115"/>
      <c r="K190" s="115"/>
      <c r="L190" s="115"/>
      <c r="M190" s="115"/>
      <c r="N190" s="17"/>
      <c r="O190" s="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15"/>
      <c r="AE190" s="127"/>
      <c r="AF190" s="29"/>
    </row>
    <row r="191" spans="1:32" ht="19.5" x14ac:dyDescent="0.4">
      <c r="A191" s="117"/>
      <c r="B191" s="123"/>
      <c r="C191" s="123"/>
      <c r="D191" s="123"/>
      <c r="H191" s="115"/>
      <c r="I191" s="115"/>
      <c r="J191" s="115"/>
      <c r="K191" s="115"/>
      <c r="L191" s="115"/>
      <c r="M191" s="115"/>
      <c r="N191" s="26"/>
      <c r="O191" s="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15"/>
      <c r="AE191" s="127"/>
      <c r="AF191" s="29"/>
    </row>
    <row r="192" spans="1:32" ht="19.5" x14ac:dyDescent="0.4">
      <c r="A192" s="117"/>
      <c r="B192" s="123"/>
      <c r="C192" s="123"/>
      <c r="D192" s="123"/>
      <c r="H192" s="115"/>
      <c r="I192" s="115"/>
      <c r="J192" s="115"/>
      <c r="K192" s="115"/>
      <c r="L192" s="115"/>
      <c r="M192" s="115"/>
      <c r="N192" s="26"/>
      <c r="O192" s="10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15"/>
      <c r="AE192" s="127"/>
      <c r="AF192" s="29"/>
    </row>
    <row r="193" spans="1:32" ht="19.5" x14ac:dyDescent="0.4">
      <c r="A193" s="117"/>
      <c r="B193" s="123"/>
      <c r="C193" s="123"/>
      <c r="D193" s="123"/>
      <c r="H193" s="115"/>
      <c r="I193" s="115"/>
      <c r="J193" s="115"/>
      <c r="K193" s="115"/>
      <c r="L193" s="115"/>
      <c r="M193" s="115"/>
      <c r="N193" s="26"/>
      <c r="O193" s="10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15"/>
      <c r="AE193" s="127"/>
      <c r="AF193" s="29"/>
    </row>
    <row r="194" spans="1:32" ht="19.5" x14ac:dyDescent="0.4">
      <c r="A194" s="117"/>
      <c r="B194" s="123"/>
      <c r="C194" s="123"/>
      <c r="D194" s="123"/>
      <c r="H194" s="115"/>
      <c r="I194" s="115"/>
      <c r="J194" s="115"/>
      <c r="K194" s="115"/>
      <c r="L194" s="115"/>
      <c r="M194" s="115"/>
      <c r="N194" s="26"/>
      <c r="O194" s="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115"/>
      <c r="AE194" s="29"/>
      <c r="AF194" s="29"/>
    </row>
    <row r="195" spans="1:32" ht="19.5" x14ac:dyDescent="0.4">
      <c r="A195" s="117"/>
      <c r="B195" s="123"/>
      <c r="C195" s="123"/>
      <c r="D195" s="123"/>
      <c r="H195" s="115"/>
      <c r="I195" s="115"/>
      <c r="J195" s="115"/>
      <c r="K195" s="115"/>
      <c r="L195" s="115"/>
      <c r="M195" s="115"/>
      <c r="N195" s="17"/>
      <c r="O195" s="13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15"/>
      <c r="AE195" s="29"/>
      <c r="AF195" s="29"/>
    </row>
    <row r="196" spans="1:32" ht="19.5" x14ac:dyDescent="0.4">
      <c r="A196" s="117"/>
      <c r="B196" s="123"/>
      <c r="C196" s="123"/>
      <c r="D196" s="123"/>
      <c r="H196" s="115"/>
      <c r="I196" s="115"/>
      <c r="J196" s="115"/>
      <c r="K196" s="115"/>
      <c r="L196" s="115"/>
      <c r="M196" s="115"/>
      <c r="N196" s="17"/>
      <c r="O196" s="13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15"/>
      <c r="AE196" s="29"/>
      <c r="AF196" s="29"/>
    </row>
    <row r="197" spans="1:32" ht="19.5" x14ac:dyDescent="0.4">
      <c r="A197" s="117"/>
      <c r="B197" s="123"/>
      <c r="C197" s="123"/>
      <c r="D197" s="123"/>
      <c r="H197" s="115"/>
      <c r="I197" s="115"/>
      <c r="J197" s="115"/>
      <c r="K197" s="115"/>
      <c r="L197" s="115"/>
      <c r="M197" s="115"/>
      <c r="N197" s="26"/>
      <c r="O197" s="13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15"/>
      <c r="AE197" s="127"/>
      <c r="AF197" s="29"/>
    </row>
    <row r="198" spans="1:32" ht="19.5" x14ac:dyDescent="0.4">
      <c r="A198" s="117"/>
      <c r="B198" s="123"/>
      <c r="C198" s="123"/>
      <c r="D198" s="123"/>
      <c r="H198" s="115"/>
      <c r="I198" s="115"/>
      <c r="J198" s="115"/>
      <c r="K198" s="115"/>
      <c r="L198" s="115"/>
      <c r="M198" s="115"/>
      <c r="N198" s="17"/>
      <c r="O198" s="13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15"/>
      <c r="AE198" s="127"/>
      <c r="AF198" s="29"/>
    </row>
    <row r="199" spans="1:32" ht="19.5" x14ac:dyDescent="0.4">
      <c r="A199" s="117"/>
      <c r="B199" s="123"/>
      <c r="C199" s="123"/>
      <c r="D199" s="123"/>
      <c r="H199" s="115"/>
      <c r="I199" s="115"/>
      <c r="J199" s="115"/>
      <c r="K199" s="115"/>
      <c r="L199" s="115"/>
      <c r="M199" s="115"/>
      <c r="N199" s="26"/>
      <c r="O199" s="13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15"/>
      <c r="AE199" s="127"/>
      <c r="AF199" s="29"/>
    </row>
    <row r="200" spans="1:32" ht="19.5" x14ac:dyDescent="0.4">
      <c r="A200" s="117"/>
      <c r="B200" s="123"/>
      <c r="C200" s="123"/>
      <c r="D200" s="123"/>
      <c r="H200" s="115"/>
      <c r="I200" s="115"/>
      <c r="J200" s="115"/>
      <c r="K200" s="115"/>
      <c r="L200" s="115"/>
      <c r="M200" s="115"/>
      <c r="N200" s="26"/>
      <c r="O200" s="13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15"/>
      <c r="AE200" s="127"/>
      <c r="AF200" s="29"/>
    </row>
    <row r="201" spans="1:32" ht="19.5" x14ac:dyDescent="0.4">
      <c r="A201" s="117"/>
      <c r="B201" s="123"/>
      <c r="C201" s="123"/>
      <c r="D201" s="123"/>
      <c r="H201" s="115"/>
      <c r="I201" s="115"/>
      <c r="J201" s="115"/>
      <c r="K201" s="115"/>
      <c r="L201" s="115"/>
      <c r="M201" s="115"/>
      <c r="N201" s="26"/>
      <c r="O201" s="13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127"/>
      <c r="AF201" s="29"/>
    </row>
    <row r="202" spans="1:32" ht="19.5" x14ac:dyDescent="0.4">
      <c r="A202" s="117"/>
      <c r="B202" s="123"/>
      <c r="C202" s="123"/>
      <c r="D202" s="123"/>
      <c r="H202" s="115"/>
      <c r="I202" s="115"/>
      <c r="J202" s="115"/>
      <c r="K202" s="115"/>
      <c r="L202" s="115"/>
      <c r="M202" s="115"/>
      <c r="N202" s="26"/>
      <c r="O202" s="13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15"/>
      <c r="AE202" s="127"/>
      <c r="AF202" s="29"/>
    </row>
    <row r="203" spans="1:32" ht="19.5" x14ac:dyDescent="0.4">
      <c r="A203" s="117"/>
      <c r="B203" s="123"/>
      <c r="C203" s="123"/>
      <c r="D203" s="123"/>
      <c r="H203" s="115"/>
      <c r="I203" s="115"/>
      <c r="J203" s="115"/>
      <c r="K203" s="115"/>
      <c r="L203" s="115"/>
      <c r="M203" s="115"/>
      <c r="N203" s="17"/>
      <c r="O203" s="13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27"/>
      <c r="AF203" s="29"/>
    </row>
    <row r="204" spans="1:32" ht="19.5" x14ac:dyDescent="0.4">
      <c r="A204" s="117"/>
      <c r="B204" s="123"/>
      <c r="C204" s="123"/>
      <c r="D204" s="123"/>
      <c r="H204" s="115"/>
      <c r="I204" s="115"/>
      <c r="J204" s="115"/>
      <c r="K204" s="115"/>
      <c r="L204" s="115"/>
      <c r="M204" s="115"/>
      <c r="N204" s="26"/>
      <c r="O204" s="13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15"/>
      <c r="AE204" s="29"/>
      <c r="AF204" s="29"/>
    </row>
    <row r="205" spans="1:32" ht="19.5" x14ac:dyDescent="0.4">
      <c r="A205" s="117"/>
      <c r="B205" s="123"/>
      <c r="C205" s="123"/>
      <c r="D205" s="123"/>
      <c r="H205" s="115"/>
      <c r="I205" s="115"/>
      <c r="J205" s="115"/>
      <c r="K205" s="115"/>
      <c r="L205" s="115"/>
      <c r="M205" s="115"/>
      <c r="N205" s="26"/>
      <c r="O205" s="13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15"/>
      <c r="AE205" s="127"/>
      <c r="AF205" s="29"/>
    </row>
    <row r="206" spans="1:32" ht="19.5" x14ac:dyDescent="0.4">
      <c r="A206" s="117"/>
      <c r="B206" s="123"/>
      <c r="C206" s="123"/>
      <c r="D206" s="123"/>
      <c r="H206" s="115"/>
      <c r="I206" s="115"/>
      <c r="J206" s="115"/>
      <c r="K206" s="115"/>
      <c r="L206" s="115"/>
      <c r="M206" s="115"/>
      <c r="N206" s="26"/>
      <c r="O206" s="13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15"/>
      <c r="AE206" s="127"/>
      <c r="AF206" s="29"/>
    </row>
    <row r="207" spans="1:32" ht="19.5" x14ac:dyDescent="0.4">
      <c r="A207" s="117"/>
      <c r="B207" s="123"/>
      <c r="C207" s="123"/>
      <c r="D207" s="123"/>
      <c r="H207" s="115"/>
      <c r="I207" s="115"/>
      <c r="J207" s="115"/>
      <c r="K207" s="115"/>
      <c r="L207" s="115"/>
      <c r="M207" s="115"/>
      <c r="N207" s="26"/>
      <c r="O207" s="13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15"/>
      <c r="AE207" s="127"/>
      <c r="AF207" s="29"/>
    </row>
    <row r="208" spans="1:32" ht="19.5" x14ac:dyDescent="0.4">
      <c r="A208" s="117"/>
      <c r="B208" s="123"/>
      <c r="C208" s="123"/>
      <c r="D208" s="123"/>
      <c r="H208" s="115"/>
      <c r="I208" s="115"/>
      <c r="J208" s="115"/>
      <c r="K208" s="115"/>
      <c r="L208" s="115"/>
      <c r="M208" s="115"/>
      <c r="N208" s="26"/>
      <c r="O208" s="13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15"/>
      <c r="AE208" s="127"/>
      <c r="AF208" s="29"/>
    </row>
    <row r="209" spans="1:32" ht="19.5" x14ac:dyDescent="0.4">
      <c r="A209" s="117"/>
      <c r="B209" s="123"/>
      <c r="C209" s="123"/>
      <c r="D209" s="123"/>
      <c r="H209" s="115"/>
      <c r="I209" s="115"/>
      <c r="J209" s="115"/>
      <c r="K209" s="115"/>
      <c r="L209" s="115"/>
      <c r="M209" s="115"/>
      <c r="N209" s="17"/>
      <c r="O209" s="13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15"/>
      <c r="AE209" s="127"/>
      <c r="AF209" s="29"/>
    </row>
    <row r="210" spans="1:32" ht="19.5" x14ac:dyDescent="0.4">
      <c r="A210" s="117"/>
      <c r="B210" s="123"/>
      <c r="C210" s="123"/>
      <c r="D210" s="123"/>
      <c r="H210" s="115"/>
      <c r="I210" s="115"/>
      <c r="J210" s="115"/>
      <c r="K210" s="115"/>
      <c r="L210" s="115"/>
      <c r="M210" s="115"/>
      <c r="N210" s="26"/>
      <c r="O210" s="13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15"/>
      <c r="AE210" s="127"/>
      <c r="AF210" s="29"/>
    </row>
    <row r="211" spans="1:32" ht="19.5" x14ac:dyDescent="0.4">
      <c r="A211" s="117"/>
      <c r="B211" s="123"/>
      <c r="C211" s="123"/>
      <c r="D211" s="123"/>
      <c r="H211" s="115"/>
      <c r="I211" s="115"/>
      <c r="J211" s="115"/>
      <c r="K211" s="115"/>
      <c r="L211" s="115"/>
      <c r="M211" s="115"/>
      <c r="N211" s="17"/>
      <c r="O211" s="13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15"/>
      <c r="AE211" s="127"/>
      <c r="AF211" s="29"/>
    </row>
    <row r="212" spans="1:32" ht="19.5" x14ac:dyDescent="0.4">
      <c r="A212" s="117"/>
      <c r="B212" s="123"/>
      <c r="C212" s="123"/>
      <c r="D212" s="123"/>
      <c r="H212" s="115"/>
      <c r="I212" s="115"/>
      <c r="J212" s="115"/>
      <c r="K212" s="115"/>
      <c r="L212" s="115"/>
      <c r="M212" s="115"/>
      <c r="N212" s="17"/>
      <c r="O212" s="13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15"/>
      <c r="AE212" s="127"/>
      <c r="AF212" s="29"/>
    </row>
    <row r="213" spans="1:32" ht="19.5" x14ac:dyDescent="0.4">
      <c r="A213" s="117"/>
      <c r="B213" s="123"/>
      <c r="C213" s="123"/>
      <c r="D213" s="123"/>
      <c r="H213" s="115"/>
      <c r="I213" s="115"/>
      <c r="J213" s="115"/>
      <c r="K213" s="115"/>
      <c r="L213" s="115"/>
      <c r="M213" s="115"/>
      <c r="N213" s="26"/>
      <c r="O213" s="13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15"/>
      <c r="AE213" s="127"/>
      <c r="AF213" s="29"/>
    </row>
    <row r="214" spans="1:32" ht="19.5" x14ac:dyDescent="0.4">
      <c r="A214" s="117"/>
      <c r="B214" s="123"/>
      <c r="C214" s="123"/>
      <c r="D214" s="123"/>
      <c r="H214" s="115"/>
      <c r="I214" s="115"/>
      <c r="J214" s="115"/>
      <c r="K214" s="115"/>
      <c r="L214" s="115"/>
      <c r="M214" s="115"/>
      <c r="N214" s="26"/>
      <c r="O214" s="13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15"/>
      <c r="AE214" s="127"/>
      <c r="AF214" s="29"/>
    </row>
    <row r="215" spans="1:32" ht="19.5" x14ac:dyDescent="0.4">
      <c r="A215" s="117"/>
      <c r="B215" s="123"/>
      <c r="C215" s="123"/>
      <c r="D215" s="123"/>
      <c r="H215" s="115"/>
      <c r="I215" s="115"/>
      <c r="J215" s="115"/>
      <c r="K215" s="115"/>
      <c r="L215" s="115"/>
      <c r="M215" s="115"/>
      <c r="N215" s="26"/>
      <c r="O215" s="13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15"/>
      <c r="AE215" s="127"/>
      <c r="AF215" s="29"/>
    </row>
    <row r="216" spans="1:32" ht="19.5" x14ac:dyDescent="0.4">
      <c r="A216" s="117"/>
      <c r="B216" s="123"/>
      <c r="C216" s="123"/>
      <c r="D216" s="123"/>
      <c r="H216" s="115"/>
      <c r="I216" s="115"/>
      <c r="J216" s="115"/>
      <c r="K216" s="115"/>
      <c r="L216" s="115"/>
      <c r="M216" s="115"/>
      <c r="N216" s="26"/>
      <c r="O216" s="13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15"/>
      <c r="AE216" s="127"/>
      <c r="AF216" s="29"/>
    </row>
    <row r="217" spans="1:32" ht="19.5" x14ac:dyDescent="0.4">
      <c r="A217" s="117"/>
      <c r="B217" s="123"/>
      <c r="C217" s="123"/>
      <c r="D217" s="123"/>
      <c r="H217" s="115"/>
      <c r="I217" s="115"/>
      <c r="J217" s="115"/>
      <c r="K217" s="115"/>
      <c r="L217" s="115"/>
      <c r="M217" s="115"/>
      <c r="N217" s="26"/>
      <c r="O217" s="13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15"/>
      <c r="AE217" s="127"/>
      <c r="AF217" s="29"/>
    </row>
    <row r="218" spans="1:32" ht="19.5" x14ac:dyDescent="0.4">
      <c r="A218" s="117"/>
      <c r="B218" s="123"/>
      <c r="C218" s="123"/>
      <c r="D218" s="123"/>
      <c r="H218" s="115"/>
      <c r="I218" s="115"/>
      <c r="J218" s="115"/>
      <c r="K218" s="115"/>
      <c r="L218" s="115"/>
      <c r="M218" s="115"/>
      <c r="N218" s="26"/>
      <c r="O218" s="13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15"/>
      <c r="AE218" s="127"/>
      <c r="AF218" s="29"/>
    </row>
    <row r="219" spans="1:32" ht="19.5" x14ac:dyDescent="0.4">
      <c r="A219" s="117"/>
      <c r="B219" s="123"/>
      <c r="C219" s="123"/>
      <c r="D219" s="123"/>
      <c r="H219" s="115"/>
      <c r="I219" s="115"/>
      <c r="J219" s="115"/>
      <c r="K219" s="115"/>
      <c r="L219" s="115"/>
      <c r="M219" s="115"/>
      <c r="N219" s="26"/>
      <c r="O219" s="13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15"/>
      <c r="AE219" s="127"/>
      <c r="AF219" s="29"/>
    </row>
    <row r="220" spans="1:32" ht="19.5" x14ac:dyDescent="0.4">
      <c r="A220" s="117"/>
      <c r="B220" s="123"/>
      <c r="C220" s="123"/>
      <c r="D220" s="123"/>
      <c r="H220" s="115"/>
      <c r="I220" s="115"/>
      <c r="J220" s="115"/>
      <c r="K220" s="115"/>
      <c r="L220" s="115"/>
      <c r="M220" s="115"/>
      <c r="N220" s="26"/>
      <c r="O220" s="13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27"/>
      <c r="AF220" s="29"/>
    </row>
    <row r="221" spans="1:32" ht="19.5" x14ac:dyDescent="0.4">
      <c r="A221" s="117"/>
      <c r="B221" s="123"/>
      <c r="C221" s="123"/>
      <c r="D221" s="123"/>
      <c r="H221" s="115"/>
      <c r="I221" s="115"/>
      <c r="J221" s="115"/>
      <c r="K221" s="115"/>
      <c r="L221" s="115"/>
      <c r="M221" s="115"/>
      <c r="N221" s="26"/>
      <c r="O221" s="13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27"/>
      <c r="AF221" s="29"/>
    </row>
    <row r="222" spans="1:32" ht="19.5" x14ac:dyDescent="0.4">
      <c r="A222" s="117"/>
      <c r="B222" s="123"/>
      <c r="C222" s="123"/>
      <c r="D222" s="123"/>
      <c r="H222" s="115"/>
      <c r="I222" s="115"/>
      <c r="J222" s="115"/>
      <c r="K222" s="115"/>
      <c r="L222" s="115"/>
      <c r="M222" s="115"/>
      <c r="N222" s="17"/>
      <c r="O222" s="13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15"/>
      <c r="AE222" s="127"/>
      <c r="AF222" s="29"/>
    </row>
    <row r="223" spans="1:32" ht="19.5" x14ac:dyDescent="0.4">
      <c r="A223" s="117"/>
      <c r="B223" s="123"/>
      <c r="C223" s="123"/>
      <c r="D223" s="123"/>
      <c r="H223" s="115"/>
      <c r="I223" s="115"/>
      <c r="J223" s="115"/>
      <c r="K223" s="115"/>
      <c r="L223" s="115"/>
      <c r="M223" s="115"/>
      <c r="N223" s="26"/>
      <c r="O223" s="13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15"/>
      <c r="AE223" s="127"/>
      <c r="AF223" s="29"/>
    </row>
    <row r="224" spans="1:32" ht="19.5" x14ac:dyDescent="0.4">
      <c r="A224" s="117"/>
      <c r="B224" s="123"/>
      <c r="C224" s="123"/>
      <c r="D224" s="123"/>
      <c r="H224" s="115"/>
      <c r="I224" s="115"/>
      <c r="J224" s="115"/>
      <c r="K224" s="115"/>
      <c r="L224" s="115"/>
      <c r="M224" s="115"/>
      <c r="N224" s="17"/>
      <c r="O224" s="13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27"/>
      <c r="AF224" s="29"/>
    </row>
    <row r="225" spans="1:32" ht="19.5" x14ac:dyDescent="0.4">
      <c r="A225" s="117"/>
      <c r="B225" s="123"/>
      <c r="C225" s="123"/>
      <c r="D225" s="123"/>
      <c r="H225" s="115"/>
      <c r="I225" s="115"/>
      <c r="J225" s="115"/>
      <c r="K225" s="115"/>
      <c r="L225" s="115"/>
      <c r="M225" s="115"/>
      <c r="N225" s="26"/>
      <c r="O225" s="13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15"/>
      <c r="AE225" s="127"/>
      <c r="AF225" s="29"/>
    </row>
    <row r="226" spans="1:32" ht="19.5" x14ac:dyDescent="0.4">
      <c r="A226" s="117"/>
      <c r="B226" s="123"/>
      <c r="C226" s="123"/>
      <c r="D226" s="123"/>
      <c r="H226" s="115"/>
      <c r="I226" s="115"/>
      <c r="J226" s="115"/>
      <c r="K226" s="115"/>
      <c r="L226" s="115"/>
      <c r="M226" s="115"/>
      <c r="N226" s="26"/>
      <c r="O226" s="13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15"/>
      <c r="AE226" s="127"/>
      <c r="AF226" s="29"/>
    </row>
    <row r="227" spans="1:32" ht="19.5" x14ac:dyDescent="0.4">
      <c r="A227" s="117"/>
      <c r="B227" s="123"/>
      <c r="C227" s="123"/>
      <c r="D227" s="123"/>
      <c r="H227" s="115"/>
      <c r="I227" s="115"/>
      <c r="J227" s="115"/>
      <c r="K227" s="115"/>
      <c r="L227" s="115"/>
      <c r="M227" s="115"/>
      <c r="N227" s="26"/>
      <c r="O227" s="13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15"/>
      <c r="AE227" s="127"/>
      <c r="AF227" s="29"/>
    </row>
    <row r="228" spans="1:32" ht="19.5" x14ac:dyDescent="0.4">
      <c r="A228" s="117"/>
      <c r="B228" s="123"/>
      <c r="C228" s="123"/>
      <c r="D228" s="123"/>
      <c r="H228" s="115"/>
      <c r="I228" s="115"/>
      <c r="J228" s="115"/>
      <c r="K228" s="115"/>
      <c r="L228" s="115"/>
      <c r="M228" s="115"/>
      <c r="N228" s="26"/>
      <c r="O228" s="13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15"/>
      <c r="AE228" s="127"/>
      <c r="AF228" s="29"/>
    </row>
    <row r="229" spans="1:32" ht="19.5" x14ac:dyDescent="0.4">
      <c r="A229" s="117"/>
      <c r="B229" s="123"/>
      <c r="C229" s="123"/>
      <c r="D229" s="123"/>
      <c r="H229" s="115"/>
      <c r="I229" s="115"/>
      <c r="J229" s="115"/>
      <c r="K229" s="115"/>
      <c r="L229" s="115"/>
      <c r="M229" s="115"/>
      <c r="N229" s="26"/>
      <c r="O229" s="13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15"/>
      <c r="AE229" s="29"/>
      <c r="AF229" s="29"/>
    </row>
    <row r="230" spans="1:32" ht="19.5" x14ac:dyDescent="0.4">
      <c r="A230" s="117"/>
      <c r="B230" s="123"/>
      <c r="C230" s="123"/>
      <c r="D230" s="123"/>
      <c r="H230" s="115"/>
      <c r="I230" s="115"/>
      <c r="J230" s="115"/>
      <c r="K230" s="115"/>
      <c r="L230" s="115"/>
      <c r="M230" s="115"/>
      <c r="N230" s="26"/>
      <c r="O230" s="13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15"/>
      <c r="AE230" s="127"/>
      <c r="AF230" s="29"/>
    </row>
    <row r="231" spans="1:32" ht="19.5" x14ac:dyDescent="0.4">
      <c r="A231" s="117"/>
      <c r="B231" s="123"/>
      <c r="C231" s="123"/>
      <c r="D231" s="123"/>
      <c r="H231" s="115"/>
      <c r="I231" s="115"/>
      <c r="J231" s="115"/>
      <c r="K231" s="115"/>
      <c r="L231" s="115"/>
      <c r="M231" s="115"/>
      <c r="N231" s="17"/>
      <c r="O231" s="13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27"/>
      <c r="AF231" s="29"/>
    </row>
    <row r="232" spans="1:32" ht="19.5" x14ac:dyDescent="0.4">
      <c r="A232" s="117"/>
      <c r="B232" s="123"/>
      <c r="C232" s="123"/>
      <c r="D232" s="123"/>
      <c r="H232" s="115"/>
      <c r="I232" s="115"/>
      <c r="J232" s="115"/>
      <c r="K232" s="115"/>
      <c r="L232" s="115"/>
      <c r="M232" s="115"/>
      <c r="N232" s="26"/>
      <c r="O232" s="13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15"/>
      <c r="AE232" s="127"/>
      <c r="AF232" s="29"/>
    </row>
    <row r="233" spans="1:32" ht="19.5" x14ac:dyDescent="0.4">
      <c r="A233" s="117"/>
      <c r="B233" s="123"/>
      <c r="C233" s="123"/>
      <c r="D233" s="123"/>
      <c r="H233" s="115"/>
      <c r="I233" s="115"/>
      <c r="J233" s="115"/>
      <c r="K233" s="115"/>
      <c r="L233" s="115"/>
      <c r="M233" s="115"/>
      <c r="N233" s="17"/>
      <c r="O233" s="13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15"/>
      <c r="AE233" s="127"/>
      <c r="AF233" s="29"/>
    </row>
    <row r="234" spans="1:32" ht="19.5" x14ac:dyDescent="0.4">
      <c r="A234" s="117"/>
      <c r="B234" s="123"/>
      <c r="C234" s="123"/>
      <c r="D234" s="123"/>
      <c r="H234" s="115"/>
      <c r="I234" s="115"/>
      <c r="J234" s="115"/>
      <c r="K234" s="115"/>
      <c r="L234" s="115"/>
      <c r="M234" s="115"/>
      <c r="N234" s="26"/>
      <c r="O234" s="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15"/>
      <c r="AE234" s="29"/>
      <c r="AF234" s="29"/>
    </row>
    <row r="235" spans="1:32" ht="19.5" x14ac:dyDescent="0.4">
      <c r="A235" s="117"/>
      <c r="B235" s="123"/>
      <c r="C235" s="123"/>
      <c r="D235" s="123"/>
      <c r="H235" s="115"/>
      <c r="I235" s="115"/>
      <c r="J235" s="115"/>
      <c r="K235" s="115"/>
      <c r="L235" s="115"/>
      <c r="M235" s="115"/>
      <c r="N235" s="17"/>
      <c r="O235" s="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15"/>
      <c r="AE235" s="29"/>
      <c r="AF235" s="29"/>
    </row>
    <row r="236" spans="1:32" ht="19.5" x14ac:dyDescent="0.4">
      <c r="A236" s="117"/>
      <c r="B236" s="123"/>
      <c r="C236" s="123"/>
      <c r="D236" s="123"/>
      <c r="H236" s="115"/>
      <c r="I236" s="115"/>
      <c r="J236" s="115"/>
      <c r="K236" s="115"/>
      <c r="L236" s="115"/>
      <c r="M236" s="115"/>
      <c r="N236" s="26"/>
      <c r="O236" s="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127"/>
      <c r="AF236" s="29"/>
    </row>
    <row r="237" spans="1:32" ht="19.5" x14ac:dyDescent="0.4">
      <c r="A237" s="117"/>
      <c r="B237" s="123"/>
      <c r="C237" s="123"/>
      <c r="D237" s="123"/>
      <c r="H237" s="115"/>
      <c r="I237" s="115"/>
      <c r="J237" s="115"/>
      <c r="K237" s="115"/>
      <c r="L237" s="115"/>
      <c r="M237" s="115"/>
      <c r="N237" s="17"/>
      <c r="O237" s="13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15"/>
      <c r="AE237" s="127"/>
      <c r="AF237" s="29"/>
    </row>
    <row r="238" spans="1:32" ht="19.5" x14ac:dyDescent="0.4">
      <c r="A238" s="117"/>
      <c r="B238" s="123"/>
      <c r="C238" s="123"/>
      <c r="D238" s="123"/>
      <c r="H238" s="115"/>
      <c r="I238" s="115"/>
      <c r="J238" s="115"/>
      <c r="K238" s="115"/>
      <c r="L238" s="115"/>
      <c r="M238" s="115"/>
      <c r="N238" s="17"/>
      <c r="O238" s="13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15"/>
      <c r="AE238" s="127"/>
      <c r="AF238" s="29"/>
    </row>
    <row r="239" spans="1:32" ht="19.5" x14ac:dyDescent="0.4">
      <c r="A239" s="117"/>
      <c r="B239" s="123"/>
      <c r="C239" s="123"/>
      <c r="D239" s="123"/>
      <c r="H239" s="115"/>
      <c r="I239" s="115"/>
      <c r="J239" s="115"/>
      <c r="K239" s="115"/>
      <c r="L239" s="115"/>
      <c r="M239" s="115"/>
      <c r="N239" s="26"/>
      <c r="O239" s="13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15"/>
      <c r="AE239" s="127"/>
      <c r="AF239" s="29"/>
    </row>
    <row r="240" spans="1:32" ht="19.5" x14ac:dyDescent="0.4">
      <c r="A240" s="117"/>
      <c r="B240" s="123"/>
      <c r="C240" s="123"/>
      <c r="D240" s="123"/>
      <c r="H240" s="115"/>
      <c r="I240" s="115"/>
      <c r="J240" s="115"/>
      <c r="K240" s="115"/>
      <c r="L240" s="115"/>
      <c r="M240" s="115"/>
      <c r="N240" s="26"/>
      <c r="O240" s="13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15"/>
      <c r="AE240" s="127"/>
      <c r="AF240" s="29"/>
    </row>
    <row r="241" spans="1:32" ht="19.5" x14ac:dyDescent="0.4">
      <c r="A241" s="117"/>
      <c r="B241" s="123"/>
      <c r="C241" s="123"/>
      <c r="D241" s="123"/>
      <c r="H241" s="115"/>
      <c r="I241" s="115"/>
      <c r="J241" s="115"/>
      <c r="K241" s="115"/>
      <c r="L241" s="115"/>
      <c r="M241" s="115"/>
      <c r="N241" s="26"/>
      <c r="O241" s="13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15"/>
      <c r="AE241" s="127"/>
      <c r="AF241" s="29"/>
    </row>
    <row r="242" spans="1:32" ht="19.5" x14ac:dyDescent="0.4">
      <c r="A242" s="117"/>
      <c r="B242" s="123"/>
      <c r="C242" s="123"/>
      <c r="D242" s="123"/>
      <c r="H242" s="115"/>
      <c r="I242" s="115"/>
      <c r="J242" s="115"/>
      <c r="K242" s="115"/>
      <c r="L242" s="115"/>
      <c r="M242" s="115"/>
      <c r="N242" s="26"/>
      <c r="O242" s="13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15"/>
      <c r="AE242" s="127"/>
      <c r="AF242" s="29"/>
    </row>
    <row r="243" spans="1:32" ht="19.5" x14ac:dyDescent="0.4">
      <c r="A243" s="117"/>
      <c r="B243" s="123"/>
      <c r="C243" s="123"/>
      <c r="D243" s="123"/>
      <c r="H243" s="115"/>
      <c r="I243" s="115"/>
      <c r="J243" s="115"/>
      <c r="K243" s="115"/>
      <c r="L243" s="115"/>
      <c r="M243" s="115"/>
      <c r="N243" s="129"/>
      <c r="O243" s="13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127"/>
      <c r="AF243" s="29"/>
    </row>
    <row r="244" spans="1:32" ht="19.5" x14ac:dyDescent="0.4">
      <c r="A244" s="117"/>
      <c r="B244" s="123"/>
      <c r="C244" s="123"/>
      <c r="D244" s="123"/>
      <c r="H244" s="115"/>
      <c r="I244" s="115"/>
      <c r="J244" s="115"/>
      <c r="K244" s="115"/>
      <c r="L244" s="115"/>
      <c r="M244" s="115"/>
      <c r="N244" s="26"/>
      <c r="O244" s="13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15"/>
      <c r="AE244" s="127"/>
      <c r="AF244" s="29"/>
    </row>
    <row r="245" spans="1:32" ht="19.5" x14ac:dyDescent="0.4">
      <c r="A245" s="117"/>
      <c r="B245" s="123"/>
      <c r="C245" s="123"/>
      <c r="D245" s="123"/>
      <c r="H245" s="115"/>
      <c r="I245" s="115"/>
      <c r="J245" s="115"/>
      <c r="K245" s="115"/>
      <c r="L245" s="115"/>
      <c r="M245" s="115"/>
      <c r="N245" s="26"/>
      <c r="O245" s="13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127"/>
      <c r="AF245" s="29"/>
    </row>
    <row r="246" spans="1:32" ht="19.5" x14ac:dyDescent="0.4">
      <c r="A246" s="117"/>
      <c r="B246" s="123"/>
      <c r="C246" s="123"/>
      <c r="D246" s="123"/>
      <c r="H246" s="115"/>
      <c r="I246" s="115"/>
      <c r="J246" s="115"/>
      <c r="K246" s="115"/>
      <c r="L246" s="115"/>
      <c r="M246" s="115"/>
      <c r="N246" s="129"/>
      <c r="O246" s="13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115"/>
      <c r="AE246" s="127"/>
      <c r="AF246" s="29"/>
    </row>
    <row r="247" spans="1:32" ht="19.5" x14ac:dyDescent="0.4">
      <c r="A247" s="117"/>
      <c r="B247" s="123"/>
      <c r="C247" s="123"/>
      <c r="D247" s="123"/>
      <c r="H247" s="115"/>
      <c r="I247" s="115"/>
      <c r="J247" s="115"/>
      <c r="K247" s="115"/>
      <c r="L247" s="115"/>
      <c r="M247" s="115"/>
      <c r="N247" s="26"/>
      <c r="O247" s="13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15"/>
      <c r="AE247" s="127"/>
      <c r="AF247" s="29"/>
    </row>
    <row r="248" spans="1:32" ht="19.5" x14ac:dyDescent="0.4">
      <c r="A248" s="117"/>
      <c r="B248" s="123"/>
      <c r="C248" s="123"/>
      <c r="D248" s="123"/>
      <c r="H248" s="115"/>
      <c r="I248" s="115"/>
      <c r="J248" s="115"/>
      <c r="K248" s="115"/>
      <c r="L248" s="115"/>
      <c r="M248" s="115"/>
      <c r="N248" s="26"/>
      <c r="O248" s="13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15"/>
      <c r="AE248" s="127"/>
      <c r="AF248" s="29"/>
    </row>
    <row r="249" spans="1:32" ht="19.5" x14ac:dyDescent="0.4">
      <c r="A249" s="117"/>
      <c r="B249" s="123"/>
      <c r="C249" s="123"/>
      <c r="D249" s="123"/>
      <c r="H249" s="115"/>
      <c r="I249" s="115"/>
      <c r="J249" s="115"/>
      <c r="K249" s="115"/>
      <c r="L249" s="115"/>
      <c r="M249" s="115"/>
      <c r="N249" s="26"/>
      <c r="O249" s="13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15"/>
      <c r="AE249" s="127"/>
      <c r="AF249" s="29"/>
    </row>
    <row r="250" spans="1:32" ht="19.5" x14ac:dyDescent="0.4">
      <c r="A250" s="117"/>
      <c r="B250" s="123"/>
      <c r="C250" s="123"/>
      <c r="D250" s="123"/>
      <c r="H250" s="115"/>
      <c r="I250" s="115"/>
      <c r="J250" s="115"/>
      <c r="K250" s="115"/>
      <c r="L250" s="115"/>
      <c r="M250" s="115"/>
      <c r="N250" s="129"/>
      <c r="O250" s="13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15"/>
      <c r="AE250" s="127"/>
      <c r="AF250" s="29"/>
    </row>
    <row r="251" spans="1:32" ht="19.5" x14ac:dyDescent="0.4">
      <c r="A251" s="117"/>
      <c r="B251" s="123"/>
      <c r="C251" s="123"/>
      <c r="D251" s="123"/>
      <c r="H251" s="115"/>
      <c r="I251" s="115"/>
      <c r="J251" s="115"/>
      <c r="K251" s="115"/>
      <c r="L251" s="115"/>
      <c r="M251" s="115"/>
      <c r="N251" s="26"/>
      <c r="O251" s="13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15"/>
      <c r="AE251" s="127"/>
      <c r="AF251" s="29"/>
    </row>
    <row r="252" spans="1:32" ht="19.5" x14ac:dyDescent="0.4">
      <c r="A252" s="117"/>
      <c r="B252" s="123"/>
      <c r="C252" s="123"/>
      <c r="D252" s="123"/>
      <c r="H252" s="115"/>
      <c r="I252" s="115"/>
      <c r="J252" s="115"/>
      <c r="K252" s="115"/>
      <c r="L252" s="115"/>
      <c r="M252" s="115"/>
      <c r="N252" s="26"/>
      <c r="O252" s="13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15"/>
      <c r="AE252" s="29"/>
      <c r="AF252" s="29"/>
    </row>
    <row r="253" spans="1:32" ht="19.5" x14ac:dyDescent="0.4">
      <c r="A253" s="117"/>
      <c r="B253" s="123"/>
      <c r="C253" s="123"/>
      <c r="D253" s="123"/>
      <c r="H253" s="115"/>
      <c r="I253" s="115"/>
      <c r="J253" s="115"/>
      <c r="K253" s="115"/>
      <c r="L253" s="115"/>
      <c r="M253" s="115"/>
      <c r="N253" s="129"/>
      <c r="O253" s="13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15"/>
      <c r="AE253" s="29"/>
      <c r="AF253" s="29"/>
    </row>
    <row r="254" spans="1:32" ht="19.5" x14ac:dyDescent="0.4">
      <c r="A254" s="117"/>
      <c r="B254" s="123"/>
      <c r="C254" s="123"/>
      <c r="D254" s="123"/>
      <c r="H254" s="115"/>
      <c r="I254" s="115"/>
      <c r="J254" s="115"/>
      <c r="K254" s="115"/>
      <c r="L254" s="115"/>
      <c r="M254" s="115"/>
      <c r="N254" s="26"/>
      <c r="O254" s="13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15"/>
      <c r="AE254" s="127"/>
      <c r="AF254" s="29"/>
    </row>
    <row r="255" spans="1:32" ht="19.5" x14ac:dyDescent="0.4">
      <c r="A255" s="117"/>
      <c r="B255" s="123"/>
      <c r="C255" s="123"/>
      <c r="D255" s="123"/>
      <c r="N255" s="26"/>
      <c r="O255" s="13"/>
      <c r="AE255" s="127"/>
      <c r="AF255" s="29"/>
    </row>
    <row r="256" spans="1:32" ht="19.5" x14ac:dyDescent="0.4">
      <c r="A256" s="117"/>
      <c r="B256" s="123"/>
      <c r="C256" s="123"/>
      <c r="D256" s="123"/>
      <c r="H256" s="115"/>
      <c r="I256" s="115"/>
      <c r="J256" s="115"/>
      <c r="K256" s="115"/>
      <c r="L256" s="115"/>
      <c r="M256" s="115"/>
      <c r="N256" s="26"/>
      <c r="O256" s="15"/>
      <c r="V256" s="115"/>
      <c r="W256" s="115"/>
      <c r="X256" s="115"/>
      <c r="Y256" s="115"/>
      <c r="Z256" s="115"/>
      <c r="AA256" s="115"/>
      <c r="AB256" s="115"/>
      <c r="AC256" s="115"/>
      <c r="AD256" s="115"/>
      <c r="AE256" s="127"/>
      <c r="AF256" s="29"/>
    </row>
    <row r="257" spans="1:32" ht="19.5" x14ac:dyDescent="0.4">
      <c r="A257" s="117"/>
      <c r="B257" s="123"/>
      <c r="C257" s="123"/>
      <c r="D257" s="123"/>
      <c r="H257" s="115"/>
      <c r="I257" s="115"/>
      <c r="J257" s="115"/>
      <c r="K257" s="115"/>
      <c r="L257" s="115"/>
      <c r="M257" s="115"/>
      <c r="N257" s="26"/>
      <c r="O257" s="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15"/>
      <c r="AE257" s="127"/>
      <c r="AF257" s="29"/>
    </row>
    <row r="258" spans="1:32" ht="19.5" x14ac:dyDescent="0.4">
      <c r="A258" s="117"/>
      <c r="B258" s="123"/>
      <c r="C258" s="123"/>
      <c r="D258" s="123"/>
      <c r="H258" s="115"/>
      <c r="I258" s="115"/>
      <c r="J258" s="115"/>
      <c r="K258" s="115"/>
      <c r="L258" s="115"/>
      <c r="M258" s="115"/>
      <c r="N258" s="26"/>
      <c r="O258" s="15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15"/>
      <c r="AE258" s="127"/>
      <c r="AF258" s="29"/>
    </row>
    <row r="259" spans="1:32" ht="19.5" x14ac:dyDescent="0.4">
      <c r="A259" s="117"/>
      <c r="B259" s="123"/>
      <c r="C259" s="123"/>
      <c r="D259" s="123"/>
      <c r="H259" s="115"/>
      <c r="I259" s="115"/>
      <c r="J259" s="115"/>
      <c r="K259" s="115"/>
      <c r="L259" s="115"/>
      <c r="M259" s="115"/>
      <c r="N259" s="26"/>
      <c r="O259" s="105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15"/>
      <c r="AD259" s="115"/>
      <c r="AE259" s="127"/>
      <c r="AF259" s="29"/>
    </row>
    <row r="260" spans="1:32" ht="19.5" x14ac:dyDescent="0.4">
      <c r="A260" s="117"/>
      <c r="B260" s="123"/>
      <c r="C260" s="123"/>
      <c r="D260" s="123"/>
      <c r="H260" s="115"/>
      <c r="I260" s="115"/>
      <c r="J260" s="115"/>
      <c r="K260" s="115"/>
      <c r="L260" s="115"/>
      <c r="M260" s="115"/>
      <c r="N260" s="26"/>
      <c r="O260" s="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15"/>
      <c r="AE260" s="127"/>
      <c r="AF260" s="29"/>
    </row>
    <row r="261" spans="1:32" ht="19.5" x14ac:dyDescent="0.4">
      <c r="A261" s="117"/>
      <c r="B261" s="123"/>
      <c r="C261" s="123"/>
      <c r="D261" s="123"/>
      <c r="H261" s="115"/>
      <c r="I261" s="115"/>
      <c r="J261" s="115"/>
      <c r="K261" s="115"/>
      <c r="L261" s="115"/>
      <c r="M261" s="115"/>
      <c r="N261" s="26"/>
      <c r="O261" s="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15"/>
      <c r="AE261" s="127"/>
      <c r="AF261" s="29"/>
    </row>
    <row r="262" spans="1:32" ht="19.5" x14ac:dyDescent="0.4">
      <c r="A262" s="117"/>
      <c r="B262" s="123"/>
      <c r="C262" s="123"/>
      <c r="D262" s="123"/>
      <c r="H262" s="115"/>
      <c r="I262" s="115"/>
      <c r="J262" s="115"/>
      <c r="K262" s="115"/>
      <c r="L262" s="115"/>
      <c r="M262" s="115"/>
      <c r="N262" s="26"/>
      <c r="O262" s="13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15"/>
      <c r="AE262" s="127"/>
      <c r="AF262" s="29"/>
    </row>
    <row r="263" spans="1:32" ht="19.5" x14ac:dyDescent="0.4">
      <c r="A263" s="117"/>
      <c r="B263" s="123"/>
      <c r="C263" s="123"/>
      <c r="D263" s="123"/>
      <c r="H263" s="115"/>
      <c r="I263" s="115"/>
      <c r="J263" s="115"/>
      <c r="K263" s="115"/>
      <c r="L263" s="115"/>
      <c r="M263" s="115"/>
      <c r="N263" s="26"/>
      <c r="O263" s="13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115"/>
      <c r="AE263" s="127"/>
      <c r="AF263" s="29"/>
    </row>
    <row r="264" spans="1:32" ht="19.5" x14ac:dyDescent="0.4">
      <c r="A264" s="117"/>
      <c r="B264" s="123"/>
      <c r="C264" s="123"/>
      <c r="D264" s="123"/>
      <c r="H264" s="115"/>
      <c r="I264" s="115"/>
      <c r="J264" s="115"/>
      <c r="K264" s="115"/>
      <c r="L264" s="115"/>
      <c r="M264" s="115"/>
      <c r="N264" s="129"/>
      <c r="O264" s="13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115"/>
      <c r="AE264" s="127"/>
      <c r="AF264" s="29"/>
    </row>
    <row r="265" spans="1:32" ht="19.5" x14ac:dyDescent="0.4">
      <c r="A265" s="117"/>
      <c r="B265" s="123"/>
      <c r="C265" s="123"/>
      <c r="D265" s="123"/>
      <c r="H265" s="115"/>
      <c r="I265" s="115"/>
      <c r="J265" s="115"/>
      <c r="K265" s="115"/>
      <c r="L265" s="115"/>
      <c r="M265" s="115"/>
      <c r="N265" s="26"/>
      <c r="O265" s="13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15"/>
      <c r="AE265" s="29"/>
      <c r="AF265" s="29"/>
    </row>
    <row r="266" spans="1:32" ht="19.5" x14ac:dyDescent="0.4">
      <c r="A266" s="117"/>
      <c r="B266" s="123"/>
      <c r="C266" s="123"/>
      <c r="D266" s="123"/>
      <c r="N266" s="26"/>
      <c r="O266" s="13"/>
      <c r="AE266" s="127"/>
      <c r="AF266" s="29"/>
    </row>
    <row r="267" spans="1:32" ht="19.5" x14ac:dyDescent="0.4">
      <c r="A267" s="117"/>
      <c r="B267" s="123"/>
      <c r="C267" s="123"/>
      <c r="D267" s="123"/>
      <c r="H267" s="115"/>
      <c r="I267" s="115"/>
      <c r="J267" s="115"/>
      <c r="K267" s="115"/>
      <c r="L267" s="115"/>
      <c r="M267" s="115"/>
      <c r="N267" s="26"/>
      <c r="O267" s="13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15"/>
      <c r="AE267" s="127"/>
      <c r="AF267" s="29"/>
    </row>
    <row r="268" spans="1:32" ht="19.5" x14ac:dyDescent="0.4">
      <c r="A268" s="117"/>
      <c r="B268" s="123"/>
      <c r="C268" s="123"/>
      <c r="D268" s="123"/>
      <c r="H268" s="115"/>
      <c r="I268" s="115"/>
      <c r="J268" s="115"/>
      <c r="K268" s="115"/>
      <c r="L268" s="115"/>
      <c r="M268" s="115"/>
      <c r="N268" s="26"/>
      <c r="O268" s="13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15"/>
      <c r="AE268" s="127"/>
      <c r="AF268" s="29"/>
    </row>
    <row r="269" spans="1:32" ht="19.5" x14ac:dyDescent="0.4">
      <c r="A269" s="117"/>
      <c r="B269" s="123"/>
      <c r="C269" s="123"/>
      <c r="D269" s="123"/>
      <c r="H269" s="115"/>
      <c r="I269" s="115"/>
      <c r="J269" s="115"/>
      <c r="K269" s="115"/>
      <c r="L269" s="115"/>
      <c r="M269" s="115"/>
      <c r="N269" s="26"/>
      <c r="O269" s="13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115"/>
      <c r="AE269" s="127"/>
      <c r="AF269" s="29"/>
    </row>
    <row r="270" spans="1:32" ht="19.5" x14ac:dyDescent="0.4">
      <c r="A270" s="117"/>
      <c r="B270" s="123"/>
      <c r="C270" s="123"/>
      <c r="D270" s="123"/>
      <c r="H270" s="115"/>
      <c r="I270" s="115"/>
      <c r="J270" s="115"/>
      <c r="K270" s="115"/>
      <c r="L270" s="115"/>
      <c r="M270" s="115"/>
      <c r="N270" s="26"/>
      <c r="O270" s="13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15"/>
      <c r="AE270" s="127"/>
      <c r="AF270" s="29"/>
    </row>
    <row r="271" spans="1:32" ht="19.5" x14ac:dyDescent="0.4">
      <c r="A271" s="117"/>
      <c r="B271" s="123"/>
      <c r="C271" s="123"/>
      <c r="D271" s="123"/>
      <c r="H271" s="115"/>
      <c r="I271" s="115"/>
      <c r="J271" s="115"/>
      <c r="K271" s="115"/>
      <c r="L271" s="115"/>
      <c r="M271" s="115"/>
      <c r="N271" s="26"/>
      <c r="O271" s="13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115"/>
      <c r="AE271" s="127"/>
      <c r="AF271" s="29"/>
    </row>
    <row r="272" spans="1:32" ht="19.5" x14ac:dyDescent="0.4">
      <c r="A272" s="117"/>
      <c r="B272" s="123"/>
      <c r="C272" s="123"/>
      <c r="D272" s="123"/>
      <c r="H272" s="115"/>
      <c r="I272" s="115"/>
      <c r="J272" s="115"/>
      <c r="K272" s="115"/>
      <c r="L272" s="115"/>
      <c r="M272" s="115"/>
      <c r="N272" s="129"/>
      <c r="O272" s="13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15"/>
      <c r="AE272" s="127"/>
      <c r="AF272" s="29"/>
    </row>
    <row r="273" spans="1:32" ht="19.5" x14ac:dyDescent="0.4">
      <c r="A273" s="117"/>
      <c r="B273" s="123"/>
      <c r="C273" s="123"/>
      <c r="D273" s="123"/>
      <c r="H273" s="115"/>
      <c r="I273" s="115"/>
      <c r="J273" s="115"/>
      <c r="K273" s="115"/>
      <c r="L273" s="115"/>
      <c r="M273" s="115"/>
      <c r="N273" s="26"/>
      <c r="O273" s="13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27"/>
      <c r="AF273" s="29"/>
    </row>
    <row r="274" spans="1:32" ht="19.5" x14ac:dyDescent="0.4">
      <c r="A274" s="117"/>
      <c r="B274" s="123"/>
      <c r="C274" s="123"/>
      <c r="D274" s="123"/>
      <c r="H274" s="115"/>
      <c r="I274" s="115"/>
      <c r="J274" s="115"/>
      <c r="K274" s="115"/>
      <c r="L274" s="115"/>
      <c r="M274" s="115"/>
      <c r="N274" s="26"/>
      <c r="O274" s="13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15"/>
      <c r="AE274" s="127"/>
      <c r="AF274" s="29"/>
    </row>
    <row r="275" spans="1:32" ht="19.5" x14ac:dyDescent="0.4">
      <c r="A275" s="117"/>
      <c r="B275" s="123"/>
      <c r="C275" s="123"/>
      <c r="D275" s="123"/>
      <c r="H275" s="115"/>
      <c r="I275" s="115"/>
      <c r="J275" s="115"/>
      <c r="K275" s="115"/>
      <c r="L275" s="115"/>
      <c r="M275" s="115"/>
      <c r="N275" s="129"/>
      <c r="O275" s="13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15"/>
      <c r="AE275" s="127"/>
      <c r="AF275" s="29"/>
    </row>
    <row r="276" spans="1:32" ht="19.5" x14ac:dyDescent="0.4">
      <c r="A276" s="117"/>
      <c r="B276" s="123"/>
      <c r="C276" s="123"/>
      <c r="D276" s="123"/>
      <c r="H276" s="115"/>
      <c r="I276" s="115"/>
      <c r="J276" s="115"/>
      <c r="K276" s="115"/>
      <c r="L276" s="115"/>
      <c r="M276" s="115"/>
      <c r="N276" s="26"/>
      <c r="O276" s="13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115"/>
      <c r="AD276" s="115"/>
      <c r="AE276" s="127"/>
      <c r="AF276" s="29"/>
    </row>
    <row r="277" spans="1:32" ht="19.5" x14ac:dyDescent="0.4">
      <c r="A277" s="117"/>
      <c r="B277" s="123"/>
      <c r="C277" s="123"/>
      <c r="D277" s="123"/>
      <c r="H277" s="115"/>
      <c r="I277" s="115"/>
      <c r="J277" s="115"/>
      <c r="K277" s="115"/>
      <c r="L277" s="115"/>
      <c r="M277" s="115"/>
      <c r="N277" s="26"/>
      <c r="O277" s="13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27"/>
      <c r="AF277" s="29"/>
    </row>
    <row r="278" spans="1:32" ht="19.5" x14ac:dyDescent="0.4">
      <c r="A278" s="117"/>
      <c r="B278" s="123"/>
      <c r="C278" s="123"/>
      <c r="D278" s="123"/>
      <c r="H278" s="115"/>
      <c r="I278" s="115"/>
      <c r="J278" s="115"/>
      <c r="K278" s="115"/>
      <c r="L278" s="115"/>
      <c r="M278" s="115"/>
      <c r="N278" s="26"/>
      <c r="O278" s="13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15"/>
      <c r="AE278" s="29"/>
      <c r="AF278" s="29"/>
    </row>
    <row r="279" spans="1:32" ht="19.5" x14ac:dyDescent="0.4">
      <c r="A279" s="117"/>
      <c r="B279" s="123"/>
      <c r="C279" s="123"/>
      <c r="D279" s="123"/>
      <c r="H279" s="115"/>
      <c r="I279" s="115"/>
      <c r="J279" s="115"/>
      <c r="K279" s="115"/>
      <c r="L279" s="115"/>
      <c r="M279" s="115"/>
      <c r="N279" s="26"/>
      <c r="O279" s="13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15"/>
      <c r="AE279" s="127"/>
      <c r="AF279" s="29"/>
    </row>
    <row r="280" spans="1:32" ht="19.5" x14ac:dyDescent="0.4">
      <c r="A280" s="117"/>
      <c r="B280" s="123"/>
      <c r="C280" s="123"/>
      <c r="D280" s="123"/>
      <c r="H280" s="115"/>
      <c r="I280" s="115"/>
      <c r="J280" s="115"/>
      <c r="K280" s="115"/>
      <c r="L280" s="115"/>
      <c r="M280" s="115"/>
      <c r="N280" s="129"/>
      <c r="O280" s="13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15"/>
      <c r="AE280" s="127"/>
      <c r="AF280" s="29"/>
    </row>
    <row r="281" spans="1:32" ht="19.5" x14ac:dyDescent="0.4">
      <c r="A281" s="117"/>
      <c r="B281" s="123"/>
      <c r="C281" s="123"/>
      <c r="D281" s="123"/>
      <c r="H281" s="115"/>
      <c r="I281" s="115"/>
      <c r="J281" s="115"/>
      <c r="K281" s="115"/>
      <c r="L281" s="115"/>
      <c r="M281" s="115"/>
      <c r="N281" s="26"/>
      <c r="O281" s="13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15"/>
      <c r="AE281" s="29"/>
      <c r="AF281" s="29"/>
    </row>
    <row r="282" spans="1:32" ht="19.5" x14ac:dyDescent="0.4">
      <c r="A282" s="117"/>
      <c r="B282" s="123"/>
      <c r="C282" s="123"/>
      <c r="D282" s="123"/>
      <c r="H282" s="115"/>
      <c r="I282" s="115"/>
      <c r="J282" s="115"/>
      <c r="K282" s="115"/>
      <c r="L282" s="115"/>
      <c r="M282" s="115"/>
      <c r="N282" s="129"/>
      <c r="O282" s="13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115"/>
      <c r="AE282" s="29"/>
      <c r="AF282" s="29"/>
    </row>
    <row r="283" spans="1:32" ht="19.5" x14ac:dyDescent="0.4">
      <c r="A283" s="117"/>
      <c r="B283" s="123"/>
      <c r="C283" s="123"/>
      <c r="D283" s="123"/>
      <c r="H283" s="115"/>
      <c r="I283" s="115"/>
      <c r="J283" s="115"/>
      <c r="K283" s="115"/>
      <c r="L283" s="115"/>
      <c r="M283" s="115"/>
      <c r="N283" s="26"/>
      <c r="O283" s="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15"/>
      <c r="AE283" s="127"/>
      <c r="AF283" s="29"/>
    </row>
    <row r="284" spans="1:32" ht="19.5" x14ac:dyDescent="0.4">
      <c r="A284" s="117"/>
      <c r="B284" s="123"/>
      <c r="C284" s="123"/>
      <c r="D284" s="123"/>
      <c r="H284" s="115"/>
      <c r="I284" s="115"/>
      <c r="J284" s="115"/>
      <c r="K284" s="115"/>
      <c r="L284" s="115"/>
      <c r="M284" s="115"/>
      <c r="N284" s="129"/>
      <c r="O284" s="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15"/>
      <c r="AE284" s="127"/>
      <c r="AF284" s="29"/>
    </row>
    <row r="285" spans="1:32" ht="19.5" x14ac:dyDescent="0.4">
      <c r="A285" s="117"/>
      <c r="B285" s="123"/>
      <c r="C285" s="123"/>
      <c r="D285" s="123"/>
      <c r="H285" s="115"/>
      <c r="I285" s="115"/>
      <c r="J285" s="115"/>
      <c r="K285" s="115"/>
      <c r="L285" s="115"/>
      <c r="M285" s="115"/>
      <c r="N285" s="26"/>
      <c r="O285" s="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15"/>
      <c r="AE285" s="127"/>
      <c r="AF285" s="29"/>
    </row>
    <row r="286" spans="1:32" ht="19.5" x14ac:dyDescent="0.4">
      <c r="A286" s="117"/>
      <c r="B286" s="123"/>
      <c r="C286" s="123"/>
      <c r="D286" s="123"/>
      <c r="H286" s="115"/>
      <c r="I286" s="115"/>
      <c r="J286" s="115"/>
      <c r="K286" s="115"/>
      <c r="L286" s="115"/>
      <c r="M286" s="115"/>
      <c r="N286" s="129"/>
      <c r="O286" s="13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15"/>
      <c r="AE286" s="127"/>
      <c r="AF286" s="29"/>
    </row>
    <row r="287" spans="1:32" ht="19.5" x14ac:dyDescent="0.4">
      <c r="A287" s="117"/>
      <c r="B287" s="123"/>
      <c r="C287" s="123"/>
      <c r="D287" s="123"/>
      <c r="H287" s="115"/>
      <c r="I287" s="115"/>
      <c r="J287" s="115"/>
      <c r="K287" s="115"/>
      <c r="L287" s="115"/>
      <c r="M287" s="115"/>
      <c r="N287" s="129"/>
      <c r="O287" s="13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115"/>
      <c r="AE287" s="127"/>
      <c r="AF287" s="29"/>
    </row>
    <row r="288" spans="1:32" ht="19.5" x14ac:dyDescent="0.4">
      <c r="A288" s="117"/>
      <c r="B288" s="123"/>
      <c r="C288" s="123"/>
      <c r="D288" s="123"/>
      <c r="H288" s="115"/>
      <c r="I288" s="115"/>
      <c r="J288" s="115"/>
      <c r="K288" s="115"/>
      <c r="L288" s="115"/>
      <c r="M288" s="115"/>
      <c r="N288" s="26"/>
      <c r="O288" s="13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15"/>
      <c r="AE288" s="127"/>
      <c r="AF288" s="29"/>
    </row>
    <row r="289" spans="1:32" ht="19.5" x14ac:dyDescent="0.4">
      <c r="A289" s="117"/>
      <c r="B289" s="123"/>
      <c r="C289" s="123"/>
      <c r="D289" s="123"/>
      <c r="H289" s="115"/>
      <c r="I289" s="115"/>
      <c r="J289" s="115"/>
      <c r="K289" s="115"/>
      <c r="L289" s="115"/>
      <c r="M289" s="115"/>
      <c r="N289" s="26"/>
      <c r="O289" s="13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15"/>
      <c r="AE289" s="29"/>
      <c r="AF289" s="29"/>
    </row>
    <row r="290" spans="1:32" ht="19.5" x14ac:dyDescent="0.4">
      <c r="A290" s="117"/>
      <c r="B290" s="123"/>
      <c r="C290" s="123"/>
      <c r="D290" s="123"/>
      <c r="H290" s="115"/>
      <c r="I290" s="115"/>
      <c r="J290" s="115"/>
      <c r="K290" s="115"/>
      <c r="L290" s="115"/>
      <c r="M290" s="115"/>
      <c r="N290" s="26"/>
      <c r="O290" s="13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15"/>
      <c r="AE290" s="127"/>
      <c r="AF290" s="29"/>
    </row>
    <row r="291" spans="1:32" ht="19.5" x14ac:dyDescent="0.4">
      <c r="A291" s="117"/>
      <c r="B291" s="123"/>
      <c r="C291" s="123"/>
      <c r="D291" s="123"/>
      <c r="H291" s="115"/>
      <c r="I291" s="115"/>
      <c r="J291" s="115"/>
      <c r="K291" s="115"/>
      <c r="L291" s="115"/>
      <c r="M291" s="115"/>
      <c r="N291" s="26"/>
      <c r="O291" s="13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15"/>
      <c r="AE291" s="29"/>
      <c r="AF291" s="29"/>
    </row>
    <row r="292" spans="1:32" ht="19.5" x14ac:dyDescent="0.4">
      <c r="A292" s="117"/>
      <c r="B292" s="123"/>
      <c r="C292" s="123"/>
      <c r="D292" s="123"/>
      <c r="H292" s="115"/>
      <c r="I292" s="115"/>
      <c r="J292" s="115"/>
      <c r="K292" s="115"/>
      <c r="L292" s="115"/>
      <c r="M292" s="115"/>
      <c r="N292" s="26"/>
      <c r="O292" s="13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115"/>
      <c r="AE292" s="127"/>
      <c r="AF292" s="29"/>
    </row>
    <row r="293" spans="1:32" ht="19.5" x14ac:dyDescent="0.4">
      <c r="A293" s="117"/>
      <c r="B293" s="123"/>
      <c r="C293" s="123"/>
      <c r="D293" s="123"/>
      <c r="H293" s="115"/>
      <c r="I293" s="115"/>
      <c r="J293" s="115"/>
      <c r="K293" s="115"/>
      <c r="L293" s="115"/>
      <c r="M293" s="115"/>
      <c r="N293" s="26"/>
      <c r="O293" s="13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15"/>
      <c r="AE293" s="29"/>
      <c r="AF293" s="29"/>
    </row>
    <row r="294" spans="1:32" ht="19.5" x14ac:dyDescent="0.4">
      <c r="A294" s="117"/>
      <c r="B294" s="123"/>
      <c r="C294" s="123"/>
      <c r="D294" s="123"/>
      <c r="H294" s="115"/>
      <c r="I294" s="115"/>
      <c r="J294" s="115"/>
      <c r="K294" s="115"/>
      <c r="L294" s="115"/>
      <c r="M294" s="115"/>
      <c r="N294" s="26"/>
      <c r="O294" s="13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15"/>
      <c r="AE294" s="127"/>
      <c r="AF294" s="29"/>
    </row>
    <row r="295" spans="1:32" ht="19.5" x14ac:dyDescent="0.4">
      <c r="A295" s="117"/>
      <c r="B295" s="123"/>
      <c r="C295" s="123"/>
      <c r="D295" s="123"/>
      <c r="H295" s="115"/>
      <c r="I295" s="115"/>
      <c r="J295" s="115"/>
      <c r="K295" s="115"/>
      <c r="L295" s="115"/>
      <c r="M295" s="115"/>
      <c r="N295" s="26"/>
      <c r="O295" s="13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15"/>
      <c r="AE295" s="29"/>
      <c r="AF295" s="29"/>
    </row>
    <row r="296" spans="1:32" ht="19.5" x14ac:dyDescent="0.4">
      <c r="A296" s="117"/>
      <c r="B296" s="123"/>
      <c r="C296" s="123"/>
      <c r="D296" s="123"/>
      <c r="H296" s="115"/>
      <c r="I296" s="115"/>
      <c r="J296" s="115"/>
      <c r="K296" s="115"/>
      <c r="L296" s="115"/>
      <c r="M296" s="115"/>
      <c r="N296" s="26"/>
      <c r="O296" s="13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15"/>
      <c r="AE296" s="127"/>
      <c r="AF296" s="29"/>
    </row>
    <row r="297" spans="1:32" ht="19.5" x14ac:dyDescent="0.4">
      <c r="A297" s="117"/>
      <c r="B297" s="123"/>
      <c r="C297" s="123"/>
      <c r="D297" s="123"/>
      <c r="H297" s="115"/>
      <c r="I297" s="115"/>
      <c r="J297" s="115"/>
      <c r="K297" s="115"/>
      <c r="L297" s="115"/>
      <c r="M297" s="115"/>
      <c r="N297" s="26"/>
      <c r="O297" s="13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15"/>
      <c r="AE297" s="29"/>
      <c r="AF297" s="29"/>
    </row>
    <row r="298" spans="1:32" ht="19.5" x14ac:dyDescent="0.4">
      <c r="A298" s="117"/>
      <c r="B298" s="123"/>
      <c r="C298" s="123"/>
      <c r="D298" s="123"/>
      <c r="N298" s="26"/>
      <c r="O298" s="13"/>
      <c r="AE298" s="127"/>
      <c r="AF298" s="29"/>
    </row>
    <row r="299" spans="1:32" ht="19.5" x14ac:dyDescent="0.4">
      <c r="A299" s="117"/>
      <c r="B299" s="123"/>
      <c r="C299" s="123"/>
      <c r="D299" s="123"/>
      <c r="H299" s="115"/>
      <c r="I299" s="115"/>
      <c r="J299" s="115"/>
      <c r="K299" s="115"/>
      <c r="L299" s="115"/>
      <c r="M299" s="115"/>
      <c r="N299" s="26"/>
      <c r="O299" s="13"/>
      <c r="AD299" s="115"/>
      <c r="AE299" s="29"/>
      <c r="AF299" s="29"/>
    </row>
    <row r="300" spans="1:32" ht="19.5" x14ac:dyDescent="0.4">
      <c r="A300" s="117"/>
      <c r="B300" s="123"/>
      <c r="C300" s="123"/>
      <c r="D300" s="123"/>
      <c r="H300" s="115"/>
      <c r="I300" s="115"/>
      <c r="J300" s="115"/>
      <c r="K300" s="115"/>
      <c r="L300" s="115"/>
      <c r="M300" s="115"/>
      <c r="N300" s="26"/>
      <c r="O300" s="13"/>
      <c r="AD300" s="115"/>
      <c r="AE300" s="29"/>
      <c r="AF300" s="29"/>
    </row>
    <row r="301" spans="1:32" ht="19.5" x14ac:dyDescent="0.4">
      <c r="A301" s="117"/>
      <c r="B301" s="123"/>
      <c r="C301" s="123"/>
      <c r="D301" s="123"/>
      <c r="H301" s="115"/>
      <c r="I301" s="115"/>
      <c r="J301" s="115"/>
      <c r="K301" s="115"/>
      <c r="L301" s="115"/>
      <c r="M301" s="115"/>
      <c r="N301" s="26"/>
      <c r="O301" s="13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127"/>
      <c r="AF301" s="29"/>
    </row>
    <row r="302" spans="1:32" ht="19.5" x14ac:dyDescent="0.4">
      <c r="A302" s="117"/>
      <c r="B302" s="123"/>
      <c r="C302" s="123"/>
      <c r="D302" s="123"/>
      <c r="N302" s="26"/>
      <c r="O302" s="13"/>
      <c r="AE302" s="127"/>
      <c r="AF302" s="29"/>
    </row>
    <row r="303" spans="1:32" ht="19.5" x14ac:dyDescent="0.4">
      <c r="A303" s="117"/>
      <c r="B303" s="123"/>
      <c r="C303" s="123"/>
      <c r="D303" s="123"/>
      <c r="I303" s="115"/>
      <c r="J303" s="115"/>
      <c r="K303" s="115"/>
      <c r="L303" s="115"/>
      <c r="M303" s="115"/>
      <c r="N303" s="17"/>
      <c r="O303" s="13"/>
      <c r="AE303" s="127"/>
      <c r="AF303" s="29"/>
    </row>
    <row r="304" spans="1:32" ht="19.5" x14ac:dyDescent="0.4">
      <c r="A304" s="117"/>
      <c r="B304" s="123"/>
      <c r="C304" s="123"/>
      <c r="D304" s="123"/>
      <c r="H304" s="115"/>
      <c r="I304" s="115"/>
      <c r="J304" s="115"/>
      <c r="K304" s="115"/>
      <c r="L304" s="115"/>
      <c r="M304" s="115"/>
      <c r="N304" s="26"/>
      <c r="O304" s="13"/>
      <c r="Z304" s="115"/>
      <c r="AA304" s="115"/>
      <c r="AB304" s="115"/>
      <c r="AC304" s="115"/>
      <c r="AD304" s="115"/>
      <c r="AE304" s="127"/>
      <c r="AF304" s="29"/>
    </row>
    <row r="305" spans="1:32" ht="19.5" x14ac:dyDescent="0.4">
      <c r="A305" s="117"/>
      <c r="B305" s="123"/>
      <c r="C305" s="123"/>
      <c r="D305" s="123"/>
      <c r="H305" s="115"/>
      <c r="I305" s="115"/>
      <c r="J305" s="115"/>
      <c r="K305" s="115"/>
      <c r="L305" s="115"/>
      <c r="M305" s="115"/>
      <c r="N305" s="17"/>
      <c r="O305" s="13"/>
      <c r="Z305" s="115"/>
      <c r="AA305" s="115"/>
      <c r="AB305" s="115"/>
      <c r="AC305" s="115"/>
      <c r="AD305" s="115"/>
      <c r="AE305" s="127"/>
      <c r="AF305" s="29"/>
    </row>
    <row r="306" spans="1:32" ht="19.5" x14ac:dyDescent="0.4">
      <c r="A306" s="117"/>
      <c r="B306" s="123"/>
      <c r="C306" s="123"/>
      <c r="D306" s="123"/>
      <c r="H306" s="115"/>
      <c r="I306" s="115"/>
      <c r="J306" s="115"/>
      <c r="K306" s="115"/>
      <c r="L306" s="115"/>
      <c r="M306" s="115"/>
      <c r="N306" s="26"/>
      <c r="O306" s="13"/>
      <c r="V306" s="115"/>
      <c r="W306" s="115"/>
      <c r="X306" s="115"/>
      <c r="Y306" s="115"/>
      <c r="Z306" s="115"/>
      <c r="AA306" s="115"/>
      <c r="AB306" s="115"/>
      <c r="AC306" s="115"/>
      <c r="AD306" s="115"/>
      <c r="AE306" s="127"/>
      <c r="AF306" s="29"/>
    </row>
    <row r="307" spans="1:32" ht="19.5" x14ac:dyDescent="0.4">
      <c r="A307" s="117"/>
      <c r="B307" s="123"/>
      <c r="C307" s="123"/>
      <c r="D307" s="123"/>
      <c r="H307" s="115"/>
      <c r="I307" s="115"/>
      <c r="J307" s="115"/>
      <c r="K307" s="115"/>
      <c r="L307" s="115"/>
      <c r="M307" s="115"/>
      <c r="N307" s="26"/>
      <c r="O307" s="15"/>
      <c r="V307" s="115"/>
      <c r="W307" s="115"/>
      <c r="X307" s="115"/>
      <c r="Y307" s="115"/>
      <c r="Z307" s="115"/>
      <c r="AA307" s="115"/>
      <c r="AB307" s="115"/>
      <c r="AC307" s="115"/>
      <c r="AD307" s="115"/>
      <c r="AE307" s="127"/>
      <c r="AF307" s="29"/>
    </row>
    <row r="308" spans="1:32" ht="19.5" x14ac:dyDescent="0.4">
      <c r="A308" s="117"/>
      <c r="B308" s="123"/>
      <c r="C308" s="123"/>
      <c r="D308" s="123"/>
      <c r="H308" s="115"/>
      <c r="I308" s="115"/>
      <c r="J308" s="115"/>
      <c r="K308" s="115"/>
      <c r="L308" s="115"/>
      <c r="M308" s="115"/>
      <c r="N308" s="17"/>
      <c r="O308" s="15"/>
      <c r="V308" s="115"/>
      <c r="W308" s="115"/>
      <c r="X308" s="115"/>
      <c r="Y308" s="115"/>
      <c r="Z308" s="115"/>
      <c r="AA308" s="115"/>
      <c r="AB308" s="115"/>
      <c r="AC308" s="115"/>
      <c r="AD308" s="115"/>
      <c r="AE308" s="127"/>
      <c r="AF308" s="29"/>
    </row>
    <row r="309" spans="1:32" ht="19.5" x14ac:dyDescent="0.4">
      <c r="A309" s="117"/>
      <c r="B309" s="123"/>
      <c r="C309" s="123"/>
      <c r="D309" s="123"/>
      <c r="H309" s="115"/>
      <c r="I309" s="115"/>
      <c r="J309" s="115"/>
      <c r="K309" s="115"/>
      <c r="L309" s="115"/>
      <c r="M309" s="115"/>
      <c r="N309" s="26"/>
      <c r="O309" s="15"/>
      <c r="V309" s="115"/>
      <c r="W309" s="115"/>
      <c r="X309" s="115"/>
      <c r="Y309" s="115"/>
      <c r="Z309" s="115"/>
      <c r="AA309" s="115"/>
      <c r="AB309" s="115"/>
      <c r="AC309" s="115"/>
      <c r="AD309" s="115"/>
      <c r="AE309" s="29"/>
      <c r="AF309" s="29"/>
    </row>
    <row r="310" spans="1:32" ht="19.5" x14ac:dyDescent="0.4">
      <c r="A310" s="117"/>
      <c r="B310" s="123"/>
      <c r="C310" s="123"/>
      <c r="D310" s="123"/>
      <c r="H310" s="115"/>
      <c r="I310" s="115"/>
      <c r="J310" s="115"/>
      <c r="K310" s="115"/>
      <c r="L310" s="115"/>
      <c r="M310" s="115"/>
      <c r="N310" s="26"/>
      <c r="O310" s="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15"/>
      <c r="AE310" s="127"/>
      <c r="AF310" s="29"/>
    </row>
    <row r="311" spans="1:32" ht="19.5" x14ac:dyDescent="0.4">
      <c r="A311" s="117"/>
      <c r="B311" s="123"/>
      <c r="C311" s="123"/>
      <c r="D311" s="123"/>
      <c r="H311" s="115"/>
      <c r="I311" s="115"/>
      <c r="J311" s="115"/>
      <c r="K311" s="115"/>
      <c r="L311" s="115"/>
      <c r="M311" s="115"/>
      <c r="N311" s="17"/>
      <c r="O311" s="13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15"/>
      <c r="AE311" s="127"/>
      <c r="AF311" s="29"/>
    </row>
    <row r="312" spans="1:32" ht="19.5" x14ac:dyDescent="0.4">
      <c r="A312" s="117"/>
      <c r="B312" s="123"/>
      <c r="C312" s="123"/>
      <c r="D312" s="123"/>
      <c r="H312" s="115"/>
      <c r="I312" s="115"/>
      <c r="J312" s="115"/>
      <c r="K312" s="115"/>
      <c r="L312" s="115"/>
      <c r="M312" s="115"/>
      <c r="N312" s="17"/>
      <c r="O312" s="13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15"/>
      <c r="AE312" s="127"/>
      <c r="AF312" s="29"/>
    </row>
    <row r="313" spans="1:32" ht="19.5" x14ac:dyDescent="0.4">
      <c r="A313" s="117"/>
      <c r="B313" s="123"/>
      <c r="C313" s="123"/>
      <c r="D313" s="123"/>
      <c r="H313" s="115"/>
      <c r="I313" s="115"/>
      <c r="J313" s="115"/>
      <c r="K313" s="115"/>
      <c r="L313" s="115"/>
      <c r="M313" s="115"/>
      <c r="N313" s="17"/>
      <c r="O313" s="13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15"/>
      <c r="AE313" s="29"/>
      <c r="AF313" s="29"/>
    </row>
    <row r="314" spans="1:32" ht="19.5" x14ac:dyDescent="0.4">
      <c r="A314" s="117"/>
      <c r="B314" s="123"/>
      <c r="C314" s="123"/>
      <c r="D314" s="123"/>
      <c r="H314" s="115"/>
      <c r="I314" s="115"/>
      <c r="J314" s="115"/>
      <c r="K314" s="115"/>
      <c r="L314" s="115"/>
      <c r="M314" s="115"/>
      <c r="N314" s="26"/>
      <c r="O314" s="13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15"/>
      <c r="AE314" s="127"/>
      <c r="AF314" s="29"/>
    </row>
    <row r="315" spans="1:32" ht="19.5" x14ac:dyDescent="0.4">
      <c r="A315" s="117"/>
      <c r="B315" s="123"/>
      <c r="C315" s="123"/>
      <c r="D315" s="123"/>
      <c r="H315" s="115"/>
      <c r="I315" s="115"/>
      <c r="J315" s="115"/>
      <c r="K315" s="115"/>
      <c r="L315" s="115"/>
      <c r="M315" s="115"/>
      <c r="N315" s="26"/>
      <c r="O315" s="13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15"/>
      <c r="AE315" s="127"/>
      <c r="AF315" s="29"/>
    </row>
    <row r="316" spans="1:32" ht="19.5" x14ac:dyDescent="0.4">
      <c r="A316" s="117"/>
      <c r="B316" s="123"/>
      <c r="C316" s="123"/>
      <c r="D316" s="123"/>
      <c r="H316" s="115"/>
      <c r="I316" s="115"/>
      <c r="J316" s="115"/>
      <c r="K316" s="115"/>
      <c r="L316" s="115"/>
      <c r="M316" s="115"/>
      <c r="N316" s="26"/>
      <c r="O316" s="2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115"/>
      <c r="AE316" s="127"/>
      <c r="AF316" s="127"/>
    </row>
    <row r="317" spans="1:32" ht="19.5" x14ac:dyDescent="0.4">
      <c r="A317" s="117"/>
      <c r="B317" s="123"/>
      <c r="C317" s="123"/>
      <c r="D317" s="123"/>
      <c r="H317" s="115"/>
      <c r="I317" s="115"/>
      <c r="J317" s="115"/>
      <c r="K317" s="115"/>
      <c r="L317" s="115"/>
      <c r="M317" s="115"/>
      <c r="N317" s="26"/>
      <c r="O317" s="13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15"/>
      <c r="AE317" s="127"/>
      <c r="AF317" s="29"/>
    </row>
    <row r="318" spans="1:32" ht="19.5" x14ac:dyDescent="0.4">
      <c r="A318" s="117"/>
      <c r="B318" s="123"/>
      <c r="C318" s="123"/>
      <c r="D318" s="123"/>
      <c r="N318" s="26"/>
      <c r="O318" s="13"/>
      <c r="AE318" s="127"/>
      <c r="AF318" s="29"/>
    </row>
    <row r="319" spans="1:32" ht="19.5" x14ac:dyDescent="0.4">
      <c r="A319" s="117"/>
      <c r="B319" s="123"/>
      <c r="C319" s="123"/>
      <c r="D319" s="123"/>
      <c r="H319" s="115"/>
      <c r="I319" s="115"/>
      <c r="J319" s="115"/>
      <c r="K319" s="115"/>
      <c r="L319" s="115"/>
      <c r="M319" s="115"/>
      <c r="N319" s="26"/>
      <c r="O319" s="13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115"/>
      <c r="AE319" s="127"/>
      <c r="AF319" s="29"/>
    </row>
    <row r="320" spans="1:32" ht="19.5" x14ac:dyDescent="0.4">
      <c r="A320" s="117"/>
      <c r="B320" s="123"/>
      <c r="C320" s="123"/>
      <c r="D320" s="123"/>
      <c r="H320" s="115"/>
      <c r="I320" s="115"/>
      <c r="J320" s="115"/>
      <c r="K320" s="115"/>
      <c r="L320" s="115"/>
      <c r="M320" s="115"/>
      <c r="N320" s="26"/>
      <c r="O320" s="13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127"/>
      <c r="AF320" s="29"/>
    </row>
    <row r="321" spans="1:32" ht="19.5" x14ac:dyDescent="0.4">
      <c r="A321" s="117"/>
      <c r="B321" s="123"/>
      <c r="C321" s="123"/>
      <c r="D321" s="123"/>
      <c r="H321" s="115"/>
      <c r="I321" s="115"/>
      <c r="J321" s="115"/>
      <c r="K321" s="115"/>
      <c r="L321" s="115"/>
      <c r="M321" s="115"/>
      <c r="N321" s="26"/>
      <c r="O321" s="13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15"/>
      <c r="AE321" s="127"/>
      <c r="AF321" s="29"/>
    </row>
    <row r="322" spans="1:32" ht="19.5" x14ac:dyDescent="0.4">
      <c r="A322" s="117"/>
      <c r="B322" s="123"/>
      <c r="C322" s="123"/>
      <c r="D322" s="123"/>
      <c r="H322" s="115"/>
      <c r="I322" s="115"/>
      <c r="J322" s="115"/>
      <c r="K322" s="115"/>
      <c r="L322" s="115"/>
      <c r="M322" s="115"/>
      <c r="N322" s="26"/>
      <c r="O322" s="13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15"/>
      <c r="AE322" s="127"/>
      <c r="AF322" s="29"/>
    </row>
    <row r="323" spans="1:32" ht="19.5" x14ac:dyDescent="0.4">
      <c r="A323" s="117"/>
      <c r="B323" s="123"/>
      <c r="C323" s="123"/>
      <c r="D323" s="123"/>
      <c r="H323" s="115"/>
      <c r="I323" s="115"/>
      <c r="J323" s="115"/>
      <c r="K323" s="115"/>
      <c r="L323" s="115"/>
      <c r="M323" s="115"/>
      <c r="N323" s="26"/>
      <c r="O323" s="13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27"/>
      <c r="AF323" s="29"/>
    </row>
    <row r="324" spans="1:32" ht="19.5" x14ac:dyDescent="0.4">
      <c r="A324" s="117"/>
      <c r="B324" s="123"/>
      <c r="C324" s="123"/>
      <c r="D324" s="123"/>
      <c r="H324" s="115"/>
      <c r="I324" s="115"/>
      <c r="J324" s="115"/>
      <c r="K324" s="115"/>
      <c r="L324" s="115"/>
      <c r="M324" s="115"/>
      <c r="N324" s="26"/>
      <c r="O324" s="13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15"/>
      <c r="AE324" s="127"/>
      <c r="AF324" s="29"/>
    </row>
    <row r="325" spans="1:32" ht="19.5" x14ac:dyDescent="0.4">
      <c r="A325" s="117"/>
      <c r="B325" s="123"/>
      <c r="C325" s="123"/>
      <c r="D325" s="123"/>
      <c r="H325" s="115"/>
      <c r="I325" s="115"/>
      <c r="J325" s="115"/>
      <c r="K325" s="115"/>
      <c r="L325" s="115"/>
      <c r="M325" s="115"/>
      <c r="N325" s="26"/>
      <c r="O325" s="13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27"/>
      <c r="AF325" s="29"/>
    </row>
    <row r="326" spans="1:32" ht="19.5" x14ac:dyDescent="0.4">
      <c r="A326" s="117"/>
      <c r="B326" s="123"/>
      <c r="C326" s="123"/>
      <c r="D326" s="123"/>
      <c r="H326" s="115"/>
      <c r="I326" s="115"/>
      <c r="J326" s="115"/>
      <c r="K326" s="115"/>
      <c r="L326" s="115"/>
      <c r="M326" s="115"/>
      <c r="N326" s="26"/>
      <c r="O326" s="13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15"/>
      <c r="AE326" s="127"/>
      <c r="AF326" s="29"/>
    </row>
    <row r="327" spans="1:32" ht="19.5" x14ac:dyDescent="0.4">
      <c r="A327" s="117"/>
      <c r="B327" s="123"/>
      <c r="C327" s="123"/>
      <c r="D327" s="123"/>
      <c r="H327" s="115"/>
      <c r="I327" s="115"/>
      <c r="J327" s="115"/>
      <c r="K327" s="115"/>
      <c r="L327" s="115"/>
      <c r="M327" s="115"/>
      <c r="N327" s="26"/>
      <c r="O327" s="13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15"/>
      <c r="AE327" s="127"/>
      <c r="AF327" s="29"/>
    </row>
    <row r="328" spans="1:32" ht="19.5" x14ac:dyDescent="0.4">
      <c r="A328" s="117"/>
      <c r="B328" s="123"/>
      <c r="C328" s="123"/>
      <c r="D328" s="123"/>
      <c r="H328" s="115"/>
      <c r="I328" s="115"/>
      <c r="J328" s="115"/>
      <c r="K328" s="115"/>
      <c r="L328" s="115"/>
      <c r="M328" s="115"/>
      <c r="N328" s="26"/>
      <c r="O328" s="13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115"/>
      <c r="AE328" s="127"/>
      <c r="AF328" s="29"/>
    </row>
    <row r="329" spans="1:32" ht="19.5" x14ac:dyDescent="0.4">
      <c r="A329" s="117"/>
      <c r="B329" s="123"/>
      <c r="C329" s="123"/>
      <c r="D329" s="123"/>
      <c r="N329" s="26"/>
      <c r="O329" s="13"/>
      <c r="AE329" s="127"/>
      <c r="AF329" s="29"/>
    </row>
    <row r="330" spans="1:32" ht="19.5" x14ac:dyDescent="0.4">
      <c r="A330" s="117"/>
      <c r="B330" s="123"/>
      <c r="C330" s="123"/>
      <c r="D330" s="123"/>
      <c r="H330" s="115"/>
      <c r="I330" s="115"/>
      <c r="J330" s="115"/>
      <c r="K330" s="115"/>
      <c r="L330" s="115"/>
      <c r="M330" s="115"/>
      <c r="N330" s="17"/>
      <c r="O330" s="13"/>
      <c r="AC330" s="115"/>
      <c r="AD330" s="115"/>
      <c r="AE330" s="29"/>
      <c r="AF330" s="29"/>
    </row>
    <row r="331" spans="1:32" ht="19.5" x14ac:dyDescent="0.4">
      <c r="A331" s="117"/>
      <c r="B331" s="123"/>
      <c r="C331" s="123"/>
      <c r="D331" s="123"/>
      <c r="H331" s="115"/>
      <c r="I331" s="115"/>
      <c r="J331" s="115"/>
      <c r="K331" s="115"/>
      <c r="L331" s="115"/>
      <c r="M331" s="115"/>
      <c r="N331" s="26"/>
      <c r="O331" s="13"/>
      <c r="AA331" s="115"/>
      <c r="AB331" s="115"/>
      <c r="AC331" s="115"/>
      <c r="AD331" s="115"/>
      <c r="AE331" s="127"/>
      <c r="AF331" s="29"/>
    </row>
    <row r="332" spans="1:32" ht="19.5" x14ac:dyDescent="0.4">
      <c r="A332" s="117"/>
      <c r="B332" s="123"/>
      <c r="C332" s="123"/>
      <c r="D332" s="123"/>
      <c r="H332" s="115"/>
      <c r="I332" s="115"/>
      <c r="J332" s="115"/>
      <c r="K332" s="115"/>
      <c r="L332" s="115"/>
      <c r="M332" s="115"/>
      <c r="N332" s="26"/>
      <c r="O332" s="13"/>
      <c r="AA332" s="115"/>
      <c r="AB332" s="115"/>
      <c r="AC332" s="115"/>
      <c r="AD332" s="115"/>
      <c r="AE332" s="127"/>
      <c r="AF332" s="29"/>
    </row>
    <row r="333" spans="1:32" ht="19.5" x14ac:dyDescent="0.4">
      <c r="A333" s="117"/>
      <c r="B333" s="123"/>
      <c r="C333" s="123"/>
      <c r="D333" s="123"/>
      <c r="H333" s="115"/>
      <c r="I333" s="115"/>
      <c r="J333" s="115"/>
      <c r="K333" s="115"/>
      <c r="L333" s="115"/>
      <c r="M333" s="115"/>
      <c r="N333" s="26"/>
      <c r="O333" s="13"/>
      <c r="Z333" s="115"/>
      <c r="AA333" s="115"/>
      <c r="AB333" s="115"/>
      <c r="AC333" s="115"/>
      <c r="AD333" s="115"/>
      <c r="AE333" s="127"/>
      <c r="AF333" s="29"/>
    </row>
    <row r="334" spans="1:32" ht="19.5" x14ac:dyDescent="0.4">
      <c r="A334" s="117"/>
      <c r="B334" s="123"/>
      <c r="C334" s="123"/>
      <c r="D334" s="123"/>
      <c r="N334" s="26"/>
      <c r="O334" s="13"/>
      <c r="AE334" s="127"/>
      <c r="AF334" s="29"/>
    </row>
    <row r="335" spans="1:32" ht="19.5" x14ac:dyDescent="0.4">
      <c r="A335" s="117"/>
      <c r="B335" s="123"/>
      <c r="C335" s="123"/>
      <c r="D335" s="123"/>
      <c r="H335" s="115"/>
      <c r="I335" s="115"/>
      <c r="J335" s="115"/>
      <c r="K335" s="115"/>
      <c r="L335" s="115"/>
      <c r="M335" s="115"/>
      <c r="N335" s="26"/>
      <c r="O335" s="13"/>
      <c r="V335" s="115"/>
      <c r="W335" s="115"/>
      <c r="X335" s="115"/>
      <c r="Y335" s="115"/>
      <c r="Z335" s="115"/>
      <c r="AA335" s="115"/>
      <c r="AB335" s="115"/>
      <c r="AC335" s="115"/>
      <c r="AD335" s="115"/>
      <c r="AE335" s="127"/>
      <c r="AF335" s="29"/>
    </row>
    <row r="336" spans="1:32" ht="19.5" x14ac:dyDescent="0.4">
      <c r="A336" s="117"/>
      <c r="B336" s="123"/>
      <c r="C336" s="123"/>
      <c r="D336" s="123"/>
      <c r="H336" s="115"/>
      <c r="I336" s="115"/>
      <c r="J336" s="115"/>
      <c r="K336" s="115"/>
      <c r="L336" s="115"/>
      <c r="M336" s="115"/>
      <c r="N336" s="17"/>
      <c r="O336" s="13"/>
      <c r="V336" s="115"/>
      <c r="W336" s="115"/>
      <c r="X336" s="115"/>
      <c r="Y336" s="115"/>
      <c r="Z336" s="115"/>
      <c r="AA336" s="115"/>
      <c r="AB336" s="115"/>
      <c r="AC336" s="115"/>
      <c r="AD336" s="115"/>
      <c r="AE336" s="29"/>
      <c r="AF336" s="29"/>
    </row>
    <row r="337" spans="1:32" ht="19.5" x14ac:dyDescent="0.4">
      <c r="A337" s="117"/>
      <c r="B337" s="123"/>
      <c r="C337" s="123"/>
      <c r="D337" s="123"/>
      <c r="H337" s="115"/>
      <c r="I337" s="115"/>
      <c r="J337" s="115"/>
      <c r="K337" s="115"/>
      <c r="L337" s="115"/>
      <c r="M337" s="115"/>
      <c r="N337" s="26"/>
      <c r="O337" s="13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127"/>
      <c r="AF337" s="29"/>
    </row>
    <row r="338" spans="1:32" ht="19.5" x14ac:dyDescent="0.4">
      <c r="A338" s="117"/>
      <c r="B338" s="123"/>
      <c r="C338" s="123"/>
      <c r="D338" s="123"/>
      <c r="H338" s="115"/>
      <c r="I338" s="115"/>
      <c r="J338" s="115"/>
      <c r="K338" s="115"/>
      <c r="L338" s="115"/>
      <c r="M338" s="115"/>
      <c r="N338" s="26"/>
      <c r="O338" s="13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127"/>
      <c r="AF338" s="29"/>
    </row>
    <row r="339" spans="1:32" ht="19.5" x14ac:dyDescent="0.4">
      <c r="A339" s="117"/>
      <c r="B339" s="123"/>
      <c r="C339" s="123"/>
      <c r="D339" s="123"/>
      <c r="H339" s="115"/>
      <c r="I339" s="115"/>
      <c r="J339" s="115"/>
      <c r="K339" s="115"/>
      <c r="L339" s="115"/>
      <c r="M339" s="115"/>
      <c r="N339" s="26"/>
      <c r="O339" s="13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27"/>
      <c r="AF339" s="29"/>
    </row>
    <row r="340" spans="1:32" ht="19.5" x14ac:dyDescent="0.4">
      <c r="A340" s="117"/>
      <c r="B340" s="123"/>
      <c r="C340" s="123"/>
      <c r="D340" s="123"/>
      <c r="H340" s="115"/>
      <c r="I340" s="115"/>
      <c r="J340" s="115"/>
      <c r="K340" s="115"/>
      <c r="L340" s="115"/>
      <c r="M340" s="115"/>
      <c r="N340" s="26"/>
      <c r="O340" s="13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27"/>
      <c r="AF340" s="29"/>
    </row>
    <row r="341" spans="1:32" ht="19.5" x14ac:dyDescent="0.4">
      <c r="A341" s="117"/>
      <c r="B341" s="123"/>
      <c r="C341" s="123"/>
      <c r="D341" s="123"/>
      <c r="H341" s="115"/>
      <c r="I341" s="115"/>
      <c r="J341" s="115"/>
      <c r="K341" s="115"/>
      <c r="L341" s="115"/>
      <c r="M341" s="115"/>
      <c r="N341" s="17"/>
      <c r="O341" s="13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29"/>
      <c r="AF341" s="29"/>
    </row>
    <row r="342" spans="1:32" ht="19.5" x14ac:dyDescent="0.4">
      <c r="A342" s="117"/>
      <c r="B342" s="123"/>
      <c r="C342" s="123"/>
      <c r="D342" s="123"/>
      <c r="H342" s="115"/>
      <c r="I342" s="115"/>
      <c r="J342" s="115"/>
      <c r="K342" s="115"/>
      <c r="L342" s="115"/>
      <c r="M342" s="115"/>
      <c r="N342" s="26"/>
      <c r="O342" s="13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15"/>
      <c r="AE342" s="127"/>
      <c r="AF342" s="29"/>
    </row>
    <row r="343" spans="1:32" ht="19.5" x14ac:dyDescent="0.4">
      <c r="A343" s="117"/>
      <c r="B343" s="123"/>
      <c r="C343" s="123"/>
      <c r="D343" s="123"/>
      <c r="H343" s="115"/>
      <c r="I343" s="115"/>
      <c r="J343" s="115"/>
      <c r="K343" s="115"/>
      <c r="L343" s="115"/>
      <c r="M343" s="115"/>
      <c r="N343" s="26"/>
      <c r="O343" s="13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127"/>
      <c r="AF343" s="29"/>
    </row>
    <row r="344" spans="1:32" ht="19.5" x14ac:dyDescent="0.4">
      <c r="A344" s="117"/>
      <c r="B344" s="123"/>
      <c r="C344" s="123"/>
      <c r="D344" s="123"/>
      <c r="H344" s="115"/>
      <c r="I344" s="115"/>
      <c r="J344" s="115"/>
      <c r="K344" s="115"/>
      <c r="L344" s="115"/>
      <c r="M344" s="115"/>
      <c r="N344" s="17"/>
      <c r="O344" s="13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29"/>
      <c r="AF344" s="29"/>
    </row>
    <row r="345" spans="1:32" ht="19.5" x14ac:dyDescent="0.4">
      <c r="A345" s="117"/>
      <c r="B345" s="123"/>
      <c r="C345" s="123"/>
      <c r="D345" s="123"/>
      <c r="H345" s="115"/>
      <c r="I345" s="115"/>
      <c r="J345" s="115"/>
      <c r="K345" s="115"/>
      <c r="L345" s="115"/>
      <c r="M345" s="115"/>
      <c r="N345" s="26"/>
      <c r="O345" s="13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27"/>
      <c r="AF345" s="29"/>
    </row>
    <row r="346" spans="1:32" ht="19.5" x14ac:dyDescent="0.4">
      <c r="A346" s="117"/>
      <c r="B346" s="123"/>
      <c r="C346" s="123"/>
      <c r="D346" s="123"/>
      <c r="H346" s="115"/>
      <c r="I346" s="115"/>
      <c r="J346" s="115"/>
      <c r="K346" s="115"/>
      <c r="L346" s="115"/>
      <c r="M346" s="115"/>
      <c r="N346" s="17"/>
      <c r="O346" s="13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29"/>
      <c r="AF346" s="29"/>
    </row>
    <row r="347" spans="1:32" ht="19.5" x14ac:dyDescent="0.4">
      <c r="A347" s="117"/>
      <c r="B347" s="123"/>
      <c r="C347" s="123"/>
      <c r="D347" s="123"/>
      <c r="N347" s="26"/>
      <c r="O347" s="13"/>
      <c r="AE347" s="127"/>
      <c r="AF347" s="29"/>
    </row>
    <row r="348" spans="1:32" ht="19.5" x14ac:dyDescent="0.4">
      <c r="A348" s="117"/>
      <c r="B348" s="123"/>
      <c r="C348" s="123"/>
      <c r="D348" s="123"/>
      <c r="H348" s="115"/>
      <c r="I348" s="115"/>
      <c r="J348" s="115"/>
      <c r="K348" s="115"/>
      <c r="L348" s="115"/>
      <c r="M348" s="115"/>
      <c r="N348" s="17"/>
      <c r="O348" s="13"/>
      <c r="AC348" s="115"/>
      <c r="AD348" s="115"/>
      <c r="AE348" s="29"/>
      <c r="AF348" s="29"/>
    </row>
    <row r="349" spans="1:32" ht="19.5" x14ac:dyDescent="0.4">
      <c r="A349" s="117"/>
      <c r="B349" s="123"/>
      <c r="C349" s="123"/>
      <c r="D349" s="123"/>
      <c r="H349" s="115"/>
      <c r="I349" s="115"/>
      <c r="J349" s="115"/>
      <c r="K349" s="115"/>
      <c r="L349" s="115"/>
      <c r="M349" s="115"/>
      <c r="N349" s="17"/>
      <c r="O349" s="13"/>
      <c r="AC349" s="115"/>
      <c r="AD349" s="115"/>
      <c r="AE349" s="29"/>
      <c r="AF349" s="29"/>
    </row>
    <row r="350" spans="1:32" ht="19.5" x14ac:dyDescent="0.4">
      <c r="A350" s="117"/>
      <c r="B350" s="123"/>
      <c r="C350" s="123"/>
      <c r="D350" s="123"/>
      <c r="H350" s="115"/>
      <c r="I350" s="115"/>
      <c r="J350" s="115"/>
      <c r="K350" s="115"/>
      <c r="L350" s="115"/>
      <c r="M350" s="115"/>
      <c r="N350" s="17"/>
      <c r="O350" s="13"/>
      <c r="AB350" s="115"/>
      <c r="AC350" s="115"/>
      <c r="AD350" s="115"/>
      <c r="AE350" s="29"/>
      <c r="AF350" s="29"/>
    </row>
    <row r="351" spans="1:32" ht="19.5" x14ac:dyDescent="0.4">
      <c r="A351" s="117"/>
      <c r="B351" s="123"/>
      <c r="C351" s="123"/>
      <c r="D351" s="123"/>
      <c r="H351" s="115"/>
      <c r="I351" s="115"/>
      <c r="J351" s="115"/>
      <c r="K351" s="115"/>
      <c r="L351" s="115"/>
      <c r="M351" s="115"/>
      <c r="N351" s="26"/>
      <c r="O351" s="13"/>
      <c r="Y351" s="115"/>
      <c r="Z351" s="115"/>
      <c r="AA351" s="115"/>
      <c r="AB351" s="115"/>
      <c r="AC351" s="115"/>
      <c r="AD351" s="115"/>
      <c r="AE351" s="127"/>
      <c r="AF351" s="29"/>
    </row>
    <row r="352" spans="1:32" ht="19.5" x14ac:dyDescent="0.4">
      <c r="A352" s="117"/>
      <c r="B352" s="123"/>
      <c r="C352" s="123"/>
      <c r="D352" s="123"/>
      <c r="H352" s="115"/>
      <c r="I352" s="115"/>
      <c r="J352" s="115"/>
      <c r="K352" s="115"/>
      <c r="L352" s="115"/>
      <c r="M352" s="115"/>
      <c r="N352" s="26"/>
      <c r="O352" s="13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27"/>
      <c r="AF352" s="29"/>
    </row>
    <row r="353" spans="1:32" ht="19.5" x14ac:dyDescent="0.4">
      <c r="A353" s="117"/>
      <c r="B353" s="123"/>
      <c r="C353" s="123"/>
      <c r="D353" s="123"/>
      <c r="N353" s="26"/>
      <c r="O353" s="13"/>
      <c r="AE353" s="127"/>
      <c r="AF353" s="29"/>
    </row>
    <row r="354" spans="1:32" ht="19.5" x14ac:dyDescent="0.4">
      <c r="A354" s="117"/>
      <c r="B354" s="123"/>
      <c r="C354" s="123"/>
      <c r="D354" s="123"/>
      <c r="H354" s="115"/>
      <c r="I354" s="115"/>
      <c r="J354" s="115"/>
      <c r="K354" s="115"/>
      <c r="L354" s="115"/>
      <c r="M354" s="115"/>
      <c r="N354" s="26"/>
      <c r="O354" s="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27"/>
      <c r="AF354" s="29"/>
    </row>
    <row r="355" spans="1:32" ht="19.5" x14ac:dyDescent="0.4">
      <c r="A355" s="117"/>
      <c r="B355" s="123"/>
      <c r="C355" s="123"/>
      <c r="D355" s="123"/>
      <c r="H355" s="115"/>
      <c r="I355" s="115"/>
      <c r="J355" s="115"/>
      <c r="K355" s="115"/>
      <c r="L355" s="115"/>
      <c r="M355" s="115"/>
      <c r="N355" s="26"/>
      <c r="O355" s="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27"/>
      <c r="AF355" s="29"/>
    </row>
    <row r="356" spans="1:32" ht="19.5" x14ac:dyDescent="0.4">
      <c r="A356" s="117"/>
      <c r="B356" s="123"/>
      <c r="C356" s="123"/>
      <c r="D356" s="123"/>
      <c r="H356" s="115"/>
      <c r="I356" s="115"/>
      <c r="J356" s="115"/>
      <c r="K356" s="115"/>
      <c r="L356" s="115"/>
      <c r="M356" s="115"/>
      <c r="N356" s="26"/>
      <c r="O356" s="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27"/>
      <c r="AF356" s="29"/>
    </row>
    <row r="357" spans="1:32" ht="19.5" x14ac:dyDescent="0.4">
      <c r="A357" s="117"/>
      <c r="B357" s="123"/>
      <c r="C357" s="123"/>
      <c r="D357" s="123"/>
      <c r="N357" s="26"/>
      <c r="O357" s="13"/>
      <c r="AE357" s="127"/>
      <c r="AF357" s="29"/>
    </row>
    <row r="358" spans="1:32" ht="19.5" x14ac:dyDescent="0.4">
      <c r="A358" s="117"/>
      <c r="B358" s="123"/>
      <c r="C358" s="123"/>
      <c r="D358" s="123"/>
      <c r="H358" s="115"/>
      <c r="I358" s="115"/>
      <c r="J358" s="115"/>
      <c r="K358" s="115"/>
      <c r="L358" s="115"/>
      <c r="M358" s="115"/>
      <c r="N358" s="26"/>
      <c r="O358" s="13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27"/>
      <c r="AF358" s="29"/>
    </row>
    <row r="359" spans="1:32" ht="19.5" x14ac:dyDescent="0.4">
      <c r="A359" s="117"/>
      <c r="B359" s="123"/>
      <c r="C359" s="123"/>
      <c r="D359" s="123"/>
      <c r="H359" s="115"/>
      <c r="I359" s="115"/>
      <c r="J359" s="115"/>
      <c r="K359" s="115"/>
      <c r="L359" s="115"/>
      <c r="M359" s="115"/>
      <c r="N359" s="17"/>
      <c r="O359" s="13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29"/>
      <c r="AF359" s="29"/>
    </row>
    <row r="360" spans="1:32" ht="19.5" x14ac:dyDescent="0.4">
      <c r="A360" s="117"/>
      <c r="B360" s="123"/>
      <c r="C360" s="123"/>
      <c r="D360" s="123"/>
      <c r="H360" s="115"/>
      <c r="I360" s="115"/>
      <c r="J360" s="115"/>
      <c r="K360" s="115"/>
      <c r="L360" s="115"/>
      <c r="M360" s="115"/>
      <c r="N360" s="26"/>
      <c r="O360" s="13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27"/>
      <c r="AF360" s="29"/>
    </row>
    <row r="361" spans="1:32" ht="19.5" x14ac:dyDescent="0.4">
      <c r="A361" s="117"/>
      <c r="B361" s="123"/>
      <c r="C361" s="123"/>
      <c r="D361" s="123"/>
      <c r="H361" s="115"/>
      <c r="I361" s="115"/>
      <c r="J361" s="115"/>
      <c r="K361" s="115"/>
      <c r="L361" s="115"/>
      <c r="M361" s="115"/>
      <c r="N361" s="26"/>
      <c r="O361" s="13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27"/>
      <c r="AF361" s="29"/>
    </row>
    <row r="362" spans="1:32" ht="19.5" x14ac:dyDescent="0.4">
      <c r="A362" s="117"/>
      <c r="B362" s="123"/>
      <c r="C362" s="123"/>
      <c r="D362" s="123"/>
      <c r="H362" s="115"/>
      <c r="I362" s="115"/>
      <c r="J362" s="115"/>
      <c r="K362" s="115"/>
      <c r="L362" s="115"/>
      <c r="M362" s="115"/>
      <c r="N362" s="26"/>
      <c r="O362" s="13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27"/>
      <c r="AF362" s="29"/>
    </row>
    <row r="363" spans="1:32" ht="19.5" x14ac:dyDescent="0.4">
      <c r="A363" s="117"/>
      <c r="B363" s="123"/>
      <c r="C363" s="123"/>
      <c r="D363" s="123"/>
      <c r="H363" s="115"/>
      <c r="I363" s="115"/>
      <c r="J363" s="115"/>
      <c r="K363" s="115"/>
      <c r="L363" s="115"/>
      <c r="M363" s="115"/>
      <c r="N363" s="26"/>
      <c r="O363" s="13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27"/>
      <c r="AF363" s="29"/>
    </row>
    <row r="364" spans="1:32" ht="19.5" x14ac:dyDescent="0.4">
      <c r="A364" s="117"/>
      <c r="B364" s="123"/>
      <c r="C364" s="123"/>
      <c r="D364" s="123"/>
      <c r="N364" s="26"/>
      <c r="O364" s="13"/>
      <c r="AE364" s="127"/>
      <c r="AF364" s="29"/>
    </row>
    <row r="365" spans="1:32" ht="19.5" x14ac:dyDescent="0.4">
      <c r="A365" s="117"/>
      <c r="B365" s="123"/>
      <c r="C365" s="123"/>
      <c r="D365" s="123"/>
      <c r="H365" s="115"/>
      <c r="I365" s="115"/>
      <c r="J365" s="115"/>
      <c r="K365" s="115"/>
      <c r="L365" s="115"/>
      <c r="M365" s="115"/>
      <c r="N365" s="26"/>
      <c r="O365" s="13"/>
      <c r="W365" s="115"/>
      <c r="X365" s="115"/>
      <c r="Y365" s="115"/>
      <c r="Z365" s="115"/>
      <c r="AA365" s="115"/>
      <c r="AB365" s="115"/>
      <c r="AC365" s="115"/>
      <c r="AD365" s="115"/>
      <c r="AE365" s="127"/>
      <c r="AF365" s="29"/>
    </row>
    <row r="366" spans="1:32" ht="19.5" x14ac:dyDescent="0.4">
      <c r="A366" s="117"/>
      <c r="B366" s="123"/>
      <c r="C366" s="123"/>
      <c r="D366" s="123"/>
      <c r="H366" s="115"/>
      <c r="I366" s="115"/>
      <c r="J366" s="115"/>
      <c r="K366" s="115"/>
      <c r="L366" s="115"/>
      <c r="M366" s="115"/>
      <c r="N366" s="26"/>
      <c r="O366" s="13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27"/>
      <c r="AF366" s="29"/>
    </row>
    <row r="367" spans="1:32" ht="19.5" x14ac:dyDescent="0.4">
      <c r="A367" s="117"/>
      <c r="B367" s="123"/>
      <c r="C367" s="123"/>
      <c r="D367" s="123"/>
      <c r="H367" s="115"/>
      <c r="I367" s="115"/>
      <c r="J367" s="115"/>
      <c r="K367" s="115"/>
      <c r="L367" s="115"/>
      <c r="M367" s="115"/>
      <c r="N367" s="26"/>
      <c r="O367" s="13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27"/>
      <c r="AF367" s="29"/>
    </row>
    <row r="368" spans="1:32" ht="19.5" x14ac:dyDescent="0.4">
      <c r="A368" s="117"/>
      <c r="B368" s="123"/>
      <c r="C368" s="123"/>
      <c r="D368" s="123"/>
      <c r="H368" s="115"/>
      <c r="I368" s="115"/>
      <c r="J368" s="115"/>
      <c r="K368" s="115"/>
      <c r="L368" s="115"/>
      <c r="M368" s="115"/>
      <c r="N368" s="26"/>
      <c r="O368" s="13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27"/>
      <c r="AF368" s="29"/>
    </row>
    <row r="369" spans="1:32" ht="19.5" x14ac:dyDescent="0.4">
      <c r="A369" s="117"/>
      <c r="B369" s="123"/>
      <c r="C369" s="123"/>
      <c r="D369" s="123"/>
      <c r="H369" s="115"/>
      <c r="I369" s="115"/>
      <c r="J369" s="115"/>
      <c r="K369" s="115"/>
      <c r="L369" s="115"/>
      <c r="M369" s="115"/>
      <c r="N369" s="26"/>
      <c r="O369" s="13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27"/>
      <c r="AF369" s="29"/>
    </row>
    <row r="370" spans="1:32" ht="19.5" x14ac:dyDescent="0.4">
      <c r="A370" s="117"/>
      <c r="B370" s="123"/>
      <c r="C370" s="123"/>
      <c r="D370" s="123"/>
      <c r="H370" s="115"/>
      <c r="I370" s="115"/>
      <c r="J370" s="115"/>
      <c r="K370" s="115"/>
      <c r="L370" s="115"/>
      <c r="M370" s="115"/>
      <c r="N370" s="26"/>
      <c r="O370" s="13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27"/>
      <c r="AF370" s="29"/>
    </row>
    <row r="371" spans="1:32" ht="19.5" x14ac:dyDescent="0.4">
      <c r="A371" s="117"/>
      <c r="B371" s="123"/>
      <c r="C371" s="123"/>
      <c r="D371" s="123"/>
      <c r="H371" s="115"/>
      <c r="I371" s="115"/>
      <c r="J371" s="115"/>
      <c r="K371" s="115"/>
      <c r="L371" s="115"/>
      <c r="M371" s="115"/>
      <c r="N371" s="26"/>
      <c r="O371" s="13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27"/>
      <c r="AF371" s="29"/>
    </row>
    <row r="372" spans="1:32" ht="19.5" x14ac:dyDescent="0.4">
      <c r="A372" s="117"/>
      <c r="B372" s="123"/>
      <c r="C372" s="123"/>
      <c r="D372" s="123"/>
      <c r="H372" s="115"/>
      <c r="I372" s="115"/>
      <c r="J372" s="115"/>
      <c r="K372" s="115"/>
      <c r="L372" s="115"/>
      <c r="M372" s="115"/>
      <c r="N372" s="17"/>
      <c r="O372" s="13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29"/>
      <c r="AF372" s="29"/>
    </row>
    <row r="373" spans="1:32" ht="19.5" x14ac:dyDescent="0.4">
      <c r="A373" s="117"/>
      <c r="B373" s="123"/>
      <c r="C373" s="123"/>
      <c r="D373" s="123"/>
      <c r="H373" s="115"/>
      <c r="I373" s="115"/>
      <c r="J373" s="115"/>
      <c r="K373" s="115"/>
      <c r="L373" s="115"/>
      <c r="M373" s="115"/>
      <c r="N373" s="26"/>
      <c r="O373" s="13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27"/>
      <c r="AF373" s="29"/>
    </row>
    <row r="374" spans="1:32" ht="19.5" x14ac:dyDescent="0.4">
      <c r="A374" s="117"/>
      <c r="B374" s="123"/>
      <c r="C374" s="123"/>
      <c r="D374" s="123"/>
      <c r="H374" s="115"/>
      <c r="I374" s="115"/>
      <c r="J374" s="115"/>
      <c r="K374" s="115"/>
      <c r="L374" s="115"/>
      <c r="M374" s="115"/>
      <c r="N374" s="26"/>
      <c r="O374" s="13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27"/>
      <c r="AF374" s="29"/>
    </row>
    <row r="375" spans="1:32" ht="19.5" x14ac:dyDescent="0.4">
      <c r="A375" s="117"/>
      <c r="B375" s="123"/>
      <c r="C375" s="123"/>
      <c r="D375" s="123"/>
      <c r="H375" s="115"/>
      <c r="I375" s="115"/>
      <c r="J375" s="115"/>
      <c r="K375" s="115"/>
      <c r="L375" s="115"/>
      <c r="M375" s="115"/>
      <c r="N375" s="17"/>
      <c r="O375" s="13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29"/>
      <c r="AF375" s="29"/>
    </row>
    <row r="376" spans="1:32" ht="19.5" x14ac:dyDescent="0.4">
      <c r="A376" s="117"/>
      <c r="B376" s="123"/>
      <c r="C376" s="123"/>
      <c r="D376" s="123"/>
      <c r="N376" s="26"/>
      <c r="O376" s="13"/>
      <c r="AE376" s="127"/>
      <c r="AF376" s="29"/>
    </row>
    <row r="377" spans="1:32" ht="19.5" x14ac:dyDescent="0.4">
      <c r="A377" s="117"/>
      <c r="B377" s="123"/>
      <c r="C377" s="123"/>
      <c r="D377" s="123"/>
      <c r="N377" s="26"/>
      <c r="O377" s="13"/>
      <c r="AE377" s="127"/>
      <c r="AF377" s="29"/>
    </row>
    <row r="378" spans="1:32" ht="19.5" x14ac:dyDescent="0.4">
      <c r="A378" s="117"/>
      <c r="B378" s="123"/>
      <c r="C378" s="123"/>
      <c r="D378" s="123"/>
      <c r="H378" s="115"/>
      <c r="I378" s="115"/>
      <c r="J378" s="115"/>
      <c r="K378" s="115"/>
      <c r="L378" s="115"/>
      <c r="M378" s="115"/>
      <c r="N378" s="26"/>
      <c r="O378" s="13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27"/>
      <c r="AF378" s="29"/>
    </row>
    <row r="379" spans="1:32" ht="19.5" x14ac:dyDescent="0.4">
      <c r="A379" s="117"/>
      <c r="B379" s="123"/>
      <c r="C379" s="123"/>
      <c r="D379" s="123"/>
      <c r="N379" s="26"/>
      <c r="O379" s="13"/>
      <c r="AE379" s="127"/>
      <c r="AF379" s="29"/>
    </row>
    <row r="380" spans="1:32" ht="19.5" x14ac:dyDescent="0.4">
      <c r="A380" s="117"/>
      <c r="B380" s="123"/>
      <c r="C380" s="123"/>
      <c r="D380" s="123"/>
      <c r="H380" s="115"/>
      <c r="I380" s="115"/>
      <c r="J380" s="115"/>
      <c r="K380" s="115"/>
      <c r="L380" s="115"/>
      <c r="M380" s="115"/>
      <c r="N380" s="26"/>
      <c r="O380" s="13"/>
      <c r="Z380" s="115"/>
      <c r="AA380" s="115"/>
      <c r="AB380" s="115"/>
      <c r="AC380" s="115"/>
      <c r="AD380" s="115"/>
      <c r="AE380" s="127"/>
      <c r="AF380" s="29"/>
    </row>
    <row r="381" spans="1:32" ht="19.5" x14ac:dyDescent="0.4">
      <c r="A381" s="117"/>
      <c r="B381" s="123"/>
      <c r="C381" s="123"/>
      <c r="D381" s="123"/>
      <c r="H381" s="115"/>
      <c r="I381" s="115"/>
      <c r="J381" s="115"/>
      <c r="K381" s="115"/>
      <c r="L381" s="115"/>
      <c r="M381" s="115"/>
      <c r="N381" s="17"/>
      <c r="O381" s="13"/>
      <c r="Z381" s="115"/>
      <c r="AA381" s="115"/>
      <c r="AB381" s="115"/>
      <c r="AC381" s="115"/>
      <c r="AD381" s="115"/>
      <c r="AE381" s="29"/>
      <c r="AF381" s="29"/>
    </row>
    <row r="382" spans="1:32" ht="19.5" x14ac:dyDescent="0.4">
      <c r="A382" s="117"/>
      <c r="B382" s="123"/>
      <c r="C382" s="123"/>
      <c r="D382" s="123"/>
      <c r="H382" s="115"/>
      <c r="I382" s="115"/>
      <c r="J382" s="115"/>
      <c r="K382" s="115"/>
      <c r="L382" s="115"/>
      <c r="M382" s="115"/>
      <c r="N382" s="26"/>
      <c r="O382" s="13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27"/>
      <c r="AF382" s="29"/>
    </row>
    <row r="383" spans="1:32" ht="19.5" x14ac:dyDescent="0.4">
      <c r="A383" s="117"/>
      <c r="B383" s="123"/>
      <c r="C383" s="123"/>
      <c r="D383" s="123"/>
      <c r="H383" s="115"/>
      <c r="I383" s="115"/>
      <c r="J383" s="115"/>
      <c r="K383" s="115"/>
      <c r="L383" s="115"/>
      <c r="M383" s="115"/>
      <c r="N383" s="26"/>
      <c r="O383" s="13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27"/>
      <c r="AF383" s="29"/>
    </row>
    <row r="384" spans="1:32" ht="19.5" x14ac:dyDescent="0.4">
      <c r="A384" s="117"/>
      <c r="B384" s="123"/>
      <c r="C384" s="123"/>
      <c r="D384" s="123"/>
      <c r="H384" s="115"/>
      <c r="I384" s="115"/>
      <c r="J384" s="115"/>
      <c r="K384" s="115"/>
      <c r="L384" s="115"/>
      <c r="M384" s="115"/>
      <c r="N384" s="26"/>
      <c r="O384" s="13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27"/>
      <c r="AF384" s="29"/>
    </row>
    <row r="385" spans="1:32" ht="19.5" x14ac:dyDescent="0.4">
      <c r="A385" s="117"/>
      <c r="B385" s="123"/>
      <c r="C385" s="123"/>
      <c r="D385" s="123"/>
      <c r="H385" s="115"/>
      <c r="I385" s="115"/>
      <c r="J385" s="115"/>
      <c r="K385" s="115"/>
      <c r="L385" s="115"/>
      <c r="M385" s="115"/>
      <c r="N385" s="26"/>
      <c r="O385" s="13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27"/>
      <c r="AF385" s="29"/>
    </row>
    <row r="386" spans="1:32" ht="19.5" x14ac:dyDescent="0.4">
      <c r="A386" s="117"/>
      <c r="B386" s="123"/>
      <c r="C386" s="123"/>
      <c r="D386" s="123"/>
      <c r="H386" s="115"/>
      <c r="I386" s="115"/>
      <c r="J386" s="115"/>
      <c r="K386" s="115"/>
      <c r="L386" s="115"/>
      <c r="M386" s="115"/>
      <c r="N386" s="26"/>
      <c r="O386" s="13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27"/>
      <c r="AF386" s="29"/>
    </row>
    <row r="387" spans="1:32" ht="19.5" x14ac:dyDescent="0.4">
      <c r="A387" s="117"/>
      <c r="B387" s="123"/>
      <c r="C387" s="123"/>
      <c r="D387" s="123"/>
      <c r="H387" s="115"/>
      <c r="I387" s="115"/>
      <c r="J387" s="115"/>
      <c r="K387" s="115"/>
      <c r="L387" s="115"/>
      <c r="M387" s="115"/>
      <c r="N387" s="17"/>
      <c r="O387" s="13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29"/>
      <c r="AF387" s="29"/>
    </row>
    <row r="388" spans="1:32" ht="19.5" x14ac:dyDescent="0.4">
      <c r="A388" s="117"/>
      <c r="B388" s="123"/>
      <c r="C388" s="123"/>
      <c r="D388" s="123"/>
      <c r="H388" s="115"/>
      <c r="I388" s="115"/>
      <c r="J388" s="115"/>
      <c r="K388" s="115"/>
      <c r="L388" s="115"/>
      <c r="M388" s="115"/>
      <c r="N388" s="26"/>
      <c r="O388" s="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27"/>
      <c r="AF388" s="29"/>
    </row>
    <row r="389" spans="1:32" ht="19.5" x14ac:dyDescent="0.4">
      <c r="A389" s="117"/>
      <c r="B389" s="123"/>
      <c r="C389" s="123"/>
      <c r="D389" s="123"/>
      <c r="H389" s="115"/>
      <c r="I389" s="115"/>
      <c r="J389" s="115"/>
      <c r="K389" s="115"/>
      <c r="L389" s="115"/>
      <c r="M389" s="115"/>
      <c r="N389" s="17"/>
      <c r="O389" s="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29"/>
      <c r="AF389" s="29"/>
    </row>
    <row r="390" spans="1:32" ht="19.5" x14ac:dyDescent="0.4">
      <c r="A390" s="117"/>
      <c r="B390" s="123"/>
      <c r="C390" s="123"/>
      <c r="D390" s="123"/>
      <c r="H390" s="115"/>
      <c r="I390" s="115"/>
      <c r="J390" s="115"/>
      <c r="K390" s="115"/>
      <c r="L390" s="115"/>
      <c r="M390" s="115"/>
      <c r="N390" s="17"/>
      <c r="O390" s="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29"/>
      <c r="AF390" s="29"/>
    </row>
    <row r="391" spans="1:32" ht="19.5" x14ac:dyDescent="0.4">
      <c r="A391" s="117"/>
      <c r="B391" s="123"/>
      <c r="C391" s="123"/>
      <c r="D391" s="123"/>
      <c r="H391" s="115"/>
      <c r="I391" s="115"/>
      <c r="J391" s="115"/>
      <c r="K391" s="115"/>
      <c r="L391" s="115"/>
      <c r="M391" s="115"/>
      <c r="N391" s="26"/>
      <c r="O391" s="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27"/>
      <c r="AF391" s="29"/>
    </row>
    <row r="392" spans="1:32" ht="19.5" x14ac:dyDescent="0.4">
      <c r="A392" s="117"/>
      <c r="B392" s="123"/>
      <c r="C392" s="123"/>
      <c r="D392" s="123"/>
      <c r="H392" s="115"/>
      <c r="I392" s="115"/>
      <c r="J392" s="115"/>
      <c r="K392" s="115"/>
      <c r="L392" s="115"/>
      <c r="M392" s="115"/>
      <c r="N392" s="26"/>
      <c r="O392" s="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27"/>
      <c r="AF392" s="29"/>
    </row>
    <row r="393" spans="1:32" ht="19.5" x14ac:dyDescent="0.4">
      <c r="A393" s="117"/>
      <c r="B393" s="123"/>
      <c r="C393" s="123"/>
      <c r="D393" s="123"/>
      <c r="H393" s="115"/>
      <c r="I393" s="115"/>
      <c r="J393" s="115"/>
      <c r="K393" s="115"/>
      <c r="L393" s="115"/>
      <c r="M393" s="115"/>
      <c r="N393" s="17"/>
      <c r="O393" s="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29"/>
      <c r="AF393" s="29"/>
    </row>
    <row r="394" spans="1:32" ht="19.5" x14ac:dyDescent="0.4">
      <c r="A394" s="117"/>
      <c r="B394" s="123"/>
      <c r="C394" s="123"/>
      <c r="D394" s="123"/>
      <c r="H394" s="115"/>
      <c r="I394" s="115"/>
      <c r="J394" s="115"/>
      <c r="K394" s="115"/>
      <c r="L394" s="115"/>
      <c r="M394" s="115"/>
      <c r="N394" s="26"/>
      <c r="O394" s="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27"/>
      <c r="AF394" s="29"/>
    </row>
    <row r="395" spans="1:32" ht="19.5" x14ac:dyDescent="0.4">
      <c r="A395" s="117"/>
      <c r="B395" s="123"/>
      <c r="C395" s="123"/>
      <c r="D395" s="123"/>
      <c r="H395" s="115"/>
      <c r="I395" s="115"/>
      <c r="J395" s="115"/>
      <c r="K395" s="115"/>
      <c r="L395" s="115"/>
      <c r="M395" s="115"/>
      <c r="N395" s="26"/>
      <c r="O395" s="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27"/>
      <c r="AF395" s="29"/>
    </row>
    <row r="396" spans="1:32" ht="19.5" x14ac:dyDescent="0.4">
      <c r="A396" s="117"/>
      <c r="B396" s="123"/>
      <c r="C396" s="123"/>
      <c r="D396" s="123"/>
      <c r="N396" s="26"/>
      <c r="O396" s="15"/>
      <c r="AE396" s="127"/>
      <c r="AF396" s="29"/>
    </row>
    <row r="397" spans="1:32" ht="19.5" x14ac:dyDescent="0.4">
      <c r="A397" s="117"/>
      <c r="B397" s="123"/>
      <c r="C397" s="123"/>
      <c r="D397" s="123"/>
      <c r="H397" s="115"/>
      <c r="I397" s="115"/>
      <c r="J397" s="115"/>
      <c r="K397" s="115"/>
      <c r="L397" s="115"/>
      <c r="M397" s="115"/>
      <c r="N397" s="26"/>
      <c r="O397" s="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27"/>
      <c r="AF397" s="29"/>
    </row>
    <row r="398" spans="1:32" ht="19.5" x14ac:dyDescent="0.4">
      <c r="A398" s="117"/>
      <c r="B398" s="123"/>
      <c r="C398" s="123"/>
      <c r="D398" s="123"/>
      <c r="H398" s="115"/>
      <c r="I398" s="115"/>
      <c r="J398" s="115"/>
      <c r="K398" s="115"/>
      <c r="L398" s="115"/>
      <c r="M398" s="115"/>
      <c r="N398" s="26"/>
      <c r="O398" s="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27"/>
      <c r="AF398" s="29"/>
    </row>
    <row r="399" spans="1:32" ht="19.5" x14ac:dyDescent="0.4">
      <c r="A399" s="117"/>
      <c r="B399" s="123"/>
      <c r="C399" s="123"/>
      <c r="D399" s="123"/>
      <c r="H399" s="115"/>
      <c r="I399" s="115"/>
      <c r="J399" s="115"/>
      <c r="K399" s="115"/>
      <c r="L399" s="115"/>
      <c r="M399" s="115"/>
      <c r="N399" s="26"/>
      <c r="O399" s="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27"/>
      <c r="AF399" s="29"/>
    </row>
    <row r="400" spans="1:32" ht="19.5" x14ac:dyDescent="0.4">
      <c r="A400" s="117"/>
      <c r="B400" s="123"/>
      <c r="C400" s="123"/>
      <c r="D400" s="123"/>
      <c r="H400" s="115"/>
      <c r="I400" s="115"/>
      <c r="J400" s="115"/>
      <c r="K400" s="115"/>
      <c r="L400" s="115"/>
      <c r="M400" s="115"/>
      <c r="N400" s="26"/>
      <c r="O400" s="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27"/>
      <c r="AF400" s="29"/>
    </row>
    <row r="401" spans="1:32" ht="19.5" x14ac:dyDescent="0.4">
      <c r="A401" s="117"/>
      <c r="B401" s="123"/>
      <c r="C401" s="123"/>
      <c r="D401" s="123"/>
      <c r="N401" s="26"/>
      <c r="O401" s="15"/>
      <c r="AE401" s="127"/>
      <c r="AF401" s="29"/>
    </row>
    <row r="402" spans="1:32" ht="19.5" x14ac:dyDescent="0.4">
      <c r="A402" s="117"/>
      <c r="B402" s="123"/>
      <c r="C402" s="123"/>
      <c r="D402" s="123"/>
      <c r="H402" s="115"/>
      <c r="I402" s="115"/>
      <c r="J402" s="115"/>
      <c r="K402" s="115"/>
      <c r="L402" s="115"/>
      <c r="M402" s="115"/>
      <c r="N402" s="26"/>
      <c r="O402" s="15"/>
      <c r="Z402" s="115"/>
      <c r="AA402" s="115"/>
      <c r="AB402" s="115"/>
      <c r="AC402" s="115"/>
      <c r="AD402" s="115"/>
      <c r="AE402" s="127"/>
      <c r="AF402" s="29"/>
    </row>
    <row r="403" spans="1:32" ht="19.5" x14ac:dyDescent="0.4">
      <c r="A403" s="117"/>
      <c r="B403" s="123"/>
      <c r="C403" s="123"/>
      <c r="D403" s="123"/>
      <c r="H403" s="115"/>
      <c r="I403" s="115"/>
      <c r="J403" s="115"/>
      <c r="K403" s="115"/>
      <c r="L403" s="115"/>
      <c r="M403" s="115"/>
      <c r="N403" s="26"/>
      <c r="O403" s="15"/>
      <c r="W403" s="115"/>
      <c r="X403" s="115"/>
      <c r="Y403" s="115"/>
      <c r="Z403" s="115"/>
      <c r="AA403" s="115"/>
      <c r="AB403" s="115"/>
      <c r="AC403" s="115"/>
      <c r="AD403" s="115"/>
      <c r="AE403" s="127"/>
      <c r="AF403" s="29"/>
    </row>
    <row r="404" spans="1:32" ht="19.5" x14ac:dyDescent="0.4">
      <c r="A404" s="117"/>
      <c r="B404" s="123"/>
      <c r="C404" s="123"/>
      <c r="D404" s="123"/>
      <c r="H404" s="115"/>
      <c r="I404" s="115"/>
      <c r="J404" s="115"/>
      <c r="K404" s="115"/>
      <c r="L404" s="115"/>
      <c r="M404" s="115"/>
      <c r="N404" s="17"/>
      <c r="O404" s="15"/>
      <c r="W404" s="115"/>
      <c r="X404" s="115"/>
      <c r="Y404" s="115"/>
      <c r="Z404" s="115"/>
      <c r="AA404" s="115"/>
      <c r="AB404" s="115"/>
      <c r="AC404" s="115"/>
      <c r="AD404" s="115"/>
      <c r="AE404" s="29"/>
      <c r="AF404" s="29"/>
    </row>
    <row r="405" spans="1:32" ht="19.5" x14ac:dyDescent="0.4">
      <c r="A405" s="117"/>
      <c r="B405" s="123"/>
      <c r="C405" s="123"/>
      <c r="D405" s="123"/>
      <c r="N405" s="26"/>
      <c r="O405" s="15"/>
      <c r="AE405" s="127"/>
      <c r="AF405" s="29"/>
    </row>
    <row r="406" spans="1:32" ht="19.5" x14ac:dyDescent="0.4">
      <c r="A406" s="117"/>
      <c r="B406" s="123"/>
      <c r="C406" s="123"/>
      <c r="D406" s="123"/>
      <c r="H406" s="115"/>
      <c r="I406" s="115"/>
      <c r="J406" s="115"/>
      <c r="K406" s="115"/>
      <c r="L406" s="115"/>
      <c r="M406" s="115"/>
      <c r="N406" s="26"/>
      <c r="O406" s="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27"/>
      <c r="AF406" s="29"/>
    </row>
    <row r="407" spans="1:32" ht="19.5" x14ac:dyDescent="0.4">
      <c r="A407" s="117"/>
      <c r="B407" s="123"/>
      <c r="C407" s="123"/>
      <c r="D407" s="123"/>
      <c r="H407" s="115"/>
      <c r="I407" s="115"/>
      <c r="J407" s="115"/>
      <c r="K407" s="115"/>
      <c r="L407" s="115"/>
      <c r="M407" s="115"/>
      <c r="N407" s="26"/>
      <c r="O407" s="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27"/>
      <c r="AF407" s="29"/>
    </row>
    <row r="408" spans="1:32" ht="19.5" x14ac:dyDescent="0.4">
      <c r="A408" s="117"/>
      <c r="B408" s="123"/>
      <c r="C408" s="123"/>
      <c r="D408" s="123"/>
      <c r="H408" s="115"/>
      <c r="I408" s="115"/>
      <c r="J408" s="115"/>
      <c r="K408" s="115"/>
      <c r="L408" s="115"/>
      <c r="M408" s="115"/>
      <c r="N408" s="17"/>
      <c r="O408" s="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29"/>
      <c r="AF408" s="29"/>
    </row>
    <row r="409" spans="1:32" ht="19.5" x14ac:dyDescent="0.4">
      <c r="A409" s="117"/>
      <c r="B409" s="123"/>
      <c r="C409" s="123"/>
      <c r="D409" s="123"/>
      <c r="N409" s="26"/>
      <c r="O409" s="15"/>
      <c r="AE409" s="127"/>
      <c r="AF409" s="29"/>
    </row>
    <row r="410" spans="1:32" ht="19.5" x14ac:dyDescent="0.4">
      <c r="A410" s="117"/>
      <c r="B410" s="123"/>
      <c r="C410" s="123"/>
      <c r="D410" s="123"/>
      <c r="H410" s="115"/>
      <c r="I410" s="115"/>
      <c r="J410" s="115"/>
      <c r="K410" s="115"/>
      <c r="L410" s="115"/>
      <c r="M410" s="115"/>
      <c r="N410" s="17"/>
      <c r="O410" s="15"/>
      <c r="AA410" s="115"/>
      <c r="AB410" s="115"/>
      <c r="AC410" s="115"/>
      <c r="AD410" s="115"/>
      <c r="AE410" s="29"/>
      <c r="AF410" s="29"/>
    </row>
    <row r="411" spans="1:32" ht="19.5" x14ac:dyDescent="0.4">
      <c r="A411" s="117"/>
      <c r="B411" s="123"/>
      <c r="C411" s="123"/>
      <c r="D411" s="123"/>
      <c r="N411" s="26"/>
      <c r="O411" s="15"/>
      <c r="AE411" s="127"/>
      <c r="AF411" s="29"/>
    </row>
    <row r="412" spans="1:32" ht="19.5" x14ac:dyDescent="0.4">
      <c r="A412" s="117"/>
      <c r="B412" s="123"/>
      <c r="C412" s="123"/>
      <c r="D412" s="123"/>
      <c r="H412" s="115"/>
      <c r="I412" s="115"/>
      <c r="J412" s="115"/>
      <c r="K412" s="115"/>
      <c r="L412" s="115"/>
      <c r="M412" s="115"/>
      <c r="N412" s="26"/>
      <c r="O412" s="15"/>
      <c r="Z412" s="115"/>
      <c r="AA412" s="115"/>
      <c r="AB412" s="115"/>
      <c r="AC412" s="115"/>
      <c r="AD412" s="115"/>
      <c r="AE412" s="127"/>
      <c r="AF412" s="29"/>
    </row>
    <row r="413" spans="1:32" ht="19.5" x14ac:dyDescent="0.4">
      <c r="A413" s="117"/>
      <c r="B413" s="123"/>
      <c r="C413" s="123"/>
      <c r="D413" s="123"/>
      <c r="N413" s="26"/>
      <c r="O413" s="15"/>
      <c r="AE413" s="127"/>
      <c r="AF413" s="29"/>
    </row>
    <row r="414" spans="1:32" ht="19.5" x14ac:dyDescent="0.4">
      <c r="A414" s="117"/>
      <c r="B414" s="123"/>
      <c r="C414" s="123"/>
      <c r="D414" s="123"/>
      <c r="H414" s="115"/>
      <c r="I414" s="115"/>
      <c r="J414" s="115"/>
      <c r="K414" s="115"/>
      <c r="L414" s="115"/>
      <c r="M414" s="115"/>
      <c r="N414" s="26"/>
      <c r="O414" s="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27"/>
      <c r="AF414" s="29"/>
    </row>
    <row r="415" spans="1:32" ht="19.5" x14ac:dyDescent="0.4">
      <c r="A415" s="117"/>
      <c r="B415" s="123"/>
      <c r="C415" s="123"/>
      <c r="D415" s="123"/>
      <c r="N415" s="26"/>
      <c r="O415" s="15"/>
      <c r="AE415" s="127"/>
      <c r="AF415" s="29"/>
    </row>
    <row r="416" spans="1:32" ht="19.5" x14ac:dyDescent="0.4">
      <c r="A416" s="117"/>
      <c r="B416" s="123"/>
      <c r="C416" s="123"/>
      <c r="D416" s="123"/>
      <c r="H416" s="115"/>
      <c r="I416" s="115"/>
      <c r="J416" s="115"/>
      <c r="K416" s="115"/>
      <c r="L416" s="115"/>
      <c r="M416" s="115"/>
      <c r="N416" s="26"/>
      <c r="O416" s="15"/>
      <c r="Y416" s="115"/>
      <c r="Z416" s="115"/>
      <c r="AA416" s="115"/>
      <c r="AB416" s="115"/>
      <c r="AC416" s="115"/>
      <c r="AD416" s="115"/>
      <c r="AE416" s="127"/>
      <c r="AF416" s="29"/>
    </row>
    <row r="417" spans="1:32" ht="19.5" x14ac:dyDescent="0.4">
      <c r="A417" s="117"/>
      <c r="B417" s="123"/>
      <c r="C417" s="123"/>
      <c r="D417" s="123"/>
      <c r="H417" s="115"/>
      <c r="I417" s="115"/>
      <c r="J417" s="115"/>
      <c r="K417" s="115"/>
      <c r="L417" s="115"/>
      <c r="M417" s="115"/>
      <c r="N417" s="17"/>
      <c r="O417" s="15"/>
      <c r="Y417" s="115"/>
      <c r="Z417" s="115"/>
      <c r="AA417" s="115"/>
      <c r="AB417" s="115"/>
      <c r="AC417" s="115"/>
      <c r="AD417" s="115"/>
      <c r="AE417" s="29"/>
      <c r="AF417" s="29"/>
    </row>
    <row r="418" spans="1:32" ht="19.5" x14ac:dyDescent="0.4">
      <c r="A418" s="117"/>
      <c r="B418" s="123"/>
      <c r="C418" s="123"/>
      <c r="D418" s="123"/>
      <c r="H418" s="115"/>
      <c r="I418" s="115"/>
      <c r="J418" s="115"/>
      <c r="K418" s="115"/>
      <c r="L418" s="115"/>
      <c r="M418" s="115"/>
      <c r="N418" s="26"/>
      <c r="O418" s="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27"/>
      <c r="AF418" s="29"/>
    </row>
    <row r="419" spans="1:32" ht="19.5" x14ac:dyDescent="0.4">
      <c r="A419" s="117"/>
      <c r="B419" s="123"/>
      <c r="C419" s="123"/>
      <c r="D419" s="123"/>
      <c r="H419" s="115"/>
      <c r="I419" s="115"/>
      <c r="J419" s="115"/>
      <c r="K419" s="115"/>
      <c r="L419" s="115"/>
      <c r="M419" s="115"/>
      <c r="N419" s="17"/>
      <c r="O419" s="13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29"/>
      <c r="AF419" s="29"/>
    </row>
    <row r="420" spans="1:32" ht="19.5" x14ac:dyDescent="0.4">
      <c r="A420" s="117"/>
      <c r="B420" s="123"/>
      <c r="C420" s="123"/>
      <c r="D420" s="123"/>
      <c r="H420" s="115"/>
      <c r="I420" s="115"/>
      <c r="J420" s="115"/>
      <c r="K420" s="115"/>
      <c r="L420" s="115"/>
      <c r="M420" s="115"/>
      <c r="N420" s="17"/>
      <c r="O420" s="13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29"/>
      <c r="AF420" s="29"/>
    </row>
    <row r="421" spans="1:32" ht="19.5" x14ac:dyDescent="0.4">
      <c r="A421" s="117"/>
      <c r="B421" s="123"/>
      <c r="C421" s="123"/>
      <c r="D421" s="123"/>
      <c r="H421" s="115"/>
      <c r="I421" s="115"/>
      <c r="J421" s="115"/>
      <c r="K421" s="115"/>
      <c r="L421" s="115"/>
      <c r="M421" s="115"/>
      <c r="N421" s="17"/>
      <c r="O421" s="13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29"/>
      <c r="AF421" s="29"/>
    </row>
    <row r="422" spans="1:32" ht="19.5" x14ac:dyDescent="0.4">
      <c r="A422" s="117"/>
      <c r="B422" s="123"/>
      <c r="C422" s="123"/>
      <c r="D422" s="123"/>
      <c r="H422" s="115"/>
      <c r="I422" s="115"/>
      <c r="J422" s="115"/>
      <c r="K422" s="115"/>
      <c r="L422" s="115"/>
      <c r="M422" s="115"/>
      <c r="N422" s="26"/>
      <c r="O422" s="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27"/>
      <c r="AF422" s="29"/>
    </row>
    <row r="423" spans="1:32" ht="19.5" x14ac:dyDescent="0.4">
      <c r="A423" s="117"/>
      <c r="B423" s="123"/>
      <c r="C423" s="123"/>
      <c r="D423" s="123"/>
      <c r="H423" s="115"/>
      <c r="I423" s="115"/>
      <c r="J423" s="115"/>
      <c r="K423" s="115"/>
      <c r="L423" s="115"/>
      <c r="M423" s="115"/>
      <c r="N423" s="26"/>
      <c r="O423" s="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27"/>
      <c r="AF423" s="29"/>
    </row>
    <row r="424" spans="1:32" ht="19.5" x14ac:dyDescent="0.4">
      <c r="A424" s="117"/>
      <c r="B424" s="123"/>
      <c r="C424" s="123"/>
      <c r="D424" s="123"/>
      <c r="N424" s="26"/>
      <c r="O424" s="13"/>
      <c r="AE424" s="127"/>
      <c r="AF424" s="29"/>
    </row>
    <row r="425" spans="1:32" ht="19.5" x14ac:dyDescent="0.4">
      <c r="A425" s="117"/>
      <c r="B425" s="123"/>
      <c r="C425" s="123"/>
      <c r="D425" s="123"/>
      <c r="H425" s="115"/>
      <c r="I425" s="115"/>
      <c r="J425" s="115"/>
      <c r="K425" s="115"/>
      <c r="L425" s="115"/>
      <c r="M425" s="115"/>
      <c r="N425" s="17"/>
      <c r="O425" s="13"/>
      <c r="Z425" s="115"/>
      <c r="AA425" s="115"/>
      <c r="AB425" s="115"/>
      <c r="AC425" s="115"/>
      <c r="AD425" s="115"/>
      <c r="AE425" s="29"/>
      <c r="AF425" s="29"/>
    </row>
    <row r="426" spans="1:32" ht="19.5" x14ac:dyDescent="0.4">
      <c r="A426" s="117"/>
      <c r="B426" s="123"/>
      <c r="C426" s="123"/>
      <c r="D426" s="123"/>
      <c r="H426" s="115"/>
      <c r="I426" s="115"/>
      <c r="J426" s="115"/>
      <c r="K426" s="115"/>
      <c r="L426" s="115"/>
      <c r="M426" s="115"/>
      <c r="N426" s="26"/>
      <c r="O426" s="13"/>
      <c r="Y426" s="115"/>
      <c r="Z426" s="115"/>
      <c r="AA426" s="115"/>
      <c r="AB426" s="115"/>
      <c r="AC426" s="115"/>
      <c r="AD426" s="115"/>
      <c r="AE426" s="127"/>
      <c r="AF426" s="29"/>
    </row>
    <row r="427" spans="1:32" ht="19.5" x14ac:dyDescent="0.4">
      <c r="A427" s="117"/>
      <c r="B427" s="123"/>
      <c r="C427" s="123"/>
      <c r="D427" s="123"/>
      <c r="N427" s="26"/>
      <c r="O427" s="13"/>
      <c r="AE427" s="127"/>
      <c r="AF427" s="29"/>
    </row>
    <row r="428" spans="1:32" ht="19.5" x14ac:dyDescent="0.4">
      <c r="A428" s="117"/>
      <c r="B428" s="123"/>
      <c r="C428" s="123"/>
      <c r="D428" s="123"/>
      <c r="H428" s="115"/>
      <c r="I428" s="115"/>
      <c r="J428" s="115"/>
      <c r="K428" s="115"/>
      <c r="L428" s="115"/>
      <c r="M428" s="115"/>
      <c r="N428" s="26"/>
      <c r="O428" s="13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27"/>
      <c r="AF428" s="29"/>
    </row>
    <row r="429" spans="1:32" ht="19.5" x14ac:dyDescent="0.4">
      <c r="A429" s="117"/>
      <c r="B429" s="123"/>
      <c r="C429" s="123"/>
      <c r="D429" s="123"/>
      <c r="H429" s="115"/>
      <c r="I429" s="115"/>
      <c r="J429" s="115"/>
      <c r="K429" s="115"/>
      <c r="L429" s="115"/>
      <c r="M429" s="115"/>
      <c r="N429" s="26"/>
      <c r="O429" s="13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27"/>
      <c r="AF429" s="29"/>
    </row>
    <row r="430" spans="1:32" ht="19.5" x14ac:dyDescent="0.4">
      <c r="A430" s="117"/>
      <c r="B430" s="123"/>
      <c r="C430" s="123"/>
      <c r="D430" s="123"/>
      <c r="H430" s="115"/>
      <c r="I430" s="115"/>
      <c r="J430" s="115"/>
      <c r="K430" s="115"/>
      <c r="L430" s="115"/>
      <c r="M430" s="115"/>
      <c r="N430" s="26"/>
      <c r="O430" s="13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27"/>
      <c r="AF430" s="29"/>
    </row>
    <row r="431" spans="1:32" ht="19.5" x14ac:dyDescent="0.4">
      <c r="A431" s="117"/>
      <c r="B431" s="123"/>
      <c r="C431" s="123"/>
      <c r="D431" s="123"/>
      <c r="H431" s="115"/>
      <c r="I431" s="115"/>
      <c r="J431" s="115"/>
      <c r="K431" s="115"/>
      <c r="L431" s="115"/>
      <c r="M431" s="115"/>
      <c r="N431" s="26"/>
      <c r="O431" s="13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27"/>
      <c r="AF431" s="29"/>
    </row>
    <row r="432" spans="1:32" ht="19.5" x14ac:dyDescent="0.4">
      <c r="A432" s="117"/>
      <c r="B432" s="123"/>
      <c r="C432" s="123"/>
      <c r="D432" s="123"/>
      <c r="H432" s="115"/>
      <c r="I432" s="115"/>
      <c r="J432" s="115"/>
      <c r="K432" s="115"/>
      <c r="L432" s="115"/>
      <c r="M432" s="115"/>
      <c r="N432" s="17"/>
      <c r="O432" s="13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29"/>
      <c r="AF432" s="29"/>
    </row>
    <row r="433" spans="1:32" ht="19.5" x14ac:dyDescent="0.4">
      <c r="A433" s="117"/>
      <c r="B433" s="123"/>
      <c r="C433" s="123"/>
      <c r="D433" s="123"/>
      <c r="H433" s="115"/>
      <c r="I433" s="115"/>
      <c r="J433" s="115"/>
      <c r="K433" s="115"/>
      <c r="L433" s="115"/>
      <c r="M433" s="115"/>
      <c r="N433" s="26"/>
      <c r="O433" s="13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27"/>
      <c r="AF433" s="29"/>
    </row>
    <row r="434" spans="1:32" ht="19.5" x14ac:dyDescent="0.4">
      <c r="A434" s="117"/>
      <c r="B434" s="123"/>
      <c r="C434" s="123"/>
      <c r="D434" s="123"/>
      <c r="H434" s="115"/>
      <c r="I434" s="115"/>
      <c r="J434" s="115"/>
      <c r="K434" s="115"/>
      <c r="L434" s="115"/>
      <c r="M434" s="115"/>
      <c r="N434" s="26"/>
      <c r="O434" s="13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27"/>
      <c r="AF434" s="29"/>
    </row>
    <row r="435" spans="1:32" ht="19.5" x14ac:dyDescent="0.4">
      <c r="A435" s="117"/>
      <c r="B435" s="123"/>
      <c r="C435" s="123"/>
      <c r="D435" s="123"/>
      <c r="H435" s="115"/>
      <c r="I435" s="115"/>
      <c r="J435" s="115"/>
      <c r="K435" s="115"/>
      <c r="L435" s="115"/>
      <c r="M435" s="115"/>
      <c r="N435" s="26"/>
      <c r="O435" s="13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27"/>
      <c r="AF435" s="29"/>
    </row>
    <row r="436" spans="1:32" ht="19.5" x14ac:dyDescent="0.4">
      <c r="A436" s="117"/>
      <c r="B436" s="123"/>
      <c r="C436" s="123"/>
      <c r="D436" s="123"/>
      <c r="H436" s="115"/>
      <c r="I436" s="115"/>
      <c r="J436" s="115"/>
      <c r="K436" s="115"/>
      <c r="L436" s="115"/>
      <c r="M436" s="115"/>
      <c r="N436" s="26"/>
      <c r="O436" s="13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27"/>
      <c r="AF436" s="29"/>
    </row>
    <row r="437" spans="1:32" ht="19.5" x14ac:dyDescent="0.4">
      <c r="A437" s="117"/>
      <c r="B437" s="123"/>
      <c r="C437" s="123"/>
      <c r="D437" s="123"/>
      <c r="H437" s="115"/>
      <c r="I437" s="115"/>
      <c r="J437" s="115"/>
      <c r="K437" s="115"/>
      <c r="L437" s="115"/>
      <c r="M437" s="115"/>
      <c r="N437" s="26"/>
      <c r="O437" s="13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27"/>
      <c r="AF437" s="29"/>
    </row>
    <row r="438" spans="1:32" ht="19.5" x14ac:dyDescent="0.4">
      <c r="A438" s="117"/>
      <c r="B438" s="123"/>
      <c r="C438" s="123"/>
      <c r="D438" s="123"/>
      <c r="H438" s="115"/>
      <c r="I438" s="115"/>
      <c r="J438" s="115"/>
      <c r="K438" s="115"/>
      <c r="L438" s="115"/>
      <c r="M438" s="115"/>
      <c r="N438" s="26"/>
      <c r="O438" s="13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27"/>
      <c r="AF438" s="29"/>
    </row>
    <row r="439" spans="1:32" ht="19.5" x14ac:dyDescent="0.4">
      <c r="A439" s="117"/>
      <c r="B439" s="123"/>
      <c r="C439" s="123"/>
      <c r="D439" s="123"/>
      <c r="H439" s="115"/>
      <c r="I439" s="115"/>
      <c r="J439" s="115"/>
      <c r="K439" s="115"/>
      <c r="L439" s="115"/>
      <c r="M439" s="115"/>
      <c r="N439" s="26"/>
      <c r="O439" s="13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27"/>
      <c r="AF439" s="29"/>
    </row>
    <row r="440" spans="1:32" ht="19.5" x14ac:dyDescent="0.4">
      <c r="A440" s="117"/>
      <c r="B440" s="123"/>
      <c r="C440" s="123"/>
      <c r="D440" s="123"/>
      <c r="H440" s="115"/>
      <c r="I440" s="115"/>
      <c r="J440" s="115"/>
      <c r="K440" s="115"/>
      <c r="L440" s="115"/>
      <c r="M440" s="115"/>
      <c r="N440" s="26"/>
      <c r="O440" s="13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27"/>
      <c r="AF440" s="29"/>
    </row>
    <row r="441" spans="1:32" ht="19.5" x14ac:dyDescent="0.4">
      <c r="A441" s="117"/>
      <c r="B441" s="123"/>
      <c r="C441" s="123"/>
      <c r="D441" s="123"/>
      <c r="H441" s="115"/>
      <c r="I441" s="115"/>
      <c r="J441" s="115"/>
      <c r="K441" s="115"/>
      <c r="L441" s="115"/>
      <c r="M441" s="115"/>
      <c r="N441" s="17"/>
      <c r="O441" s="13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29"/>
      <c r="AF441" s="29"/>
    </row>
    <row r="442" spans="1:32" ht="19.5" x14ac:dyDescent="0.4">
      <c r="A442" s="117"/>
      <c r="B442" s="123"/>
      <c r="C442" s="123"/>
      <c r="D442" s="123"/>
      <c r="N442" s="26"/>
      <c r="O442" s="13"/>
      <c r="AE442" s="127"/>
      <c r="AF442" s="29"/>
    </row>
    <row r="443" spans="1:32" ht="19.5" x14ac:dyDescent="0.4">
      <c r="A443" s="117"/>
      <c r="B443" s="123"/>
      <c r="C443" s="123"/>
      <c r="D443" s="123"/>
      <c r="H443" s="115"/>
      <c r="I443" s="115"/>
      <c r="J443" s="115"/>
      <c r="K443" s="115"/>
      <c r="L443" s="115"/>
      <c r="M443" s="115"/>
      <c r="N443" s="17"/>
      <c r="O443" s="13"/>
      <c r="Z443" s="115"/>
      <c r="AA443" s="115"/>
      <c r="AB443" s="115"/>
      <c r="AC443" s="115"/>
      <c r="AD443" s="115"/>
      <c r="AE443" s="29"/>
      <c r="AF443" s="29"/>
    </row>
    <row r="444" spans="1:32" ht="19.5" x14ac:dyDescent="0.4">
      <c r="A444" s="117"/>
      <c r="B444" s="123"/>
      <c r="C444" s="123"/>
      <c r="D444" s="123"/>
      <c r="N444" s="26"/>
      <c r="O444" s="13"/>
      <c r="AE444" s="127"/>
      <c r="AF444" s="29"/>
    </row>
    <row r="445" spans="1:32" ht="19.5" x14ac:dyDescent="0.4">
      <c r="A445" s="117"/>
      <c r="B445" s="123"/>
      <c r="C445" s="123"/>
      <c r="D445" s="123"/>
      <c r="H445" s="115"/>
      <c r="I445" s="115"/>
      <c r="J445" s="115"/>
      <c r="K445" s="115"/>
      <c r="L445" s="115"/>
      <c r="M445" s="115"/>
      <c r="N445" s="17"/>
      <c r="O445" s="13"/>
      <c r="Z445" s="115"/>
      <c r="AA445" s="115"/>
      <c r="AB445" s="115"/>
      <c r="AC445" s="115"/>
      <c r="AD445" s="115"/>
      <c r="AE445" s="29"/>
      <c r="AF445" s="29"/>
    </row>
    <row r="446" spans="1:32" ht="19.5" x14ac:dyDescent="0.4">
      <c r="A446" s="117"/>
      <c r="B446" s="123"/>
      <c r="C446" s="123"/>
      <c r="D446" s="123"/>
      <c r="H446" s="115"/>
      <c r="I446" s="115"/>
      <c r="J446" s="115"/>
      <c r="K446" s="115"/>
      <c r="L446" s="115"/>
      <c r="M446" s="115"/>
      <c r="N446" s="26"/>
      <c r="O446" s="13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27"/>
      <c r="AF446" s="29"/>
    </row>
    <row r="447" spans="1:32" ht="19.5" x14ac:dyDescent="0.4">
      <c r="A447" s="117"/>
      <c r="B447" s="123"/>
      <c r="C447" s="123"/>
      <c r="D447" s="123"/>
      <c r="H447" s="115"/>
      <c r="I447" s="115"/>
      <c r="J447" s="115"/>
      <c r="K447" s="115"/>
      <c r="L447" s="115"/>
      <c r="M447" s="115"/>
      <c r="N447" s="17"/>
      <c r="O447" s="13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29"/>
      <c r="AF447" s="29"/>
    </row>
    <row r="448" spans="1:32" ht="19.5" x14ac:dyDescent="0.4">
      <c r="A448" s="117"/>
      <c r="B448" s="123"/>
      <c r="C448" s="123"/>
      <c r="D448" s="123"/>
      <c r="H448" s="115"/>
      <c r="I448" s="115"/>
      <c r="J448" s="115"/>
      <c r="K448" s="115"/>
      <c r="L448" s="115"/>
      <c r="M448" s="115"/>
      <c r="N448" s="26"/>
      <c r="O448" s="13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27"/>
      <c r="AF448" s="29"/>
    </row>
    <row r="449" spans="1:32" ht="19.5" x14ac:dyDescent="0.4">
      <c r="A449" s="117"/>
      <c r="B449" s="123"/>
      <c r="C449" s="123"/>
      <c r="D449" s="123"/>
      <c r="H449" s="115"/>
      <c r="I449" s="115"/>
      <c r="J449" s="115"/>
      <c r="K449" s="115"/>
      <c r="L449" s="115"/>
      <c r="M449" s="115"/>
      <c r="N449" s="17"/>
      <c r="O449" s="13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29"/>
      <c r="AF449" s="29"/>
    </row>
    <row r="450" spans="1:32" ht="19.5" x14ac:dyDescent="0.4">
      <c r="A450" s="117"/>
      <c r="B450" s="123"/>
      <c r="C450" s="123"/>
      <c r="D450" s="123"/>
      <c r="H450" s="115"/>
      <c r="I450" s="115"/>
      <c r="J450" s="115"/>
      <c r="K450" s="115"/>
      <c r="L450" s="115"/>
      <c r="M450" s="115"/>
      <c r="N450" s="26"/>
      <c r="O450" s="13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27"/>
      <c r="AF450" s="29"/>
    </row>
    <row r="451" spans="1:32" ht="19.5" x14ac:dyDescent="0.4">
      <c r="A451" s="117"/>
      <c r="B451" s="123"/>
      <c r="C451" s="123"/>
      <c r="D451" s="123"/>
      <c r="H451" s="115"/>
      <c r="I451" s="115"/>
      <c r="J451" s="115"/>
      <c r="K451" s="115"/>
      <c r="L451" s="115"/>
      <c r="M451" s="115"/>
      <c r="N451" s="17"/>
      <c r="O451" s="13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29"/>
      <c r="AF451" s="29"/>
    </row>
    <row r="452" spans="1:32" ht="19.5" x14ac:dyDescent="0.4">
      <c r="A452" s="117"/>
      <c r="B452" s="123"/>
      <c r="C452" s="123"/>
      <c r="D452" s="123"/>
      <c r="H452" s="115"/>
      <c r="I452" s="115"/>
      <c r="J452" s="115"/>
      <c r="K452" s="115"/>
      <c r="L452" s="115"/>
      <c r="M452" s="115"/>
      <c r="N452" s="17"/>
      <c r="O452" s="13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29"/>
      <c r="AF452" s="29"/>
    </row>
    <row r="453" spans="1:32" ht="19.5" x14ac:dyDescent="0.4">
      <c r="A453" s="117"/>
      <c r="B453" s="123"/>
      <c r="C453" s="123"/>
      <c r="D453" s="123"/>
      <c r="H453" s="115"/>
      <c r="I453" s="115"/>
      <c r="J453" s="115"/>
      <c r="K453" s="115"/>
      <c r="L453" s="115"/>
      <c r="M453" s="115"/>
      <c r="N453" s="17"/>
      <c r="O453" s="13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29"/>
      <c r="AF453" s="29"/>
    </row>
    <row r="454" spans="1:32" ht="19.5" x14ac:dyDescent="0.4">
      <c r="A454" s="117"/>
      <c r="B454" s="123"/>
      <c r="C454" s="123"/>
      <c r="D454" s="123"/>
      <c r="H454" s="115"/>
      <c r="I454" s="115"/>
      <c r="J454" s="115"/>
      <c r="K454" s="115"/>
      <c r="L454" s="115"/>
      <c r="M454" s="115"/>
      <c r="N454" s="26"/>
      <c r="O454" s="13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27"/>
      <c r="AF454" s="29"/>
    </row>
    <row r="455" spans="1:32" ht="19.5" x14ac:dyDescent="0.4">
      <c r="A455" s="117"/>
      <c r="B455" s="123"/>
      <c r="C455" s="123"/>
      <c r="D455" s="123"/>
      <c r="N455" s="26"/>
      <c r="O455" s="13"/>
      <c r="AE455" s="127"/>
      <c r="AF455" s="29"/>
    </row>
    <row r="456" spans="1:32" ht="19.5" x14ac:dyDescent="0.4">
      <c r="A456" s="117"/>
      <c r="B456" s="123"/>
      <c r="C456" s="123"/>
      <c r="D456" s="123"/>
      <c r="H456" s="115"/>
      <c r="I456" s="115"/>
      <c r="J456" s="115"/>
      <c r="K456" s="115"/>
      <c r="L456" s="115"/>
      <c r="M456" s="115"/>
      <c r="N456" s="26"/>
      <c r="O456" s="13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27"/>
      <c r="AF456" s="29"/>
    </row>
    <row r="457" spans="1:32" ht="19.5" x14ac:dyDescent="0.4">
      <c r="A457" s="117"/>
      <c r="B457" s="123"/>
      <c r="C457" s="123"/>
      <c r="D457" s="123"/>
      <c r="H457" s="115"/>
      <c r="I457" s="115"/>
      <c r="J457" s="115"/>
      <c r="K457" s="115"/>
      <c r="L457" s="115"/>
      <c r="M457" s="115"/>
      <c r="N457" s="26"/>
      <c r="O457" s="13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27"/>
      <c r="AF457" s="29"/>
    </row>
    <row r="458" spans="1:32" ht="19.5" x14ac:dyDescent="0.4">
      <c r="A458" s="117"/>
      <c r="B458" s="123"/>
      <c r="C458" s="123"/>
      <c r="D458" s="123"/>
      <c r="H458" s="115"/>
      <c r="I458" s="115"/>
      <c r="J458" s="115"/>
      <c r="K458" s="115"/>
      <c r="L458" s="115"/>
      <c r="M458" s="115"/>
      <c r="N458" s="17"/>
      <c r="O458" s="13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29"/>
      <c r="AF458" s="29"/>
    </row>
    <row r="459" spans="1:32" ht="19.5" x14ac:dyDescent="0.4">
      <c r="A459" s="117"/>
      <c r="B459" s="123"/>
      <c r="C459" s="123"/>
      <c r="D459" s="123"/>
      <c r="H459" s="115"/>
      <c r="I459" s="115"/>
      <c r="J459" s="115"/>
      <c r="K459" s="115"/>
      <c r="L459" s="115"/>
      <c r="M459" s="115"/>
      <c r="N459" s="26"/>
      <c r="O459" s="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27"/>
      <c r="AF459" s="29"/>
    </row>
    <row r="460" spans="1:32" ht="19.5" x14ac:dyDescent="0.4">
      <c r="A460" s="117"/>
      <c r="B460" s="123"/>
      <c r="C460" s="123"/>
      <c r="D460" s="123"/>
      <c r="H460" s="115"/>
      <c r="I460" s="115"/>
      <c r="J460" s="115"/>
      <c r="K460" s="115"/>
      <c r="L460" s="115"/>
      <c r="M460" s="115"/>
      <c r="N460" s="17"/>
      <c r="O460" s="13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29"/>
      <c r="AF460" s="29"/>
    </row>
    <row r="461" spans="1:32" ht="19.5" x14ac:dyDescent="0.4">
      <c r="A461" s="117"/>
      <c r="B461" s="123"/>
      <c r="C461" s="123"/>
      <c r="D461" s="123"/>
      <c r="H461" s="115"/>
      <c r="I461" s="115"/>
      <c r="J461" s="115"/>
      <c r="K461" s="115"/>
      <c r="L461" s="115"/>
      <c r="M461" s="115"/>
      <c r="N461" s="26"/>
      <c r="O461" s="13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27"/>
      <c r="AF461" s="29"/>
    </row>
    <row r="462" spans="1:32" ht="19.5" x14ac:dyDescent="0.4">
      <c r="A462" s="117"/>
      <c r="B462" s="123"/>
      <c r="C462" s="123"/>
      <c r="D462" s="123"/>
      <c r="N462" s="26"/>
      <c r="O462" s="13"/>
      <c r="AE462" s="127"/>
      <c r="AF462" s="29"/>
    </row>
    <row r="463" spans="1:32" ht="19.5" x14ac:dyDescent="0.4">
      <c r="A463" s="117"/>
      <c r="B463" s="123"/>
      <c r="C463" s="123"/>
      <c r="D463" s="123"/>
      <c r="N463" s="26"/>
      <c r="O463" s="13"/>
      <c r="AE463" s="127"/>
      <c r="AF463" s="29"/>
    </row>
    <row r="464" spans="1:32" ht="19.5" x14ac:dyDescent="0.4">
      <c r="A464" s="117"/>
      <c r="B464" s="123"/>
      <c r="C464" s="123"/>
      <c r="D464" s="123"/>
      <c r="H464" s="115"/>
      <c r="I464" s="115"/>
      <c r="J464" s="115"/>
      <c r="K464" s="115"/>
      <c r="L464" s="115"/>
      <c r="M464" s="115"/>
      <c r="N464" s="26"/>
      <c r="O464" s="13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27"/>
      <c r="AF464" s="29"/>
    </row>
    <row r="465" spans="1:32" ht="19.5" x14ac:dyDescent="0.4">
      <c r="A465" s="117"/>
      <c r="B465" s="123"/>
      <c r="C465" s="123"/>
      <c r="D465" s="123"/>
      <c r="H465" s="115"/>
      <c r="I465" s="115"/>
      <c r="J465" s="115"/>
      <c r="K465" s="115"/>
      <c r="L465" s="115"/>
      <c r="M465" s="115"/>
      <c r="N465" s="26"/>
      <c r="O465" s="13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27"/>
      <c r="AF465" s="29"/>
    </row>
    <row r="466" spans="1:32" ht="19.5" x14ac:dyDescent="0.4">
      <c r="A466" s="117"/>
      <c r="B466" s="123"/>
      <c r="C466" s="123"/>
      <c r="D466" s="123"/>
      <c r="H466" s="115"/>
      <c r="I466" s="115"/>
      <c r="J466" s="115"/>
      <c r="K466" s="115"/>
      <c r="L466" s="115"/>
      <c r="M466" s="115"/>
      <c r="N466" s="17"/>
      <c r="O466" s="13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29"/>
      <c r="AF466" s="29"/>
    </row>
    <row r="467" spans="1:32" ht="19.5" x14ac:dyDescent="0.4">
      <c r="A467" s="117"/>
      <c r="B467" s="123"/>
      <c r="C467" s="123"/>
      <c r="D467" s="123"/>
      <c r="N467" s="26"/>
      <c r="O467" s="13"/>
      <c r="AE467" s="127"/>
      <c r="AF467" s="29"/>
    </row>
    <row r="468" spans="1:32" ht="19.5" x14ac:dyDescent="0.4">
      <c r="A468" s="117"/>
      <c r="B468" s="123"/>
      <c r="C468" s="123"/>
      <c r="D468" s="123"/>
      <c r="H468" s="115"/>
      <c r="I468" s="115"/>
      <c r="J468" s="115"/>
      <c r="K468" s="115"/>
      <c r="L468" s="115"/>
      <c r="M468" s="115"/>
      <c r="N468" s="26"/>
      <c r="O468" s="13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27"/>
      <c r="AF468" s="29"/>
    </row>
    <row r="469" spans="1:32" ht="19.5" x14ac:dyDescent="0.4">
      <c r="A469" s="117"/>
      <c r="B469" s="123"/>
      <c r="C469" s="123"/>
      <c r="D469" s="123"/>
      <c r="H469" s="115"/>
      <c r="I469" s="115"/>
      <c r="J469" s="115"/>
      <c r="K469" s="115"/>
      <c r="L469" s="115"/>
      <c r="M469" s="115"/>
      <c r="N469" s="26"/>
      <c r="O469" s="13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27"/>
      <c r="AF469" s="29"/>
    </row>
    <row r="470" spans="1:32" ht="19.5" x14ac:dyDescent="0.4">
      <c r="A470" s="117"/>
      <c r="B470" s="123"/>
      <c r="C470" s="123"/>
      <c r="D470" s="123"/>
      <c r="N470" s="26"/>
      <c r="O470" s="13"/>
      <c r="AE470" s="127"/>
      <c r="AF470" s="29"/>
    </row>
    <row r="471" spans="1:32" ht="19.5" x14ac:dyDescent="0.4">
      <c r="A471" s="117"/>
      <c r="B471" s="123"/>
      <c r="C471" s="123"/>
      <c r="D471" s="123"/>
      <c r="H471" s="115"/>
      <c r="I471" s="115"/>
      <c r="J471" s="115"/>
      <c r="K471" s="115"/>
      <c r="L471" s="115"/>
      <c r="M471" s="115"/>
      <c r="N471" s="26"/>
      <c r="O471" s="13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27"/>
      <c r="AF471" s="29"/>
    </row>
    <row r="472" spans="1:32" ht="19.5" x14ac:dyDescent="0.4">
      <c r="A472" s="117"/>
      <c r="B472" s="123"/>
      <c r="C472" s="123"/>
      <c r="D472" s="123"/>
      <c r="N472" s="26"/>
      <c r="O472" s="13"/>
      <c r="AE472" s="127"/>
      <c r="AF472" s="29"/>
    </row>
    <row r="473" spans="1:32" ht="19.5" x14ac:dyDescent="0.4">
      <c r="A473" s="117"/>
      <c r="B473" s="123"/>
      <c r="C473" s="123"/>
      <c r="D473" s="123"/>
      <c r="H473" s="115"/>
      <c r="I473" s="115"/>
      <c r="J473" s="115"/>
      <c r="K473" s="115"/>
      <c r="L473" s="115"/>
      <c r="M473" s="115"/>
      <c r="N473" s="17"/>
      <c r="O473" s="13"/>
      <c r="X473" s="115"/>
      <c r="Y473" s="115"/>
      <c r="Z473" s="115"/>
      <c r="AA473" s="115"/>
      <c r="AB473" s="115"/>
      <c r="AC473" s="115"/>
      <c r="AD473" s="115"/>
      <c r="AE473" s="29"/>
      <c r="AF473" s="29"/>
    </row>
    <row r="474" spans="1:32" ht="19.5" x14ac:dyDescent="0.4">
      <c r="A474" s="117"/>
      <c r="B474" s="123"/>
      <c r="C474" s="123"/>
      <c r="D474" s="123"/>
      <c r="H474" s="115"/>
      <c r="I474" s="115"/>
      <c r="J474" s="115"/>
      <c r="K474" s="115"/>
      <c r="L474" s="115"/>
      <c r="M474" s="115"/>
      <c r="N474" s="26"/>
      <c r="O474" s="13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27"/>
      <c r="AF474" s="29"/>
    </row>
    <row r="475" spans="1:32" ht="19.5" x14ac:dyDescent="0.4">
      <c r="A475" s="117"/>
      <c r="B475" s="123"/>
      <c r="C475" s="123"/>
      <c r="D475" s="123"/>
      <c r="H475" s="115"/>
      <c r="I475" s="115"/>
      <c r="J475" s="115"/>
      <c r="K475" s="115"/>
      <c r="L475" s="115"/>
      <c r="M475" s="115"/>
      <c r="N475" s="26"/>
      <c r="O475" s="13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27"/>
      <c r="AF475" s="29"/>
    </row>
    <row r="476" spans="1:32" ht="19.5" x14ac:dyDescent="0.4">
      <c r="A476" s="117"/>
      <c r="B476" s="123"/>
      <c r="C476" s="123"/>
      <c r="D476" s="123"/>
      <c r="H476" s="115"/>
      <c r="I476" s="115"/>
      <c r="J476" s="115"/>
      <c r="K476" s="115"/>
      <c r="L476" s="115"/>
      <c r="M476" s="115"/>
      <c r="N476" s="26"/>
      <c r="O476" s="13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27"/>
      <c r="AF476" s="29"/>
    </row>
    <row r="477" spans="1:32" ht="19.5" x14ac:dyDescent="0.4">
      <c r="A477" s="117"/>
      <c r="B477" s="123"/>
      <c r="C477" s="123"/>
      <c r="D477" s="123"/>
      <c r="H477" s="115"/>
      <c r="I477" s="115"/>
      <c r="J477" s="115"/>
      <c r="K477" s="115"/>
      <c r="L477" s="115"/>
      <c r="M477" s="115"/>
      <c r="N477" s="26"/>
      <c r="O477" s="13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27"/>
      <c r="AF477" s="29"/>
    </row>
    <row r="478" spans="1:32" ht="19.5" x14ac:dyDescent="0.4">
      <c r="A478" s="117"/>
      <c r="B478" s="123"/>
      <c r="C478" s="123"/>
      <c r="D478" s="123"/>
      <c r="H478" s="115"/>
      <c r="I478" s="115"/>
      <c r="J478" s="115"/>
      <c r="K478" s="115"/>
      <c r="L478" s="115"/>
      <c r="M478" s="115"/>
      <c r="N478" s="26"/>
      <c r="O478" s="13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27"/>
      <c r="AF478" s="29"/>
    </row>
    <row r="479" spans="1:32" ht="19.5" x14ac:dyDescent="0.4">
      <c r="A479" s="117"/>
      <c r="B479" s="123"/>
      <c r="C479" s="123"/>
      <c r="D479" s="123"/>
      <c r="N479" s="26"/>
      <c r="O479" s="13"/>
      <c r="AE479" s="127"/>
      <c r="AF479" s="29"/>
    </row>
    <row r="480" spans="1:32" ht="19.5" x14ac:dyDescent="0.4">
      <c r="A480" s="117"/>
      <c r="B480" s="123"/>
      <c r="C480" s="123"/>
      <c r="D480" s="123"/>
      <c r="H480" s="115"/>
      <c r="I480" s="115"/>
      <c r="J480" s="115"/>
      <c r="K480" s="115"/>
      <c r="L480" s="115"/>
      <c r="M480" s="115"/>
      <c r="N480" s="26"/>
      <c r="O480" s="13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27"/>
      <c r="AF480" s="29"/>
    </row>
    <row r="481" spans="1:32" ht="19.5" x14ac:dyDescent="0.4">
      <c r="A481" s="117"/>
      <c r="B481" s="123"/>
      <c r="C481" s="123"/>
      <c r="D481" s="123"/>
      <c r="N481" s="26"/>
      <c r="O481" s="13"/>
      <c r="AE481" s="127"/>
      <c r="AF481" s="29"/>
    </row>
    <row r="482" spans="1:32" ht="19.5" x14ac:dyDescent="0.4">
      <c r="A482" s="117"/>
      <c r="B482" s="123"/>
      <c r="C482" s="123"/>
      <c r="D482" s="123"/>
      <c r="N482" s="26"/>
      <c r="O482" s="13"/>
      <c r="AE482" s="127"/>
      <c r="AF482" s="29"/>
    </row>
    <row r="483" spans="1:32" ht="19.5" x14ac:dyDescent="0.4">
      <c r="A483" s="125"/>
      <c r="B483" s="126"/>
      <c r="C483" s="126"/>
      <c r="D483" s="126"/>
      <c r="H483" s="115"/>
      <c r="I483" s="115"/>
      <c r="J483" s="115"/>
      <c r="K483" s="115"/>
      <c r="L483" s="115"/>
      <c r="M483" s="115"/>
      <c r="N483" s="26"/>
      <c r="O483" s="13"/>
      <c r="W483" s="115"/>
      <c r="X483" s="115"/>
      <c r="Y483" s="115"/>
      <c r="Z483" s="115"/>
      <c r="AA483" s="115"/>
      <c r="AB483" s="115"/>
      <c r="AC483" s="115"/>
      <c r="AD483" s="115"/>
      <c r="AE483" s="127"/>
      <c r="AF483" s="29"/>
    </row>
    <row r="484" spans="1:32" ht="19.5" x14ac:dyDescent="0.4">
      <c r="A484" s="125"/>
      <c r="B484" s="126"/>
      <c r="C484" s="126"/>
      <c r="D484" s="126"/>
      <c r="N484" s="26"/>
      <c r="O484" s="13"/>
      <c r="AE484" s="127"/>
      <c r="AF484" s="29"/>
    </row>
    <row r="485" spans="1:32" ht="19.5" x14ac:dyDescent="0.4">
      <c r="A485" s="125"/>
      <c r="B485" s="126"/>
      <c r="C485" s="126"/>
      <c r="D485" s="126"/>
      <c r="H485" s="115"/>
      <c r="I485" s="115"/>
      <c r="J485" s="115"/>
      <c r="K485" s="115"/>
      <c r="L485" s="115"/>
      <c r="M485" s="115"/>
      <c r="N485" s="26"/>
      <c r="O485" s="13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27"/>
      <c r="AF485" s="29"/>
    </row>
    <row r="486" spans="1:32" x14ac:dyDescent="0.4">
      <c r="N486" s="26"/>
      <c r="O486" s="13"/>
      <c r="AE486" s="127"/>
      <c r="AF486" s="29"/>
    </row>
    <row r="487" spans="1:32" x14ac:dyDescent="0.4">
      <c r="H487" s="115"/>
      <c r="I487" s="115"/>
      <c r="J487" s="115"/>
      <c r="K487" s="115"/>
      <c r="L487" s="115"/>
      <c r="M487" s="115"/>
      <c r="N487" s="26"/>
      <c r="O487" s="13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27"/>
      <c r="AF487" s="29"/>
    </row>
    <row r="488" spans="1:32" x14ac:dyDescent="0.4">
      <c r="N488" s="26"/>
      <c r="O488" s="13"/>
      <c r="AE488" s="127"/>
      <c r="AF488" s="29"/>
    </row>
    <row r="489" spans="1:32" x14ac:dyDescent="0.4">
      <c r="H489" s="115"/>
      <c r="I489" s="115"/>
      <c r="J489" s="115"/>
      <c r="K489" s="115"/>
      <c r="L489" s="115"/>
      <c r="M489" s="115"/>
      <c r="N489" s="26"/>
      <c r="O489" s="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27"/>
      <c r="AF489" s="29"/>
    </row>
    <row r="490" spans="1:32" x14ac:dyDescent="0.4">
      <c r="H490" s="115"/>
      <c r="I490" s="115"/>
      <c r="J490" s="115"/>
      <c r="K490" s="115"/>
      <c r="L490" s="115"/>
      <c r="M490" s="115"/>
      <c r="N490" s="26"/>
      <c r="O490" s="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27"/>
      <c r="AF490" s="29"/>
    </row>
    <row r="491" spans="1:32" x14ac:dyDescent="0.4">
      <c r="H491" s="115"/>
      <c r="I491" s="115"/>
      <c r="J491" s="115"/>
      <c r="K491" s="115"/>
      <c r="L491" s="115"/>
      <c r="M491" s="115"/>
      <c r="N491" s="26"/>
      <c r="O491" s="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27"/>
      <c r="AF491" s="29"/>
    </row>
    <row r="492" spans="1:32" x14ac:dyDescent="0.4">
      <c r="H492" s="115"/>
      <c r="I492" s="115"/>
      <c r="J492" s="115"/>
      <c r="K492" s="115"/>
      <c r="L492" s="115"/>
      <c r="M492" s="115"/>
      <c r="N492" s="26"/>
      <c r="O492" s="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27"/>
      <c r="AF492" s="29"/>
    </row>
    <row r="493" spans="1:32" x14ac:dyDescent="0.4">
      <c r="H493" s="115"/>
      <c r="I493" s="115"/>
      <c r="J493" s="115"/>
      <c r="K493" s="115"/>
      <c r="L493" s="115"/>
      <c r="M493" s="115"/>
      <c r="N493" s="26"/>
      <c r="O493" s="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27"/>
      <c r="AF493" s="29"/>
    </row>
    <row r="494" spans="1:32" x14ac:dyDescent="0.4">
      <c r="N494" s="26"/>
      <c r="O494" s="15"/>
      <c r="AE494" s="127"/>
      <c r="AF494" s="29"/>
    </row>
    <row r="495" spans="1:32" x14ac:dyDescent="0.4">
      <c r="N495" s="26"/>
      <c r="O495" s="15"/>
      <c r="AE495" s="127"/>
      <c r="AF495" s="29"/>
    </row>
    <row r="496" spans="1:32" x14ac:dyDescent="0.4">
      <c r="H496" s="115"/>
      <c r="I496" s="115"/>
      <c r="J496" s="115"/>
      <c r="K496" s="115"/>
      <c r="L496" s="115"/>
      <c r="M496" s="115"/>
      <c r="N496" s="26"/>
      <c r="O496" s="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27"/>
      <c r="AF496" s="29"/>
    </row>
    <row r="497" spans="8:32" x14ac:dyDescent="0.4">
      <c r="H497" s="115"/>
      <c r="I497" s="115"/>
      <c r="J497" s="115"/>
      <c r="K497" s="115"/>
      <c r="L497" s="115"/>
      <c r="M497" s="115"/>
      <c r="N497" s="26"/>
      <c r="O497" s="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27"/>
      <c r="AF497" s="29"/>
    </row>
    <row r="498" spans="8:32" x14ac:dyDescent="0.4">
      <c r="N498" s="26"/>
      <c r="O498" s="15"/>
      <c r="AE498" s="127"/>
      <c r="AF498" s="29"/>
    </row>
    <row r="499" spans="8:32" x14ac:dyDescent="0.4">
      <c r="H499" s="115"/>
      <c r="I499" s="115"/>
      <c r="J499" s="115"/>
      <c r="K499" s="115"/>
      <c r="L499" s="115"/>
      <c r="M499" s="115"/>
      <c r="N499" s="26"/>
      <c r="O499" s="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27"/>
      <c r="AF499" s="29"/>
    </row>
    <row r="500" spans="8:32" x14ac:dyDescent="0.4">
      <c r="H500" s="115"/>
      <c r="I500" s="115"/>
      <c r="J500" s="115"/>
      <c r="K500" s="115"/>
      <c r="L500" s="115"/>
      <c r="M500" s="115"/>
      <c r="N500" s="26"/>
      <c r="O500" s="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27"/>
      <c r="AF500" s="29"/>
    </row>
    <row r="501" spans="8:32" x14ac:dyDescent="0.4">
      <c r="H501" s="115"/>
      <c r="I501" s="115"/>
      <c r="J501" s="115"/>
      <c r="K501" s="115"/>
      <c r="L501" s="115"/>
      <c r="M501" s="115"/>
      <c r="N501" s="17"/>
      <c r="O501" s="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29"/>
      <c r="AF501" s="29"/>
    </row>
    <row r="502" spans="8:32" x14ac:dyDescent="0.4">
      <c r="N502" s="26"/>
      <c r="O502" s="15"/>
      <c r="AE502" s="127"/>
      <c r="AF502" s="29"/>
    </row>
    <row r="503" spans="8:32" x14ac:dyDescent="0.4">
      <c r="H503" s="115"/>
      <c r="I503" s="115"/>
      <c r="J503" s="115"/>
      <c r="K503" s="115"/>
      <c r="L503" s="115"/>
      <c r="M503" s="115"/>
      <c r="N503" s="26"/>
      <c r="O503" s="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27"/>
      <c r="AF503" s="29"/>
    </row>
    <row r="504" spans="8:32" x14ac:dyDescent="0.4">
      <c r="H504" s="115"/>
      <c r="I504" s="115"/>
      <c r="J504" s="115"/>
      <c r="K504" s="115"/>
      <c r="L504" s="115"/>
      <c r="M504" s="115"/>
      <c r="N504" s="17"/>
      <c r="O504" s="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29"/>
      <c r="AF504" s="29"/>
    </row>
    <row r="505" spans="8:32" x14ac:dyDescent="0.4">
      <c r="H505" s="115"/>
      <c r="I505" s="115"/>
      <c r="J505" s="115"/>
      <c r="K505" s="115"/>
      <c r="L505" s="115"/>
      <c r="M505" s="115"/>
      <c r="N505" s="26"/>
      <c r="O505" s="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27"/>
      <c r="AF505" s="29"/>
    </row>
    <row r="506" spans="8:32" x14ac:dyDescent="0.4">
      <c r="H506" s="115"/>
      <c r="I506" s="115"/>
      <c r="J506" s="115"/>
      <c r="K506" s="115"/>
      <c r="L506" s="115"/>
      <c r="M506" s="115"/>
      <c r="N506" s="26"/>
      <c r="O506" s="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27"/>
      <c r="AF506" s="29"/>
    </row>
    <row r="507" spans="8:32" x14ac:dyDescent="0.4">
      <c r="H507" s="115"/>
      <c r="I507" s="115"/>
      <c r="J507" s="115"/>
      <c r="K507" s="115"/>
      <c r="L507" s="115"/>
      <c r="M507" s="115"/>
      <c r="N507" s="26"/>
      <c r="O507" s="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27"/>
      <c r="AF507" s="29"/>
    </row>
    <row r="508" spans="8:32" x14ac:dyDescent="0.4">
      <c r="N508" s="26"/>
      <c r="O508" s="15"/>
      <c r="AE508" s="127"/>
      <c r="AF508" s="29"/>
    </row>
    <row r="509" spans="8:32" x14ac:dyDescent="0.4">
      <c r="H509" s="115"/>
      <c r="I509" s="115"/>
      <c r="J509" s="115"/>
      <c r="K509" s="115"/>
      <c r="L509" s="115"/>
      <c r="M509" s="115"/>
      <c r="N509" s="26"/>
      <c r="O509" s="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27"/>
      <c r="AF509" s="29"/>
    </row>
    <row r="510" spans="8:32" x14ac:dyDescent="0.4"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27"/>
      <c r="AF510" s="29"/>
    </row>
    <row r="511" spans="8:32" x14ac:dyDescent="0.4"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27"/>
      <c r="AF511" s="29"/>
    </row>
    <row r="512" spans="8:32" x14ac:dyDescent="0.4"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29"/>
      <c r="AF512" s="29"/>
    </row>
    <row r="513" spans="16:32" x14ac:dyDescent="0.4"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27"/>
      <c r="AF513" s="29"/>
    </row>
    <row r="514" spans="16:32" x14ac:dyDescent="0.4"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29"/>
      <c r="AF514" s="29"/>
    </row>
    <row r="515" spans="16:32" x14ac:dyDescent="0.4"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27"/>
      <c r="AF515" s="29"/>
    </row>
    <row r="516" spans="16:32" x14ac:dyDescent="0.4"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29"/>
      <c r="AF516" s="29"/>
    </row>
    <row r="517" spans="16:32" x14ac:dyDescent="0.4"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27"/>
      <c r="AF517" s="29"/>
    </row>
    <row r="518" spans="16:32" x14ac:dyDescent="0.4"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29"/>
      <c r="AF518" s="29"/>
    </row>
    <row r="519" spans="16:32" x14ac:dyDescent="0.4"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27"/>
      <c r="AF519" s="29"/>
    </row>
    <row r="520" spans="16:32" x14ac:dyDescent="0.4"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27"/>
      <c r="AF520" s="29"/>
    </row>
    <row r="521" spans="16:32" x14ac:dyDescent="0.4"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27"/>
      <c r="AF521" s="29"/>
    </row>
    <row r="522" spans="16:32" x14ac:dyDescent="0.4"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27"/>
      <c r="AF522" s="29"/>
    </row>
    <row r="523" spans="16:32" x14ac:dyDescent="0.4"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27"/>
      <c r="AF523" s="29"/>
    </row>
    <row r="524" spans="16:32" x14ac:dyDescent="0.4">
      <c r="AE524" s="127"/>
      <c r="AF524" s="29"/>
    </row>
    <row r="525" spans="16:32" x14ac:dyDescent="0.4"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27"/>
      <c r="AF525" s="29"/>
    </row>
    <row r="526" spans="16:32" x14ac:dyDescent="0.4">
      <c r="AE526" s="127"/>
      <c r="AF526" s="29"/>
    </row>
    <row r="527" spans="16:32" x14ac:dyDescent="0.4">
      <c r="W527" s="115"/>
      <c r="X527" s="115"/>
      <c r="Y527" s="115"/>
      <c r="Z527" s="115"/>
      <c r="AA527" s="115"/>
      <c r="AB527" s="115"/>
      <c r="AC527" s="115"/>
      <c r="AD527" s="115"/>
      <c r="AE527" s="127"/>
      <c r="AF527" s="29"/>
    </row>
    <row r="528" spans="16:32" x14ac:dyDescent="0.4"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27"/>
      <c r="AF528" s="29"/>
    </row>
    <row r="529" spans="16:32" x14ac:dyDescent="0.4"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29"/>
      <c r="AF529" s="29"/>
    </row>
    <row r="530" spans="16:32" x14ac:dyDescent="0.4"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29"/>
      <c r="AF530" s="29"/>
    </row>
    <row r="531" spans="16:32" x14ac:dyDescent="0.4"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27"/>
      <c r="AF531" s="29"/>
    </row>
    <row r="532" spans="16:32" x14ac:dyDescent="0.4"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27"/>
      <c r="AF532" s="29"/>
    </row>
    <row r="533" spans="16:32" x14ac:dyDescent="0.4">
      <c r="AE533" s="127"/>
      <c r="AF533" s="29"/>
    </row>
    <row r="534" spans="16:32" x14ac:dyDescent="0.4"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27"/>
      <c r="AF534" s="29"/>
    </row>
    <row r="535" spans="16:32" x14ac:dyDescent="0.4"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27"/>
      <c r="AF535" s="29"/>
    </row>
    <row r="536" spans="16:32" x14ac:dyDescent="0.4"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27"/>
      <c r="AF536" s="29"/>
    </row>
    <row r="537" spans="16:32" x14ac:dyDescent="0.4">
      <c r="AE537" s="127"/>
      <c r="AF537" s="29"/>
    </row>
    <row r="538" spans="16:32" x14ac:dyDescent="0.4"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27"/>
      <c r="AF538" s="29"/>
    </row>
    <row r="539" spans="16:32" x14ac:dyDescent="0.4"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27"/>
      <c r="AF539" s="29"/>
    </row>
    <row r="540" spans="16:32" x14ac:dyDescent="0.4"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27"/>
      <c r="AF540" s="29"/>
    </row>
    <row r="541" spans="16:32" x14ac:dyDescent="0.4"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27"/>
      <c r="AF541" s="29"/>
    </row>
    <row r="542" spans="16:32" x14ac:dyDescent="0.4">
      <c r="AE542" s="127"/>
      <c r="AF542" s="29"/>
    </row>
    <row r="543" spans="16:32" x14ac:dyDescent="0.4"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27"/>
      <c r="AF543" s="29"/>
    </row>
    <row r="544" spans="16:32" x14ac:dyDescent="0.4"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27"/>
      <c r="AF544" s="29"/>
    </row>
    <row r="545" spans="17:32" x14ac:dyDescent="0.4"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27"/>
      <c r="AF545" s="29"/>
    </row>
    <row r="546" spans="17:32" x14ac:dyDescent="0.4"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27"/>
      <c r="AF546" s="29"/>
    </row>
    <row r="547" spans="17:32" x14ac:dyDescent="0.4">
      <c r="AE547" s="127"/>
      <c r="AF547" s="29"/>
    </row>
    <row r="548" spans="17:32" x14ac:dyDescent="0.4"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27"/>
      <c r="AF548" s="29"/>
    </row>
    <row r="549" spans="17:32" x14ac:dyDescent="0.4">
      <c r="AE549" s="127"/>
      <c r="AF549" s="29"/>
    </row>
    <row r="550" spans="17:32" x14ac:dyDescent="0.4"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27"/>
      <c r="AF550" s="29"/>
    </row>
    <row r="551" spans="17:32" x14ac:dyDescent="0.4"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27"/>
      <c r="AF551" s="29"/>
    </row>
    <row r="552" spans="17:32" x14ac:dyDescent="0.4"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27"/>
      <c r="AF552" s="29"/>
    </row>
    <row r="553" spans="17:32" x14ac:dyDescent="0.4"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27"/>
      <c r="AF553" s="29"/>
    </row>
    <row r="554" spans="17:32" x14ac:dyDescent="0.4"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27"/>
      <c r="AF554" s="29"/>
    </row>
    <row r="555" spans="17:32" x14ac:dyDescent="0.4">
      <c r="AE555" s="127"/>
      <c r="AF555" s="29"/>
    </row>
    <row r="556" spans="17:32" x14ac:dyDescent="0.4"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27"/>
      <c r="AF556" s="29"/>
    </row>
    <row r="557" spans="17:32" x14ac:dyDescent="0.4"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27"/>
      <c r="AF557" s="29"/>
    </row>
    <row r="558" spans="17:32" x14ac:dyDescent="0.4"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27"/>
      <c r="AF558" s="29"/>
    </row>
    <row r="559" spans="17:32" x14ac:dyDescent="0.4"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27"/>
      <c r="AF559" s="29"/>
    </row>
    <row r="560" spans="17:32" x14ac:dyDescent="0.4">
      <c r="AE560" s="127"/>
      <c r="AF560" s="29"/>
    </row>
    <row r="561" spans="15:32" x14ac:dyDescent="0.4"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27"/>
      <c r="AF561" s="29"/>
    </row>
    <row r="562" spans="15:32" x14ac:dyDescent="0.4">
      <c r="AE562" s="127"/>
      <c r="AF562" s="29"/>
    </row>
    <row r="563" spans="15:32" x14ac:dyDescent="0.4"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27"/>
      <c r="AF563" s="29"/>
    </row>
    <row r="564" spans="15:32" x14ac:dyDescent="0.4"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27"/>
      <c r="AF564" s="29"/>
    </row>
    <row r="565" spans="15:32" x14ac:dyDescent="0.4">
      <c r="AE565" s="127"/>
      <c r="AF565" s="29"/>
    </row>
    <row r="566" spans="15:32" x14ac:dyDescent="0.4">
      <c r="W566" s="115"/>
      <c r="X566" s="115"/>
      <c r="Y566" s="115"/>
      <c r="Z566" s="115"/>
      <c r="AA566" s="115"/>
      <c r="AB566" s="115"/>
      <c r="AC566" s="115"/>
      <c r="AD566" s="115"/>
      <c r="AE566" s="29"/>
      <c r="AF566" s="29"/>
    </row>
    <row r="567" spans="15:32" x14ac:dyDescent="0.4"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27"/>
      <c r="AF567" s="29"/>
    </row>
    <row r="568" spans="15:32" x14ac:dyDescent="0.4"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27"/>
      <c r="AF568" s="29"/>
    </row>
    <row r="569" spans="15:32" x14ac:dyDescent="0.4">
      <c r="AE569" s="127"/>
      <c r="AF569" s="29"/>
    </row>
    <row r="570" spans="15:32" x14ac:dyDescent="0.4">
      <c r="AE570" s="127"/>
      <c r="AF570" s="29"/>
    </row>
    <row r="571" spans="15:32" x14ac:dyDescent="0.4"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27"/>
      <c r="AF571" s="29"/>
    </row>
    <row r="572" spans="15:32" x14ac:dyDescent="0.4"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27"/>
      <c r="AF572" s="29"/>
    </row>
    <row r="573" spans="15:32" x14ac:dyDescent="0.4">
      <c r="AE573" s="127"/>
      <c r="AF573" s="29"/>
    </row>
    <row r="574" spans="15:32" x14ac:dyDescent="0.4"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27"/>
      <c r="AF574" s="29"/>
    </row>
    <row r="575" spans="15:32" x14ac:dyDescent="0.4"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27"/>
      <c r="AF575" s="29"/>
    </row>
    <row r="576" spans="15:32" x14ac:dyDescent="0.4">
      <c r="AE576" s="127"/>
      <c r="AF576" s="29"/>
    </row>
    <row r="577" spans="16:32" x14ac:dyDescent="0.4">
      <c r="W577" s="115"/>
      <c r="X577" s="115"/>
      <c r="Y577" s="115"/>
      <c r="Z577" s="115"/>
      <c r="AA577" s="115"/>
      <c r="AB577" s="115"/>
      <c r="AC577" s="115"/>
      <c r="AD577" s="115"/>
      <c r="AE577" s="29"/>
      <c r="AF577" s="29"/>
    </row>
    <row r="578" spans="16:32" x14ac:dyDescent="0.4">
      <c r="AE578" s="127"/>
      <c r="AF578" s="29"/>
    </row>
    <row r="579" spans="16:32" x14ac:dyDescent="0.4">
      <c r="AE579" s="127"/>
      <c r="AF579" s="29"/>
    </row>
    <row r="580" spans="16:32" x14ac:dyDescent="0.4"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27"/>
      <c r="AF580" s="29"/>
    </row>
    <row r="581" spans="16:32" x14ac:dyDescent="0.4"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29"/>
      <c r="AF581" s="29"/>
    </row>
    <row r="582" spans="16:32" x14ac:dyDescent="0.4">
      <c r="AE582" s="127"/>
      <c r="AF582" s="29"/>
    </row>
    <row r="583" spans="16:32" x14ac:dyDescent="0.4">
      <c r="AE583" s="127"/>
      <c r="AF583" s="29"/>
    </row>
    <row r="584" spans="16:32" x14ac:dyDescent="0.4">
      <c r="AE584" s="127"/>
      <c r="AF584" s="29"/>
    </row>
    <row r="585" spans="16:32" x14ac:dyDescent="0.4">
      <c r="W585" s="115"/>
      <c r="X585" s="115"/>
      <c r="Y585" s="115"/>
      <c r="Z585" s="115"/>
      <c r="AA585" s="115"/>
      <c r="AB585" s="115"/>
      <c r="AC585" s="115"/>
      <c r="AD585" s="115"/>
      <c r="AE585" s="29"/>
      <c r="AF585" s="29"/>
    </row>
    <row r="586" spans="16:32" x14ac:dyDescent="0.4">
      <c r="W586" s="115"/>
      <c r="X586" s="115"/>
      <c r="Y586" s="115"/>
      <c r="Z586" s="115"/>
      <c r="AA586" s="115"/>
      <c r="AB586" s="115"/>
      <c r="AC586" s="115"/>
      <c r="AD586" s="115"/>
      <c r="AE586" s="29"/>
      <c r="AF586" s="29"/>
    </row>
    <row r="587" spans="16:32" x14ac:dyDescent="0.4">
      <c r="AE587" s="127"/>
      <c r="AF587" s="29"/>
    </row>
    <row r="588" spans="16:32" x14ac:dyDescent="0.4"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29"/>
      <c r="AF588" s="29"/>
    </row>
    <row r="589" spans="16:32" x14ac:dyDescent="0.4"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27"/>
      <c r="AF589" s="29"/>
    </row>
    <row r="590" spans="16:32" x14ac:dyDescent="0.4"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29"/>
      <c r="AF590" s="29"/>
    </row>
    <row r="591" spans="16:32" x14ac:dyDescent="0.4">
      <c r="AE591" s="127"/>
      <c r="AF591" s="29"/>
    </row>
    <row r="592" spans="16:32" x14ac:dyDescent="0.4">
      <c r="AE592" s="127"/>
      <c r="AF592" s="29"/>
    </row>
    <row r="593" spans="15:32" x14ac:dyDescent="0.4">
      <c r="AE593" s="127"/>
      <c r="AF593" s="29"/>
    </row>
    <row r="594" spans="15:32" x14ac:dyDescent="0.4"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27"/>
      <c r="AF594" s="29"/>
    </row>
    <row r="595" spans="15:32" x14ac:dyDescent="0.4"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27"/>
      <c r="AF595" s="29"/>
    </row>
    <row r="596" spans="15:32" x14ac:dyDescent="0.4"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29"/>
      <c r="AF596" s="29"/>
    </row>
    <row r="597" spans="15:32" x14ac:dyDescent="0.4">
      <c r="AE597" s="127"/>
      <c r="AF597" s="29"/>
    </row>
    <row r="598" spans="15:32" x14ac:dyDescent="0.4"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29"/>
      <c r="AF598" s="29"/>
    </row>
    <row r="599" spans="15:32" x14ac:dyDescent="0.4">
      <c r="AE599" s="127"/>
      <c r="AF599" s="29"/>
    </row>
    <row r="600" spans="15:32" x14ac:dyDescent="0.4"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29"/>
      <c r="AF600" s="29"/>
    </row>
    <row r="601" spans="15:32" x14ac:dyDescent="0.4"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29"/>
      <c r="AF601" s="29"/>
    </row>
    <row r="602" spans="15:32" x14ac:dyDescent="0.4">
      <c r="AE602" s="127"/>
      <c r="AF602" s="29"/>
    </row>
    <row r="603" spans="15:32" x14ac:dyDescent="0.4">
      <c r="AE603" s="127"/>
      <c r="AF603" s="29"/>
    </row>
    <row r="604" spans="15:32" x14ac:dyDescent="0.4">
      <c r="AE604" s="128"/>
      <c r="AF604" s="29"/>
    </row>
    <row r="605" spans="15:32" x14ac:dyDescent="0.4"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27"/>
      <c r="AF605" s="29"/>
    </row>
    <row r="606" spans="15:32" x14ac:dyDescent="0.4">
      <c r="AE606" s="127"/>
      <c r="AF606" s="29"/>
    </row>
    <row r="607" spans="15:32" x14ac:dyDescent="0.4"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27"/>
      <c r="AF607" s="29"/>
    </row>
    <row r="608" spans="15:32" x14ac:dyDescent="0.4">
      <c r="AE608" s="127"/>
      <c r="AF608" s="29"/>
    </row>
    <row r="609" spans="15:32" x14ac:dyDescent="0.4">
      <c r="AE609" s="127"/>
      <c r="AF609" s="29"/>
    </row>
    <row r="610" spans="15:32" x14ac:dyDescent="0.4"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27"/>
      <c r="AF610" s="29"/>
    </row>
    <row r="611" spans="15:32" x14ac:dyDescent="0.4">
      <c r="AE611" s="127"/>
      <c r="AF611" s="29"/>
    </row>
    <row r="612" spans="15:32" x14ac:dyDescent="0.4"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27"/>
      <c r="AF612" s="29"/>
    </row>
    <row r="613" spans="15:32" x14ac:dyDescent="0.4">
      <c r="AE613" s="127"/>
      <c r="AF613" s="29"/>
    </row>
    <row r="614" spans="15:32" x14ac:dyDescent="0.4"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27"/>
      <c r="AF614" s="29"/>
    </row>
    <row r="615" spans="15:32" x14ac:dyDescent="0.4">
      <c r="AE615" s="127"/>
      <c r="AF615" s="29"/>
    </row>
    <row r="616" spans="15:32" x14ac:dyDescent="0.4">
      <c r="AE616" s="128"/>
      <c r="AF616" s="29"/>
    </row>
    <row r="617" spans="15:32" x14ac:dyDescent="0.4">
      <c r="AE617" s="127"/>
      <c r="AF617" s="29"/>
    </row>
    <row r="618" spans="15:32" x14ac:dyDescent="0.4">
      <c r="AE618" s="127"/>
      <c r="AF618" s="29"/>
    </row>
    <row r="619" spans="15:32" x14ac:dyDescent="0.4">
      <c r="AE619" s="128"/>
      <c r="AF619" s="29"/>
    </row>
    <row r="620" spans="15:32" x14ac:dyDescent="0.4">
      <c r="AE620" s="127"/>
      <c r="AF620" s="29"/>
    </row>
    <row r="621" spans="15:32" x14ac:dyDescent="0.4">
      <c r="AE621" s="128"/>
      <c r="AF621" s="29"/>
    </row>
    <row r="622" spans="15:32" x14ac:dyDescent="0.4">
      <c r="AE622" s="127"/>
      <c r="AF622" s="29"/>
    </row>
    <row r="623" spans="15:32" x14ac:dyDescent="0.4"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27"/>
      <c r="AF623" s="29"/>
    </row>
    <row r="624" spans="15:32" x14ac:dyDescent="0.4"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28"/>
      <c r="AF624" s="29"/>
    </row>
    <row r="625" spans="15:32" x14ac:dyDescent="0.4">
      <c r="AE625" s="127"/>
      <c r="AF625" s="29"/>
    </row>
    <row r="626" spans="15:32" x14ac:dyDescent="0.4">
      <c r="AE626" s="128"/>
      <c r="AF626" s="29"/>
    </row>
    <row r="627" spans="15:32" x14ac:dyDescent="0.4"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27"/>
      <c r="AF627" s="29"/>
    </row>
    <row r="628" spans="15:32" x14ac:dyDescent="0.4">
      <c r="AE628" s="127"/>
      <c r="AF628" s="29"/>
    </row>
    <row r="629" spans="15:32" x14ac:dyDescent="0.4">
      <c r="AE629" s="127"/>
      <c r="AF629" s="29"/>
    </row>
    <row r="630" spans="15:32" x14ac:dyDescent="0.4"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27"/>
      <c r="AF630" s="29"/>
    </row>
    <row r="631" spans="15:32" x14ac:dyDescent="0.4">
      <c r="AE631" s="127"/>
      <c r="AF631" s="29"/>
    </row>
    <row r="632" spans="15:32" x14ac:dyDescent="0.4">
      <c r="AE632" s="127"/>
      <c r="AF632" s="29"/>
    </row>
    <row r="633" spans="15:32" x14ac:dyDescent="0.4">
      <c r="AE633" s="127"/>
      <c r="AF633" s="29"/>
    </row>
    <row r="634" spans="15:32" x14ac:dyDescent="0.4"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27"/>
      <c r="AF634" s="29"/>
    </row>
    <row r="635" spans="15:32" x14ac:dyDescent="0.4"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28"/>
      <c r="AF635" s="29"/>
    </row>
    <row r="636" spans="15:32" x14ac:dyDescent="0.4">
      <c r="AE636" s="127"/>
      <c r="AF636" s="29"/>
    </row>
    <row r="637" spans="15:32" x14ac:dyDescent="0.4">
      <c r="AE637" s="128"/>
      <c r="AF637" s="29"/>
    </row>
    <row r="638" spans="15:32" x14ac:dyDescent="0.4">
      <c r="AE638" s="127"/>
      <c r="AF638" s="29"/>
    </row>
    <row r="639" spans="15:32" x14ac:dyDescent="0.4"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27"/>
      <c r="AF639" s="29"/>
    </row>
    <row r="640" spans="15:32" x14ac:dyDescent="0.4">
      <c r="AE640" s="127"/>
      <c r="AF640" s="29"/>
    </row>
    <row r="641" spans="16:32" x14ac:dyDescent="0.4">
      <c r="AE641" s="128"/>
      <c r="AF641" s="29"/>
    </row>
    <row r="642" spans="16:32" x14ac:dyDescent="0.4">
      <c r="AE642" s="128"/>
      <c r="AF642" s="29"/>
    </row>
    <row r="643" spans="16:32" x14ac:dyDescent="0.4">
      <c r="AE643" s="127"/>
      <c r="AF643" s="29"/>
    </row>
    <row r="644" spans="16:32" x14ac:dyDescent="0.4">
      <c r="AE644" s="127"/>
      <c r="AF644" s="29"/>
    </row>
    <row r="645" spans="16:32" x14ac:dyDescent="0.4">
      <c r="AE645" s="127"/>
      <c r="AF645" s="29"/>
    </row>
    <row r="646" spans="16:32" x14ac:dyDescent="0.4">
      <c r="AE646" s="127"/>
      <c r="AF646" s="29"/>
    </row>
    <row r="647" spans="16:32" x14ac:dyDescent="0.4"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29"/>
      <c r="AF647" s="29"/>
    </row>
    <row r="648" spans="16:32" x14ac:dyDescent="0.4">
      <c r="AE648" s="127"/>
      <c r="AF648" s="127"/>
    </row>
    <row r="649" spans="16:32" x14ac:dyDescent="0.4"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29"/>
      <c r="AF649" s="29"/>
    </row>
    <row r="650" spans="16:32" x14ac:dyDescent="0.4"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29"/>
      <c r="AF650" s="29"/>
    </row>
    <row r="651" spans="16:32" x14ac:dyDescent="0.4">
      <c r="AE651" s="127"/>
      <c r="AF651" s="29"/>
    </row>
    <row r="652" spans="16:32" x14ac:dyDescent="0.4">
      <c r="AE652" s="127"/>
      <c r="AF652" s="29"/>
    </row>
    <row r="653" spans="16:32" x14ac:dyDescent="0.4">
      <c r="AE653" s="127"/>
      <c r="AF653" s="29"/>
    </row>
    <row r="654" spans="16:32" x14ac:dyDescent="0.4">
      <c r="AE654" s="127"/>
      <c r="AF654" s="29"/>
    </row>
    <row r="655" spans="16:32" x14ac:dyDescent="0.4">
      <c r="AE655" s="127"/>
      <c r="AF655" s="29"/>
    </row>
    <row r="656" spans="16:32" x14ac:dyDescent="0.4">
      <c r="AE656" s="127"/>
      <c r="AF656" s="29"/>
    </row>
    <row r="657" spans="15:32" x14ac:dyDescent="0.4">
      <c r="AE657" s="127"/>
      <c r="AF657" s="29"/>
    </row>
    <row r="658" spans="15:32" x14ac:dyDescent="0.4">
      <c r="AE658" s="127"/>
      <c r="AF658" s="29"/>
    </row>
    <row r="659" spans="15:32" x14ac:dyDescent="0.4">
      <c r="AE659" s="127"/>
      <c r="AF659" s="29"/>
    </row>
    <row r="660" spans="15:32" x14ac:dyDescent="0.4">
      <c r="AE660" s="127"/>
      <c r="AF660" s="29"/>
    </row>
    <row r="661" spans="15:32" x14ac:dyDescent="0.4"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29"/>
      <c r="AF661" s="29"/>
    </row>
    <row r="662" spans="15:32" x14ac:dyDescent="0.4">
      <c r="AE662" s="127"/>
      <c r="AF662" s="29"/>
    </row>
    <row r="663" spans="15:32" x14ac:dyDescent="0.4">
      <c r="AE663" s="127"/>
      <c r="AF663" s="29"/>
    </row>
    <row r="664" spans="15:32" x14ac:dyDescent="0.4">
      <c r="AE664" s="127"/>
      <c r="AF664" s="29"/>
    </row>
    <row r="665" spans="15:32" x14ac:dyDescent="0.4">
      <c r="AE665" s="127"/>
      <c r="AF665" s="29"/>
    </row>
    <row r="666" spans="15:32" x14ac:dyDescent="0.4">
      <c r="AE666" s="127"/>
      <c r="AF666" s="29"/>
    </row>
    <row r="667" spans="15:32" x14ac:dyDescent="0.4">
      <c r="AE667" s="127"/>
      <c r="AF667" s="29"/>
    </row>
    <row r="668" spans="15:32" x14ac:dyDescent="0.4">
      <c r="AE668" s="127"/>
      <c r="AF668" s="29"/>
    </row>
    <row r="669" spans="15:32" x14ac:dyDescent="0.4">
      <c r="AE669" s="127"/>
      <c r="AF669" s="29"/>
    </row>
    <row r="670" spans="15:32" x14ac:dyDescent="0.4">
      <c r="AE670" s="127"/>
      <c r="AF670" s="29"/>
    </row>
    <row r="671" spans="15:32" x14ac:dyDescent="0.4"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29"/>
      <c r="AF671" s="29"/>
    </row>
    <row r="672" spans="15:32" x14ac:dyDescent="0.4">
      <c r="AE672" s="127"/>
      <c r="AF672" s="29"/>
    </row>
    <row r="673" spans="15:32" x14ac:dyDescent="0.4">
      <c r="AE673" s="127"/>
      <c r="AF673" s="29"/>
    </row>
    <row r="674" spans="15:32" x14ac:dyDescent="0.4">
      <c r="AE674" s="127"/>
      <c r="AF674" s="29"/>
    </row>
    <row r="675" spans="15:32" x14ac:dyDescent="0.4">
      <c r="AE675" s="127"/>
      <c r="AF675" s="29"/>
    </row>
    <row r="676" spans="15:32" x14ac:dyDescent="0.4">
      <c r="AE676" s="127"/>
      <c r="AF676" s="29"/>
    </row>
    <row r="677" spans="15:32" x14ac:dyDescent="0.4"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29"/>
      <c r="AF677" s="29"/>
    </row>
    <row r="678" spans="15:32" x14ac:dyDescent="0.4">
      <c r="AE678" s="127"/>
      <c r="AF678" s="29"/>
    </row>
    <row r="679" spans="15:32" x14ac:dyDescent="0.4">
      <c r="AE679" s="127"/>
      <c r="AF679" s="29"/>
    </row>
    <row r="680" spans="15:32" x14ac:dyDescent="0.4">
      <c r="AE680" s="127"/>
      <c r="AF680" s="29"/>
    </row>
    <row r="681" spans="15:32" x14ac:dyDescent="0.4">
      <c r="AE681" s="127"/>
      <c r="AF681" s="29"/>
    </row>
    <row r="682" spans="15:32" x14ac:dyDescent="0.4">
      <c r="AE682" s="127"/>
      <c r="AF682" s="29"/>
    </row>
    <row r="683" spans="15:32" x14ac:dyDescent="0.4"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29"/>
      <c r="AF683" s="29"/>
    </row>
    <row r="684" spans="15:32" x14ac:dyDescent="0.4">
      <c r="AE684" s="127"/>
      <c r="AF684" s="29"/>
    </row>
    <row r="685" spans="15:32" x14ac:dyDescent="0.4">
      <c r="AE685" s="127"/>
      <c r="AF685" s="29"/>
    </row>
    <row r="686" spans="15:32" x14ac:dyDescent="0.4">
      <c r="AE686" s="127"/>
      <c r="AF686" s="29"/>
    </row>
    <row r="687" spans="15:32" x14ac:dyDescent="0.4">
      <c r="AE687" s="127"/>
      <c r="AF687" s="29"/>
    </row>
    <row r="688" spans="15:32" x14ac:dyDescent="0.4">
      <c r="AE688" s="127"/>
      <c r="AF688" s="29"/>
    </row>
    <row r="689" spans="15:32" x14ac:dyDescent="0.4">
      <c r="AE689" s="127"/>
      <c r="AF689" s="29"/>
    </row>
    <row r="690" spans="15:32" x14ac:dyDescent="0.4">
      <c r="AE690" s="127"/>
      <c r="AF690" s="29"/>
    </row>
    <row r="691" spans="15:32" x14ac:dyDescent="0.4">
      <c r="AE691" s="127"/>
      <c r="AF691" s="29"/>
    </row>
    <row r="692" spans="15:32" x14ac:dyDescent="0.4">
      <c r="AE692" s="127"/>
      <c r="AF692" s="29"/>
    </row>
    <row r="693" spans="15:32" x14ac:dyDescent="0.4">
      <c r="AE693" s="127"/>
      <c r="AF693" s="29"/>
    </row>
    <row r="694" spans="15:32" x14ac:dyDescent="0.4">
      <c r="AE694" s="127"/>
      <c r="AF694" s="29"/>
    </row>
    <row r="695" spans="15:32" x14ac:dyDescent="0.4">
      <c r="AE695" s="127"/>
      <c r="AF695" s="29"/>
    </row>
    <row r="696" spans="15:32" x14ac:dyDescent="0.4"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29"/>
      <c r="AF696" s="29"/>
    </row>
    <row r="697" spans="15:32" x14ac:dyDescent="0.4">
      <c r="AE697" s="127"/>
      <c r="AF697" s="29"/>
    </row>
    <row r="698" spans="15:32" x14ac:dyDescent="0.4">
      <c r="AE698" s="127"/>
      <c r="AF698" s="29"/>
    </row>
    <row r="699" spans="15:32" x14ac:dyDescent="0.4">
      <c r="AE699" s="127"/>
      <c r="AF699" s="29"/>
    </row>
    <row r="700" spans="15:32" x14ac:dyDescent="0.4">
      <c r="AE700" s="127"/>
      <c r="AF700" s="29"/>
    </row>
    <row r="701" spans="15:32" x14ac:dyDescent="0.4">
      <c r="AE701" s="127"/>
      <c r="AF701" s="29"/>
    </row>
    <row r="702" spans="15:32" x14ac:dyDescent="0.4">
      <c r="AE702" s="127"/>
      <c r="AF702" s="29"/>
    </row>
    <row r="703" spans="15:32" x14ac:dyDescent="0.4">
      <c r="AE703" s="127"/>
      <c r="AF703" s="29"/>
    </row>
    <row r="704" spans="15:32" x14ac:dyDescent="0.4">
      <c r="AE704" s="127"/>
      <c r="AF704" s="29"/>
    </row>
    <row r="705" spans="15:32" x14ac:dyDescent="0.4">
      <c r="AE705" s="127"/>
      <c r="AF705" s="29"/>
    </row>
    <row r="706" spans="15:32" x14ac:dyDescent="0.4">
      <c r="AE706" s="127"/>
      <c r="AF706" s="29"/>
    </row>
    <row r="707" spans="15:32" x14ac:dyDescent="0.4"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29"/>
      <c r="AF707" s="29"/>
    </row>
    <row r="708" spans="15:32" x14ac:dyDescent="0.4">
      <c r="AE708" s="127"/>
      <c r="AF708" s="29"/>
    </row>
    <row r="709" spans="15:32" x14ac:dyDescent="0.4">
      <c r="AE709" s="127"/>
      <c r="AF709" s="29"/>
    </row>
    <row r="710" spans="15:32" x14ac:dyDescent="0.4"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29"/>
      <c r="AF710" s="29"/>
    </row>
    <row r="711" spans="15:32" x14ac:dyDescent="0.4">
      <c r="AE711" s="127"/>
      <c r="AF711" s="29"/>
    </row>
    <row r="712" spans="15:32" x14ac:dyDescent="0.4"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29"/>
      <c r="AF712" s="29"/>
    </row>
    <row r="713" spans="15:32" x14ac:dyDescent="0.4">
      <c r="AE713" s="127"/>
      <c r="AF713" s="29"/>
    </row>
    <row r="714" spans="15:32" x14ac:dyDescent="0.4">
      <c r="AE714" s="127"/>
      <c r="AF714" s="29"/>
    </row>
    <row r="715" spans="15:32" x14ac:dyDescent="0.4"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29"/>
      <c r="AF715" s="29"/>
    </row>
    <row r="716" spans="15:32" x14ac:dyDescent="0.4">
      <c r="AE716" s="127"/>
      <c r="AF716" s="29"/>
    </row>
    <row r="717" spans="15:32" x14ac:dyDescent="0.4"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29"/>
      <c r="AF717" s="29"/>
    </row>
    <row r="718" spans="15:32" x14ac:dyDescent="0.4">
      <c r="AE718" s="127"/>
      <c r="AF718" s="29"/>
    </row>
    <row r="719" spans="15:32" x14ac:dyDescent="0.4"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29"/>
      <c r="AF719" s="29"/>
    </row>
    <row r="720" spans="15:32" x14ac:dyDescent="0.4"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29"/>
      <c r="AF720" s="29"/>
    </row>
  </sheetData>
  <sortState xmlns:xlrd2="http://schemas.microsoft.com/office/spreadsheetml/2017/richdata2" ref="N2:O194">
    <sortCondition ref="N2:N194"/>
  </sortState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輸出明細</vt:lpstr>
      <vt:lpstr>Sheet1</vt:lpstr>
      <vt:lpstr>合計</vt:lpstr>
      <vt:lpstr>Sheet2</vt:lpstr>
      <vt:lpstr>Sheet1!Print_Area</vt:lpstr>
      <vt:lpstr>輸出明細!Print_Area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Win10-01</dc:creator>
  <cp:lastModifiedBy>株式会社ayanasu</cp:lastModifiedBy>
  <cp:lastPrinted>2025-03-04T09:44:24Z</cp:lastPrinted>
  <dcterms:created xsi:type="dcterms:W3CDTF">2020-05-08T06:29:04Z</dcterms:created>
  <dcterms:modified xsi:type="dcterms:W3CDTF">2025-03-05T00:20:42Z</dcterms:modified>
</cp:coreProperties>
</file>