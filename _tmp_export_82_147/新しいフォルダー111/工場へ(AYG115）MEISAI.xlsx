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1983EE84-CA24-408B-9C77-A047D1E58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D30" i="3"/>
  <c r="C30" i="3"/>
  <c r="B30" i="3"/>
  <c r="X113" i="3"/>
  <c r="W113" i="3"/>
  <c r="X111" i="3"/>
  <c r="W111" i="3"/>
  <c r="X109" i="3"/>
  <c r="W109" i="3"/>
  <c r="X107" i="3"/>
  <c r="W107" i="3"/>
  <c r="X103" i="3"/>
  <c r="W103" i="3"/>
  <c r="X100" i="3"/>
  <c r="W100" i="3"/>
  <c r="X97" i="3"/>
  <c r="W97" i="3"/>
  <c r="X95" i="3"/>
  <c r="W95" i="3"/>
  <c r="X93" i="3"/>
  <c r="W93" i="3"/>
  <c r="X91" i="3"/>
  <c r="W91" i="3"/>
  <c r="X78" i="3"/>
  <c r="W78" i="3"/>
  <c r="X70" i="3"/>
  <c r="W70" i="3"/>
  <c r="X64" i="3"/>
  <c r="W64" i="3"/>
  <c r="X58" i="3"/>
  <c r="W58" i="3"/>
  <c r="X49" i="3"/>
  <c r="W49" i="3"/>
  <c r="X47" i="3"/>
  <c r="W47" i="3"/>
  <c r="X43" i="3"/>
  <c r="W43" i="3"/>
  <c r="X40" i="3"/>
  <c r="W40" i="3"/>
  <c r="X29" i="3"/>
  <c r="W29" i="3"/>
  <c r="X23" i="3"/>
  <c r="W23" i="3"/>
  <c r="X20" i="3"/>
  <c r="W20" i="3"/>
  <c r="X18" i="3"/>
  <c r="W18" i="3"/>
  <c r="X14" i="3"/>
  <c r="W14" i="3"/>
  <c r="X11" i="3"/>
  <c r="W11" i="3"/>
  <c r="X9" i="3"/>
  <c r="W9" i="3"/>
  <c r="X7" i="3"/>
  <c r="W7" i="3"/>
  <c r="X5" i="3"/>
  <c r="W5" i="3"/>
  <c r="X3" i="3"/>
  <c r="X114" i="3" s="1"/>
  <c r="W3" i="3"/>
  <c r="W114" i="3" s="1"/>
  <c r="A241" i="1"/>
  <c r="AI648" i="3"/>
  <c r="AG648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G930" i="3"/>
  <c r="BF930" i="3"/>
  <c r="BG925" i="3"/>
  <c r="BF925" i="3"/>
  <c r="BG923" i="3"/>
  <c r="BF923" i="3"/>
  <c r="BG909" i="3"/>
  <c r="BF909" i="3"/>
  <c r="BG891" i="3"/>
  <c r="BF891" i="3"/>
  <c r="BG880" i="3"/>
  <c r="BF880" i="3"/>
  <c r="BG846" i="3"/>
  <c r="BF846" i="3"/>
  <c r="BG833" i="3"/>
  <c r="BF833" i="3"/>
  <c r="BG795" i="3"/>
  <c r="BF795" i="3"/>
  <c r="BG786" i="3"/>
  <c r="BF786" i="3"/>
  <c r="BG772" i="3"/>
  <c r="BF772" i="3"/>
  <c r="BG739" i="3"/>
  <c r="BF739" i="3"/>
  <c r="BG686" i="3"/>
  <c r="BF686" i="3"/>
  <c r="BG674" i="3"/>
  <c r="BF674" i="3"/>
  <c r="BG651" i="3"/>
  <c r="BF651" i="3"/>
  <c r="BG636" i="3"/>
  <c r="BF636" i="3"/>
  <c r="BG612" i="3"/>
  <c r="BF612" i="3"/>
  <c r="BG594" i="3"/>
  <c r="BF594" i="3"/>
  <c r="BG574" i="3"/>
  <c r="BF574" i="3"/>
  <c r="BG560" i="3"/>
  <c r="BF560" i="3"/>
  <c r="BG551" i="3"/>
  <c r="BF551" i="3"/>
  <c r="BG477" i="3"/>
  <c r="BF477" i="3"/>
  <c r="B61" i="1"/>
  <c r="A151" i="1"/>
  <c r="AB43" i="1"/>
  <c r="BF931" i="3" l="1"/>
  <c r="BG931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<sst xmlns="http://schemas.openxmlformats.org/spreadsheetml/2006/main" count="2275" uniqueCount="323">
  <si>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</si>
  <si>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</si>
  <si>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</si>
  <si>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</si>
  <si>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</si>
  <si>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</si>
  <si>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</si>
  <si>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</si>
  <si>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</si>
  <si>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</si>
  <si>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</si>
  <si>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</si>
  <si>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</si>
  <si>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</si>
  <si>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</si>
  <si>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</si>
  <si>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</si>
  <si>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</si>
  <si>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</si>
  <si>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</si>
  <si>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</si>
  <si>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</si>
  <si>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</si>
  <si>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</si>
  <si>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</si>
  <si>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</si>
  <si>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</si>
  <si>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</si>
  <si>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</si>
  <si>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</si>
  <si>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</si>
  <si>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</si>
  <si>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</si>
  <si>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</si>
  <si>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</si>
  <si>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</si>
  <si>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</si>
  <si>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</si>
  <si>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</si>
  <si>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</si>
  <si>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</si>
  <si>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</si>
  <si>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</si>
  <si>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</si>
  <si>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</si>
  <si>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</si>
  <si>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</si>
  <si>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</si>
  <si>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</si>
  <si>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</si>
  <si>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</si>
  <si>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</si>
  <si>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</si>
  <si>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</si>
  <si>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</si>
  <si>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</si>
  <si>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</si>
  <si>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</si>
  <si>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</si>
  <si>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</si>
  <si>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</si>
  <si>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</si>
  <si>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</si>
  <si>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</si>
  <si>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</si>
  <si>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</si>
  <si>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</si>
  <si>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</si>
  <si>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</si>
  <si>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</si>
  <si>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</si>
  <si>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</si>
  <si>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</si>
  <si>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</si>
  <si>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</si>
  <si>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</si>
  <si>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</si>
  <si>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</si>
  <si>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</si>
  <si>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</si>
  <si>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</si>
  <si>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</si>
  <si>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</si>
  <si>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</si>
  <si>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</si>
  <si>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</si>
  <si>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</si>
  <si>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</si>
  <si>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</si>
  <si>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</si>
  <si>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</si>
  <si>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</si>
  <si>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</si>
  <si>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</si>
  <si>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</si>
  <si>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</si>
  <si>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</si>
  <si>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</si>
  <si>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</si>
  <si>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</si>
  <si>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</si>
  <si>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</si>
  <si>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</si>
  <si>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</si>
  <si>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</si>
  <si>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</si>
  <si>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</si>
  <si>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</si>
  <si>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</si>
  <si>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</si>
  <si>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</si>
  <si>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</si>
  <si>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</si>
  <si>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</si>
  <si>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</si>
  <si>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</si>
  <si>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</si>
  <si>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</si>
  <si>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</si>
  <si>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</si>
  <si>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</si>
  <si>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</si>
  <si>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</si>
  <si>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</si>
  <si>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</si>
  <si>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</si>
  <si>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</si>
  <si>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</si>
  <si>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</si>
  <si>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</si>
  <si>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</si>
  <si>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</si>
  <si>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</si>
  <si>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</si>
  <si>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</si>
  <si>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</si>
  <si>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</si>
  <si>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</si>
  <si>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</si>
  <si>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</si>
  <si>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</si>
  <si>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</si>
  <si>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</si>
  <si>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</si>
  <si>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</si>
  <si>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</si>
  <si>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</si>
  <si>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</si>
  <si>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</si>
  <si>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</si>
  <si>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</si>
  <si>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</si>
  <si>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</si>
  <si>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</si>
  <si>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</si>
  <si>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</si>
  <si>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</si>
  <si>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</si>
  <si>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</si>
  <si>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</si>
  <si>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</si>
  <si>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</si>
  <si>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</si>
  <si>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</si>
  <si>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</si>
  <si>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</si>
  <si>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</si>
  <si>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</si>
  <si>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</si>
  <si>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</si>
  <si>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</si>
  <si>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</si>
  <si>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</si>
  <si>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</si>
  <si>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</si>
  <si>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</si>
  <si>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</si>
  <si>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</si>
  <si>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</si>
  <si>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M032</t>
    <phoneticPr fontId="1"/>
  </si>
  <si>
    <t>S</t>
    <phoneticPr fontId="1"/>
  </si>
  <si>
    <t>A700</t>
    <phoneticPr fontId="1"/>
  </si>
  <si>
    <t>P</t>
    <phoneticPr fontId="1"/>
  </si>
  <si>
    <t>A913</t>
    <phoneticPr fontId="1"/>
  </si>
  <si>
    <t>2025/7/30 個数</t>
  </si>
  <si>
    <t>2025/8/8 個数</t>
  </si>
  <si>
    <t>AYG113</t>
    <phoneticPr fontId="1"/>
  </si>
  <si>
    <t>M078</t>
    <phoneticPr fontId="1"/>
  </si>
  <si>
    <t>A505</t>
    <phoneticPr fontId="1"/>
  </si>
  <si>
    <t>A335</t>
    <phoneticPr fontId="1"/>
  </si>
  <si>
    <t>A545</t>
    <phoneticPr fontId="1"/>
  </si>
  <si>
    <t>M070</t>
    <phoneticPr fontId="1"/>
  </si>
  <si>
    <t>M037</t>
    <phoneticPr fontId="1"/>
  </si>
  <si>
    <t>2025/8/5 個数</t>
  </si>
  <si>
    <t>2025/8/6 個数</t>
  </si>
  <si>
    <t>2025/8/16 個数</t>
  </si>
  <si>
    <t>2025/8/18 個数</t>
  </si>
  <si>
    <t>2025/8/29 個数</t>
  </si>
  <si>
    <t>A732</t>
    <phoneticPr fontId="1"/>
  </si>
  <si>
    <t>M079</t>
    <phoneticPr fontId="1"/>
  </si>
  <si>
    <t>A623</t>
    <phoneticPr fontId="1"/>
  </si>
  <si>
    <t>M050</t>
    <phoneticPr fontId="1"/>
  </si>
  <si>
    <t>A997</t>
    <phoneticPr fontId="1"/>
  </si>
  <si>
    <t>A120</t>
    <phoneticPr fontId="1"/>
  </si>
  <si>
    <t>A181</t>
    <phoneticPr fontId="1"/>
  </si>
  <si>
    <t>2025/8/17 個数</t>
  </si>
  <si>
    <t>2025/8/20 個数</t>
  </si>
  <si>
    <t>2025/8/21 個数</t>
  </si>
  <si>
    <t>2025/8/23 個数</t>
  </si>
  <si>
    <t>2025/8/24 個数</t>
  </si>
  <si>
    <t>2025/8/26 個数</t>
  </si>
  <si>
    <t>2025/8/27 個数</t>
  </si>
  <si>
    <t>2025/8/28 個数</t>
  </si>
  <si>
    <t>2025/8/31 個数</t>
  </si>
  <si>
    <t>2025/9/10 個数</t>
  </si>
  <si>
    <t>AYG115</t>
    <phoneticPr fontId="1"/>
  </si>
  <si>
    <t>07060430</t>
    <phoneticPr fontId="1"/>
  </si>
  <si>
    <t>A650</t>
    <phoneticPr fontId="1"/>
  </si>
  <si>
    <t>07070140</t>
    <phoneticPr fontId="1"/>
  </si>
  <si>
    <t>07070151</t>
    <phoneticPr fontId="1"/>
  </si>
  <si>
    <t>07070202</t>
    <phoneticPr fontId="1"/>
  </si>
  <si>
    <t>07070208</t>
    <phoneticPr fontId="1"/>
  </si>
  <si>
    <t>07070291</t>
    <phoneticPr fontId="1"/>
  </si>
  <si>
    <t>07070360</t>
    <phoneticPr fontId="1"/>
  </si>
  <si>
    <t>07070372</t>
    <phoneticPr fontId="1"/>
  </si>
  <si>
    <t>07070374</t>
    <phoneticPr fontId="1"/>
  </si>
  <si>
    <t>A611</t>
    <phoneticPr fontId="1"/>
  </si>
  <si>
    <t>07070375</t>
    <phoneticPr fontId="1"/>
  </si>
  <si>
    <t>07070376</t>
    <phoneticPr fontId="1"/>
  </si>
  <si>
    <t>07070377</t>
    <phoneticPr fontId="1"/>
  </si>
  <si>
    <t>07070379</t>
    <phoneticPr fontId="1"/>
  </si>
  <si>
    <t>A552</t>
    <phoneticPr fontId="1"/>
  </si>
  <si>
    <t>07070381</t>
    <phoneticPr fontId="1"/>
  </si>
  <si>
    <t>07060438</t>
    <phoneticPr fontId="1"/>
  </si>
  <si>
    <t>A602</t>
    <phoneticPr fontId="1"/>
  </si>
  <si>
    <t>07070210</t>
    <phoneticPr fontId="1"/>
  </si>
  <si>
    <t>07070211</t>
    <phoneticPr fontId="1"/>
  </si>
  <si>
    <t>07070380</t>
    <phoneticPr fontId="1"/>
  </si>
  <si>
    <t>07060583</t>
    <phoneticPr fontId="1"/>
  </si>
  <si>
    <t>07070384</t>
    <phoneticPr fontId="1"/>
  </si>
  <si>
    <t>07070385</t>
    <phoneticPr fontId="1"/>
  </si>
  <si>
    <t>07070386</t>
    <phoneticPr fontId="1"/>
  </si>
  <si>
    <t>07070387</t>
    <phoneticPr fontId="1"/>
  </si>
  <si>
    <t>07070388</t>
    <phoneticPr fontId="1"/>
  </si>
  <si>
    <t>07070389</t>
    <phoneticPr fontId="1"/>
  </si>
  <si>
    <t>07070390</t>
    <phoneticPr fontId="1"/>
  </si>
  <si>
    <t>07070391</t>
    <phoneticPr fontId="1"/>
  </si>
  <si>
    <t>07070395</t>
    <phoneticPr fontId="1"/>
  </si>
  <si>
    <t>07070396</t>
    <phoneticPr fontId="1"/>
  </si>
  <si>
    <t>07070397</t>
    <phoneticPr fontId="1"/>
  </si>
  <si>
    <t>07070257</t>
    <phoneticPr fontId="1"/>
  </si>
  <si>
    <t>07070258</t>
    <phoneticPr fontId="1"/>
  </si>
  <si>
    <t>07070259</t>
    <phoneticPr fontId="1"/>
  </si>
  <si>
    <t>07070260</t>
    <phoneticPr fontId="1"/>
  </si>
  <si>
    <t>07070398</t>
    <phoneticPr fontId="1"/>
  </si>
  <si>
    <t>A622</t>
    <phoneticPr fontId="1"/>
  </si>
  <si>
    <t>07070399</t>
    <phoneticPr fontId="1"/>
  </si>
  <si>
    <t>07070400</t>
    <phoneticPr fontId="1"/>
  </si>
  <si>
    <t>07070401</t>
    <phoneticPr fontId="1"/>
  </si>
  <si>
    <t>07070416</t>
    <phoneticPr fontId="1"/>
  </si>
  <si>
    <t>E</t>
    <phoneticPr fontId="1"/>
  </si>
  <si>
    <t>07070418</t>
    <phoneticPr fontId="1"/>
  </si>
  <si>
    <t>07070364</t>
    <phoneticPr fontId="1"/>
  </si>
  <si>
    <t>07070365</t>
    <phoneticPr fontId="1"/>
  </si>
  <si>
    <t>07070366</t>
    <phoneticPr fontId="1"/>
  </si>
  <si>
    <t>07070367</t>
    <phoneticPr fontId="1"/>
  </si>
  <si>
    <t>07070368</t>
    <phoneticPr fontId="1"/>
  </si>
  <si>
    <t>07070369</t>
    <phoneticPr fontId="1"/>
  </si>
  <si>
    <t>07070378</t>
    <phoneticPr fontId="1"/>
  </si>
  <si>
    <t>07070402</t>
    <phoneticPr fontId="1"/>
  </si>
  <si>
    <t>07070405</t>
    <phoneticPr fontId="1"/>
  </si>
  <si>
    <t>07070412</t>
    <phoneticPr fontId="1"/>
  </si>
  <si>
    <t>07070413</t>
    <phoneticPr fontId="1"/>
  </si>
  <si>
    <t>07070414</t>
    <phoneticPr fontId="1"/>
  </si>
  <si>
    <t>07070415</t>
    <phoneticPr fontId="1"/>
  </si>
  <si>
    <t>07070417</t>
    <phoneticPr fontId="1"/>
  </si>
  <si>
    <t>07070424</t>
    <phoneticPr fontId="1"/>
  </si>
  <si>
    <t>07070425</t>
    <phoneticPr fontId="1"/>
  </si>
  <si>
    <t>07070215</t>
    <phoneticPr fontId="1"/>
  </si>
  <si>
    <t>07070221</t>
    <phoneticPr fontId="1"/>
  </si>
  <si>
    <t>07070370</t>
    <phoneticPr fontId="1"/>
  </si>
  <si>
    <t>07070371</t>
    <phoneticPr fontId="1"/>
  </si>
  <si>
    <t>07070426</t>
    <phoneticPr fontId="1"/>
  </si>
  <si>
    <t>07070427</t>
    <phoneticPr fontId="1"/>
  </si>
  <si>
    <t>07070429</t>
    <phoneticPr fontId="1"/>
  </si>
  <si>
    <t>07070430</t>
    <phoneticPr fontId="1"/>
  </si>
  <si>
    <t>A328</t>
    <phoneticPr fontId="1"/>
  </si>
  <si>
    <t>07070436</t>
    <phoneticPr fontId="1"/>
  </si>
  <si>
    <t>07070435</t>
    <phoneticPr fontId="1"/>
  </si>
  <si>
    <t>07070437</t>
    <phoneticPr fontId="1"/>
  </si>
  <si>
    <t>A199</t>
    <phoneticPr fontId="1"/>
  </si>
  <si>
    <t>07070438</t>
    <phoneticPr fontId="1"/>
  </si>
  <si>
    <t>07070444</t>
    <phoneticPr fontId="1"/>
  </si>
  <si>
    <t>A523</t>
    <phoneticPr fontId="1"/>
  </si>
  <si>
    <t>07070445</t>
    <phoneticPr fontId="1"/>
  </si>
  <si>
    <t>07060508</t>
    <phoneticPr fontId="1"/>
  </si>
  <si>
    <t>07070452</t>
    <phoneticPr fontId="1"/>
  </si>
  <si>
    <t>M025</t>
    <phoneticPr fontId="1"/>
  </si>
  <si>
    <t>07070453</t>
    <phoneticPr fontId="1"/>
  </si>
  <si>
    <t>07070454</t>
    <phoneticPr fontId="1"/>
  </si>
  <si>
    <t>07070458</t>
    <phoneticPr fontId="1"/>
  </si>
  <si>
    <t>07070459</t>
    <phoneticPr fontId="1"/>
  </si>
  <si>
    <t>07070461</t>
    <phoneticPr fontId="1"/>
  </si>
  <si>
    <t>07070463</t>
    <phoneticPr fontId="1"/>
  </si>
  <si>
    <t>A550</t>
    <phoneticPr fontId="1"/>
  </si>
  <si>
    <t>07070467</t>
    <phoneticPr fontId="1"/>
  </si>
  <si>
    <t>07070468</t>
    <phoneticPr fontId="1"/>
  </si>
  <si>
    <t>07070470</t>
    <phoneticPr fontId="1"/>
  </si>
  <si>
    <t>07070471</t>
    <phoneticPr fontId="1"/>
  </si>
  <si>
    <t>07070472</t>
    <phoneticPr fontId="1"/>
  </si>
  <si>
    <t>07070473</t>
    <phoneticPr fontId="1"/>
  </si>
  <si>
    <t>AYG114</t>
    <phoneticPr fontId="1"/>
  </si>
  <si>
    <t>2025/8/25 個数</t>
  </si>
  <si>
    <t>2025/8/30 個数</t>
  </si>
  <si>
    <t>2025/9/1 個数</t>
  </si>
  <si>
    <t>2025/9/2 個数</t>
  </si>
  <si>
    <t>2025/9/3 個数</t>
  </si>
  <si>
    <t>2025/9/6 個数</t>
  </si>
  <si>
    <t>2025/9/7 個数</t>
  </si>
  <si>
    <t>2025/9/8 個数</t>
  </si>
  <si>
    <t>2025/9/18 個数</t>
  </si>
  <si>
    <t>2025/9/28 個数</t>
  </si>
  <si>
    <t>2025/11/26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</si>
</sst>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G9" sqref="G9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215</v>
      </c>
      <c r="B1" s="24">
        <v>45862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5" t="s">
        <v>105</v>
      </c>
      <c r="Y2" s="136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7">
        <v>1</v>
      </c>
      <c r="B3" s="140">
        <v>19.2</v>
      </c>
      <c r="C3" s="85" t="s">
        <v>216</v>
      </c>
      <c r="D3" s="109" t="s">
        <v>217</v>
      </c>
      <c r="E3" s="15" t="s">
        <v>58</v>
      </c>
      <c r="F3" s="14"/>
      <c r="G3" s="12" t="s">
        <v>180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5">
        <v>45874</v>
      </c>
      <c r="U3" s="13" t="s">
        <v>147</v>
      </c>
      <c r="V3">
        <v>1</v>
      </c>
      <c r="X3" s="51" t="s">
        <v>106</v>
      </c>
      <c r="Y3" s="52">
        <f>COUNTIF(U3:U27,"K")</f>
        <v>6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8"/>
      <c r="B4" s="141"/>
      <c r="C4" s="85" t="s">
        <v>218</v>
      </c>
      <c r="D4" s="109" t="s">
        <v>199</v>
      </c>
      <c r="E4" s="15" t="s">
        <v>36</v>
      </c>
      <c r="F4" s="16"/>
      <c r="G4" s="12" t="s">
        <v>180</v>
      </c>
      <c r="H4" s="15"/>
      <c r="I4" s="13"/>
      <c r="J4" s="15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45894</v>
      </c>
      <c r="U4" s="13" t="s">
        <v>142</v>
      </c>
      <c r="V4">
        <v>2</v>
      </c>
      <c r="X4" s="51" t="s">
        <v>107</v>
      </c>
      <c r="Y4" s="52">
        <f>COUNTIF(U3:U27,"R")</f>
        <v>8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8"/>
      <c r="B5" s="141"/>
      <c r="C5" s="85" t="s">
        <v>219</v>
      </c>
      <c r="D5" s="109" t="s">
        <v>199</v>
      </c>
      <c r="E5" s="15" t="s">
        <v>37</v>
      </c>
      <c r="F5" s="16"/>
      <c r="G5" s="12" t="s">
        <v>180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45894</v>
      </c>
      <c r="U5" s="13" t="s">
        <v>146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8"/>
      <c r="B6" s="141"/>
      <c r="C6" s="85" t="s">
        <v>220</v>
      </c>
      <c r="D6" s="109" t="s">
        <v>188</v>
      </c>
      <c r="E6" s="15" t="s">
        <v>44</v>
      </c>
      <c r="F6" s="16"/>
      <c r="G6" s="12" t="s">
        <v>180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45887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8"/>
      <c r="B7" s="141"/>
      <c r="C7" s="85" t="s">
        <v>221</v>
      </c>
      <c r="D7" s="109" t="s">
        <v>201</v>
      </c>
      <c r="E7" s="15" t="s">
        <v>37</v>
      </c>
      <c r="F7" s="16"/>
      <c r="G7" s="12" t="s">
        <v>180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/>
      <c r="R7" s="17"/>
      <c r="S7" s="15"/>
      <c r="T7" s="25">
        <v>45910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8"/>
      <c r="B8" s="141"/>
      <c r="C8" s="85" t="s">
        <v>222</v>
      </c>
      <c r="D8" s="109" t="s">
        <v>192</v>
      </c>
      <c r="E8" s="15" t="s">
        <v>75</v>
      </c>
      <c r="F8" s="16"/>
      <c r="G8" s="12" t="s">
        <v>180</v>
      </c>
      <c r="H8" s="13"/>
      <c r="I8" s="13"/>
      <c r="J8" s="15"/>
      <c r="K8" s="15"/>
      <c r="L8" s="17"/>
      <c r="M8" s="17"/>
      <c r="N8" s="13"/>
      <c r="O8" s="17"/>
      <c r="P8" s="17"/>
      <c r="Q8" s="17"/>
      <c r="R8" s="17"/>
      <c r="S8" s="15"/>
      <c r="T8" s="25">
        <v>45875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8"/>
      <c r="B9" s="141"/>
      <c r="C9" s="85" t="s">
        <v>223</v>
      </c>
      <c r="D9" s="109" t="s">
        <v>179</v>
      </c>
      <c r="E9" s="15" t="s">
        <v>75</v>
      </c>
      <c r="F9" s="16"/>
      <c r="G9" s="12" t="s">
        <v>180</v>
      </c>
      <c r="H9" s="15"/>
      <c r="I9" s="13"/>
      <c r="J9" s="15"/>
      <c r="K9" s="15"/>
      <c r="L9" s="17"/>
      <c r="M9" s="17"/>
      <c r="N9" s="13"/>
      <c r="O9" s="17"/>
      <c r="P9" s="17"/>
      <c r="Q9" s="17"/>
      <c r="R9" s="17"/>
      <c r="S9" s="15"/>
      <c r="T9" s="25">
        <v>45892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8"/>
      <c r="B10" s="141"/>
      <c r="C10" s="85" t="s">
        <v>224</v>
      </c>
      <c r="D10" s="109" t="s">
        <v>192</v>
      </c>
      <c r="E10" s="15" t="s">
        <v>40</v>
      </c>
      <c r="F10" s="16"/>
      <c r="G10" s="12" t="s">
        <v>180</v>
      </c>
      <c r="H10" s="15"/>
      <c r="I10" s="13"/>
      <c r="J10" s="15"/>
      <c r="K10" s="15"/>
      <c r="L10" s="17"/>
      <c r="M10" s="17"/>
      <c r="N10" s="13"/>
      <c r="O10" s="17">
        <v>1</v>
      </c>
      <c r="P10" s="17">
        <v>1</v>
      </c>
      <c r="Q10" s="17">
        <v>1</v>
      </c>
      <c r="R10" s="17">
        <v>1</v>
      </c>
      <c r="S10" s="15"/>
      <c r="T10" s="25">
        <v>45890</v>
      </c>
      <c r="U10" s="13" t="s">
        <v>148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8"/>
      <c r="B11" s="141"/>
      <c r="C11" s="85" t="s">
        <v>225</v>
      </c>
      <c r="D11" s="109" t="s">
        <v>204</v>
      </c>
      <c r="E11" s="15" t="s">
        <v>58</v>
      </c>
      <c r="F11" s="16"/>
      <c r="G11" s="12" t="s">
        <v>180</v>
      </c>
      <c r="H11" s="15"/>
      <c r="I11" s="13"/>
      <c r="J11" s="15"/>
      <c r="K11" s="15"/>
      <c r="L11" s="17"/>
      <c r="M11" s="17"/>
      <c r="N11" s="13"/>
      <c r="O11" s="17"/>
      <c r="P11" s="17"/>
      <c r="Q11" s="17"/>
      <c r="R11" s="17"/>
      <c r="S11" s="15">
        <v>1</v>
      </c>
      <c r="T11" s="25">
        <v>45900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8"/>
      <c r="B12" s="141"/>
      <c r="C12" s="85" t="s">
        <v>227</v>
      </c>
      <c r="D12" s="109" t="s">
        <v>226</v>
      </c>
      <c r="E12" s="15" t="s">
        <v>37</v>
      </c>
      <c r="F12" s="16"/>
      <c r="G12" s="12" t="s">
        <v>180</v>
      </c>
      <c r="H12" s="15"/>
      <c r="I12" s="15"/>
      <c r="J12" s="15"/>
      <c r="K12" s="15"/>
      <c r="L12" s="17"/>
      <c r="M12" s="17"/>
      <c r="N12" s="17">
        <v>1</v>
      </c>
      <c r="O12" s="17"/>
      <c r="P12" s="17"/>
      <c r="Q12" s="17">
        <v>1</v>
      </c>
      <c r="R12" s="17"/>
      <c r="S12" s="15"/>
      <c r="T12" s="25">
        <v>45899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8"/>
      <c r="B13" s="141"/>
      <c r="C13" s="85" t="s">
        <v>228</v>
      </c>
      <c r="D13" s="109" t="s">
        <v>226</v>
      </c>
      <c r="E13" s="15" t="s">
        <v>37</v>
      </c>
      <c r="F13" s="16"/>
      <c r="G13" s="12" t="s">
        <v>180</v>
      </c>
      <c r="H13" s="15"/>
      <c r="I13" s="15"/>
      <c r="J13" s="15"/>
      <c r="K13" s="15"/>
      <c r="L13" s="17"/>
      <c r="M13" s="17">
        <v>1</v>
      </c>
      <c r="N13" s="17">
        <v>1</v>
      </c>
      <c r="O13" s="17"/>
      <c r="P13" s="17"/>
      <c r="Q13" s="17">
        <v>1</v>
      </c>
      <c r="R13" s="17"/>
      <c r="S13" s="15"/>
      <c r="T13" s="25">
        <v>45899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8"/>
      <c r="B14" s="141"/>
      <c r="C14" s="85" t="s">
        <v>229</v>
      </c>
      <c r="D14" s="109" t="s">
        <v>226</v>
      </c>
      <c r="E14" s="15" t="s">
        <v>37</v>
      </c>
      <c r="F14" s="16"/>
      <c r="G14" s="12" t="s">
        <v>180</v>
      </c>
      <c r="H14" s="15"/>
      <c r="I14" s="15"/>
      <c r="J14" s="15"/>
      <c r="K14" s="15"/>
      <c r="L14" s="17"/>
      <c r="M14" s="17">
        <v>1</v>
      </c>
      <c r="N14" s="17">
        <v>1</v>
      </c>
      <c r="O14" s="17"/>
      <c r="P14" s="17"/>
      <c r="Q14" s="17">
        <v>1</v>
      </c>
      <c r="R14" s="17"/>
      <c r="S14" s="15"/>
      <c r="T14" s="25">
        <v>45899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8"/>
      <c r="B15" s="141"/>
      <c r="C15" s="85" t="s">
        <v>230</v>
      </c>
      <c r="D15" s="109" t="s">
        <v>231</v>
      </c>
      <c r="E15" s="15" t="s">
        <v>36</v>
      </c>
      <c r="F15" s="16"/>
      <c r="G15" s="12" t="s">
        <v>180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/>
      <c r="R15" s="17"/>
      <c r="S15" s="15"/>
      <c r="T15" s="25">
        <v>45897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8"/>
      <c r="B16" s="141"/>
      <c r="C16" s="85" t="s">
        <v>232</v>
      </c>
      <c r="D16" s="109" t="s">
        <v>198</v>
      </c>
      <c r="E16" s="15" t="s">
        <v>38</v>
      </c>
      <c r="F16" s="16"/>
      <c r="G16" s="12" t="s">
        <v>180</v>
      </c>
      <c r="H16" s="15"/>
      <c r="I16" s="15"/>
      <c r="J16" s="15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45899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8"/>
      <c r="B17" s="141"/>
      <c r="C17" s="85" t="s">
        <v>233</v>
      </c>
      <c r="D17" s="106" t="s">
        <v>234</v>
      </c>
      <c r="E17" s="15" t="s">
        <v>44</v>
      </c>
      <c r="F17" s="16"/>
      <c r="G17" s="15" t="s">
        <v>180</v>
      </c>
      <c r="H17" s="15"/>
      <c r="I17" s="15"/>
      <c r="J17" s="15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45899</v>
      </c>
      <c r="U17" s="15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8"/>
      <c r="B18" s="141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8"/>
      <c r="B19" s="14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8"/>
      <c r="B20" s="14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8"/>
      <c r="B21" s="14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8"/>
      <c r="B22" s="14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8"/>
      <c r="B23" s="14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8"/>
      <c r="B24" s="14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8"/>
      <c r="B25" s="14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158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8"/>
      <c r="B26" s="14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9"/>
      <c r="B27" s="14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84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5</v>
      </c>
      <c r="K28" s="29">
        <f t="shared" si="0"/>
        <v>5</v>
      </c>
      <c r="L28" s="29">
        <f t="shared" si="0"/>
        <v>0</v>
      </c>
      <c r="M28" s="29">
        <f t="shared" si="0"/>
        <v>4</v>
      </c>
      <c r="N28" s="29">
        <f t="shared" si="0"/>
        <v>5</v>
      </c>
      <c r="O28" s="29">
        <f t="shared" si="0"/>
        <v>1</v>
      </c>
      <c r="P28" s="29">
        <f t="shared" si="0"/>
        <v>1</v>
      </c>
      <c r="Q28" s="29">
        <f t="shared" si="0"/>
        <v>4</v>
      </c>
      <c r="R28" s="29">
        <f t="shared" si="0"/>
        <v>1</v>
      </c>
      <c r="S28" s="29">
        <f t="shared" si="0"/>
        <v>1</v>
      </c>
      <c r="T28" s="29" t="s">
        <v>64</v>
      </c>
      <c r="U28" s="29">
        <f>COUNTIF(H3:H27,"M")</f>
        <v>0</v>
      </c>
      <c r="AA28" s="151" t="s">
        <v>104</v>
      </c>
      <c r="AB28" s="152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27</v>
      </c>
      <c r="T29" s="29"/>
      <c r="U29" s="29"/>
      <c r="X29" t="s">
        <v>136</v>
      </c>
      <c r="AA29" s="153"/>
      <c r="AB29" s="154"/>
      <c r="AC29" s="146">
        <f>SUM(AC28:AE28)</f>
        <v>0</v>
      </c>
      <c r="AD29" s="147"/>
      <c r="AE29" s="14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AYG115</v>
      </c>
      <c r="B31" s="24">
        <f>B1</f>
        <v>45862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5" t="s">
        <v>119</v>
      </c>
      <c r="Y32" s="136"/>
      <c r="AA32" s="155" t="s">
        <v>47</v>
      </c>
      <c r="AB32" s="156"/>
    </row>
    <row r="33" spans="1:29" ht="19.5" thickTop="1" x14ac:dyDescent="0.4">
      <c r="A33" s="137">
        <v>2</v>
      </c>
      <c r="B33" s="140">
        <v>20</v>
      </c>
      <c r="C33" s="85" t="s">
        <v>235</v>
      </c>
      <c r="D33" s="109" t="s">
        <v>201</v>
      </c>
      <c r="E33" s="15" t="s">
        <v>74</v>
      </c>
      <c r="F33" s="14"/>
      <c r="G33" s="12" t="s">
        <v>180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/>
      <c r="R33" s="13"/>
      <c r="S33" s="13"/>
      <c r="T33" s="25">
        <v>45910</v>
      </c>
      <c r="U33" s="13" t="s">
        <v>147</v>
      </c>
      <c r="V33">
        <v>1</v>
      </c>
      <c r="X33" s="51" t="s">
        <v>106</v>
      </c>
      <c r="Y33" s="52">
        <f>COUNTIF(U33:U57,"K")</f>
        <v>7</v>
      </c>
      <c r="AA33" s="31" t="s">
        <v>46</v>
      </c>
      <c r="AB33" s="32">
        <f>J28+J178+J148+J118+J208+J238+J268+J298+J328+J358</f>
        <v>16</v>
      </c>
    </row>
    <row r="34" spans="1:29" x14ac:dyDescent="0.4">
      <c r="A34" s="138"/>
      <c r="B34" s="141"/>
      <c r="C34" s="85" t="s">
        <v>236</v>
      </c>
      <c r="D34" s="109" t="s">
        <v>201</v>
      </c>
      <c r="E34" s="15" t="s">
        <v>40</v>
      </c>
      <c r="F34" s="16"/>
      <c r="G34" s="12" t="s">
        <v>180</v>
      </c>
      <c r="H34" s="15"/>
      <c r="I34" s="13"/>
      <c r="J34" s="15"/>
      <c r="K34" s="15"/>
      <c r="L34" s="17"/>
      <c r="M34" s="17"/>
      <c r="N34" s="13"/>
      <c r="O34" s="17">
        <v>1</v>
      </c>
      <c r="P34" s="17">
        <v>1</v>
      </c>
      <c r="Q34" s="17">
        <v>1</v>
      </c>
      <c r="R34" s="17">
        <v>1</v>
      </c>
      <c r="S34" s="15"/>
      <c r="T34" s="25">
        <v>45910</v>
      </c>
      <c r="U34" s="13" t="s">
        <v>148</v>
      </c>
      <c r="V34">
        <v>2</v>
      </c>
      <c r="X34" s="51" t="s">
        <v>107</v>
      </c>
      <c r="Y34" s="52">
        <f>COUNTIF(U33:U57,"R")</f>
        <v>5</v>
      </c>
      <c r="AA34" s="31" t="s">
        <v>48</v>
      </c>
      <c r="AB34" s="32">
        <f>K28+K178+K148+K118+K208+K238+K268+K298+K328+K358</f>
        <v>10</v>
      </c>
    </row>
    <row r="35" spans="1:29" ht="19.5" thickBot="1" x14ac:dyDescent="0.45">
      <c r="A35" s="138"/>
      <c r="B35" s="141"/>
      <c r="C35" s="85" t="s">
        <v>237</v>
      </c>
      <c r="D35" s="109" t="s">
        <v>231</v>
      </c>
      <c r="E35" s="15" t="s">
        <v>39</v>
      </c>
      <c r="F35" s="16"/>
      <c r="G35" s="12" t="s">
        <v>180</v>
      </c>
      <c r="H35" s="13"/>
      <c r="I35" s="13"/>
      <c r="J35" s="15">
        <v>1</v>
      </c>
      <c r="K35" s="15">
        <v>1</v>
      </c>
      <c r="L35" s="17"/>
      <c r="M35" s="17"/>
      <c r="N35" s="13"/>
      <c r="O35" s="17"/>
      <c r="P35" s="17"/>
      <c r="Q35" s="17"/>
      <c r="R35" s="17"/>
      <c r="S35" s="15"/>
      <c r="T35" s="25">
        <v>45897</v>
      </c>
      <c r="U35" s="13" t="s">
        <v>146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5</v>
      </c>
    </row>
    <row r="36" spans="1:29" x14ac:dyDescent="0.4">
      <c r="A36" s="138"/>
      <c r="B36" s="141"/>
      <c r="C36" s="85" t="s">
        <v>238</v>
      </c>
      <c r="D36" s="109">
        <v>1183</v>
      </c>
      <c r="E36" s="15" t="s">
        <v>36</v>
      </c>
      <c r="F36" s="16"/>
      <c r="G36" s="12" t="s">
        <v>180</v>
      </c>
      <c r="H36" s="15"/>
      <c r="I36" s="13"/>
      <c r="J36" s="13"/>
      <c r="K36" s="15"/>
      <c r="L36" s="17"/>
      <c r="M36" s="17">
        <v>1</v>
      </c>
      <c r="N36" s="13">
        <v>1</v>
      </c>
      <c r="O36" s="17"/>
      <c r="P36" s="17"/>
      <c r="Q36" s="17">
        <v>1</v>
      </c>
      <c r="R36" s="17"/>
      <c r="S36" s="15"/>
      <c r="T36" s="25">
        <v>45898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22</v>
      </c>
    </row>
    <row r="37" spans="1:29" x14ac:dyDescent="0.4">
      <c r="A37" s="138"/>
      <c r="B37" s="141"/>
      <c r="C37" s="85" t="s">
        <v>239</v>
      </c>
      <c r="D37" s="109" t="s">
        <v>183</v>
      </c>
      <c r="E37" s="15" t="s">
        <v>37</v>
      </c>
      <c r="F37" s="16"/>
      <c r="G37" s="12" t="s">
        <v>180</v>
      </c>
      <c r="H37" s="15"/>
      <c r="I37" s="13"/>
      <c r="J37" s="15">
        <v>1</v>
      </c>
      <c r="K37" s="15">
        <v>1</v>
      </c>
      <c r="L37" s="17"/>
      <c r="M37" s="17"/>
      <c r="N37" s="13"/>
      <c r="O37" s="17"/>
      <c r="P37" s="17"/>
      <c r="Q37" s="17"/>
      <c r="R37" s="17"/>
      <c r="S37" s="15"/>
      <c r="T37" s="25">
        <v>45887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24</v>
      </c>
    </row>
    <row r="38" spans="1:29" x14ac:dyDescent="0.4">
      <c r="A38" s="138"/>
      <c r="B38" s="141"/>
      <c r="C38" s="85" t="s">
        <v>240</v>
      </c>
      <c r="D38" s="109" t="s">
        <v>189</v>
      </c>
      <c r="E38" s="15" t="s">
        <v>41</v>
      </c>
      <c r="F38" s="16"/>
      <c r="G38" s="12" t="s">
        <v>180</v>
      </c>
      <c r="H38" s="13"/>
      <c r="I38" s="13"/>
      <c r="J38" s="15"/>
      <c r="K38" s="15"/>
      <c r="L38" s="17"/>
      <c r="M38" s="17"/>
      <c r="N38" s="13"/>
      <c r="O38" s="17"/>
      <c r="P38" s="17"/>
      <c r="Q38" s="17"/>
      <c r="R38" s="17"/>
      <c r="S38" s="15"/>
      <c r="T38" s="25">
        <v>45893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6</v>
      </c>
    </row>
    <row r="39" spans="1:29" x14ac:dyDescent="0.4">
      <c r="A39" s="138"/>
      <c r="B39" s="141"/>
      <c r="C39" s="85" t="s">
        <v>241</v>
      </c>
      <c r="D39" s="109" t="s">
        <v>189</v>
      </c>
      <c r="E39" s="15" t="s">
        <v>74</v>
      </c>
      <c r="F39" s="16"/>
      <c r="G39" s="12" t="s">
        <v>180</v>
      </c>
      <c r="H39" s="15"/>
      <c r="I39" s="13"/>
      <c r="J39" s="15"/>
      <c r="K39" s="15"/>
      <c r="L39" s="17"/>
      <c r="M39" s="17">
        <v>1</v>
      </c>
      <c r="N39" s="13">
        <v>1</v>
      </c>
      <c r="O39" s="17"/>
      <c r="P39" s="17"/>
      <c r="Q39" s="17">
        <v>1</v>
      </c>
      <c r="R39" s="17"/>
      <c r="S39" s="15"/>
      <c r="T39" s="25">
        <v>45893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6</v>
      </c>
    </row>
    <row r="40" spans="1:29" x14ac:dyDescent="0.4">
      <c r="A40" s="138"/>
      <c r="B40" s="141"/>
      <c r="C40" s="85" t="s">
        <v>242</v>
      </c>
      <c r="D40" s="109" t="s">
        <v>189</v>
      </c>
      <c r="E40" s="15" t="s">
        <v>37</v>
      </c>
      <c r="F40" s="16"/>
      <c r="G40" s="12" t="s">
        <v>180</v>
      </c>
      <c r="H40" s="15"/>
      <c r="I40" s="13"/>
      <c r="J40" s="15"/>
      <c r="K40" s="15"/>
      <c r="L40" s="17"/>
      <c r="M40" s="17"/>
      <c r="N40" s="13">
        <v>1</v>
      </c>
      <c r="O40" s="17"/>
      <c r="P40" s="17"/>
      <c r="Q40" s="17">
        <v>1</v>
      </c>
      <c r="R40" s="17"/>
      <c r="S40" s="15"/>
      <c r="T40" s="25">
        <v>45893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19</v>
      </c>
    </row>
    <row r="41" spans="1:29" x14ac:dyDescent="0.4">
      <c r="A41" s="138"/>
      <c r="B41" s="141"/>
      <c r="C41" s="85" t="s">
        <v>243</v>
      </c>
      <c r="D41" s="109" t="s">
        <v>189</v>
      </c>
      <c r="E41" s="15" t="s">
        <v>36</v>
      </c>
      <c r="F41" s="16"/>
      <c r="G41" s="12" t="s">
        <v>180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45893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3</v>
      </c>
      <c r="AC41" t="s">
        <v>123</v>
      </c>
    </row>
    <row r="42" spans="1:29" ht="19.5" thickBot="1" x14ac:dyDescent="0.45">
      <c r="A42" s="138"/>
      <c r="B42" s="141"/>
      <c r="C42" s="85" t="s">
        <v>244</v>
      </c>
      <c r="D42" s="109" t="s">
        <v>189</v>
      </c>
      <c r="E42" s="15" t="s">
        <v>44</v>
      </c>
      <c r="F42" s="16"/>
      <c r="G42" s="12" t="s">
        <v>180</v>
      </c>
      <c r="H42" s="15"/>
      <c r="I42" s="15"/>
      <c r="J42" s="15">
        <v>1</v>
      </c>
      <c r="K42" s="15">
        <v>1</v>
      </c>
      <c r="L42" s="17"/>
      <c r="M42" s="17"/>
      <c r="N42" s="17"/>
      <c r="O42" s="17"/>
      <c r="P42" s="17"/>
      <c r="Q42" s="17"/>
      <c r="R42" s="17"/>
      <c r="S42" s="15"/>
      <c r="T42" s="25">
        <v>45893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3</v>
      </c>
      <c r="AC42" s="73">
        <f>SUM(AB33:AB42)</f>
        <v>114</v>
      </c>
    </row>
    <row r="43" spans="1:29" ht="19.5" thickBot="1" x14ac:dyDescent="0.45">
      <c r="A43" s="138"/>
      <c r="B43" s="141"/>
      <c r="C43" s="85" t="s">
        <v>245</v>
      </c>
      <c r="D43" s="109" t="s">
        <v>189</v>
      </c>
      <c r="E43" s="15" t="s">
        <v>43</v>
      </c>
      <c r="F43" s="16"/>
      <c r="G43" s="12" t="s">
        <v>180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45893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8"/>
      <c r="B44" s="141"/>
      <c r="C44" s="85" t="s">
        <v>246</v>
      </c>
      <c r="D44" s="109" t="s">
        <v>189</v>
      </c>
      <c r="E44" s="15" t="s">
        <v>43</v>
      </c>
      <c r="F44" s="16"/>
      <c r="G44" s="12" t="s">
        <v>180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45893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2</v>
      </c>
    </row>
    <row r="45" spans="1:29" x14ac:dyDescent="0.4">
      <c r="A45" s="138"/>
      <c r="B45" s="141"/>
      <c r="C45" s="85" t="s">
        <v>247</v>
      </c>
      <c r="D45" s="109" t="s">
        <v>190</v>
      </c>
      <c r="E45" s="15" t="s">
        <v>37</v>
      </c>
      <c r="F45" s="16"/>
      <c r="G45" s="12" t="s">
        <v>180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45898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38"/>
      <c r="B46" s="141"/>
      <c r="C46" s="85" t="s">
        <v>248</v>
      </c>
      <c r="D46" s="109">
        <v>1183</v>
      </c>
      <c r="E46" s="15" t="s">
        <v>40</v>
      </c>
      <c r="F46" s="16"/>
      <c r="G46" s="12" t="s">
        <v>182</v>
      </c>
      <c r="H46" s="15"/>
      <c r="I46" s="15"/>
      <c r="J46" s="15"/>
      <c r="K46" s="15"/>
      <c r="L46" s="17"/>
      <c r="M46" s="17"/>
      <c r="N46" s="17"/>
      <c r="O46" s="17">
        <v>1</v>
      </c>
      <c r="P46" s="17">
        <v>1</v>
      </c>
      <c r="Q46" s="17"/>
      <c r="R46" s="17">
        <v>1</v>
      </c>
      <c r="S46" s="15"/>
      <c r="T46" s="25">
        <v>45898</v>
      </c>
      <c r="U46" s="13" t="s">
        <v>148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8"/>
      <c r="B47" s="141"/>
      <c r="C47" s="85" t="s">
        <v>249</v>
      </c>
      <c r="D47" s="106">
        <v>1183</v>
      </c>
      <c r="E47" s="15" t="s">
        <v>40</v>
      </c>
      <c r="F47" s="16"/>
      <c r="G47" s="15" t="s">
        <v>182</v>
      </c>
      <c r="H47" s="15"/>
      <c r="I47" s="15"/>
      <c r="J47" s="15"/>
      <c r="K47" s="15"/>
      <c r="L47" s="17"/>
      <c r="M47" s="17"/>
      <c r="N47" s="17"/>
      <c r="O47" s="17">
        <v>1</v>
      </c>
      <c r="P47" s="17">
        <v>1</v>
      </c>
      <c r="Q47" s="17"/>
      <c r="R47" s="17">
        <v>1</v>
      </c>
      <c r="S47" s="15"/>
      <c r="T47" s="25">
        <v>45901</v>
      </c>
      <c r="U47" s="15" t="s">
        <v>148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8"/>
      <c r="B48" s="141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38"/>
      <c r="B49" s="14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82</v>
      </c>
    </row>
    <row r="50" spans="1:28" ht="19.5" thickBot="1" x14ac:dyDescent="0.45">
      <c r="A50" s="138"/>
      <c r="B50" s="14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38"/>
      <c r="B51" s="14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8"/>
      <c r="B52" s="14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7">
        <v>76</v>
      </c>
    </row>
    <row r="53" spans="1:28" ht="19.5" thickBot="1" x14ac:dyDescent="0.45">
      <c r="A53" s="138"/>
      <c r="B53" s="14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8"/>
    </row>
    <row r="54" spans="1:28" ht="19.5" thickBot="1" x14ac:dyDescent="0.45">
      <c r="A54" s="138"/>
      <c r="B54" s="14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8"/>
      <c r="B55" s="14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5" t="s">
        <v>73</v>
      </c>
      <c r="AB55" s="45"/>
    </row>
    <row r="56" spans="1:28" ht="19.5" thickBot="1" x14ac:dyDescent="0.45">
      <c r="A56" s="138"/>
      <c r="B56" s="14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0"/>
      <c r="AB56" s="46"/>
    </row>
    <row r="57" spans="1:28" ht="19.5" thickBot="1" x14ac:dyDescent="0.45">
      <c r="A57" s="139"/>
      <c r="B57" s="14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5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13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7</v>
      </c>
      <c r="K58" s="29">
        <f t="shared" si="1"/>
        <v>7</v>
      </c>
      <c r="L58" s="29">
        <f t="shared" si="1"/>
        <v>0</v>
      </c>
      <c r="M58" s="29">
        <f t="shared" si="1"/>
        <v>3</v>
      </c>
      <c r="N58" s="29">
        <f t="shared" si="1"/>
        <v>4</v>
      </c>
      <c r="O58" s="29">
        <f t="shared" si="1"/>
        <v>3</v>
      </c>
      <c r="P58" s="29">
        <f t="shared" si="1"/>
        <v>3</v>
      </c>
      <c r="Q58" s="29">
        <f t="shared" si="1"/>
        <v>4</v>
      </c>
      <c r="R58" s="29">
        <f t="shared" si="1"/>
        <v>3</v>
      </c>
      <c r="S58" s="29">
        <f t="shared" si="1"/>
        <v>0</v>
      </c>
      <c r="T58" s="29" t="s">
        <v>64</v>
      </c>
      <c r="U58" s="29">
        <f>COUNTIF(H33:H57,"M")</f>
        <v>0</v>
      </c>
      <c r="AA58" s="150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2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34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AYG115</v>
      </c>
      <c r="B61" s="24">
        <f>B1</f>
        <v>45862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5" t="s">
        <v>118</v>
      </c>
      <c r="Y62" s="136"/>
    </row>
    <row r="63" spans="1:28" ht="20.25" thickTop="1" thickBot="1" x14ac:dyDescent="0.45">
      <c r="A63" s="137">
        <v>3</v>
      </c>
      <c r="B63" s="143">
        <v>23.4</v>
      </c>
      <c r="C63" s="85" t="s">
        <v>250</v>
      </c>
      <c r="D63" s="109" t="s">
        <v>181</v>
      </c>
      <c r="E63" s="15" t="s">
        <v>60</v>
      </c>
      <c r="F63" s="14"/>
      <c r="G63" s="12" t="s">
        <v>180</v>
      </c>
      <c r="H63" s="13"/>
      <c r="I63" s="13"/>
      <c r="J63" s="13">
        <v>1</v>
      </c>
      <c r="K63" s="13"/>
      <c r="L63" s="13">
        <v>1</v>
      </c>
      <c r="M63" s="13"/>
      <c r="N63" s="13"/>
      <c r="O63" s="13"/>
      <c r="P63" s="13"/>
      <c r="Q63" s="13"/>
      <c r="R63" s="13"/>
      <c r="S63" s="13"/>
      <c r="T63" s="25">
        <v>45892</v>
      </c>
      <c r="U63" s="134" t="s">
        <v>146</v>
      </c>
      <c r="V63">
        <v>1</v>
      </c>
      <c r="X63" s="51" t="s">
        <v>106</v>
      </c>
      <c r="Y63" s="52">
        <f>COUNTIF(U63:U87,"K")</f>
        <v>8</v>
      </c>
      <c r="AA63" s="59" t="s">
        <v>120</v>
      </c>
      <c r="AB63" s="60" t="s">
        <v>121</v>
      </c>
    </row>
    <row r="64" spans="1:28" x14ac:dyDescent="0.4">
      <c r="A64" s="138"/>
      <c r="B64" s="144"/>
      <c r="C64" s="85" t="s">
        <v>251</v>
      </c>
      <c r="D64" s="109" t="s">
        <v>181</v>
      </c>
      <c r="E64" s="15" t="s">
        <v>60</v>
      </c>
      <c r="F64" s="16"/>
      <c r="G64" s="12" t="s">
        <v>180</v>
      </c>
      <c r="H64" s="15"/>
      <c r="I64" s="15"/>
      <c r="J64" s="13">
        <v>1</v>
      </c>
      <c r="K64" s="15"/>
      <c r="L64" s="13">
        <v>1</v>
      </c>
      <c r="M64" s="17"/>
      <c r="N64" s="17"/>
      <c r="O64" s="17"/>
      <c r="P64" s="17"/>
      <c r="Q64" s="17"/>
      <c r="R64" s="17"/>
      <c r="S64" s="15"/>
      <c r="T64" s="25">
        <v>45892</v>
      </c>
      <c r="U64" s="13" t="s">
        <v>146</v>
      </c>
      <c r="V64">
        <v>2</v>
      </c>
      <c r="X64" s="51" t="s">
        <v>107</v>
      </c>
      <c r="Y64" s="52">
        <f>COUNTIF(U63:U87,"R")</f>
        <v>2</v>
      </c>
      <c r="AA64" s="47" t="s">
        <v>81</v>
      </c>
      <c r="AB64" s="48" t="s">
        <v>60</v>
      </c>
    </row>
    <row r="65" spans="1:28" ht="19.5" thickBot="1" x14ac:dyDescent="0.45">
      <c r="A65" s="138"/>
      <c r="B65" s="144"/>
      <c r="C65" s="85" t="s">
        <v>252</v>
      </c>
      <c r="D65" s="109" t="s">
        <v>181</v>
      </c>
      <c r="E65" s="15" t="s">
        <v>60</v>
      </c>
      <c r="F65" s="16"/>
      <c r="G65" s="12" t="s">
        <v>180</v>
      </c>
      <c r="H65" s="15"/>
      <c r="I65" s="15"/>
      <c r="J65" s="13">
        <v>1</v>
      </c>
      <c r="K65" s="15"/>
      <c r="L65" s="13">
        <v>1</v>
      </c>
      <c r="M65" s="17"/>
      <c r="N65" s="17"/>
      <c r="O65" s="17"/>
      <c r="P65" s="17"/>
      <c r="Q65" s="17"/>
      <c r="R65" s="17"/>
      <c r="S65" s="15"/>
      <c r="T65" s="25">
        <v>45892</v>
      </c>
      <c r="U65" s="13" t="s">
        <v>146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38"/>
      <c r="B66" s="144"/>
      <c r="C66" s="85" t="s">
        <v>253</v>
      </c>
      <c r="D66" s="109" t="s">
        <v>181</v>
      </c>
      <c r="E66" s="15" t="s">
        <v>60</v>
      </c>
      <c r="F66" s="16"/>
      <c r="G66" s="12" t="s">
        <v>180</v>
      </c>
      <c r="H66" s="13"/>
      <c r="I66" s="15"/>
      <c r="J66" s="13">
        <v>1</v>
      </c>
      <c r="K66" s="15"/>
      <c r="L66" s="13">
        <v>1</v>
      </c>
      <c r="M66" s="17"/>
      <c r="N66" s="17"/>
      <c r="O66" s="17"/>
      <c r="P66" s="17"/>
      <c r="Q66" s="17"/>
      <c r="R66" s="17"/>
      <c r="S66" s="15"/>
      <c r="T66" s="25">
        <v>45892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38"/>
      <c r="B67" s="144"/>
      <c r="C67" s="85" t="s">
        <v>254</v>
      </c>
      <c r="D67" s="109" t="s">
        <v>255</v>
      </c>
      <c r="E67" s="15" t="s">
        <v>37</v>
      </c>
      <c r="F67" s="16"/>
      <c r="G67" s="12" t="s">
        <v>180</v>
      </c>
      <c r="H67" s="15"/>
      <c r="I67" s="15"/>
      <c r="J67" s="13"/>
      <c r="K67" s="15"/>
      <c r="L67" s="13"/>
      <c r="M67" s="17">
        <v>1</v>
      </c>
      <c r="N67" s="17"/>
      <c r="O67" s="17"/>
      <c r="P67" s="17"/>
      <c r="Q67" s="17">
        <v>1</v>
      </c>
      <c r="R67" s="17"/>
      <c r="S67" s="15"/>
      <c r="T67" s="25">
        <v>45900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38"/>
      <c r="B68" s="144"/>
      <c r="C68" s="85" t="s">
        <v>256</v>
      </c>
      <c r="D68" s="109" t="s">
        <v>200</v>
      </c>
      <c r="E68" s="15" t="s">
        <v>74</v>
      </c>
      <c r="F68" s="16"/>
      <c r="G68" s="12" t="s">
        <v>180</v>
      </c>
      <c r="H68" s="15"/>
      <c r="I68" s="15"/>
      <c r="J68" s="13">
        <v>1</v>
      </c>
      <c r="K68" s="15">
        <v>1</v>
      </c>
      <c r="L68" s="13"/>
      <c r="M68" s="17"/>
      <c r="N68" s="17"/>
      <c r="O68" s="17"/>
      <c r="P68" s="17"/>
      <c r="Q68" s="17"/>
      <c r="R68" s="17"/>
      <c r="S68" s="15"/>
      <c r="T68" s="25">
        <v>45900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38"/>
      <c r="B69" s="144"/>
      <c r="C69" s="85" t="s">
        <v>257</v>
      </c>
      <c r="D69" s="109" t="s">
        <v>200</v>
      </c>
      <c r="E69" s="15" t="s">
        <v>37</v>
      </c>
      <c r="F69" s="16"/>
      <c r="G69" s="12" t="s">
        <v>180</v>
      </c>
      <c r="H69" s="15"/>
      <c r="I69" s="15"/>
      <c r="J69" s="13"/>
      <c r="K69" s="15"/>
      <c r="L69" s="13"/>
      <c r="M69" s="17">
        <v>1</v>
      </c>
      <c r="N69" s="17"/>
      <c r="O69" s="17"/>
      <c r="P69" s="17"/>
      <c r="Q69" s="17">
        <v>1</v>
      </c>
      <c r="R69" s="17"/>
      <c r="S69" s="15"/>
      <c r="T69" s="25">
        <v>45900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38"/>
      <c r="B70" s="144"/>
      <c r="C70" s="85" t="s">
        <v>258</v>
      </c>
      <c r="D70" s="109" t="s">
        <v>200</v>
      </c>
      <c r="E70" s="15" t="s">
        <v>44</v>
      </c>
      <c r="F70" s="16"/>
      <c r="G70" s="12" t="s">
        <v>180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45900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38"/>
      <c r="B71" s="144"/>
      <c r="C71" s="85" t="s">
        <v>259</v>
      </c>
      <c r="D71" s="109" t="s">
        <v>181</v>
      </c>
      <c r="E71" s="15" t="s">
        <v>59</v>
      </c>
      <c r="F71" s="16"/>
      <c r="G71" s="12" t="s">
        <v>180</v>
      </c>
      <c r="H71" s="15" t="s">
        <v>260</v>
      </c>
      <c r="I71" s="15"/>
      <c r="J71" s="13">
        <v>2</v>
      </c>
      <c r="K71" s="15"/>
      <c r="L71" s="13"/>
      <c r="M71" s="17"/>
      <c r="N71" s="17"/>
      <c r="O71" s="17"/>
      <c r="P71" s="17"/>
      <c r="Q71" s="17"/>
      <c r="R71" s="17"/>
      <c r="S71" s="15"/>
      <c r="T71" s="25">
        <v>45907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38"/>
      <c r="B72" s="144"/>
      <c r="C72" s="85" t="s">
        <v>261</v>
      </c>
      <c r="D72" s="109" t="s">
        <v>181</v>
      </c>
      <c r="E72" s="15" t="s">
        <v>59</v>
      </c>
      <c r="F72" s="16"/>
      <c r="G72" s="12" t="s">
        <v>180</v>
      </c>
      <c r="H72" s="15" t="s">
        <v>260</v>
      </c>
      <c r="I72" s="15"/>
      <c r="J72" s="13">
        <v>2</v>
      </c>
      <c r="K72" s="15"/>
      <c r="L72" s="13"/>
      <c r="M72" s="17"/>
      <c r="N72" s="17"/>
      <c r="O72" s="17"/>
      <c r="P72" s="17"/>
      <c r="Q72" s="17"/>
      <c r="R72" s="17"/>
      <c r="S72" s="15"/>
      <c r="T72" s="25">
        <v>45987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38"/>
      <c r="B73" s="144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38"/>
      <c r="B74" s="144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38"/>
      <c r="B75" s="144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38"/>
      <c r="B76" s="144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38"/>
      <c r="B77" s="144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38"/>
      <c r="B78" s="144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8"/>
      <c r="B79" s="144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8"/>
      <c r="B80" s="14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8"/>
      <c r="B81" s="14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8"/>
      <c r="B82" s="14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8"/>
      <c r="B83" s="14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8"/>
      <c r="B84" s="14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8"/>
      <c r="B85" s="14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8"/>
      <c r="B86" s="14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9"/>
      <c r="B87" s="14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10</v>
      </c>
      <c r="D88" s="112"/>
      <c r="E88" s="29"/>
      <c r="F88" s="29" t="s">
        <v>34</v>
      </c>
      <c r="G88" s="29">
        <f>COUNTIF(G63:G87,"S")</f>
        <v>10</v>
      </c>
      <c r="H88" s="29">
        <f>COUNTIF(H63:H87,"E")</f>
        <v>2</v>
      </c>
      <c r="I88" s="29">
        <f>SUM(I63:I87)</f>
        <v>0</v>
      </c>
      <c r="J88" s="29"/>
      <c r="K88" s="29">
        <f t="shared" ref="K88:S88" si="2">SUM(K63:K87)</f>
        <v>2</v>
      </c>
      <c r="L88" s="29">
        <f t="shared" si="2"/>
        <v>4</v>
      </c>
      <c r="M88" s="29">
        <f t="shared" si="2"/>
        <v>2</v>
      </c>
      <c r="N88" s="29">
        <f t="shared" si="2"/>
        <v>0</v>
      </c>
      <c r="O88" s="29">
        <f t="shared" si="2"/>
        <v>0</v>
      </c>
      <c r="P88" s="29">
        <f t="shared" si="2"/>
        <v>0</v>
      </c>
      <c r="Q88" s="29">
        <f t="shared" si="2"/>
        <v>2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AYG115</v>
      </c>
      <c r="B91" s="24">
        <f>B1</f>
        <v>45862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5" t="s">
        <v>117</v>
      </c>
      <c r="Y92" s="136"/>
    </row>
    <row r="93" spans="1:28" ht="20.25" thickTop="1" thickBot="1" x14ac:dyDescent="0.45">
      <c r="A93" s="137">
        <v>4</v>
      </c>
      <c r="B93" s="140">
        <v>24</v>
      </c>
      <c r="C93" s="85" t="s">
        <v>262</v>
      </c>
      <c r="D93" s="109" t="s">
        <v>181</v>
      </c>
      <c r="E93" s="15" t="s">
        <v>60</v>
      </c>
      <c r="F93" s="14"/>
      <c r="G93" s="12" t="s">
        <v>180</v>
      </c>
      <c r="H93" s="13"/>
      <c r="I93" s="13"/>
      <c r="J93" s="13">
        <v>1</v>
      </c>
      <c r="K93" s="13"/>
      <c r="L93" s="13">
        <v>1</v>
      </c>
      <c r="M93" s="13"/>
      <c r="N93" s="13"/>
      <c r="O93" s="13"/>
      <c r="P93" s="13"/>
      <c r="Q93" s="13"/>
      <c r="R93" s="13"/>
      <c r="S93" s="13"/>
      <c r="T93" s="25">
        <v>45901</v>
      </c>
      <c r="U93" s="13" t="s">
        <v>146</v>
      </c>
      <c r="V93">
        <v>1</v>
      </c>
      <c r="X93" s="51" t="s">
        <v>106</v>
      </c>
      <c r="Y93" s="52">
        <f>COUNTIF(U93:U117,"K")</f>
        <v>7</v>
      </c>
      <c r="AA93" s="59" t="s">
        <v>120</v>
      </c>
      <c r="AB93" s="60" t="s">
        <v>121</v>
      </c>
    </row>
    <row r="94" spans="1:28" x14ac:dyDescent="0.4">
      <c r="A94" s="138"/>
      <c r="B94" s="141"/>
      <c r="C94" s="85" t="s">
        <v>263</v>
      </c>
      <c r="D94" s="109" t="s">
        <v>181</v>
      </c>
      <c r="E94" s="15" t="s">
        <v>60</v>
      </c>
      <c r="F94" s="16"/>
      <c r="G94" s="12" t="s">
        <v>180</v>
      </c>
      <c r="H94" s="15"/>
      <c r="I94" s="15"/>
      <c r="J94" s="15">
        <v>1</v>
      </c>
      <c r="K94" s="15"/>
      <c r="L94" s="17">
        <v>1</v>
      </c>
      <c r="M94" s="17"/>
      <c r="N94" s="17"/>
      <c r="O94" s="17"/>
      <c r="P94" s="17"/>
      <c r="Q94" s="17"/>
      <c r="R94" s="17"/>
      <c r="S94" s="15"/>
      <c r="T94" s="25">
        <v>45901</v>
      </c>
      <c r="U94" s="13" t="s">
        <v>146</v>
      </c>
      <c r="V94">
        <v>2</v>
      </c>
      <c r="X94" s="51" t="s">
        <v>107</v>
      </c>
      <c r="Y94" s="52">
        <f>COUNTIF(U93:U117,"R")</f>
        <v>9</v>
      </c>
      <c r="AA94" s="47" t="s">
        <v>81</v>
      </c>
      <c r="AB94" s="48" t="s">
        <v>60</v>
      </c>
    </row>
    <row r="95" spans="1:28" ht="19.5" thickBot="1" x14ac:dyDescent="0.45">
      <c r="A95" s="138"/>
      <c r="B95" s="141"/>
      <c r="C95" s="85" t="s">
        <v>264</v>
      </c>
      <c r="D95" s="109" t="s">
        <v>181</v>
      </c>
      <c r="E95" s="15" t="s">
        <v>60</v>
      </c>
      <c r="F95" s="16"/>
      <c r="G95" s="12" t="s">
        <v>180</v>
      </c>
      <c r="H95" s="15"/>
      <c r="I95" s="15"/>
      <c r="J95" s="15">
        <v>1</v>
      </c>
      <c r="K95" s="15"/>
      <c r="L95" s="17">
        <v>1</v>
      </c>
      <c r="M95" s="17"/>
      <c r="N95" s="17"/>
      <c r="O95" s="17"/>
      <c r="P95" s="17"/>
      <c r="Q95" s="17"/>
      <c r="R95" s="17"/>
      <c r="S95" s="15"/>
      <c r="T95" s="25">
        <v>45901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38"/>
      <c r="B96" s="141"/>
      <c r="C96" s="85" t="s">
        <v>265</v>
      </c>
      <c r="D96" s="109" t="s">
        <v>181</v>
      </c>
      <c r="E96" s="15" t="s">
        <v>60</v>
      </c>
      <c r="F96" s="16"/>
      <c r="G96" s="12" t="s">
        <v>180</v>
      </c>
      <c r="H96" s="15"/>
      <c r="I96" s="15"/>
      <c r="J96" s="15">
        <v>1</v>
      </c>
      <c r="K96" s="15"/>
      <c r="L96" s="17">
        <v>1</v>
      </c>
      <c r="M96" s="17"/>
      <c r="N96" s="17"/>
      <c r="O96" s="17"/>
      <c r="P96" s="17"/>
      <c r="Q96" s="17"/>
      <c r="R96" s="17"/>
      <c r="S96" s="15"/>
      <c r="T96" s="25">
        <v>45901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38"/>
      <c r="B97" s="141"/>
      <c r="C97" s="85" t="s">
        <v>266</v>
      </c>
      <c r="D97" s="109" t="s">
        <v>181</v>
      </c>
      <c r="E97" s="15" t="s">
        <v>60</v>
      </c>
      <c r="F97" s="16"/>
      <c r="G97" s="12" t="s">
        <v>180</v>
      </c>
      <c r="H97" s="15"/>
      <c r="I97" s="15"/>
      <c r="J97" s="15">
        <v>1</v>
      </c>
      <c r="K97" s="15"/>
      <c r="L97" s="17">
        <v>1</v>
      </c>
      <c r="M97" s="17"/>
      <c r="N97" s="17"/>
      <c r="O97" s="17"/>
      <c r="P97" s="17"/>
      <c r="Q97" s="17"/>
      <c r="R97" s="17"/>
      <c r="S97" s="15"/>
      <c r="T97" s="25">
        <v>45901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38"/>
      <c r="B98" s="141"/>
      <c r="C98" s="85" t="s">
        <v>267</v>
      </c>
      <c r="D98" s="109" t="s">
        <v>183</v>
      </c>
      <c r="E98" s="15" t="s">
        <v>37</v>
      </c>
      <c r="F98" s="16"/>
      <c r="G98" s="12" t="s">
        <v>180</v>
      </c>
      <c r="H98" s="13"/>
      <c r="I98" s="15"/>
      <c r="J98" s="15"/>
      <c r="K98" s="15"/>
      <c r="L98" s="17"/>
      <c r="M98" s="17">
        <v>1</v>
      </c>
      <c r="N98" s="17">
        <v>1</v>
      </c>
      <c r="O98" s="17"/>
      <c r="P98" s="17"/>
      <c r="Q98" s="17"/>
      <c r="R98" s="17"/>
      <c r="S98" s="15"/>
      <c r="T98" s="25">
        <v>45887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38"/>
      <c r="B99" s="141"/>
      <c r="C99" s="85" t="s">
        <v>268</v>
      </c>
      <c r="D99" s="109" t="s">
        <v>187</v>
      </c>
      <c r="E99" s="15" t="s">
        <v>37</v>
      </c>
      <c r="F99" s="16"/>
      <c r="G99" s="12" t="s">
        <v>180</v>
      </c>
      <c r="H99" s="15"/>
      <c r="I99" s="15"/>
      <c r="J99" s="15"/>
      <c r="K99" s="15"/>
      <c r="L99" s="17"/>
      <c r="M99" s="17">
        <v>1</v>
      </c>
      <c r="N99" s="17">
        <v>1</v>
      </c>
      <c r="O99" s="17"/>
      <c r="P99" s="17"/>
      <c r="Q99" s="17"/>
      <c r="R99" s="17"/>
      <c r="S99" s="15"/>
      <c r="T99" s="25">
        <v>45906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38"/>
      <c r="B100" s="141"/>
      <c r="C100" s="85" t="s">
        <v>269</v>
      </c>
      <c r="D100" s="109" t="s">
        <v>179</v>
      </c>
      <c r="E100" s="15" t="s">
        <v>36</v>
      </c>
      <c r="F100" s="16"/>
      <c r="G100" s="12" t="s">
        <v>180</v>
      </c>
      <c r="H100" s="15"/>
      <c r="I100" s="15"/>
      <c r="J100" s="15"/>
      <c r="K100" s="15"/>
      <c r="L100" s="17"/>
      <c r="M100" s="17">
        <v>1</v>
      </c>
      <c r="N100" s="17">
        <v>1</v>
      </c>
      <c r="O100" s="17"/>
      <c r="P100" s="17"/>
      <c r="Q100" s="17">
        <v>1</v>
      </c>
      <c r="R100" s="17"/>
      <c r="S100" s="15"/>
      <c r="T100" s="25">
        <v>45893</v>
      </c>
      <c r="U100" s="15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38"/>
      <c r="B101" s="141"/>
      <c r="C101" s="85" t="s">
        <v>270</v>
      </c>
      <c r="D101" s="109" t="s">
        <v>191</v>
      </c>
      <c r="E101" s="15" t="s">
        <v>37</v>
      </c>
      <c r="F101" s="16"/>
      <c r="G101" s="12" t="s">
        <v>180</v>
      </c>
      <c r="H101" s="15"/>
      <c r="I101" s="15"/>
      <c r="J101" s="15"/>
      <c r="K101" s="15"/>
      <c r="L101" s="17"/>
      <c r="M101" s="17"/>
      <c r="N101" s="17">
        <v>1</v>
      </c>
      <c r="O101" s="17"/>
      <c r="P101" s="17"/>
      <c r="Q101" s="17"/>
      <c r="R101" s="17"/>
      <c r="S101" s="15"/>
      <c r="T101" s="25">
        <v>45895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38"/>
      <c r="B102" s="141"/>
      <c r="C102" s="85" t="s">
        <v>271</v>
      </c>
      <c r="D102" s="109" t="s">
        <v>190</v>
      </c>
      <c r="E102" s="15" t="s">
        <v>37</v>
      </c>
      <c r="F102" s="16"/>
      <c r="G102" s="12" t="s">
        <v>180</v>
      </c>
      <c r="H102" s="15"/>
      <c r="I102" s="15"/>
      <c r="J102" s="15"/>
      <c r="K102" s="15"/>
      <c r="L102" s="17"/>
      <c r="M102" s="17">
        <v>1</v>
      </c>
      <c r="N102" s="17"/>
      <c r="O102" s="17"/>
      <c r="P102" s="17"/>
      <c r="Q102" s="17"/>
      <c r="R102" s="17"/>
      <c r="S102" s="15"/>
      <c r="T102" s="25">
        <v>45897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38"/>
      <c r="B103" s="141"/>
      <c r="C103" s="85" t="s">
        <v>272</v>
      </c>
      <c r="D103" s="109" t="s">
        <v>190</v>
      </c>
      <c r="E103" s="15" t="s">
        <v>37</v>
      </c>
      <c r="F103" s="16"/>
      <c r="G103" s="12" t="s">
        <v>180</v>
      </c>
      <c r="H103" s="15"/>
      <c r="I103" s="15"/>
      <c r="J103" s="15"/>
      <c r="K103" s="15"/>
      <c r="L103" s="17"/>
      <c r="M103" s="17">
        <v>1</v>
      </c>
      <c r="N103" s="17">
        <v>1</v>
      </c>
      <c r="O103" s="17"/>
      <c r="P103" s="17"/>
      <c r="Q103" s="17">
        <v>1</v>
      </c>
      <c r="R103" s="17"/>
      <c r="S103" s="15"/>
      <c r="T103" s="25">
        <v>45897</v>
      </c>
      <c r="U103" s="15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38"/>
      <c r="B104" s="141"/>
      <c r="C104" s="85" t="s">
        <v>273</v>
      </c>
      <c r="D104" s="109" t="s">
        <v>203</v>
      </c>
      <c r="E104" s="15" t="s">
        <v>37</v>
      </c>
      <c r="F104" s="16"/>
      <c r="G104" s="12" t="s">
        <v>180</v>
      </c>
      <c r="H104" s="15"/>
      <c r="I104" s="15"/>
      <c r="J104" s="15"/>
      <c r="K104" s="15"/>
      <c r="L104" s="17"/>
      <c r="M104" s="17">
        <v>1</v>
      </c>
      <c r="N104" s="17">
        <v>1</v>
      </c>
      <c r="O104" s="17"/>
      <c r="P104" s="17"/>
      <c r="Q104" s="17">
        <v>1</v>
      </c>
      <c r="R104" s="17"/>
      <c r="S104" s="15"/>
      <c r="T104" s="25">
        <v>45908</v>
      </c>
      <c r="U104" s="15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38"/>
      <c r="B105" s="141"/>
      <c r="C105" s="85" t="s">
        <v>274</v>
      </c>
      <c r="D105" s="109" t="s">
        <v>190</v>
      </c>
      <c r="E105" s="15" t="s">
        <v>58</v>
      </c>
      <c r="F105" s="16"/>
      <c r="G105" s="12" t="s">
        <v>180</v>
      </c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>
        <v>1</v>
      </c>
      <c r="T105" s="25">
        <v>45898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38"/>
      <c r="B106" s="141"/>
      <c r="C106" s="85" t="s">
        <v>275</v>
      </c>
      <c r="D106" s="109" t="s">
        <v>202</v>
      </c>
      <c r="E106" s="15" t="s">
        <v>37</v>
      </c>
      <c r="F106" s="16"/>
      <c r="G106" s="12" t="s">
        <v>180</v>
      </c>
      <c r="H106" s="15"/>
      <c r="I106" s="15"/>
      <c r="J106" s="15"/>
      <c r="K106" s="15"/>
      <c r="L106" s="17"/>
      <c r="M106" s="17">
        <v>1</v>
      </c>
      <c r="N106" s="17">
        <v>1</v>
      </c>
      <c r="O106" s="17"/>
      <c r="P106" s="17"/>
      <c r="Q106" s="17">
        <v>1</v>
      </c>
      <c r="R106" s="17"/>
      <c r="S106" s="15"/>
      <c r="T106" s="25">
        <v>45903</v>
      </c>
      <c r="U106" s="15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38"/>
      <c r="B107" s="141"/>
      <c r="C107" s="85" t="s">
        <v>276</v>
      </c>
      <c r="D107" s="109" t="s">
        <v>201</v>
      </c>
      <c r="E107" s="15" t="s">
        <v>36</v>
      </c>
      <c r="F107" s="16"/>
      <c r="G107" s="15" t="s">
        <v>180</v>
      </c>
      <c r="H107" s="15"/>
      <c r="I107" s="15"/>
      <c r="J107" s="15">
        <v>1</v>
      </c>
      <c r="K107" s="15">
        <v>1</v>
      </c>
      <c r="L107" s="17"/>
      <c r="M107" s="17"/>
      <c r="N107" s="17"/>
      <c r="O107" s="17"/>
      <c r="P107" s="17"/>
      <c r="Q107" s="17"/>
      <c r="R107" s="17"/>
      <c r="S107" s="15"/>
      <c r="T107" s="25">
        <v>45928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38"/>
      <c r="B108" s="141"/>
      <c r="C108" s="85" t="s">
        <v>277</v>
      </c>
      <c r="D108" s="109" t="s">
        <v>189</v>
      </c>
      <c r="E108" s="15" t="s">
        <v>75</v>
      </c>
      <c r="F108" s="16"/>
      <c r="G108" s="15" t="s">
        <v>180</v>
      </c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>
        <v>1</v>
      </c>
      <c r="T108" s="25">
        <v>45885</v>
      </c>
      <c r="U108" s="15" t="s">
        <v>147</v>
      </c>
      <c r="V108">
        <v>16</v>
      </c>
      <c r="AA108" s="49" t="s">
        <v>95</v>
      </c>
      <c r="AB108" s="50" t="s">
        <v>42</v>
      </c>
    </row>
    <row r="109" spans="1:28" x14ac:dyDescent="0.4">
      <c r="A109" s="138"/>
      <c r="B109" s="14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8"/>
      <c r="B110" s="14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8"/>
      <c r="B111" s="14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8"/>
      <c r="B112" s="14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8"/>
      <c r="B113" s="14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8"/>
      <c r="B114" s="14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8"/>
      <c r="B115" s="14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38"/>
      <c r="B116" s="14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9"/>
      <c r="B117" s="14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16</v>
      </c>
      <c r="D118" s="112"/>
      <c r="E118" s="29"/>
      <c r="F118" s="29" t="s">
        <v>34</v>
      </c>
      <c r="G118" s="29">
        <f>COUNTIF(G93:G117,"S")</f>
        <v>16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6</v>
      </c>
      <c r="K118" s="29">
        <f t="shared" ref="K118" si="4">SUM(K93:K117)</f>
        <v>1</v>
      </c>
      <c r="L118" s="29">
        <f t="shared" ref="L118" si="5">SUM(L93:L117)</f>
        <v>5</v>
      </c>
      <c r="M118" s="29">
        <f t="shared" ref="M118" si="6">SUM(M93:M117)</f>
        <v>7</v>
      </c>
      <c r="N118" s="29">
        <f t="shared" ref="N118" si="7">SUM(N93:N117)</f>
        <v>7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4</v>
      </c>
      <c r="R118" s="29">
        <f t="shared" ref="R118" si="11">SUM(R93:R117)</f>
        <v>0</v>
      </c>
      <c r="S118" s="29">
        <f t="shared" ref="S118" si="12">SUM(S93:S117)</f>
        <v>2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32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AYG115</v>
      </c>
      <c r="B121" s="24">
        <f>B1</f>
        <v>45862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5" t="s">
        <v>116</v>
      </c>
      <c r="Y122" s="136"/>
    </row>
    <row r="123" spans="1:28" ht="20.25" thickTop="1" thickBot="1" x14ac:dyDescent="0.45">
      <c r="A123" s="137">
        <v>5</v>
      </c>
      <c r="B123" s="140">
        <v>17</v>
      </c>
      <c r="C123" s="85" t="s">
        <v>278</v>
      </c>
      <c r="D123" s="106" t="s">
        <v>201</v>
      </c>
      <c r="E123" s="15" t="s">
        <v>58</v>
      </c>
      <c r="F123" s="14"/>
      <c r="G123" s="12" t="s">
        <v>180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45907</v>
      </c>
      <c r="U123" s="13" t="s">
        <v>147</v>
      </c>
      <c r="V123">
        <v>1</v>
      </c>
      <c r="X123" s="51" t="s">
        <v>106</v>
      </c>
      <c r="Y123" s="52">
        <f>COUNTIF(U123:U147,"K")</f>
        <v>2</v>
      </c>
      <c r="AA123" s="59" t="s">
        <v>120</v>
      </c>
      <c r="AB123" s="60" t="s">
        <v>121</v>
      </c>
    </row>
    <row r="124" spans="1:28" x14ac:dyDescent="0.4">
      <c r="A124" s="138"/>
      <c r="B124" s="141"/>
      <c r="C124" s="85" t="s">
        <v>279</v>
      </c>
      <c r="D124" s="106" t="s">
        <v>190</v>
      </c>
      <c r="E124" s="15" t="s">
        <v>44</v>
      </c>
      <c r="F124" s="16"/>
      <c r="G124" s="12" t="s">
        <v>180</v>
      </c>
      <c r="H124" s="15"/>
      <c r="I124" s="15"/>
      <c r="J124" s="15">
        <v>1</v>
      </c>
      <c r="K124" s="15">
        <v>1</v>
      </c>
      <c r="L124" s="17"/>
      <c r="M124" s="17">
        <v>1</v>
      </c>
      <c r="N124" s="13"/>
      <c r="O124" s="17"/>
      <c r="P124" s="17"/>
      <c r="Q124" s="17">
        <v>1</v>
      </c>
      <c r="R124" s="17"/>
      <c r="S124" s="15"/>
      <c r="T124" s="25">
        <v>45918</v>
      </c>
      <c r="U124" s="13" t="s">
        <v>147</v>
      </c>
      <c r="V124">
        <v>2</v>
      </c>
      <c r="X124" s="51" t="s">
        <v>107</v>
      </c>
      <c r="Y124" s="52">
        <f>COUNTIF(U123:U147,"R")</f>
        <v>11</v>
      </c>
      <c r="AA124" s="47" t="s">
        <v>81</v>
      </c>
      <c r="AB124" s="48" t="s">
        <v>60</v>
      </c>
    </row>
    <row r="125" spans="1:28" ht="19.5" thickBot="1" x14ac:dyDescent="0.45">
      <c r="A125" s="138"/>
      <c r="B125" s="141"/>
      <c r="C125" s="85" t="s">
        <v>280</v>
      </c>
      <c r="D125" s="106" t="s">
        <v>179</v>
      </c>
      <c r="E125" s="15" t="s">
        <v>36</v>
      </c>
      <c r="F125" s="16"/>
      <c r="G125" s="12" t="s">
        <v>180</v>
      </c>
      <c r="H125" s="13"/>
      <c r="I125" s="15"/>
      <c r="J125" s="15"/>
      <c r="K125" s="15"/>
      <c r="L125" s="17"/>
      <c r="M125" s="17">
        <v>1</v>
      </c>
      <c r="N125" s="13">
        <v>1</v>
      </c>
      <c r="O125" s="17"/>
      <c r="P125" s="17"/>
      <c r="Q125" s="17">
        <v>1</v>
      </c>
      <c r="R125" s="17"/>
      <c r="S125" s="15"/>
      <c r="T125" s="25">
        <v>45889</v>
      </c>
      <c r="U125" s="13" t="s">
        <v>147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38"/>
      <c r="B126" s="141"/>
      <c r="C126" s="85" t="s">
        <v>281</v>
      </c>
      <c r="D126" s="106" t="s">
        <v>179</v>
      </c>
      <c r="E126" s="15" t="s">
        <v>74</v>
      </c>
      <c r="F126" s="16"/>
      <c r="G126" s="12" t="s">
        <v>180</v>
      </c>
      <c r="H126" s="15"/>
      <c r="I126" s="15"/>
      <c r="J126" s="15"/>
      <c r="K126" s="15"/>
      <c r="L126" s="17"/>
      <c r="M126" s="17">
        <v>1</v>
      </c>
      <c r="N126" s="13">
        <v>1</v>
      </c>
      <c r="O126" s="17"/>
      <c r="P126" s="17"/>
      <c r="Q126" s="17">
        <v>1</v>
      </c>
      <c r="R126" s="17"/>
      <c r="S126" s="15"/>
      <c r="T126" s="25">
        <v>45899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38"/>
      <c r="B127" s="141"/>
      <c r="C127" s="85" t="s">
        <v>282</v>
      </c>
      <c r="D127" s="106" t="s">
        <v>179</v>
      </c>
      <c r="E127" s="15" t="s">
        <v>40</v>
      </c>
      <c r="F127" s="16"/>
      <c r="G127" s="12" t="s">
        <v>180</v>
      </c>
      <c r="H127" s="15"/>
      <c r="I127" s="15"/>
      <c r="J127" s="15"/>
      <c r="K127" s="15"/>
      <c r="L127" s="17"/>
      <c r="M127" s="17"/>
      <c r="N127" s="13"/>
      <c r="O127" s="17">
        <v>1</v>
      </c>
      <c r="P127" s="17">
        <v>1</v>
      </c>
      <c r="Q127" s="17"/>
      <c r="R127" s="17"/>
      <c r="S127" s="15"/>
      <c r="T127" s="25">
        <v>45895</v>
      </c>
      <c r="U127" s="13" t="s">
        <v>148</v>
      </c>
      <c r="V127">
        <v>5</v>
      </c>
      <c r="AA127" s="49" t="s">
        <v>84</v>
      </c>
      <c r="AB127" s="50" t="s">
        <v>44</v>
      </c>
    </row>
    <row r="128" spans="1:28" x14ac:dyDescent="0.4">
      <c r="A128" s="138"/>
      <c r="B128" s="141"/>
      <c r="C128" s="85" t="s">
        <v>283</v>
      </c>
      <c r="D128" s="106" t="s">
        <v>179</v>
      </c>
      <c r="E128" s="15" t="s">
        <v>36</v>
      </c>
      <c r="F128" s="16"/>
      <c r="G128" s="12" t="s">
        <v>180</v>
      </c>
      <c r="H128" s="13"/>
      <c r="I128" s="15"/>
      <c r="J128" s="15"/>
      <c r="K128" s="15"/>
      <c r="L128" s="17"/>
      <c r="M128" s="17">
        <v>1</v>
      </c>
      <c r="N128" s="13">
        <v>1</v>
      </c>
      <c r="O128" s="17"/>
      <c r="P128" s="17"/>
      <c r="Q128" s="17">
        <v>1</v>
      </c>
      <c r="R128" s="17"/>
      <c r="S128" s="15"/>
      <c r="T128" s="25">
        <v>45893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38"/>
      <c r="B129" s="141"/>
      <c r="C129" s="85" t="s">
        <v>284</v>
      </c>
      <c r="D129" s="106" t="s">
        <v>179</v>
      </c>
      <c r="E129" s="15" t="s">
        <v>36</v>
      </c>
      <c r="F129" s="16"/>
      <c r="G129" s="12" t="s">
        <v>180</v>
      </c>
      <c r="H129" s="15"/>
      <c r="I129" s="15"/>
      <c r="J129" s="15"/>
      <c r="K129" s="15"/>
      <c r="L129" s="17"/>
      <c r="M129" s="17">
        <v>1</v>
      </c>
      <c r="N129" s="13">
        <v>1</v>
      </c>
      <c r="O129" s="17"/>
      <c r="P129" s="17"/>
      <c r="Q129" s="17">
        <v>1</v>
      </c>
      <c r="R129" s="17"/>
      <c r="S129" s="15"/>
      <c r="T129" s="25">
        <v>45886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38"/>
      <c r="B130" s="141"/>
      <c r="C130" s="85" t="s">
        <v>285</v>
      </c>
      <c r="D130" s="106" t="s">
        <v>179</v>
      </c>
      <c r="E130" s="15" t="s">
        <v>40</v>
      </c>
      <c r="F130" s="16"/>
      <c r="G130" s="12" t="s">
        <v>180</v>
      </c>
      <c r="H130" s="15"/>
      <c r="I130" s="15"/>
      <c r="J130" s="15"/>
      <c r="K130" s="15"/>
      <c r="L130" s="17"/>
      <c r="M130" s="17"/>
      <c r="N130" s="13"/>
      <c r="O130" s="17">
        <v>1</v>
      </c>
      <c r="P130" s="17">
        <v>1</v>
      </c>
      <c r="Q130" s="17"/>
      <c r="R130" s="17"/>
      <c r="S130" s="15"/>
      <c r="T130" s="25">
        <v>45886</v>
      </c>
      <c r="U130" s="13" t="s">
        <v>148</v>
      </c>
      <c r="V130">
        <v>8</v>
      </c>
      <c r="AA130" s="49" t="s">
        <v>87</v>
      </c>
      <c r="AB130" s="50" t="s">
        <v>37</v>
      </c>
    </row>
    <row r="131" spans="1:28" x14ac:dyDescent="0.4">
      <c r="A131" s="138"/>
      <c r="B131" s="141"/>
      <c r="C131" s="85" t="s">
        <v>288</v>
      </c>
      <c r="D131" s="106" t="s">
        <v>231</v>
      </c>
      <c r="E131" s="15" t="s">
        <v>44</v>
      </c>
      <c r="F131" s="16"/>
      <c r="G131" s="12" t="s">
        <v>180</v>
      </c>
      <c r="H131" s="15"/>
      <c r="I131" s="15"/>
      <c r="J131" s="15"/>
      <c r="K131" s="15"/>
      <c r="L131" s="17"/>
      <c r="M131" s="17">
        <v>1</v>
      </c>
      <c r="N131" s="13">
        <v>1</v>
      </c>
      <c r="O131" s="17"/>
      <c r="P131" s="17"/>
      <c r="Q131" s="17"/>
      <c r="R131" s="17"/>
      <c r="S131" s="86"/>
      <c r="T131" s="25">
        <v>45896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38"/>
      <c r="B132" s="141"/>
      <c r="C132" s="85" t="s">
        <v>287</v>
      </c>
      <c r="D132" s="106" t="s">
        <v>286</v>
      </c>
      <c r="E132" s="15" t="s">
        <v>58</v>
      </c>
      <c r="F132" s="16"/>
      <c r="G132" s="12" t="s">
        <v>180</v>
      </c>
      <c r="H132" s="15"/>
      <c r="I132" s="15"/>
      <c r="J132" s="15"/>
      <c r="K132" s="15"/>
      <c r="L132" s="17"/>
      <c r="M132" s="17"/>
      <c r="N132" s="13"/>
      <c r="O132" s="17"/>
      <c r="P132" s="17"/>
      <c r="Q132" s="17"/>
      <c r="R132" s="17"/>
      <c r="S132" s="15"/>
      <c r="T132" s="25">
        <v>45901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38"/>
      <c r="B133" s="141"/>
      <c r="C133" s="85" t="s">
        <v>289</v>
      </c>
      <c r="D133" s="106" t="s">
        <v>286</v>
      </c>
      <c r="E133" s="15" t="s">
        <v>58</v>
      </c>
      <c r="F133" s="16"/>
      <c r="G133" s="12" t="s">
        <v>180</v>
      </c>
      <c r="H133" s="15"/>
      <c r="I133" s="15"/>
      <c r="J133" s="15"/>
      <c r="K133" s="15"/>
      <c r="L133" s="17"/>
      <c r="M133" s="17"/>
      <c r="N133" s="13"/>
      <c r="O133" s="17"/>
      <c r="P133" s="17"/>
      <c r="Q133" s="17"/>
      <c r="R133" s="17"/>
      <c r="S133" s="15"/>
      <c r="T133" s="25">
        <v>45900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38"/>
      <c r="B134" s="141"/>
      <c r="C134" s="85" t="s">
        <v>291</v>
      </c>
      <c r="D134" s="106" t="s">
        <v>290</v>
      </c>
      <c r="E134" s="15" t="s">
        <v>58</v>
      </c>
      <c r="F134" s="16"/>
      <c r="G134" s="12" t="s">
        <v>180</v>
      </c>
      <c r="H134" s="15"/>
      <c r="I134" s="15"/>
      <c r="J134" s="15"/>
      <c r="K134" s="15"/>
      <c r="L134" s="17"/>
      <c r="M134" s="17"/>
      <c r="N134" s="13"/>
      <c r="O134" s="17"/>
      <c r="P134" s="17"/>
      <c r="Q134" s="17"/>
      <c r="R134" s="17"/>
      <c r="S134" s="15"/>
      <c r="T134" s="25">
        <v>45900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38"/>
      <c r="B135" s="141"/>
      <c r="C135" s="85" t="s">
        <v>292</v>
      </c>
      <c r="D135" s="106" t="s">
        <v>189</v>
      </c>
      <c r="E135" s="15" t="s">
        <v>78</v>
      </c>
      <c r="F135" s="16"/>
      <c r="G135" s="12" t="s">
        <v>180</v>
      </c>
      <c r="H135" s="15"/>
      <c r="I135" s="15"/>
      <c r="J135" s="15">
        <v>1</v>
      </c>
      <c r="K135" s="15">
        <v>1</v>
      </c>
      <c r="L135" s="17"/>
      <c r="M135" s="17"/>
      <c r="N135" s="13"/>
      <c r="O135" s="17"/>
      <c r="P135" s="17"/>
      <c r="Q135" s="17"/>
      <c r="R135" s="17"/>
      <c r="S135" s="15"/>
      <c r="T135" s="25">
        <v>45893</v>
      </c>
      <c r="U135" s="13" t="s">
        <v>142</v>
      </c>
      <c r="V135">
        <v>13</v>
      </c>
      <c r="AA135" s="49" t="s">
        <v>92</v>
      </c>
      <c r="AB135" s="50" t="s">
        <v>40</v>
      </c>
    </row>
    <row r="136" spans="1:28" x14ac:dyDescent="0.4">
      <c r="A136" s="138"/>
      <c r="B136" s="141"/>
      <c r="C136" s="85" t="s">
        <v>294</v>
      </c>
      <c r="D136" s="106" t="s">
        <v>293</v>
      </c>
      <c r="E136" s="15" t="s">
        <v>36</v>
      </c>
      <c r="F136" s="16"/>
      <c r="G136" s="12" t="s">
        <v>180</v>
      </c>
      <c r="H136" s="15"/>
      <c r="I136" s="15"/>
      <c r="J136" s="15"/>
      <c r="K136" s="15"/>
      <c r="L136" s="17"/>
      <c r="M136" s="17">
        <v>1</v>
      </c>
      <c r="N136" s="13">
        <v>1</v>
      </c>
      <c r="O136" s="17"/>
      <c r="P136" s="17"/>
      <c r="Q136" s="17">
        <v>1</v>
      </c>
      <c r="R136" s="17"/>
      <c r="S136" s="15"/>
      <c r="T136" s="25">
        <v>45898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38"/>
      <c r="B137" s="141"/>
      <c r="C137" s="85" t="s">
        <v>295</v>
      </c>
      <c r="D137" s="106" t="s">
        <v>179</v>
      </c>
      <c r="E137" s="15" t="s">
        <v>37</v>
      </c>
      <c r="F137" s="16"/>
      <c r="G137" s="12" t="s">
        <v>180</v>
      </c>
      <c r="H137" s="15"/>
      <c r="I137" s="15"/>
      <c r="J137" s="15">
        <v>1</v>
      </c>
      <c r="K137" s="15"/>
      <c r="L137" s="17"/>
      <c r="M137" s="17"/>
      <c r="N137" s="13"/>
      <c r="O137" s="17"/>
      <c r="P137" s="17"/>
      <c r="Q137" s="17"/>
      <c r="R137" s="17"/>
      <c r="S137" s="15"/>
      <c r="T137" s="25">
        <v>45877</v>
      </c>
      <c r="U137" s="13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38"/>
      <c r="B138" s="141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38"/>
      <c r="B139" s="141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8"/>
      <c r="B140" s="141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8"/>
      <c r="B141" s="14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8"/>
      <c r="B142" s="14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8"/>
      <c r="B143" s="14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8"/>
      <c r="B144" s="14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8"/>
      <c r="B145" s="14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8"/>
      <c r="B146" s="14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9"/>
      <c r="B147" s="14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3</v>
      </c>
      <c r="K148" s="29">
        <f t="shared" ref="K148" si="14">SUM(K123:K147)</f>
        <v>2</v>
      </c>
      <c r="L148" s="29">
        <f t="shared" ref="L148" si="15">SUM(L123:L147)</f>
        <v>0</v>
      </c>
      <c r="M148" s="29">
        <f t="shared" ref="M148" si="16">SUM(M123:M147)</f>
        <v>7</v>
      </c>
      <c r="N148" s="29">
        <f t="shared" ref="N148" si="17">SUM(N123:N147)</f>
        <v>6</v>
      </c>
      <c r="O148" s="29">
        <f t="shared" ref="O148" si="18">SUM(O123:O147)</f>
        <v>2</v>
      </c>
      <c r="P148" s="29">
        <f t="shared" ref="P148" si="19">SUM(P123:P147)</f>
        <v>2</v>
      </c>
      <c r="Q148" s="29">
        <f t="shared" ref="Q148" si="20">SUM(Q123:Q147)</f>
        <v>6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AYG115</v>
      </c>
      <c r="B151" s="24">
        <f>B1</f>
        <v>45862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5" t="s">
        <v>115</v>
      </c>
      <c r="Y152" s="136"/>
    </row>
    <row r="153" spans="1:28" ht="20.25" thickTop="1" thickBot="1" x14ac:dyDescent="0.45">
      <c r="A153" s="137">
        <v>6</v>
      </c>
      <c r="B153" s="143">
        <v>19</v>
      </c>
      <c r="C153" s="85" t="s">
        <v>296</v>
      </c>
      <c r="D153" s="109" t="s">
        <v>297</v>
      </c>
      <c r="E153" s="13" t="s">
        <v>41</v>
      </c>
      <c r="F153" s="14"/>
      <c r="G153" s="12" t="s">
        <v>180</v>
      </c>
      <c r="H153" s="13"/>
      <c r="I153" s="13"/>
      <c r="J153" s="13"/>
      <c r="K153" s="13"/>
      <c r="L153" s="13"/>
      <c r="M153" s="13"/>
      <c r="N153" s="13">
        <v>1</v>
      </c>
      <c r="O153" s="13"/>
      <c r="P153" s="13"/>
      <c r="Q153" s="13"/>
      <c r="R153" s="13"/>
      <c r="S153" s="13"/>
      <c r="T153" s="26">
        <v>45901</v>
      </c>
      <c r="U153" s="13" t="s">
        <v>147</v>
      </c>
      <c r="V153">
        <v>1</v>
      </c>
      <c r="X153" s="51" t="s">
        <v>106</v>
      </c>
      <c r="Y153" s="52">
        <f>COUNTIF(U153:U177,"K")</f>
        <v>2</v>
      </c>
      <c r="AA153" s="59" t="s">
        <v>120</v>
      </c>
      <c r="AB153" s="60" t="s">
        <v>121</v>
      </c>
    </row>
    <row r="154" spans="1:28" x14ac:dyDescent="0.4">
      <c r="A154" s="138"/>
      <c r="B154" s="144"/>
      <c r="C154" s="85" t="s">
        <v>298</v>
      </c>
      <c r="D154" s="109" t="s">
        <v>297</v>
      </c>
      <c r="E154" s="13" t="s">
        <v>41</v>
      </c>
      <c r="F154" s="16"/>
      <c r="G154" s="12" t="s">
        <v>180</v>
      </c>
      <c r="H154" s="15"/>
      <c r="I154" s="15"/>
      <c r="J154" s="15"/>
      <c r="K154" s="15"/>
      <c r="L154" s="17"/>
      <c r="M154" s="17"/>
      <c r="N154" s="17">
        <v>1</v>
      </c>
      <c r="O154" s="17"/>
      <c r="P154" s="17"/>
      <c r="Q154" s="17"/>
      <c r="R154" s="17"/>
      <c r="S154" s="15"/>
      <c r="T154" s="26">
        <v>45901</v>
      </c>
      <c r="U154" s="13" t="s">
        <v>147</v>
      </c>
      <c r="V154">
        <v>2</v>
      </c>
      <c r="X154" s="51" t="s">
        <v>107</v>
      </c>
      <c r="Y154" s="52">
        <f>COUNTIF(U153:U177,"R")</f>
        <v>8</v>
      </c>
      <c r="AA154" s="47" t="s">
        <v>81</v>
      </c>
      <c r="AB154" s="48" t="s">
        <v>60</v>
      </c>
    </row>
    <row r="155" spans="1:28" ht="19.5" thickBot="1" x14ac:dyDescent="0.45">
      <c r="A155" s="138"/>
      <c r="B155" s="144"/>
      <c r="C155" s="85" t="s">
        <v>299</v>
      </c>
      <c r="D155" s="109" t="s">
        <v>297</v>
      </c>
      <c r="E155" s="106" t="s">
        <v>74</v>
      </c>
      <c r="F155" s="16"/>
      <c r="G155" s="12" t="s">
        <v>180</v>
      </c>
      <c r="H155" s="13"/>
      <c r="I155" s="15"/>
      <c r="J155" s="13">
        <v>1</v>
      </c>
      <c r="K155" s="15">
        <v>1</v>
      </c>
      <c r="L155" s="13"/>
      <c r="M155" s="17"/>
      <c r="N155" s="17"/>
      <c r="O155" s="17"/>
      <c r="P155" s="17"/>
      <c r="Q155" s="17"/>
      <c r="R155" s="17"/>
      <c r="S155" s="15"/>
      <c r="T155" s="26">
        <v>45901</v>
      </c>
      <c r="U155" s="13" t="s">
        <v>146</v>
      </c>
      <c r="V155">
        <v>3</v>
      </c>
      <c r="X155" s="53" t="s">
        <v>108</v>
      </c>
      <c r="Y155" s="54">
        <f>COUNTIF(U153:U177,"J")</f>
        <v>3</v>
      </c>
      <c r="AA155" s="49" t="s">
        <v>82</v>
      </c>
      <c r="AB155" s="50" t="s">
        <v>39</v>
      </c>
    </row>
    <row r="156" spans="1:28" x14ac:dyDescent="0.4">
      <c r="A156" s="138"/>
      <c r="B156" s="144"/>
      <c r="C156" s="85" t="s">
        <v>300</v>
      </c>
      <c r="D156" s="109" t="s">
        <v>183</v>
      </c>
      <c r="E156" s="106" t="s">
        <v>40</v>
      </c>
      <c r="F156" s="16"/>
      <c r="G156" s="12" t="s">
        <v>180</v>
      </c>
      <c r="H156" s="15"/>
      <c r="I156" s="15"/>
      <c r="J156" s="13"/>
      <c r="K156" s="15"/>
      <c r="L156" s="13"/>
      <c r="M156" s="17"/>
      <c r="N156" s="17"/>
      <c r="O156" s="17">
        <v>1</v>
      </c>
      <c r="P156" s="17">
        <v>1</v>
      </c>
      <c r="Q156" s="17">
        <v>1</v>
      </c>
      <c r="R156" s="17">
        <v>1</v>
      </c>
      <c r="S156" s="15"/>
      <c r="T156" s="26">
        <v>45890</v>
      </c>
      <c r="U156" s="13" t="s">
        <v>148</v>
      </c>
      <c r="V156">
        <v>4</v>
      </c>
      <c r="AA156" s="49" t="s">
        <v>83</v>
      </c>
      <c r="AB156" s="50" t="s">
        <v>38</v>
      </c>
    </row>
    <row r="157" spans="1:28" x14ac:dyDescent="0.4">
      <c r="A157" s="138"/>
      <c r="B157" s="144"/>
      <c r="C157" s="85" t="s">
        <v>301</v>
      </c>
      <c r="D157" s="109" t="s">
        <v>179</v>
      </c>
      <c r="E157" s="106" t="s">
        <v>74</v>
      </c>
      <c r="F157" s="16"/>
      <c r="G157" s="12" t="s">
        <v>180</v>
      </c>
      <c r="H157" s="15"/>
      <c r="I157" s="15"/>
      <c r="J157" s="13"/>
      <c r="K157" s="15"/>
      <c r="L157" s="13"/>
      <c r="M157" s="17">
        <v>1</v>
      </c>
      <c r="N157" s="17">
        <v>1</v>
      </c>
      <c r="O157" s="17"/>
      <c r="P157" s="17"/>
      <c r="Q157" s="17">
        <v>1</v>
      </c>
      <c r="R157" s="17"/>
      <c r="S157" s="15"/>
      <c r="T157" s="26">
        <v>45895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38"/>
      <c r="B158" s="144"/>
      <c r="C158" s="85" t="s">
        <v>302</v>
      </c>
      <c r="D158" s="109" t="s">
        <v>179</v>
      </c>
      <c r="E158" s="106" t="s">
        <v>40</v>
      </c>
      <c r="F158" s="16"/>
      <c r="G158" s="12" t="s">
        <v>180</v>
      </c>
      <c r="H158" s="13"/>
      <c r="I158" s="15"/>
      <c r="J158" s="13"/>
      <c r="K158" s="15"/>
      <c r="L158" s="13"/>
      <c r="M158" s="17"/>
      <c r="N158" s="17"/>
      <c r="O158" s="17">
        <v>1</v>
      </c>
      <c r="P158" s="17">
        <v>1</v>
      </c>
      <c r="Q158" s="17"/>
      <c r="R158" s="17">
        <v>1</v>
      </c>
      <c r="S158" s="15"/>
      <c r="T158" s="26">
        <v>45902</v>
      </c>
      <c r="U158" s="13" t="s">
        <v>148</v>
      </c>
      <c r="V158">
        <v>6</v>
      </c>
      <c r="AA158" s="49" t="s">
        <v>85</v>
      </c>
      <c r="AB158" s="50" t="s">
        <v>43</v>
      </c>
    </row>
    <row r="159" spans="1:28" x14ac:dyDescent="0.4">
      <c r="A159" s="138"/>
      <c r="B159" s="144"/>
      <c r="C159" s="85" t="s">
        <v>303</v>
      </c>
      <c r="D159" s="109" t="s">
        <v>179</v>
      </c>
      <c r="E159" s="106" t="s">
        <v>40</v>
      </c>
      <c r="F159" s="16"/>
      <c r="G159" s="12" t="s">
        <v>180</v>
      </c>
      <c r="H159" s="15"/>
      <c r="I159" s="15"/>
      <c r="J159" s="13"/>
      <c r="K159" s="15"/>
      <c r="L159" s="13"/>
      <c r="M159" s="17"/>
      <c r="N159" s="17"/>
      <c r="O159" s="17">
        <v>1</v>
      </c>
      <c r="P159" s="17">
        <v>1</v>
      </c>
      <c r="Q159" s="17"/>
      <c r="R159" s="17"/>
      <c r="S159" s="15"/>
      <c r="T159" s="26">
        <v>45908</v>
      </c>
      <c r="U159" s="13" t="s">
        <v>148</v>
      </c>
      <c r="V159">
        <v>7</v>
      </c>
      <c r="AA159" s="49" t="s">
        <v>86</v>
      </c>
      <c r="AB159" s="50" t="s">
        <v>45</v>
      </c>
    </row>
    <row r="160" spans="1:28" x14ac:dyDescent="0.4">
      <c r="A160" s="138"/>
      <c r="B160" s="144"/>
      <c r="C160" s="85" t="s">
        <v>305</v>
      </c>
      <c r="D160" s="106" t="s">
        <v>304</v>
      </c>
      <c r="E160" s="106" t="s">
        <v>75</v>
      </c>
      <c r="F160" s="16"/>
      <c r="G160" s="12" t="s">
        <v>180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5">
        <v>45897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38"/>
      <c r="B161" s="144"/>
      <c r="C161" s="85" t="s">
        <v>306</v>
      </c>
      <c r="D161" s="106" t="s">
        <v>304</v>
      </c>
      <c r="E161" s="106" t="s">
        <v>37</v>
      </c>
      <c r="F161" s="16"/>
      <c r="G161" s="12" t="s">
        <v>180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45897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38"/>
      <c r="B162" s="144"/>
      <c r="C162" s="85" t="s">
        <v>307</v>
      </c>
      <c r="D162" s="106" t="s">
        <v>293</v>
      </c>
      <c r="E162" s="106" t="s">
        <v>37</v>
      </c>
      <c r="F162" s="106"/>
      <c r="G162" s="12" t="s">
        <v>180</v>
      </c>
      <c r="H162" s="15"/>
      <c r="I162" s="15"/>
      <c r="J162" s="13"/>
      <c r="K162" s="15"/>
      <c r="L162" s="13"/>
      <c r="M162" s="17">
        <v>1</v>
      </c>
      <c r="N162" s="17">
        <v>1</v>
      </c>
      <c r="O162" s="17"/>
      <c r="P162" s="17"/>
      <c r="Q162" s="17">
        <v>1</v>
      </c>
      <c r="R162" s="17"/>
      <c r="S162" s="15"/>
      <c r="T162" s="25">
        <v>45897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38"/>
      <c r="B163" s="144"/>
      <c r="C163" s="85" t="s">
        <v>308</v>
      </c>
      <c r="D163" s="106" t="s">
        <v>293</v>
      </c>
      <c r="E163" s="106" t="s">
        <v>37</v>
      </c>
      <c r="F163" s="16"/>
      <c r="G163" s="12" t="s">
        <v>180</v>
      </c>
      <c r="H163" s="15"/>
      <c r="I163" s="15"/>
      <c r="J163" s="15"/>
      <c r="K163" s="15"/>
      <c r="L163" s="17"/>
      <c r="M163" s="17">
        <v>1</v>
      </c>
      <c r="N163" s="17">
        <v>1</v>
      </c>
      <c r="O163" s="17"/>
      <c r="P163" s="17"/>
      <c r="Q163" s="17">
        <v>1</v>
      </c>
      <c r="R163" s="17"/>
      <c r="S163" s="15"/>
      <c r="T163" s="25">
        <v>45897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38"/>
      <c r="B164" s="144"/>
      <c r="C164" s="85" t="s">
        <v>309</v>
      </c>
      <c r="D164" s="106" t="s">
        <v>286</v>
      </c>
      <c r="E164" s="106" t="s">
        <v>75</v>
      </c>
      <c r="F164" s="16"/>
      <c r="G164" s="12" t="s">
        <v>180</v>
      </c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>
        <v>45901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38"/>
      <c r="B165" s="144"/>
      <c r="C165" s="85" t="s">
        <v>310</v>
      </c>
      <c r="D165" s="106" t="s">
        <v>286</v>
      </c>
      <c r="E165" s="106" t="s">
        <v>74</v>
      </c>
      <c r="F165" s="16"/>
      <c r="G165" s="12" t="s">
        <v>180</v>
      </c>
      <c r="H165" s="15"/>
      <c r="I165" s="15"/>
      <c r="J165" s="15"/>
      <c r="K165" s="15"/>
      <c r="L165" s="17"/>
      <c r="M165" s="17">
        <v>1</v>
      </c>
      <c r="N165" s="17">
        <v>1</v>
      </c>
      <c r="O165" s="17"/>
      <c r="P165" s="17"/>
      <c r="Q165" s="17">
        <v>1</v>
      </c>
      <c r="R165" s="17"/>
      <c r="S165" s="15"/>
      <c r="T165" s="25">
        <v>45901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38"/>
      <c r="B166" s="144"/>
      <c r="C166" s="85"/>
      <c r="D166" s="106"/>
      <c r="E166" s="106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38"/>
      <c r="B167" s="144"/>
      <c r="C167" s="85"/>
      <c r="D167" s="106"/>
      <c r="E167" s="106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38"/>
      <c r="B168" s="144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38"/>
      <c r="B169" s="14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8"/>
      <c r="B170" s="14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8"/>
      <c r="B171" s="14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8"/>
      <c r="B172" s="14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8"/>
      <c r="B173" s="14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8"/>
      <c r="B174" s="14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8"/>
      <c r="B175" s="14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8"/>
      <c r="B176" s="14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9"/>
      <c r="B177" s="14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13</v>
      </c>
      <c r="D178" s="112"/>
      <c r="E178" s="29"/>
      <c r="F178" s="29" t="s">
        <v>34</v>
      </c>
      <c r="G178" s="29">
        <f>COUNTIF(G153:G177,"S")</f>
        <v>13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2</v>
      </c>
      <c r="K178" s="29">
        <f t="shared" ref="K178" si="24">SUM(K153:K177)</f>
        <v>2</v>
      </c>
      <c r="L178" s="29">
        <f t="shared" ref="L178" si="25">SUM(L153:L177)</f>
        <v>0</v>
      </c>
      <c r="M178" s="29">
        <f t="shared" ref="M178" si="26">SUM(M153:M177)</f>
        <v>4</v>
      </c>
      <c r="N178" s="29">
        <f t="shared" ref="N178" si="27">SUM(N153:N177)</f>
        <v>6</v>
      </c>
      <c r="O178" s="29">
        <f t="shared" ref="O178" si="28">SUM(O153:O177)</f>
        <v>3</v>
      </c>
      <c r="P178" s="29">
        <f t="shared" ref="P178" si="29">SUM(P153:P177)</f>
        <v>3</v>
      </c>
      <c r="Q178" s="29">
        <f t="shared" ref="Q178" si="30">SUM(Q153:Q177)</f>
        <v>5</v>
      </c>
      <c r="R178" s="29">
        <f t="shared" ref="R178" si="31">SUM(R153:R177)</f>
        <v>2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27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186</v>
      </c>
      <c r="B181" s="24">
        <v>45841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5" t="s">
        <v>114</v>
      </c>
      <c r="Y182" s="136"/>
    </row>
    <row r="183" spans="1:28" ht="20.25" thickTop="1" thickBot="1" x14ac:dyDescent="0.45">
      <c r="A183" s="137">
        <v>7</v>
      </c>
      <c r="B183" s="143"/>
      <c r="C183" s="85"/>
      <c r="D183" s="110"/>
      <c r="E183" s="18"/>
      <c r="F183" s="16"/>
      <c r="G183" s="18"/>
      <c r="H183" s="15"/>
      <c r="I183" s="15"/>
      <c r="J183" s="18"/>
      <c r="K183" s="15"/>
      <c r="L183" s="19"/>
      <c r="M183" s="19"/>
      <c r="N183" s="19"/>
      <c r="O183" s="19"/>
      <c r="P183" s="19"/>
      <c r="Q183" s="19"/>
      <c r="R183" s="19"/>
      <c r="S183" s="15"/>
      <c r="T183" s="25"/>
      <c r="U183" s="15"/>
      <c r="V183">
        <v>1</v>
      </c>
      <c r="X183" s="51" t="s">
        <v>106</v>
      </c>
      <c r="Y183" s="52">
        <f>COUNTIF(U183:U207,"K")</f>
        <v>0</v>
      </c>
      <c r="AA183" s="59" t="s">
        <v>120</v>
      </c>
      <c r="AB183" s="60" t="s">
        <v>121</v>
      </c>
    </row>
    <row r="184" spans="1:28" x14ac:dyDescent="0.4">
      <c r="A184" s="138"/>
      <c r="B184" s="144"/>
      <c r="C184" s="85"/>
      <c r="D184" s="110"/>
      <c r="E184" s="18"/>
      <c r="F184" s="16"/>
      <c r="G184" s="18"/>
      <c r="H184" s="15"/>
      <c r="I184" s="15"/>
      <c r="J184" s="18"/>
      <c r="K184" s="15"/>
      <c r="L184" s="19"/>
      <c r="M184" s="19"/>
      <c r="N184" s="19"/>
      <c r="O184" s="19"/>
      <c r="P184" s="19"/>
      <c r="Q184" s="19"/>
      <c r="R184" s="19"/>
      <c r="S184" s="15"/>
      <c r="T184" s="25"/>
      <c r="U184" s="15"/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38"/>
      <c r="B185" s="144"/>
      <c r="C185" s="85"/>
      <c r="D185" s="110"/>
      <c r="E185" s="18"/>
      <c r="F185" s="16"/>
      <c r="G185" s="18"/>
      <c r="H185" s="15"/>
      <c r="I185" s="15"/>
      <c r="J185" s="18"/>
      <c r="K185" s="15"/>
      <c r="L185" s="19"/>
      <c r="M185" s="17"/>
      <c r="N185" s="17"/>
      <c r="O185" s="17"/>
      <c r="P185" s="17"/>
      <c r="Q185" s="17"/>
      <c r="R185" s="17"/>
      <c r="S185" s="15"/>
      <c r="T185" s="25"/>
      <c r="U185" s="15"/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38"/>
      <c r="B186" s="144"/>
      <c r="C186" s="85"/>
      <c r="D186" s="110"/>
      <c r="E186" s="18"/>
      <c r="F186" s="16"/>
      <c r="G186" s="18"/>
      <c r="H186" s="15"/>
      <c r="I186" s="15"/>
      <c r="J186" s="18"/>
      <c r="K186" s="15"/>
      <c r="L186" s="19"/>
      <c r="M186" s="17"/>
      <c r="N186" s="17"/>
      <c r="O186" s="17"/>
      <c r="P186" s="17"/>
      <c r="Q186" s="17"/>
      <c r="R186" s="17"/>
      <c r="S186" s="15"/>
      <c r="T186" s="25"/>
      <c r="U186" s="15"/>
      <c r="V186">
        <v>4</v>
      </c>
      <c r="AA186" s="49" t="s">
        <v>83</v>
      </c>
      <c r="AB186" s="50" t="s">
        <v>38</v>
      </c>
    </row>
    <row r="187" spans="1:28" x14ac:dyDescent="0.4">
      <c r="A187" s="138"/>
      <c r="B187" s="144"/>
      <c r="C187" s="85"/>
      <c r="D187" s="110"/>
      <c r="E187" s="18"/>
      <c r="F187" s="16"/>
      <c r="G187" s="18"/>
      <c r="H187" s="15"/>
      <c r="I187" s="15"/>
      <c r="J187" s="18"/>
      <c r="K187" s="15"/>
      <c r="L187" s="19"/>
      <c r="M187" s="17"/>
      <c r="N187" s="17"/>
      <c r="O187" s="17"/>
      <c r="P187" s="17"/>
      <c r="Q187" s="17"/>
      <c r="R187" s="17"/>
      <c r="S187" s="15"/>
      <c r="T187" s="25"/>
      <c r="U187" s="15"/>
      <c r="V187">
        <v>5</v>
      </c>
      <c r="AA187" s="49" t="s">
        <v>84</v>
      </c>
      <c r="AB187" s="50" t="s">
        <v>44</v>
      </c>
    </row>
    <row r="188" spans="1:28" x14ac:dyDescent="0.4">
      <c r="A188" s="138"/>
      <c r="B188" s="144"/>
      <c r="C188" s="85"/>
      <c r="D188" s="110"/>
      <c r="E188" s="18"/>
      <c r="F188" s="16"/>
      <c r="G188" s="18"/>
      <c r="H188" s="13"/>
      <c r="I188" s="15"/>
      <c r="J188" s="18"/>
      <c r="K188" s="15"/>
      <c r="L188" s="19"/>
      <c r="M188" s="17"/>
      <c r="N188" s="17"/>
      <c r="O188" s="17"/>
      <c r="P188" s="17"/>
      <c r="Q188" s="17"/>
      <c r="R188" s="17"/>
      <c r="S188" s="15"/>
      <c r="T188" s="25"/>
      <c r="U188" s="15"/>
      <c r="V188">
        <v>6</v>
      </c>
      <c r="AA188" s="49" t="s">
        <v>85</v>
      </c>
      <c r="AB188" s="50" t="s">
        <v>43</v>
      </c>
    </row>
    <row r="189" spans="1:28" x14ac:dyDescent="0.4">
      <c r="A189" s="138"/>
      <c r="B189" s="144"/>
      <c r="C189" s="85"/>
      <c r="D189" s="110"/>
      <c r="E189" s="18"/>
      <c r="F189" s="16"/>
      <c r="G189" s="18"/>
      <c r="H189" s="15"/>
      <c r="I189" s="15"/>
      <c r="J189" s="18"/>
      <c r="K189" s="15"/>
      <c r="L189" s="19"/>
      <c r="M189" s="17"/>
      <c r="N189" s="17"/>
      <c r="O189" s="17"/>
      <c r="P189" s="17"/>
      <c r="Q189" s="17"/>
      <c r="R189" s="17"/>
      <c r="S189" s="15"/>
      <c r="T189" s="25"/>
      <c r="U189" s="15"/>
      <c r="V189">
        <v>7</v>
      </c>
      <c r="AA189" s="49" t="s">
        <v>86</v>
      </c>
      <c r="AB189" s="50" t="s">
        <v>45</v>
      </c>
    </row>
    <row r="190" spans="1:28" x14ac:dyDescent="0.4">
      <c r="A190" s="138"/>
      <c r="B190" s="144"/>
      <c r="C190" s="85"/>
      <c r="D190" s="110"/>
      <c r="E190" s="18"/>
      <c r="F190" s="16"/>
      <c r="G190" s="18"/>
      <c r="H190" s="15"/>
      <c r="I190" s="15"/>
      <c r="J190" s="18"/>
      <c r="K190" s="15"/>
      <c r="L190" s="19"/>
      <c r="M190" s="17"/>
      <c r="N190" s="17"/>
      <c r="O190" s="17"/>
      <c r="P190" s="17"/>
      <c r="Q190" s="17"/>
      <c r="R190" s="17"/>
      <c r="S190" s="15"/>
      <c r="T190" s="25"/>
      <c r="U190" s="15"/>
      <c r="V190">
        <v>8</v>
      </c>
      <c r="AA190" s="49" t="s">
        <v>87</v>
      </c>
      <c r="AB190" s="50" t="s">
        <v>37</v>
      </c>
    </row>
    <row r="191" spans="1:28" x14ac:dyDescent="0.4">
      <c r="A191" s="138"/>
      <c r="B191" s="144"/>
      <c r="C191" s="85"/>
      <c r="D191" s="110"/>
      <c r="E191" s="18"/>
      <c r="F191" s="16"/>
      <c r="G191" s="18"/>
      <c r="H191" s="15"/>
      <c r="I191" s="15"/>
      <c r="J191" s="18"/>
      <c r="K191" s="15"/>
      <c r="L191" s="19"/>
      <c r="M191" s="17"/>
      <c r="N191" s="17"/>
      <c r="O191" s="17"/>
      <c r="P191" s="17"/>
      <c r="Q191" s="17"/>
      <c r="R191" s="17"/>
      <c r="S191" s="15"/>
      <c r="T191" s="25"/>
      <c r="U191" s="15"/>
      <c r="V191">
        <v>9</v>
      </c>
      <c r="AA191" s="49" t="s">
        <v>88</v>
      </c>
      <c r="AB191" s="50" t="s">
        <v>74</v>
      </c>
    </row>
    <row r="192" spans="1:28" x14ac:dyDescent="0.4">
      <c r="A192" s="138"/>
      <c r="B192" s="144"/>
      <c r="C192" s="85"/>
      <c r="D192" s="106"/>
      <c r="E192" s="13"/>
      <c r="F192" s="16"/>
      <c r="G192" s="18"/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38"/>
      <c r="B193" s="144"/>
      <c r="C193" s="85"/>
      <c r="D193" s="106"/>
      <c r="E193" s="13"/>
      <c r="F193" s="16"/>
      <c r="G193" s="18"/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38"/>
      <c r="B194" s="144"/>
      <c r="C194" s="85"/>
      <c r="D194" s="106"/>
      <c r="E194" s="13"/>
      <c r="F194" s="16"/>
      <c r="G194" s="18"/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38"/>
      <c r="B195" s="144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38"/>
      <c r="B196" s="144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38"/>
      <c r="B197" s="144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38"/>
      <c r="B198" s="144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8"/>
      <c r="B199" s="144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8"/>
      <c r="B200" s="144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8"/>
      <c r="B201" s="14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8"/>
      <c r="B202" s="14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8"/>
      <c r="B203" s="14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8"/>
      <c r="B204" s="14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8"/>
      <c r="B205" s="14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8"/>
      <c r="B206" s="14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9"/>
      <c r="B207" s="14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0</v>
      </c>
      <c r="D208" s="112"/>
      <c r="E208" s="29"/>
      <c r="F208" s="29" t="s">
        <v>34</v>
      </c>
      <c r="G208" s="29">
        <f>COUNTIF(G183:G207,"S")</f>
        <v>0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0</v>
      </c>
      <c r="K208" s="29">
        <f t="shared" ref="K208" si="34">SUM(K183:K207)</f>
        <v>0</v>
      </c>
      <c r="L208" s="29">
        <f t="shared" ref="L208" si="35">SUM(L183:L207)</f>
        <v>0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0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0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AYG115</v>
      </c>
      <c r="B211" s="24">
        <f>B1</f>
        <v>45862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5" t="s">
        <v>113</v>
      </c>
      <c r="Y212" s="136"/>
    </row>
    <row r="213" spans="1:28" ht="20.25" thickTop="1" thickBot="1" x14ac:dyDescent="0.45">
      <c r="A213" s="137">
        <v>8</v>
      </c>
      <c r="B213" s="143"/>
      <c r="C213" s="85"/>
      <c r="D213" s="106"/>
      <c r="E213" s="15"/>
      <c r="F213" s="16"/>
      <c r="G213" s="15"/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/>
      <c r="T213" s="25"/>
      <c r="U213" s="15"/>
      <c r="V213">
        <v>1</v>
      </c>
      <c r="X213" s="51" t="s">
        <v>106</v>
      </c>
      <c r="Y213" s="52">
        <f>COUNTIF(U213:U237,"K")</f>
        <v>0</v>
      </c>
      <c r="AA213" s="59" t="s">
        <v>120</v>
      </c>
      <c r="AB213" s="60" t="s">
        <v>121</v>
      </c>
    </row>
    <row r="214" spans="1:28" x14ac:dyDescent="0.4">
      <c r="A214" s="138"/>
      <c r="B214" s="144"/>
      <c r="C214" s="85"/>
      <c r="D214" s="106"/>
      <c r="E214" s="15"/>
      <c r="F214" s="16"/>
      <c r="G214" s="15"/>
      <c r="H214" s="15"/>
      <c r="I214" s="15"/>
      <c r="J214" s="15"/>
      <c r="K214" s="15"/>
      <c r="L214" s="19"/>
      <c r="M214" s="19"/>
      <c r="N214" s="19"/>
      <c r="O214" s="19"/>
      <c r="P214" s="19"/>
      <c r="Q214" s="19"/>
      <c r="R214" s="19"/>
      <c r="S214" s="15"/>
      <c r="T214" s="25"/>
      <c r="U214" s="15"/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38"/>
      <c r="B215" s="144"/>
      <c r="C215" s="85"/>
      <c r="D215" s="106"/>
      <c r="E215" s="15"/>
      <c r="F215" s="16"/>
      <c r="G215" s="15"/>
      <c r="H215" s="15"/>
      <c r="I215" s="15"/>
      <c r="J215" s="18"/>
      <c r="K215" s="15"/>
      <c r="L215" s="19"/>
      <c r="M215" s="19"/>
      <c r="N215" s="19"/>
      <c r="O215" s="19"/>
      <c r="P215" s="19"/>
      <c r="Q215" s="19"/>
      <c r="R215" s="19"/>
      <c r="S215" s="15"/>
      <c r="T215" s="25"/>
      <c r="U215" s="15"/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38"/>
      <c r="B216" s="144"/>
      <c r="C216" s="85"/>
      <c r="D216" s="106"/>
      <c r="E216" s="15"/>
      <c r="F216" s="16"/>
      <c r="G216" s="15"/>
      <c r="H216" s="15"/>
      <c r="I216" s="15"/>
      <c r="J216" s="18"/>
      <c r="K216" s="15"/>
      <c r="L216" s="19"/>
      <c r="M216" s="19"/>
      <c r="N216" s="19"/>
      <c r="O216" s="19"/>
      <c r="P216" s="19"/>
      <c r="Q216" s="19"/>
      <c r="R216" s="19"/>
      <c r="S216" s="15"/>
      <c r="T216" s="25"/>
      <c r="U216" s="15"/>
      <c r="V216">
        <v>4</v>
      </c>
      <c r="AA216" s="49" t="s">
        <v>83</v>
      </c>
      <c r="AB216" s="50" t="s">
        <v>38</v>
      </c>
    </row>
    <row r="217" spans="1:28" x14ac:dyDescent="0.4">
      <c r="A217" s="138"/>
      <c r="B217" s="144"/>
      <c r="C217" s="85"/>
      <c r="D217" s="106"/>
      <c r="E217" s="15"/>
      <c r="F217" s="16"/>
      <c r="G217" s="15"/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/>
      <c r="T217" s="25"/>
      <c r="U217" s="15"/>
      <c r="V217">
        <v>5</v>
      </c>
      <c r="AA217" s="49" t="s">
        <v>84</v>
      </c>
      <c r="AB217" s="50" t="s">
        <v>44</v>
      </c>
    </row>
    <row r="218" spans="1:28" x14ac:dyDescent="0.4">
      <c r="A218" s="138"/>
      <c r="B218" s="144"/>
      <c r="C218" s="85"/>
      <c r="D218" s="106"/>
      <c r="E218" s="15"/>
      <c r="F218" s="16"/>
      <c r="G218" s="15"/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/>
      <c r="U218" s="15"/>
      <c r="V218">
        <v>6</v>
      </c>
      <c r="AA218" s="49" t="s">
        <v>85</v>
      </c>
      <c r="AB218" s="50" t="s">
        <v>43</v>
      </c>
    </row>
    <row r="219" spans="1:28" x14ac:dyDescent="0.4">
      <c r="A219" s="138"/>
      <c r="B219" s="144"/>
      <c r="C219" s="85"/>
      <c r="D219" s="106"/>
      <c r="E219" s="15"/>
      <c r="F219" s="17"/>
      <c r="G219" s="15"/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/>
      <c r="U219" s="15"/>
      <c r="V219">
        <v>7</v>
      </c>
      <c r="AA219" s="49" t="s">
        <v>86</v>
      </c>
      <c r="AB219" s="50" t="s">
        <v>45</v>
      </c>
    </row>
    <row r="220" spans="1:28" x14ac:dyDescent="0.4">
      <c r="A220" s="138"/>
      <c r="B220" s="144"/>
      <c r="C220" s="85"/>
      <c r="D220" s="106"/>
      <c r="E220" s="15"/>
      <c r="F220" s="16"/>
      <c r="G220" s="15"/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/>
      <c r="T220" s="25"/>
      <c r="U220" s="15"/>
      <c r="V220">
        <v>8</v>
      </c>
      <c r="AA220" s="49" t="s">
        <v>87</v>
      </c>
      <c r="AB220" s="50" t="s">
        <v>37</v>
      </c>
    </row>
    <row r="221" spans="1:28" x14ac:dyDescent="0.4">
      <c r="A221" s="138"/>
      <c r="B221" s="144"/>
      <c r="C221" s="85"/>
      <c r="D221" s="106"/>
      <c r="E221" s="15"/>
      <c r="F221" s="16"/>
      <c r="G221" s="15"/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38"/>
      <c r="B222" s="144"/>
      <c r="C222" s="85"/>
      <c r="D222" s="106"/>
      <c r="E222" s="15"/>
      <c r="F222" s="106"/>
      <c r="G222" s="15"/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38"/>
      <c r="B223" s="144"/>
      <c r="C223" s="85"/>
      <c r="D223" s="106"/>
      <c r="E223" s="106"/>
      <c r="F223" s="16"/>
      <c r="G223" s="12"/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/>
      <c r="U223" s="13"/>
      <c r="V223">
        <v>11</v>
      </c>
      <c r="AA223" s="49" t="s">
        <v>90</v>
      </c>
      <c r="AB223" s="50" t="s">
        <v>58</v>
      </c>
    </row>
    <row r="224" spans="1:28" x14ac:dyDescent="0.4">
      <c r="A224" s="138"/>
      <c r="B224" s="144"/>
      <c r="C224" s="85"/>
      <c r="D224" s="106"/>
      <c r="E224" s="106"/>
      <c r="F224" s="16"/>
      <c r="G224" s="12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3"/>
      <c r="V224">
        <v>12</v>
      </c>
      <c r="AA224" s="49" t="s">
        <v>91</v>
      </c>
      <c r="AB224" s="50" t="s">
        <v>75</v>
      </c>
    </row>
    <row r="225" spans="1:28" x14ac:dyDescent="0.4">
      <c r="A225" s="138"/>
      <c r="B225" s="144"/>
      <c r="C225" s="85"/>
      <c r="D225" s="106"/>
      <c r="E225" s="106"/>
      <c r="F225" s="16"/>
      <c r="G225" s="12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3"/>
      <c r="V225">
        <v>13</v>
      </c>
      <c r="AA225" s="49" t="s">
        <v>92</v>
      </c>
      <c r="AB225" s="50" t="s">
        <v>40</v>
      </c>
    </row>
    <row r="226" spans="1:28" x14ac:dyDescent="0.4">
      <c r="A226" s="138"/>
      <c r="B226" s="144"/>
      <c r="C226" s="85"/>
      <c r="D226" s="106"/>
      <c r="E226" s="106"/>
      <c r="F226" s="16"/>
      <c r="G226" s="12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3"/>
      <c r="V226">
        <v>14</v>
      </c>
      <c r="AA226" s="49" t="s">
        <v>93</v>
      </c>
      <c r="AB226" s="50" t="s">
        <v>57</v>
      </c>
    </row>
    <row r="227" spans="1:28" x14ac:dyDescent="0.4">
      <c r="A227" s="138"/>
      <c r="B227" s="144"/>
      <c r="C227" s="85"/>
      <c r="D227" s="106"/>
      <c r="E227" s="106"/>
      <c r="F227" s="16"/>
      <c r="G227" s="12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38"/>
      <c r="B228" s="144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38"/>
      <c r="B229" s="144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38"/>
      <c r="B230" s="144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8"/>
      <c r="B231" s="14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8"/>
      <c r="B232" s="14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8"/>
      <c r="B233" s="14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8"/>
      <c r="B234" s="14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8"/>
      <c r="B235" s="14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8"/>
      <c r="B236" s="14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9"/>
      <c r="B237" s="14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0</v>
      </c>
      <c r="D238" s="112"/>
      <c r="E238" s="29"/>
      <c r="F238" s="29" t="s">
        <v>34</v>
      </c>
      <c r="G238" s="29">
        <f>COUNTIF(G213:G237,"S")</f>
        <v>0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0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AYG115</v>
      </c>
      <c r="B241" s="24">
        <f>B1</f>
        <v>45862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9" t="s">
        <v>112</v>
      </c>
      <c r="Y242" s="149"/>
    </row>
    <row r="243" spans="1:28" ht="20.25" thickTop="1" thickBot="1" x14ac:dyDescent="0.45">
      <c r="A243" s="137">
        <v>9</v>
      </c>
      <c r="B243" s="143"/>
      <c r="C243" s="85"/>
      <c r="D243" s="106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38"/>
      <c r="B244" s="144"/>
      <c r="C244" s="85"/>
      <c r="D244" s="106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38"/>
      <c r="B245" s="144"/>
      <c r="C245" s="85"/>
      <c r="D245" s="106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38"/>
      <c r="B246" s="144"/>
      <c r="C246" s="85"/>
      <c r="D246" s="106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38"/>
      <c r="B247" s="144"/>
      <c r="C247" s="85"/>
      <c r="D247" s="106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38"/>
      <c r="B248" s="144"/>
      <c r="C248" s="85"/>
      <c r="D248" s="106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4"/>
      <c r="V248">
        <v>6</v>
      </c>
      <c r="AA248" s="49" t="s">
        <v>85</v>
      </c>
      <c r="AB248" s="50" t="s">
        <v>43</v>
      </c>
    </row>
    <row r="249" spans="1:28" x14ac:dyDescent="0.4">
      <c r="A249" s="138"/>
      <c r="B249" s="144"/>
      <c r="C249" s="85"/>
      <c r="D249" s="106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38"/>
      <c r="B250" s="144"/>
      <c r="C250" s="85"/>
      <c r="D250" s="106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38"/>
      <c r="B251" s="144"/>
      <c r="C251" s="85"/>
      <c r="D251" s="106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38"/>
      <c r="B252" s="144"/>
      <c r="C252" s="85"/>
      <c r="D252" s="106"/>
      <c r="E252" s="106"/>
      <c r="F252" s="106"/>
      <c r="G252" s="12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38"/>
      <c r="B253" s="144"/>
      <c r="C253" s="85"/>
      <c r="D253" s="106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38"/>
      <c r="B254" s="144"/>
      <c r="C254" s="85"/>
      <c r="D254" s="106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38"/>
      <c r="B255" s="144"/>
      <c r="C255" s="85"/>
      <c r="D255" s="106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38"/>
      <c r="B256" s="144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38"/>
      <c r="B257" s="144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38"/>
      <c r="B258" s="144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38"/>
      <c r="B259" s="144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38"/>
      <c r="B260" s="144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8"/>
      <c r="B261" s="144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8"/>
      <c r="B262" s="144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8"/>
      <c r="B263" s="144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8"/>
      <c r="B264" s="144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8"/>
      <c r="B265" s="14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8"/>
      <c r="B266" s="14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9"/>
      <c r="B267" s="14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0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AYG115</v>
      </c>
      <c r="B271" s="24">
        <f>B1</f>
        <v>45862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5" t="s">
        <v>111</v>
      </c>
      <c r="Y272" s="136"/>
    </row>
    <row r="273" spans="1:28" ht="20.25" thickTop="1" thickBot="1" x14ac:dyDescent="0.45">
      <c r="A273" s="137">
        <v>10</v>
      </c>
      <c r="B273" s="143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38"/>
      <c r="B274" s="144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38"/>
      <c r="B275" s="144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38"/>
      <c r="B276" s="144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38"/>
      <c r="B277" s="144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38"/>
      <c r="B278" s="144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38"/>
      <c r="B279" s="144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38"/>
      <c r="B280" s="144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38"/>
      <c r="B281" s="144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38"/>
      <c r="B282" s="144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38"/>
      <c r="B283" s="144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38"/>
      <c r="B284" s="144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38"/>
      <c r="B285" s="144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38"/>
      <c r="B286" s="144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38"/>
      <c r="B287" s="144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38"/>
      <c r="B288" s="144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38"/>
      <c r="B289" s="14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8"/>
      <c r="B290" s="14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8"/>
      <c r="B291" s="14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8"/>
      <c r="B292" s="14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8"/>
      <c r="B293" s="14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8"/>
      <c r="B294" s="14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8"/>
      <c r="B295" s="14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8"/>
      <c r="B296" s="14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9"/>
      <c r="B297" s="14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AYG115</v>
      </c>
      <c r="B301" s="24">
        <f>B1</f>
        <v>45862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5" t="s">
        <v>110</v>
      </c>
      <c r="Y302" s="136"/>
    </row>
    <row r="303" spans="1:28" ht="20.25" thickTop="1" thickBot="1" x14ac:dyDescent="0.45">
      <c r="A303" s="137">
        <v>11</v>
      </c>
      <c r="B303" s="143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38"/>
      <c r="B304" s="144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8"/>
      <c r="B305" s="144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8"/>
      <c r="B306" s="144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38"/>
      <c r="B307" s="144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8"/>
      <c r="B308" s="144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8"/>
      <c r="B309" s="144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8"/>
      <c r="B310" s="144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8"/>
      <c r="B311" s="144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8"/>
      <c r="B312" s="144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8"/>
      <c r="B313" s="144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8"/>
      <c r="B314" s="144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8"/>
      <c r="B315" s="144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8"/>
      <c r="B316" s="144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8"/>
      <c r="B317" s="144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8"/>
      <c r="B318" s="14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8"/>
      <c r="B319" s="144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8"/>
      <c r="B320" s="144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8"/>
      <c r="B321" s="14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8"/>
      <c r="B322" s="14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8"/>
      <c r="B323" s="14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8"/>
      <c r="B324" s="14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8"/>
      <c r="B325" s="14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8"/>
      <c r="B326" s="14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9"/>
      <c r="B327" s="14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AYG115</v>
      </c>
      <c r="B331" s="24">
        <f>B151</f>
        <v>45862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5" t="s">
        <v>109</v>
      </c>
      <c r="Y332" s="136"/>
    </row>
    <row r="333" spans="1:28" ht="20.25" thickTop="1" thickBot="1" x14ac:dyDescent="0.45">
      <c r="A333" s="137">
        <v>12</v>
      </c>
      <c r="B333" s="143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8"/>
      <c r="B334" s="144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8"/>
      <c r="B335" s="144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8"/>
      <c r="B336" s="144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8"/>
      <c r="B337" s="144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8"/>
      <c r="B338" s="144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8"/>
      <c r="B339" s="144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8"/>
      <c r="B340" s="144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8"/>
      <c r="B341" s="144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8"/>
      <c r="B342" s="144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8"/>
      <c r="B343" s="144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8"/>
      <c r="B344" s="144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8"/>
      <c r="B345" s="144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8"/>
      <c r="B346" s="14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8"/>
      <c r="B347" s="14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8"/>
      <c r="B348" s="14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8"/>
      <c r="B349" s="14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8"/>
      <c r="B350" s="14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8"/>
      <c r="B351" s="14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8"/>
      <c r="B352" s="14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8"/>
      <c r="B353" s="14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8"/>
      <c r="B354" s="14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8"/>
      <c r="B355" s="14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8"/>
      <c r="B356" s="14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9"/>
      <c r="B357" s="14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5" t="s">
        <v>138</v>
      </c>
      <c r="Y362" s="136"/>
    </row>
    <row r="363" spans="1:28" ht="19.5" thickTop="1" x14ac:dyDescent="0.4">
      <c r="A363" s="137">
        <v>13</v>
      </c>
      <c r="B363" s="143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8"/>
      <c r="B364" s="144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8"/>
      <c r="B365" s="144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8"/>
      <c r="B366" s="144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8"/>
      <c r="B367" s="144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8"/>
      <c r="B368" s="144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8"/>
      <c r="B369" s="144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8"/>
      <c r="B370" s="144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8"/>
      <c r="B371" s="144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8"/>
      <c r="B372" s="144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8"/>
      <c r="B373" s="144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8"/>
      <c r="B374" s="144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8"/>
      <c r="B375" s="144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8"/>
      <c r="B376" s="144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8"/>
      <c r="B377" s="144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8"/>
      <c r="B378" s="14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8"/>
      <c r="B379" s="14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8"/>
      <c r="B380" s="14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8"/>
      <c r="B381" s="14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8"/>
      <c r="B382" s="14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8"/>
      <c r="B383" s="14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8"/>
      <c r="B384" s="14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8"/>
      <c r="B385" s="14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8"/>
      <c r="B386" s="14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9"/>
      <c r="B387" s="14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5" t="s">
        <v>139</v>
      </c>
      <c r="Y392" s="136"/>
    </row>
    <row r="393" spans="1:25" ht="19.5" thickTop="1" x14ac:dyDescent="0.4">
      <c r="A393" s="137">
        <v>14</v>
      </c>
      <c r="B393" s="14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8"/>
      <c r="B394" s="14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8"/>
      <c r="B395" s="14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8"/>
      <c r="B396" s="14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8"/>
      <c r="B397" s="14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8"/>
      <c r="B398" s="14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8"/>
      <c r="B399" s="14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8"/>
      <c r="B400" s="14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8"/>
      <c r="B401" s="14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8"/>
      <c r="B402" s="14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8"/>
      <c r="B403" s="14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8"/>
      <c r="B404" s="14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8"/>
      <c r="B405" s="14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8"/>
      <c r="B406" s="14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8"/>
      <c r="B407" s="14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8"/>
      <c r="B408" s="14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8"/>
      <c r="B409" s="14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8"/>
      <c r="B410" s="14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8"/>
      <c r="B411" s="14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8"/>
      <c r="B412" s="14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8"/>
      <c r="B413" s="14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8"/>
      <c r="B414" s="14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8"/>
      <c r="B415" s="14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8"/>
      <c r="B416" s="14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9"/>
      <c r="B417" s="14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5" t="s">
        <v>140</v>
      </c>
      <c r="Y422" s="136"/>
    </row>
    <row r="423" spans="1:25" ht="19.5" thickTop="1" x14ac:dyDescent="0.4">
      <c r="A423" s="137">
        <v>15</v>
      </c>
      <c r="B423" s="14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8"/>
      <c r="B424" s="14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8"/>
      <c r="B425" s="14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8"/>
      <c r="B426" s="14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8"/>
      <c r="B427" s="14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8"/>
      <c r="B428" s="14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8"/>
      <c r="B429" s="14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8"/>
      <c r="B430" s="14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8"/>
      <c r="B431" s="14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8"/>
      <c r="B432" s="14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8"/>
      <c r="B433" s="14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8"/>
      <c r="B434" s="14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8"/>
      <c r="B435" s="14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8"/>
      <c r="B436" s="14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8"/>
      <c r="B437" s="14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8"/>
      <c r="B438" s="14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8"/>
      <c r="B439" s="14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8"/>
      <c r="B440" s="14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8"/>
      <c r="B441" s="14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8"/>
      <c r="B442" s="14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8"/>
      <c r="B443" s="14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8"/>
      <c r="B444" s="14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8"/>
      <c r="B445" s="14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8"/>
      <c r="B446" s="14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9"/>
      <c r="B447" s="14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5" t="s">
        <v>105</v>
      </c>
      <c r="Y451" s="136"/>
    </row>
    <row r="452" spans="1:25" ht="19.5" thickTop="1" x14ac:dyDescent="0.4">
      <c r="A452" s="137">
        <v>16</v>
      </c>
      <c r="B452" s="14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8"/>
      <c r="B453" s="14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8"/>
      <c r="B454" s="14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8"/>
      <c r="B455" s="14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8"/>
      <c r="B456" s="14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8"/>
      <c r="B457" s="14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8"/>
      <c r="B458" s="14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8"/>
      <c r="B459" s="14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8"/>
      <c r="B460" s="14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8"/>
      <c r="B461" s="14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8"/>
      <c r="B462" s="14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8"/>
      <c r="B463" s="14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8"/>
      <c r="B464" s="14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8"/>
      <c r="B465" s="14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8"/>
      <c r="B466" s="14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8"/>
      <c r="B467" s="14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8"/>
      <c r="B468" s="14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8"/>
      <c r="B469" s="14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8"/>
      <c r="B470" s="14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8"/>
      <c r="B471" s="14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8"/>
      <c r="B472" s="14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8"/>
      <c r="B473" s="14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8"/>
      <c r="B474" s="14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8"/>
      <c r="B475" s="14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9"/>
      <c r="B476" s="14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N1613"/>
  <sheetViews>
    <sheetView topLeftCell="A6" zoomScaleNormal="100" workbookViewId="0">
      <selection sqref="A1:D3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9" width="16.625" customWidth="1"/>
    <col min="40" max="40" width="11" customWidth="1"/>
    <col min="41" max="41" width="10.5" style="121" customWidth="1"/>
    <col min="42" max="42" width="10.25" style="121" customWidth="1"/>
    <col min="43" max="43" width="10.875" style="121" customWidth="1"/>
    <col min="44" max="57" width="16.625" customWidth="1"/>
    <col min="58" max="58" width="20.5" customWidth="1"/>
    <col min="63" max="63" width="12.375" customWidth="1"/>
    <col min="64" max="64" width="11.25" customWidth="1"/>
    <col min="65" max="65" width="10.5" customWidth="1"/>
    <col min="66" max="66" width="10.25" customWidth="1"/>
  </cols>
  <sheetData>
    <row r="1" spans="1:62" x14ac:dyDescent="0.4">
      <c r="A1" s="120" t="s">
        <v>311</v>
      </c>
      <c r="B1" s="121"/>
      <c r="C1" s="121"/>
      <c r="D1" s="121"/>
      <c r="W1" t="s">
        <v>143</v>
      </c>
      <c r="X1" t="s">
        <v>144</v>
      </c>
      <c r="AH1" t="s">
        <v>143</v>
      </c>
      <c r="AI1" t="s">
        <v>144</v>
      </c>
      <c r="AN1" s="120"/>
      <c r="BF1" t="s">
        <v>143</v>
      </c>
      <c r="BG1" t="s">
        <v>144</v>
      </c>
    </row>
    <row r="2" spans="1:62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W2" s="25">
        <v>45868</v>
      </c>
      <c r="X2" s="13" t="s">
        <v>146</v>
      </c>
      <c r="AH2" s="25">
        <v>45669</v>
      </c>
      <c r="AI2" s="13" t="s">
        <v>147</v>
      </c>
      <c r="AN2" s="116"/>
      <c r="AO2" s="123"/>
      <c r="AP2" s="123"/>
      <c r="AQ2" s="123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25">
        <v>45258</v>
      </c>
      <c r="BG2" s="13" t="s">
        <v>162</v>
      </c>
      <c r="BJ2" s="114"/>
    </row>
    <row r="3" spans="1:62" ht="20.100000000000001" customHeight="1" x14ac:dyDescent="0.4">
      <c r="A3" s="117">
        <v>45874</v>
      </c>
      <c r="B3" s="123"/>
      <c r="C3" s="123">
        <v>1</v>
      </c>
      <c r="D3" s="123"/>
      <c r="V3" s="115" t="s">
        <v>184</v>
      </c>
      <c r="W3" s="13">
        <f>SUBTOTAL(3,W2:W2)</f>
        <v>1</v>
      </c>
      <c r="X3" s="13">
        <f>SUBTOTAL(3,X2:X2)</f>
        <v>1</v>
      </c>
      <c r="AH3" s="25"/>
      <c r="AI3" s="13"/>
      <c r="AN3" s="116"/>
      <c r="AO3" s="123"/>
      <c r="AP3" s="123"/>
      <c r="AQ3" s="123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25"/>
      <c r="BG3" s="13"/>
      <c r="BJ3" s="114"/>
    </row>
    <row r="4" spans="1:62" ht="20.100000000000001" customHeight="1" x14ac:dyDescent="0.4">
      <c r="A4" s="117">
        <v>45875</v>
      </c>
      <c r="B4" s="123"/>
      <c r="C4" s="123">
        <v>1</v>
      </c>
      <c r="D4" s="123"/>
      <c r="T4" s="115"/>
      <c r="U4" s="115"/>
      <c r="V4" s="115"/>
      <c r="W4" s="25">
        <v>45874</v>
      </c>
      <c r="X4" s="13" t="s">
        <v>147</v>
      </c>
      <c r="AH4" s="25"/>
      <c r="AI4" s="13"/>
      <c r="AN4" s="116"/>
      <c r="AO4" s="123"/>
      <c r="AP4" s="123"/>
      <c r="AQ4" s="123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25"/>
      <c r="BG4" s="13"/>
      <c r="BJ4" s="114"/>
    </row>
    <row r="5" spans="1:62" ht="20.100000000000001" customHeight="1" x14ac:dyDescent="0.4">
      <c r="A5" s="117">
        <v>45877</v>
      </c>
      <c r="B5" s="123">
        <v>1</v>
      </c>
      <c r="C5" s="123"/>
      <c r="D5" s="123"/>
      <c r="T5" s="115"/>
      <c r="U5" s="115"/>
      <c r="V5" s="115" t="s">
        <v>193</v>
      </c>
      <c r="W5" s="13">
        <f>SUBTOTAL(3,W4:W4)</f>
        <v>1</v>
      </c>
      <c r="X5" s="13">
        <f>SUBTOTAL(3,X4:X4)</f>
        <v>1</v>
      </c>
      <c r="AH5" s="25"/>
      <c r="AI5" s="13"/>
      <c r="AN5" s="116"/>
      <c r="AO5" s="123"/>
      <c r="AP5" s="123"/>
      <c r="AQ5" s="123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25"/>
      <c r="BG5" s="13"/>
      <c r="BJ5" s="114"/>
    </row>
    <row r="6" spans="1:62" ht="20.100000000000001" customHeight="1" x14ac:dyDescent="0.4">
      <c r="A6" s="117">
        <v>45885</v>
      </c>
      <c r="B6" s="123"/>
      <c r="C6" s="123">
        <v>1</v>
      </c>
      <c r="D6" s="123"/>
      <c r="S6" s="115"/>
      <c r="T6" s="115"/>
      <c r="U6" s="115"/>
      <c r="V6" s="115"/>
      <c r="W6" s="25">
        <v>45875</v>
      </c>
      <c r="X6" s="13" t="s">
        <v>147</v>
      </c>
      <c r="AH6" s="25"/>
      <c r="AI6" s="13"/>
      <c r="AN6" s="116"/>
      <c r="AO6" s="123"/>
      <c r="AP6" s="123"/>
      <c r="AQ6" s="123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25"/>
      <c r="BG6" s="13"/>
      <c r="BJ6" s="114"/>
    </row>
    <row r="7" spans="1:62" ht="20.100000000000001" customHeight="1" x14ac:dyDescent="0.4">
      <c r="A7" s="117">
        <v>45886</v>
      </c>
      <c r="B7" s="123"/>
      <c r="C7" s="123">
        <v>1</v>
      </c>
      <c r="D7" s="123">
        <v>1</v>
      </c>
      <c r="S7" s="115"/>
      <c r="T7" s="115"/>
      <c r="U7" s="115"/>
      <c r="V7" s="115" t="s">
        <v>194</v>
      </c>
      <c r="W7" s="13">
        <f>SUBTOTAL(3,W6:W6)</f>
        <v>1</v>
      </c>
      <c r="X7" s="13">
        <f>SUBTOTAL(3,X6:X6)</f>
        <v>1</v>
      </c>
      <c r="AH7" s="25"/>
      <c r="AI7" s="13"/>
      <c r="AN7" s="116"/>
      <c r="AO7" s="123"/>
      <c r="AP7" s="123"/>
      <c r="AQ7" s="123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25"/>
      <c r="BG7" s="13"/>
      <c r="BJ7" s="114"/>
    </row>
    <row r="8" spans="1:62" ht="20.100000000000001" customHeight="1" x14ac:dyDescent="0.4">
      <c r="A8" s="117">
        <v>45887</v>
      </c>
      <c r="B8" s="123">
        <v>2</v>
      </c>
      <c r="C8" s="123">
        <v>1</v>
      </c>
      <c r="D8" s="123"/>
      <c r="S8" s="115"/>
      <c r="T8" s="115"/>
      <c r="U8" s="115"/>
      <c r="V8" s="115"/>
      <c r="W8" s="25">
        <v>45877</v>
      </c>
      <c r="X8" s="13" t="s">
        <v>146</v>
      </c>
      <c r="AH8" s="25"/>
      <c r="AI8" s="13"/>
      <c r="AN8" s="116"/>
      <c r="AO8" s="123"/>
      <c r="AP8" s="123"/>
      <c r="AQ8" s="123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25"/>
      <c r="BG8" s="13"/>
      <c r="BJ8" s="114"/>
    </row>
    <row r="9" spans="1:62" ht="20.100000000000001" customHeight="1" x14ac:dyDescent="0.4">
      <c r="A9" s="117">
        <v>45889</v>
      </c>
      <c r="B9" s="123"/>
      <c r="C9" s="123">
        <v>1</v>
      </c>
      <c r="D9" s="123"/>
      <c r="S9" s="115"/>
      <c r="T9" s="115"/>
      <c r="U9" s="115"/>
      <c r="V9" s="115" t="s">
        <v>185</v>
      </c>
      <c r="W9" s="13">
        <f>SUBTOTAL(3,W8:W8)</f>
        <v>1</v>
      </c>
      <c r="X9" s="13">
        <f>SUBTOTAL(3,X8:X8)</f>
        <v>1</v>
      </c>
      <c r="AH9" s="25"/>
      <c r="AI9" s="13"/>
      <c r="AN9" s="116"/>
      <c r="AO9" s="123"/>
      <c r="AP9" s="123"/>
      <c r="AQ9" s="123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25"/>
      <c r="BG9" s="13"/>
      <c r="BJ9" s="114"/>
    </row>
    <row r="10" spans="1:62" ht="20.100000000000001" customHeight="1" x14ac:dyDescent="0.4">
      <c r="A10" s="117">
        <v>45890</v>
      </c>
      <c r="B10" s="123"/>
      <c r="C10" s="123"/>
      <c r="D10" s="123">
        <v>2</v>
      </c>
      <c r="R10" s="115"/>
      <c r="S10" s="115"/>
      <c r="T10" s="115"/>
      <c r="U10" s="115"/>
      <c r="V10" s="115"/>
      <c r="W10" s="25">
        <v>45885</v>
      </c>
      <c r="X10" s="13" t="s">
        <v>147</v>
      </c>
      <c r="AH10" s="25"/>
      <c r="AI10" s="13"/>
      <c r="AN10" s="116"/>
      <c r="AO10" s="123"/>
      <c r="AP10" s="123"/>
      <c r="AQ10" s="123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25"/>
      <c r="BG10" s="13"/>
      <c r="BJ10" s="114"/>
    </row>
    <row r="11" spans="1:62" ht="20.100000000000001" customHeight="1" x14ac:dyDescent="0.4">
      <c r="A11" s="117">
        <v>45892</v>
      </c>
      <c r="B11" s="123">
        <v>4</v>
      </c>
      <c r="C11" s="123">
        <v>1</v>
      </c>
      <c r="D11" s="123"/>
      <c r="R11" s="115"/>
      <c r="S11" s="115"/>
      <c r="T11" s="115"/>
      <c r="U11" s="115"/>
      <c r="V11" s="115" t="s">
        <v>195</v>
      </c>
      <c r="W11" s="13">
        <f>SUBTOTAL(3,W10:W10)</f>
        <v>1</v>
      </c>
      <c r="X11" s="13">
        <f>SUBTOTAL(3,X10:X10)</f>
        <v>1</v>
      </c>
      <c r="AH11" s="25"/>
      <c r="AI11" s="13"/>
      <c r="AN11" s="116"/>
      <c r="AO11" s="123"/>
      <c r="AP11" s="123"/>
      <c r="AQ11" s="123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25"/>
      <c r="BG11" s="13"/>
      <c r="BJ11" s="114"/>
    </row>
    <row r="12" spans="1:62" ht="20.100000000000001" customHeight="1" x14ac:dyDescent="0.4">
      <c r="A12" s="117">
        <v>45893</v>
      </c>
      <c r="B12" s="123">
        <v>5</v>
      </c>
      <c r="C12" s="123">
        <v>5</v>
      </c>
      <c r="D12" s="123"/>
      <c r="R12" s="115"/>
      <c r="S12" s="115"/>
      <c r="T12" s="115"/>
      <c r="U12" s="115"/>
      <c r="V12" s="115"/>
      <c r="W12" s="25">
        <v>45886</v>
      </c>
      <c r="X12" s="13" t="s">
        <v>147</v>
      </c>
      <c r="AH12" s="25"/>
      <c r="AI12" s="13"/>
      <c r="AN12" s="116"/>
      <c r="AO12" s="123"/>
      <c r="AP12" s="123"/>
      <c r="AQ12" s="123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25"/>
      <c r="BG12" s="13"/>
      <c r="BJ12" s="114"/>
    </row>
    <row r="13" spans="1:62" ht="20.100000000000001" customHeight="1" x14ac:dyDescent="0.4">
      <c r="A13" s="117">
        <v>45894</v>
      </c>
      <c r="B13" s="123">
        <v>2</v>
      </c>
      <c r="C13" s="123"/>
      <c r="D13" s="123"/>
      <c r="Q13" s="115"/>
      <c r="R13" s="115"/>
      <c r="S13" s="115"/>
      <c r="T13" s="115"/>
      <c r="U13" s="115"/>
      <c r="V13" s="115"/>
      <c r="W13" s="25">
        <v>45886</v>
      </c>
      <c r="X13" s="13" t="s">
        <v>148</v>
      </c>
      <c r="AH13" s="25"/>
      <c r="AI13" s="13"/>
      <c r="AN13" s="116"/>
      <c r="AO13" s="123"/>
      <c r="AP13" s="123"/>
      <c r="AQ13" s="123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25"/>
      <c r="BG13" s="13"/>
      <c r="BJ13" s="114"/>
    </row>
    <row r="14" spans="1:62" ht="20.100000000000001" customHeight="1" x14ac:dyDescent="0.4">
      <c r="A14" s="117">
        <v>45895</v>
      </c>
      <c r="B14" s="123"/>
      <c r="C14" s="123">
        <v>2</v>
      </c>
      <c r="D14" s="123">
        <v>1</v>
      </c>
      <c r="Q14" s="115"/>
      <c r="R14" s="115"/>
      <c r="S14" s="115"/>
      <c r="T14" s="115"/>
      <c r="U14" s="115"/>
      <c r="V14" s="115" t="s">
        <v>205</v>
      </c>
      <c r="W14" s="13">
        <f>SUBTOTAL(3,W12:W13)</f>
        <v>2</v>
      </c>
      <c r="X14" s="13">
        <f>SUBTOTAL(3,X12:X13)</f>
        <v>2</v>
      </c>
      <c r="AH14" s="25"/>
      <c r="AI14" s="13"/>
      <c r="AN14" s="116"/>
      <c r="AO14" s="123"/>
      <c r="AP14" s="123"/>
      <c r="AQ14" s="123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25"/>
      <c r="BG14" s="13"/>
      <c r="BJ14" s="114"/>
    </row>
    <row r="15" spans="1:62" ht="20.100000000000001" customHeight="1" x14ac:dyDescent="0.4">
      <c r="A15" s="117">
        <v>45896</v>
      </c>
      <c r="B15" s="123"/>
      <c r="C15" s="123">
        <v>1</v>
      </c>
      <c r="D15" s="123"/>
      <c r="Q15" s="115"/>
      <c r="R15" s="115"/>
      <c r="S15" s="115"/>
      <c r="T15" s="115"/>
      <c r="U15" s="115"/>
      <c r="V15" s="115"/>
      <c r="W15" s="25">
        <v>45887</v>
      </c>
      <c r="X15" s="13" t="s">
        <v>146</v>
      </c>
      <c r="AH15" s="25"/>
      <c r="AI15" s="13"/>
      <c r="AN15" s="116"/>
      <c r="AO15" s="123"/>
      <c r="AP15" s="123"/>
      <c r="AQ15" s="123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25"/>
      <c r="BG15" s="13"/>
      <c r="BJ15" s="114"/>
    </row>
    <row r="16" spans="1:62" ht="20.100000000000001" customHeight="1" x14ac:dyDescent="0.4">
      <c r="A16" s="117">
        <v>45897</v>
      </c>
      <c r="B16" s="123">
        <v>2</v>
      </c>
      <c r="C16" s="123">
        <v>6</v>
      </c>
      <c r="D16" s="123"/>
      <c r="Q16" s="115"/>
      <c r="R16" s="115"/>
      <c r="S16" s="115"/>
      <c r="T16" s="115"/>
      <c r="U16" s="115"/>
      <c r="V16" s="115"/>
      <c r="W16" s="25">
        <v>45887</v>
      </c>
      <c r="X16" s="13" t="s">
        <v>146</v>
      </c>
      <c r="AH16" s="25"/>
      <c r="AI16" s="13"/>
      <c r="AN16" s="116"/>
      <c r="AO16" s="123"/>
      <c r="AP16" s="123"/>
      <c r="AQ16" s="123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25"/>
      <c r="BG16" s="13"/>
      <c r="BJ16" s="114"/>
    </row>
    <row r="17" spans="1:62" ht="20.100000000000001" customHeight="1" x14ac:dyDescent="0.4">
      <c r="A17" s="117">
        <v>45898</v>
      </c>
      <c r="B17" s="123">
        <v>2</v>
      </c>
      <c r="C17" s="123">
        <v>2</v>
      </c>
      <c r="D17" s="123">
        <v>1</v>
      </c>
      <c r="Q17" s="115"/>
      <c r="R17" s="115"/>
      <c r="S17" s="115"/>
      <c r="T17" s="115"/>
      <c r="U17" s="115"/>
      <c r="V17" s="115"/>
      <c r="W17" s="25">
        <v>45887</v>
      </c>
      <c r="X17" s="13" t="s">
        <v>147</v>
      </c>
      <c r="AH17" s="25"/>
      <c r="AI17" s="13"/>
      <c r="AN17" s="116"/>
      <c r="AO17" s="123"/>
      <c r="AP17" s="123"/>
      <c r="AQ17" s="123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25"/>
      <c r="BG17" s="13"/>
      <c r="BJ17" s="114"/>
    </row>
    <row r="18" spans="1:62" ht="20.100000000000001" customHeight="1" x14ac:dyDescent="0.4">
      <c r="A18" s="117">
        <v>45899</v>
      </c>
      <c r="B18" s="123">
        <v>1</v>
      </c>
      <c r="C18" s="123">
        <v>4</v>
      </c>
      <c r="D18" s="123"/>
      <c r="Q18" s="115"/>
      <c r="R18" s="115"/>
      <c r="S18" s="115"/>
      <c r="T18" s="115"/>
      <c r="U18" s="115"/>
      <c r="V18" s="115" t="s">
        <v>196</v>
      </c>
      <c r="W18" s="13">
        <f>SUBTOTAL(3,W15:W17)</f>
        <v>3</v>
      </c>
      <c r="X18" s="13">
        <f>SUBTOTAL(3,X15:X17)</f>
        <v>3</v>
      </c>
      <c r="AH18" s="25"/>
      <c r="AI18" s="13"/>
      <c r="AN18" s="116"/>
      <c r="AO18" s="123"/>
      <c r="AP18" s="123"/>
      <c r="AQ18" s="123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25"/>
      <c r="BG18" s="13"/>
      <c r="BJ18" s="114"/>
    </row>
    <row r="19" spans="1:62" ht="20.100000000000001" customHeight="1" x14ac:dyDescent="0.4">
      <c r="A19" s="117">
        <v>45900</v>
      </c>
      <c r="B19" s="123">
        <v>3</v>
      </c>
      <c r="C19" s="123">
        <v>4</v>
      </c>
      <c r="D19" s="123"/>
      <c r="Q19" s="115"/>
      <c r="R19" s="115"/>
      <c r="S19" s="115"/>
      <c r="T19" s="115"/>
      <c r="U19" s="115"/>
      <c r="V19" s="115"/>
      <c r="W19" s="25">
        <v>45889</v>
      </c>
      <c r="X19" s="13" t="s">
        <v>147</v>
      </c>
      <c r="AH19" s="25"/>
      <c r="AI19" s="13"/>
      <c r="AN19" s="116"/>
      <c r="AO19" s="123"/>
      <c r="AP19" s="123"/>
      <c r="AQ19" s="123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25"/>
      <c r="BG19" s="13"/>
      <c r="BJ19" s="114"/>
    </row>
    <row r="20" spans="1:62" ht="20.100000000000001" customHeight="1" x14ac:dyDescent="0.4">
      <c r="A20" s="117">
        <v>45901</v>
      </c>
      <c r="B20" s="123">
        <v>6</v>
      </c>
      <c r="C20" s="123">
        <v>5</v>
      </c>
      <c r="D20" s="123">
        <v>1</v>
      </c>
      <c r="Q20" s="115"/>
      <c r="R20" s="115"/>
      <c r="S20" s="115"/>
      <c r="T20" s="115"/>
      <c r="U20" s="115"/>
      <c r="V20" s="115" t="s">
        <v>206</v>
      </c>
      <c r="W20" s="13">
        <f>SUBTOTAL(3,W19:W19)</f>
        <v>1</v>
      </c>
      <c r="X20" s="13">
        <f>SUBTOTAL(3,X19:X19)</f>
        <v>1</v>
      </c>
      <c r="AH20" s="25"/>
      <c r="AI20" s="13"/>
      <c r="AN20" s="116"/>
      <c r="AO20" s="123"/>
      <c r="AP20" s="123"/>
      <c r="AQ20" s="123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25"/>
      <c r="BG20" s="13"/>
      <c r="BJ20" s="114"/>
    </row>
    <row r="21" spans="1:62" ht="20.100000000000001" customHeight="1" x14ac:dyDescent="0.4">
      <c r="A21" s="117">
        <v>45902</v>
      </c>
      <c r="B21" s="123"/>
      <c r="C21" s="123"/>
      <c r="D21" s="123">
        <v>1</v>
      </c>
      <c r="Q21" s="115"/>
      <c r="R21" s="115"/>
      <c r="S21" s="115"/>
      <c r="T21" s="115"/>
      <c r="U21" s="115"/>
      <c r="V21" s="115"/>
      <c r="W21" s="25">
        <v>45890</v>
      </c>
      <c r="X21" s="13" t="s">
        <v>148</v>
      </c>
      <c r="AH21" s="25"/>
      <c r="AI21" s="13"/>
      <c r="AN21" s="116"/>
      <c r="AO21" s="123"/>
      <c r="AP21" s="123"/>
      <c r="AQ21" s="123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25"/>
      <c r="BG21" s="13"/>
      <c r="BJ21" s="114"/>
    </row>
    <row r="22" spans="1:62" ht="20.100000000000001" customHeight="1" x14ac:dyDescent="0.4">
      <c r="A22" s="117">
        <v>45903</v>
      </c>
      <c r="B22" s="123"/>
      <c r="C22" s="123">
        <v>1</v>
      </c>
      <c r="D22" s="123"/>
      <c r="Q22" s="115"/>
      <c r="R22" s="115"/>
      <c r="S22" s="115"/>
      <c r="T22" s="115"/>
      <c r="U22" s="115"/>
      <c r="V22" s="115"/>
      <c r="W22" s="25">
        <v>45890</v>
      </c>
      <c r="X22" s="13" t="s">
        <v>148</v>
      </c>
      <c r="AH22" s="25"/>
      <c r="AI22" s="13"/>
      <c r="AN22" s="116"/>
      <c r="AO22" s="123"/>
      <c r="AP22" s="123"/>
      <c r="AQ22" s="123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25"/>
      <c r="BG22" s="13"/>
      <c r="BJ22" s="114"/>
    </row>
    <row r="23" spans="1:62" ht="20.100000000000001" customHeight="1" x14ac:dyDescent="0.4">
      <c r="A23" s="117">
        <v>45906</v>
      </c>
      <c r="B23" s="123"/>
      <c r="C23" s="123">
        <v>1</v>
      </c>
      <c r="D23" s="123"/>
      <c r="Q23" s="115"/>
      <c r="R23" s="115"/>
      <c r="S23" s="115"/>
      <c r="T23" s="115"/>
      <c r="U23" s="115"/>
      <c r="V23" s="115" t="s">
        <v>207</v>
      </c>
      <c r="W23" s="13">
        <f>SUBTOTAL(3,W21:W22)</f>
        <v>2</v>
      </c>
      <c r="X23" s="13">
        <f>SUBTOTAL(3,X21:X22)</f>
        <v>2</v>
      </c>
      <c r="AH23" s="25"/>
      <c r="AI23" s="13"/>
      <c r="AN23" s="116"/>
      <c r="AO23" s="123"/>
      <c r="AP23" s="123"/>
      <c r="AQ23" s="123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25"/>
      <c r="BG23" s="13"/>
      <c r="BJ23" s="114"/>
    </row>
    <row r="24" spans="1:62" ht="20.100000000000001" customHeight="1" x14ac:dyDescent="0.4">
      <c r="A24" s="117">
        <v>45907</v>
      </c>
      <c r="B24" s="123">
        <v>1</v>
      </c>
      <c r="C24" s="123">
        <v>1</v>
      </c>
      <c r="D24" s="123"/>
      <c r="P24" s="115"/>
      <c r="Q24" s="115"/>
      <c r="R24" s="115"/>
      <c r="S24" s="115"/>
      <c r="T24" s="115"/>
      <c r="U24" s="115"/>
      <c r="V24" s="115"/>
      <c r="W24" s="25">
        <v>45892</v>
      </c>
      <c r="X24" s="13" t="s">
        <v>147</v>
      </c>
      <c r="AH24" s="25"/>
      <c r="AI24" s="13"/>
      <c r="AN24" s="116"/>
      <c r="AO24" s="123"/>
      <c r="AP24" s="123"/>
      <c r="AQ24" s="123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25"/>
      <c r="BG24" s="13"/>
      <c r="BJ24" s="114"/>
    </row>
    <row r="25" spans="1:62" ht="20.100000000000001" customHeight="1" x14ac:dyDescent="0.4">
      <c r="A25" s="117">
        <v>45908</v>
      </c>
      <c r="B25" s="123"/>
      <c r="C25" s="123">
        <v>1</v>
      </c>
      <c r="D25" s="123">
        <v>1</v>
      </c>
      <c r="P25" s="115"/>
      <c r="Q25" s="115"/>
      <c r="R25" s="115"/>
      <c r="S25" s="115"/>
      <c r="T25" s="115"/>
      <c r="U25" s="115"/>
      <c r="V25" s="115"/>
      <c r="W25" s="25">
        <v>45892</v>
      </c>
      <c r="X25" s="132" t="s">
        <v>146</v>
      </c>
      <c r="AH25" s="25"/>
      <c r="AI25" s="13"/>
      <c r="AN25" s="116"/>
      <c r="AO25" s="123"/>
      <c r="AP25" s="123"/>
      <c r="AQ25" s="123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25"/>
      <c r="BG25" s="13"/>
      <c r="BJ25" s="114"/>
    </row>
    <row r="26" spans="1:62" ht="20.100000000000001" customHeight="1" x14ac:dyDescent="0.4">
      <c r="A26" s="117">
        <v>45910</v>
      </c>
      <c r="B26" s="123"/>
      <c r="C26" s="123">
        <v>2</v>
      </c>
      <c r="D26" s="123">
        <v>1</v>
      </c>
      <c r="N26" s="115"/>
      <c r="O26" s="115"/>
      <c r="P26" s="115"/>
      <c r="Q26" s="115"/>
      <c r="R26" s="115"/>
      <c r="S26" s="115"/>
      <c r="T26" s="115"/>
      <c r="U26" s="115"/>
      <c r="V26" s="115"/>
      <c r="W26" s="25">
        <v>45892</v>
      </c>
      <c r="X26" s="13" t="s">
        <v>146</v>
      </c>
      <c r="AH26" s="25"/>
      <c r="AI26" s="13"/>
      <c r="AN26" s="116"/>
      <c r="AO26" s="123"/>
      <c r="AP26" s="123"/>
      <c r="AQ26" s="123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25"/>
      <c r="BG26" s="13"/>
      <c r="BJ26" s="114"/>
    </row>
    <row r="27" spans="1:62" ht="20.100000000000001" customHeight="1" x14ac:dyDescent="0.4">
      <c r="A27" s="117">
        <v>45918</v>
      </c>
      <c r="B27" s="123"/>
      <c r="C27" s="123">
        <v>1</v>
      </c>
      <c r="D27" s="123"/>
      <c r="N27" s="115"/>
      <c r="O27" s="115"/>
      <c r="P27" s="115"/>
      <c r="Q27" s="115"/>
      <c r="R27" s="115"/>
      <c r="S27" s="115"/>
      <c r="T27" s="115"/>
      <c r="U27" s="115"/>
      <c r="V27" s="115"/>
      <c r="W27" s="25">
        <v>45892</v>
      </c>
      <c r="X27" s="13" t="s">
        <v>146</v>
      </c>
      <c r="AH27" s="25"/>
      <c r="AI27" s="13"/>
      <c r="AN27" s="116"/>
      <c r="AO27" s="123"/>
      <c r="AP27" s="123"/>
      <c r="AQ27" s="123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25"/>
      <c r="BG27" s="13"/>
      <c r="BJ27" s="114"/>
    </row>
    <row r="28" spans="1:62" ht="20.100000000000001" customHeight="1" x14ac:dyDescent="0.4">
      <c r="A28" s="117">
        <v>45928</v>
      </c>
      <c r="B28" s="123">
        <v>1</v>
      </c>
      <c r="C28" s="123"/>
      <c r="D28" s="123"/>
      <c r="N28" s="115"/>
      <c r="O28" s="115"/>
      <c r="P28" s="115"/>
      <c r="Q28" s="115"/>
      <c r="R28" s="115"/>
      <c r="S28" s="115"/>
      <c r="T28" s="115"/>
      <c r="U28" s="115"/>
      <c r="V28" s="115"/>
      <c r="W28" s="25">
        <v>45892</v>
      </c>
      <c r="X28" s="13" t="s">
        <v>146</v>
      </c>
      <c r="AH28" s="25"/>
      <c r="AI28" s="13"/>
      <c r="AN28" s="116"/>
      <c r="AO28" s="123"/>
      <c r="AP28" s="123"/>
      <c r="AQ28" s="123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25"/>
      <c r="BG28" s="13"/>
      <c r="BJ28" s="114"/>
    </row>
    <row r="29" spans="1:62" ht="20.100000000000001" customHeight="1" x14ac:dyDescent="0.4">
      <c r="A29" s="117">
        <v>45987</v>
      </c>
      <c r="B29" s="123">
        <v>1</v>
      </c>
      <c r="C29" s="123"/>
      <c r="D29" s="123"/>
      <c r="N29" s="115"/>
      <c r="O29" s="115"/>
      <c r="P29" s="115"/>
      <c r="Q29" s="115"/>
      <c r="R29" s="115"/>
      <c r="S29" s="115"/>
      <c r="T29" s="115"/>
      <c r="U29" s="115"/>
      <c r="V29" s="115" t="s">
        <v>208</v>
      </c>
      <c r="W29" s="13">
        <f>SUBTOTAL(3,W24:W28)</f>
        <v>5</v>
      </c>
      <c r="X29" s="13">
        <f>SUBTOTAL(3,X24:X28)</f>
        <v>5</v>
      </c>
      <c r="AH29" s="25"/>
      <c r="AI29" s="13"/>
      <c r="AN29" s="116"/>
      <c r="AO29" s="123"/>
      <c r="AP29" s="123"/>
      <c r="AQ29" s="123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25"/>
      <c r="BG29" s="13"/>
      <c r="BJ29" s="114"/>
    </row>
    <row r="30" spans="1:62" ht="20.100000000000001" customHeight="1" x14ac:dyDescent="0.4">
      <c r="A30" s="117"/>
      <c r="B30" s="123">
        <f>SUM(B4:B29)</f>
        <v>31</v>
      </c>
      <c r="C30" s="123">
        <f>SUM(C3:C29)</f>
        <v>43</v>
      </c>
      <c r="D30" s="123">
        <f>SUM(D3:D29)</f>
        <v>9</v>
      </c>
      <c r="N30" s="115"/>
      <c r="O30" s="115"/>
      <c r="P30" s="115"/>
      <c r="Q30" s="115"/>
      <c r="R30" s="115"/>
      <c r="S30" s="115"/>
      <c r="T30" s="115"/>
      <c r="U30" s="115"/>
      <c r="V30" s="115"/>
      <c r="W30" s="25">
        <v>45893</v>
      </c>
      <c r="X30" s="13" t="s">
        <v>147</v>
      </c>
      <c r="AH30" s="25"/>
      <c r="AI30" s="13"/>
      <c r="AN30" s="116"/>
      <c r="AO30" s="123"/>
      <c r="AP30" s="123"/>
      <c r="AQ30" s="123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25"/>
      <c r="BG30" s="13"/>
      <c r="BJ30" s="114"/>
    </row>
    <row r="31" spans="1:62" ht="20.100000000000001" customHeight="1" x14ac:dyDescent="0.4">
      <c r="A31" s="117"/>
      <c r="B31" s="123"/>
      <c r="C31" s="123"/>
      <c r="D31" s="123">
        <f>SUM(B30:D30)</f>
        <v>83</v>
      </c>
      <c r="N31" s="115"/>
      <c r="O31" s="115"/>
      <c r="P31" s="115"/>
      <c r="Q31" s="115"/>
      <c r="R31" s="115"/>
      <c r="S31" s="115"/>
      <c r="T31" s="115"/>
      <c r="U31" s="115"/>
      <c r="V31" s="115"/>
      <c r="W31" s="25">
        <v>45893</v>
      </c>
      <c r="X31" s="13" t="s">
        <v>147</v>
      </c>
      <c r="AH31" s="25"/>
      <c r="AI31" s="13"/>
      <c r="AN31" s="116"/>
      <c r="AO31" s="123"/>
      <c r="AP31" s="123"/>
      <c r="AQ31" s="123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25"/>
      <c r="BG31" s="13"/>
      <c r="BJ31" s="114"/>
    </row>
    <row r="32" spans="1:62" ht="20.100000000000001" customHeight="1" x14ac:dyDescent="0.4">
      <c r="A32" s="117"/>
      <c r="B32" s="123"/>
      <c r="C32" s="123"/>
      <c r="D32" s="123"/>
      <c r="N32" s="115"/>
      <c r="O32" s="115"/>
      <c r="P32" s="115"/>
      <c r="Q32" s="115"/>
      <c r="R32" s="115"/>
      <c r="S32" s="115"/>
      <c r="T32" s="115"/>
      <c r="U32" s="115"/>
      <c r="V32" s="115"/>
      <c r="W32" s="25">
        <v>45893</v>
      </c>
      <c r="X32" s="13" t="s">
        <v>147</v>
      </c>
      <c r="AH32" s="25"/>
      <c r="AI32" s="13"/>
      <c r="AN32" s="116"/>
      <c r="AO32" s="123"/>
      <c r="AP32" s="123"/>
      <c r="AQ32" s="123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25"/>
      <c r="BG32" s="13"/>
      <c r="BJ32" s="114"/>
    </row>
    <row r="33" spans="1:62" ht="20.100000000000001" customHeight="1" x14ac:dyDescent="0.4">
      <c r="A33" s="117"/>
      <c r="B33" s="123"/>
      <c r="C33" s="123"/>
      <c r="D33" s="123"/>
      <c r="N33" s="115"/>
      <c r="O33" s="115"/>
      <c r="P33" s="115"/>
      <c r="Q33" s="115"/>
      <c r="R33" s="115"/>
      <c r="S33" s="115"/>
      <c r="T33" s="115"/>
      <c r="U33" s="115"/>
      <c r="V33" s="115"/>
      <c r="W33" s="25">
        <v>45893</v>
      </c>
      <c r="X33" s="13" t="s">
        <v>146</v>
      </c>
      <c r="AH33" s="25"/>
      <c r="AI33" s="13"/>
      <c r="AN33" s="116"/>
      <c r="AO33" s="123"/>
      <c r="AP33" s="123"/>
      <c r="AQ33" s="123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25"/>
      <c r="BG33" s="13"/>
      <c r="BJ33" s="114"/>
    </row>
    <row r="34" spans="1:62" ht="20.100000000000001" customHeight="1" x14ac:dyDescent="0.4">
      <c r="A34" s="117"/>
      <c r="B34" s="123"/>
      <c r="C34" s="123"/>
      <c r="D34" s="123"/>
      <c r="N34" s="115"/>
      <c r="O34" s="115"/>
      <c r="P34" s="115"/>
      <c r="Q34" s="115"/>
      <c r="R34" s="115"/>
      <c r="S34" s="115"/>
      <c r="T34" s="115"/>
      <c r="U34" s="115"/>
      <c r="V34" s="115"/>
      <c r="W34" s="25">
        <v>45893</v>
      </c>
      <c r="X34" s="13" t="s">
        <v>146</v>
      </c>
      <c r="AH34" s="25"/>
      <c r="AI34" s="13"/>
      <c r="AN34" s="116"/>
      <c r="AO34" s="123"/>
      <c r="AP34" s="123"/>
      <c r="AQ34" s="123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25"/>
      <c r="BG34" s="13"/>
      <c r="BJ34" s="114"/>
    </row>
    <row r="35" spans="1:62" ht="20.100000000000001" customHeight="1" x14ac:dyDescent="0.4">
      <c r="A35" s="117"/>
      <c r="B35" s="123"/>
      <c r="C35" s="123"/>
      <c r="D35" s="123"/>
      <c r="N35" s="115"/>
      <c r="O35" s="115"/>
      <c r="P35" s="115"/>
      <c r="Q35" s="115"/>
      <c r="R35" s="115"/>
      <c r="S35" s="115"/>
      <c r="T35" s="115"/>
      <c r="U35" s="115"/>
      <c r="V35" s="115"/>
      <c r="W35" s="25">
        <v>45893</v>
      </c>
      <c r="X35" s="13" t="s">
        <v>146</v>
      </c>
      <c r="AH35" s="25"/>
      <c r="AI35" s="13"/>
      <c r="AN35" s="116"/>
      <c r="AO35" s="123"/>
      <c r="AP35" s="123"/>
      <c r="AQ35" s="123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25"/>
      <c r="BG35" s="13"/>
      <c r="BJ35" s="114"/>
    </row>
    <row r="36" spans="1:62" ht="20.100000000000001" customHeight="1" x14ac:dyDescent="0.4">
      <c r="A36" s="117"/>
      <c r="B36" s="123"/>
      <c r="C36" s="123"/>
      <c r="D36" s="123"/>
      <c r="N36" s="115"/>
      <c r="O36" s="115"/>
      <c r="P36" s="115"/>
      <c r="Q36" s="115"/>
      <c r="R36" s="115"/>
      <c r="S36" s="115"/>
      <c r="T36" s="115"/>
      <c r="U36" s="115"/>
      <c r="V36" s="115"/>
      <c r="W36" s="25">
        <v>45893</v>
      </c>
      <c r="X36" s="13" t="s">
        <v>146</v>
      </c>
      <c r="AH36" s="25"/>
      <c r="AI36" s="13"/>
      <c r="AN36" s="116"/>
      <c r="AO36" s="123"/>
      <c r="AP36" s="123"/>
      <c r="AQ36" s="123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25"/>
      <c r="BG36" s="13"/>
      <c r="BJ36" s="114"/>
    </row>
    <row r="37" spans="1:62" ht="20.100000000000001" customHeight="1" x14ac:dyDescent="0.4">
      <c r="A37" s="117"/>
      <c r="B37" s="123"/>
      <c r="C37" s="123"/>
      <c r="D37" s="123"/>
      <c r="N37" s="115"/>
      <c r="O37" s="115"/>
      <c r="P37" s="115"/>
      <c r="Q37" s="115"/>
      <c r="R37" s="115"/>
      <c r="S37" s="115"/>
      <c r="T37" s="115"/>
      <c r="U37" s="115"/>
      <c r="V37" s="115"/>
      <c r="W37" s="25">
        <v>45893</v>
      </c>
      <c r="X37" s="13" t="s">
        <v>147</v>
      </c>
      <c r="AH37" s="25"/>
      <c r="AI37" s="13"/>
      <c r="AN37" s="116"/>
      <c r="AO37" s="123"/>
      <c r="AP37" s="123"/>
      <c r="AQ37" s="123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25"/>
      <c r="BG37" s="13"/>
      <c r="BJ37" s="114"/>
    </row>
    <row r="38" spans="1:62" ht="20.100000000000001" customHeight="1" x14ac:dyDescent="0.4">
      <c r="A38" s="117"/>
      <c r="B38" s="123"/>
      <c r="C38" s="123"/>
      <c r="D38" s="123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25">
        <v>45893</v>
      </c>
      <c r="X38" s="13" t="s">
        <v>147</v>
      </c>
      <c r="AH38" s="25"/>
      <c r="AI38" s="13"/>
      <c r="AN38" s="116"/>
      <c r="AO38" s="123"/>
      <c r="AP38" s="123"/>
      <c r="AQ38" s="123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25"/>
      <c r="BG38" s="13"/>
      <c r="BJ38" s="114"/>
    </row>
    <row r="39" spans="1:62" ht="20.100000000000001" customHeight="1" x14ac:dyDescent="0.4">
      <c r="A39" s="117"/>
      <c r="B39" s="123"/>
      <c r="C39" s="123"/>
      <c r="D39" s="123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25">
        <v>45893</v>
      </c>
      <c r="X39" s="13" t="s">
        <v>142</v>
      </c>
      <c r="AH39" s="25"/>
      <c r="AI39" s="13"/>
      <c r="AN39" s="116"/>
      <c r="AO39" s="123"/>
      <c r="AP39" s="123"/>
      <c r="AQ39" s="123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25"/>
      <c r="BG39" s="13"/>
      <c r="BJ39" s="114"/>
    </row>
    <row r="40" spans="1:62" ht="20.100000000000001" customHeight="1" x14ac:dyDescent="0.4">
      <c r="A40" s="117"/>
      <c r="B40" s="123"/>
      <c r="C40" s="123"/>
      <c r="D40" s="123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 t="s">
        <v>209</v>
      </c>
      <c r="W40" s="13">
        <f>SUBTOTAL(3,W30:W39)</f>
        <v>10</v>
      </c>
      <c r="X40" s="13">
        <f>SUBTOTAL(3,X30:X39)</f>
        <v>10</v>
      </c>
      <c r="AH40" s="25"/>
      <c r="AI40" s="13"/>
      <c r="AN40" s="116"/>
      <c r="AO40" s="123"/>
      <c r="AP40" s="123"/>
      <c r="AQ40" s="123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25"/>
      <c r="BG40" s="13"/>
      <c r="BJ40" s="114"/>
    </row>
    <row r="41" spans="1:62" ht="20.100000000000001" customHeight="1" x14ac:dyDescent="0.4">
      <c r="A41" s="117"/>
      <c r="B41" s="123"/>
      <c r="C41" s="123"/>
      <c r="D41" s="123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25">
        <v>45894</v>
      </c>
      <c r="X41" s="13" t="s">
        <v>142</v>
      </c>
      <c r="AH41" s="25"/>
      <c r="AI41" s="13"/>
      <c r="AN41" s="116"/>
      <c r="AO41" s="123"/>
      <c r="AP41" s="123"/>
      <c r="AQ41" s="123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25"/>
      <c r="BG41" s="13"/>
      <c r="BJ41" s="114"/>
    </row>
    <row r="42" spans="1:62" ht="20.100000000000001" customHeight="1" x14ac:dyDescent="0.4">
      <c r="A42" s="117"/>
      <c r="B42" s="123"/>
      <c r="C42" s="123"/>
      <c r="D42" s="123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25">
        <v>45894</v>
      </c>
      <c r="X42" s="15" t="s">
        <v>146</v>
      </c>
      <c r="AH42" s="25"/>
      <c r="AI42" s="13"/>
      <c r="AN42" s="116"/>
      <c r="AO42" s="123"/>
      <c r="AP42" s="123"/>
      <c r="AQ42" s="123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25"/>
      <c r="BG42" s="13"/>
      <c r="BJ42" s="114"/>
    </row>
    <row r="43" spans="1:62" ht="20.100000000000001" customHeight="1" x14ac:dyDescent="0.4">
      <c r="A43" s="117"/>
      <c r="B43" s="123"/>
      <c r="C43" s="123"/>
      <c r="D43" s="123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 t="s">
        <v>312</v>
      </c>
      <c r="W43" s="13">
        <f>SUBTOTAL(3,W41:W42)</f>
        <v>2</v>
      </c>
      <c r="X43" s="13">
        <f>SUBTOTAL(3,X41:X42)</f>
        <v>2</v>
      </c>
      <c r="AH43" s="25"/>
      <c r="AI43" s="13"/>
      <c r="AN43" s="116"/>
      <c r="AO43" s="123"/>
      <c r="AP43" s="123"/>
      <c r="AQ43" s="123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25"/>
      <c r="BG43" s="13"/>
      <c r="BJ43" s="114"/>
    </row>
    <row r="44" spans="1:62" ht="20.100000000000001" customHeight="1" x14ac:dyDescent="0.4">
      <c r="A44" s="117"/>
      <c r="B44" s="123"/>
      <c r="C44" s="123"/>
      <c r="D44" s="123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25">
        <v>45895</v>
      </c>
      <c r="X44" s="13" t="s">
        <v>147</v>
      </c>
      <c r="AH44" s="25"/>
      <c r="AI44" s="13"/>
      <c r="AN44" s="116"/>
      <c r="AO44" s="123"/>
      <c r="AP44" s="123"/>
      <c r="AQ44" s="123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25"/>
      <c r="BG44" s="13"/>
      <c r="BJ44" s="114"/>
    </row>
    <row r="45" spans="1:62" ht="20.100000000000001" customHeight="1" x14ac:dyDescent="0.4">
      <c r="A45" s="117"/>
      <c r="B45" s="123"/>
      <c r="C45" s="123"/>
      <c r="D45" s="123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25">
        <v>45895</v>
      </c>
      <c r="X45" s="13" t="s">
        <v>148</v>
      </c>
      <c r="AH45" s="25"/>
      <c r="AI45" s="13"/>
      <c r="AN45" s="116"/>
      <c r="AO45" s="123"/>
      <c r="AP45" s="123"/>
      <c r="AQ45" s="123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25"/>
      <c r="BG45" s="13"/>
      <c r="BJ45" s="114"/>
    </row>
    <row r="46" spans="1:62" ht="20.100000000000001" customHeight="1" x14ac:dyDescent="0.4">
      <c r="A46" s="117"/>
      <c r="B46" s="123"/>
      <c r="C46" s="123"/>
      <c r="D46" s="123"/>
      <c r="F46" s="117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25">
        <v>45895</v>
      </c>
      <c r="X46" s="13" t="s">
        <v>147</v>
      </c>
      <c r="AH46" s="25"/>
      <c r="AI46" s="13"/>
      <c r="AN46" s="116"/>
      <c r="AO46" s="123"/>
      <c r="AP46" s="123"/>
      <c r="AQ46" s="123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25"/>
      <c r="BG46" s="13"/>
      <c r="BJ46" s="114"/>
    </row>
    <row r="47" spans="1:62" ht="20.100000000000001" customHeight="1" x14ac:dyDescent="0.4">
      <c r="A47" s="117"/>
      <c r="B47" s="123"/>
      <c r="C47" s="123"/>
      <c r="D47" s="123"/>
      <c r="F47" s="117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 t="s">
        <v>210</v>
      </c>
      <c r="W47" s="13">
        <f>SUBTOTAL(3,W44:W46)</f>
        <v>3</v>
      </c>
      <c r="X47" s="13">
        <f>SUBTOTAL(3,X44:X46)</f>
        <v>3</v>
      </c>
      <c r="AH47" s="25"/>
      <c r="AI47" s="13"/>
      <c r="AN47" s="116"/>
      <c r="AO47" s="123"/>
      <c r="AP47" s="123"/>
      <c r="AQ47" s="123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25"/>
      <c r="BG47" s="13"/>
      <c r="BJ47" s="114"/>
    </row>
    <row r="48" spans="1:62" ht="20.100000000000001" customHeight="1" x14ac:dyDescent="0.4">
      <c r="A48" s="117"/>
      <c r="B48" s="123"/>
      <c r="C48" s="123"/>
      <c r="D48" s="123"/>
      <c r="F48" s="117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25">
        <v>45896</v>
      </c>
      <c r="X48" s="13" t="s">
        <v>147</v>
      </c>
      <c r="AH48" s="25"/>
      <c r="AI48" s="13"/>
      <c r="AN48" s="116"/>
      <c r="AO48" s="123"/>
      <c r="AP48" s="123"/>
      <c r="AQ48" s="123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25"/>
      <c r="BG48" s="13"/>
      <c r="BJ48" s="114"/>
    </row>
    <row r="49" spans="1:62" ht="20.100000000000001" customHeight="1" x14ac:dyDescent="0.4">
      <c r="A49" s="117"/>
      <c r="B49" s="123"/>
      <c r="C49" s="123"/>
      <c r="D49" s="123"/>
      <c r="F49" s="117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 t="s">
        <v>211</v>
      </c>
      <c r="W49" s="13">
        <f>SUBTOTAL(3,W48:W48)</f>
        <v>1</v>
      </c>
      <c r="X49" s="13">
        <f>SUBTOTAL(3,X48:X48)</f>
        <v>1</v>
      </c>
      <c r="AH49" s="25"/>
      <c r="AI49" s="13"/>
      <c r="AN49" s="116"/>
      <c r="AO49" s="123"/>
      <c r="AP49" s="123"/>
      <c r="AQ49" s="123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25"/>
      <c r="BG49" s="13"/>
      <c r="BJ49" s="114"/>
    </row>
    <row r="50" spans="1:62" ht="20.100000000000001" customHeight="1" x14ac:dyDescent="0.4">
      <c r="A50" s="117"/>
      <c r="B50" s="123"/>
      <c r="C50" s="123"/>
      <c r="D50" s="123"/>
      <c r="F50" s="117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25">
        <v>45897</v>
      </c>
      <c r="X50" s="13" t="s">
        <v>147</v>
      </c>
      <c r="AH50" s="25"/>
      <c r="AI50" s="13"/>
      <c r="AN50" s="116"/>
      <c r="AO50" s="123"/>
      <c r="AP50" s="123"/>
      <c r="AQ50" s="123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25"/>
      <c r="BG50" s="13"/>
      <c r="BJ50" s="114"/>
    </row>
    <row r="51" spans="1:62" ht="20.100000000000001" customHeight="1" x14ac:dyDescent="0.4">
      <c r="A51" s="117"/>
      <c r="B51" s="123"/>
      <c r="C51" s="123"/>
      <c r="D51" s="123"/>
      <c r="F51" s="117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25">
        <v>45897</v>
      </c>
      <c r="X51" s="13" t="s">
        <v>146</v>
      </c>
      <c r="AH51" s="25"/>
      <c r="AI51" s="13"/>
      <c r="AN51" s="116"/>
      <c r="AO51" s="123"/>
      <c r="AP51" s="123"/>
      <c r="AQ51" s="123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25"/>
      <c r="BG51" s="13"/>
      <c r="BJ51" s="114"/>
    </row>
    <row r="52" spans="1:62" ht="20.100000000000001" customHeight="1" x14ac:dyDescent="0.4">
      <c r="A52" s="117"/>
      <c r="B52" s="123"/>
      <c r="C52" s="123"/>
      <c r="D52" s="123"/>
      <c r="F52" s="117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25">
        <v>45897</v>
      </c>
      <c r="X52" s="13" t="s">
        <v>147</v>
      </c>
      <c r="AH52" s="25"/>
      <c r="AI52" s="13"/>
      <c r="AN52" s="116"/>
      <c r="AO52" s="123"/>
      <c r="AP52" s="123"/>
      <c r="AQ52" s="123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25"/>
      <c r="BG52" s="13"/>
      <c r="BJ52" s="114"/>
    </row>
    <row r="53" spans="1:62" ht="20.100000000000001" customHeight="1" x14ac:dyDescent="0.4">
      <c r="A53" s="117"/>
      <c r="B53" s="123"/>
      <c r="C53" s="123"/>
      <c r="D53" s="123"/>
      <c r="F53" s="117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25">
        <v>45897</v>
      </c>
      <c r="X53" s="13" t="s">
        <v>147</v>
      </c>
      <c r="AH53" s="25"/>
      <c r="AI53" s="13"/>
      <c r="AN53" s="116"/>
      <c r="AO53" s="123"/>
      <c r="AP53" s="123"/>
      <c r="AQ53" s="123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25"/>
      <c r="BG53" s="13"/>
      <c r="BJ53" s="114"/>
    </row>
    <row r="54" spans="1:62" ht="20.100000000000001" customHeight="1" x14ac:dyDescent="0.4">
      <c r="A54" s="117"/>
      <c r="B54" s="123"/>
      <c r="C54" s="123"/>
      <c r="D54" s="123"/>
      <c r="F54" s="117"/>
      <c r="W54" s="25">
        <v>45897</v>
      </c>
      <c r="X54" s="13" t="s">
        <v>147</v>
      </c>
      <c r="AH54" s="25"/>
      <c r="AI54" s="13"/>
      <c r="AN54" s="116"/>
      <c r="AO54" s="123"/>
      <c r="AP54" s="123"/>
      <c r="AQ54" s="123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25"/>
      <c r="BG54" s="13"/>
      <c r="BJ54" s="114"/>
    </row>
    <row r="55" spans="1:62" ht="20.100000000000001" customHeight="1" x14ac:dyDescent="0.4">
      <c r="A55" s="117"/>
      <c r="B55" s="123"/>
      <c r="C55" s="123"/>
      <c r="D55" s="123"/>
      <c r="F55" s="117"/>
      <c r="S55" s="115"/>
      <c r="T55" s="115"/>
      <c r="U55" s="115"/>
      <c r="V55" s="115"/>
      <c r="W55" s="25">
        <v>45897</v>
      </c>
      <c r="X55" s="13" t="s">
        <v>146</v>
      </c>
      <c r="AH55" s="25"/>
      <c r="AI55" s="13"/>
      <c r="AN55" s="116"/>
      <c r="AO55" s="123"/>
      <c r="AP55" s="123"/>
      <c r="AQ55" s="123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25"/>
      <c r="BG55" s="13"/>
      <c r="BJ55" s="114"/>
    </row>
    <row r="56" spans="1:62" ht="20.100000000000001" customHeight="1" x14ac:dyDescent="0.4">
      <c r="A56" s="117"/>
      <c r="B56" s="123"/>
      <c r="C56" s="123"/>
      <c r="D56" s="123"/>
      <c r="F56" s="117"/>
      <c r="S56" s="115"/>
      <c r="T56" s="115"/>
      <c r="U56" s="115"/>
      <c r="V56" s="115"/>
      <c r="W56" s="25">
        <v>45897</v>
      </c>
      <c r="X56" s="13" t="s">
        <v>147</v>
      </c>
      <c r="AH56" s="25"/>
      <c r="AI56" s="13"/>
      <c r="AN56" s="116"/>
      <c r="AO56" s="123"/>
      <c r="AP56" s="123"/>
      <c r="AQ56" s="123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25"/>
      <c r="BG56" s="13"/>
      <c r="BJ56" s="114"/>
    </row>
    <row r="57" spans="1:62" ht="20.100000000000001" customHeight="1" x14ac:dyDescent="0.4">
      <c r="A57" s="117"/>
      <c r="B57" s="123"/>
      <c r="C57" s="123"/>
      <c r="D57" s="123"/>
      <c r="F57" s="117"/>
      <c r="O57" s="115"/>
      <c r="P57" s="115"/>
      <c r="Q57" s="115"/>
      <c r="R57" s="115"/>
      <c r="S57" s="115"/>
      <c r="T57" s="115"/>
      <c r="U57" s="115"/>
      <c r="V57" s="115"/>
      <c r="W57" s="25">
        <v>45897</v>
      </c>
      <c r="X57" s="13" t="s">
        <v>147</v>
      </c>
      <c r="AH57" s="25"/>
      <c r="AI57" s="13"/>
      <c r="AN57" s="116"/>
      <c r="AO57" s="123"/>
      <c r="AP57" s="123"/>
      <c r="AQ57" s="123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25"/>
      <c r="BG57" s="13"/>
      <c r="BJ57" s="114"/>
    </row>
    <row r="58" spans="1:62" ht="20.100000000000001" customHeight="1" x14ac:dyDescent="0.4">
      <c r="A58" s="117"/>
      <c r="B58" s="123"/>
      <c r="C58" s="123"/>
      <c r="D58" s="123"/>
      <c r="F58" s="117"/>
      <c r="O58" s="115"/>
      <c r="P58" s="115"/>
      <c r="Q58" s="115"/>
      <c r="R58" s="115"/>
      <c r="S58" s="115"/>
      <c r="T58" s="115"/>
      <c r="U58" s="115"/>
      <c r="V58" s="115" t="s">
        <v>212</v>
      </c>
      <c r="W58" s="13">
        <f>SUBTOTAL(3,W50:W57)</f>
        <v>8</v>
      </c>
      <c r="X58" s="13">
        <f>SUBTOTAL(3,X50:X57)</f>
        <v>8</v>
      </c>
      <c r="AH58" s="25"/>
      <c r="AI58" s="13"/>
      <c r="AN58" s="116"/>
      <c r="AO58" s="123"/>
      <c r="AP58" s="123"/>
      <c r="AQ58" s="123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25"/>
      <c r="BG58" s="13"/>
      <c r="BJ58" s="114"/>
    </row>
    <row r="59" spans="1:62" ht="20.100000000000001" customHeight="1" x14ac:dyDescent="0.4">
      <c r="A59" s="117"/>
      <c r="B59" s="123"/>
      <c r="C59" s="123"/>
      <c r="D59" s="123"/>
      <c r="F59" s="117"/>
      <c r="O59" s="115"/>
      <c r="P59" s="115"/>
      <c r="Q59" s="115"/>
      <c r="R59" s="115"/>
      <c r="S59" s="115"/>
      <c r="T59" s="115"/>
      <c r="U59" s="115"/>
      <c r="V59" s="115"/>
      <c r="W59" s="25">
        <v>45898</v>
      </c>
      <c r="X59" s="13" t="s">
        <v>147</v>
      </c>
      <c r="AH59" s="25"/>
      <c r="AI59" s="13"/>
      <c r="AN59" s="116"/>
      <c r="AO59" s="123"/>
      <c r="AP59" s="123"/>
      <c r="AQ59" s="123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25"/>
      <c r="BG59" s="13"/>
      <c r="BJ59" s="114"/>
    </row>
    <row r="60" spans="1:62" ht="20.100000000000001" customHeight="1" x14ac:dyDescent="0.4">
      <c r="A60" s="117"/>
      <c r="B60" s="123"/>
      <c r="C60" s="123"/>
      <c r="D60" s="123"/>
      <c r="N60" s="115"/>
      <c r="O60" s="115"/>
      <c r="P60" s="115"/>
      <c r="Q60" s="115"/>
      <c r="R60" s="115"/>
      <c r="S60" s="115"/>
      <c r="T60" s="115"/>
      <c r="U60" s="115"/>
      <c r="V60" s="115"/>
      <c r="W60" s="25">
        <v>45898</v>
      </c>
      <c r="X60" s="15" t="s">
        <v>146</v>
      </c>
      <c r="AH60" s="25"/>
      <c r="AI60" s="13"/>
      <c r="AN60" s="116"/>
      <c r="AO60" s="123"/>
      <c r="AP60" s="123"/>
      <c r="AQ60" s="123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25"/>
      <c r="BG60" s="13"/>
      <c r="BJ60" s="114"/>
    </row>
    <row r="61" spans="1:62" ht="20.100000000000001" customHeight="1" x14ac:dyDescent="0.4">
      <c r="A61" s="117"/>
      <c r="B61" s="123"/>
      <c r="C61" s="123"/>
      <c r="D61" s="123"/>
      <c r="N61" s="115"/>
      <c r="O61" s="115"/>
      <c r="P61" s="115"/>
      <c r="Q61" s="115"/>
      <c r="R61" s="115"/>
      <c r="S61" s="115"/>
      <c r="T61" s="115"/>
      <c r="U61" s="115"/>
      <c r="V61" s="115"/>
      <c r="W61" s="25">
        <v>45898</v>
      </c>
      <c r="X61" s="13" t="s">
        <v>148</v>
      </c>
      <c r="AH61" s="25"/>
      <c r="AI61" s="13"/>
      <c r="AN61" s="116"/>
      <c r="AO61" s="123"/>
      <c r="AP61" s="123"/>
      <c r="AQ61" s="123"/>
      <c r="AV61" s="115"/>
      <c r="AW61" s="115"/>
      <c r="AX61" s="115"/>
      <c r="AY61" s="115"/>
      <c r="AZ61" s="115"/>
      <c r="BA61" s="115"/>
      <c r="BB61" s="115"/>
      <c r="BC61" s="115"/>
      <c r="BD61" s="115"/>
      <c r="BE61" s="115"/>
      <c r="BF61" s="25"/>
      <c r="BG61" s="13"/>
      <c r="BJ61" s="114"/>
    </row>
    <row r="62" spans="1:62" ht="20.100000000000001" customHeight="1" x14ac:dyDescent="0.4">
      <c r="A62" s="117"/>
      <c r="B62" s="123"/>
      <c r="C62" s="123"/>
      <c r="D62" s="123"/>
      <c r="N62" s="115"/>
      <c r="O62" s="115"/>
      <c r="P62" s="115"/>
      <c r="Q62" s="115"/>
      <c r="R62" s="115"/>
      <c r="S62" s="115"/>
      <c r="T62" s="115"/>
      <c r="U62" s="115"/>
      <c r="V62" s="115"/>
      <c r="W62" s="25">
        <v>45898</v>
      </c>
      <c r="X62" s="134" t="s">
        <v>146</v>
      </c>
      <c r="AH62" s="25"/>
      <c r="AI62" s="13"/>
      <c r="AN62" s="116"/>
      <c r="AO62" s="123"/>
      <c r="AP62" s="123"/>
      <c r="AQ62" s="123"/>
      <c r="AV62" s="115"/>
      <c r="AW62" s="115"/>
      <c r="AX62" s="115"/>
      <c r="AY62" s="115"/>
      <c r="AZ62" s="115"/>
      <c r="BA62" s="115"/>
      <c r="BB62" s="115"/>
      <c r="BC62" s="115"/>
      <c r="BD62" s="115"/>
      <c r="BE62" s="115"/>
      <c r="BF62" s="25"/>
      <c r="BG62" s="13"/>
      <c r="BJ62" s="114"/>
    </row>
    <row r="63" spans="1:62" ht="20.100000000000001" customHeight="1" x14ac:dyDescent="0.4">
      <c r="A63" s="117"/>
      <c r="B63" s="123"/>
      <c r="C63" s="123"/>
      <c r="D63" s="123"/>
      <c r="N63" s="115"/>
      <c r="O63" s="115"/>
      <c r="P63" s="115"/>
      <c r="Q63" s="115"/>
      <c r="R63" s="115"/>
      <c r="S63" s="115"/>
      <c r="T63" s="115"/>
      <c r="U63" s="115"/>
      <c r="V63" s="115"/>
      <c r="W63" s="25">
        <v>45898</v>
      </c>
      <c r="X63" s="13" t="s">
        <v>147</v>
      </c>
      <c r="AH63" s="25"/>
      <c r="AI63" s="13"/>
      <c r="AN63" s="116"/>
      <c r="AO63" s="123"/>
      <c r="AP63" s="123"/>
      <c r="AQ63" s="123"/>
      <c r="AV63" s="115"/>
      <c r="AW63" s="115"/>
      <c r="AX63" s="115"/>
      <c r="AY63" s="115"/>
      <c r="AZ63" s="115"/>
      <c r="BA63" s="115"/>
      <c r="BB63" s="115"/>
      <c r="BC63" s="115"/>
      <c r="BD63" s="115"/>
      <c r="BE63" s="115"/>
      <c r="BF63" s="25"/>
      <c r="BG63" s="13"/>
      <c r="BJ63" s="114"/>
    </row>
    <row r="64" spans="1:62" ht="20.100000000000001" customHeight="1" x14ac:dyDescent="0.4">
      <c r="A64" s="117"/>
      <c r="B64" s="123"/>
      <c r="C64" s="123"/>
      <c r="D64" s="123"/>
      <c r="N64" s="115"/>
      <c r="O64" s="115"/>
      <c r="P64" s="115"/>
      <c r="Q64" s="115"/>
      <c r="R64" s="115"/>
      <c r="S64" s="115"/>
      <c r="T64" s="115"/>
      <c r="U64" s="115"/>
      <c r="V64" s="115" t="s">
        <v>197</v>
      </c>
      <c r="W64" s="13">
        <f>SUBTOTAL(3,W59:W63)</f>
        <v>5</v>
      </c>
      <c r="X64" s="13">
        <f>SUBTOTAL(3,X59:X63)</f>
        <v>5</v>
      </c>
      <c r="AH64" s="25"/>
      <c r="AI64" s="13"/>
      <c r="AN64" s="116"/>
      <c r="AO64" s="123"/>
      <c r="AP64" s="123"/>
      <c r="AQ64" s="123"/>
      <c r="AV64" s="115"/>
      <c r="AW64" s="115"/>
      <c r="AX64" s="115"/>
      <c r="AY64" s="115"/>
      <c r="AZ64" s="115"/>
      <c r="BA64" s="115"/>
      <c r="BB64" s="115"/>
      <c r="BC64" s="115"/>
      <c r="BD64" s="115"/>
      <c r="BE64" s="115"/>
      <c r="BF64" s="25"/>
      <c r="BG64" s="13"/>
      <c r="BJ64" s="114"/>
    </row>
    <row r="65" spans="1:62" ht="20.100000000000001" customHeight="1" x14ac:dyDescent="0.4">
      <c r="A65" s="117"/>
      <c r="B65" s="123"/>
      <c r="C65" s="123"/>
      <c r="D65" s="123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25">
        <v>45899</v>
      </c>
      <c r="X65" s="15" t="s">
        <v>147</v>
      </c>
      <c r="AH65" s="25"/>
      <c r="AI65" s="13"/>
      <c r="AN65" s="116"/>
      <c r="AO65" s="123"/>
      <c r="AP65" s="123"/>
      <c r="AQ65" s="123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25"/>
      <c r="BG65" s="13"/>
      <c r="BJ65" s="114"/>
    </row>
    <row r="66" spans="1:62" ht="20.100000000000001" customHeight="1" x14ac:dyDescent="0.4">
      <c r="A66" s="117"/>
      <c r="B66" s="123"/>
      <c r="C66" s="123"/>
      <c r="D66" s="123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25">
        <v>45899</v>
      </c>
      <c r="X66" s="15" t="s">
        <v>147</v>
      </c>
      <c r="AH66" s="25"/>
      <c r="AI66" s="13"/>
      <c r="AN66" s="116"/>
      <c r="AO66" s="123"/>
      <c r="AP66" s="123"/>
      <c r="AQ66" s="123"/>
      <c r="AV66" s="115"/>
      <c r="AW66" s="115"/>
      <c r="AX66" s="115"/>
      <c r="AY66" s="115"/>
      <c r="AZ66" s="115"/>
      <c r="BA66" s="115"/>
      <c r="BB66" s="115"/>
      <c r="BC66" s="115"/>
      <c r="BD66" s="115"/>
      <c r="BE66" s="115"/>
      <c r="BF66" s="25"/>
      <c r="BG66" s="13"/>
      <c r="BJ66" s="114"/>
    </row>
    <row r="67" spans="1:62" ht="20.100000000000001" customHeight="1" x14ac:dyDescent="0.4">
      <c r="A67" s="117"/>
      <c r="B67" s="123"/>
      <c r="C67" s="123"/>
      <c r="D67" s="123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25">
        <v>45899</v>
      </c>
      <c r="X67" s="15" t="s">
        <v>147</v>
      </c>
      <c r="AH67" s="25"/>
      <c r="AI67" s="13"/>
      <c r="AN67" s="116"/>
      <c r="AO67" s="123"/>
      <c r="AP67" s="123"/>
      <c r="AQ67" s="123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25"/>
      <c r="BG67" s="13"/>
      <c r="BJ67" s="114"/>
    </row>
    <row r="68" spans="1:62" ht="20.100000000000001" customHeight="1" x14ac:dyDescent="0.4">
      <c r="A68" s="117"/>
      <c r="B68" s="123"/>
      <c r="C68" s="123"/>
      <c r="D68" s="123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25">
        <v>45899</v>
      </c>
      <c r="X68" s="15" t="s">
        <v>146</v>
      </c>
      <c r="AH68" s="25"/>
      <c r="AI68" s="13"/>
      <c r="AN68" s="116"/>
      <c r="AO68" s="123"/>
      <c r="AP68" s="123"/>
      <c r="AQ68" s="123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25"/>
      <c r="BG68" s="13"/>
      <c r="BJ68" s="114"/>
    </row>
    <row r="69" spans="1:62" ht="20.100000000000001" customHeight="1" x14ac:dyDescent="0.4">
      <c r="A69" s="117"/>
      <c r="B69" s="123"/>
      <c r="C69" s="123"/>
      <c r="D69" s="123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25">
        <v>45899</v>
      </c>
      <c r="X69" s="15" t="s">
        <v>147</v>
      </c>
      <c r="AH69" s="25"/>
      <c r="AI69" s="13"/>
      <c r="AN69" s="116"/>
      <c r="AO69" s="123"/>
      <c r="AP69" s="123"/>
      <c r="AQ69" s="123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25"/>
      <c r="BG69" s="13"/>
      <c r="BJ69" s="114"/>
    </row>
    <row r="70" spans="1:62" ht="20.100000000000001" customHeight="1" x14ac:dyDescent="0.4">
      <c r="A70" s="117"/>
      <c r="B70" s="123"/>
      <c r="C70" s="123"/>
      <c r="D70" s="123"/>
      <c r="M70" s="115"/>
      <c r="N70" s="115"/>
      <c r="O70" s="115"/>
      <c r="P70" s="115"/>
      <c r="Q70" s="115"/>
      <c r="R70" s="115"/>
      <c r="S70" s="115"/>
      <c r="T70" s="115"/>
      <c r="U70" s="115"/>
      <c r="V70" s="115" t="s">
        <v>313</v>
      </c>
      <c r="W70" s="13">
        <f>SUBTOTAL(3,W65:W69)</f>
        <v>5</v>
      </c>
      <c r="X70" s="15">
        <f>SUBTOTAL(3,X65:X69)</f>
        <v>5</v>
      </c>
      <c r="AH70" s="25"/>
      <c r="AI70" s="13"/>
      <c r="AN70" s="116"/>
      <c r="AO70" s="123"/>
      <c r="AP70" s="123"/>
      <c r="AQ70" s="123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25"/>
      <c r="BG70" s="13"/>
      <c r="BJ70" s="114"/>
    </row>
    <row r="71" spans="1:62" ht="20.100000000000001" customHeight="1" x14ac:dyDescent="0.4">
      <c r="A71" s="117"/>
      <c r="B71" s="123"/>
      <c r="C71" s="123"/>
      <c r="D71" s="123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25">
        <v>45900</v>
      </c>
      <c r="X71" s="15" t="s">
        <v>146</v>
      </c>
      <c r="AH71" s="25"/>
      <c r="AI71" s="13"/>
      <c r="AN71" s="116"/>
      <c r="AO71" s="123"/>
      <c r="AP71" s="123"/>
      <c r="AQ71" s="123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25"/>
      <c r="BG71" s="13"/>
      <c r="BJ71" s="114"/>
    </row>
    <row r="72" spans="1:62" ht="20.100000000000001" customHeight="1" x14ac:dyDescent="0.4">
      <c r="A72" s="117"/>
      <c r="B72" s="123"/>
      <c r="C72" s="123"/>
      <c r="D72" s="123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25">
        <v>45900</v>
      </c>
      <c r="X72" s="15" t="s">
        <v>147</v>
      </c>
      <c r="AH72" s="25"/>
      <c r="AI72" s="13"/>
      <c r="AN72" s="116"/>
      <c r="AO72" s="123"/>
      <c r="AP72" s="123"/>
      <c r="AQ72" s="123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25"/>
      <c r="BG72" s="13"/>
      <c r="BJ72" s="114"/>
    </row>
    <row r="73" spans="1:62" ht="20.100000000000001" customHeight="1" x14ac:dyDescent="0.4">
      <c r="A73" s="117"/>
      <c r="B73" s="123"/>
      <c r="C73" s="123"/>
      <c r="D73" s="123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25">
        <v>45900</v>
      </c>
      <c r="X73" s="15" t="s">
        <v>146</v>
      </c>
      <c r="AH73" s="25"/>
      <c r="AI73" s="13"/>
      <c r="AN73" s="116"/>
      <c r="AO73" s="123"/>
      <c r="AP73" s="123"/>
      <c r="AQ73" s="123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25"/>
      <c r="BG73" s="13"/>
      <c r="BJ73" s="114"/>
    </row>
    <row r="74" spans="1:62" ht="20.100000000000001" customHeight="1" x14ac:dyDescent="0.4">
      <c r="A74" s="117"/>
      <c r="B74" s="123"/>
      <c r="C74" s="123"/>
      <c r="D74" s="123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25">
        <v>45900</v>
      </c>
      <c r="X74" s="15" t="s">
        <v>147</v>
      </c>
      <c r="AH74" s="25"/>
      <c r="AI74" s="13"/>
      <c r="AN74" s="116"/>
      <c r="AO74" s="123"/>
      <c r="AP74" s="123"/>
      <c r="AQ74" s="123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25"/>
      <c r="BG74" s="13"/>
      <c r="BJ74" s="114"/>
    </row>
    <row r="75" spans="1:62" ht="20.100000000000001" customHeight="1" x14ac:dyDescent="0.4">
      <c r="A75" s="117"/>
      <c r="B75" s="123"/>
      <c r="C75" s="123"/>
      <c r="D75" s="123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25">
        <v>45900</v>
      </c>
      <c r="X75" s="13" t="s">
        <v>146</v>
      </c>
      <c r="AH75" s="25"/>
      <c r="AI75" s="13"/>
      <c r="AN75" s="116"/>
      <c r="AO75" s="123"/>
      <c r="AP75" s="123"/>
      <c r="AQ75" s="123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25"/>
      <c r="BG75" s="13"/>
      <c r="BJ75" s="114"/>
    </row>
    <row r="76" spans="1:62" ht="20.100000000000001" customHeight="1" x14ac:dyDescent="0.4">
      <c r="A76" s="117"/>
      <c r="B76" s="123"/>
      <c r="C76" s="123"/>
      <c r="D76" s="123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25">
        <v>45900</v>
      </c>
      <c r="X76" s="13" t="s">
        <v>147</v>
      </c>
      <c r="AH76" s="25"/>
      <c r="AI76" s="13"/>
      <c r="AN76" s="116"/>
      <c r="AO76" s="123"/>
      <c r="AP76" s="123"/>
      <c r="AQ76" s="123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25"/>
      <c r="BG76" s="13"/>
      <c r="BJ76" s="114"/>
    </row>
    <row r="77" spans="1:62" ht="20.100000000000001" customHeight="1" x14ac:dyDescent="0.4">
      <c r="A77" s="117"/>
      <c r="B77" s="123"/>
      <c r="C77" s="123"/>
      <c r="D77" s="123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25">
        <v>45900</v>
      </c>
      <c r="X77" s="13" t="s">
        <v>147</v>
      </c>
      <c r="AH77" s="25"/>
      <c r="AI77" s="13"/>
      <c r="AN77" s="116"/>
      <c r="AO77" s="123"/>
      <c r="AP77" s="123"/>
      <c r="AQ77" s="123"/>
      <c r="AV77" s="115"/>
      <c r="AW77" s="115"/>
      <c r="AX77" s="115"/>
      <c r="AY77" s="115"/>
      <c r="AZ77" s="115"/>
      <c r="BA77" s="115"/>
      <c r="BB77" s="115"/>
      <c r="BC77" s="115"/>
      <c r="BD77" s="115"/>
      <c r="BE77" s="115"/>
      <c r="BF77" s="25"/>
      <c r="BG77" s="13"/>
      <c r="BJ77" s="114"/>
    </row>
    <row r="78" spans="1:62" ht="20.100000000000001" customHeight="1" x14ac:dyDescent="0.4">
      <c r="A78" s="117"/>
      <c r="B78" s="123"/>
      <c r="C78" s="123"/>
      <c r="D78" s="123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 t="s">
        <v>213</v>
      </c>
      <c r="W78" s="13">
        <f>SUBTOTAL(3,W71:W77)</f>
        <v>7</v>
      </c>
      <c r="X78" s="13">
        <f>SUBTOTAL(3,X71:X77)</f>
        <v>7</v>
      </c>
      <c r="AH78" s="25"/>
      <c r="AI78" s="13"/>
      <c r="AN78" s="116"/>
      <c r="AO78" s="123"/>
      <c r="AP78" s="123"/>
      <c r="AQ78" s="123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25"/>
      <c r="BG78" s="13"/>
      <c r="BJ78" s="114"/>
    </row>
    <row r="79" spans="1:62" ht="20.100000000000001" customHeight="1" x14ac:dyDescent="0.4">
      <c r="A79" s="117"/>
      <c r="B79" s="123"/>
      <c r="C79" s="123"/>
      <c r="D79" s="123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25">
        <v>45901</v>
      </c>
      <c r="X79" s="13" t="s">
        <v>148</v>
      </c>
      <c r="AH79" s="25"/>
      <c r="AI79" s="13"/>
      <c r="AN79" s="116"/>
      <c r="AO79" s="123"/>
      <c r="AP79" s="123"/>
      <c r="AQ79" s="123"/>
      <c r="AV79" s="115"/>
      <c r="AW79" s="115"/>
      <c r="AX79" s="115"/>
      <c r="AY79" s="115"/>
      <c r="AZ79" s="115"/>
      <c r="BA79" s="115"/>
      <c r="BB79" s="115"/>
      <c r="BC79" s="115"/>
      <c r="BD79" s="115"/>
      <c r="BE79" s="115"/>
      <c r="BF79" s="25"/>
      <c r="BG79" s="13"/>
      <c r="BJ79" s="114"/>
    </row>
    <row r="80" spans="1:62" ht="20.100000000000001" customHeight="1" x14ac:dyDescent="0.4">
      <c r="A80" s="117"/>
      <c r="B80" s="123"/>
      <c r="C80" s="123"/>
      <c r="D80" s="123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25">
        <v>45901</v>
      </c>
      <c r="X80" s="13" t="s">
        <v>146</v>
      </c>
      <c r="AH80" s="25"/>
      <c r="AI80" s="13"/>
      <c r="AN80" s="116"/>
      <c r="AO80" s="123"/>
      <c r="AP80" s="123"/>
      <c r="AQ80" s="123"/>
      <c r="AV80" s="115"/>
      <c r="AW80" s="115"/>
      <c r="AX80" s="115"/>
      <c r="AY80" s="115"/>
      <c r="AZ80" s="115"/>
      <c r="BA80" s="115"/>
      <c r="BB80" s="115"/>
      <c r="BC80" s="115"/>
      <c r="BD80" s="115"/>
      <c r="BE80" s="115"/>
      <c r="BF80" s="25"/>
      <c r="BG80" s="13"/>
      <c r="BJ80" s="114"/>
    </row>
    <row r="81" spans="1:62" ht="20.100000000000001" customHeight="1" x14ac:dyDescent="0.4">
      <c r="A81" s="117"/>
      <c r="B81" s="123"/>
      <c r="C81" s="123"/>
      <c r="D81" s="123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25">
        <v>45901</v>
      </c>
      <c r="X81" s="13" t="s">
        <v>146</v>
      </c>
      <c r="AH81" s="25"/>
      <c r="AI81" s="13"/>
      <c r="AN81" s="116"/>
      <c r="AO81" s="123"/>
      <c r="AP81" s="123"/>
      <c r="AQ81" s="123"/>
      <c r="AV81" s="115"/>
      <c r="AW81" s="115"/>
      <c r="AX81" s="115"/>
      <c r="AY81" s="115"/>
      <c r="AZ81" s="115"/>
      <c r="BA81" s="115"/>
      <c r="BB81" s="115"/>
      <c r="BC81" s="115"/>
      <c r="BD81" s="115"/>
      <c r="BE81" s="115"/>
      <c r="BF81" s="25"/>
      <c r="BG81" s="13"/>
      <c r="BJ81" s="114"/>
    </row>
    <row r="82" spans="1:62" ht="20.100000000000001" customHeight="1" x14ac:dyDescent="0.4">
      <c r="A82" s="117"/>
      <c r="B82" s="123"/>
      <c r="C82" s="123"/>
      <c r="D82" s="123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25">
        <v>45901</v>
      </c>
      <c r="X82" s="13" t="s">
        <v>146</v>
      </c>
      <c r="AH82" s="25"/>
      <c r="AI82" s="13"/>
      <c r="AN82" s="116"/>
      <c r="AO82" s="123"/>
      <c r="AP82" s="123"/>
      <c r="AQ82" s="123"/>
      <c r="AV82" s="115"/>
      <c r="AW82" s="115"/>
      <c r="AX82" s="115"/>
      <c r="AY82" s="115"/>
      <c r="AZ82" s="115"/>
      <c r="BA82" s="115"/>
      <c r="BB82" s="115"/>
      <c r="BC82" s="115"/>
      <c r="BD82" s="115"/>
      <c r="BE82" s="115"/>
      <c r="BF82" s="25"/>
      <c r="BG82" s="13"/>
      <c r="BJ82" s="114"/>
    </row>
    <row r="83" spans="1:62" ht="20.100000000000001" customHeight="1" x14ac:dyDescent="0.4">
      <c r="A83" s="117"/>
      <c r="B83" s="123"/>
      <c r="C83" s="123"/>
      <c r="D83" s="123"/>
      <c r="W83" s="25">
        <v>45901</v>
      </c>
      <c r="X83" s="13" t="s">
        <v>146</v>
      </c>
      <c r="AH83" s="25"/>
      <c r="AI83" s="13"/>
      <c r="AN83" s="116"/>
      <c r="AO83" s="123"/>
      <c r="AP83" s="123"/>
      <c r="AQ83" s="123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25"/>
      <c r="BG83" s="13"/>
      <c r="BJ83" s="114"/>
    </row>
    <row r="84" spans="1:62" ht="20.100000000000001" customHeight="1" x14ac:dyDescent="0.4">
      <c r="A84" s="117"/>
      <c r="B84" s="123"/>
      <c r="C84" s="123"/>
      <c r="D84" s="123"/>
      <c r="U84" s="115"/>
      <c r="V84" s="115"/>
      <c r="W84" s="25">
        <v>45901</v>
      </c>
      <c r="X84" s="13" t="s">
        <v>146</v>
      </c>
      <c r="AH84" s="25"/>
      <c r="AI84" s="13"/>
      <c r="AN84" s="116"/>
      <c r="AO84" s="123"/>
      <c r="AP84" s="123"/>
      <c r="AQ84" s="123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25"/>
      <c r="BG84" s="13"/>
      <c r="BJ84" s="114"/>
    </row>
    <row r="85" spans="1:62" ht="20.100000000000001" customHeight="1" x14ac:dyDescent="0.4">
      <c r="A85" s="117"/>
      <c r="B85" s="123"/>
      <c r="C85" s="123"/>
      <c r="D85" s="123"/>
      <c r="P85" s="115"/>
      <c r="Q85" s="115"/>
      <c r="R85" s="115"/>
      <c r="S85" s="115"/>
      <c r="T85" s="115"/>
      <c r="U85" s="115"/>
      <c r="V85" s="115"/>
      <c r="W85" s="25">
        <v>45901</v>
      </c>
      <c r="X85" s="13" t="s">
        <v>147</v>
      </c>
      <c r="AH85" s="25"/>
      <c r="AI85" s="13"/>
      <c r="AN85" s="116"/>
      <c r="AO85" s="123"/>
      <c r="AP85" s="123"/>
      <c r="AQ85" s="123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25"/>
      <c r="BG85" s="13"/>
      <c r="BJ85" s="114"/>
    </row>
    <row r="86" spans="1:62" ht="20.100000000000001" customHeight="1" x14ac:dyDescent="0.4">
      <c r="A86" s="117"/>
      <c r="B86" s="123"/>
      <c r="C86" s="123"/>
      <c r="D86" s="123"/>
      <c r="N86" s="115"/>
      <c r="O86" s="115"/>
      <c r="P86" s="115"/>
      <c r="Q86" s="115"/>
      <c r="R86" s="115"/>
      <c r="S86" s="115"/>
      <c r="T86" s="115"/>
      <c r="U86" s="115"/>
      <c r="V86" s="115"/>
      <c r="W86" s="25">
        <v>45901</v>
      </c>
      <c r="X86" s="13" t="s">
        <v>147</v>
      </c>
      <c r="AH86" s="25"/>
      <c r="AI86" s="13"/>
      <c r="AN86" s="116"/>
      <c r="AO86" s="123"/>
      <c r="AP86" s="123"/>
      <c r="AQ86" s="123"/>
      <c r="AV86" s="115"/>
      <c r="AW86" s="115"/>
      <c r="AX86" s="115"/>
      <c r="AY86" s="115"/>
      <c r="AZ86" s="115"/>
      <c r="BA86" s="115"/>
      <c r="BB86" s="115"/>
      <c r="BC86" s="115"/>
      <c r="BD86" s="115"/>
      <c r="BE86" s="115"/>
      <c r="BF86" s="25"/>
      <c r="BG86" s="13"/>
      <c r="BJ86" s="114"/>
    </row>
    <row r="87" spans="1:62" ht="20.100000000000001" customHeight="1" x14ac:dyDescent="0.4">
      <c r="A87" s="117"/>
      <c r="B87" s="123"/>
      <c r="C87" s="123"/>
      <c r="D87" s="123"/>
      <c r="N87" s="115"/>
      <c r="O87" s="115"/>
      <c r="P87" s="115"/>
      <c r="Q87" s="115"/>
      <c r="R87" s="115"/>
      <c r="S87" s="115"/>
      <c r="T87" s="115"/>
      <c r="U87" s="115"/>
      <c r="V87" s="115"/>
      <c r="W87" s="25">
        <v>45901</v>
      </c>
      <c r="X87" s="13" t="s">
        <v>147</v>
      </c>
      <c r="AH87" s="25"/>
      <c r="AI87" s="13"/>
      <c r="AN87" s="116"/>
      <c r="AO87" s="123"/>
      <c r="AP87" s="123"/>
      <c r="AQ87" s="123"/>
      <c r="AV87" s="115"/>
      <c r="AW87" s="115"/>
      <c r="AX87" s="115"/>
      <c r="AY87" s="115"/>
      <c r="AZ87" s="115"/>
      <c r="BA87" s="115"/>
      <c r="BB87" s="115"/>
      <c r="BC87" s="115"/>
      <c r="BD87" s="115"/>
      <c r="BE87" s="115"/>
      <c r="BF87" s="25"/>
      <c r="BG87" s="13"/>
      <c r="BJ87" s="114"/>
    </row>
    <row r="88" spans="1:62" ht="20.100000000000001" customHeight="1" x14ac:dyDescent="0.4">
      <c r="A88" s="117"/>
      <c r="B88" s="123"/>
      <c r="C88" s="123"/>
      <c r="D88" s="123"/>
      <c r="N88" s="115"/>
      <c r="O88" s="115"/>
      <c r="P88" s="115"/>
      <c r="Q88" s="115"/>
      <c r="R88" s="115"/>
      <c r="S88" s="115"/>
      <c r="T88" s="115"/>
      <c r="U88" s="115"/>
      <c r="V88" s="115"/>
      <c r="W88" s="25">
        <v>45901</v>
      </c>
      <c r="X88" s="13" t="s">
        <v>146</v>
      </c>
      <c r="AH88" s="25"/>
      <c r="AI88" s="13"/>
      <c r="AN88" s="116"/>
      <c r="AO88" s="123"/>
      <c r="AP88" s="123"/>
      <c r="AQ88" s="123"/>
      <c r="AV88" s="115"/>
      <c r="AW88" s="115"/>
      <c r="AX88" s="115"/>
      <c r="AY88" s="115"/>
      <c r="AZ88" s="115"/>
      <c r="BA88" s="115"/>
      <c r="BB88" s="115"/>
      <c r="BC88" s="115"/>
      <c r="BD88" s="115"/>
      <c r="BE88" s="115"/>
      <c r="BF88" s="25"/>
      <c r="BG88" s="13"/>
      <c r="BJ88" s="114"/>
    </row>
    <row r="89" spans="1:62" ht="20.100000000000001" customHeight="1" x14ac:dyDescent="0.4">
      <c r="A89" s="117"/>
      <c r="B89" s="123"/>
      <c r="C89" s="123"/>
      <c r="D89" s="123"/>
      <c r="N89" s="115"/>
      <c r="O89" s="115"/>
      <c r="P89" s="115"/>
      <c r="Q89" s="115"/>
      <c r="R89" s="115"/>
      <c r="S89" s="115"/>
      <c r="T89" s="115"/>
      <c r="U89" s="115"/>
      <c r="V89" s="115"/>
      <c r="W89" s="25">
        <v>45901</v>
      </c>
      <c r="X89" s="13" t="s">
        <v>147</v>
      </c>
      <c r="AH89" s="25"/>
      <c r="AI89" s="13"/>
      <c r="AN89" s="116"/>
      <c r="AO89" s="123"/>
      <c r="AP89" s="123"/>
      <c r="AQ89" s="123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25"/>
      <c r="BG89" s="13"/>
      <c r="BJ89" s="114"/>
    </row>
    <row r="90" spans="1:62" ht="20.100000000000001" customHeight="1" x14ac:dyDescent="0.4">
      <c r="A90" s="117"/>
      <c r="B90" s="123"/>
      <c r="C90" s="123"/>
      <c r="D90" s="123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25">
        <v>45901</v>
      </c>
      <c r="X90" s="13" t="s">
        <v>147</v>
      </c>
      <c r="AH90" s="25"/>
      <c r="AI90" s="13"/>
      <c r="AN90" s="116"/>
      <c r="AO90" s="123"/>
      <c r="AP90" s="123"/>
      <c r="AQ90" s="123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25"/>
      <c r="BG90" s="13"/>
      <c r="BJ90" s="114"/>
    </row>
    <row r="91" spans="1:62" ht="20.100000000000001" customHeight="1" x14ac:dyDescent="0.4">
      <c r="A91" s="117"/>
      <c r="B91" s="123"/>
      <c r="C91" s="123"/>
      <c r="D91" s="123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 t="s">
        <v>314</v>
      </c>
      <c r="W91" s="20">
        <f>SUBTOTAL(3,W79:W90)</f>
        <v>12</v>
      </c>
      <c r="X91" s="13">
        <f>SUBTOTAL(3,X79:X90)</f>
        <v>12</v>
      </c>
      <c r="AH91" s="25"/>
      <c r="AI91" s="13"/>
      <c r="AN91" s="116"/>
      <c r="AO91" s="123"/>
      <c r="AP91" s="123"/>
      <c r="AQ91" s="123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25"/>
      <c r="BG91" s="13"/>
      <c r="BJ91" s="114"/>
    </row>
    <row r="92" spans="1:62" ht="20.100000000000001" customHeight="1" x14ac:dyDescent="0.4">
      <c r="A92" s="117"/>
      <c r="B92" s="123"/>
      <c r="C92" s="123"/>
      <c r="D92" s="123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26">
        <v>45902</v>
      </c>
      <c r="X92" s="13" t="s">
        <v>148</v>
      </c>
      <c r="AH92" s="25"/>
      <c r="AI92" s="13"/>
      <c r="AN92" s="116"/>
      <c r="AO92" s="123"/>
      <c r="AP92" s="123"/>
      <c r="AQ92" s="123"/>
      <c r="AV92" s="115"/>
      <c r="AW92" s="115"/>
      <c r="AX92" s="115"/>
      <c r="AY92" s="115"/>
      <c r="AZ92" s="115"/>
      <c r="BA92" s="115"/>
      <c r="BB92" s="115"/>
      <c r="BC92" s="115"/>
      <c r="BD92" s="115"/>
      <c r="BE92" s="115"/>
      <c r="BF92" s="25"/>
      <c r="BG92" s="13"/>
      <c r="BJ92" s="114"/>
    </row>
    <row r="93" spans="1:62" ht="20.100000000000001" customHeight="1" x14ac:dyDescent="0.4">
      <c r="A93" s="117"/>
      <c r="B93" s="123"/>
      <c r="C93" s="123"/>
      <c r="D93" s="123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 t="s">
        <v>315</v>
      </c>
      <c r="W93" s="17">
        <f>SUBTOTAL(3,W92:W92)</f>
        <v>1</v>
      </c>
      <c r="X93" s="13">
        <f>SUBTOTAL(3,X92:X92)</f>
        <v>1</v>
      </c>
      <c r="AH93" s="25"/>
      <c r="AI93" s="13"/>
      <c r="AN93" s="116"/>
      <c r="AO93" s="123"/>
      <c r="AP93" s="123"/>
      <c r="AQ93" s="123"/>
      <c r="AV93" s="115"/>
      <c r="AW93" s="115"/>
      <c r="AX93" s="115"/>
      <c r="AY93" s="115"/>
      <c r="AZ93" s="115"/>
      <c r="BA93" s="115"/>
      <c r="BB93" s="115"/>
      <c r="BC93" s="115"/>
      <c r="BD93" s="115"/>
      <c r="BE93" s="115"/>
      <c r="BF93" s="25"/>
      <c r="BG93" s="13"/>
      <c r="BJ93" s="114"/>
    </row>
    <row r="94" spans="1:62" ht="20.100000000000001" customHeight="1" x14ac:dyDescent="0.4">
      <c r="A94" s="117"/>
      <c r="B94" s="123"/>
      <c r="C94" s="123"/>
      <c r="D94" s="123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26">
        <v>45903</v>
      </c>
      <c r="X94" s="13" t="s">
        <v>147</v>
      </c>
      <c r="AH94" s="25"/>
      <c r="AI94" s="13"/>
      <c r="AN94" s="116"/>
      <c r="AO94" s="123"/>
      <c r="AP94" s="123"/>
      <c r="AQ94" s="123"/>
      <c r="AV94" s="115"/>
      <c r="AW94" s="115"/>
      <c r="AX94" s="115"/>
      <c r="AY94" s="115"/>
      <c r="AZ94" s="115"/>
      <c r="BA94" s="115"/>
      <c r="BB94" s="115"/>
      <c r="BC94" s="115"/>
      <c r="BD94" s="115"/>
      <c r="BE94" s="115"/>
      <c r="BF94" s="25"/>
      <c r="BG94" s="13"/>
      <c r="BJ94" s="114"/>
    </row>
    <row r="95" spans="1:62" ht="20.100000000000001" customHeight="1" x14ac:dyDescent="0.4">
      <c r="A95" s="117"/>
      <c r="B95" s="123"/>
      <c r="C95" s="123"/>
      <c r="D95" s="123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 t="s">
        <v>316</v>
      </c>
      <c r="W95" s="17">
        <f>SUBTOTAL(3,W94:W94)</f>
        <v>1</v>
      </c>
      <c r="X95" s="13">
        <f>SUBTOTAL(3,X94:X94)</f>
        <v>1</v>
      </c>
      <c r="AH95" s="25"/>
      <c r="AI95" s="13"/>
      <c r="AN95" s="116"/>
      <c r="AO95" s="123"/>
      <c r="AP95" s="123"/>
      <c r="AQ95" s="123"/>
      <c r="AV95" s="115"/>
      <c r="AW95" s="115"/>
      <c r="AX95" s="115"/>
      <c r="AY95" s="115"/>
      <c r="AZ95" s="115"/>
      <c r="BA95" s="115"/>
      <c r="BB95" s="115"/>
      <c r="BC95" s="115"/>
      <c r="BD95" s="115"/>
      <c r="BE95" s="115"/>
      <c r="BF95" s="25"/>
      <c r="BG95" s="13"/>
      <c r="BJ95" s="114"/>
    </row>
    <row r="96" spans="1:62" ht="20.100000000000001" customHeight="1" x14ac:dyDescent="0.4">
      <c r="A96" s="117"/>
      <c r="B96" s="123"/>
      <c r="C96" s="123"/>
      <c r="D96" s="123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26">
        <v>45906</v>
      </c>
      <c r="X96" s="13" t="s">
        <v>147</v>
      </c>
      <c r="AH96" s="25"/>
      <c r="AI96" s="13"/>
      <c r="AN96" s="116"/>
      <c r="AO96" s="123"/>
      <c r="AP96" s="123"/>
      <c r="AQ96" s="123"/>
      <c r="AV96" s="115"/>
      <c r="AW96" s="115"/>
      <c r="AX96" s="115"/>
      <c r="AY96" s="115"/>
      <c r="AZ96" s="115"/>
      <c r="BA96" s="115"/>
      <c r="BB96" s="115"/>
      <c r="BC96" s="115"/>
      <c r="BD96" s="115"/>
      <c r="BE96" s="115"/>
      <c r="BF96" s="25"/>
      <c r="BG96" s="13"/>
      <c r="BJ96" s="114"/>
    </row>
    <row r="97" spans="1:62" ht="20.100000000000001" customHeight="1" x14ac:dyDescent="0.4">
      <c r="A97" s="117"/>
      <c r="B97" s="123"/>
      <c r="C97" s="123"/>
      <c r="D97" s="123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 t="s">
        <v>317</v>
      </c>
      <c r="W97" s="17">
        <f>SUBTOTAL(3,W96:W96)</f>
        <v>1</v>
      </c>
      <c r="X97" s="13">
        <f>SUBTOTAL(3,X96:X96)</f>
        <v>1</v>
      </c>
      <c r="AH97" s="25"/>
      <c r="AI97" s="13"/>
      <c r="AN97" s="116"/>
      <c r="AO97" s="123"/>
      <c r="AP97" s="123"/>
      <c r="AQ97" s="123"/>
      <c r="AV97" s="115"/>
      <c r="AW97" s="115"/>
      <c r="AX97" s="115"/>
      <c r="AY97" s="115"/>
      <c r="AZ97" s="115"/>
      <c r="BA97" s="115"/>
      <c r="BB97" s="115"/>
      <c r="BC97" s="115"/>
      <c r="BD97" s="115"/>
      <c r="BE97" s="115"/>
      <c r="BF97" s="25"/>
      <c r="BG97" s="13"/>
      <c r="BJ97" s="114"/>
    </row>
    <row r="98" spans="1:62" ht="20.100000000000001" customHeight="1" x14ac:dyDescent="0.4">
      <c r="A98" s="117"/>
      <c r="B98" s="123"/>
      <c r="C98" s="123"/>
      <c r="D98" s="123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26">
        <v>45907</v>
      </c>
      <c r="X98" s="13" t="s">
        <v>146</v>
      </c>
      <c r="AH98" s="25"/>
      <c r="AI98" s="13"/>
      <c r="AN98" s="116"/>
      <c r="AO98" s="123"/>
      <c r="AP98" s="123"/>
      <c r="AQ98" s="123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25"/>
      <c r="BG98" s="13"/>
      <c r="BJ98" s="114"/>
    </row>
    <row r="99" spans="1:62" ht="20.100000000000001" customHeight="1" x14ac:dyDescent="0.4">
      <c r="A99" s="117"/>
      <c r="B99" s="123"/>
      <c r="C99" s="123"/>
      <c r="D99" s="123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26">
        <v>45907</v>
      </c>
      <c r="X99" s="13" t="s">
        <v>147</v>
      </c>
      <c r="AH99" s="25"/>
      <c r="AI99" s="13"/>
      <c r="AN99" s="116"/>
      <c r="AO99" s="123"/>
      <c r="AP99" s="123"/>
      <c r="AQ99" s="123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25"/>
      <c r="BG99" s="13"/>
      <c r="BJ99" s="114"/>
    </row>
    <row r="100" spans="1:62" ht="20.100000000000001" customHeight="1" x14ac:dyDescent="0.4">
      <c r="A100" s="117"/>
      <c r="B100" s="123"/>
      <c r="C100" s="123"/>
      <c r="D100" s="123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 t="s">
        <v>318</v>
      </c>
      <c r="W100" s="17">
        <f>SUBTOTAL(3,W98:W99)</f>
        <v>2</v>
      </c>
      <c r="X100" s="13">
        <f>SUBTOTAL(3,X98:X99)</f>
        <v>2</v>
      </c>
      <c r="AH100" s="25"/>
      <c r="AI100" s="13"/>
      <c r="AN100" s="116"/>
      <c r="AO100" s="123"/>
      <c r="AP100" s="123"/>
      <c r="AQ100" s="123"/>
      <c r="AV100" s="115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25"/>
      <c r="BG100" s="13"/>
      <c r="BJ100" s="114"/>
    </row>
    <row r="101" spans="1:62" ht="20.100000000000001" customHeight="1" x14ac:dyDescent="0.4">
      <c r="A101" s="117"/>
      <c r="B101" s="123"/>
      <c r="C101" s="123"/>
      <c r="D101" s="123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26">
        <v>45908</v>
      </c>
      <c r="X101" s="13" t="s">
        <v>147</v>
      </c>
      <c r="AH101" s="25"/>
      <c r="AI101" s="13"/>
      <c r="AN101" s="116"/>
      <c r="AO101" s="123"/>
      <c r="AP101" s="123"/>
      <c r="AQ101" s="123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25"/>
      <c r="BG101" s="13"/>
      <c r="BJ101" s="114"/>
    </row>
    <row r="102" spans="1:62" ht="20.100000000000001" customHeight="1" x14ac:dyDescent="0.4">
      <c r="A102" s="117"/>
      <c r="B102" s="123"/>
      <c r="C102" s="123"/>
      <c r="D102" s="123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26">
        <v>45908</v>
      </c>
      <c r="X102" s="13" t="s">
        <v>148</v>
      </c>
      <c r="AH102" s="25"/>
      <c r="AI102" s="13"/>
      <c r="AN102" s="116"/>
      <c r="AO102" s="123"/>
      <c r="AP102" s="123"/>
      <c r="AQ102" s="123"/>
      <c r="AV102" s="115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25"/>
      <c r="BG102" s="13"/>
      <c r="BJ102" s="114"/>
    </row>
    <row r="103" spans="1:62" ht="20.100000000000001" customHeight="1" x14ac:dyDescent="0.4">
      <c r="A103" s="117"/>
      <c r="B103" s="123"/>
      <c r="C103" s="123"/>
      <c r="D103" s="123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 t="s">
        <v>319</v>
      </c>
      <c r="W103" s="20">
        <f>SUBTOTAL(3,W101:W102)</f>
        <v>2</v>
      </c>
      <c r="X103" s="13">
        <f>SUBTOTAL(3,X101:X102)</f>
        <v>2</v>
      </c>
      <c r="AH103" s="25"/>
      <c r="AI103" s="13"/>
      <c r="AN103" s="116"/>
      <c r="AO103" s="123"/>
      <c r="AP103" s="123"/>
      <c r="AQ103" s="123"/>
      <c r="AV103" s="115"/>
      <c r="AW103" s="115"/>
      <c r="AX103" s="115"/>
      <c r="AY103" s="115"/>
      <c r="AZ103" s="115"/>
      <c r="BA103" s="115"/>
      <c r="BB103" s="115"/>
      <c r="BC103" s="115"/>
      <c r="BD103" s="115"/>
      <c r="BE103" s="115"/>
      <c r="BF103" s="25"/>
      <c r="BG103" s="13"/>
      <c r="BJ103" s="114"/>
    </row>
    <row r="104" spans="1:62" ht="20.100000000000001" customHeight="1" x14ac:dyDescent="0.4">
      <c r="A104" s="117"/>
      <c r="B104" s="123"/>
      <c r="C104" s="123"/>
      <c r="D104" s="123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25">
        <v>45910</v>
      </c>
      <c r="X104" s="13" t="s">
        <v>147</v>
      </c>
      <c r="AH104" s="25"/>
      <c r="AI104" s="13"/>
      <c r="AN104" s="116"/>
      <c r="AO104" s="123"/>
      <c r="AP104" s="123"/>
      <c r="AQ104" s="123"/>
      <c r="AV104" s="115"/>
      <c r="AW104" s="115"/>
      <c r="AX104" s="115"/>
      <c r="AY104" s="115"/>
      <c r="AZ104" s="115"/>
      <c r="BA104" s="115"/>
      <c r="BB104" s="115"/>
      <c r="BC104" s="115"/>
      <c r="BD104" s="115"/>
      <c r="BE104" s="115"/>
      <c r="BF104" s="25"/>
      <c r="BG104" s="13"/>
      <c r="BJ104" s="114"/>
    </row>
    <row r="105" spans="1:62" ht="20.100000000000001" customHeight="1" x14ac:dyDescent="0.4">
      <c r="A105" s="117"/>
      <c r="B105" s="123"/>
      <c r="C105" s="123"/>
      <c r="D105" s="123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25">
        <v>45910</v>
      </c>
      <c r="X105" s="13" t="s">
        <v>147</v>
      </c>
      <c r="AH105" s="25"/>
      <c r="AI105" s="13"/>
      <c r="AN105" s="116"/>
      <c r="AO105" s="123"/>
      <c r="AP105" s="123"/>
      <c r="AQ105" s="123"/>
      <c r="AV105" s="115"/>
      <c r="AW105" s="115"/>
      <c r="AX105" s="115"/>
      <c r="AY105" s="115"/>
      <c r="AZ105" s="115"/>
      <c r="BA105" s="115"/>
      <c r="BB105" s="115"/>
      <c r="BC105" s="115"/>
      <c r="BD105" s="115"/>
      <c r="BE105" s="115"/>
      <c r="BF105" s="25"/>
      <c r="BG105" s="13"/>
      <c r="BJ105" s="114"/>
    </row>
    <row r="106" spans="1:62" ht="20.100000000000001" customHeight="1" x14ac:dyDescent="0.4">
      <c r="A106" s="117"/>
      <c r="B106" s="123"/>
      <c r="C106" s="123"/>
      <c r="D106" s="123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25">
        <v>45910</v>
      </c>
      <c r="X106" s="13" t="s">
        <v>148</v>
      </c>
      <c r="AH106" s="25"/>
      <c r="AI106" s="13"/>
      <c r="AN106" s="116"/>
      <c r="AO106" s="123"/>
      <c r="AP106" s="123"/>
      <c r="AQ106" s="123"/>
      <c r="AV106" s="115"/>
      <c r="AW106" s="115"/>
      <c r="AX106" s="115"/>
      <c r="AY106" s="115"/>
      <c r="AZ106" s="115"/>
      <c r="BA106" s="115"/>
      <c r="BB106" s="115"/>
      <c r="BC106" s="115"/>
      <c r="BD106" s="115"/>
      <c r="BE106" s="115"/>
      <c r="BF106" s="25"/>
      <c r="BG106" s="13"/>
      <c r="BJ106" s="114"/>
    </row>
    <row r="107" spans="1:62" ht="20.100000000000001" customHeight="1" x14ac:dyDescent="0.4">
      <c r="A107" s="117"/>
      <c r="B107" s="123"/>
      <c r="C107" s="123"/>
      <c r="D107" s="123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 t="s">
        <v>214</v>
      </c>
      <c r="W107" s="13">
        <f>SUBTOTAL(3,W104:W106)</f>
        <v>3</v>
      </c>
      <c r="X107" s="13">
        <f>SUBTOTAL(3,X104:X106)</f>
        <v>3</v>
      </c>
      <c r="AH107" s="25"/>
      <c r="AI107" s="13"/>
      <c r="AN107" s="116"/>
      <c r="AO107" s="123"/>
      <c r="AP107" s="123"/>
      <c r="AQ107" s="123"/>
      <c r="AV107" s="115"/>
      <c r="AW107" s="115"/>
      <c r="AX107" s="115"/>
      <c r="AY107" s="115"/>
      <c r="AZ107" s="115"/>
      <c r="BA107" s="115"/>
      <c r="BB107" s="115"/>
      <c r="BC107" s="115"/>
      <c r="BD107" s="115"/>
      <c r="BE107" s="115"/>
      <c r="BF107" s="25"/>
      <c r="BG107" s="13"/>
      <c r="BJ107" s="114"/>
    </row>
    <row r="108" spans="1:62" ht="20.100000000000001" customHeight="1" x14ac:dyDescent="0.4">
      <c r="A108" s="117"/>
      <c r="B108" s="123"/>
      <c r="C108" s="123"/>
      <c r="D108" s="123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25">
        <v>45918</v>
      </c>
      <c r="X108" s="13" t="s">
        <v>147</v>
      </c>
      <c r="AH108" s="25"/>
      <c r="AI108" s="13"/>
      <c r="AN108" s="116"/>
      <c r="AO108" s="123"/>
      <c r="AP108" s="123"/>
      <c r="AQ108" s="123"/>
      <c r="AV108" s="115"/>
      <c r="AW108" s="115"/>
      <c r="AX108" s="115"/>
      <c r="AY108" s="115"/>
      <c r="AZ108" s="115"/>
      <c r="BA108" s="115"/>
      <c r="BB108" s="115"/>
      <c r="BC108" s="115"/>
      <c r="BD108" s="115"/>
      <c r="BE108" s="115"/>
      <c r="BF108" s="25"/>
      <c r="BG108" s="13"/>
      <c r="BJ108" s="114"/>
    </row>
    <row r="109" spans="1:62" ht="20.100000000000001" customHeight="1" x14ac:dyDescent="0.4">
      <c r="A109" s="117"/>
      <c r="B109" s="123"/>
      <c r="C109" s="123"/>
      <c r="D109" s="123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 t="s">
        <v>320</v>
      </c>
      <c r="W109" s="13">
        <f>SUBTOTAL(3,W108:W108)</f>
        <v>1</v>
      </c>
      <c r="X109" s="13">
        <f>SUBTOTAL(3,X108:X108)</f>
        <v>1</v>
      </c>
      <c r="AH109" s="25"/>
      <c r="AI109" s="13"/>
      <c r="AN109" s="116"/>
      <c r="AO109" s="123"/>
      <c r="AP109" s="123"/>
      <c r="AQ109" s="123"/>
      <c r="AV109" s="115"/>
      <c r="AW109" s="115"/>
      <c r="AX109" s="115"/>
      <c r="AY109" s="115"/>
      <c r="AZ109" s="115"/>
      <c r="BA109" s="115"/>
      <c r="BB109" s="115"/>
      <c r="BC109" s="115"/>
      <c r="BD109" s="115"/>
      <c r="BE109" s="115"/>
      <c r="BF109" s="25"/>
      <c r="BG109" s="13"/>
      <c r="BJ109" s="114"/>
    </row>
    <row r="110" spans="1:62" ht="20.100000000000001" customHeight="1" x14ac:dyDescent="0.4">
      <c r="A110" s="117"/>
      <c r="B110" s="123"/>
      <c r="C110" s="123"/>
      <c r="D110" s="123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25">
        <v>45928</v>
      </c>
      <c r="X110" s="13" t="s">
        <v>146</v>
      </c>
      <c r="AH110" s="25"/>
      <c r="AI110" s="13"/>
      <c r="AN110" s="116"/>
      <c r="AO110" s="123"/>
      <c r="AP110" s="123"/>
      <c r="AQ110" s="123"/>
      <c r="AV110" s="115"/>
      <c r="AW110" s="115"/>
      <c r="AX110" s="115"/>
      <c r="AY110" s="115"/>
      <c r="AZ110" s="115"/>
      <c r="BA110" s="115"/>
      <c r="BB110" s="115"/>
      <c r="BC110" s="115"/>
      <c r="BD110" s="115"/>
      <c r="BE110" s="115"/>
      <c r="BF110" s="25"/>
      <c r="BG110" s="13"/>
      <c r="BJ110" s="114"/>
    </row>
    <row r="111" spans="1:62" ht="20.100000000000001" customHeight="1" x14ac:dyDescent="0.4">
      <c r="A111" s="117"/>
      <c r="B111" s="123"/>
      <c r="C111" s="123"/>
      <c r="D111" s="123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 t="s">
        <v>321</v>
      </c>
      <c r="W111" s="13">
        <f>SUBTOTAL(3,W110:W110)</f>
        <v>1</v>
      </c>
      <c r="X111" s="13">
        <f>SUBTOTAL(3,X110:X110)</f>
        <v>1</v>
      </c>
      <c r="AH111" s="25"/>
      <c r="AI111" s="13"/>
      <c r="AN111" s="116"/>
      <c r="AO111" s="123"/>
      <c r="AP111" s="123"/>
      <c r="AQ111" s="123"/>
      <c r="AV111" s="115"/>
      <c r="AW111" s="115"/>
      <c r="AX111" s="115"/>
      <c r="AY111" s="115"/>
      <c r="AZ111" s="115"/>
      <c r="BA111" s="115"/>
      <c r="BB111" s="115"/>
      <c r="BC111" s="115"/>
      <c r="BD111" s="115"/>
      <c r="BE111" s="115"/>
      <c r="BF111" s="25"/>
      <c r="BG111" s="13"/>
      <c r="BJ111" s="114"/>
    </row>
    <row r="112" spans="1:62" ht="20.100000000000001" customHeight="1" x14ac:dyDescent="0.4">
      <c r="A112" s="117"/>
      <c r="B112" s="123"/>
      <c r="C112" s="123"/>
      <c r="D112" s="123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25">
        <v>45987</v>
      </c>
      <c r="X112" s="13" t="s">
        <v>146</v>
      </c>
      <c r="AH112" s="25"/>
      <c r="AI112" s="13"/>
      <c r="AN112" s="116"/>
      <c r="AO112" s="123"/>
      <c r="AP112" s="123"/>
      <c r="AQ112" s="123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25"/>
      <c r="BG112" s="13"/>
      <c r="BJ112" s="114"/>
    </row>
    <row r="113" spans="1:62" ht="20.100000000000001" customHeight="1" x14ac:dyDescent="0.4">
      <c r="A113" s="117"/>
      <c r="B113" s="123"/>
      <c r="C113" s="123"/>
      <c r="D113" s="123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 t="s">
        <v>322</v>
      </c>
      <c r="W113" s="13">
        <f>SUBTOTAL(3,W112:W112)</f>
        <v>1</v>
      </c>
      <c r="X113" s="13">
        <f>SUBTOTAL(3,X112:X112)</f>
        <v>1</v>
      </c>
      <c r="AH113" s="25"/>
      <c r="AI113" s="13"/>
      <c r="AN113" s="116"/>
      <c r="AO113" s="123"/>
      <c r="AP113" s="123"/>
      <c r="AQ113" s="123"/>
      <c r="AV113" s="115"/>
      <c r="AW113" s="115"/>
      <c r="AX113" s="115"/>
      <c r="AY113" s="115"/>
      <c r="AZ113" s="115"/>
      <c r="BA113" s="115"/>
      <c r="BB113" s="115"/>
      <c r="BC113" s="115"/>
      <c r="BD113" s="115"/>
      <c r="BE113" s="115"/>
      <c r="BF113" s="25"/>
      <c r="BG113" s="13"/>
      <c r="BJ113" s="114"/>
    </row>
    <row r="114" spans="1:62" ht="20.100000000000001" customHeight="1" x14ac:dyDescent="0.4">
      <c r="A114" s="117"/>
      <c r="B114" s="123"/>
      <c r="C114" s="123"/>
      <c r="D114" s="123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 t="s">
        <v>145</v>
      </c>
      <c r="W114" s="13">
        <f>SUBTOTAL(3,W2:W112)</f>
        <v>84</v>
      </c>
      <c r="X114" s="13">
        <f>SUBTOTAL(3,X2:X112)</f>
        <v>84</v>
      </c>
      <c r="AH114" s="25"/>
      <c r="AI114" s="13"/>
      <c r="AN114" s="116"/>
      <c r="AO114" s="123"/>
      <c r="AP114" s="123"/>
      <c r="AQ114" s="123"/>
      <c r="AV114" s="115"/>
      <c r="AW114" s="115"/>
      <c r="AX114" s="115"/>
      <c r="AY114" s="115"/>
      <c r="AZ114" s="115"/>
      <c r="BA114" s="115"/>
      <c r="BB114" s="115"/>
      <c r="BC114" s="115"/>
      <c r="BD114" s="115"/>
      <c r="BE114" s="115"/>
      <c r="BF114" s="25"/>
      <c r="BG114" s="13"/>
      <c r="BJ114" s="114"/>
    </row>
    <row r="115" spans="1:62" ht="20.100000000000001" customHeight="1" x14ac:dyDescent="0.4">
      <c r="A115" s="117"/>
      <c r="B115" s="123"/>
      <c r="C115" s="123"/>
      <c r="D115" s="123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25"/>
      <c r="X115" s="13"/>
      <c r="AH115" s="25"/>
      <c r="AI115" s="13"/>
      <c r="AN115" s="116"/>
      <c r="AO115" s="123"/>
      <c r="AP115" s="123"/>
      <c r="AQ115" s="123"/>
      <c r="AV115" s="115"/>
      <c r="AW115" s="115"/>
      <c r="AX115" s="115"/>
      <c r="AY115" s="115"/>
      <c r="AZ115" s="115"/>
      <c r="BA115" s="115"/>
      <c r="BB115" s="115"/>
      <c r="BC115" s="115"/>
      <c r="BD115" s="115"/>
      <c r="BE115" s="115"/>
      <c r="BF115" s="25"/>
      <c r="BG115" s="13"/>
      <c r="BJ115" s="114"/>
    </row>
    <row r="116" spans="1:62" ht="20.100000000000001" customHeight="1" x14ac:dyDescent="0.4">
      <c r="A116" s="117"/>
      <c r="B116" s="123"/>
      <c r="C116" s="123"/>
      <c r="D116" s="123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25"/>
      <c r="X116" s="13"/>
      <c r="AH116" s="25"/>
      <c r="AI116" s="13"/>
      <c r="AN116" s="116"/>
      <c r="AO116" s="123"/>
      <c r="AP116" s="123"/>
      <c r="AQ116" s="123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25"/>
      <c r="BG116" s="13"/>
      <c r="BJ116" s="114"/>
    </row>
    <row r="117" spans="1:62" ht="20.100000000000001" customHeight="1" x14ac:dyDescent="0.4">
      <c r="A117" s="117"/>
      <c r="B117" s="123"/>
      <c r="C117" s="123"/>
      <c r="D117" s="123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25"/>
      <c r="X117" s="13"/>
      <c r="AH117" s="25"/>
      <c r="AI117" s="13"/>
      <c r="AN117" s="116"/>
      <c r="AO117" s="123"/>
      <c r="AP117" s="123"/>
      <c r="AQ117" s="123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25"/>
      <c r="BG117" s="13"/>
      <c r="BJ117" s="114"/>
    </row>
    <row r="118" spans="1:62" ht="20.100000000000001" customHeight="1" x14ac:dyDescent="0.4">
      <c r="A118" s="117"/>
      <c r="B118" s="123"/>
      <c r="C118" s="123"/>
      <c r="D118" s="123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25"/>
      <c r="X118" s="13"/>
      <c r="AH118" s="25"/>
      <c r="AI118" s="13"/>
      <c r="AN118" s="116"/>
      <c r="AO118" s="123"/>
      <c r="AP118" s="123"/>
      <c r="AQ118" s="123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25"/>
      <c r="BG118" s="13"/>
      <c r="BJ118" s="114"/>
    </row>
    <row r="119" spans="1:62" ht="20.100000000000001" customHeight="1" x14ac:dyDescent="0.4">
      <c r="A119" s="117"/>
      <c r="B119" s="123"/>
      <c r="C119" s="123"/>
      <c r="D119" s="123"/>
      <c r="F119" s="125"/>
      <c r="W119" s="25"/>
      <c r="X119" s="13"/>
      <c r="AH119" s="25"/>
      <c r="AI119" s="13"/>
      <c r="AN119" s="116"/>
      <c r="AO119" s="123"/>
      <c r="AP119" s="123"/>
      <c r="AQ119" s="123"/>
      <c r="AV119" s="115"/>
      <c r="AW119" s="115"/>
      <c r="AX119" s="115"/>
      <c r="AY119" s="115"/>
      <c r="AZ119" s="115"/>
      <c r="BA119" s="115"/>
      <c r="BB119" s="115"/>
      <c r="BC119" s="115"/>
      <c r="BD119" s="115"/>
      <c r="BE119" s="115"/>
      <c r="BF119" s="25"/>
      <c r="BG119" s="13"/>
      <c r="BJ119" s="114"/>
    </row>
    <row r="120" spans="1:62" ht="20.100000000000001" customHeight="1" x14ac:dyDescent="0.4">
      <c r="A120" s="117"/>
      <c r="B120" s="123"/>
      <c r="C120" s="123"/>
      <c r="D120" s="123"/>
      <c r="F120" s="117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25"/>
      <c r="X120" s="13"/>
      <c r="AH120" s="25"/>
      <c r="AI120" s="13"/>
      <c r="AN120" s="116"/>
      <c r="AO120" s="123"/>
      <c r="AP120" s="123"/>
      <c r="AQ120" s="123"/>
      <c r="AV120" s="115"/>
      <c r="AW120" s="115"/>
      <c r="AX120" s="115"/>
      <c r="AY120" s="115"/>
      <c r="AZ120" s="115"/>
      <c r="BA120" s="115"/>
      <c r="BB120" s="115"/>
      <c r="BC120" s="115"/>
      <c r="BD120" s="115"/>
      <c r="BE120" s="115"/>
      <c r="BF120" s="25"/>
      <c r="BG120" s="13"/>
      <c r="BJ120" s="114"/>
    </row>
    <row r="121" spans="1:62" ht="20.100000000000001" customHeight="1" x14ac:dyDescent="0.4">
      <c r="A121" s="117"/>
      <c r="B121" s="123"/>
      <c r="C121" s="123"/>
      <c r="D121" s="123"/>
      <c r="F121" s="117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20"/>
      <c r="X121" s="13"/>
      <c r="AH121" s="25"/>
      <c r="AI121" s="13"/>
      <c r="AN121" s="116"/>
      <c r="AO121" s="123"/>
      <c r="AP121" s="123"/>
      <c r="AQ121" s="123"/>
      <c r="AV121" s="115"/>
      <c r="AW121" s="115"/>
      <c r="AX121" s="115"/>
      <c r="AY121" s="115"/>
      <c r="AZ121" s="115"/>
      <c r="BA121" s="115"/>
      <c r="BB121" s="115"/>
      <c r="BC121" s="115"/>
      <c r="BD121" s="115"/>
      <c r="BE121" s="115"/>
      <c r="BF121" s="25"/>
      <c r="BG121" s="13"/>
      <c r="BJ121" s="114"/>
    </row>
    <row r="122" spans="1:62" ht="20.100000000000001" customHeight="1" x14ac:dyDescent="0.4">
      <c r="A122" s="117"/>
      <c r="B122" s="123"/>
      <c r="C122" s="123"/>
      <c r="D122" s="123"/>
      <c r="F122" s="117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26"/>
      <c r="X122" s="13"/>
      <c r="AH122" s="25"/>
      <c r="AI122" s="13"/>
      <c r="AN122" s="116"/>
      <c r="AO122" s="123"/>
      <c r="AP122" s="123"/>
      <c r="AQ122" s="123"/>
      <c r="AV122" s="115"/>
      <c r="AW122" s="115"/>
      <c r="AX122" s="115"/>
      <c r="AY122" s="115"/>
      <c r="AZ122" s="115"/>
      <c r="BA122" s="115"/>
      <c r="BB122" s="115"/>
      <c r="BC122" s="115"/>
      <c r="BD122" s="115"/>
      <c r="BE122" s="115"/>
      <c r="BF122" s="25"/>
      <c r="BG122" s="13"/>
      <c r="BJ122" s="114"/>
    </row>
    <row r="123" spans="1:62" ht="20.100000000000001" customHeight="1" x14ac:dyDescent="0.4">
      <c r="A123" s="117"/>
      <c r="B123" s="123"/>
      <c r="C123" s="123"/>
      <c r="D123" s="123"/>
      <c r="F123" s="117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26"/>
      <c r="X123" s="13"/>
      <c r="AH123" s="25"/>
      <c r="AI123" s="13"/>
      <c r="AN123" s="116"/>
      <c r="AO123" s="123"/>
      <c r="AP123" s="123"/>
      <c r="AQ123" s="123"/>
      <c r="AV123" s="115"/>
      <c r="AW123" s="115"/>
      <c r="AX123" s="115"/>
      <c r="AY123" s="115"/>
      <c r="AZ123" s="115"/>
      <c r="BA123" s="115"/>
      <c r="BB123" s="115"/>
      <c r="BC123" s="115"/>
      <c r="BD123" s="115"/>
      <c r="BE123" s="115"/>
      <c r="BF123" s="25"/>
      <c r="BG123" s="13"/>
      <c r="BJ123" s="114"/>
    </row>
    <row r="124" spans="1:62" ht="20.100000000000001" customHeight="1" x14ac:dyDescent="0.4">
      <c r="A124" s="117"/>
      <c r="B124" s="123"/>
      <c r="C124" s="123"/>
      <c r="D124" s="123"/>
      <c r="F124" s="117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26"/>
      <c r="X124" s="13"/>
      <c r="AH124" s="25"/>
      <c r="AI124" s="13"/>
      <c r="AN124" s="116"/>
      <c r="AO124" s="123"/>
      <c r="AP124" s="123"/>
      <c r="AQ124" s="123"/>
      <c r="AV124" s="115"/>
      <c r="AW124" s="115"/>
      <c r="AX124" s="115"/>
      <c r="AY124" s="115"/>
      <c r="AZ124" s="115"/>
      <c r="BA124" s="115"/>
      <c r="BB124" s="115"/>
      <c r="BC124" s="115"/>
      <c r="BD124" s="115"/>
      <c r="BE124" s="115"/>
      <c r="BF124" s="25"/>
      <c r="BG124" s="13"/>
      <c r="BJ124" s="114"/>
    </row>
    <row r="125" spans="1:62" ht="20.100000000000001" customHeight="1" x14ac:dyDescent="0.4">
      <c r="A125" s="117"/>
      <c r="B125" s="123"/>
      <c r="C125" s="123"/>
      <c r="D125" s="123"/>
      <c r="F125" s="117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26"/>
      <c r="X125" s="13"/>
      <c r="AH125" s="25"/>
      <c r="AI125" s="13"/>
      <c r="AN125" s="116"/>
      <c r="AO125" s="123"/>
      <c r="AP125" s="123"/>
      <c r="AQ125" s="123"/>
      <c r="AV125" s="115"/>
      <c r="AW125" s="115"/>
      <c r="AX125" s="115"/>
      <c r="AY125" s="115"/>
      <c r="AZ125" s="115"/>
      <c r="BA125" s="115"/>
      <c r="BB125" s="115"/>
      <c r="BC125" s="115"/>
      <c r="BD125" s="115"/>
      <c r="BE125" s="115"/>
      <c r="BF125" s="25"/>
      <c r="BG125" s="13"/>
      <c r="BJ125" s="114"/>
    </row>
    <row r="126" spans="1:62" ht="20.100000000000001" customHeight="1" x14ac:dyDescent="0.4">
      <c r="A126" s="117"/>
      <c r="B126" s="123"/>
      <c r="C126" s="123"/>
      <c r="D126" s="123"/>
      <c r="F126" s="117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26"/>
      <c r="X126" s="13"/>
      <c r="AH126" s="25"/>
      <c r="AI126" s="13"/>
      <c r="AN126" s="116"/>
      <c r="AO126" s="123"/>
      <c r="AP126" s="123"/>
      <c r="AQ126" s="123"/>
      <c r="AV126" s="115"/>
      <c r="AW126" s="115"/>
      <c r="AX126" s="115"/>
      <c r="AY126" s="115"/>
      <c r="AZ126" s="115"/>
      <c r="BA126" s="115"/>
      <c r="BB126" s="115"/>
      <c r="BC126" s="115"/>
      <c r="BD126" s="115"/>
      <c r="BE126" s="115"/>
      <c r="BF126" s="25"/>
      <c r="BG126" s="13"/>
      <c r="BJ126" s="114"/>
    </row>
    <row r="127" spans="1:62" ht="20.100000000000001" customHeight="1" x14ac:dyDescent="0.4">
      <c r="A127" s="117"/>
      <c r="B127" s="123"/>
      <c r="C127" s="123"/>
      <c r="D127" s="123"/>
      <c r="F127" s="117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26"/>
      <c r="X127" s="134"/>
      <c r="AH127" s="25"/>
      <c r="AI127" s="13"/>
      <c r="AN127" s="116"/>
      <c r="AO127" s="123"/>
      <c r="AP127" s="123"/>
      <c r="AQ127" s="123"/>
      <c r="AV127" s="115"/>
      <c r="AW127" s="115"/>
      <c r="AX127" s="115"/>
      <c r="AY127" s="115"/>
      <c r="AZ127" s="115"/>
      <c r="BA127" s="115"/>
      <c r="BB127" s="115"/>
      <c r="BC127" s="115"/>
      <c r="BD127" s="115"/>
      <c r="BE127" s="115"/>
      <c r="BF127" s="25"/>
      <c r="BG127" s="13"/>
      <c r="BJ127" s="114"/>
    </row>
    <row r="128" spans="1:62" ht="20.100000000000001" customHeight="1" x14ac:dyDescent="0.4">
      <c r="A128" s="117"/>
      <c r="B128" s="123"/>
      <c r="C128" s="123"/>
      <c r="D128" s="123"/>
      <c r="F128" s="117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26"/>
      <c r="X128" s="13"/>
      <c r="AH128" s="25"/>
      <c r="AI128" s="13"/>
      <c r="AN128" s="116"/>
      <c r="AO128" s="123"/>
      <c r="AP128" s="123"/>
      <c r="AQ128" s="123"/>
      <c r="AV128" s="115"/>
      <c r="AW128" s="115"/>
      <c r="AX128" s="115"/>
      <c r="AY128" s="115"/>
      <c r="AZ128" s="115"/>
      <c r="BA128" s="115"/>
      <c r="BB128" s="115"/>
      <c r="BC128" s="115"/>
      <c r="BD128" s="115"/>
      <c r="BE128" s="115"/>
      <c r="BF128" s="25"/>
      <c r="BG128" s="13"/>
      <c r="BJ128" s="114"/>
    </row>
    <row r="129" spans="1:62" ht="20.100000000000001" customHeight="1" x14ac:dyDescent="0.4">
      <c r="A129" s="117"/>
      <c r="B129" s="123"/>
      <c r="C129" s="123"/>
      <c r="D129" s="123"/>
      <c r="F129" s="117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25"/>
      <c r="X129" s="13"/>
      <c r="AH129" s="25"/>
      <c r="AI129" s="13"/>
      <c r="AN129" s="116"/>
      <c r="AO129" s="123"/>
      <c r="AP129" s="123"/>
      <c r="AQ129" s="123"/>
      <c r="AV129" s="115"/>
      <c r="AW129" s="115"/>
      <c r="AX129" s="115"/>
      <c r="AY129" s="115"/>
      <c r="AZ129" s="115"/>
      <c r="BA129" s="115"/>
      <c r="BB129" s="115"/>
      <c r="BC129" s="115"/>
      <c r="BD129" s="115"/>
      <c r="BE129" s="115"/>
      <c r="BF129" s="25"/>
      <c r="BG129" s="13"/>
      <c r="BJ129" s="114"/>
    </row>
    <row r="130" spans="1:62" ht="20.100000000000001" customHeight="1" x14ac:dyDescent="0.4">
      <c r="A130" s="117"/>
      <c r="B130" s="123"/>
      <c r="C130" s="123"/>
      <c r="D130" s="123"/>
      <c r="F130" s="117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25"/>
      <c r="X130" s="13"/>
      <c r="AH130" s="25"/>
      <c r="AI130" s="13"/>
      <c r="AN130" s="116"/>
      <c r="AO130" s="123"/>
      <c r="AP130" s="123"/>
      <c r="AQ130" s="123"/>
      <c r="AV130" s="115"/>
      <c r="AW130" s="115"/>
      <c r="AX130" s="115"/>
      <c r="AY130" s="115"/>
      <c r="AZ130" s="115"/>
      <c r="BA130" s="115"/>
      <c r="BB130" s="115"/>
      <c r="BC130" s="115"/>
      <c r="BD130" s="115"/>
      <c r="BE130" s="115"/>
      <c r="BF130" s="25"/>
      <c r="BG130" s="13"/>
      <c r="BJ130" s="114"/>
    </row>
    <row r="131" spans="1:62" ht="20.100000000000001" customHeight="1" x14ac:dyDescent="0.4">
      <c r="A131" s="117"/>
      <c r="B131" s="123"/>
      <c r="C131" s="123"/>
      <c r="D131" s="123"/>
      <c r="F131" s="117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25"/>
      <c r="X131" s="13"/>
      <c r="AH131" s="25"/>
      <c r="AI131" s="13"/>
      <c r="AN131" s="116"/>
      <c r="AO131" s="123"/>
      <c r="AP131" s="123"/>
      <c r="AQ131" s="123"/>
      <c r="AV131" s="115"/>
      <c r="AW131" s="115"/>
      <c r="AX131" s="115"/>
      <c r="AY131" s="115"/>
      <c r="AZ131" s="115"/>
      <c r="BA131" s="115"/>
      <c r="BB131" s="115"/>
      <c r="BC131" s="115"/>
      <c r="BD131" s="115"/>
      <c r="BE131" s="115"/>
      <c r="BF131" s="25"/>
      <c r="BG131" s="13"/>
      <c r="BJ131" s="114"/>
    </row>
    <row r="132" spans="1:62" ht="20.100000000000001" customHeight="1" x14ac:dyDescent="0.4">
      <c r="A132" s="117"/>
      <c r="B132" s="123"/>
      <c r="C132" s="123"/>
      <c r="D132" s="123"/>
      <c r="F132" s="117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25"/>
      <c r="X132" s="13"/>
      <c r="AH132" s="25"/>
      <c r="AI132" s="13"/>
      <c r="AN132" s="116"/>
      <c r="AO132" s="123"/>
      <c r="AP132" s="123"/>
      <c r="AQ132" s="123"/>
      <c r="AV132" s="115"/>
      <c r="AW132" s="115"/>
      <c r="AX132" s="115"/>
      <c r="AY132" s="115"/>
      <c r="AZ132" s="115"/>
      <c r="BA132" s="115"/>
      <c r="BB132" s="115"/>
      <c r="BC132" s="115"/>
      <c r="BD132" s="115"/>
      <c r="BE132" s="115"/>
      <c r="BF132" s="25"/>
      <c r="BG132" s="13"/>
      <c r="BJ132" s="114"/>
    </row>
    <row r="133" spans="1:62" ht="20.100000000000001" customHeight="1" x14ac:dyDescent="0.4">
      <c r="A133" s="117"/>
      <c r="B133" s="123"/>
      <c r="C133" s="123"/>
      <c r="D133" s="123"/>
      <c r="F133" s="117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25"/>
      <c r="X133" s="13"/>
      <c r="AH133" s="25"/>
      <c r="AI133" s="13"/>
      <c r="AN133" s="116"/>
      <c r="AO133" s="123"/>
      <c r="AP133" s="123"/>
      <c r="AQ133" s="123"/>
      <c r="AV133" s="115"/>
      <c r="AW133" s="115"/>
      <c r="AX133" s="115"/>
      <c r="AY133" s="115"/>
      <c r="AZ133" s="115"/>
      <c r="BA133" s="115"/>
      <c r="BB133" s="115"/>
      <c r="BC133" s="115"/>
      <c r="BD133" s="115"/>
      <c r="BE133" s="115"/>
      <c r="BF133" s="25"/>
      <c r="BG133" s="13"/>
      <c r="BJ133" s="114"/>
    </row>
    <row r="134" spans="1:62" ht="20.100000000000001" customHeight="1" x14ac:dyDescent="0.4">
      <c r="A134" s="117"/>
      <c r="B134" s="123"/>
      <c r="C134" s="123"/>
      <c r="D134" s="123"/>
      <c r="F134" s="117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25"/>
      <c r="X134" s="13"/>
      <c r="AH134" s="25"/>
      <c r="AI134" s="13"/>
      <c r="AN134" s="116"/>
      <c r="AO134" s="123"/>
      <c r="AP134" s="123"/>
      <c r="AQ134" s="123"/>
      <c r="AV134" s="115"/>
      <c r="AW134" s="115"/>
      <c r="AX134" s="115"/>
      <c r="AY134" s="115"/>
      <c r="AZ134" s="115"/>
      <c r="BA134" s="115"/>
      <c r="BB134" s="115"/>
      <c r="BC134" s="115"/>
      <c r="BD134" s="115"/>
      <c r="BE134" s="115"/>
      <c r="BF134" s="25"/>
      <c r="BG134" s="13"/>
      <c r="BJ134" s="114"/>
    </row>
    <row r="135" spans="1:62" ht="20.100000000000001" customHeight="1" x14ac:dyDescent="0.4">
      <c r="A135" s="117"/>
      <c r="B135" s="123"/>
      <c r="C135" s="123"/>
      <c r="D135" s="123"/>
      <c r="F135" s="117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25"/>
      <c r="X135" s="15"/>
      <c r="AH135" s="25"/>
      <c r="AI135" s="13"/>
      <c r="AN135" s="116"/>
      <c r="AO135" s="123"/>
      <c r="AP135" s="123"/>
      <c r="AQ135" s="123"/>
      <c r="AV135" s="115"/>
      <c r="AW135" s="115"/>
      <c r="AX135" s="115"/>
      <c r="AY135" s="115"/>
      <c r="AZ135" s="115"/>
      <c r="BA135" s="115"/>
      <c r="BB135" s="115"/>
      <c r="BC135" s="115"/>
      <c r="BD135" s="115"/>
      <c r="BE135" s="115"/>
      <c r="BF135" s="25"/>
      <c r="BG135" s="13"/>
      <c r="BJ135" s="114"/>
    </row>
    <row r="136" spans="1:62" ht="20.100000000000001" customHeight="1" x14ac:dyDescent="0.4">
      <c r="A136" s="117"/>
      <c r="B136" s="123"/>
      <c r="C136" s="123"/>
      <c r="D136" s="123"/>
      <c r="F136" s="117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25"/>
      <c r="X136" s="132"/>
      <c r="AH136" s="25"/>
      <c r="AI136" s="13"/>
      <c r="AN136" s="116"/>
      <c r="AO136" s="123"/>
      <c r="AP136" s="123"/>
      <c r="AQ136" s="123"/>
      <c r="AV136" s="115"/>
      <c r="AW136" s="115"/>
      <c r="AX136" s="115"/>
      <c r="AY136" s="115"/>
      <c r="AZ136" s="115"/>
      <c r="BA136" s="115"/>
      <c r="BB136" s="115"/>
      <c r="BC136" s="115"/>
      <c r="BD136" s="115"/>
      <c r="BE136" s="115"/>
      <c r="BF136" s="25"/>
      <c r="BG136" s="13"/>
      <c r="BJ136" s="114"/>
    </row>
    <row r="137" spans="1:62" ht="20.100000000000001" customHeight="1" x14ac:dyDescent="0.4">
      <c r="A137" s="117"/>
      <c r="B137" s="123"/>
      <c r="C137" s="123"/>
      <c r="D137" s="123"/>
      <c r="F137" s="117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25"/>
      <c r="X137" s="15"/>
      <c r="AH137" s="25"/>
      <c r="AI137" s="13"/>
      <c r="AN137" s="116"/>
      <c r="AO137" s="123"/>
      <c r="AP137" s="123"/>
      <c r="AQ137" s="123"/>
      <c r="AV137" s="115"/>
      <c r="AW137" s="115"/>
      <c r="AX137" s="115"/>
      <c r="AY137" s="115"/>
      <c r="AZ137" s="115"/>
      <c r="BA137" s="115"/>
      <c r="BB137" s="115"/>
      <c r="BC137" s="115"/>
      <c r="BD137" s="115"/>
      <c r="BE137" s="115"/>
      <c r="BF137" s="25"/>
      <c r="BG137" s="13"/>
      <c r="BJ137" s="114"/>
    </row>
    <row r="138" spans="1:62" ht="20.100000000000001" customHeight="1" x14ac:dyDescent="0.4">
      <c r="A138" s="117"/>
      <c r="B138" s="123"/>
      <c r="C138" s="123"/>
      <c r="D138" s="123"/>
      <c r="F138" s="12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25"/>
      <c r="X138" s="15"/>
      <c r="AH138" s="25"/>
      <c r="AI138" s="13"/>
      <c r="AN138" s="116"/>
      <c r="AO138" s="123"/>
      <c r="AP138" s="123"/>
      <c r="AQ138" s="123"/>
      <c r="AV138" s="115"/>
      <c r="AW138" s="115"/>
      <c r="AX138" s="115"/>
      <c r="AY138" s="115"/>
      <c r="AZ138" s="115"/>
      <c r="BA138" s="115"/>
      <c r="BB138" s="115"/>
      <c r="BC138" s="115"/>
      <c r="BD138" s="115"/>
      <c r="BE138" s="115"/>
      <c r="BF138" s="25"/>
      <c r="BG138" s="13"/>
      <c r="BJ138" s="114"/>
    </row>
    <row r="139" spans="1:62" ht="20.100000000000001" customHeight="1" x14ac:dyDescent="0.4">
      <c r="A139" s="117"/>
      <c r="B139" s="123"/>
      <c r="C139" s="123"/>
      <c r="D139" s="123"/>
      <c r="F139" s="12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25"/>
      <c r="X139" s="15"/>
      <c r="AH139" s="25"/>
      <c r="AI139" s="13"/>
      <c r="AN139" s="116"/>
      <c r="AO139" s="123"/>
      <c r="AP139" s="123"/>
      <c r="AQ139" s="123"/>
      <c r="AV139" s="115"/>
      <c r="AW139" s="115"/>
      <c r="AX139" s="115"/>
      <c r="AY139" s="115"/>
      <c r="AZ139" s="115"/>
      <c r="BA139" s="115"/>
      <c r="BB139" s="115"/>
      <c r="BC139" s="115"/>
      <c r="BD139" s="115"/>
      <c r="BE139" s="115"/>
      <c r="BF139" s="25"/>
      <c r="BG139" s="13"/>
      <c r="BJ139" s="114"/>
    </row>
    <row r="140" spans="1:62" ht="20.100000000000001" customHeight="1" x14ac:dyDescent="0.4">
      <c r="A140" s="117"/>
      <c r="B140" s="123"/>
      <c r="C140" s="123"/>
      <c r="D140" s="123"/>
      <c r="F140" s="12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3"/>
      <c r="X140" s="15"/>
      <c r="AH140" s="25"/>
      <c r="AI140" s="13"/>
      <c r="AN140" s="116"/>
      <c r="AO140" s="123"/>
      <c r="AP140" s="123"/>
      <c r="AQ140" s="123"/>
      <c r="AV140" s="115"/>
      <c r="AW140" s="115"/>
      <c r="AX140" s="115"/>
      <c r="AY140" s="115"/>
      <c r="AZ140" s="115"/>
      <c r="BA140" s="115"/>
      <c r="BB140" s="115"/>
      <c r="BC140" s="115"/>
      <c r="BD140" s="115"/>
      <c r="BE140" s="115"/>
      <c r="BF140" s="25"/>
      <c r="BG140" s="13"/>
      <c r="BJ140" s="114"/>
    </row>
    <row r="141" spans="1:62" ht="20.100000000000001" customHeight="1" x14ac:dyDescent="0.4">
      <c r="A141" s="117"/>
      <c r="B141" s="123"/>
      <c r="C141" s="123"/>
      <c r="D141" s="123"/>
      <c r="F141" s="12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25"/>
      <c r="X141" s="15"/>
      <c r="AH141" s="25"/>
      <c r="AI141" s="13"/>
      <c r="AN141" s="116"/>
      <c r="AO141" s="123"/>
      <c r="AP141" s="123"/>
      <c r="AQ141" s="123"/>
      <c r="AV141" s="115"/>
      <c r="AW141" s="115"/>
      <c r="AX141" s="115"/>
      <c r="AY141" s="115"/>
      <c r="AZ141" s="115"/>
      <c r="BA141" s="115"/>
      <c r="BB141" s="115"/>
      <c r="BC141" s="115"/>
      <c r="BD141" s="115"/>
      <c r="BE141" s="115"/>
      <c r="BF141" s="25"/>
      <c r="BG141" s="13"/>
      <c r="BJ141" s="114"/>
    </row>
    <row r="142" spans="1:62" ht="20.100000000000001" customHeight="1" x14ac:dyDescent="0.4">
      <c r="A142" s="117"/>
      <c r="B142" s="123"/>
      <c r="C142" s="123"/>
      <c r="D142" s="123"/>
      <c r="F142" s="12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25"/>
      <c r="X142" s="15"/>
      <c r="AH142" s="25"/>
      <c r="AI142" s="13"/>
      <c r="AN142" s="116"/>
      <c r="AO142" s="123"/>
      <c r="AP142" s="123"/>
      <c r="AQ142" s="123"/>
      <c r="AV142" s="115"/>
      <c r="AW142" s="115"/>
      <c r="AX142" s="115"/>
      <c r="AY142" s="115"/>
      <c r="AZ142" s="115"/>
      <c r="BA142" s="115"/>
      <c r="BB142" s="115"/>
      <c r="BC142" s="115"/>
      <c r="BD142" s="115"/>
      <c r="BE142" s="115"/>
      <c r="BF142" s="25"/>
      <c r="BG142" s="13"/>
      <c r="BJ142" s="114"/>
    </row>
    <row r="143" spans="1:62" ht="20.100000000000001" customHeight="1" x14ac:dyDescent="0.4">
      <c r="A143" s="117"/>
      <c r="B143" s="123"/>
      <c r="C143" s="123"/>
      <c r="D143" s="123"/>
      <c r="F143" s="12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25"/>
      <c r="X143" s="15"/>
      <c r="AH143" s="25"/>
      <c r="AI143" s="13"/>
      <c r="AN143" s="116"/>
      <c r="AO143" s="123"/>
      <c r="AP143" s="123"/>
      <c r="AQ143" s="123"/>
      <c r="AV143" s="115"/>
      <c r="AW143" s="115"/>
      <c r="AX143" s="115"/>
      <c r="AY143" s="115"/>
      <c r="AZ143" s="115"/>
      <c r="BA143" s="115"/>
      <c r="BB143" s="115"/>
      <c r="BC143" s="115"/>
      <c r="BD143" s="115"/>
      <c r="BE143" s="115"/>
      <c r="BF143" s="25"/>
      <c r="BG143" s="13"/>
      <c r="BJ143" s="114"/>
    </row>
    <row r="144" spans="1:62" ht="20.100000000000001" customHeight="1" x14ac:dyDescent="0.4">
      <c r="A144" s="117"/>
      <c r="B144" s="123"/>
      <c r="C144" s="123"/>
      <c r="D144" s="123"/>
      <c r="F144" s="12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25"/>
      <c r="X144" s="15"/>
      <c r="AH144" s="25"/>
      <c r="AI144" s="13"/>
      <c r="AN144" s="116"/>
      <c r="AO144" s="123"/>
      <c r="AP144" s="123"/>
      <c r="AQ144" s="123"/>
      <c r="AV144" s="115"/>
      <c r="AW144" s="115"/>
      <c r="AX144" s="115"/>
      <c r="AY144" s="115"/>
      <c r="AZ144" s="115"/>
      <c r="BA144" s="115"/>
      <c r="BB144" s="115"/>
      <c r="BC144" s="115"/>
      <c r="BD144" s="115"/>
      <c r="BE144" s="115"/>
      <c r="BF144" s="25"/>
      <c r="BG144" s="13"/>
      <c r="BJ144" s="114"/>
    </row>
    <row r="145" spans="1:62" ht="20.100000000000001" customHeight="1" x14ac:dyDescent="0.4">
      <c r="A145" s="117"/>
      <c r="B145" s="123"/>
      <c r="C145" s="123"/>
      <c r="D145" s="123"/>
      <c r="F145" s="12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3"/>
      <c r="X145" s="15"/>
      <c r="AH145" s="25"/>
      <c r="AI145" s="13"/>
      <c r="AN145" s="116"/>
      <c r="AO145" s="123"/>
      <c r="AP145" s="123"/>
      <c r="AQ145" s="123"/>
      <c r="AV145" s="115"/>
      <c r="AW145" s="115"/>
      <c r="AX145" s="115"/>
      <c r="AY145" s="115"/>
      <c r="AZ145" s="115"/>
      <c r="BA145" s="115"/>
      <c r="BB145" s="115"/>
      <c r="BC145" s="115"/>
      <c r="BD145" s="115"/>
      <c r="BE145" s="115"/>
      <c r="BF145" s="25"/>
      <c r="BG145" s="13"/>
      <c r="BJ145" s="114"/>
    </row>
    <row r="146" spans="1:62" ht="20.100000000000001" customHeight="1" x14ac:dyDescent="0.4">
      <c r="A146" s="117"/>
      <c r="B146" s="123"/>
      <c r="C146" s="123"/>
      <c r="D146" s="123"/>
      <c r="F146" s="12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25"/>
      <c r="X146" s="15"/>
      <c r="AH146" s="25"/>
      <c r="AI146" s="13"/>
      <c r="AN146" s="116"/>
      <c r="AO146" s="123"/>
      <c r="AP146" s="123"/>
      <c r="AQ146" s="123"/>
      <c r="AV146" s="115"/>
      <c r="AW146" s="115"/>
      <c r="AX146" s="115"/>
      <c r="AY146" s="115"/>
      <c r="AZ146" s="115"/>
      <c r="BA146" s="115"/>
      <c r="BB146" s="115"/>
      <c r="BC146" s="115"/>
      <c r="BD146" s="115"/>
      <c r="BE146" s="115"/>
      <c r="BF146" s="25"/>
      <c r="BG146" s="13"/>
      <c r="BJ146" s="114"/>
    </row>
    <row r="147" spans="1:62" ht="20.100000000000001" customHeight="1" x14ac:dyDescent="0.4">
      <c r="A147" s="117"/>
      <c r="B147" s="123"/>
      <c r="C147" s="123"/>
      <c r="D147" s="123"/>
      <c r="F147" s="12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25"/>
      <c r="X147" s="15"/>
      <c r="AH147" s="25"/>
      <c r="AI147" s="13"/>
      <c r="AN147" s="116"/>
      <c r="AO147" s="123"/>
      <c r="AP147" s="123"/>
      <c r="AQ147" s="123"/>
      <c r="AV147" s="115"/>
      <c r="AW147" s="115"/>
      <c r="AX147" s="115"/>
      <c r="AY147" s="115"/>
      <c r="AZ147" s="115"/>
      <c r="BA147" s="115"/>
      <c r="BB147" s="115"/>
      <c r="BC147" s="115"/>
      <c r="BD147" s="115"/>
      <c r="BE147" s="115"/>
      <c r="BF147" s="25"/>
      <c r="BG147" s="13"/>
      <c r="BJ147" s="114"/>
    </row>
    <row r="148" spans="1:62" ht="20.100000000000001" customHeight="1" x14ac:dyDescent="0.4">
      <c r="A148" s="117"/>
      <c r="B148" s="123"/>
      <c r="C148" s="123"/>
      <c r="D148" s="123"/>
      <c r="F148" s="12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25"/>
      <c r="X148" s="15"/>
      <c r="AH148" s="25"/>
      <c r="AI148" s="13"/>
      <c r="AN148" s="116"/>
      <c r="AO148" s="123"/>
      <c r="AP148" s="123"/>
      <c r="AQ148" s="123"/>
      <c r="AV148" s="115"/>
      <c r="AW148" s="115"/>
      <c r="AX148" s="115"/>
      <c r="AY148" s="115"/>
      <c r="AZ148" s="115"/>
      <c r="BA148" s="115"/>
      <c r="BB148" s="115"/>
      <c r="BC148" s="115"/>
      <c r="BD148" s="115"/>
      <c r="BE148" s="115"/>
      <c r="BF148" s="25"/>
      <c r="BG148" s="13"/>
      <c r="BJ148" s="114"/>
    </row>
    <row r="149" spans="1:62" ht="20.100000000000001" customHeight="1" x14ac:dyDescent="0.4">
      <c r="A149" s="117"/>
      <c r="B149" s="123"/>
      <c r="C149" s="123"/>
      <c r="D149" s="123"/>
      <c r="F149" s="12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25"/>
      <c r="X149" s="15"/>
      <c r="AH149" s="25"/>
      <c r="AI149" s="13"/>
      <c r="AN149" s="116"/>
      <c r="AO149" s="123"/>
      <c r="AP149" s="123"/>
      <c r="AQ149" s="123"/>
      <c r="AV149" s="115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25"/>
      <c r="BG149" s="13"/>
      <c r="BJ149" s="114"/>
    </row>
    <row r="150" spans="1:62" ht="20.100000000000001" customHeight="1" x14ac:dyDescent="0.4">
      <c r="A150" s="117"/>
      <c r="B150" s="123"/>
      <c r="C150" s="123"/>
      <c r="D150" s="123"/>
      <c r="F150" s="12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25"/>
      <c r="X150" s="15"/>
      <c r="AH150" s="25"/>
      <c r="AI150" s="13"/>
      <c r="AN150" s="116"/>
      <c r="AO150" s="123"/>
      <c r="AP150" s="123"/>
      <c r="AQ150" s="123"/>
      <c r="AV150" s="115"/>
      <c r="AW150" s="115"/>
      <c r="AX150" s="115"/>
      <c r="AY150" s="115"/>
      <c r="AZ150" s="115"/>
      <c r="BA150" s="115"/>
      <c r="BB150" s="115"/>
      <c r="BC150" s="115"/>
      <c r="BD150" s="115"/>
      <c r="BE150" s="115"/>
      <c r="BF150" s="25"/>
      <c r="BG150" s="13"/>
      <c r="BJ150" s="114"/>
    </row>
    <row r="151" spans="1:62" ht="20.100000000000001" customHeight="1" x14ac:dyDescent="0.4">
      <c r="A151" s="117"/>
      <c r="B151" s="123"/>
      <c r="C151" s="123"/>
      <c r="D151" s="123"/>
      <c r="F151" s="12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25"/>
      <c r="X151" s="15"/>
      <c r="AH151" s="25"/>
      <c r="AI151" s="13"/>
      <c r="AN151" s="116"/>
      <c r="AO151" s="123"/>
      <c r="AP151" s="123"/>
      <c r="AQ151" s="123"/>
      <c r="AV151" s="115"/>
      <c r="AW151" s="115"/>
      <c r="AX151" s="115"/>
      <c r="AY151" s="115"/>
      <c r="AZ151" s="115"/>
      <c r="BA151" s="115"/>
      <c r="BB151" s="115"/>
      <c r="BC151" s="115"/>
      <c r="BD151" s="115"/>
      <c r="BE151" s="115"/>
      <c r="BF151" s="25"/>
      <c r="BG151" s="13"/>
      <c r="BJ151" s="114"/>
    </row>
    <row r="152" spans="1:62" ht="20.100000000000001" customHeight="1" x14ac:dyDescent="0.4">
      <c r="A152" s="117"/>
      <c r="B152" s="123"/>
      <c r="C152" s="123"/>
      <c r="D152" s="123"/>
      <c r="F152" s="12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3"/>
      <c r="X152" s="15"/>
      <c r="AH152" s="25"/>
      <c r="AI152" s="13"/>
      <c r="AN152" s="116"/>
      <c r="AO152" s="123"/>
      <c r="AP152" s="123"/>
      <c r="AQ152" s="123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25"/>
      <c r="BG152" s="13"/>
      <c r="BJ152" s="114"/>
    </row>
    <row r="153" spans="1:62" ht="20.100000000000001" customHeight="1" x14ac:dyDescent="0.4">
      <c r="A153" s="117"/>
      <c r="B153" s="123"/>
      <c r="C153" s="123"/>
      <c r="D153" s="123"/>
      <c r="F153" s="12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25"/>
      <c r="X153" s="15"/>
      <c r="AH153" s="25"/>
      <c r="AI153" s="13"/>
      <c r="AN153" s="116"/>
      <c r="AO153" s="123"/>
      <c r="AP153" s="123"/>
      <c r="AQ153" s="123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25"/>
      <c r="BG153" s="13"/>
      <c r="BJ153" s="114"/>
    </row>
    <row r="154" spans="1:62" ht="20.100000000000001" customHeight="1" x14ac:dyDescent="0.4">
      <c r="A154" s="117"/>
      <c r="B154" s="123"/>
      <c r="C154" s="123"/>
      <c r="D154" s="123"/>
      <c r="F154" s="12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25"/>
      <c r="X154" s="15"/>
      <c r="AH154" s="25"/>
      <c r="AI154" s="13"/>
      <c r="AN154" s="116"/>
      <c r="AO154" s="123"/>
      <c r="AP154" s="123"/>
      <c r="AQ154" s="123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25"/>
      <c r="BG154" s="13"/>
      <c r="BJ154" s="114"/>
    </row>
    <row r="155" spans="1:62" ht="20.100000000000001" customHeight="1" x14ac:dyDescent="0.4">
      <c r="A155" s="117"/>
      <c r="B155" s="123"/>
      <c r="C155" s="123"/>
      <c r="D155" s="123"/>
      <c r="F155" s="12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25"/>
      <c r="X155" s="15"/>
      <c r="AH155" s="25"/>
      <c r="AI155" s="13"/>
      <c r="AN155" s="116"/>
      <c r="AO155" s="123"/>
      <c r="AP155" s="123"/>
      <c r="AQ155" s="123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25"/>
      <c r="BG155" s="13"/>
      <c r="BJ155" s="114"/>
    </row>
    <row r="156" spans="1:62" ht="20.100000000000001" customHeight="1" x14ac:dyDescent="0.4">
      <c r="A156" s="117"/>
      <c r="B156" s="123"/>
      <c r="C156" s="123"/>
      <c r="D156" s="123"/>
      <c r="F156" s="12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3"/>
      <c r="X156" s="15"/>
      <c r="AH156" s="25"/>
      <c r="AI156" s="13"/>
      <c r="AN156" s="116"/>
      <c r="AO156" s="123"/>
      <c r="AP156" s="123"/>
      <c r="AQ156" s="123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25"/>
      <c r="BG156" s="13"/>
      <c r="BJ156" s="114"/>
    </row>
    <row r="157" spans="1:62" ht="20.100000000000001" customHeight="1" x14ac:dyDescent="0.4">
      <c r="A157" s="117"/>
      <c r="B157" s="123"/>
      <c r="C157" s="123"/>
      <c r="D157" s="123"/>
      <c r="F157" s="12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25"/>
      <c r="X157" s="15"/>
      <c r="AH157" s="25"/>
      <c r="AI157" s="13"/>
      <c r="AN157" s="116"/>
      <c r="AO157" s="123"/>
      <c r="AP157" s="123"/>
      <c r="AQ157" s="123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25"/>
      <c r="BG157" s="13"/>
      <c r="BJ157" s="114"/>
    </row>
    <row r="158" spans="1:62" ht="20.100000000000001" customHeight="1" x14ac:dyDescent="0.4">
      <c r="A158" s="117"/>
      <c r="B158" s="123"/>
      <c r="C158" s="123"/>
      <c r="D158" s="123"/>
      <c r="F158" s="12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25"/>
      <c r="X158" s="15"/>
      <c r="AH158" s="25"/>
      <c r="AI158" s="13"/>
      <c r="AN158" s="116"/>
      <c r="AO158" s="123"/>
      <c r="AP158" s="123"/>
      <c r="AQ158" s="123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25"/>
      <c r="BG158" s="13"/>
      <c r="BJ158" s="114"/>
    </row>
    <row r="159" spans="1:62" ht="20.100000000000001" customHeight="1" x14ac:dyDescent="0.4">
      <c r="A159" s="117"/>
      <c r="B159" s="123"/>
      <c r="C159" s="123"/>
      <c r="D159" s="123"/>
      <c r="F159" s="12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25"/>
      <c r="X159" s="15"/>
      <c r="AH159" s="25"/>
      <c r="AI159" s="13"/>
      <c r="AN159" s="116"/>
      <c r="AO159" s="123"/>
      <c r="AP159" s="123"/>
      <c r="AQ159" s="123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25"/>
      <c r="BG159" s="13"/>
      <c r="BJ159" s="114"/>
    </row>
    <row r="160" spans="1:62" ht="20.100000000000001" customHeight="1" x14ac:dyDescent="0.4">
      <c r="A160" s="117"/>
      <c r="B160" s="123"/>
      <c r="C160" s="123"/>
      <c r="D160" s="123"/>
      <c r="F160" s="12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3"/>
      <c r="X160" s="15"/>
      <c r="AH160" s="25"/>
      <c r="AI160" s="13"/>
      <c r="AN160" s="116"/>
      <c r="AO160" s="123"/>
      <c r="AP160" s="123"/>
      <c r="AQ160" s="123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25"/>
      <c r="BG160" s="13"/>
      <c r="BJ160" s="114"/>
    </row>
    <row r="161" spans="1:62" ht="20.100000000000001" customHeight="1" x14ac:dyDescent="0.4">
      <c r="A161" s="117"/>
      <c r="B161" s="123"/>
      <c r="C161" s="123"/>
      <c r="D161" s="123"/>
      <c r="F161" s="12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25"/>
      <c r="X161" s="15"/>
      <c r="AH161" s="25"/>
      <c r="AI161" s="13"/>
      <c r="AN161" s="116"/>
      <c r="AO161" s="123"/>
      <c r="AP161" s="123"/>
      <c r="AQ161" s="123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25"/>
      <c r="BG161" s="13"/>
      <c r="BJ161" s="114"/>
    </row>
    <row r="162" spans="1:62" ht="20.100000000000001" customHeight="1" x14ac:dyDescent="0.4">
      <c r="A162" s="117"/>
      <c r="B162" s="123"/>
      <c r="C162" s="123"/>
      <c r="D162" s="123"/>
      <c r="F162" s="12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25"/>
      <c r="X162" s="15"/>
      <c r="AH162" s="25"/>
      <c r="AI162" s="13"/>
      <c r="AN162" s="116"/>
      <c r="AO162" s="123"/>
      <c r="AP162" s="123"/>
      <c r="AQ162" s="123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25"/>
      <c r="BG162" s="13"/>
      <c r="BJ162" s="114"/>
    </row>
    <row r="163" spans="1:62" ht="20.100000000000001" customHeight="1" x14ac:dyDescent="0.4">
      <c r="A163" s="117"/>
      <c r="B163" s="123"/>
      <c r="C163" s="123"/>
      <c r="D163" s="123"/>
      <c r="F163" s="12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25"/>
      <c r="X163" s="15"/>
      <c r="AH163" s="25"/>
      <c r="AI163" s="13"/>
      <c r="AN163" s="116"/>
      <c r="AO163" s="123"/>
      <c r="AP163" s="123"/>
      <c r="AQ163" s="123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25"/>
      <c r="BG163" s="13"/>
      <c r="BJ163" s="114"/>
    </row>
    <row r="164" spans="1:62" ht="20.100000000000001" customHeight="1" x14ac:dyDescent="0.4">
      <c r="A164" s="117"/>
      <c r="B164" s="123"/>
      <c r="C164" s="123"/>
      <c r="D164" s="123"/>
      <c r="F164" s="12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25"/>
      <c r="X164" s="15"/>
      <c r="AH164" s="25"/>
      <c r="AI164" s="13"/>
      <c r="AN164" s="116"/>
      <c r="AO164" s="123"/>
      <c r="AP164" s="123"/>
      <c r="AQ164" s="123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25"/>
      <c r="BG164" s="13"/>
      <c r="BJ164" s="114"/>
    </row>
    <row r="165" spans="1:62" ht="20.100000000000001" customHeight="1" x14ac:dyDescent="0.4">
      <c r="A165" s="117"/>
      <c r="B165" s="123"/>
      <c r="C165" s="123"/>
      <c r="D165" s="123"/>
      <c r="F165" s="12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3"/>
      <c r="X165" s="13"/>
      <c r="AH165" s="25"/>
      <c r="AI165" s="13"/>
      <c r="AN165" s="116"/>
      <c r="AO165" s="123"/>
      <c r="AP165" s="123"/>
      <c r="AQ165" s="123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25"/>
      <c r="BG165" s="13"/>
      <c r="BJ165" s="114"/>
    </row>
    <row r="166" spans="1:62" ht="20.100000000000001" customHeight="1" x14ac:dyDescent="0.4">
      <c r="A166" s="117"/>
      <c r="B166" s="123"/>
      <c r="C166" s="123"/>
      <c r="D166" s="123"/>
      <c r="F166" s="125"/>
      <c r="W166" s="25"/>
      <c r="X166" s="13"/>
      <c r="AD166" s="115"/>
      <c r="AE166" s="115"/>
      <c r="AF166" s="115"/>
      <c r="AG166" s="115"/>
      <c r="AH166" s="25">
        <v>45669</v>
      </c>
      <c r="AI166" s="13" t="s">
        <v>147</v>
      </c>
      <c r="AN166" s="116"/>
      <c r="AO166" s="123"/>
      <c r="AP166" s="123"/>
      <c r="AQ166" s="123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25"/>
      <c r="BG166" s="13"/>
      <c r="BJ166" s="114"/>
    </row>
    <row r="167" spans="1:62" ht="20.100000000000001" customHeight="1" x14ac:dyDescent="0.4">
      <c r="A167" s="117"/>
      <c r="B167" s="123"/>
      <c r="C167" s="123"/>
      <c r="D167" s="123"/>
      <c r="F167" s="125"/>
      <c r="U167" s="115"/>
      <c r="V167" s="115"/>
      <c r="W167" s="13"/>
      <c r="X167" s="13"/>
      <c r="AD167" s="115"/>
      <c r="AE167" s="115"/>
      <c r="AF167" s="115"/>
      <c r="AG167" s="115"/>
      <c r="AH167" s="25"/>
      <c r="AI167" s="13"/>
      <c r="AN167" s="116"/>
      <c r="AO167" s="123"/>
      <c r="AP167" s="123"/>
      <c r="AQ167" s="123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25"/>
      <c r="BG167" s="13"/>
      <c r="BJ167" s="114"/>
    </row>
    <row r="168" spans="1:62" ht="20.100000000000001" customHeight="1" x14ac:dyDescent="0.4">
      <c r="A168" s="117"/>
      <c r="B168" s="123"/>
      <c r="C168" s="123"/>
      <c r="D168" s="123"/>
      <c r="F168" s="125"/>
      <c r="N168" s="115"/>
      <c r="O168" s="115"/>
      <c r="P168" s="115"/>
      <c r="Q168" s="115"/>
      <c r="R168" s="115"/>
      <c r="S168" s="115"/>
      <c r="T168" s="115"/>
      <c r="U168" s="115"/>
      <c r="V168" s="115"/>
      <c r="W168" s="25"/>
      <c r="X168" s="13"/>
      <c r="AD168" s="115"/>
      <c r="AE168" s="115"/>
      <c r="AF168" s="115"/>
      <c r="AG168" s="115"/>
      <c r="AH168" s="25"/>
      <c r="AI168" s="13"/>
      <c r="AN168" s="116"/>
      <c r="AO168" s="123"/>
      <c r="AP168" s="123"/>
      <c r="AQ168" s="123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25"/>
      <c r="BG168" s="13"/>
      <c r="BJ168" s="114"/>
    </row>
    <row r="169" spans="1:62" ht="20.100000000000001" customHeight="1" x14ac:dyDescent="0.4">
      <c r="A169" s="117"/>
      <c r="B169" s="123"/>
      <c r="C169" s="123"/>
      <c r="D169" s="123"/>
      <c r="F169" s="125"/>
      <c r="W169" s="25"/>
      <c r="X169" s="13"/>
      <c r="AD169" s="115"/>
      <c r="AE169" s="115"/>
      <c r="AF169" s="115"/>
      <c r="AG169" s="115"/>
      <c r="AH169" s="25"/>
      <c r="AI169" s="13"/>
      <c r="AN169" s="116"/>
      <c r="AO169" s="123"/>
      <c r="AP169" s="123"/>
      <c r="AQ169" s="123"/>
      <c r="AV169" s="115"/>
      <c r="AW169" s="115"/>
      <c r="AX169" s="115"/>
      <c r="AY169" s="115"/>
      <c r="AZ169" s="115"/>
      <c r="BA169" s="115"/>
      <c r="BB169" s="115"/>
      <c r="BC169" s="115"/>
      <c r="BD169" s="115"/>
      <c r="BE169" s="115"/>
      <c r="BF169" s="25"/>
      <c r="BG169" s="13"/>
      <c r="BJ169" s="114"/>
    </row>
    <row r="170" spans="1:62" ht="20.100000000000001" customHeight="1" x14ac:dyDescent="0.4">
      <c r="A170" s="117"/>
      <c r="B170" s="123"/>
      <c r="C170" s="123"/>
      <c r="D170" s="123"/>
      <c r="F170" s="125"/>
      <c r="U170" s="115"/>
      <c r="V170" s="115"/>
      <c r="W170" s="13"/>
      <c r="X170" s="13"/>
      <c r="AD170" s="115"/>
      <c r="AE170" s="115"/>
      <c r="AF170" s="115"/>
      <c r="AG170" s="115"/>
      <c r="AH170" s="25"/>
      <c r="AI170" s="13"/>
      <c r="AN170" s="116"/>
      <c r="AO170" s="123"/>
      <c r="AP170" s="123"/>
      <c r="AQ170" s="123"/>
      <c r="AV170" s="115"/>
      <c r="AW170" s="115"/>
      <c r="AX170" s="115"/>
      <c r="AY170" s="115"/>
      <c r="AZ170" s="115"/>
      <c r="BA170" s="115"/>
      <c r="BB170" s="115"/>
      <c r="BC170" s="115"/>
      <c r="BD170" s="115"/>
      <c r="BE170" s="115"/>
      <c r="BF170" s="25"/>
      <c r="BG170" s="13"/>
      <c r="BJ170" s="114"/>
    </row>
    <row r="171" spans="1:62" ht="20.100000000000001" customHeight="1" x14ac:dyDescent="0.4">
      <c r="A171" s="117"/>
      <c r="B171" s="123"/>
      <c r="C171" s="123"/>
      <c r="D171" s="123"/>
      <c r="F171" s="12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25"/>
      <c r="X171" s="13"/>
      <c r="AD171" s="115"/>
      <c r="AE171" s="115"/>
      <c r="AF171" s="115"/>
      <c r="AG171" s="115"/>
      <c r="AH171" s="25"/>
      <c r="AI171" s="13"/>
      <c r="AN171" s="116"/>
      <c r="AO171" s="123"/>
      <c r="AP171" s="123"/>
      <c r="AQ171" s="123"/>
      <c r="AV171" s="115"/>
      <c r="AW171" s="115"/>
      <c r="AX171" s="115"/>
      <c r="AY171" s="115"/>
      <c r="AZ171" s="115"/>
      <c r="BA171" s="115"/>
      <c r="BB171" s="115"/>
      <c r="BC171" s="115"/>
      <c r="BD171" s="115"/>
      <c r="BE171" s="115"/>
      <c r="BF171" s="25"/>
      <c r="BG171" s="13"/>
      <c r="BJ171" s="114"/>
    </row>
    <row r="172" spans="1:62" ht="20.100000000000001" customHeight="1" x14ac:dyDescent="0.4">
      <c r="A172" s="117"/>
      <c r="B172" s="123"/>
      <c r="C172" s="123"/>
      <c r="D172" s="123"/>
      <c r="F172" s="12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25"/>
      <c r="X172" s="13"/>
      <c r="AD172" s="115"/>
      <c r="AE172" s="115"/>
      <c r="AF172" s="115"/>
      <c r="AG172" s="115"/>
      <c r="AH172" s="25"/>
      <c r="AI172" s="13"/>
      <c r="AN172" s="116"/>
      <c r="AO172" s="123"/>
      <c r="AP172" s="123"/>
      <c r="AQ172" s="123"/>
      <c r="AV172" s="115"/>
      <c r="AW172" s="115"/>
      <c r="AX172" s="115"/>
      <c r="AY172" s="115"/>
      <c r="AZ172" s="115"/>
      <c r="BA172" s="115"/>
      <c r="BB172" s="115"/>
      <c r="BC172" s="115"/>
      <c r="BD172" s="115"/>
      <c r="BE172" s="115"/>
      <c r="BF172" s="25"/>
      <c r="BG172" s="13"/>
      <c r="BJ172" s="114"/>
    </row>
    <row r="173" spans="1:62" ht="20.100000000000001" customHeight="1" x14ac:dyDescent="0.4">
      <c r="A173" s="117"/>
      <c r="B173" s="123"/>
      <c r="C173" s="123"/>
      <c r="D173" s="123"/>
      <c r="F173" s="12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25"/>
      <c r="X173" s="13"/>
      <c r="AD173" s="115"/>
      <c r="AE173" s="115"/>
      <c r="AF173" s="115"/>
      <c r="AG173" s="115"/>
      <c r="AH173" s="25"/>
      <c r="AI173" s="13"/>
      <c r="AN173" s="116"/>
      <c r="AO173" s="123"/>
      <c r="AP173" s="123"/>
      <c r="AQ173" s="123"/>
      <c r="AV173" s="115"/>
      <c r="AW173" s="115"/>
      <c r="AX173" s="115"/>
      <c r="AY173" s="115"/>
      <c r="AZ173" s="115"/>
      <c r="BA173" s="115"/>
      <c r="BB173" s="115"/>
      <c r="BC173" s="115"/>
      <c r="BD173" s="115"/>
      <c r="BE173" s="115"/>
      <c r="BF173" s="25"/>
      <c r="BG173" s="13"/>
      <c r="BJ173" s="114"/>
    </row>
    <row r="174" spans="1:62" ht="20.100000000000001" customHeight="1" x14ac:dyDescent="0.4">
      <c r="A174" s="117"/>
      <c r="B174" s="123"/>
      <c r="C174" s="123"/>
      <c r="D174" s="123"/>
      <c r="F174" s="12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25"/>
      <c r="X174" s="13"/>
      <c r="AD174" s="115"/>
      <c r="AE174" s="115"/>
      <c r="AF174" s="115"/>
      <c r="AG174" s="115"/>
      <c r="AH174" s="25"/>
      <c r="AI174" s="13"/>
      <c r="AN174" s="116"/>
      <c r="AO174" s="123"/>
      <c r="AP174" s="123"/>
      <c r="AQ174" s="123"/>
      <c r="AV174" s="115"/>
      <c r="AW174" s="115"/>
      <c r="AX174" s="115"/>
      <c r="AY174" s="115"/>
      <c r="AZ174" s="115"/>
      <c r="BA174" s="115"/>
      <c r="BB174" s="115"/>
      <c r="BC174" s="115"/>
      <c r="BD174" s="115"/>
      <c r="BE174" s="115"/>
      <c r="BF174" s="25"/>
      <c r="BG174" s="13"/>
      <c r="BJ174" s="114"/>
    </row>
    <row r="175" spans="1:62" ht="20.100000000000001" customHeight="1" x14ac:dyDescent="0.4">
      <c r="A175" s="117"/>
      <c r="B175" s="123"/>
      <c r="C175" s="123"/>
      <c r="D175" s="123"/>
      <c r="F175" s="12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25"/>
      <c r="X175" s="13"/>
      <c r="AD175" s="115"/>
      <c r="AE175" s="115"/>
      <c r="AF175" s="115"/>
      <c r="AG175" s="115"/>
      <c r="AH175" s="25"/>
      <c r="AI175" s="13"/>
      <c r="AN175" s="116"/>
      <c r="AO175" s="123"/>
      <c r="AP175" s="123"/>
      <c r="AQ175" s="123"/>
      <c r="AV175" s="115"/>
      <c r="AW175" s="115"/>
      <c r="AX175" s="115"/>
      <c r="AY175" s="115"/>
      <c r="AZ175" s="115"/>
      <c r="BA175" s="115"/>
      <c r="BB175" s="115"/>
      <c r="BC175" s="115"/>
      <c r="BD175" s="115"/>
      <c r="BE175" s="115"/>
      <c r="BF175" s="25"/>
      <c r="BG175" s="13"/>
      <c r="BJ175" s="114"/>
    </row>
    <row r="176" spans="1:62" ht="20.100000000000001" customHeight="1" x14ac:dyDescent="0.4">
      <c r="A176" s="117"/>
      <c r="B176" s="123"/>
      <c r="C176" s="123"/>
      <c r="D176" s="123"/>
      <c r="F176" s="12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3"/>
      <c r="X176" s="13"/>
      <c r="AD176" s="115"/>
      <c r="AE176" s="115"/>
      <c r="AF176" s="115"/>
      <c r="AG176" s="115"/>
      <c r="AH176" s="25"/>
      <c r="AI176" s="13"/>
      <c r="AN176" s="116"/>
      <c r="AO176" s="123"/>
      <c r="AP176" s="123"/>
      <c r="AQ176" s="123"/>
      <c r="AV176" s="115"/>
      <c r="AW176" s="115"/>
      <c r="AX176" s="115"/>
      <c r="AY176" s="115"/>
      <c r="AZ176" s="115"/>
      <c r="BA176" s="115"/>
      <c r="BB176" s="115"/>
      <c r="BC176" s="115"/>
      <c r="BD176" s="115"/>
      <c r="BE176" s="115"/>
      <c r="BF176" s="25"/>
      <c r="BG176" s="13"/>
      <c r="BJ176" s="114"/>
    </row>
    <row r="177" spans="1:62" ht="20.100000000000001" customHeight="1" x14ac:dyDescent="0.4">
      <c r="A177" s="117"/>
      <c r="B177" s="123"/>
      <c r="C177" s="123"/>
      <c r="D177" s="123"/>
      <c r="F177" s="12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25"/>
      <c r="X177" s="13"/>
      <c r="AD177" s="115"/>
      <c r="AE177" s="115"/>
      <c r="AF177" s="115"/>
      <c r="AG177" s="115"/>
      <c r="AH177" s="25"/>
      <c r="AI177" s="13"/>
      <c r="AN177" s="116"/>
      <c r="AO177" s="123"/>
      <c r="AP177" s="123"/>
      <c r="AQ177" s="123"/>
      <c r="AV177" s="115"/>
      <c r="AW177" s="115"/>
      <c r="AX177" s="115"/>
      <c r="AY177" s="115"/>
      <c r="AZ177" s="115"/>
      <c r="BA177" s="115"/>
      <c r="BB177" s="115"/>
      <c r="BC177" s="115"/>
      <c r="BD177" s="115"/>
      <c r="BE177" s="115"/>
      <c r="BF177" s="25"/>
      <c r="BG177" s="13"/>
      <c r="BJ177" s="114"/>
    </row>
    <row r="178" spans="1:62" ht="20.100000000000001" customHeight="1" x14ac:dyDescent="0.4">
      <c r="A178" s="117"/>
      <c r="B178" s="123"/>
      <c r="C178" s="123"/>
      <c r="D178" s="123"/>
      <c r="F178" s="12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25"/>
      <c r="X178" s="13"/>
      <c r="AD178" s="115"/>
      <c r="AE178" s="115"/>
      <c r="AF178" s="115"/>
      <c r="AG178" s="115"/>
      <c r="AH178" s="25"/>
      <c r="AI178" s="13"/>
      <c r="AN178" s="116"/>
      <c r="AO178" s="123"/>
      <c r="AP178" s="123"/>
      <c r="AQ178" s="123"/>
      <c r="AV178" s="115"/>
      <c r="AW178" s="115"/>
      <c r="AX178" s="115"/>
      <c r="AY178" s="115"/>
      <c r="AZ178" s="115"/>
      <c r="BA178" s="115"/>
      <c r="BB178" s="115"/>
      <c r="BC178" s="115"/>
      <c r="BD178" s="115"/>
      <c r="BE178" s="115"/>
      <c r="BF178" s="25"/>
      <c r="BG178" s="13"/>
      <c r="BJ178" s="114"/>
    </row>
    <row r="179" spans="1:62" ht="20.100000000000001" customHeight="1" x14ac:dyDescent="0.4">
      <c r="A179" s="117"/>
      <c r="B179" s="123"/>
      <c r="C179" s="123"/>
      <c r="D179" s="123"/>
      <c r="F179" s="12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25"/>
      <c r="X179" s="13"/>
      <c r="AD179" s="115"/>
      <c r="AE179" s="115"/>
      <c r="AF179" s="115"/>
      <c r="AG179" s="115"/>
      <c r="AH179" s="25"/>
      <c r="AI179" s="13"/>
      <c r="AN179" s="116"/>
      <c r="AO179" s="123"/>
      <c r="AP179" s="123"/>
      <c r="AQ179" s="123"/>
      <c r="AV179" s="115"/>
      <c r="AW179" s="115"/>
      <c r="AX179" s="115"/>
      <c r="AY179" s="115"/>
      <c r="AZ179" s="115"/>
      <c r="BA179" s="115"/>
      <c r="BB179" s="115"/>
      <c r="BC179" s="115"/>
      <c r="BD179" s="115"/>
      <c r="BE179" s="115"/>
      <c r="BF179" s="25"/>
      <c r="BG179" s="13"/>
      <c r="BJ179" s="114"/>
    </row>
    <row r="180" spans="1:62" ht="20.100000000000001" customHeight="1" x14ac:dyDescent="0.4">
      <c r="A180" s="117"/>
      <c r="B180" s="123"/>
      <c r="C180" s="123"/>
      <c r="D180" s="123"/>
      <c r="F180" s="12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25"/>
      <c r="X180" s="13"/>
      <c r="AD180" s="115"/>
      <c r="AE180" s="115"/>
      <c r="AF180" s="115"/>
      <c r="AG180" s="115"/>
      <c r="AH180" s="25"/>
      <c r="AI180" s="13"/>
      <c r="AN180" s="116"/>
      <c r="AO180" s="123"/>
      <c r="AP180" s="123"/>
      <c r="AQ180" s="123"/>
      <c r="AV180" s="115"/>
      <c r="AW180" s="115"/>
      <c r="AX180" s="115"/>
      <c r="AY180" s="115"/>
      <c r="AZ180" s="115"/>
      <c r="BA180" s="115"/>
      <c r="BB180" s="115"/>
      <c r="BC180" s="115"/>
      <c r="BD180" s="115"/>
      <c r="BE180" s="115"/>
      <c r="BF180" s="25"/>
      <c r="BG180" s="13"/>
      <c r="BJ180" s="114"/>
    </row>
    <row r="181" spans="1:62" ht="20.100000000000001" customHeight="1" x14ac:dyDescent="0.4">
      <c r="A181" s="117"/>
      <c r="B181" s="123"/>
      <c r="C181" s="123"/>
      <c r="D181" s="123"/>
      <c r="F181" s="12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25"/>
      <c r="X181" s="13"/>
      <c r="AD181" s="115"/>
      <c r="AE181" s="115"/>
      <c r="AF181" s="115"/>
      <c r="AG181" s="115"/>
      <c r="AH181" s="25"/>
      <c r="AI181" s="13"/>
      <c r="AN181" s="116"/>
      <c r="AO181" s="123"/>
      <c r="AP181" s="123"/>
      <c r="AQ181" s="123"/>
      <c r="AV181" s="115"/>
      <c r="AW181" s="115"/>
      <c r="AX181" s="115"/>
      <c r="AY181" s="115"/>
      <c r="AZ181" s="115"/>
      <c r="BA181" s="115"/>
      <c r="BB181" s="115"/>
      <c r="BC181" s="115"/>
      <c r="BD181" s="115"/>
      <c r="BE181" s="115"/>
      <c r="BF181" s="25"/>
      <c r="BG181" s="13"/>
      <c r="BJ181" s="114"/>
    </row>
    <row r="182" spans="1:62" ht="20.100000000000001" customHeight="1" x14ac:dyDescent="0.4">
      <c r="A182" s="117"/>
      <c r="B182" s="123"/>
      <c r="C182" s="123"/>
      <c r="D182" s="123"/>
      <c r="F182" s="12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25"/>
      <c r="X182" s="13"/>
      <c r="AD182" s="115"/>
      <c r="AE182" s="115"/>
      <c r="AF182" s="115"/>
      <c r="AG182" s="115"/>
      <c r="AH182" s="25"/>
      <c r="AI182" s="13"/>
      <c r="AN182" s="116"/>
      <c r="AO182" s="123"/>
      <c r="AP182" s="123"/>
      <c r="AQ182" s="123"/>
      <c r="AV182" s="115"/>
      <c r="AW182" s="115"/>
      <c r="AX182" s="115"/>
      <c r="AY182" s="115"/>
      <c r="AZ182" s="115"/>
      <c r="BA182" s="115"/>
      <c r="BB182" s="115"/>
      <c r="BC182" s="115"/>
      <c r="BD182" s="115"/>
      <c r="BE182" s="115"/>
      <c r="BF182" s="25"/>
      <c r="BG182" s="13"/>
      <c r="BJ182" s="114"/>
    </row>
    <row r="183" spans="1:62" ht="20.100000000000001" customHeight="1" x14ac:dyDescent="0.4">
      <c r="A183" s="117"/>
      <c r="B183" s="123"/>
      <c r="C183" s="123"/>
      <c r="D183" s="123"/>
      <c r="F183" s="12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25"/>
      <c r="X183" s="13"/>
      <c r="AD183" s="115"/>
      <c r="AE183" s="115"/>
      <c r="AF183" s="115"/>
      <c r="AG183" s="115"/>
      <c r="AH183" s="25"/>
      <c r="AI183" s="13"/>
      <c r="AN183" s="116"/>
      <c r="AO183" s="123"/>
      <c r="AP183" s="123"/>
      <c r="AQ183" s="123"/>
      <c r="AV183" s="115"/>
      <c r="AW183" s="115"/>
      <c r="AX183" s="115"/>
      <c r="AY183" s="115"/>
      <c r="AZ183" s="115"/>
      <c r="BA183" s="115"/>
      <c r="BB183" s="115"/>
      <c r="BC183" s="115"/>
      <c r="BD183" s="115"/>
      <c r="BE183" s="115"/>
      <c r="BF183" s="25"/>
      <c r="BG183" s="13"/>
      <c r="BJ183" s="114"/>
    </row>
    <row r="184" spans="1:62" ht="20.100000000000001" customHeight="1" x14ac:dyDescent="0.4">
      <c r="A184" s="117"/>
      <c r="B184" s="123"/>
      <c r="C184" s="123"/>
      <c r="D184" s="123"/>
      <c r="F184" s="12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25"/>
      <c r="X184" s="13"/>
      <c r="AD184" s="115"/>
      <c r="AE184" s="115"/>
      <c r="AF184" s="115"/>
      <c r="AG184" s="115"/>
      <c r="AH184" s="25"/>
      <c r="AI184" s="13"/>
      <c r="AN184" s="116"/>
      <c r="AO184" s="123"/>
      <c r="AP184" s="123"/>
      <c r="AQ184" s="123"/>
      <c r="AV184" s="115"/>
      <c r="AW184" s="115"/>
      <c r="AX184" s="115"/>
      <c r="AY184" s="115"/>
      <c r="AZ184" s="115"/>
      <c r="BA184" s="115"/>
      <c r="BB184" s="115"/>
      <c r="BC184" s="115"/>
      <c r="BD184" s="115"/>
      <c r="BE184" s="115"/>
      <c r="BF184" s="25"/>
      <c r="BG184" s="13"/>
      <c r="BJ184" s="114"/>
    </row>
    <row r="185" spans="1:62" ht="20.100000000000001" customHeight="1" x14ac:dyDescent="0.4">
      <c r="A185" s="117"/>
      <c r="B185" s="123"/>
      <c r="C185" s="123"/>
      <c r="D185" s="123"/>
      <c r="F185" s="12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25"/>
      <c r="X185" s="13"/>
      <c r="AD185" s="115"/>
      <c r="AE185" s="115"/>
      <c r="AF185" s="115"/>
      <c r="AG185" s="115"/>
      <c r="AH185" s="25"/>
      <c r="AI185" s="13"/>
      <c r="AN185" s="116"/>
      <c r="AO185" s="123"/>
      <c r="AP185" s="123"/>
      <c r="AQ185" s="123"/>
      <c r="AV185" s="115"/>
      <c r="AW185" s="115"/>
      <c r="AX185" s="115"/>
      <c r="AY185" s="115"/>
      <c r="AZ185" s="115"/>
      <c r="BA185" s="115"/>
      <c r="BB185" s="115"/>
      <c r="BC185" s="115"/>
      <c r="BD185" s="115"/>
      <c r="BE185" s="115"/>
      <c r="BF185" s="25"/>
      <c r="BG185" s="13"/>
      <c r="BJ185" s="114"/>
    </row>
    <row r="186" spans="1:62" ht="20.100000000000001" customHeight="1" x14ac:dyDescent="0.4">
      <c r="A186" s="117"/>
      <c r="B186" s="123"/>
      <c r="C186" s="123"/>
      <c r="D186" s="123"/>
      <c r="F186" s="12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25"/>
      <c r="X186" s="13"/>
      <c r="AD186" s="115"/>
      <c r="AE186" s="115"/>
      <c r="AF186" s="115"/>
      <c r="AG186" s="115"/>
      <c r="AH186" s="25"/>
      <c r="AI186" s="13"/>
      <c r="AN186" s="116"/>
      <c r="AO186" s="123"/>
      <c r="AP186" s="123"/>
      <c r="AQ186" s="123"/>
      <c r="AV186" s="115"/>
      <c r="AW186" s="115"/>
      <c r="AX186" s="115"/>
      <c r="AY186" s="115"/>
      <c r="AZ186" s="115"/>
      <c r="BA186" s="115"/>
      <c r="BB186" s="115"/>
      <c r="BC186" s="115"/>
      <c r="BD186" s="115"/>
      <c r="BE186" s="115"/>
      <c r="BF186" s="25"/>
      <c r="BG186" s="13"/>
      <c r="BJ186" s="114"/>
    </row>
    <row r="187" spans="1:62" ht="20.100000000000001" customHeight="1" x14ac:dyDescent="0.4">
      <c r="A187" s="117"/>
      <c r="B187" s="123"/>
      <c r="C187" s="123"/>
      <c r="D187" s="123"/>
      <c r="F187" s="12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25"/>
      <c r="X187" s="13"/>
      <c r="AD187" s="115"/>
      <c r="AE187" s="115"/>
      <c r="AF187" s="115"/>
      <c r="AG187" s="115"/>
      <c r="AH187" s="25"/>
      <c r="AI187" s="13"/>
      <c r="AN187" s="116"/>
      <c r="AO187" s="123"/>
      <c r="AP187" s="123"/>
      <c r="AQ187" s="123"/>
      <c r="AV187" s="115"/>
      <c r="AW187" s="115"/>
      <c r="AX187" s="115"/>
      <c r="AY187" s="115"/>
      <c r="AZ187" s="115"/>
      <c r="BA187" s="115"/>
      <c r="BB187" s="115"/>
      <c r="BC187" s="115"/>
      <c r="BD187" s="115"/>
      <c r="BE187" s="115"/>
      <c r="BF187" s="25"/>
      <c r="BG187" s="13"/>
      <c r="BJ187" s="114"/>
    </row>
    <row r="188" spans="1:62" ht="20.100000000000001" customHeight="1" x14ac:dyDescent="0.4">
      <c r="A188" s="117"/>
      <c r="B188" s="123"/>
      <c r="C188" s="123"/>
      <c r="D188" s="123"/>
      <c r="F188" s="12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3"/>
      <c r="X188" s="13"/>
      <c r="AD188" s="115"/>
      <c r="AE188" s="115"/>
      <c r="AF188" s="115"/>
      <c r="AG188" s="115"/>
      <c r="AH188" s="25"/>
      <c r="AI188" s="13"/>
      <c r="AN188" s="116"/>
      <c r="AO188" s="123"/>
      <c r="AP188" s="123"/>
      <c r="AQ188" s="123"/>
      <c r="AV188" s="115"/>
      <c r="AW188" s="115"/>
      <c r="AX188" s="115"/>
      <c r="AY188" s="115"/>
      <c r="AZ188" s="115"/>
      <c r="BA188" s="115"/>
      <c r="BB188" s="115"/>
      <c r="BC188" s="115"/>
      <c r="BD188" s="115"/>
      <c r="BE188" s="115"/>
      <c r="BF188" s="25"/>
      <c r="BG188" s="13"/>
      <c r="BJ188" s="114"/>
    </row>
    <row r="189" spans="1:62" ht="20.100000000000001" customHeight="1" x14ac:dyDescent="0.4">
      <c r="A189" s="117"/>
      <c r="B189" s="123"/>
      <c r="C189" s="123"/>
      <c r="D189" s="123"/>
      <c r="F189" s="12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25"/>
      <c r="X189" s="13"/>
      <c r="AD189" s="115"/>
      <c r="AE189" s="115"/>
      <c r="AF189" s="115"/>
      <c r="AG189" s="115"/>
      <c r="AH189" s="25"/>
      <c r="AI189" s="13"/>
      <c r="AN189" s="116"/>
      <c r="AO189" s="123"/>
      <c r="AP189" s="123"/>
      <c r="AQ189" s="123"/>
      <c r="AV189" s="115"/>
      <c r="AW189" s="115"/>
      <c r="AX189" s="115"/>
      <c r="AY189" s="115"/>
      <c r="AZ189" s="115"/>
      <c r="BA189" s="115"/>
      <c r="BB189" s="115"/>
      <c r="BC189" s="115"/>
      <c r="BD189" s="115"/>
      <c r="BE189" s="115"/>
      <c r="BF189" s="25"/>
      <c r="BG189" s="13"/>
      <c r="BJ189" s="114"/>
    </row>
    <row r="190" spans="1:62" ht="20.100000000000001" customHeight="1" x14ac:dyDescent="0.4">
      <c r="A190" s="117"/>
      <c r="B190" s="123"/>
      <c r="C190" s="123"/>
      <c r="D190" s="123"/>
      <c r="F190" s="12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25"/>
      <c r="X190" s="13"/>
      <c r="AD190" s="115"/>
      <c r="AE190" s="115"/>
      <c r="AF190" s="115"/>
      <c r="AG190" s="115"/>
      <c r="AH190" s="25"/>
      <c r="AI190" s="13"/>
      <c r="AN190" s="116"/>
      <c r="AO190" s="123"/>
      <c r="AP190" s="123"/>
      <c r="AQ190" s="123"/>
      <c r="AV190" s="115"/>
      <c r="AW190" s="115"/>
      <c r="AX190" s="115"/>
      <c r="AY190" s="115"/>
      <c r="AZ190" s="115"/>
      <c r="BA190" s="115"/>
      <c r="BB190" s="115"/>
      <c r="BC190" s="115"/>
      <c r="BD190" s="115"/>
      <c r="BE190" s="115"/>
      <c r="BF190" s="25"/>
      <c r="BG190" s="13"/>
      <c r="BJ190" s="114"/>
    </row>
    <row r="191" spans="1:62" ht="20.100000000000001" customHeight="1" x14ac:dyDescent="0.4">
      <c r="A191" s="117"/>
      <c r="B191" s="123"/>
      <c r="C191" s="123"/>
      <c r="D191" s="123"/>
      <c r="F191" s="12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3"/>
      <c r="X191" s="13"/>
      <c r="AD191" s="115"/>
      <c r="AE191" s="115"/>
      <c r="AF191" s="115"/>
      <c r="AG191" s="115"/>
      <c r="AH191" s="25"/>
      <c r="AI191" s="13"/>
      <c r="AN191" s="116"/>
      <c r="AO191" s="123"/>
      <c r="AP191" s="123"/>
      <c r="AQ191" s="123"/>
      <c r="AV191" s="115"/>
      <c r="AW191" s="115"/>
      <c r="AX191" s="115"/>
      <c r="AY191" s="115"/>
      <c r="AZ191" s="115"/>
      <c r="BA191" s="115"/>
      <c r="BB191" s="115"/>
      <c r="BC191" s="115"/>
      <c r="BD191" s="115"/>
      <c r="BE191" s="115"/>
      <c r="BF191" s="25"/>
      <c r="BG191" s="13"/>
      <c r="BJ191" s="114"/>
    </row>
    <row r="192" spans="1:62" ht="20.100000000000001" customHeight="1" x14ac:dyDescent="0.4">
      <c r="A192" s="117"/>
      <c r="B192" s="123"/>
      <c r="C192" s="123"/>
      <c r="D192" s="123"/>
      <c r="F192" s="12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25"/>
      <c r="X192" s="13"/>
      <c r="AD192" s="115"/>
      <c r="AE192" s="115"/>
      <c r="AF192" s="115"/>
      <c r="AG192" s="115"/>
      <c r="AH192" s="25"/>
      <c r="AI192" s="13"/>
      <c r="AN192" s="116"/>
      <c r="AO192" s="123"/>
      <c r="AP192" s="123"/>
      <c r="AQ192" s="123"/>
      <c r="AV192" s="115"/>
      <c r="AW192" s="115"/>
      <c r="AX192" s="115"/>
      <c r="AY192" s="115"/>
      <c r="AZ192" s="115"/>
      <c r="BA192" s="115"/>
      <c r="BB192" s="115"/>
      <c r="BC192" s="115"/>
      <c r="BD192" s="115"/>
      <c r="BE192" s="115"/>
      <c r="BF192" s="25"/>
      <c r="BG192" s="13"/>
      <c r="BJ192" s="114"/>
    </row>
    <row r="193" spans="1:62" ht="20.100000000000001" customHeight="1" x14ac:dyDescent="0.4">
      <c r="A193" s="117"/>
      <c r="B193" s="123"/>
      <c r="C193" s="123"/>
      <c r="D193" s="123"/>
      <c r="F193" s="12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26"/>
      <c r="X193" s="15"/>
      <c r="AD193" s="115"/>
      <c r="AE193" s="115"/>
      <c r="AF193" s="115"/>
      <c r="AG193" s="115"/>
      <c r="AH193" s="25"/>
      <c r="AI193" s="13"/>
      <c r="AN193" s="116"/>
      <c r="AO193" s="123"/>
      <c r="AP193" s="123"/>
      <c r="AQ193" s="123"/>
      <c r="AV193" s="115"/>
      <c r="AW193" s="115"/>
      <c r="AX193" s="115"/>
      <c r="AY193" s="115"/>
      <c r="AZ193" s="115"/>
      <c r="BA193" s="115"/>
      <c r="BB193" s="115"/>
      <c r="BC193" s="115"/>
      <c r="BD193" s="115"/>
      <c r="BE193" s="115"/>
      <c r="BF193" s="25"/>
      <c r="BG193" s="13"/>
      <c r="BJ193" s="114"/>
    </row>
    <row r="194" spans="1:62" ht="20.100000000000001" customHeight="1" x14ac:dyDescent="0.4">
      <c r="A194" s="117"/>
      <c r="B194" s="123"/>
      <c r="C194" s="123"/>
      <c r="D194" s="123"/>
      <c r="F194" s="125"/>
      <c r="W194" s="26"/>
      <c r="X194" s="15"/>
      <c r="AD194" s="115"/>
      <c r="AE194" s="115"/>
      <c r="AF194" s="115"/>
      <c r="AG194" s="115"/>
      <c r="AH194" s="25">
        <v>45671</v>
      </c>
      <c r="AI194" s="13" t="s">
        <v>146</v>
      </c>
      <c r="AN194" s="116"/>
      <c r="AO194" s="123"/>
      <c r="AP194" s="123"/>
      <c r="AQ194" s="123"/>
      <c r="AV194" s="115"/>
      <c r="AW194" s="115"/>
      <c r="AX194" s="115"/>
      <c r="AY194" s="115"/>
      <c r="AZ194" s="115"/>
      <c r="BA194" s="115"/>
      <c r="BB194" s="115"/>
      <c r="BC194" s="115"/>
      <c r="BD194" s="115"/>
      <c r="BE194" s="115"/>
      <c r="BF194" s="25"/>
      <c r="BG194" s="13"/>
      <c r="BJ194" s="114"/>
    </row>
    <row r="195" spans="1:62" ht="20.100000000000001" customHeight="1" x14ac:dyDescent="0.4">
      <c r="A195" s="117"/>
      <c r="B195" s="123"/>
      <c r="C195" s="123"/>
      <c r="D195" s="123"/>
      <c r="F195" s="12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30"/>
      <c r="X195" s="15"/>
      <c r="AD195" s="115"/>
      <c r="AE195" s="115"/>
      <c r="AF195" s="115"/>
      <c r="AG195" s="115"/>
      <c r="AH195" s="25"/>
      <c r="AI195" s="13"/>
      <c r="AN195" s="116"/>
      <c r="AO195" s="123"/>
      <c r="AP195" s="123"/>
      <c r="AQ195" s="123"/>
      <c r="AV195" s="115"/>
      <c r="AW195" s="115"/>
      <c r="AX195" s="115"/>
      <c r="AY195" s="115"/>
      <c r="AZ195" s="115"/>
      <c r="BA195" s="115"/>
      <c r="BB195" s="115"/>
      <c r="BC195" s="115"/>
      <c r="BD195" s="115"/>
      <c r="BE195" s="115"/>
      <c r="BF195" s="25"/>
      <c r="BG195" s="13"/>
      <c r="BJ195" s="114"/>
    </row>
    <row r="196" spans="1:62" ht="20.100000000000001" customHeight="1" x14ac:dyDescent="0.4">
      <c r="A196" s="117"/>
      <c r="B196" s="123"/>
      <c r="C196" s="123"/>
      <c r="D196" s="123"/>
      <c r="F196" s="12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9"/>
      <c r="X196" s="15"/>
      <c r="AD196" s="115"/>
      <c r="AE196" s="115"/>
      <c r="AF196" s="115"/>
      <c r="AG196" s="115"/>
      <c r="AH196" s="25"/>
      <c r="AI196" s="13"/>
      <c r="AN196" s="116"/>
      <c r="AO196" s="123"/>
      <c r="AP196" s="123"/>
      <c r="AQ196" s="123"/>
      <c r="AV196" s="115"/>
      <c r="AW196" s="115"/>
      <c r="AX196" s="115"/>
      <c r="AY196" s="115"/>
      <c r="AZ196" s="115"/>
      <c r="BA196" s="115"/>
      <c r="BB196" s="115"/>
      <c r="BC196" s="115"/>
      <c r="BD196" s="115"/>
      <c r="BE196" s="115"/>
      <c r="BF196" s="25"/>
      <c r="BG196" s="13"/>
      <c r="BJ196" s="114"/>
    </row>
    <row r="197" spans="1:62" ht="20.100000000000001" customHeight="1" x14ac:dyDescent="0.4">
      <c r="A197" s="117"/>
      <c r="B197" s="123"/>
      <c r="C197" s="123"/>
      <c r="D197" s="123"/>
      <c r="F197" s="12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30"/>
      <c r="X197" s="15"/>
      <c r="AD197" s="115"/>
      <c r="AE197" s="115"/>
      <c r="AF197" s="115"/>
      <c r="AG197" s="115"/>
      <c r="AH197" s="25"/>
      <c r="AI197" s="13"/>
      <c r="AN197" s="116"/>
      <c r="AO197" s="123"/>
      <c r="AP197" s="123"/>
      <c r="AQ197" s="123"/>
      <c r="AV197" s="115"/>
      <c r="AW197" s="115"/>
      <c r="AX197" s="115"/>
      <c r="AY197" s="115"/>
      <c r="AZ197" s="115"/>
      <c r="BA197" s="115"/>
      <c r="BB197" s="115"/>
      <c r="BC197" s="115"/>
      <c r="BD197" s="115"/>
      <c r="BE197" s="115"/>
      <c r="BF197" s="25"/>
      <c r="BG197" s="13"/>
      <c r="BJ197" s="114"/>
    </row>
    <row r="198" spans="1:62" ht="20.100000000000001" customHeight="1" x14ac:dyDescent="0.4">
      <c r="A198" s="117"/>
      <c r="B198" s="123"/>
      <c r="C198" s="123"/>
      <c r="D198" s="123"/>
      <c r="F198" s="12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9"/>
      <c r="X198" s="15"/>
      <c r="AD198" s="115"/>
      <c r="AE198" s="115"/>
      <c r="AF198" s="115"/>
      <c r="AG198" s="115"/>
      <c r="AH198" s="25"/>
      <c r="AI198" s="13"/>
      <c r="AN198" s="116"/>
      <c r="AO198" s="123"/>
      <c r="AP198" s="123"/>
      <c r="AQ198" s="123"/>
      <c r="AV198" s="115"/>
      <c r="AW198" s="115"/>
      <c r="AX198" s="115"/>
      <c r="AY198" s="115"/>
      <c r="AZ198" s="115"/>
      <c r="BA198" s="115"/>
      <c r="BB198" s="115"/>
      <c r="BC198" s="115"/>
      <c r="BD198" s="115"/>
      <c r="BE198" s="115"/>
      <c r="BF198" s="25"/>
      <c r="BG198" s="13"/>
      <c r="BJ198" s="114"/>
    </row>
    <row r="199" spans="1:62" ht="20.100000000000001" customHeight="1" x14ac:dyDescent="0.4">
      <c r="A199" s="117"/>
      <c r="B199" s="123"/>
      <c r="C199" s="123"/>
      <c r="D199" s="123"/>
      <c r="F199" s="125"/>
      <c r="W199" s="26"/>
      <c r="X199" s="15"/>
      <c r="AB199" s="115"/>
      <c r="AC199" s="115"/>
      <c r="AD199" s="115"/>
      <c r="AE199" s="115"/>
      <c r="AF199" s="115"/>
      <c r="AG199" s="115"/>
      <c r="AH199" s="25">
        <v>45671</v>
      </c>
      <c r="AI199" s="13" t="s">
        <v>148</v>
      </c>
      <c r="AN199" s="116"/>
      <c r="AO199" s="123"/>
      <c r="AP199" s="123"/>
      <c r="AQ199" s="123"/>
      <c r="AV199" s="115"/>
      <c r="AW199" s="115"/>
      <c r="AX199" s="115"/>
      <c r="AY199" s="115"/>
      <c r="AZ199" s="115"/>
      <c r="BA199" s="115"/>
      <c r="BB199" s="115"/>
      <c r="BC199" s="115"/>
      <c r="BD199" s="115"/>
      <c r="BE199" s="115"/>
      <c r="BF199" s="25"/>
      <c r="BG199" s="13"/>
      <c r="BJ199" s="114"/>
    </row>
    <row r="200" spans="1:62" ht="20.100000000000001" customHeight="1" x14ac:dyDescent="0.4">
      <c r="A200" s="117"/>
      <c r="B200" s="123"/>
      <c r="C200" s="123"/>
      <c r="D200" s="123"/>
      <c r="F200" s="125"/>
      <c r="U200" s="115"/>
      <c r="V200" s="115"/>
      <c r="W200" s="17"/>
      <c r="X200" s="15"/>
      <c r="AB200" s="115"/>
      <c r="AC200" s="115"/>
      <c r="AD200" s="115"/>
      <c r="AE200" s="115"/>
      <c r="AF200" s="115"/>
      <c r="AG200" s="115"/>
      <c r="AH200" s="25"/>
      <c r="AI200" s="13"/>
      <c r="AN200" s="116"/>
      <c r="AO200" s="123"/>
      <c r="AP200" s="123"/>
      <c r="AQ200" s="123"/>
      <c r="AV200" s="115"/>
      <c r="AW200" s="115"/>
      <c r="AX200" s="115"/>
      <c r="AY200" s="115"/>
      <c r="AZ200" s="115"/>
      <c r="BA200" s="115"/>
      <c r="BB200" s="115"/>
      <c r="BC200" s="115"/>
      <c r="BD200" s="115"/>
      <c r="BE200" s="115"/>
      <c r="BF200" s="25"/>
      <c r="BG200" s="13"/>
      <c r="BJ200" s="114"/>
    </row>
    <row r="201" spans="1:62" ht="20.100000000000001" customHeight="1" x14ac:dyDescent="0.4">
      <c r="A201" s="117"/>
      <c r="B201" s="123"/>
      <c r="C201" s="123"/>
      <c r="D201" s="123"/>
      <c r="F201" s="125"/>
      <c r="Q201" s="115"/>
      <c r="R201" s="115"/>
      <c r="S201" s="115"/>
      <c r="T201" s="115"/>
      <c r="U201" s="115"/>
      <c r="V201" s="115"/>
      <c r="W201" s="26"/>
      <c r="X201" s="15"/>
      <c r="AB201" s="115"/>
      <c r="AC201" s="115"/>
      <c r="AD201" s="115"/>
      <c r="AE201" s="115"/>
      <c r="AF201" s="115"/>
      <c r="AG201" s="115"/>
      <c r="AH201" s="25"/>
      <c r="AI201" s="13"/>
      <c r="AN201" s="116"/>
      <c r="AO201" s="123"/>
      <c r="AP201" s="123"/>
      <c r="AQ201" s="123"/>
      <c r="AV201" s="115"/>
      <c r="AW201" s="115"/>
      <c r="AX201" s="115"/>
      <c r="AY201" s="115"/>
      <c r="AZ201" s="115"/>
      <c r="BA201" s="115"/>
      <c r="BB201" s="115"/>
      <c r="BC201" s="115"/>
      <c r="BD201" s="115"/>
      <c r="BE201" s="115"/>
      <c r="BF201" s="25"/>
      <c r="BG201" s="13"/>
      <c r="BJ201" s="114"/>
    </row>
    <row r="202" spans="1:62" ht="20.100000000000001" customHeight="1" x14ac:dyDescent="0.4">
      <c r="A202" s="117"/>
      <c r="B202" s="123"/>
      <c r="C202" s="123"/>
      <c r="D202" s="123"/>
      <c r="F202" s="125"/>
      <c r="Q202" s="115"/>
      <c r="R202" s="115"/>
      <c r="S202" s="115"/>
      <c r="T202" s="115"/>
      <c r="U202" s="115"/>
      <c r="V202" s="115"/>
      <c r="W202" s="20"/>
      <c r="X202" s="13"/>
      <c r="AB202" s="115"/>
      <c r="AC202" s="115"/>
      <c r="AD202" s="115"/>
      <c r="AE202" s="115"/>
      <c r="AF202" s="115"/>
      <c r="AG202" s="115"/>
      <c r="AH202" s="25"/>
      <c r="AI202" s="13"/>
      <c r="AN202" s="116"/>
      <c r="AO202" s="123"/>
      <c r="AP202" s="123"/>
      <c r="AQ202" s="123"/>
      <c r="AV202" s="115"/>
      <c r="AW202" s="115"/>
      <c r="AX202" s="115"/>
      <c r="AY202" s="115"/>
      <c r="AZ202" s="115"/>
      <c r="BA202" s="115"/>
      <c r="BB202" s="115"/>
      <c r="BC202" s="115"/>
      <c r="BD202" s="115"/>
      <c r="BE202" s="115"/>
      <c r="BF202" s="25"/>
      <c r="BG202" s="13"/>
      <c r="BJ202" s="114"/>
    </row>
    <row r="203" spans="1:62" ht="20.100000000000001" customHeight="1" x14ac:dyDescent="0.4">
      <c r="A203" s="117"/>
      <c r="B203" s="123"/>
      <c r="C203" s="123"/>
      <c r="D203" s="123"/>
      <c r="F203" s="125"/>
      <c r="Q203" s="115"/>
      <c r="R203" s="115"/>
      <c r="S203" s="115"/>
      <c r="T203" s="115"/>
      <c r="U203" s="115"/>
      <c r="V203" s="115"/>
      <c r="W203" s="20"/>
      <c r="X203" s="13"/>
      <c r="AB203" s="115"/>
      <c r="AC203" s="115"/>
      <c r="AD203" s="115"/>
      <c r="AE203" s="115"/>
      <c r="AF203" s="115"/>
      <c r="AG203" s="115"/>
      <c r="AH203" s="25"/>
      <c r="AI203" s="13"/>
      <c r="AN203" s="116"/>
      <c r="AO203" s="123"/>
      <c r="AP203" s="123"/>
      <c r="AQ203" s="123"/>
      <c r="AV203" s="115"/>
      <c r="AW203" s="115"/>
      <c r="AX203" s="115"/>
      <c r="AY203" s="115"/>
      <c r="AZ203" s="115"/>
      <c r="BA203" s="115"/>
      <c r="BB203" s="115"/>
      <c r="BC203" s="115"/>
      <c r="BD203" s="115"/>
      <c r="BE203" s="115"/>
      <c r="BF203" s="25"/>
      <c r="BG203" s="13"/>
      <c r="BJ203" s="114"/>
    </row>
    <row r="204" spans="1:62" ht="20.100000000000001" customHeight="1" x14ac:dyDescent="0.4">
      <c r="A204" s="117"/>
      <c r="B204" s="123"/>
      <c r="C204" s="123"/>
      <c r="D204" s="123"/>
      <c r="F204" s="125"/>
      <c r="P204" s="115"/>
      <c r="Q204" s="115"/>
      <c r="R204" s="115"/>
      <c r="S204" s="115"/>
      <c r="T204" s="115"/>
      <c r="U204" s="115"/>
      <c r="V204" s="115"/>
      <c r="W204" s="25"/>
      <c r="X204" s="13"/>
      <c r="AB204" s="115"/>
      <c r="AC204" s="115"/>
      <c r="AD204" s="115"/>
      <c r="AE204" s="115"/>
      <c r="AF204" s="115"/>
      <c r="AG204" s="115"/>
      <c r="AH204" s="25"/>
      <c r="AI204" s="13"/>
      <c r="AN204" s="116"/>
      <c r="AO204" s="123"/>
      <c r="AP204" s="123"/>
      <c r="AQ204" s="123"/>
      <c r="AV204" s="115"/>
      <c r="AW204" s="115"/>
      <c r="AX204" s="115"/>
      <c r="AY204" s="115"/>
      <c r="AZ204" s="115"/>
      <c r="BA204" s="115"/>
      <c r="BB204" s="115"/>
      <c r="BC204" s="115"/>
      <c r="BD204" s="115"/>
      <c r="BE204" s="115"/>
      <c r="BF204" s="25"/>
      <c r="BG204" s="13"/>
      <c r="BJ204" s="114"/>
    </row>
    <row r="205" spans="1:62" ht="20.100000000000001" customHeight="1" x14ac:dyDescent="0.4">
      <c r="A205" s="117"/>
      <c r="B205" s="123"/>
      <c r="C205" s="123"/>
      <c r="D205" s="123"/>
      <c r="F205" s="125"/>
      <c r="P205" s="115"/>
      <c r="Q205" s="115"/>
      <c r="R205" s="115"/>
      <c r="S205" s="115"/>
      <c r="T205" s="115"/>
      <c r="U205" s="115"/>
      <c r="V205" s="115"/>
      <c r="W205" s="25"/>
      <c r="X205" s="13"/>
      <c r="AB205" s="115"/>
      <c r="AC205" s="115"/>
      <c r="AD205" s="115"/>
      <c r="AE205" s="115"/>
      <c r="AF205" s="115"/>
      <c r="AG205" s="115"/>
      <c r="AH205" s="25"/>
      <c r="AI205" s="13"/>
      <c r="AN205" s="116"/>
      <c r="AO205" s="123"/>
      <c r="AP205" s="123"/>
      <c r="AQ205" s="123"/>
      <c r="AV205" s="115"/>
      <c r="AW205" s="115"/>
      <c r="AX205" s="115"/>
      <c r="AY205" s="115"/>
      <c r="AZ205" s="115"/>
      <c r="BA205" s="115"/>
      <c r="BB205" s="115"/>
      <c r="BC205" s="115"/>
      <c r="BD205" s="115"/>
      <c r="BE205" s="115"/>
      <c r="BF205" s="25"/>
      <c r="BG205" s="13"/>
      <c r="BJ205" s="114"/>
    </row>
    <row r="206" spans="1:62" ht="20.100000000000001" customHeight="1" x14ac:dyDescent="0.4">
      <c r="A206" s="117"/>
      <c r="B206" s="123"/>
      <c r="C206" s="123"/>
      <c r="D206" s="123"/>
      <c r="F206" s="125"/>
      <c r="P206" s="115"/>
      <c r="Q206" s="115"/>
      <c r="R206" s="115"/>
      <c r="S206" s="115"/>
      <c r="T206" s="115"/>
      <c r="U206" s="115"/>
      <c r="V206" s="115"/>
      <c r="W206" s="25"/>
      <c r="X206" s="13"/>
      <c r="AB206" s="115"/>
      <c r="AC206" s="115"/>
      <c r="AD206" s="115"/>
      <c r="AE206" s="115"/>
      <c r="AF206" s="115"/>
      <c r="AG206" s="115"/>
      <c r="AH206" s="25"/>
      <c r="AI206" s="13"/>
      <c r="AN206" s="116"/>
      <c r="AO206" s="123"/>
      <c r="AP206" s="123"/>
      <c r="AQ206" s="123"/>
      <c r="AV206" s="115"/>
      <c r="AW206" s="115"/>
      <c r="AX206" s="115"/>
      <c r="AY206" s="115"/>
      <c r="AZ206" s="115"/>
      <c r="BA206" s="115"/>
      <c r="BB206" s="115"/>
      <c r="BC206" s="115"/>
      <c r="BD206" s="115"/>
      <c r="BE206" s="115"/>
      <c r="BF206" s="25"/>
      <c r="BG206" s="13"/>
      <c r="BJ206" s="114"/>
    </row>
    <row r="207" spans="1:62" ht="20.100000000000001" customHeight="1" x14ac:dyDescent="0.4">
      <c r="A207" s="117"/>
      <c r="B207" s="123"/>
      <c r="C207" s="123"/>
      <c r="D207" s="123"/>
      <c r="W207" s="25"/>
      <c r="X207" s="13"/>
      <c r="AB207" s="115"/>
      <c r="AC207" s="115"/>
      <c r="AD207" s="115"/>
      <c r="AE207" s="115"/>
      <c r="AF207" s="115"/>
      <c r="AG207" s="115"/>
      <c r="AH207" s="25"/>
      <c r="AI207" s="13"/>
      <c r="AN207" s="116"/>
      <c r="AO207" s="123"/>
      <c r="AP207" s="123"/>
      <c r="AQ207" s="123"/>
      <c r="AV207" s="115"/>
      <c r="AW207" s="115"/>
      <c r="AX207" s="115"/>
      <c r="AY207" s="115"/>
      <c r="AZ207" s="115"/>
      <c r="BA207" s="115"/>
      <c r="BB207" s="115"/>
      <c r="BC207" s="115"/>
      <c r="BD207" s="115"/>
      <c r="BE207" s="115"/>
      <c r="BF207" s="25"/>
      <c r="BG207" s="13"/>
      <c r="BJ207" s="114"/>
    </row>
    <row r="208" spans="1:62" ht="20.100000000000001" customHeight="1" x14ac:dyDescent="0.4">
      <c r="A208" s="117"/>
      <c r="B208" s="123"/>
      <c r="C208" s="123"/>
      <c r="D208" s="123"/>
      <c r="N208" s="115"/>
      <c r="O208" s="115"/>
      <c r="P208" s="115"/>
      <c r="Q208" s="115"/>
      <c r="R208" s="115"/>
      <c r="S208" s="115"/>
      <c r="T208" s="115"/>
      <c r="U208" s="115"/>
      <c r="V208" s="115"/>
      <c r="W208" s="25"/>
      <c r="X208" s="13"/>
      <c r="AB208" s="115"/>
      <c r="AC208" s="115"/>
      <c r="AD208" s="115"/>
      <c r="AE208" s="115"/>
      <c r="AF208" s="115"/>
      <c r="AG208" s="115"/>
      <c r="AH208" s="25"/>
      <c r="AI208" s="13"/>
      <c r="AN208" s="116"/>
      <c r="AO208" s="123"/>
      <c r="AP208" s="123"/>
      <c r="AQ208" s="123"/>
      <c r="AV208" s="115"/>
      <c r="AW208" s="115"/>
      <c r="AX208" s="115"/>
      <c r="AY208" s="115"/>
      <c r="AZ208" s="115"/>
      <c r="BA208" s="115"/>
      <c r="BB208" s="115"/>
      <c r="BC208" s="115"/>
      <c r="BD208" s="115"/>
      <c r="BE208" s="115"/>
      <c r="BF208" s="25"/>
      <c r="BG208" s="13"/>
      <c r="BJ208" s="114"/>
    </row>
    <row r="209" spans="1:62" ht="20.100000000000001" customHeight="1" x14ac:dyDescent="0.4">
      <c r="A209" s="117"/>
      <c r="B209" s="123"/>
      <c r="C209" s="123"/>
      <c r="D209" s="123"/>
      <c r="N209" s="115"/>
      <c r="O209" s="115"/>
      <c r="P209" s="115"/>
      <c r="Q209" s="115"/>
      <c r="R209" s="115"/>
      <c r="S209" s="115"/>
      <c r="T209" s="115"/>
      <c r="U209" s="115"/>
      <c r="V209" s="115"/>
      <c r="W209" s="25"/>
      <c r="X209" s="13"/>
      <c r="AB209" s="115"/>
      <c r="AC209" s="115"/>
      <c r="AD209" s="115"/>
      <c r="AE209" s="115"/>
      <c r="AF209" s="115"/>
      <c r="AG209" s="115"/>
      <c r="AH209" s="25"/>
      <c r="AI209" s="13"/>
      <c r="AN209" s="116"/>
      <c r="AO209" s="123"/>
      <c r="AP209" s="123"/>
      <c r="AQ209" s="123"/>
      <c r="AV209" s="115"/>
      <c r="AW209" s="115"/>
      <c r="AX209" s="115"/>
      <c r="AY209" s="115"/>
      <c r="AZ209" s="115"/>
      <c r="BA209" s="115"/>
      <c r="BB209" s="115"/>
      <c r="BC209" s="115"/>
      <c r="BD209" s="115"/>
      <c r="BE209" s="115"/>
      <c r="BF209" s="25"/>
      <c r="BG209" s="13"/>
      <c r="BJ209" s="114"/>
    </row>
    <row r="210" spans="1:62" ht="20.100000000000001" customHeight="1" x14ac:dyDescent="0.4">
      <c r="A210" s="117"/>
      <c r="B210" s="123"/>
      <c r="C210" s="123"/>
      <c r="D210" s="123"/>
      <c r="N210" s="115"/>
      <c r="O210" s="115"/>
      <c r="P210" s="115"/>
      <c r="Q210" s="115"/>
      <c r="R210" s="115"/>
      <c r="S210" s="115"/>
      <c r="T210" s="115"/>
      <c r="U210" s="115"/>
      <c r="V210" s="115"/>
      <c r="W210" s="25"/>
      <c r="X210" s="13"/>
      <c r="AB210" s="115"/>
      <c r="AC210" s="115"/>
      <c r="AD210" s="115"/>
      <c r="AE210" s="115"/>
      <c r="AF210" s="115"/>
      <c r="AG210" s="115"/>
      <c r="AH210" s="25"/>
      <c r="AI210" s="13"/>
      <c r="AN210" s="116"/>
      <c r="AO210" s="123"/>
      <c r="AP210" s="123"/>
      <c r="AQ210" s="123"/>
      <c r="AV210" s="115"/>
      <c r="AW210" s="115"/>
      <c r="AX210" s="115"/>
      <c r="AY210" s="115"/>
      <c r="AZ210" s="115"/>
      <c r="BA210" s="115"/>
      <c r="BB210" s="115"/>
      <c r="BC210" s="115"/>
      <c r="BD210" s="115"/>
      <c r="BE210" s="115"/>
      <c r="BF210" s="25"/>
      <c r="BG210" s="13"/>
      <c r="BJ210" s="114"/>
    </row>
    <row r="211" spans="1:62" ht="20.100000000000001" customHeight="1" x14ac:dyDescent="0.4">
      <c r="A211" s="117"/>
      <c r="B211" s="123"/>
      <c r="C211" s="123"/>
      <c r="D211" s="123"/>
      <c r="N211" s="115"/>
      <c r="O211" s="115"/>
      <c r="P211" s="115"/>
      <c r="Q211" s="115"/>
      <c r="R211" s="115"/>
      <c r="S211" s="115"/>
      <c r="T211" s="115"/>
      <c r="U211" s="115"/>
      <c r="V211" s="115"/>
      <c r="W211" s="13"/>
      <c r="X211" s="13"/>
      <c r="AB211" s="115"/>
      <c r="AC211" s="115"/>
      <c r="AD211" s="115"/>
      <c r="AE211" s="115"/>
      <c r="AF211" s="115"/>
      <c r="AG211" s="115"/>
      <c r="AH211" s="25"/>
      <c r="AI211" s="13"/>
      <c r="AN211" s="116"/>
      <c r="AO211" s="123"/>
      <c r="AP211" s="123"/>
      <c r="AQ211" s="123"/>
      <c r="AV211" s="115"/>
      <c r="AW211" s="115"/>
      <c r="AX211" s="115"/>
      <c r="AY211" s="115"/>
      <c r="AZ211" s="115"/>
      <c r="BA211" s="115"/>
      <c r="BB211" s="115"/>
      <c r="BC211" s="115"/>
      <c r="BD211" s="115"/>
      <c r="BE211" s="115"/>
      <c r="BF211" s="25"/>
      <c r="BG211" s="13"/>
      <c r="BJ211" s="114"/>
    </row>
    <row r="212" spans="1:62" ht="20.100000000000001" customHeight="1" x14ac:dyDescent="0.4">
      <c r="A212" s="117"/>
      <c r="B212" s="123"/>
      <c r="C212" s="123"/>
      <c r="D212" s="123"/>
      <c r="N212" s="115"/>
      <c r="O212" s="115"/>
      <c r="P212" s="115"/>
      <c r="Q212" s="115"/>
      <c r="R212" s="115"/>
      <c r="S212" s="115"/>
      <c r="T212" s="115"/>
      <c r="U212" s="115"/>
      <c r="V212" s="115"/>
      <c r="W212" s="25"/>
      <c r="X212" s="13"/>
      <c r="AB212" s="115"/>
      <c r="AC212" s="115"/>
      <c r="AD212" s="115"/>
      <c r="AE212" s="115"/>
      <c r="AF212" s="115"/>
      <c r="AG212" s="115"/>
      <c r="AH212" s="25"/>
      <c r="AI212" s="13"/>
      <c r="AN212" s="116"/>
      <c r="AO212" s="123"/>
      <c r="AP212" s="123"/>
      <c r="AQ212" s="123"/>
      <c r="AV212" s="115"/>
      <c r="AW212" s="115"/>
      <c r="AX212" s="115"/>
      <c r="AY212" s="115"/>
      <c r="AZ212" s="115"/>
      <c r="BA212" s="115"/>
      <c r="BB212" s="115"/>
      <c r="BC212" s="115"/>
      <c r="BD212" s="115"/>
      <c r="BE212" s="115"/>
      <c r="BF212" s="25"/>
      <c r="BG212" s="13"/>
      <c r="BJ212" s="114"/>
    </row>
    <row r="213" spans="1:62" ht="20.100000000000001" customHeight="1" x14ac:dyDescent="0.4">
      <c r="A213" s="117"/>
      <c r="B213" s="123"/>
      <c r="C213" s="123"/>
      <c r="D213" s="123"/>
      <c r="N213" s="115"/>
      <c r="O213" s="115"/>
      <c r="P213" s="115"/>
      <c r="Q213" s="115"/>
      <c r="R213" s="115"/>
      <c r="S213" s="115"/>
      <c r="T213" s="115"/>
      <c r="U213" s="115"/>
      <c r="V213" s="115"/>
      <c r="W213" s="25"/>
      <c r="X213" s="13"/>
      <c r="AB213" s="115"/>
      <c r="AC213" s="115"/>
      <c r="AD213" s="115"/>
      <c r="AE213" s="115"/>
      <c r="AF213" s="115"/>
      <c r="AG213" s="115"/>
      <c r="AH213" s="25"/>
      <c r="AI213" s="13"/>
      <c r="AN213" s="116"/>
      <c r="AO213" s="123"/>
      <c r="AP213" s="123"/>
      <c r="AQ213" s="123"/>
      <c r="AV213" s="115"/>
      <c r="AW213" s="115"/>
      <c r="AX213" s="115"/>
      <c r="AY213" s="115"/>
      <c r="AZ213" s="115"/>
      <c r="BA213" s="115"/>
      <c r="BB213" s="115"/>
      <c r="BC213" s="115"/>
      <c r="BD213" s="115"/>
      <c r="BE213" s="115"/>
      <c r="BF213" s="25"/>
      <c r="BG213" s="13"/>
      <c r="BJ213" s="114"/>
    </row>
    <row r="214" spans="1:62" ht="20.100000000000001" customHeight="1" x14ac:dyDescent="0.4">
      <c r="A214" s="117"/>
      <c r="B214" s="123"/>
      <c r="C214" s="123"/>
      <c r="D214" s="123"/>
      <c r="W214" s="26"/>
      <c r="X214" s="13"/>
      <c r="AB214" s="115"/>
      <c r="AC214" s="115"/>
      <c r="AD214" s="115"/>
      <c r="AE214" s="115"/>
      <c r="AF214" s="115"/>
      <c r="AG214" s="115"/>
      <c r="AH214" s="25"/>
      <c r="AI214" s="13"/>
      <c r="AN214" s="116"/>
      <c r="AO214" s="123"/>
      <c r="AP214" s="123"/>
      <c r="AQ214" s="123"/>
      <c r="AV214" s="115"/>
      <c r="AW214" s="115"/>
      <c r="AX214" s="115"/>
      <c r="AY214" s="115"/>
      <c r="AZ214" s="115"/>
      <c r="BA214" s="115"/>
      <c r="BB214" s="115"/>
      <c r="BC214" s="115"/>
      <c r="BD214" s="115"/>
      <c r="BE214" s="115"/>
      <c r="BF214" s="25"/>
      <c r="BG214" s="13"/>
      <c r="BJ214" s="114"/>
    </row>
    <row r="215" spans="1:62" ht="20.100000000000001" customHeight="1" x14ac:dyDescent="0.4">
      <c r="A215" s="117"/>
      <c r="B215" s="123"/>
      <c r="C215" s="123"/>
      <c r="D215" s="123"/>
      <c r="S215" s="115"/>
      <c r="T215" s="115"/>
      <c r="U215" s="115"/>
      <c r="V215" s="115"/>
      <c r="W215" s="26"/>
      <c r="X215" s="13"/>
      <c r="AB215" s="115"/>
      <c r="AC215" s="115"/>
      <c r="AD215" s="115"/>
      <c r="AE215" s="115"/>
      <c r="AF215" s="115"/>
      <c r="AG215" s="115"/>
      <c r="AH215" s="25"/>
      <c r="AI215" s="13"/>
      <c r="AN215" s="116"/>
      <c r="AO215" s="123"/>
      <c r="AP215" s="123"/>
      <c r="AQ215" s="123"/>
      <c r="AV215" s="115"/>
      <c r="AW215" s="115"/>
      <c r="AX215" s="115"/>
      <c r="AY215" s="115"/>
      <c r="AZ215" s="115"/>
      <c r="BA215" s="115"/>
      <c r="BB215" s="115"/>
      <c r="BC215" s="115"/>
      <c r="BD215" s="115"/>
      <c r="BE215" s="115"/>
      <c r="BF215" s="25"/>
      <c r="BG215" s="13"/>
      <c r="BJ215" s="114"/>
    </row>
    <row r="216" spans="1:62" ht="20.100000000000001" customHeight="1" x14ac:dyDescent="0.4">
      <c r="A216" s="117"/>
      <c r="B216" s="123"/>
      <c r="C216" s="123"/>
      <c r="D216" s="12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26"/>
      <c r="X216" s="13"/>
      <c r="AB216" s="115"/>
      <c r="AC216" s="115"/>
      <c r="AD216" s="115"/>
      <c r="AE216" s="115"/>
      <c r="AF216" s="115"/>
      <c r="AG216" s="115"/>
      <c r="AH216" s="25"/>
      <c r="AI216" s="13"/>
      <c r="AN216" s="116"/>
      <c r="AO216" s="123"/>
      <c r="AP216" s="123"/>
      <c r="AQ216" s="123"/>
      <c r="AV216" s="115"/>
      <c r="AW216" s="115"/>
      <c r="AX216" s="115"/>
      <c r="AY216" s="115"/>
      <c r="AZ216" s="115"/>
      <c r="BA216" s="115"/>
      <c r="BB216" s="115"/>
      <c r="BC216" s="115"/>
      <c r="BD216" s="115"/>
      <c r="BE216" s="115"/>
      <c r="BF216" s="25"/>
      <c r="BG216" s="13"/>
      <c r="BJ216" s="114"/>
    </row>
    <row r="217" spans="1:62" ht="20.100000000000001" customHeight="1" x14ac:dyDescent="0.4">
      <c r="A217" s="117"/>
      <c r="B217" s="123"/>
      <c r="C217" s="123"/>
      <c r="D217" s="12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26"/>
      <c r="X217" s="13"/>
      <c r="AB217" s="115"/>
      <c r="AC217" s="115"/>
      <c r="AD217" s="115"/>
      <c r="AE217" s="115"/>
      <c r="AF217" s="115"/>
      <c r="AG217" s="115"/>
      <c r="AH217" s="25"/>
      <c r="AI217" s="13"/>
      <c r="AN217" s="116"/>
      <c r="AO217" s="123"/>
      <c r="AP217" s="123"/>
      <c r="AQ217" s="123"/>
      <c r="AV217" s="115"/>
      <c r="AW217" s="115"/>
      <c r="AX217" s="115"/>
      <c r="AY217" s="115"/>
      <c r="AZ217" s="115"/>
      <c r="BA217" s="115"/>
      <c r="BB217" s="115"/>
      <c r="BC217" s="115"/>
      <c r="BD217" s="115"/>
      <c r="BE217" s="115"/>
      <c r="BF217" s="25"/>
      <c r="BG217" s="13"/>
      <c r="BJ217" s="114"/>
    </row>
    <row r="218" spans="1:62" ht="20.100000000000001" customHeight="1" x14ac:dyDescent="0.4">
      <c r="A218" s="117"/>
      <c r="B218" s="123"/>
      <c r="C218" s="123"/>
      <c r="D218" s="12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26"/>
      <c r="X218" s="13"/>
      <c r="AB218" s="115"/>
      <c r="AC218" s="115"/>
      <c r="AD218" s="115"/>
      <c r="AE218" s="115"/>
      <c r="AF218" s="115"/>
      <c r="AG218" s="115"/>
      <c r="AH218" s="25"/>
      <c r="AI218" s="13"/>
      <c r="AN218" s="116"/>
      <c r="AO218" s="123"/>
      <c r="AP218" s="123"/>
      <c r="AQ218" s="123"/>
      <c r="AV218" s="115"/>
      <c r="AW218" s="115"/>
      <c r="AX218" s="115"/>
      <c r="AY218" s="115"/>
      <c r="AZ218" s="115"/>
      <c r="BA218" s="115"/>
      <c r="BB218" s="115"/>
      <c r="BC218" s="115"/>
      <c r="BD218" s="115"/>
      <c r="BE218" s="115"/>
      <c r="BF218" s="25"/>
      <c r="BG218" s="13"/>
      <c r="BJ218" s="114"/>
    </row>
    <row r="219" spans="1:62" ht="20.100000000000001" customHeight="1" x14ac:dyDescent="0.4">
      <c r="A219" s="117"/>
      <c r="B219" s="123"/>
      <c r="C219" s="123"/>
      <c r="D219" s="12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26"/>
      <c r="X219" s="13"/>
      <c r="AB219" s="115"/>
      <c r="AC219" s="115"/>
      <c r="AD219" s="115"/>
      <c r="AE219" s="115"/>
      <c r="AF219" s="115"/>
      <c r="AG219" s="115"/>
      <c r="AH219" s="25"/>
      <c r="AI219" s="13"/>
      <c r="AN219" s="116"/>
      <c r="AO219" s="123"/>
      <c r="AP219" s="123"/>
      <c r="AQ219" s="123"/>
      <c r="AV219" s="115"/>
      <c r="AW219" s="115"/>
      <c r="AX219" s="115"/>
      <c r="AY219" s="115"/>
      <c r="AZ219" s="115"/>
      <c r="BA219" s="115"/>
      <c r="BB219" s="115"/>
      <c r="BC219" s="115"/>
      <c r="BD219" s="115"/>
      <c r="BE219" s="115"/>
      <c r="BF219" s="25"/>
      <c r="BG219" s="13"/>
      <c r="BJ219" s="114"/>
    </row>
    <row r="220" spans="1:62" ht="20.100000000000001" customHeight="1" x14ac:dyDescent="0.4">
      <c r="A220" s="117"/>
      <c r="B220" s="123"/>
      <c r="C220" s="123"/>
      <c r="D220" s="123"/>
      <c r="W220" s="26"/>
      <c r="X220" s="13"/>
      <c r="AB220" s="115"/>
      <c r="AC220" s="115"/>
      <c r="AD220" s="115"/>
      <c r="AE220" s="115"/>
      <c r="AF220" s="115"/>
      <c r="AG220" s="115"/>
      <c r="AH220" s="25"/>
      <c r="AI220" s="13"/>
      <c r="AN220" s="116"/>
      <c r="AO220" s="123"/>
      <c r="AP220" s="123"/>
      <c r="AQ220" s="123"/>
      <c r="AV220" s="115"/>
      <c r="AW220" s="115"/>
      <c r="AX220" s="115"/>
      <c r="AY220" s="115"/>
      <c r="AZ220" s="115"/>
      <c r="BA220" s="115"/>
      <c r="BB220" s="115"/>
      <c r="BC220" s="115"/>
      <c r="BD220" s="115"/>
      <c r="BE220" s="115"/>
      <c r="BF220" s="25"/>
      <c r="BG220" s="13"/>
      <c r="BJ220" s="114"/>
    </row>
    <row r="221" spans="1:62" ht="20.100000000000001" customHeight="1" x14ac:dyDescent="0.4">
      <c r="A221" s="117"/>
      <c r="B221" s="123"/>
      <c r="C221" s="123"/>
      <c r="D221" s="123"/>
      <c r="S221" s="115"/>
      <c r="T221" s="115"/>
      <c r="U221" s="115"/>
      <c r="V221" s="115"/>
      <c r="W221" s="26"/>
      <c r="X221" s="13"/>
      <c r="AB221" s="115"/>
      <c r="AC221" s="115"/>
      <c r="AD221" s="115"/>
      <c r="AE221" s="115"/>
      <c r="AF221" s="115"/>
      <c r="AG221" s="115"/>
      <c r="AH221" s="25"/>
      <c r="AI221" s="13"/>
      <c r="AN221" s="116"/>
      <c r="AO221" s="123"/>
      <c r="AP221" s="123"/>
      <c r="AQ221" s="123"/>
      <c r="AV221" s="115"/>
      <c r="AW221" s="115"/>
      <c r="AX221" s="115"/>
      <c r="AY221" s="115"/>
      <c r="AZ221" s="115"/>
      <c r="BA221" s="115"/>
      <c r="BB221" s="115"/>
      <c r="BC221" s="115"/>
      <c r="BD221" s="115"/>
      <c r="BE221" s="115"/>
      <c r="BF221" s="25"/>
      <c r="BG221" s="13"/>
      <c r="BJ221" s="114"/>
    </row>
    <row r="222" spans="1:62" ht="20.100000000000001" customHeight="1" x14ac:dyDescent="0.4">
      <c r="A222" s="117"/>
      <c r="B222" s="123"/>
      <c r="C222" s="123"/>
      <c r="D222" s="123"/>
      <c r="S222" s="115"/>
      <c r="T222" s="115"/>
      <c r="U222" s="115"/>
      <c r="V222" s="115"/>
      <c r="W222" s="17"/>
      <c r="X222" s="13"/>
      <c r="AB222" s="115"/>
      <c r="AC222" s="115"/>
      <c r="AD222" s="115"/>
      <c r="AE222" s="115"/>
      <c r="AF222" s="115"/>
      <c r="AG222" s="115"/>
      <c r="AH222" s="25"/>
      <c r="AI222" s="13"/>
      <c r="AN222" s="116"/>
      <c r="AO222" s="123"/>
      <c r="AP222" s="123"/>
      <c r="AQ222" s="123"/>
      <c r="AV222" s="115"/>
      <c r="AW222" s="115"/>
      <c r="AX222" s="115"/>
      <c r="AY222" s="115"/>
      <c r="AZ222" s="115"/>
      <c r="BA222" s="115"/>
      <c r="BB222" s="115"/>
      <c r="BC222" s="115"/>
      <c r="BD222" s="115"/>
      <c r="BE222" s="115"/>
      <c r="BF222" s="25"/>
      <c r="BG222" s="13"/>
      <c r="BJ222" s="114"/>
    </row>
    <row r="223" spans="1:62" ht="20.100000000000001" customHeight="1" x14ac:dyDescent="0.4">
      <c r="A223" s="117"/>
      <c r="B223" s="123"/>
      <c r="C223" s="123"/>
      <c r="D223" s="123"/>
      <c r="S223" s="115"/>
      <c r="T223" s="115"/>
      <c r="U223" s="115"/>
      <c r="V223" s="115"/>
      <c r="W223" s="26"/>
      <c r="X223" s="13"/>
      <c r="AB223" s="115"/>
      <c r="AC223" s="115"/>
      <c r="AD223" s="115"/>
      <c r="AE223" s="115"/>
      <c r="AF223" s="115"/>
      <c r="AG223" s="115"/>
      <c r="AH223" s="25"/>
      <c r="AI223" s="13"/>
      <c r="AN223" s="116"/>
      <c r="AO223" s="123"/>
      <c r="AP223" s="123"/>
      <c r="AQ223" s="123"/>
      <c r="AV223" s="115"/>
      <c r="AW223" s="115"/>
      <c r="AX223" s="115"/>
      <c r="AY223" s="115"/>
      <c r="AZ223" s="115"/>
      <c r="BA223" s="115"/>
      <c r="BB223" s="115"/>
      <c r="BC223" s="115"/>
      <c r="BD223" s="115"/>
      <c r="BE223" s="115"/>
      <c r="BF223" s="25"/>
      <c r="BG223" s="13"/>
      <c r="BJ223" s="114"/>
    </row>
    <row r="224" spans="1:62" ht="20.100000000000001" customHeight="1" x14ac:dyDescent="0.4">
      <c r="A224" s="117"/>
      <c r="B224" s="123"/>
      <c r="C224" s="123"/>
      <c r="D224" s="123"/>
      <c r="S224" s="115"/>
      <c r="T224" s="115"/>
      <c r="U224" s="115"/>
      <c r="V224" s="115"/>
      <c r="W224" s="17"/>
      <c r="X224" s="13"/>
      <c r="AB224" s="115"/>
      <c r="AC224" s="115"/>
      <c r="AD224" s="115"/>
      <c r="AE224" s="115"/>
      <c r="AF224" s="115"/>
      <c r="AG224" s="115"/>
      <c r="AH224" s="25"/>
      <c r="AI224" s="13"/>
      <c r="AN224" s="116"/>
      <c r="AO224" s="123"/>
      <c r="AP224" s="123"/>
      <c r="AQ224" s="123"/>
      <c r="AV224" s="115"/>
      <c r="AW224" s="115"/>
      <c r="AX224" s="115"/>
      <c r="AY224" s="115"/>
      <c r="AZ224" s="115"/>
      <c r="BA224" s="115"/>
      <c r="BB224" s="115"/>
      <c r="BC224" s="115"/>
      <c r="BD224" s="115"/>
      <c r="BE224" s="115"/>
      <c r="BF224" s="25"/>
      <c r="BG224" s="13"/>
      <c r="BJ224" s="114"/>
    </row>
    <row r="225" spans="1:62" ht="20.100000000000001" customHeight="1" x14ac:dyDescent="0.4">
      <c r="A225" s="117"/>
      <c r="B225" s="123"/>
      <c r="C225" s="123"/>
      <c r="D225" s="123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26"/>
      <c r="X225" s="13"/>
      <c r="AB225" s="115"/>
      <c r="AC225" s="115"/>
      <c r="AD225" s="115"/>
      <c r="AE225" s="115"/>
      <c r="AF225" s="115"/>
      <c r="AG225" s="115"/>
      <c r="AH225" s="25"/>
      <c r="AI225" s="13"/>
      <c r="AN225" s="116"/>
      <c r="AO225" s="123"/>
      <c r="AP225" s="123"/>
      <c r="AQ225" s="123"/>
      <c r="AV225" s="115"/>
      <c r="AW225" s="115"/>
      <c r="AX225" s="115"/>
      <c r="AY225" s="115"/>
      <c r="AZ225" s="115"/>
      <c r="BA225" s="115"/>
      <c r="BB225" s="115"/>
      <c r="BC225" s="115"/>
      <c r="BD225" s="115"/>
      <c r="BE225" s="115"/>
      <c r="BF225" s="25"/>
      <c r="BG225" s="13"/>
      <c r="BJ225" s="114"/>
    </row>
    <row r="226" spans="1:62" ht="20.100000000000001" customHeight="1" x14ac:dyDescent="0.4">
      <c r="A226" s="117"/>
      <c r="B226" s="123"/>
      <c r="C226" s="123"/>
      <c r="D226" s="123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26"/>
      <c r="X226" s="13"/>
      <c r="AB226" s="115"/>
      <c r="AC226" s="115"/>
      <c r="AD226" s="115"/>
      <c r="AE226" s="115"/>
      <c r="AF226" s="115"/>
      <c r="AG226" s="115"/>
      <c r="AH226" s="25"/>
      <c r="AI226" s="13"/>
      <c r="AN226" s="116"/>
      <c r="AO226" s="123"/>
      <c r="AP226" s="123"/>
      <c r="AQ226" s="123"/>
      <c r="AV226" s="115"/>
      <c r="AW226" s="115"/>
      <c r="AX226" s="115"/>
      <c r="AY226" s="115"/>
      <c r="AZ226" s="115"/>
      <c r="BA226" s="115"/>
      <c r="BB226" s="115"/>
      <c r="BC226" s="115"/>
      <c r="BD226" s="115"/>
      <c r="BE226" s="115"/>
      <c r="BF226" s="25"/>
      <c r="BG226" s="13"/>
      <c r="BJ226" s="114"/>
    </row>
    <row r="227" spans="1:62" ht="20.100000000000001" customHeight="1" x14ac:dyDescent="0.4">
      <c r="A227" s="117"/>
      <c r="B227" s="123"/>
      <c r="C227" s="123"/>
      <c r="D227" s="123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26"/>
      <c r="X227" s="13"/>
      <c r="AB227" s="115"/>
      <c r="AC227" s="115"/>
      <c r="AD227" s="115"/>
      <c r="AE227" s="115"/>
      <c r="AF227" s="115"/>
      <c r="AG227" s="115"/>
      <c r="AH227" s="25"/>
      <c r="AI227" s="13"/>
      <c r="AN227" s="116"/>
      <c r="AO227" s="123"/>
      <c r="AP227" s="123"/>
      <c r="AQ227" s="123"/>
      <c r="AV227" s="115"/>
      <c r="AW227" s="115"/>
      <c r="AX227" s="115"/>
      <c r="AY227" s="115"/>
      <c r="AZ227" s="115"/>
      <c r="BA227" s="115"/>
      <c r="BB227" s="115"/>
      <c r="BC227" s="115"/>
      <c r="BD227" s="115"/>
      <c r="BE227" s="115"/>
      <c r="BF227" s="25"/>
      <c r="BG227" s="13"/>
      <c r="BJ227" s="114"/>
    </row>
    <row r="228" spans="1:62" ht="20.100000000000001" customHeight="1" x14ac:dyDescent="0.4">
      <c r="A228" s="117"/>
      <c r="B228" s="123"/>
      <c r="C228" s="123"/>
      <c r="D228" s="123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26"/>
      <c r="X228" s="13"/>
      <c r="AB228" s="115"/>
      <c r="AC228" s="115"/>
      <c r="AD228" s="115"/>
      <c r="AE228" s="115"/>
      <c r="AF228" s="115"/>
      <c r="AG228" s="115"/>
      <c r="AH228" s="25"/>
      <c r="AI228" s="13"/>
      <c r="AN228" s="116"/>
      <c r="AO228" s="123"/>
      <c r="AP228" s="123"/>
      <c r="AQ228" s="123"/>
      <c r="AV228" s="115"/>
      <c r="AW228" s="115"/>
      <c r="AX228" s="115"/>
      <c r="AY228" s="115"/>
      <c r="AZ228" s="115"/>
      <c r="BA228" s="115"/>
      <c r="BB228" s="115"/>
      <c r="BC228" s="115"/>
      <c r="BD228" s="115"/>
      <c r="BE228" s="115"/>
      <c r="BF228" s="25"/>
      <c r="BG228" s="13"/>
      <c r="BJ228" s="114"/>
    </row>
    <row r="229" spans="1:62" ht="20.100000000000001" customHeight="1" x14ac:dyDescent="0.4">
      <c r="A229" s="117"/>
      <c r="B229" s="123"/>
      <c r="C229" s="123"/>
      <c r="D229" s="123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7"/>
      <c r="X229" s="13"/>
      <c r="AB229" s="115"/>
      <c r="AC229" s="115"/>
      <c r="AD229" s="115"/>
      <c r="AE229" s="115"/>
      <c r="AF229" s="115"/>
      <c r="AG229" s="115"/>
      <c r="AH229" s="25"/>
      <c r="AI229" s="13"/>
      <c r="AN229" s="116"/>
      <c r="AO229" s="123"/>
      <c r="AP229" s="123"/>
      <c r="AQ229" s="123"/>
      <c r="AV229" s="115"/>
      <c r="AW229" s="115"/>
      <c r="AX229" s="115"/>
      <c r="AY229" s="115"/>
      <c r="AZ229" s="115"/>
      <c r="BA229" s="115"/>
      <c r="BB229" s="115"/>
      <c r="BC229" s="115"/>
      <c r="BD229" s="115"/>
      <c r="BE229" s="115"/>
      <c r="BF229" s="25"/>
      <c r="BG229" s="13"/>
      <c r="BJ229" s="114"/>
    </row>
    <row r="230" spans="1:62" ht="20.100000000000001" customHeight="1" x14ac:dyDescent="0.4">
      <c r="A230" s="117"/>
      <c r="B230" s="123"/>
      <c r="C230" s="123"/>
      <c r="D230" s="123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26"/>
      <c r="X230" s="13"/>
      <c r="AB230" s="115"/>
      <c r="AC230" s="115"/>
      <c r="AD230" s="115"/>
      <c r="AE230" s="115"/>
      <c r="AF230" s="115"/>
      <c r="AG230" s="115"/>
      <c r="AH230" s="25"/>
      <c r="AI230" s="13"/>
      <c r="AN230" s="116"/>
      <c r="AO230" s="123"/>
      <c r="AP230" s="123"/>
      <c r="AQ230" s="123"/>
      <c r="AV230" s="115"/>
      <c r="AW230" s="115"/>
      <c r="AX230" s="115"/>
      <c r="AY230" s="115"/>
      <c r="AZ230" s="115"/>
      <c r="BA230" s="115"/>
      <c r="BB230" s="115"/>
      <c r="BC230" s="115"/>
      <c r="BD230" s="115"/>
      <c r="BE230" s="115"/>
      <c r="BF230" s="25"/>
      <c r="BG230" s="13"/>
      <c r="BJ230" s="114"/>
    </row>
    <row r="231" spans="1:62" ht="20.100000000000001" customHeight="1" x14ac:dyDescent="0.4">
      <c r="A231" s="117"/>
      <c r="B231" s="123"/>
      <c r="C231" s="123"/>
      <c r="D231" s="123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26"/>
      <c r="X231" s="15"/>
      <c r="AB231" s="115"/>
      <c r="AC231" s="115"/>
      <c r="AD231" s="115"/>
      <c r="AE231" s="115"/>
      <c r="AF231" s="115"/>
      <c r="AG231" s="115"/>
      <c r="AH231" s="25"/>
      <c r="AI231" s="13"/>
      <c r="AN231" s="116"/>
      <c r="AO231" s="123"/>
      <c r="AP231" s="123"/>
      <c r="AQ231" s="123"/>
      <c r="AV231" s="115"/>
      <c r="AW231" s="115"/>
      <c r="AX231" s="115"/>
      <c r="AY231" s="115"/>
      <c r="AZ231" s="115"/>
      <c r="BA231" s="115"/>
      <c r="BB231" s="115"/>
      <c r="BC231" s="115"/>
      <c r="BD231" s="115"/>
      <c r="BE231" s="115"/>
      <c r="BF231" s="25"/>
      <c r="BG231" s="13"/>
      <c r="BJ231" s="114"/>
    </row>
    <row r="232" spans="1:62" ht="20.100000000000001" customHeight="1" x14ac:dyDescent="0.4">
      <c r="A232" s="117"/>
      <c r="B232" s="123"/>
      <c r="C232" s="123"/>
      <c r="D232" s="123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7"/>
      <c r="X232" s="15"/>
      <c r="AB232" s="115"/>
      <c r="AC232" s="115"/>
      <c r="AD232" s="115"/>
      <c r="AE232" s="115"/>
      <c r="AF232" s="115"/>
      <c r="AG232" s="115"/>
      <c r="AH232" s="25"/>
      <c r="AI232" s="13"/>
      <c r="AN232" s="116"/>
      <c r="AO232" s="123"/>
      <c r="AP232" s="123"/>
      <c r="AQ232" s="123"/>
      <c r="AV232" s="115"/>
      <c r="AW232" s="115"/>
      <c r="AX232" s="115"/>
      <c r="AY232" s="115"/>
      <c r="AZ232" s="115"/>
      <c r="BA232" s="115"/>
      <c r="BB232" s="115"/>
      <c r="BC232" s="115"/>
      <c r="BD232" s="115"/>
      <c r="BE232" s="115"/>
      <c r="BF232" s="25"/>
      <c r="BG232" s="13"/>
      <c r="BJ232" s="114"/>
    </row>
    <row r="233" spans="1:62" ht="20.100000000000001" customHeight="1" x14ac:dyDescent="0.4">
      <c r="A233" s="117"/>
      <c r="B233" s="123"/>
      <c r="C233" s="123"/>
      <c r="D233" s="123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26"/>
      <c r="X233" s="15"/>
      <c r="AB233" s="115"/>
      <c r="AC233" s="115"/>
      <c r="AD233" s="115"/>
      <c r="AE233" s="115"/>
      <c r="AF233" s="115"/>
      <c r="AG233" s="115"/>
      <c r="AH233" s="25"/>
      <c r="AI233" s="13"/>
      <c r="AN233" s="116"/>
      <c r="AO233" s="123"/>
      <c r="AP233" s="123"/>
      <c r="AQ233" s="123"/>
      <c r="AV233" s="115"/>
      <c r="AW233" s="115"/>
      <c r="AX233" s="115"/>
      <c r="AY233" s="115"/>
      <c r="AZ233" s="115"/>
      <c r="BA233" s="115"/>
      <c r="BB233" s="115"/>
      <c r="BC233" s="115"/>
      <c r="BD233" s="115"/>
      <c r="BE233" s="115"/>
      <c r="BF233" s="25"/>
      <c r="BG233" s="13"/>
      <c r="BJ233" s="114"/>
    </row>
    <row r="234" spans="1:62" ht="20.100000000000001" customHeight="1" x14ac:dyDescent="0.4">
      <c r="A234" s="117"/>
      <c r="B234" s="123"/>
      <c r="C234" s="123"/>
      <c r="D234" s="123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20"/>
      <c r="X234" s="13"/>
      <c r="AB234" s="115"/>
      <c r="AC234" s="115"/>
      <c r="AD234" s="115"/>
      <c r="AE234" s="115"/>
      <c r="AF234" s="115"/>
      <c r="AG234" s="115"/>
      <c r="AH234" s="25"/>
      <c r="AI234" s="13"/>
      <c r="AN234" s="116"/>
      <c r="AO234" s="123"/>
      <c r="AP234" s="123"/>
      <c r="AQ234" s="123"/>
      <c r="AV234" s="115"/>
      <c r="AW234" s="115"/>
      <c r="AX234" s="115"/>
      <c r="AY234" s="115"/>
      <c r="AZ234" s="115"/>
      <c r="BA234" s="115"/>
      <c r="BB234" s="115"/>
      <c r="BC234" s="115"/>
      <c r="BD234" s="115"/>
      <c r="BE234" s="115"/>
      <c r="BF234" s="25"/>
      <c r="BG234" s="13"/>
      <c r="BJ234" s="114"/>
    </row>
    <row r="235" spans="1:62" ht="20.100000000000001" customHeight="1" x14ac:dyDescent="0.4">
      <c r="A235" s="117"/>
      <c r="B235" s="123"/>
      <c r="C235" s="123"/>
      <c r="D235" s="123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20"/>
      <c r="X235" s="13"/>
      <c r="AB235" s="115"/>
      <c r="AC235" s="115"/>
      <c r="AD235" s="115"/>
      <c r="AE235" s="115"/>
      <c r="AF235" s="115"/>
      <c r="AG235" s="115"/>
      <c r="AH235" s="25"/>
      <c r="AI235" s="13"/>
      <c r="AN235" s="116"/>
      <c r="AO235" s="123"/>
      <c r="AP235" s="123"/>
      <c r="AQ235" s="123"/>
      <c r="AV235" s="115"/>
      <c r="AW235" s="115"/>
      <c r="AX235" s="115"/>
      <c r="AY235" s="115"/>
      <c r="AZ235" s="115"/>
      <c r="BA235" s="115"/>
      <c r="BB235" s="115"/>
      <c r="BC235" s="115"/>
      <c r="BD235" s="115"/>
      <c r="BE235" s="115"/>
      <c r="BF235" s="25"/>
      <c r="BG235" s="13"/>
      <c r="BJ235" s="114"/>
    </row>
    <row r="236" spans="1:62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25"/>
      <c r="X236" s="13"/>
      <c r="AB236" s="115"/>
      <c r="AC236" s="115"/>
      <c r="AD236" s="115"/>
      <c r="AE236" s="115"/>
      <c r="AF236" s="115"/>
      <c r="AG236" s="115"/>
      <c r="AH236" s="25"/>
      <c r="AI236" s="13"/>
      <c r="AN236" s="116"/>
      <c r="AO236" s="123"/>
      <c r="AP236" s="123"/>
      <c r="AQ236" s="123"/>
      <c r="AV236" s="115"/>
      <c r="AW236" s="115"/>
      <c r="AX236" s="115"/>
      <c r="AY236" s="115"/>
      <c r="AZ236" s="115"/>
      <c r="BA236" s="115"/>
      <c r="BB236" s="115"/>
      <c r="BC236" s="115"/>
      <c r="BD236" s="115"/>
      <c r="BE236" s="115"/>
      <c r="BF236" s="25"/>
      <c r="BG236" s="13"/>
      <c r="BJ236" s="114"/>
    </row>
    <row r="237" spans="1:62" ht="20.100000000000001" customHeight="1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3"/>
      <c r="X237" s="13"/>
      <c r="AB237" s="115"/>
      <c r="AC237" s="115"/>
      <c r="AD237" s="115"/>
      <c r="AE237" s="115"/>
      <c r="AF237" s="115"/>
      <c r="AG237" s="115"/>
      <c r="AH237" s="25"/>
      <c r="AI237" s="13"/>
      <c r="AN237" s="116"/>
      <c r="AO237" s="123"/>
      <c r="AP237" s="123"/>
      <c r="AQ237" s="123"/>
      <c r="AV237" s="115"/>
      <c r="AW237" s="115"/>
      <c r="AX237" s="115"/>
      <c r="AY237" s="115"/>
      <c r="AZ237" s="115"/>
      <c r="BA237" s="115"/>
      <c r="BB237" s="115"/>
      <c r="BC237" s="115"/>
      <c r="BD237" s="115"/>
      <c r="BE237" s="115"/>
      <c r="BF237" s="25"/>
      <c r="BG237" s="13"/>
      <c r="BJ237" s="114"/>
    </row>
    <row r="238" spans="1:62" ht="20.100000000000001" customHeight="1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25"/>
      <c r="X238" s="13"/>
      <c r="AB238" s="115"/>
      <c r="AC238" s="115"/>
      <c r="AD238" s="115"/>
      <c r="AE238" s="115"/>
      <c r="AF238" s="115"/>
      <c r="AG238" s="115"/>
      <c r="AH238" s="25"/>
      <c r="AI238" s="13"/>
      <c r="AN238" s="116"/>
      <c r="AO238" s="123"/>
      <c r="AP238" s="123"/>
      <c r="AQ238" s="123"/>
      <c r="AV238" s="115"/>
      <c r="AW238" s="115"/>
      <c r="AX238" s="115"/>
      <c r="AY238" s="115"/>
      <c r="AZ238" s="115"/>
      <c r="BA238" s="115"/>
      <c r="BB238" s="115"/>
      <c r="BC238" s="115"/>
      <c r="BD238" s="115"/>
      <c r="BE238" s="115"/>
      <c r="BF238" s="25"/>
      <c r="BG238" s="13"/>
      <c r="BJ238" s="114"/>
    </row>
    <row r="239" spans="1:62" ht="20.100000000000001" customHeight="1" x14ac:dyDescent="0.4">
      <c r="A239" s="117"/>
      <c r="B239" s="123"/>
      <c r="C239" s="123"/>
      <c r="D239" s="123"/>
      <c r="W239" s="25"/>
      <c r="X239" s="25"/>
      <c r="AB239" s="115"/>
      <c r="AC239" s="115"/>
      <c r="AD239" s="115"/>
      <c r="AE239" s="115"/>
      <c r="AF239" s="115"/>
      <c r="AG239" s="115"/>
      <c r="AH239" s="25">
        <v>45672</v>
      </c>
      <c r="AI239" s="13" t="s">
        <v>146</v>
      </c>
      <c r="AN239" s="116"/>
      <c r="AO239" s="123"/>
      <c r="AP239" s="123"/>
      <c r="AQ239" s="123"/>
      <c r="AV239" s="115"/>
      <c r="AW239" s="115"/>
      <c r="AX239" s="115"/>
      <c r="AY239" s="115"/>
      <c r="AZ239" s="115"/>
      <c r="BA239" s="115"/>
      <c r="BB239" s="115"/>
      <c r="BC239" s="115"/>
      <c r="BD239" s="115"/>
      <c r="BE239" s="115"/>
      <c r="BF239" s="25"/>
      <c r="BG239" s="13"/>
      <c r="BJ239" s="114"/>
    </row>
    <row r="240" spans="1:62" ht="20.100000000000001" customHeight="1" x14ac:dyDescent="0.4">
      <c r="A240" s="117"/>
      <c r="B240" s="123"/>
      <c r="C240" s="123"/>
      <c r="D240" s="123"/>
      <c r="R240" s="115"/>
      <c r="S240" s="115"/>
      <c r="T240" s="115"/>
      <c r="U240" s="115"/>
      <c r="V240" s="115"/>
      <c r="W240" s="13"/>
      <c r="X240" s="13"/>
      <c r="AB240" s="115"/>
      <c r="AC240" s="115"/>
      <c r="AD240" s="115"/>
      <c r="AE240" s="115"/>
      <c r="AF240" s="115"/>
      <c r="AG240" s="115"/>
      <c r="AH240" s="25"/>
      <c r="AI240" s="13"/>
      <c r="AN240" s="116"/>
      <c r="AO240" s="123"/>
      <c r="AP240" s="123"/>
      <c r="AQ240" s="123"/>
      <c r="AV240" s="115"/>
      <c r="AW240" s="115"/>
      <c r="AX240" s="115"/>
      <c r="AY240" s="115"/>
      <c r="AZ240" s="115"/>
      <c r="BA240" s="115"/>
      <c r="BB240" s="115"/>
      <c r="BC240" s="115"/>
      <c r="BD240" s="115"/>
      <c r="BE240" s="115"/>
      <c r="BF240" s="25"/>
      <c r="BG240" s="13"/>
      <c r="BJ240" s="114"/>
    </row>
    <row r="241" spans="1:62" ht="20.100000000000001" customHeight="1" x14ac:dyDescent="0.4">
      <c r="A241" s="117"/>
      <c r="B241" s="123"/>
      <c r="C241" s="123"/>
      <c r="D241" s="123"/>
      <c r="O241" s="115"/>
      <c r="P241" s="115"/>
      <c r="Q241" s="115"/>
      <c r="R241" s="115"/>
      <c r="S241" s="115"/>
      <c r="T241" s="115"/>
      <c r="U241" s="115"/>
      <c r="V241" s="115"/>
      <c r="W241" s="25"/>
      <c r="X241" s="13"/>
      <c r="AB241" s="115"/>
      <c r="AC241" s="115"/>
      <c r="AD241" s="115"/>
      <c r="AE241" s="115"/>
      <c r="AF241" s="115"/>
      <c r="AG241" s="115"/>
      <c r="AH241" s="25"/>
      <c r="AI241" s="13"/>
      <c r="AN241" s="116"/>
      <c r="AO241" s="123"/>
      <c r="AP241" s="123"/>
      <c r="AQ241" s="123"/>
      <c r="AV241" s="115"/>
      <c r="AW241" s="115"/>
      <c r="AX241" s="115"/>
      <c r="AY241" s="115"/>
      <c r="AZ241" s="115"/>
      <c r="BA241" s="115"/>
      <c r="BB241" s="115"/>
      <c r="BC241" s="115"/>
      <c r="BD241" s="115"/>
      <c r="BE241" s="115"/>
      <c r="BF241" s="25"/>
      <c r="BG241" s="13"/>
      <c r="BJ241" s="114"/>
    </row>
    <row r="242" spans="1:62" ht="20.100000000000001" customHeight="1" x14ac:dyDescent="0.4">
      <c r="A242" s="117"/>
      <c r="B242" s="123"/>
      <c r="C242" s="123"/>
      <c r="D242" s="123"/>
      <c r="O242" s="115"/>
      <c r="P242" s="115"/>
      <c r="Q242" s="115"/>
      <c r="R242" s="115"/>
      <c r="S242" s="115"/>
      <c r="T242" s="115"/>
      <c r="U242" s="115"/>
      <c r="V242" s="115"/>
      <c r="W242" s="20"/>
      <c r="X242" s="13"/>
      <c r="AB242" s="115"/>
      <c r="AC242" s="115"/>
      <c r="AD242" s="115"/>
      <c r="AE242" s="115"/>
      <c r="AF242" s="115"/>
      <c r="AG242" s="115"/>
      <c r="AH242" s="25"/>
      <c r="AI242" s="13"/>
      <c r="AN242" s="116"/>
      <c r="AO242" s="123"/>
      <c r="AP242" s="123"/>
      <c r="AQ242" s="123"/>
      <c r="AV242" s="115"/>
      <c r="AW242" s="115"/>
      <c r="AX242" s="115"/>
      <c r="AY242" s="115"/>
      <c r="AZ242" s="115"/>
      <c r="BA242" s="115"/>
      <c r="BB242" s="115"/>
      <c r="BC242" s="115"/>
      <c r="BD242" s="115"/>
      <c r="BE242" s="115"/>
      <c r="BF242" s="25"/>
      <c r="BG242" s="13"/>
      <c r="BJ242" s="114"/>
    </row>
    <row r="243" spans="1:62" ht="20.100000000000001" customHeight="1" x14ac:dyDescent="0.4">
      <c r="A243" s="117"/>
      <c r="B243" s="123"/>
      <c r="C243" s="123"/>
      <c r="D243" s="123"/>
      <c r="N243" s="115"/>
      <c r="O243" s="115"/>
      <c r="P243" s="115"/>
      <c r="Q243" s="115"/>
      <c r="R243" s="115"/>
      <c r="S243" s="115"/>
      <c r="T243" s="115"/>
      <c r="U243" s="115"/>
      <c r="V243" s="115"/>
      <c r="W243" s="26"/>
      <c r="X243" s="15"/>
      <c r="AB243" s="115"/>
      <c r="AC243" s="115"/>
      <c r="AD243" s="115"/>
      <c r="AE243" s="115"/>
      <c r="AF243" s="115"/>
      <c r="AG243" s="115"/>
      <c r="AH243" s="25"/>
      <c r="AI243" s="13"/>
      <c r="AN243" s="116"/>
      <c r="AO243" s="123"/>
      <c r="AP243" s="123"/>
      <c r="AQ243" s="123"/>
      <c r="AV243" s="115"/>
      <c r="AW243" s="115"/>
      <c r="AX243" s="115"/>
      <c r="AY243" s="115"/>
      <c r="AZ243" s="115"/>
      <c r="BA243" s="115"/>
      <c r="BB243" s="115"/>
      <c r="BC243" s="115"/>
      <c r="BD243" s="115"/>
      <c r="BE243" s="115"/>
      <c r="BF243" s="25"/>
      <c r="BG243" s="13"/>
      <c r="BJ243" s="114"/>
    </row>
    <row r="244" spans="1:62" ht="20.100000000000001" customHeight="1" x14ac:dyDescent="0.4">
      <c r="A244" s="117"/>
      <c r="B244" s="123"/>
      <c r="C244" s="123"/>
      <c r="D244" s="123"/>
      <c r="W244" s="26"/>
      <c r="X244" s="15"/>
      <c r="AB244" s="115"/>
      <c r="AC244" s="115"/>
      <c r="AD244" s="115"/>
      <c r="AE244" s="115"/>
      <c r="AF244" s="115"/>
      <c r="AG244" s="115"/>
      <c r="AH244" s="25">
        <v>45672</v>
      </c>
      <c r="AI244" s="13" t="s">
        <v>146</v>
      </c>
      <c r="AN244" s="116"/>
      <c r="AO244" s="123"/>
      <c r="AP244" s="123"/>
      <c r="AQ244" s="123"/>
      <c r="AV244" s="115"/>
      <c r="AW244" s="115"/>
      <c r="AX244" s="115"/>
      <c r="AY244" s="115"/>
      <c r="AZ244" s="115"/>
      <c r="BA244" s="115"/>
      <c r="BB244" s="115"/>
      <c r="BC244" s="115"/>
      <c r="BD244" s="115"/>
      <c r="BE244" s="115"/>
      <c r="BF244" s="25"/>
      <c r="BG244" s="13"/>
      <c r="BJ244" s="114"/>
    </row>
    <row r="245" spans="1:62" ht="20.100000000000001" customHeight="1" x14ac:dyDescent="0.4">
      <c r="A245" s="117"/>
      <c r="B245" s="123"/>
      <c r="C245" s="123"/>
      <c r="D245" s="123"/>
      <c r="W245" s="30"/>
      <c r="X245" s="15"/>
      <c r="AB245" s="115"/>
      <c r="AC245" s="115"/>
      <c r="AD245" s="115"/>
      <c r="AE245" s="115"/>
      <c r="AF245" s="115"/>
      <c r="AG245" s="115"/>
      <c r="AH245" s="25"/>
      <c r="AI245" s="13"/>
      <c r="AN245" s="116"/>
      <c r="AO245" s="123"/>
      <c r="AP245" s="123"/>
      <c r="AQ245" s="123"/>
      <c r="AV245" s="115"/>
      <c r="AW245" s="115"/>
      <c r="AX245" s="115"/>
      <c r="AY245" s="115"/>
      <c r="AZ245" s="115"/>
      <c r="BA245" s="115"/>
      <c r="BB245" s="115"/>
      <c r="BC245" s="115"/>
      <c r="BD245" s="115"/>
      <c r="BE245" s="115"/>
      <c r="BF245" s="25"/>
      <c r="BG245" s="13"/>
      <c r="BJ245" s="114"/>
    </row>
    <row r="246" spans="1:62" ht="20.100000000000001" customHeight="1" x14ac:dyDescent="0.4">
      <c r="A246" s="117"/>
      <c r="B246" s="123"/>
      <c r="C246" s="123"/>
      <c r="D246" s="123"/>
      <c r="R246" s="115"/>
      <c r="S246" s="115"/>
      <c r="T246" s="115"/>
      <c r="U246" s="115"/>
      <c r="V246" s="115"/>
      <c r="W246" s="19"/>
      <c r="X246" s="15"/>
      <c r="AB246" s="115"/>
      <c r="AC246" s="115"/>
      <c r="AD246" s="115"/>
      <c r="AE246" s="115"/>
      <c r="AF246" s="115"/>
      <c r="AG246" s="115"/>
      <c r="AH246" s="25"/>
      <c r="AI246" s="13"/>
      <c r="AN246" s="116"/>
      <c r="AO246" s="123"/>
      <c r="AP246" s="123"/>
      <c r="AQ246" s="123"/>
      <c r="AV246" s="115"/>
      <c r="AW246" s="115"/>
      <c r="AX246" s="115"/>
      <c r="AY246" s="115"/>
      <c r="AZ246" s="115"/>
      <c r="BA246" s="115"/>
      <c r="BB246" s="115"/>
      <c r="BC246" s="115"/>
      <c r="BD246" s="115"/>
      <c r="BE246" s="115"/>
      <c r="BF246" s="25"/>
      <c r="BG246" s="13"/>
      <c r="BJ246" s="114"/>
    </row>
    <row r="247" spans="1:62" ht="20.100000000000001" customHeight="1" x14ac:dyDescent="0.4">
      <c r="A247" s="117"/>
      <c r="B247" s="123"/>
      <c r="C247" s="123"/>
      <c r="D247" s="123"/>
      <c r="W247" s="30"/>
      <c r="X247" s="15"/>
      <c r="AB247" s="115"/>
      <c r="AC247" s="115"/>
      <c r="AD247" s="115"/>
      <c r="AE247" s="115"/>
      <c r="AF247" s="115"/>
      <c r="AG247" s="115"/>
      <c r="AH247" s="25">
        <v>45672</v>
      </c>
      <c r="AI247" s="25" t="s">
        <v>147</v>
      </c>
      <c r="AN247" s="116"/>
      <c r="AO247" s="123"/>
      <c r="AP247" s="123"/>
      <c r="AQ247" s="123"/>
      <c r="AV247" s="115"/>
      <c r="AW247" s="115"/>
      <c r="AX247" s="115"/>
      <c r="AY247" s="115"/>
      <c r="AZ247" s="115"/>
      <c r="BA247" s="115"/>
      <c r="BB247" s="115"/>
      <c r="BC247" s="115"/>
      <c r="BD247" s="115"/>
      <c r="BE247" s="115"/>
      <c r="BF247" s="25"/>
      <c r="BG247" s="13"/>
      <c r="BJ247" s="114"/>
    </row>
    <row r="248" spans="1:62" ht="20.100000000000001" customHeight="1" x14ac:dyDescent="0.4">
      <c r="A248" s="117"/>
      <c r="B248" s="123"/>
      <c r="C248" s="123"/>
      <c r="D248" s="123"/>
      <c r="W248" s="26"/>
      <c r="X248" s="15"/>
      <c r="AB248" s="115"/>
      <c r="AC248" s="115"/>
      <c r="AD248" s="115"/>
      <c r="AE248" s="115"/>
      <c r="AF248" s="115"/>
      <c r="AG248" s="115"/>
      <c r="AH248" s="25"/>
      <c r="AI248" s="25"/>
      <c r="AN248" s="116"/>
      <c r="AO248" s="123"/>
      <c r="AP248" s="123"/>
      <c r="AQ248" s="123"/>
      <c r="AV248" s="115"/>
      <c r="AW248" s="115"/>
      <c r="AX248" s="115"/>
      <c r="AY248" s="115"/>
      <c r="AZ248" s="115"/>
      <c r="BA248" s="115"/>
      <c r="BB248" s="115"/>
      <c r="BC248" s="115"/>
      <c r="BD248" s="115"/>
      <c r="BE248" s="115"/>
      <c r="BF248" s="25"/>
      <c r="BG248" s="13"/>
      <c r="BJ248" s="114"/>
    </row>
    <row r="249" spans="1:62" ht="20.100000000000001" customHeight="1" x14ac:dyDescent="0.4">
      <c r="A249" s="117"/>
      <c r="B249" s="123"/>
      <c r="C249" s="123"/>
      <c r="D249" s="123"/>
      <c r="R249" s="115"/>
      <c r="S249" s="115"/>
      <c r="T249" s="115"/>
      <c r="U249" s="115"/>
      <c r="V249" s="115"/>
      <c r="W249" s="20"/>
      <c r="X249" s="13"/>
      <c r="AB249" s="115"/>
      <c r="AC249" s="115"/>
      <c r="AD249" s="115"/>
      <c r="AE249" s="115"/>
      <c r="AF249" s="115"/>
      <c r="AG249" s="115"/>
      <c r="AH249" s="25"/>
      <c r="AI249" s="25"/>
      <c r="AN249" s="116"/>
      <c r="AO249" s="123"/>
      <c r="AP249" s="123"/>
      <c r="AQ249" s="123"/>
      <c r="AV249" s="115"/>
      <c r="AW249" s="115"/>
      <c r="AX249" s="115"/>
      <c r="AY249" s="115"/>
      <c r="AZ249" s="115"/>
      <c r="BA249" s="115"/>
      <c r="BB249" s="115"/>
      <c r="BC249" s="115"/>
      <c r="BD249" s="115"/>
      <c r="BE249" s="115"/>
      <c r="BF249" s="25"/>
      <c r="BG249" s="13"/>
      <c r="BJ249" s="114"/>
    </row>
    <row r="250" spans="1:62" ht="20.100000000000001" customHeight="1" x14ac:dyDescent="0.4">
      <c r="A250" s="117"/>
      <c r="B250" s="123"/>
      <c r="C250" s="123"/>
      <c r="D250" s="123"/>
      <c r="R250" s="115"/>
      <c r="S250" s="115"/>
      <c r="T250" s="115"/>
      <c r="U250" s="115"/>
      <c r="V250" s="115"/>
      <c r="W250" s="20"/>
      <c r="X250" s="13"/>
      <c r="AB250" s="115"/>
      <c r="AC250" s="115"/>
      <c r="AD250" s="115"/>
      <c r="AE250" s="115"/>
      <c r="AF250" s="115"/>
      <c r="AG250" s="115"/>
      <c r="AH250" s="25"/>
      <c r="AI250" s="25"/>
      <c r="AN250" s="116"/>
      <c r="AO250" s="123"/>
      <c r="AP250" s="123"/>
      <c r="AQ250" s="123"/>
      <c r="AV250" s="115"/>
      <c r="AW250" s="115"/>
      <c r="AX250" s="115"/>
      <c r="AY250" s="115"/>
      <c r="AZ250" s="115"/>
      <c r="BA250" s="115"/>
      <c r="BB250" s="115"/>
      <c r="BC250" s="115"/>
      <c r="BD250" s="115"/>
      <c r="BE250" s="115"/>
      <c r="BF250" s="25"/>
      <c r="BG250" s="13"/>
      <c r="BJ250" s="114"/>
    </row>
    <row r="251" spans="1:62" ht="20.100000000000001" customHeight="1" x14ac:dyDescent="0.4">
      <c r="A251" s="117"/>
      <c r="B251" s="123"/>
      <c r="C251" s="123"/>
      <c r="D251" s="123"/>
      <c r="O251" s="115"/>
      <c r="P251" s="115"/>
      <c r="Q251" s="115"/>
      <c r="R251" s="115"/>
      <c r="S251" s="115"/>
      <c r="T251" s="115"/>
      <c r="U251" s="115"/>
      <c r="V251" s="115"/>
      <c r="W251" s="25"/>
      <c r="X251" s="13"/>
      <c r="AB251" s="115"/>
      <c r="AC251" s="115"/>
      <c r="AD251" s="115"/>
      <c r="AE251" s="115"/>
      <c r="AF251" s="115"/>
      <c r="AG251" s="115"/>
      <c r="AH251" s="25"/>
      <c r="AI251" s="25"/>
      <c r="AN251" s="116"/>
      <c r="AO251" s="123"/>
      <c r="AP251" s="123"/>
      <c r="AQ251" s="123"/>
      <c r="AV251" s="115"/>
      <c r="AW251" s="115"/>
      <c r="AX251" s="115"/>
      <c r="AY251" s="115"/>
      <c r="AZ251" s="115"/>
      <c r="BA251" s="115"/>
      <c r="BB251" s="115"/>
      <c r="BC251" s="115"/>
      <c r="BD251" s="115"/>
      <c r="BE251" s="115"/>
      <c r="BF251" s="25"/>
      <c r="BG251" s="13"/>
      <c r="BJ251" s="114"/>
    </row>
    <row r="252" spans="1:62" ht="20.100000000000001" customHeight="1" x14ac:dyDescent="0.4">
      <c r="A252" s="117"/>
      <c r="B252" s="123"/>
      <c r="C252" s="123"/>
      <c r="D252" s="123"/>
      <c r="O252" s="115"/>
      <c r="P252" s="115"/>
      <c r="Q252" s="115"/>
      <c r="R252" s="115"/>
      <c r="S252" s="115"/>
      <c r="T252" s="115"/>
      <c r="U252" s="115"/>
      <c r="V252" s="115"/>
      <c r="W252" s="20"/>
      <c r="X252" s="13"/>
      <c r="AB252" s="115"/>
      <c r="AC252" s="115"/>
      <c r="AD252" s="115"/>
      <c r="AE252" s="115"/>
      <c r="AF252" s="115"/>
      <c r="AG252" s="115"/>
      <c r="AH252" s="25"/>
      <c r="AI252" s="25"/>
      <c r="AN252" s="116"/>
      <c r="AO252" s="123"/>
      <c r="AP252" s="123"/>
      <c r="AQ252" s="123"/>
      <c r="AV252" s="115"/>
      <c r="AW252" s="115"/>
      <c r="AX252" s="115"/>
      <c r="AY252" s="115"/>
      <c r="AZ252" s="115"/>
      <c r="BA252" s="115"/>
      <c r="BB252" s="115"/>
      <c r="BC252" s="115"/>
      <c r="BD252" s="115"/>
      <c r="BE252" s="115"/>
      <c r="BF252" s="25"/>
      <c r="BG252" s="13"/>
      <c r="BJ252" s="114"/>
    </row>
    <row r="253" spans="1:62" ht="20.100000000000001" customHeight="1" x14ac:dyDescent="0.4">
      <c r="A253" s="117"/>
      <c r="B253" s="123"/>
      <c r="C253" s="123"/>
      <c r="D253" s="123"/>
      <c r="N253" s="115"/>
      <c r="O253" s="115"/>
      <c r="P253" s="115"/>
      <c r="Q253" s="115"/>
      <c r="R253" s="115"/>
      <c r="S253" s="115"/>
      <c r="T253" s="115"/>
      <c r="U253" s="115"/>
      <c r="V253" s="115"/>
      <c r="W253" s="26"/>
      <c r="X253" s="13"/>
      <c r="AB253" s="115"/>
      <c r="AC253" s="115"/>
      <c r="AD253" s="115"/>
      <c r="AE253" s="115"/>
      <c r="AF253" s="115"/>
      <c r="AG253" s="115"/>
      <c r="AH253" s="25"/>
      <c r="AI253" s="25"/>
      <c r="AN253" s="116"/>
      <c r="AO253" s="123"/>
      <c r="AP253" s="123"/>
      <c r="AQ253" s="123"/>
      <c r="AV253" s="115"/>
      <c r="AW253" s="115"/>
      <c r="AX253" s="115"/>
      <c r="AY253" s="115"/>
      <c r="AZ253" s="115"/>
      <c r="BA253" s="115"/>
      <c r="BB253" s="115"/>
      <c r="BC253" s="115"/>
      <c r="BD253" s="115"/>
      <c r="BE253" s="115"/>
      <c r="BF253" s="25"/>
      <c r="BG253" s="13"/>
      <c r="BJ253" s="114"/>
    </row>
    <row r="254" spans="1:62" ht="20.100000000000001" customHeight="1" x14ac:dyDescent="0.4">
      <c r="A254" s="117"/>
      <c r="B254" s="123"/>
      <c r="C254" s="123"/>
      <c r="D254" s="123"/>
      <c r="W254" s="26"/>
      <c r="X254" s="13"/>
      <c r="AB254" s="115"/>
      <c r="AC254" s="115"/>
      <c r="AD254" s="115"/>
      <c r="AE254" s="115"/>
      <c r="AF254" s="115"/>
      <c r="AG254" s="115"/>
      <c r="AH254" s="25">
        <v>45673</v>
      </c>
      <c r="AI254" s="13" t="s">
        <v>147</v>
      </c>
      <c r="AN254" s="116"/>
      <c r="AO254" s="123"/>
      <c r="AP254" s="123"/>
      <c r="AQ254" s="123"/>
      <c r="AV254" s="115"/>
      <c r="AW254" s="115"/>
      <c r="AX254" s="115"/>
      <c r="AY254" s="115"/>
      <c r="AZ254" s="115"/>
      <c r="BA254" s="115"/>
      <c r="BB254" s="115"/>
      <c r="BC254" s="115"/>
      <c r="BD254" s="115"/>
      <c r="BE254" s="115"/>
      <c r="BF254" s="25"/>
      <c r="BG254" s="13"/>
      <c r="BJ254" s="114"/>
    </row>
    <row r="255" spans="1:62" ht="20.100000000000001" customHeight="1" x14ac:dyDescent="0.4">
      <c r="A255" s="117"/>
      <c r="B255" s="123"/>
      <c r="C255" s="123"/>
      <c r="D255" s="123"/>
      <c r="P255" s="115"/>
      <c r="Q255" s="115"/>
      <c r="R255" s="115"/>
      <c r="S255" s="115"/>
      <c r="T255" s="115"/>
      <c r="U255" s="115"/>
      <c r="V255" s="115"/>
      <c r="W255" s="26"/>
      <c r="X255" s="13"/>
      <c r="AB255" s="115"/>
      <c r="AC255" s="115"/>
      <c r="AD255" s="115"/>
      <c r="AE255" s="115"/>
      <c r="AF255" s="115"/>
      <c r="AG255" s="115"/>
      <c r="AH255" s="25"/>
      <c r="AI255" s="13"/>
      <c r="AN255" s="116"/>
      <c r="AO255" s="123"/>
      <c r="AP255" s="123"/>
      <c r="AQ255" s="123"/>
      <c r="AV255" s="115"/>
      <c r="AW255" s="115"/>
      <c r="AX255" s="115"/>
      <c r="AY255" s="115"/>
      <c r="AZ255" s="115"/>
      <c r="BA255" s="115"/>
      <c r="BB255" s="115"/>
      <c r="BC255" s="115"/>
      <c r="BD255" s="115"/>
      <c r="BE255" s="115"/>
      <c r="BF255" s="25"/>
      <c r="BG255" s="13"/>
      <c r="BJ255" s="114"/>
    </row>
    <row r="256" spans="1:62" ht="20.100000000000001" customHeight="1" x14ac:dyDescent="0.4">
      <c r="A256" s="117"/>
      <c r="B256" s="123"/>
      <c r="C256" s="123"/>
      <c r="D256" s="123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26"/>
      <c r="X256" s="13"/>
      <c r="AB256" s="115"/>
      <c r="AC256" s="115"/>
      <c r="AD256" s="115"/>
      <c r="AE256" s="115"/>
      <c r="AF256" s="115"/>
      <c r="AG256" s="115"/>
      <c r="AH256" s="25"/>
      <c r="AI256" s="13"/>
      <c r="AN256" s="116"/>
      <c r="AO256" s="123"/>
      <c r="AP256" s="123"/>
      <c r="AQ256" s="123"/>
      <c r="AV256" s="115"/>
      <c r="AW256" s="115"/>
      <c r="AX256" s="115"/>
      <c r="AY256" s="115"/>
      <c r="AZ256" s="115"/>
      <c r="BA256" s="115"/>
      <c r="BB256" s="115"/>
      <c r="BC256" s="115"/>
      <c r="BD256" s="115"/>
      <c r="BE256" s="115"/>
      <c r="BF256" s="25"/>
      <c r="BG256" s="13"/>
      <c r="BJ256" s="114"/>
    </row>
    <row r="257" spans="1:62" ht="20.100000000000001" customHeight="1" x14ac:dyDescent="0.4">
      <c r="A257" s="117"/>
      <c r="B257" s="123"/>
      <c r="C257" s="123"/>
      <c r="D257" s="123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7"/>
      <c r="X257" s="13"/>
      <c r="AB257" s="115"/>
      <c r="AC257" s="115"/>
      <c r="AD257" s="115"/>
      <c r="AE257" s="115"/>
      <c r="AF257" s="115"/>
      <c r="AG257" s="115"/>
      <c r="AH257" s="25"/>
      <c r="AI257" s="13"/>
      <c r="AN257" s="116"/>
      <c r="AO257" s="123"/>
      <c r="AP257" s="123"/>
      <c r="AQ257" s="123"/>
      <c r="AV257" s="115"/>
      <c r="AW257" s="115"/>
      <c r="AX257" s="115"/>
      <c r="AY257" s="115"/>
      <c r="AZ257" s="115"/>
      <c r="BA257" s="115"/>
      <c r="BB257" s="115"/>
      <c r="BC257" s="115"/>
      <c r="BD257" s="115"/>
      <c r="BE257" s="115"/>
      <c r="BF257" s="25"/>
      <c r="BG257" s="13"/>
      <c r="BJ257" s="114"/>
    </row>
    <row r="258" spans="1:62" ht="20.100000000000001" customHeight="1" x14ac:dyDescent="0.4">
      <c r="A258" s="117"/>
      <c r="B258" s="123"/>
      <c r="C258" s="123"/>
      <c r="D258" s="123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26"/>
      <c r="X258" s="13"/>
      <c r="AB258" s="115"/>
      <c r="AC258" s="115"/>
      <c r="AD258" s="115"/>
      <c r="AE258" s="115"/>
      <c r="AF258" s="115"/>
      <c r="AG258" s="115"/>
      <c r="AH258" s="25"/>
      <c r="AI258" s="13"/>
      <c r="AN258" s="116"/>
      <c r="AO258" s="123"/>
      <c r="AP258" s="123"/>
      <c r="AQ258" s="123"/>
      <c r="AV258" s="115"/>
      <c r="AW258" s="115"/>
      <c r="AX258" s="115"/>
      <c r="AY258" s="115"/>
      <c r="AZ258" s="115"/>
      <c r="BA258" s="115"/>
      <c r="BB258" s="115"/>
      <c r="BC258" s="115"/>
      <c r="BD258" s="115"/>
      <c r="BE258" s="115"/>
      <c r="BF258" s="25"/>
      <c r="BG258" s="13"/>
      <c r="BJ258" s="114"/>
    </row>
    <row r="259" spans="1:62" ht="20.100000000000001" customHeight="1" x14ac:dyDescent="0.4">
      <c r="A259" s="117"/>
      <c r="B259" s="123"/>
      <c r="C259" s="123"/>
      <c r="D259" s="123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7"/>
      <c r="X259" s="13"/>
      <c r="AB259" s="115"/>
      <c r="AC259" s="115"/>
      <c r="AD259" s="115"/>
      <c r="AE259" s="115"/>
      <c r="AF259" s="115"/>
      <c r="AG259" s="115"/>
      <c r="AH259" s="25"/>
      <c r="AI259" s="13"/>
      <c r="AN259" s="116"/>
      <c r="AO259" s="123"/>
      <c r="AP259" s="123"/>
      <c r="AQ259" s="123"/>
      <c r="AV259" s="115"/>
      <c r="AW259" s="115"/>
      <c r="AX259" s="115"/>
      <c r="AY259" s="115"/>
      <c r="AZ259" s="115"/>
      <c r="BA259" s="115"/>
      <c r="BB259" s="115"/>
      <c r="BC259" s="115"/>
      <c r="BD259" s="115"/>
      <c r="BE259" s="115"/>
      <c r="BF259" s="25"/>
      <c r="BG259" s="13"/>
      <c r="BJ259" s="114"/>
    </row>
    <row r="260" spans="1:62" ht="20.100000000000001" customHeight="1" x14ac:dyDescent="0.4">
      <c r="A260" s="117"/>
      <c r="B260" s="123"/>
      <c r="C260" s="123"/>
      <c r="D260" s="123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26"/>
      <c r="X260" s="13"/>
      <c r="AB260" s="115"/>
      <c r="AC260" s="115"/>
      <c r="AD260" s="115"/>
      <c r="AE260" s="115"/>
      <c r="AF260" s="115"/>
      <c r="AG260" s="115"/>
      <c r="AH260" s="25"/>
      <c r="AI260" s="13"/>
      <c r="AN260" s="116"/>
      <c r="AO260" s="123"/>
      <c r="AP260" s="123"/>
      <c r="AQ260" s="123"/>
      <c r="AV260" s="115"/>
      <c r="AW260" s="115"/>
      <c r="AX260" s="115"/>
      <c r="AY260" s="115"/>
      <c r="AZ260" s="115"/>
      <c r="BA260" s="115"/>
      <c r="BB260" s="115"/>
      <c r="BC260" s="115"/>
      <c r="BD260" s="115"/>
      <c r="BE260" s="115"/>
      <c r="BF260" s="25"/>
      <c r="BG260" s="13"/>
      <c r="BJ260" s="114"/>
    </row>
    <row r="261" spans="1:62" ht="20.100000000000001" customHeight="1" x14ac:dyDescent="0.4">
      <c r="A261" s="117"/>
      <c r="B261" s="123"/>
      <c r="C261" s="123"/>
      <c r="D261" s="123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7"/>
      <c r="X261" s="13"/>
      <c r="AB261" s="115"/>
      <c r="AC261" s="115"/>
      <c r="AD261" s="115"/>
      <c r="AE261" s="115"/>
      <c r="AF261" s="115"/>
      <c r="AG261" s="115"/>
      <c r="AH261" s="25"/>
      <c r="AI261" s="13"/>
      <c r="AN261" s="116"/>
      <c r="AO261" s="123"/>
      <c r="AP261" s="123"/>
      <c r="AQ261" s="123"/>
      <c r="AV261" s="115"/>
      <c r="AW261" s="115"/>
      <c r="AX261" s="115"/>
      <c r="AY261" s="115"/>
      <c r="AZ261" s="115"/>
      <c r="BA261" s="115"/>
      <c r="BB261" s="115"/>
      <c r="BC261" s="115"/>
      <c r="BD261" s="115"/>
      <c r="BE261" s="115"/>
      <c r="BF261" s="25"/>
      <c r="BG261" s="13"/>
      <c r="BJ261" s="114"/>
    </row>
    <row r="262" spans="1:62" ht="20.100000000000001" customHeight="1" x14ac:dyDescent="0.4">
      <c r="A262" s="117"/>
      <c r="B262" s="123"/>
      <c r="C262" s="123"/>
      <c r="D262" s="123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26"/>
      <c r="X262" s="25"/>
      <c r="AB262" s="115"/>
      <c r="AC262" s="115"/>
      <c r="AD262" s="115"/>
      <c r="AE262" s="115"/>
      <c r="AF262" s="115"/>
      <c r="AG262" s="115"/>
      <c r="AH262" s="25"/>
      <c r="AI262" s="13"/>
      <c r="AN262" s="116"/>
      <c r="AO262" s="123"/>
      <c r="AP262" s="123"/>
      <c r="AQ262" s="123"/>
      <c r="AV262" s="115"/>
      <c r="AW262" s="115"/>
      <c r="AX262" s="115"/>
      <c r="AY262" s="115"/>
      <c r="AZ262" s="115"/>
      <c r="BA262" s="115"/>
      <c r="BB262" s="115"/>
      <c r="BC262" s="115"/>
      <c r="BD262" s="115"/>
      <c r="BE262" s="115"/>
      <c r="BF262" s="25"/>
      <c r="BG262" s="13"/>
      <c r="BJ262" s="114"/>
    </row>
    <row r="263" spans="1:62" ht="20.100000000000001" customHeight="1" x14ac:dyDescent="0.4">
      <c r="A263" s="117"/>
      <c r="B263" s="123"/>
      <c r="C263" s="123"/>
      <c r="D263" s="123"/>
      <c r="W263" s="26"/>
      <c r="X263" s="25"/>
      <c r="AB263" s="115"/>
      <c r="AC263" s="115"/>
      <c r="AD263" s="115"/>
      <c r="AE263" s="115"/>
      <c r="AF263" s="115"/>
      <c r="AG263" s="115"/>
      <c r="AH263" s="25">
        <v>45673</v>
      </c>
      <c r="AI263" s="13" t="s">
        <v>147</v>
      </c>
      <c r="AN263" s="116"/>
      <c r="AO263" s="123"/>
      <c r="AP263" s="123"/>
      <c r="AQ263" s="123"/>
      <c r="AV263" s="115"/>
      <c r="AW263" s="115"/>
      <c r="AX263" s="115"/>
      <c r="AY263" s="115"/>
      <c r="AZ263" s="115"/>
      <c r="BA263" s="115"/>
      <c r="BB263" s="115"/>
      <c r="BC263" s="115"/>
      <c r="BD263" s="115"/>
      <c r="BE263" s="115"/>
      <c r="BF263" s="25"/>
      <c r="BG263" s="13"/>
      <c r="BJ263" s="114"/>
    </row>
    <row r="264" spans="1:62" ht="20.100000000000001" customHeight="1" x14ac:dyDescent="0.4">
      <c r="A264" s="117"/>
      <c r="B264" s="123"/>
      <c r="C264" s="123"/>
      <c r="D264" s="123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26"/>
      <c r="X264" s="13"/>
      <c r="AB264" s="115"/>
      <c r="AC264" s="115"/>
      <c r="AD264" s="115"/>
      <c r="AE264" s="115"/>
      <c r="AF264" s="115"/>
      <c r="AG264" s="115"/>
      <c r="AH264" s="25"/>
      <c r="AI264" s="13"/>
      <c r="AN264" s="116"/>
      <c r="AO264" s="123"/>
      <c r="AP264" s="123"/>
      <c r="AQ264" s="123"/>
      <c r="AV264" s="115"/>
      <c r="AW264" s="115"/>
      <c r="AX264" s="115"/>
      <c r="AY264" s="115"/>
      <c r="AZ264" s="115"/>
      <c r="BA264" s="115"/>
      <c r="BB264" s="115"/>
      <c r="BC264" s="115"/>
      <c r="BD264" s="115"/>
      <c r="BE264" s="115"/>
      <c r="BF264" s="25"/>
      <c r="BG264" s="13"/>
      <c r="BJ264" s="114"/>
    </row>
    <row r="265" spans="1:62" ht="20.100000000000001" customHeight="1" x14ac:dyDescent="0.4">
      <c r="A265" s="117"/>
      <c r="B265" s="123"/>
      <c r="C265" s="123"/>
      <c r="D265" s="123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26"/>
      <c r="X265" s="13"/>
      <c r="AB265" s="115"/>
      <c r="AC265" s="115"/>
      <c r="AD265" s="115"/>
      <c r="AE265" s="115"/>
      <c r="AF265" s="115"/>
      <c r="AG265" s="115"/>
      <c r="AH265" s="25"/>
      <c r="AI265" s="13"/>
      <c r="AN265" s="116"/>
      <c r="AO265" s="123"/>
      <c r="AP265" s="123"/>
      <c r="AQ265" s="123"/>
      <c r="AV265" s="115"/>
      <c r="AW265" s="115"/>
      <c r="AX265" s="115"/>
      <c r="AY265" s="115"/>
      <c r="AZ265" s="115"/>
      <c r="BA265" s="115"/>
      <c r="BB265" s="115"/>
      <c r="BC265" s="115"/>
      <c r="BD265" s="115"/>
      <c r="BE265" s="115"/>
      <c r="BF265" s="25"/>
      <c r="BG265" s="13"/>
      <c r="BJ265" s="114"/>
    </row>
    <row r="266" spans="1:62" ht="20.100000000000001" customHeight="1" x14ac:dyDescent="0.4">
      <c r="A266" s="117"/>
      <c r="B266" s="123"/>
      <c r="C266" s="123"/>
      <c r="D266" s="123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26"/>
      <c r="X266" s="13"/>
      <c r="AB266" s="115"/>
      <c r="AC266" s="115"/>
      <c r="AD266" s="115"/>
      <c r="AE266" s="115"/>
      <c r="AF266" s="115"/>
      <c r="AG266" s="115"/>
      <c r="AH266" s="25"/>
      <c r="AI266" s="13"/>
      <c r="AN266" s="116"/>
      <c r="AO266" s="123"/>
      <c r="AP266" s="123"/>
      <c r="AQ266" s="123"/>
      <c r="AV266" s="115"/>
      <c r="AW266" s="115"/>
      <c r="AX266" s="115"/>
      <c r="AY266" s="115"/>
      <c r="AZ266" s="115"/>
      <c r="BA266" s="115"/>
      <c r="BB266" s="115"/>
      <c r="BC266" s="115"/>
      <c r="BD266" s="115"/>
      <c r="BE266" s="115"/>
      <c r="BF266" s="25"/>
      <c r="BG266" s="13"/>
      <c r="BJ266" s="114"/>
    </row>
    <row r="267" spans="1:62" ht="20.100000000000001" customHeight="1" x14ac:dyDescent="0.4">
      <c r="A267" s="117"/>
      <c r="B267" s="123"/>
      <c r="C267" s="123"/>
      <c r="D267" s="123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26"/>
      <c r="X267" s="13"/>
      <c r="AB267" s="115"/>
      <c r="AC267" s="115"/>
      <c r="AD267" s="115"/>
      <c r="AE267" s="115"/>
      <c r="AF267" s="115"/>
      <c r="AG267" s="115"/>
      <c r="AH267" s="25"/>
      <c r="AI267" s="13"/>
      <c r="AN267" s="116"/>
      <c r="AO267" s="123"/>
      <c r="AP267" s="123"/>
      <c r="AQ267" s="123"/>
      <c r="AV267" s="115"/>
      <c r="AW267" s="115"/>
      <c r="AX267" s="115"/>
      <c r="AY267" s="115"/>
      <c r="AZ267" s="115"/>
      <c r="BA267" s="115"/>
      <c r="BB267" s="115"/>
      <c r="BC267" s="115"/>
      <c r="BD267" s="115"/>
      <c r="BE267" s="115"/>
      <c r="BF267" s="25"/>
      <c r="BG267" s="13"/>
      <c r="BJ267" s="114"/>
    </row>
    <row r="268" spans="1:62" ht="20.100000000000001" customHeight="1" x14ac:dyDescent="0.4">
      <c r="A268" s="117"/>
      <c r="B268" s="123"/>
      <c r="C268" s="123"/>
      <c r="D268" s="123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7"/>
      <c r="X268" s="13"/>
      <c r="AB268" s="115"/>
      <c r="AC268" s="115"/>
      <c r="AD268" s="115"/>
      <c r="AE268" s="115"/>
      <c r="AF268" s="115"/>
      <c r="AG268" s="115"/>
      <c r="AH268" s="25"/>
      <c r="AI268" s="13"/>
      <c r="AN268" s="116"/>
      <c r="AO268" s="123"/>
      <c r="AP268" s="123"/>
      <c r="AQ268" s="123"/>
      <c r="AV268" s="115"/>
      <c r="AW268" s="115"/>
      <c r="AX268" s="115"/>
      <c r="AY268" s="115"/>
      <c r="AZ268" s="115"/>
      <c r="BA268" s="115"/>
      <c r="BB268" s="115"/>
      <c r="BC268" s="115"/>
      <c r="BD268" s="115"/>
      <c r="BE268" s="115"/>
      <c r="BF268" s="25"/>
      <c r="BG268" s="13"/>
      <c r="BJ268" s="114"/>
    </row>
    <row r="269" spans="1:62" ht="20.100000000000001" customHeight="1" x14ac:dyDescent="0.4">
      <c r="A269" s="117"/>
      <c r="B269" s="123"/>
      <c r="C269" s="123"/>
      <c r="D269" s="123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7"/>
      <c r="X269" s="13"/>
      <c r="AB269" s="115"/>
      <c r="AC269" s="115"/>
      <c r="AD269" s="115"/>
      <c r="AE269" s="115"/>
      <c r="AF269" s="115"/>
      <c r="AG269" s="115"/>
      <c r="AH269" s="25"/>
      <c r="AI269" s="13"/>
      <c r="AN269" s="116"/>
      <c r="AO269" s="123"/>
      <c r="AP269" s="123"/>
      <c r="AQ269" s="123"/>
      <c r="AV269" s="115"/>
      <c r="AW269" s="115"/>
      <c r="AX269" s="115"/>
      <c r="AY269" s="115"/>
      <c r="AZ269" s="115"/>
      <c r="BA269" s="115"/>
      <c r="BB269" s="115"/>
      <c r="BC269" s="115"/>
      <c r="BD269" s="115"/>
      <c r="BE269" s="115"/>
      <c r="BF269" s="25"/>
      <c r="BG269" s="13"/>
      <c r="BJ269" s="114"/>
    </row>
    <row r="270" spans="1:62" ht="20.100000000000001" customHeight="1" x14ac:dyDescent="0.4">
      <c r="A270" s="117"/>
      <c r="B270" s="123"/>
      <c r="C270" s="123"/>
      <c r="D270" s="123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26"/>
      <c r="X270" s="13"/>
      <c r="AB270" s="115"/>
      <c r="AC270" s="115"/>
      <c r="AD270" s="115"/>
      <c r="AE270" s="115"/>
      <c r="AF270" s="115"/>
      <c r="AG270" s="115"/>
      <c r="AH270" s="25"/>
      <c r="AI270" s="13"/>
      <c r="AN270" s="116"/>
      <c r="AO270" s="123"/>
      <c r="AP270" s="123"/>
      <c r="AQ270" s="123"/>
      <c r="AV270" s="115"/>
      <c r="AW270" s="115"/>
      <c r="AX270" s="115"/>
      <c r="AY270" s="115"/>
      <c r="AZ270" s="115"/>
      <c r="BA270" s="115"/>
      <c r="BB270" s="115"/>
      <c r="BC270" s="115"/>
      <c r="BD270" s="115"/>
      <c r="BE270" s="115"/>
      <c r="BF270" s="25"/>
      <c r="BG270" s="13"/>
      <c r="BJ270" s="114"/>
    </row>
    <row r="271" spans="1:62" ht="20.100000000000001" customHeight="1" x14ac:dyDescent="0.4">
      <c r="A271" s="117"/>
      <c r="B271" s="123"/>
      <c r="C271" s="123"/>
      <c r="D271" s="123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26"/>
      <c r="X271" s="13"/>
      <c r="AB271" s="115"/>
      <c r="AC271" s="115"/>
      <c r="AD271" s="115"/>
      <c r="AE271" s="115"/>
      <c r="AF271" s="115"/>
      <c r="AG271" s="115"/>
      <c r="AH271" s="25"/>
      <c r="AI271" s="13"/>
      <c r="AN271" s="116"/>
      <c r="AO271" s="123"/>
      <c r="AP271" s="123"/>
      <c r="AQ271" s="123"/>
      <c r="AV271" s="115"/>
      <c r="AW271" s="115"/>
      <c r="AX271" s="115"/>
      <c r="AY271" s="115"/>
      <c r="AZ271" s="115"/>
      <c r="BA271" s="115"/>
      <c r="BB271" s="115"/>
      <c r="BC271" s="115"/>
      <c r="BD271" s="115"/>
      <c r="BE271" s="115"/>
      <c r="BF271" s="25"/>
      <c r="BG271" s="13"/>
      <c r="BJ271" s="114"/>
    </row>
    <row r="272" spans="1:62" ht="20.100000000000001" customHeight="1" x14ac:dyDescent="0.4">
      <c r="A272" s="117"/>
      <c r="B272" s="123"/>
      <c r="C272" s="123"/>
      <c r="D272" s="123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26"/>
      <c r="X272" s="13"/>
      <c r="AB272" s="115"/>
      <c r="AC272" s="115"/>
      <c r="AD272" s="115"/>
      <c r="AE272" s="115"/>
      <c r="AF272" s="115"/>
      <c r="AG272" s="115"/>
      <c r="AH272" s="25"/>
      <c r="AI272" s="13"/>
      <c r="AN272" s="116"/>
      <c r="AO272" s="123"/>
      <c r="AP272" s="123"/>
      <c r="AQ272" s="123"/>
      <c r="AV272" s="115"/>
      <c r="AW272" s="115"/>
      <c r="AX272" s="115"/>
      <c r="AY272" s="115"/>
      <c r="AZ272" s="115"/>
      <c r="BA272" s="115"/>
      <c r="BB272" s="115"/>
      <c r="BC272" s="115"/>
      <c r="BD272" s="115"/>
      <c r="BE272" s="115"/>
      <c r="BF272" s="25"/>
      <c r="BG272" s="13"/>
      <c r="BJ272" s="114"/>
    </row>
    <row r="273" spans="1:62" ht="20.100000000000001" customHeight="1" x14ac:dyDescent="0.4">
      <c r="A273" s="117"/>
      <c r="B273" s="123"/>
      <c r="C273" s="123"/>
      <c r="D273" s="123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26"/>
      <c r="X273" s="13"/>
      <c r="AB273" s="115"/>
      <c r="AC273" s="115"/>
      <c r="AD273" s="115"/>
      <c r="AE273" s="115"/>
      <c r="AF273" s="115"/>
      <c r="AG273" s="115"/>
      <c r="AH273" s="25"/>
      <c r="AI273" s="13"/>
      <c r="AN273" s="116"/>
      <c r="AO273" s="123"/>
      <c r="AP273" s="123"/>
      <c r="AQ273" s="123"/>
      <c r="AV273" s="115"/>
      <c r="AW273" s="115"/>
      <c r="AX273" s="115"/>
      <c r="AY273" s="115"/>
      <c r="AZ273" s="115"/>
      <c r="BA273" s="115"/>
      <c r="BB273" s="115"/>
      <c r="BC273" s="115"/>
      <c r="BD273" s="115"/>
      <c r="BE273" s="115"/>
      <c r="BF273" s="25"/>
      <c r="BG273" s="13"/>
      <c r="BJ273" s="114"/>
    </row>
    <row r="274" spans="1:62" ht="20.100000000000001" customHeight="1" x14ac:dyDescent="0.4">
      <c r="A274" s="117"/>
      <c r="B274" s="123"/>
      <c r="C274" s="123"/>
      <c r="D274" s="123"/>
      <c r="W274" s="26"/>
      <c r="X274" s="13"/>
      <c r="Z274" s="115"/>
      <c r="AA274" s="115"/>
      <c r="AB274" s="115"/>
      <c r="AC274" s="115"/>
      <c r="AD274" s="115"/>
      <c r="AE274" s="115"/>
      <c r="AF274" s="115"/>
      <c r="AG274" s="115"/>
      <c r="AH274" s="25">
        <v>45673</v>
      </c>
      <c r="AI274" s="13" t="s">
        <v>148</v>
      </c>
      <c r="AN274" s="116"/>
      <c r="AO274" s="123"/>
      <c r="AP274" s="123"/>
      <c r="AQ274" s="123"/>
      <c r="AV274" s="115"/>
      <c r="AW274" s="115"/>
      <c r="AX274" s="115"/>
      <c r="AY274" s="115"/>
      <c r="AZ274" s="115"/>
      <c r="BA274" s="115"/>
      <c r="BB274" s="115"/>
      <c r="BC274" s="115"/>
      <c r="BD274" s="115"/>
      <c r="BE274" s="115"/>
      <c r="BF274" s="25"/>
      <c r="BG274" s="13"/>
      <c r="BJ274" s="114"/>
    </row>
    <row r="275" spans="1:62" ht="20.100000000000001" customHeight="1" x14ac:dyDescent="0.4">
      <c r="A275" s="117"/>
      <c r="B275" s="123"/>
      <c r="C275" s="123"/>
      <c r="D275" s="123"/>
      <c r="P275" s="115"/>
      <c r="Q275" s="115"/>
      <c r="R275" s="115"/>
      <c r="S275" s="115"/>
      <c r="T275" s="115"/>
      <c r="U275" s="115"/>
      <c r="V275" s="115"/>
      <c r="W275" s="17"/>
      <c r="X275" s="13"/>
      <c r="Z275" s="115"/>
      <c r="AA275" s="115"/>
      <c r="AB275" s="115"/>
      <c r="AC275" s="115"/>
      <c r="AD275" s="115"/>
      <c r="AE275" s="115"/>
      <c r="AF275" s="115"/>
      <c r="AG275" s="115"/>
      <c r="AH275" s="25"/>
      <c r="AI275" s="13"/>
      <c r="AN275" s="116"/>
      <c r="AO275" s="123"/>
      <c r="AP275" s="123"/>
      <c r="AQ275" s="123"/>
      <c r="AV275" s="115"/>
      <c r="AW275" s="115"/>
      <c r="AX275" s="115"/>
      <c r="AY275" s="115"/>
      <c r="AZ275" s="115"/>
      <c r="BA275" s="115"/>
      <c r="BB275" s="115"/>
      <c r="BC275" s="115"/>
      <c r="BD275" s="115"/>
      <c r="BE275" s="115"/>
      <c r="BF275" s="25"/>
      <c r="BG275" s="13"/>
      <c r="BJ275" s="114"/>
    </row>
    <row r="276" spans="1:62" ht="20.100000000000001" customHeight="1" x14ac:dyDescent="0.4">
      <c r="A276" s="117"/>
      <c r="B276" s="123"/>
      <c r="C276" s="123"/>
      <c r="D276" s="123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26"/>
      <c r="X276" s="13"/>
      <c r="Z276" s="115"/>
      <c r="AA276" s="115"/>
      <c r="AB276" s="115"/>
      <c r="AC276" s="115"/>
      <c r="AD276" s="115"/>
      <c r="AE276" s="115"/>
      <c r="AF276" s="115"/>
      <c r="AG276" s="115"/>
      <c r="AH276" s="25"/>
      <c r="AI276" s="13"/>
      <c r="AN276" s="116"/>
      <c r="AO276" s="123"/>
      <c r="AP276" s="123"/>
      <c r="AQ276" s="123"/>
      <c r="AV276" s="115"/>
      <c r="AW276" s="115"/>
      <c r="AX276" s="115"/>
      <c r="AY276" s="115"/>
      <c r="AZ276" s="115"/>
      <c r="BA276" s="115"/>
      <c r="BB276" s="115"/>
      <c r="BC276" s="115"/>
      <c r="BD276" s="115"/>
      <c r="BE276" s="115"/>
      <c r="BF276" s="25"/>
      <c r="BG276" s="13"/>
      <c r="BJ276" s="114"/>
    </row>
    <row r="277" spans="1:62" ht="20.100000000000001" customHeight="1" x14ac:dyDescent="0.4">
      <c r="A277" s="117"/>
      <c r="B277" s="123"/>
      <c r="C277" s="123"/>
      <c r="D277" s="123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26"/>
      <c r="X277" s="13"/>
      <c r="Z277" s="115"/>
      <c r="AA277" s="115"/>
      <c r="AB277" s="115"/>
      <c r="AC277" s="115"/>
      <c r="AD277" s="115"/>
      <c r="AE277" s="115"/>
      <c r="AF277" s="115"/>
      <c r="AG277" s="115"/>
      <c r="AH277" s="25"/>
      <c r="AI277" s="13"/>
      <c r="AN277" s="116"/>
      <c r="AO277" s="123"/>
      <c r="AP277" s="123"/>
      <c r="AQ277" s="123"/>
      <c r="AV277" s="115"/>
      <c r="AW277" s="115"/>
      <c r="AX277" s="115"/>
      <c r="AY277" s="115"/>
      <c r="AZ277" s="115"/>
      <c r="BA277" s="115"/>
      <c r="BB277" s="115"/>
      <c r="BC277" s="115"/>
      <c r="BD277" s="115"/>
      <c r="BE277" s="115"/>
      <c r="BF277" s="25"/>
      <c r="BG277" s="13"/>
      <c r="BJ277" s="114"/>
    </row>
    <row r="278" spans="1:62" ht="20.100000000000001" customHeight="1" x14ac:dyDescent="0.4">
      <c r="A278" s="117"/>
      <c r="B278" s="123"/>
      <c r="C278" s="123"/>
      <c r="D278" s="123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26"/>
      <c r="X278" s="13"/>
      <c r="Z278" s="115"/>
      <c r="AA278" s="115"/>
      <c r="AB278" s="115"/>
      <c r="AC278" s="115"/>
      <c r="AD278" s="115"/>
      <c r="AE278" s="115"/>
      <c r="AF278" s="115"/>
      <c r="AG278" s="115"/>
      <c r="AH278" s="25"/>
      <c r="AI278" s="13"/>
      <c r="AN278" s="116"/>
      <c r="AO278" s="123"/>
      <c r="AP278" s="123"/>
      <c r="AQ278" s="123"/>
      <c r="AV278" s="115"/>
      <c r="AW278" s="115"/>
      <c r="AX278" s="115"/>
      <c r="AY278" s="115"/>
      <c r="AZ278" s="115"/>
      <c r="BA278" s="115"/>
      <c r="BB278" s="115"/>
      <c r="BC278" s="115"/>
      <c r="BD278" s="115"/>
      <c r="BE278" s="115"/>
      <c r="BF278" s="25"/>
      <c r="BG278" s="13"/>
      <c r="BJ278" s="114"/>
    </row>
    <row r="279" spans="1:62" ht="20.100000000000001" customHeight="1" x14ac:dyDescent="0.4">
      <c r="A279" s="117"/>
      <c r="B279" s="123"/>
      <c r="C279" s="123"/>
      <c r="D279" s="123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26"/>
      <c r="X279" s="13"/>
      <c r="Z279" s="115"/>
      <c r="AA279" s="115"/>
      <c r="AB279" s="115"/>
      <c r="AC279" s="115"/>
      <c r="AD279" s="115"/>
      <c r="AE279" s="115"/>
      <c r="AF279" s="115"/>
      <c r="AG279" s="115"/>
      <c r="AH279" s="25"/>
      <c r="AI279" s="13"/>
      <c r="AN279" s="116"/>
      <c r="AO279" s="123"/>
      <c r="AP279" s="123"/>
      <c r="AQ279" s="123"/>
      <c r="AV279" s="115"/>
      <c r="AW279" s="115"/>
      <c r="AX279" s="115"/>
      <c r="AY279" s="115"/>
      <c r="AZ279" s="115"/>
      <c r="BA279" s="115"/>
      <c r="BB279" s="115"/>
      <c r="BC279" s="115"/>
      <c r="BD279" s="115"/>
      <c r="BE279" s="115"/>
      <c r="BF279" s="25"/>
      <c r="BG279" s="13"/>
      <c r="BJ279" s="114"/>
    </row>
    <row r="280" spans="1:62" ht="20.100000000000001" customHeight="1" x14ac:dyDescent="0.4">
      <c r="A280" s="117"/>
      <c r="B280" s="123"/>
      <c r="C280" s="123"/>
      <c r="D280" s="123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7"/>
      <c r="X280" s="13"/>
      <c r="Z280" s="115"/>
      <c r="AA280" s="115"/>
      <c r="AB280" s="115"/>
      <c r="AC280" s="115"/>
      <c r="AD280" s="115"/>
      <c r="AE280" s="115"/>
      <c r="AF280" s="115"/>
      <c r="AG280" s="115"/>
      <c r="AH280" s="25"/>
      <c r="AI280" s="13"/>
      <c r="AN280" s="116"/>
      <c r="AO280" s="123"/>
      <c r="AP280" s="123"/>
      <c r="AQ280" s="123"/>
      <c r="AV280" s="115"/>
      <c r="AW280" s="115"/>
      <c r="AX280" s="115"/>
      <c r="AY280" s="115"/>
      <c r="AZ280" s="115"/>
      <c r="BA280" s="115"/>
      <c r="BB280" s="115"/>
      <c r="BC280" s="115"/>
      <c r="BD280" s="115"/>
      <c r="BE280" s="115"/>
      <c r="BF280" s="25"/>
      <c r="BG280" s="13"/>
      <c r="BJ280" s="114"/>
    </row>
    <row r="281" spans="1:62" ht="20.100000000000001" customHeight="1" x14ac:dyDescent="0.4">
      <c r="A281" s="117"/>
      <c r="B281" s="123"/>
      <c r="C281" s="123"/>
      <c r="D281" s="123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26"/>
      <c r="X281" s="13"/>
      <c r="Z281" s="115"/>
      <c r="AA281" s="115"/>
      <c r="AB281" s="115"/>
      <c r="AC281" s="115"/>
      <c r="AD281" s="115"/>
      <c r="AE281" s="115"/>
      <c r="AF281" s="115"/>
      <c r="AG281" s="115"/>
      <c r="AH281" s="25"/>
      <c r="AI281" s="13"/>
      <c r="AN281" s="116"/>
      <c r="AO281" s="123"/>
      <c r="AP281" s="123"/>
      <c r="AQ281" s="123"/>
      <c r="AV281" s="115"/>
      <c r="AW281" s="115"/>
      <c r="AX281" s="115"/>
      <c r="AY281" s="115"/>
      <c r="AZ281" s="115"/>
      <c r="BA281" s="115"/>
      <c r="BB281" s="115"/>
      <c r="BC281" s="115"/>
      <c r="BD281" s="115"/>
      <c r="BE281" s="115"/>
      <c r="BF281" s="25"/>
      <c r="BG281" s="13"/>
      <c r="BJ281" s="114"/>
    </row>
    <row r="282" spans="1:62" ht="20.100000000000001" customHeight="1" x14ac:dyDescent="0.4">
      <c r="A282" s="117"/>
      <c r="B282" s="123"/>
      <c r="C282" s="123"/>
      <c r="D282" s="123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26"/>
      <c r="X282" s="15"/>
      <c r="Z282" s="115"/>
      <c r="AA282" s="115"/>
      <c r="AB282" s="115"/>
      <c r="AC282" s="115"/>
      <c r="AD282" s="115"/>
      <c r="AE282" s="115"/>
      <c r="AF282" s="115"/>
      <c r="AG282" s="115"/>
      <c r="AH282" s="25"/>
      <c r="AI282" s="13"/>
      <c r="AN282" s="116"/>
      <c r="AO282" s="123"/>
      <c r="AP282" s="123"/>
      <c r="AQ282" s="123"/>
      <c r="AV282" s="115"/>
      <c r="AW282" s="115"/>
      <c r="AX282" s="115"/>
      <c r="AY282" s="115"/>
      <c r="AZ282" s="115"/>
      <c r="BA282" s="115"/>
      <c r="BB282" s="115"/>
      <c r="BC282" s="115"/>
      <c r="BD282" s="115"/>
      <c r="BE282" s="115"/>
      <c r="BF282" s="25"/>
      <c r="BG282" s="13"/>
      <c r="BJ282" s="114"/>
    </row>
    <row r="283" spans="1:62" ht="20.100000000000001" customHeight="1" x14ac:dyDescent="0.4">
      <c r="A283" s="117"/>
      <c r="B283" s="123"/>
      <c r="C283" s="123"/>
      <c r="D283" s="123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26"/>
      <c r="X283" s="15"/>
      <c r="Z283" s="115"/>
      <c r="AA283" s="115"/>
      <c r="AB283" s="115"/>
      <c r="AC283" s="115"/>
      <c r="AD283" s="115"/>
      <c r="AE283" s="115"/>
      <c r="AF283" s="115"/>
      <c r="AG283" s="115"/>
      <c r="AH283" s="25"/>
      <c r="AI283" s="13"/>
      <c r="AN283" s="116"/>
      <c r="AO283" s="123"/>
      <c r="AP283" s="123"/>
      <c r="AQ283" s="123"/>
      <c r="AV283" s="115"/>
      <c r="AW283" s="115"/>
      <c r="AX283" s="115"/>
      <c r="AY283" s="115"/>
      <c r="AZ283" s="115"/>
      <c r="BA283" s="115"/>
      <c r="BB283" s="115"/>
      <c r="BC283" s="115"/>
      <c r="BD283" s="115"/>
      <c r="BE283" s="115"/>
      <c r="BF283" s="25"/>
      <c r="BG283" s="13"/>
      <c r="BJ283" s="114"/>
    </row>
    <row r="284" spans="1:62" ht="20.100000000000001" customHeight="1" x14ac:dyDescent="0.4">
      <c r="A284" s="117"/>
      <c r="B284" s="123"/>
      <c r="C284" s="123"/>
      <c r="D284" s="123"/>
      <c r="W284" s="26"/>
      <c r="X284" s="15"/>
      <c r="Z284" s="115"/>
      <c r="AA284" s="115"/>
      <c r="AB284" s="115"/>
      <c r="AC284" s="115"/>
      <c r="AD284" s="115"/>
      <c r="AE284" s="115"/>
      <c r="AF284" s="115"/>
      <c r="AG284" s="115"/>
      <c r="AH284" s="25">
        <v>45673</v>
      </c>
      <c r="AI284" s="13" t="s">
        <v>147</v>
      </c>
      <c r="AN284" s="116"/>
      <c r="AO284" s="123"/>
      <c r="AP284" s="123"/>
      <c r="AQ284" s="123"/>
      <c r="AV284" s="115"/>
      <c r="AW284" s="115"/>
      <c r="AX284" s="115"/>
      <c r="AY284" s="115"/>
      <c r="AZ284" s="115"/>
      <c r="BA284" s="115"/>
      <c r="BB284" s="115"/>
      <c r="BC284" s="115"/>
      <c r="BD284" s="115"/>
      <c r="BE284" s="115"/>
      <c r="BF284" s="25"/>
      <c r="BG284" s="13"/>
      <c r="BJ284" s="114"/>
    </row>
    <row r="285" spans="1:62" ht="20.100000000000001" customHeight="1" x14ac:dyDescent="0.4">
      <c r="A285" s="117"/>
      <c r="B285" s="123"/>
      <c r="C285" s="123"/>
      <c r="D285" s="123"/>
      <c r="P285" s="115"/>
      <c r="Q285" s="115"/>
      <c r="R285" s="115"/>
      <c r="S285" s="115"/>
      <c r="T285" s="115"/>
      <c r="U285" s="115"/>
      <c r="V285" s="115"/>
      <c r="W285" s="17"/>
      <c r="X285" s="15"/>
      <c r="Z285" s="115"/>
      <c r="AA285" s="115"/>
      <c r="AB285" s="115"/>
      <c r="AC285" s="115"/>
      <c r="AD285" s="115"/>
      <c r="AE285" s="115"/>
      <c r="AF285" s="115"/>
      <c r="AG285" s="115"/>
      <c r="AH285" s="25"/>
      <c r="AI285" s="13"/>
      <c r="AN285" s="116"/>
      <c r="AO285" s="123"/>
      <c r="AP285" s="123"/>
      <c r="AQ285" s="123"/>
      <c r="AV285" s="115"/>
      <c r="AW285" s="115"/>
      <c r="AX285" s="115"/>
      <c r="AY285" s="115"/>
      <c r="AZ285" s="115"/>
      <c r="BA285" s="115"/>
      <c r="BB285" s="115"/>
      <c r="BC285" s="115"/>
      <c r="BD285" s="115"/>
      <c r="BE285" s="115"/>
      <c r="BF285" s="25"/>
      <c r="BG285" s="13"/>
      <c r="BJ285" s="114"/>
    </row>
    <row r="286" spans="1:62" ht="20.100000000000001" customHeight="1" x14ac:dyDescent="0.4">
      <c r="A286" s="117"/>
      <c r="B286" s="123"/>
      <c r="C286" s="123"/>
      <c r="D286" s="123"/>
      <c r="W286" s="26"/>
      <c r="X286" s="15"/>
      <c r="Z286" s="115"/>
      <c r="AA286" s="115"/>
      <c r="AB286" s="115"/>
      <c r="AC286" s="115"/>
      <c r="AD286" s="115"/>
      <c r="AE286" s="115"/>
      <c r="AF286" s="115"/>
      <c r="AG286" s="115"/>
      <c r="AH286" s="25"/>
      <c r="AI286" s="13"/>
      <c r="AN286" s="116"/>
      <c r="AO286" s="123"/>
      <c r="AP286" s="123"/>
      <c r="AQ286" s="123"/>
      <c r="AV286" s="115"/>
      <c r="AW286" s="115"/>
      <c r="AX286" s="115"/>
      <c r="AY286" s="115"/>
      <c r="AZ286" s="115"/>
      <c r="BA286" s="115"/>
      <c r="BB286" s="115"/>
      <c r="BC286" s="115"/>
      <c r="BD286" s="115"/>
      <c r="BE286" s="115"/>
      <c r="BF286" s="25"/>
      <c r="BG286" s="13"/>
      <c r="BJ286" s="114"/>
    </row>
    <row r="287" spans="1:62" ht="20.100000000000001" customHeight="1" x14ac:dyDescent="0.4">
      <c r="A287" s="117"/>
      <c r="B287" s="123"/>
      <c r="C287" s="123"/>
      <c r="D287" s="123"/>
      <c r="P287" s="115"/>
      <c r="Q287" s="115"/>
      <c r="R287" s="115"/>
      <c r="S287" s="115"/>
      <c r="T287" s="115"/>
      <c r="U287" s="115"/>
      <c r="V287" s="115"/>
      <c r="W287" s="17"/>
      <c r="X287" s="15"/>
      <c r="Z287" s="115"/>
      <c r="AA287" s="115"/>
      <c r="AB287" s="115"/>
      <c r="AC287" s="115"/>
      <c r="AD287" s="115"/>
      <c r="AE287" s="115"/>
      <c r="AF287" s="115"/>
      <c r="AG287" s="115"/>
      <c r="AH287" s="25"/>
      <c r="AI287" s="13"/>
      <c r="AN287" s="116"/>
      <c r="AO287" s="123"/>
      <c r="AP287" s="123"/>
      <c r="AQ287" s="123"/>
      <c r="AV287" s="115"/>
      <c r="AW287" s="115"/>
      <c r="AX287" s="115"/>
      <c r="AY287" s="115"/>
      <c r="AZ287" s="115"/>
      <c r="BA287" s="115"/>
      <c r="BB287" s="115"/>
      <c r="BC287" s="115"/>
      <c r="BD287" s="115"/>
      <c r="BE287" s="115"/>
      <c r="BF287" s="25"/>
      <c r="BG287" s="13"/>
      <c r="BJ287" s="114"/>
    </row>
    <row r="288" spans="1:62" ht="20.100000000000001" customHeight="1" x14ac:dyDescent="0.4">
      <c r="A288" s="117"/>
      <c r="B288" s="123"/>
      <c r="C288" s="123"/>
      <c r="D288" s="123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26"/>
      <c r="X288" s="15"/>
      <c r="Z288" s="115"/>
      <c r="AA288" s="115"/>
      <c r="AB288" s="115"/>
      <c r="AC288" s="115"/>
      <c r="AD288" s="115"/>
      <c r="AE288" s="115"/>
      <c r="AF288" s="115"/>
      <c r="AG288" s="115"/>
      <c r="AH288" s="25"/>
      <c r="AI288" s="13"/>
      <c r="AN288" s="116"/>
      <c r="AO288" s="123"/>
      <c r="AP288" s="123"/>
      <c r="AQ288" s="123"/>
      <c r="AV288" s="115"/>
      <c r="AW288" s="115"/>
      <c r="AX288" s="115"/>
      <c r="AY288" s="115"/>
      <c r="AZ288" s="115"/>
      <c r="BA288" s="115"/>
      <c r="BB288" s="115"/>
      <c r="BC288" s="115"/>
      <c r="BD288" s="115"/>
      <c r="BE288" s="115"/>
      <c r="BF288" s="25"/>
      <c r="BG288" s="13"/>
      <c r="BJ288" s="114"/>
    </row>
    <row r="289" spans="1:62" ht="20.100000000000001" customHeight="1" x14ac:dyDescent="0.4">
      <c r="A289" s="117"/>
      <c r="B289" s="123"/>
      <c r="C289" s="123"/>
      <c r="D289" s="123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20"/>
      <c r="X289" s="13"/>
      <c r="Z289" s="115"/>
      <c r="AA289" s="115"/>
      <c r="AB289" s="115"/>
      <c r="AC289" s="115"/>
      <c r="AD289" s="115"/>
      <c r="AE289" s="115"/>
      <c r="AF289" s="115"/>
      <c r="AG289" s="115"/>
      <c r="AH289" s="25"/>
      <c r="AI289" s="13"/>
      <c r="AN289" s="116"/>
      <c r="AO289" s="123"/>
      <c r="AP289" s="123"/>
      <c r="AQ289" s="123"/>
      <c r="AV289" s="115"/>
      <c r="AW289" s="115"/>
      <c r="AX289" s="115"/>
      <c r="AY289" s="115"/>
      <c r="AZ289" s="115"/>
      <c r="BA289" s="115"/>
      <c r="BB289" s="115"/>
      <c r="BC289" s="115"/>
      <c r="BD289" s="115"/>
      <c r="BE289" s="115"/>
      <c r="BF289" s="25"/>
      <c r="BG289" s="13"/>
      <c r="BJ289" s="114"/>
    </row>
    <row r="290" spans="1:62" ht="20.100000000000001" customHeight="1" x14ac:dyDescent="0.4">
      <c r="A290" s="117"/>
      <c r="B290" s="123"/>
      <c r="C290" s="123"/>
      <c r="D290" s="123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20"/>
      <c r="X290" s="13"/>
      <c r="Z290" s="115"/>
      <c r="AA290" s="115"/>
      <c r="AB290" s="115"/>
      <c r="AC290" s="115"/>
      <c r="AD290" s="115"/>
      <c r="AE290" s="115"/>
      <c r="AF290" s="115"/>
      <c r="AG290" s="115"/>
      <c r="AH290" s="25"/>
      <c r="AI290" s="13"/>
      <c r="AN290" s="116"/>
      <c r="AO290" s="123"/>
      <c r="AP290" s="123"/>
      <c r="AQ290" s="123"/>
      <c r="AV290" s="115"/>
      <c r="AW290" s="115"/>
      <c r="AX290" s="115"/>
      <c r="AY290" s="115"/>
      <c r="AZ290" s="115"/>
      <c r="BA290" s="115"/>
      <c r="BB290" s="115"/>
      <c r="BC290" s="115"/>
      <c r="BD290" s="115"/>
      <c r="BE290" s="115"/>
      <c r="BF290" s="25"/>
      <c r="BG290" s="13"/>
      <c r="BJ290" s="114"/>
    </row>
    <row r="291" spans="1:62" ht="20.100000000000001" customHeight="1" x14ac:dyDescent="0.4">
      <c r="A291" s="117"/>
      <c r="B291" s="123"/>
      <c r="C291" s="123"/>
      <c r="D291" s="123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3"/>
      <c r="X291" s="13"/>
      <c r="Z291" s="115"/>
      <c r="AA291" s="115"/>
      <c r="AB291" s="115"/>
      <c r="AC291" s="115"/>
      <c r="AD291" s="115"/>
      <c r="AE291" s="115"/>
      <c r="AF291" s="115"/>
      <c r="AG291" s="115"/>
      <c r="AH291" s="25"/>
      <c r="AI291" s="13"/>
      <c r="AN291" s="116"/>
      <c r="AO291" s="123"/>
      <c r="AP291" s="123"/>
      <c r="AQ291" s="123"/>
      <c r="AV291" s="115"/>
      <c r="AW291" s="115"/>
      <c r="AX291" s="115"/>
      <c r="AY291" s="115"/>
      <c r="AZ291" s="115"/>
      <c r="BA291" s="115"/>
      <c r="BB291" s="115"/>
      <c r="BC291" s="115"/>
      <c r="BD291" s="115"/>
      <c r="BE291" s="115"/>
      <c r="BF291" s="25"/>
      <c r="BG291" s="13"/>
      <c r="BJ291" s="114"/>
    </row>
    <row r="292" spans="1:62" ht="20.100000000000001" customHeight="1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25"/>
      <c r="X292" s="13"/>
      <c r="Z292" s="115"/>
      <c r="AA292" s="115"/>
      <c r="AB292" s="115"/>
      <c r="AC292" s="115"/>
      <c r="AD292" s="115"/>
      <c r="AE292" s="115"/>
      <c r="AF292" s="115"/>
      <c r="AG292" s="115"/>
      <c r="AH292" s="25"/>
      <c r="AI292" s="13"/>
      <c r="AN292" s="116"/>
      <c r="AO292" s="123"/>
      <c r="AP292" s="123"/>
      <c r="AQ292" s="123"/>
      <c r="AV292" s="115"/>
      <c r="AW292" s="115"/>
      <c r="AX292" s="115"/>
      <c r="AY292" s="115"/>
      <c r="AZ292" s="115"/>
      <c r="BA292" s="115"/>
      <c r="BB292" s="115"/>
      <c r="BC292" s="115"/>
      <c r="BD292" s="115"/>
      <c r="BE292" s="115"/>
      <c r="BF292" s="25"/>
      <c r="BG292" s="13"/>
      <c r="BJ292" s="114"/>
    </row>
    <row r="293" spans="1:62" ht="20.100000000000001" customHeight="1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3"/>
      <c r="X293" s="13"/>
      <c r="Z293" s="115"/>
      <c r="AA293" s="115"/>
      <c r="AB293" s="115"/>
      <c r="AC293" s="115"/>
      <c r="AD293" s="115"/>
      <c r="AE293" s="115"/>
      <c r="AF293" s="115"/>
      <c r="AG293" s="115"/>
      <c r="AH293" s="25"/>
      <c r="AI293" s="13"/>
      <c r="AN293" s="116"/>
      <c r="AO293" s="123"/>
      <c r="AP293" s="123"/>
      <c r="AQ293" s="123"/>
      <c r="AV293" s="115"/>
      <c r="AW293" s="115"/>
      <c r="AX293" s="115"/>
      <c r="AY293" s="115"/>
      <c r="AZ293" s="115"/>
      <c r="BA293" s="115"/>
      <c r="BB293" s="115"/>
      <c r="BC293" s="115"/>
      <c r="BD293" s="115"/>
      <c r="BE293" s="115"/>
      <c r="BF293" s="25"/>
      <c r="BG293" s="13"/>
      <c r="BJ293" s="114"/>
    </row>
    <row r="294" spans="1:62" ht="20.100000000000001" customHeight="1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25"/>
      <c r="X294" s="13"/>
      <c r="Z294" s="115"/>
      <c r="AA294" s="115"/>
      <c r="AB294" s="115"/>
      <c r="AC294" s="115"/>
      <c r="AD294" s="115"/>
      <c r="AE294" s="115"/>
      <c r="AF294" s="115"/>
      <c r="AG294" s="115"/>
      <c r="AH294" s="25"/>
      <c r="AI294" s="13"/>
      <c r="AN294" s="116"/>
      <c r="AO294" s="123"/>
      <c r="AP294" s="123"/>
      <c r="AQ294" s="123"/>
      <c r="AV294" s="115"/>
      <c r="AW294" s="115"/>
      <c r="AX294" s="115"/>
      <c r="AY294" s="115"/>
      <c r="AZ294" s="115"/>
      <c r="BA294" s="115"/>
      <c r="BB294" s="115"/>
      <c r="BC294" s="115"/>
      <c r="BD294" s="115"/>
      <c r="BE294" s="115"/>
      <c r="BF294" s="25"/>
      <c r="BG294" s="13"/>
      <c r="BJ294" s="114"/>
    </row>
    <row r="295" spans="1:62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25"/>
      <c r="X295" s="13"/>
      <c r="Z295" s="115"/>
      <c r="AA295" s="115"/>
      <c r="AB295" s="115"/>
      <c r="AC295" s="115"/>
      <c r="AD295" s="115"/>
      <c r="AE295" s="115"/>
      <c r="AF295" s="115"/>
      <c r="AG295" s="115"/>
      <c r="AH295" s="25"/>
      <c r="AI295" s="13"/>
      <c r="AN295" s="116"/>
      <c r="AO295" s="123"/>
      <c r="AP295" s="123"/>
      <c r="AQ295" s="123"/>
      <c r="AV295" s="115"/>
      <c r="AW295" s="115"/>
      <c r="AX295" s="115"/>
      <c r="AY295" s="115"/>
      <c r="AZ295" s="115"/>
      <c r="BA295" s="115"/>
      <c r="BB295" s="115"/>
      <c r="BC295" s="115"/>
      <c r="BD295" s="115"/>
      <c r="BE295" s="115"/>
      <c r="BF295" s="25"/>
      <c r="BG295" s="13"/>
      <c r="BJ295" s="114"/>
    </row>
    <row r="296" spans="1:62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25"/>
      <c r="X296" s="13"/>
      <c r="Z296" s="115"/>
      <c r="AA296" s="115"/>
      <c r="AB296" s="115"/>
      <c r="AC296" s="115"/>
      <c r="AD296" s="115"/>
      <c r="AE296" s="115"/>
      <c r="AF296" s="115"/>
      <c r="AG296" s="115"/>
      <c r="AH296" s="25"/>
      <c r="AI296" s="13"/>
      <c r="AN296" s="116"/>
      <c r="AO296" s="123"/>
      <c r="AP296" s="123"/>
      <c r="AQ296" s="123"/>
      <c r="AV296" s="115"/>
      <c r="AW296" s="115"/>
      <c r="AX296" s="115"/>
      <c r="AY296" s="115"/>
      <c r="AZ296" s="115"/>
      <c r="BA296" s="115"/>
      <c r="BB296" s="115"/>
      <c r="BC296" s="115"/>
      <c r="BD296" s="115"/>
      <c r="BE296" s="115"/>
      <c r="BF296" s="25"/>
      <c r="BG296" s="13"/>
      <c r="BJ296" s="114"/>
    </row>
    <row r="297" spans="1:62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25"/>
      <c r="X297" s="13"/>
      <c r="Z297" s="115"/>
      <c r="AA297" s="115"/>
      <c r="AB297" s="115"/>
      <c r="AC297" s="115"/>
      <c r="AD297" s="115"/>
      <c r="AE297" s="115"/>
      <c r="AF297" s="115"/>
      <c r="AG297" s="115"/>
      <c r="AH297" s="25"/>
      <c r="AI297" s="13"/>
      <c r="AN297" s="116"/>
      <c r="AO297" s="123"/>
      <c r="AP297" s="123"/>
      <c r="AQ297" s="123"/>
      <c r="AV297" s="115"/>
      <c r="AW297" s="115"/>
      <c r="AX297" s="115"/>
      <c r="AY297" s="115"/>
      <c r="AZ297" s="115"/>
      <c r="BA297" s="115"/>
      <c r="BB297" s="115"/>
      <c r="BC297" s="115"/>
      <c r="BD297" s="115"/>
      <c r="BE297" s="115"/>
      <c r="BF297" s="25"/>
      <c r="BG297" s="13"/>
      <c r="BJ297" s="114"/>
    </row>
    <row r="298" spans="1:62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25"/>
      <c r="X298" s="13"/>
      <c r="Z298" s="115"/>
      <c r="AA298" s="115"/>
      <c r="AB298" s="115"/>
      <c r="AC298" s="115"/>
      <c r="AD298" s="115"/>
      <c r="AE298" s="115"/>
      <c r="AF298" s="115"/>
      <c r="AG298" s="115"/>
      <c r="AH298" s="25"/>
      <c r="AI298" s="13"/>
      <c r="AN298" s="116"/>
      <c r="AO298" s="123"/>
      <c r="AP298" s="123"/>
      <c r="AQ298" s="123"/>
      <c r="AV298" s="115"/>
      <c r="AW298" s="115"/>
      <c r="AX298" s="115"/>
      <c r="AY298" s="115"/>
      <c r="AZ298" s="115"/>
      <c r="BA298" s="115"/>
      <c r="BB298" s="115"/>
      <c r="BC298" s="115"/>
      <c r="BD298" s="115"/>
      <c r="BE298" s="115"/>
      <c r="BF298" s="25"/>
      <c r="BG298" s="13"/>
      <c r="BJ298" s="114"/>
    </row>
    <row r="299" spans="1:62" ht="20.100000000000001" customHeight="1" x14ac:dyDescent="0.4">
      <c r="A299" s="117"/>
      <c r="B299" s="123"/>
      <c r="C299" s="123"/>
      <c r="D299" s="123"/>
      <c r="W299" s="25"/>
      <c r="X299" s="13"/>
      <c r="Z299" s="115"/>
      <c r="AA299" s="115"/>
      <c r="AB299" s="115"/>
      <c r="AC299" s="115"/>
      <c r="AD299" s="115"/>
      <c r="AE299" s="115"/>
      <c r="AF299" s="115"/>
      <c r="AG299" s="115"/>
      <c r="AH299" s="25">
        <v>45673</v>
      </c>
      <c r="AI299" s="13" t="s">
        <v>147</v>
      </c>
      <c r="AN299" s="116"/>
      <c r="AO299" s="123"/>
      <c r="AP299" s="123"/>
      <c r="AQ299" s="123"/>
      <c r="AV299" s="115"/>
      <c r="AW299" s="115"/>
      <c r="AX299" s="115"/>
      <c r="AY299" s="115"/>
      <c r="AZ299" s="115"/>
      <c r="BA299" s="115"/>
      <c r="BB299" s="115"/>
      <c r="BC299" s="115"/>
      <c r="BD299" s="115"/>
      <c r="BE299" s="115"/>
      <c r="BF299" s="25"/>
      <c r="BG299" s="13"/>
      <c r="BJ299" s="114"/>
    </row>
    <row r="300" spans="1:62" ht="20.100000000000001" customHeight="1" x14ac:dyDescent="0.4">
      <c r="A300" s="117"/>
      <c r="B300" s="123"/>
      <c r="C300" s="123"/>
      <c r="D300" s="123"/>
      <c r="W300" s="25"/>
      <c r="X300" s="13"/>
      <c r="Z300" s="115"/>
      <c r="AA300" s="115"/>
      <c r="AB300" s="115"/>
      <c r="AC300" s="115"/>
      <c r="AD300" s="115"/>
      <c r="AE300" s="115"/>
      <c r="AF300" s="115"/>
      <c r="AG300" s="115"/>
      <c r="AH300" s="25">
        <v>45673</v>
      </c>
      <c r="AI300" s="13" t="s">
        <v>147</v>
      </c>
      <c r="AN300" s="116"/>
      <c r="AO300" s="123"/>
      <c r="AP300" s="123"/>
      <c r="AQ300" s="123"/>
      <c r="AV300" s="115"/>
      <c r="AW300" s="115"/>
      <c r="AX300" s="115"/>
      <c r="AY300" s="115"/>
      <c r="AZ300" s="115"/>
      <c r="BA300" s="115"/>
      <c r="BB300" s="115"/>
      <c r="BC300" s="115"/>
      <c r="BD300" s="115"/>
      <c r="BE300" s="115"/>
      <c r="BF300" s="25"/>
      <c r="BG300" s="13"/>
      <c r="BJ300" s="114"/>
    </row>
    <row r="301" spans="1:62" ht="20.100000000000001" customHeight="1" x14ac:dyDescent="0.4">
      <c r="A301" s="117"/>
      <c r="B301" s="123"/>
      <c r="C301" s="123"/>
      <c r="D301" s="123"/>
      <c r="W301" s="25"/>
      <c r="X301" s="13"/>
      <c r="Z301" s="115"/>
      <c r="AA301" s="115"/>
      <c r="AB301" s="115"/>
      <c r="AC301" s="115"/>
      <c r="AD301" s="115"/>
      <c r="AE301" s="115"/>
      <c r="AF301" s="115"/>
      <c r="AG301" s="115"/>
      <c r="AH301" s="25">
        <v>45675</v>
      </c>
      <c r="AI301" s="13" t="s">
        <v>147</v>
      </c>
      <c r="AN301" s="116"/>
      <c r="AO301" s="123"/>
      <c r="AP301" s="123"/>
      <c r="AQ301" s="123"/>
      <c r="AV301" s="115"/>
      <c r="AW301" s="115"/>
      <c r="AX301" s="115"/>
      <c r="AY301" s="115"/>
      <c r="AZ301" s="115"/>
      <c r="BA301" s="115"/>
      <c r="BB301" s="115"/>
      <c r="BC301" s="115"/>
      <c r="BD301" s="115"/>
      <c r="BE301" s="115"/>
      <c r="BF301" s="25"/>
      <c r="BG301" s="13"/>
      <c r="BJ301" s="114"/>
    </row>
    <row r="302" spans="1:62" ht="20.100000000000001" customHeight="1" x14ac:dyDescent="0.4">
      <c r="A302" s="117"/>
      <c r="B302" s="123"/>
      <c r="C302" s="123"/>
      <c r="D302" s="123"/>
      <c r="W302" s="25"/>
      <c r="X302" s="13"/>
      <c r="Z302" s="115"/>
      <c r="AA302" s="115"/>
      <c r="AB302" s="115"/>
      <c r="AC302" s="115"/>
      <c r="AD302" s="115"/>
      <c r="AE302" s="115"/>
      <c r="AF302" s="115"/>
      <c r="AG302" s="115"/>
      <c r="AH302" s="25"/>
      <c r="AI302" s="13"/>
      <c r="AN302" s="116"/>
      <c r="AO302" s="123"/>
      <c r="AP302" s="123"/>
      <c r="AQ302" s="123"/>
      <c r="AV302" s="115"/>
      <c r="AW302" s="115"/>
      <c r="AX302" s="115"/>
      <c r="AY302" s="115"/>
      <c r="AZ302" s="115"/>
      <c r="BA302" s="115"/>
      <c r="BB302" s="115"/>
      <c r="BC302" s="115"/>
      <c r="BD302" s="115"/>
      <c r="BE302" s="115"/>
      <c r="BF302" s="25"/>
      <c r="BG302" s="13"/>
      <c r="BJ302" s="114"/>
    </row>
    <row r="303" spans="1:62" ht="20.100000000000001" customHeight="1" x14ac:dyDescent="0.4">
      <c r="A303" s="117"/>
      <c r="B303" s="123"/>
      <c r="C303" s="123"/>
      <c r="D303" s="123"/>
      <c r="N303" s="115"/>
      <c r="O303" s="115"/>
      <c r="P303" s="115"/>
      <c r="Q303" s="115"/>
      <c r="R303" s="115"/>
      <c r="S303" s="115"/>
      <c r="T303" s="115"/>
      <c r="U303" s="115"/>
      <c r="V303" s="115"/>
      <c r="W303" s="25"/>
      <c r="X303" s="13"/>
      <c r="Z303" s="115"/>
      <c r="AA303" s="115"/>
      <c r="AB303" s="115"/>
      <c r="AC303" s="115"/>
      <c r="AD303" s="115"/>
      <c r="AE303" s="115"/>
      <c r="AF303" s="115"/>
      <c r="AG303" s="115"/>
      <c r="AH303" s="25"/>
      <c r="AI303" s="13"/>
      <c r="AN303" s="116"/>
      <c r="AO303" s="123"/>
      <c r="AP303" s="123"/>
      <c r="AQ303" s="123"/>
      <c r="AV303" s="115"/>
      <c r="AW303" s="115"/>
      <c r="AX303" s="115"/>
      <c r="AY303" s="115"/>
      <c r="AZ303" s="115"/>
      <c r="BA303" s="115"/>
      <c r="BB303" s="115"/>
      <c r="BC303" s="115"/>
      <c r="BD303" s="115"/>
      <c r="BE303" s="115"/>
      <c r="BF303" s="25"/>
      <c r="BG303" s="13"/>
      <c r="BJ303" s="114"/>
    </row>
    <row r="304" spans="1:62" ht="20.100000000000001" customHeight="1" x14ac:dyDescent="0.4">
      <c r="A304" s="117"/>
      <c r="B304" s="123"/>
      <c r="C304" s="123"/>
      <c r="D304" s="123"/>
      <c r="W304" s="25"/>
      <c r="X304" s="13"/>
      <c r="Z304" s="115"/>
      <c r="AA304" s="115"/>
      <c r="AB304" s="115"/>
      <c r="AC304" s="115"/>
      <c r="AD304" s="115"/>
      <c r="AE304" s="115"/>
      <c r="AF304" s="115"/>
      <c r="AG304" s="115"/>
      <c r="AH304" s="25">
        <v>45675</v>
      </c>
      <c r="AI304" s="15" t="s">
        <v>147</v>
      </c>
      <c r="AN304" s="116"/>
      <c r="AO304" s="123"/>
      <c r="AP304" s="123"/>
      <c r="AQ304" s="123"/>
      <c r="AV304" s="115"/>
      <c r="AW304" s="115"/>
      <c r="AX304" s="115"/>
      <c r="AY304" s="115"/>
      <c r="AZ304" s="115"/>
      <c r="BA304" s="115"/>
      <c r="BB304" s="115"/>
      <c r="BC304" s="115"/>
      <c r="BD304" s="115"/>
      <c r="BE304" s="115"/>
      <c r="BF304" s="25"/>
      <c r="BG304" s="13"/>
      <c r="BJ304" s="114"/>
    </row>
    <row r="305" spans="1:62" ht="20.100000000000001" customHeight="1" x14ac:dyDescent="0.4">
      <c r="A305" s="117"/>
      <c r="B305" s="123"/>
      <c r="C305" s="123"/>
      <c r="D305" s="123"/>
      <c r="W305" s="26"/>
      <c r="X305" s="13"/>
      <c r="Z305" s="115"/>
      <c r="AA305" s="115"/>
      <c r="AB305" s="115"/>
      <c r="AC305" s="115"/>
      <c r="AD305" s="115"/>
      <c r="AE305" s="115"/>
      <c r="AF305" s="115"/>
      <c r="AG305" s="115"/>
      <c r="AH305" s="25"/>
      <c r="AI305" s="13"/>
      <c r="AN305" s="116"/>
      <c r="AO305" s="123"/>
      <c r="AP305" s="123"/>
      <c r="AQ305" s="123"/>
      <c r="AV305" s="115"/>
      <c r="AW305" s="115"/>
      <c r="AX305" s="115"/>
      <c r="AY305" s="115"/>
      <c r="AZ305" s="115"/>
      <c r="BA305" s="115"/>
      <c r="BB305" s="115"/>
      <c r="BC305" s="115"/>
      <c r="BD305" s="115"/>
      <c r="BE305" s="115"/>
      <c r="BF305" s="25"/>
      <c r="BG305" s="13"/>
      <c r="BJ305" s="114"/>
    </row>
    <row r="306" spans="1:62" ht="20.100000000000001" customHeight="1" x14ac:dyDescent="0.4">
      <c r="A306" s="117"/>
      <c r="B306" s="123"/>
      <c r="C306" s="123"/>
      <c r="D306" s="123"/>
      <c r="W306" s="26"/>
      <c r="X306" s="13"/>
      <c r="Z306" s="115"/>
      <c r="AA306" s="115"/>
      <c r="AB306" s="115"/>
      <c r="AC306" s="115"/>
      <c r="AD306" s="115"/>
      <c r="AE306" s="115"/>
      <c r="AF306" s="115"/>
      <c r="AG306" s="115"/>
      <c r="AH306" s="25">
        <v>45675</v>
      </c>
      <c r="AI306" s="13" t="s">
        <v>147</v>
      </c>
      <c r="AN306" s="116"/>
      <c r="AO306" s="123"/>
      <c r="AP306" s="123"/>
      <c r="AQ306" s="123"/>
      <c r="AV306" s="115"/>
      <c r="AW306" s="115"/>
      <c r="AX306" s="115"/>
      <c r="AY306" s="115"/>
      <c r="AZ306" s="115"/>
      <c r="BA306" s="115"/>
      <c r="BB306" s="115"/>
      <c r="BC306" s="115"/>
      <c r="BD306" s="115"/>
      <c r="BE306" s="115"/>
      <c r="BF306" s="25"/>
      <c r="BG306" s="13"/>
      <c r="BJ306" s="114"/>
    </row>
    <row r="307" spans="1:62" ht="20.100000000000001" customHeight="1" x14ac:dyDescent="0.4">
      <c r="A307" s="117"/>
      <c r="B307" s="123"/>
      <c r="C307" s="123"/>
      <c r="D307" s="123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26"/>
      <c r="X307" s="13"/>
      <c r="Z307" s="115"/>
      <c r="AA307" s="115"/>
      <c r="AB307" s="115"/>
      <c r="AC307" s="115"/>
      <c r="AD307" s="115"/>
      <c r="AE307" s="115"/>
      <c r="AF307" s="115"/>
      <c r="AG307" s="115"/>
      <c r="AH307" s="25"/>
      <c r="AI307" s="13"/>
      <c r="AN307" s="116"/>
      <c r="AO307" s="123"/>
      <c r="AP307" s="123"/>
      <c r="AQ307" s="123"/>
      <c r="AV307" s="115"/>
      <c r="AW307" s="115"/>
      <c r="AX307" s="115"/>
      <c r="AY307" s="115"/>
      <c r="AZ307" s="115"/>
      <c r="BA307" s="115"/>
      <c r="BB307" s="115"/>
      <c r="BC307" s="115"/>
      <c r="BD307" s="115"/>
      <c r="BE307" s="115"/>
      <c r="BF307" s="25"/>
      <c r="BG307" s="13"/>
      <c r="BJ307" s="114"/>
    </row>
    <row r="308" spans="1:62" ht="20.100000000000001" customHeight="1" x14ac:dyDescent="0.4">
      <c r="A308" s="117"/>
      <c r="B308" s="123"/>
      <c r="C308" s="123"/>
      <c r="D308" s="123"/>
      <c r="W308" s="26"/>
      <c r="X308" s="13"/>
      <c r="Z308" s="115"/>
      <c r="AA308" s="115"/>
      <c r="AB308" s="115"/>
      <c r="AC308" s="115"/>
      <c r="AD308" s="115"/>
      <c r="AE308" s="115"/>
      <c r="AF308" s="115"/>
      <c r="AG308" s="115"/>
      <c r="AH308" s="25"/>
      <c r="AI308" s="13"/>
      <c r="AN308" s="116"/>
      <c r="AO308" s="123"/>
      <c r="AP308" s="123"/>
      <c r="AQ308" s="123"/>
      <c r="AV308" s="115"/>
      <c r="AW308" s="115"/>
      <c r="AX308" s="115"/>
      <c r="AY308" s="115"/>
      <c r="AZ308" s="115"/>
      <c r="BA308" s="115"/>
      <c r="BB308" s="115"/>
      <c r="BC308" s="115"/>
      <c r="BD308" s="115"/>
      <c r="BE308" s="115"/>
      <c r="BF308" s="25"/>
      <c r="BG308" s="13"/>
      <c r="BJ308" s="114"/>
    </row>
    <row r="309" spans="1:62" ht="20.100000000000001" customHeight="1" x14ac:dyDescent="0.4">
      <c r="A309" s="117"/>
      <c r="B309" s="123"/>
      <c r="C309" s="123"/>
      <c r="D309" s="123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26"/>
      <c r="X309" s="13"/>
      <c r="Z309" s="115"/>
      <c r="AA309" s="115"/>
      <c r="AB309" s="115"/>
      <c r="AC309" s="115"/>
      <c r="AD309" s="115"/>
      <c r="AE309" s="115"/>
      <c r="AF309" s="115"/>
      <c r="AG309" s="115"/>
      <c r="AH309" s="25"/>
      <c r="AI309" s="13"/>
      <c r="AN309" s="116"/>
      <c r="AO309" s="123"/>
      <c r="AP309" s="123"/>
      <c r="AQ309" s="123"/>
      <c r="AV309" s="115"/>
      <c r="AW309" s="115"/>
      <c r="AX309" s="115"/>
      <c r="AY309" s="115"/>
      <c r="AZ309" s="115"/>
      <c r="BA309" s="115"/>
      <c r="BB309" s="115"/>
      <c r="BC309" s="115"/>
      <c r="BD309" s="115"/>
      <c r="BE309" s="115"/>
      <c r="BF309" s="25"/>
      <c r="BG309" s="13"/>
      <c r="BJ309" s="114"/>
    </row>
    <row r="310" spans="1:62" ht="20.100000000000001" customHeight="1" x14ac:dyDescent="0.4">
      <c r="A310" s="117"/>
      <c r="B310" s="123"/>
      <c r="C310" s="123"/>
      <c r="D310" s="123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7"/>
      <c r="X310" s="13"/>
      <c r="Z310" s="115"/>
      <c r="AA310" s="115"/>
      <c r="AB310" s="115"/>
      <c r="AC310" s="115"/>
      <c r="AD310" s="115"/>
      <c r="AE310" s="115"/>
      <c r="AF310" s="115"/>
      <c r="AG310" s="115"/>
      <c r="AH310" s="25"/>
      <c r="AI310" s="13"/>
      <c r="AN310" s="116"/>
      <c r="AO310" s="123"/>
      <c r="AP310" s="123"/>
      <c r="AQ310" s="123"/>
      <c r="AV310" s="115"/>
      <c r="AW310" s="115"/>
      <c r="AX310" s="115"/>
      <c r="AY310" s="115"/>
      <c r="AZ310" s="115"/>
      <c r="BA310" s="115"/>
      <c r="BB310" s="115"/>
      <c r="BC310" s="115"/>
      <c r="BD310" s="115"/>
      <c r="BE310" s="115"/>
      <c r="BF310" s="25"/>
      <c r="BG310" s="13"/>
      <c r="BJ310" s="114"/>
    </row>
    <row r="311" spans="1:62" ht="20.100000000000001" customHeight="1" x14ac:dyDescent="0.4">
      <c r="A311" s="117"/>
      <c r="B311" s="123"/>
      <c r="C311" s="123"/>
      <c r="D311" s="123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26"/>
      <c r="X311" s="25"/>
      <c r="Z311" s="115"/>
      <c r="AA311" s="115"/>
      <c r="AB311" s="115"/>
      <c r="AC311" s="115"/>
      <c r="AD311" s="115"/>
      <c r="AE311" s="115"/>
      <c r="AF311" s="115"/>
      <c r="AG311" s="115"/>
      <c r="AH311" s="25"/>
      <c r="AI311" s="13"/>
      <c r="AN311" s="116"/>
      <c r="AO311" s="123"/>
      <c r="AP311" s="123"/>
      <c r="AQ311" s="123"/>
      <c r="AV311" s="115"/>
      <c r="AW311" s="115"/>
      <c r="AX311" s="115"/>
      <c r="AY311" s="115"/>
      <c r="AZ311" s="115"/>
      <c r="BA311" s="115"/>
      <c r="BB311" s="115"/>
      <c r="BC311" s="115"/>
      <c r="BD311" s="115"/>
      <c r="BE311" s="115"/>
      <c r="BF311" s="25"/>
      <c r="BG311" s="13"/>
      <c r="BJ311" s="114"/>
    </row>
    <row r="312" spans="1:62" ht="20.100000000000001" customHeight="1" x14ac:dyDescent="0.4">
      <c r="A312" s="117"/>
      <c r="B312" s="123"/>
      <c r="C312" s="123"/>
      <c r="D312" s="123"/>
      <c r="W312" s="26"/>
      <c r="X312" s="25"/>
      <c r="Z312" s="115"/>
      <c r="AA312" s="115"/>
      <c r="AB312" s="115"/>
      <c r="AC312" s="115"/>
      <c r="AD312" s="115"/>
      <c r="AE312" s="115"/>
      <c r="AF312" s="115"/>
      <c r="AG312" s="115"/>
      <c r="AH312" s="25"/>
      <c r="AI312" s="13"/>
      <c r="AN312" s="116"/>
      <c r="AO312" s="123"/>
      <c r="AP312" s="123"/>
      <c r="AQ312" s="123"/>
      <c r="AV312" s="115"/>
      <c r="AW312" s="115"/>
      <c r="AX312" s="115"/>
      <c r="AY312" s="115"/>
      <c r="AZ312" s="115"/>
      <c r="BA312" s="115"/>
      <c r="BB312" s="115"/>
      <c r="BC312" s="115"/>
      <c r="BD312" s="115"/>
      <c r="BE312" s="115"/>
      <c r="BF312" s="25"/>
      <c r="BG312" s="13"/>
      <c r="BJ312" s="114"/>
    </row>
    <row r="313" spans="1:62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26"/>
      <c r="X313" s="25"/>
      <c r="Z313" s="115"/>
      <c r="AA313" s="115"/>
      <c r="AB313" s="115"/>
      <c r="AC313" s="115"/>
      <c r="AD313" s="115"/>
      <c r="AE313" s="115"/>
      <c r="AF313" s="115"/>
      <c r="AG313" s="115"/>
      <c r="AH313" s="25"/>
      <c r="AI313" s="13"/>
      <c r="AN313" s="116"/>
      <c r="AO313" s="123"/>
      <c r="AP313" s="123"/>
      <c r="AQ313" s="123"/>
      <c r="AV313" s="115"/>
      <c r="AW313" s="115"/>
      <c r="AX313" s="115"/>
      <c r="AY313" s="115"/>
      <c r="AZ313" s="115"/>
      <c r="BA313" s="115"/>
      <c r="BB313" s="115"/>
      <c r="BC313" s="115"/>
      <c r="BD313" s="115"/>
      <c r="BE313" s="115"/>
      <c r="BF313" s="25"/>
      <c r="BG313" s="13"/>
      <c r="BJ313" s="114"/>
    </row>
    <row r="314" spans="1:62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26"/>
      <c r="X314" s="13"/>
      <c r="Z314" s="115"/>
      <c r="AA314" s="115"/>
      <c r="AB314" s="115"/>
      <c r="AC314" s="115"/>
      <c r="AD314" s="115"/>
      <c r="AE314" s="115"/>
      <c r="AF314" s="115"/>
      <c r="AG314" s="115"/>
      <c r="AH314" s="25"/>
      <c r="AI314" s="13"/>
      <c r="AN314" s="116"/>
      <c r="AO314" s="123"/>
      <c r="AP314" s="123"/>
      <c r="AQ314" s="123"/>
      <c r="AV314" s="115"/>
      <c r="AW314" s="115"/>
      <c r="AX314" s="115"/>
      <c r="AY314" s="115"/>
      <c r="AZ314" s="115"/>
      <c r="BA314" s="115"/>
      <c r="BB314" s="115"/>
      <c r="BC314" s="115"/>
      <c r="BD314" s="115"/>
      <c r="BE314" s="115"/>
      <c r="BF314" s="25"/>
      <c r="BG314" s="13"/>
      <c r="BJ314" s="114"/>
    </row>
    <row r="315" spans="1:62" ht="20.100000000000001" customHeight="1" x14ac:dyDescent="0.4">
      <c r="A315" s="117"/>
      <c r="B315" s="123"/>
      <c r="C315" s="123"/>
      <c r="D315" s="123"/>
      <c r="W315" s="26"/>
      <c r="X315" s="13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25">
        <v>45675</v>
      </c>
      <c r="AI315" s="13" t="s">
        <v>146</v>
      </c>
      <c r="AN315" s="116"/>
      <c r="AO315" s="123"/>
      <c r="AP315" s="123"/>
      <c r="AQ315" s="123"/>
      <c r="AV315" s="115"/>
      <c r="AW315" s="115"/>
      <c r="AX315" s="115"/>
      <c r="AY315" s="115"/>
      <c r="AZ315" s="115"/>
      <c r="BA315" s="115"/>
      <c r="BB315" s="115"/>
      <c r="BC315" s="115"/>
      <c r="BD315" s="115"/>
      <c r="BE315" s="115"/>
      <c r="BF315" s="25"/>
      <c r="BG315" s="13"/>
      <c r="BJ315" s="114"/>
    </row>
    <row r="316" spans="1:62" ht="20.100000000000001" customHeight="1" x14ac:dyDescent="0.4">
      <c r="A316" s="117"/>
      <c r="B316" s="123"/>
      <c r="C316" s="123"/>
      <c r="D316" s="123"/>
      <c r="O316" s="115"/>
      <c r="P316" s="115"/>
      <c r="Q316" s="115"/>
      <c r="R316" s="115"/>
      <c r="S316" s="115"/>
      <c r="T316" s="115"/>
      <c r="U316" s="115"/>
      <c r="V316" s="115"/>
      <c r="W316" s="17"/>
      <c r="X316" s="13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25"/>
      <c r="AI316" s="13"/>
      <c r="AN316" s="116"/>
      <c r="AO316" s="123"/>
      <c r="AP316" s="123"/>
      <c r="AQ316" s="123"/>
      <c r="AV316" s="115"/>
      <c r="AW316" s="115"/>
      <c r="AX316" s="115"/>
      <c r="AY316" s="115"/>
      <c r="AZ316" s="115"/>
      <c r="BA316" s="115"/>
      <c r="BB316" s="115"/>
      <c r="BC316" s="115"/>
      <c r="BD316" s="115"/>
      <c r="BE316" s="115"/>
      <c r="BF316" s="25"/>
      <c r="BG316" s="13"/>
      <c r="BJ316" s="114"/>
    </row>
    <row r="317" spans="1:62" ht="20.100000000000001" customHeight="1" x14ac:dyDescent="0.4">
      <c r="A317" s="117"/>
      <c r="B317" s="123"/>
      <c r="C317" s="123"/>
      <c r="D317" s="123"/>
      <c r="W317" s="26"/>
      <c r="X317" s="13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25">
        <v>45676</v>
      </c>
      <c r="AI317" s="13" t="s">
        <v>148</v>
      </c>
      <c r="AN317" s="116"/>
      <c r="AO317" s="123"/>
      <c r="AP317" s="123"/>
      <c r="AQ317" s="123"/>
      <c r="AV317" s="115"/>
      <c r="AW317" s="115"/>
      <c r="AX317" s="115"/>
      <c r="AY317" s="115"/>
      <c r="AZ317" s="115"/>
      <c r="BA317" s="115"/>
      <c r="BB317" s="115"/>
      <c r="BC317" s="115"/>
      <c r="BD317" s="115"/>
      <c r="BE317" s="115"/>
      <c r="BF317" s="25"/>
      <c r="BG317" s="13"/>
      <c r="BJ317" s="114"/>
    </row>
    <row r="318" spans="1:62" ht="20.100000000000001" customHeight="1" x14ac:dyDescent="0.4">
      <c r="A318" s="117"/>
      <c r="B318" s="123"/>
      <c r="C318" s="123"/>
      <c r="D318" s="123"/>
      <c r="O318" s="115"/>
      <c r="P318" s="115"/>
      <c r="Q318" s="115"/>
      <c r="R318" s="115"/>
      <c r="S318" s="115"/>
      <c r="T318" s="115"/>
      <c r="U318" s="115"/>
      <c r="V318" s="115"/>
      <c r="W318" s="17"/>
      <c r="X318" s="13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25"/>
      <c r="AI318" s="13"/>
      <c r="AN318" s="116"/>
      <c r="AO318" s="123"/>
      <c r="AP318" s="123"/>
      <c r="AQ318" s="123"/>
      <c r="AV318" s="115"/>
      <c r="AW318" s="115"/>
      <c r="AX318" s="115"/>
      <c r="AY318" s="115"/>
      <c r="AZ318" s="115"/>
      <c r="BA318" s="115"/>
      <c r="BB318" s="115"/>
      <c r="BC318" s="115"/>
      <c r="BD318" s="115"/>
      <c r="BE318" s="115"/>
      <c r="BF318" s="25"/>
      <c r="BG318" s="13"/>
      <c r="BJ318" s="114"/>
    </row>
    <row r="319" spans="1:62" ht="20.100000000000001" customHeight="1" x14ac:dyDescent="0.4">
      <c r="A319" s="117"/>
      <c r="B319" s="123"/>
      <c r="C319" s="123"/>
      <c r="D319" s="123"/>
      <c r="N319" s="115"/>
      <c r="O319" s="115"/>
      <c r="P319" s="115"/>
      <c r="Q319" s="115"/>
      <c r="R319" s="115"/>
      <c r="S319" s="115"/>
      <c r="T319" s="115"/>
      <c r="U319" s="115"/>
      <c r="V319" s="115"/>
      <c r="W319" s="26"/>
      <c r="X319" s="13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25"/>
      <c r="AI319" s="13"/>
      <c r="AN319" s="116"/>
      <c r="AO319" s="123"/>
      <c r="AP319" s="123"/>
      <c r="AQ319" s="123"/>
      <c r="AV319" s="115"/>
      <c r="AW319" s="115"/>
      <c r="AX319" s="115"/>
      <c r="AY319" s="115"/>
      <c r="AZ319" s="115"/>
      <c r="BA319" s="115"/>
      <c r="BB319" s="115"/>
      <c r="BC319" s="115"/>
      <c r="BD319" s="115"/>
      <c r="BE319" s="115"/>
      <c r="BF319" s="25"/>
      <c r="BG319" s="13"/>
      <c r="BJ319" s="114"/>
    </row>
    <row r="320" spans="1:62" ht="20.100000000000001" customHeight="1" x14ac:dyDescent="0.4">
      <c r="A320" s="117"/>
      <c r="B320" s="123"/>
      <c r="C320" s="123"/>
      <c r="D320" s="123"/>
      <c r="N320" s="115"/>
      <c r="O320" s="115"/>
      <c r="P320" s="115"/>
      <c r="Q320" s="115"/>
      <c r="R320" s="115"/>
      <c r="S320" s="115"/>
      <c r="T320" s="115"/>
      <c r="U320" s="115"/>
      <c r="V320" s="115"/>
      <c r="W320" s="17"/>
      <c r="X320" s="13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25"/>
      <c r="AI320" s="13"/>
      <c r="AN320" s="116"/>
      <c r="AO320" s="123"/>
      <c r="AP320" s="123"/>
      <c r="AQ320" s="123"/>
      <c r="AV320" s="115"/>
      <c r="AW320" s="115"/>
      <c r="AX320" s="115"/>
      <c r="AY320" s="115"/>
      <c r="AZ320" s="115"/>
      <c r="BA320" s="115"/>
      <c r="BB320" s="115"/>
      <c r="BC320" s="115"/>
      <c r="BD320" s="115"/>
      <c r="BE320" s="115"/>
      <c r="BF320" s="25"/>
      <c r="BG320" s="13"/>
      <c r="BJ320" s="114"/>
    </row>
    <row r="321" spans="1:62" ht="20.100000000000001" customHeight="1" x14ac:dyDescent="0.4">
      <c r="A321" s="117"/>
      <c r="B321" s="123"/>
      <c r="C321" s="123"/>
      <c r="D321" s="123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26"/>
      <c r="X321" s="13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25"/>
      <c r="AI321" s="13"/>
      <c r="AN321" s="116"/>
      <c r="AO321" s="123"/>
      <c r="AP321" s="123"/>
      <c r="AQ321" s="123"/>
      <c r="AV321" s="115"/>
      <c r="AW321" s="115"/>
      <c r="AX321" s="115"/>
      <c r="AY321" s="115"/>
      <c r="AZ321" s="115"/>
      <c r="BA321" s="115"/>
      <c r="BB321" s="115"/>
      <c r="BC321" s="115"/>
      <c r="BD321" s="115"/>
      <c r="BE321" s="115"/>
      <c r="BF321" s="25"/>
      <c r="BG321" s="13"/>
      <c r="BJ321" s="114"/>
    </row>
    <row r="322" spans="1:62" ht="20.100000000000001" customHeight="1" x14ac:dyDescent="0.4">
      <c r="A322" s="117"/>
      <c r="B322" s="123"/>
      <c r="C322" s="123"/>
      <c r="D322" s="123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26"/>
      <c r="X322" s="13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25"/>
      <c r="AI322" s="13"/>
      <c r="AN322" s="116"/>
      <c r="AO322" s="123"/>
      <c r="AP322" s="123"/>
      <c r="AQ322" s="123"/>
      <c r="AV322" s="115"/>
      <c r="AW322" s="115"/>
      <c r="AX322" s="115"/>
      <c r="AY322" s="115"/>
      <c r="AZ322" s="115"/>
      <c r="BA322" s="115"/>
      <c r="BB322" s="115"/>
      <c r="BC322" s="115"/>
      <c r="BD322" s="115"/>
      <c r="BE322" s="115"/>
      <c r="BF322" s="25"/>
      <c r="BG322" s="13"/>
      <c r="BJ322" s="114"/>
    </row>
    <row r="323" spans="1:62" ht="20.100000000000001" customHeight="1" x14ac:dyDescent="0.4">
      <c r="A323" s="117"/>
      <c r="B323" s="123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26"/>
      <c r="X323" s="13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25"/>
      <c r="AI323" s="13"/>
      <c r="AN323" s="116"/>
      <c r="AO323" s="123"/>
      <c r="AP323" s="123"/>
      <c r="AQ323" s="123"/>
      <c r="AV323" s="115"/>
      <c r="AW323" s="115"/>
      <c r="AX323" s="115"/>
      <c r="AY323" s="115"/>
      <c r="AZ323" s="115"/>
      <c r="BA323" s="115"/>
      <c r="BB323" s="115"/>
      <c r="BC323" s="115"/>
      <c r="BD323" s="115"/>
      <c r="BE323" s="115"/>
      <c r="BF323" s="25"/>
      <c r="BG323" s="13"/>
      <c r="BJ323" s="114"/>
    </row>
    <row r="324" spans="1:62" ht="20.100000000000001" customHeight="1" x14ac:dyDescent="0.4">
      <c r="A324" s="117"/>
      <c r="B324" s="123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26"/>
      <c r="X324" s="13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25"/>
      <c r="AI324" s="13"/>
      <c r="AN324" s="116"/>
      <c r="AO324" s="123"/>
      <c r="AP324" s="123"/>
      <c r="AQ324" s="123"/>
      <c r="AV324" s="115"/>
      <c r="AW324" s="115"/>
      <c r="AX324" s="115"/>
      <c r="AY324" s="115"/>
      <c r="AZ324" s="115"/>
      <c r="BA324" s="115"/>
      <c r="BB324" s="115"/>
      <c r="BC324" s="115"/>
      <c r="BD324" s="115"/>
      <c r="BE324" s="115"/>
      <c r="BF324" s="25"/>
      <c r="BG324" s="13"/>
      <c r="BJ324" s="114"/>
    </row>
    <row r="325" spans="1:62" ht="20.100000000000001" customHeight="1" x14ac:dyDescent="0.4">
      <c r="A325" s="117"/>
      <c r="B325" s="123"/>
      <c r="C325" s="123"/>
      <c r="D325" s="123"/>
      <c r="W325" s="26"/>
      <c r="X325" s="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25">
        <v>45677</v>
      </c>
      <c r="AI325" s="13" t="s">
        <v>146</v>
      </c>
      <c r="AN325" s="116"/>
      <c r="AO325" s="123"/>
      <c r="AP325" s="123"/>
      <c r="AQ325" s="123"/>
      <c r="AV325" s="115"/>
      <c r="AW325" s="115"/>
      <c r="AX325" s="115"/>
      <c r="AY325" s="115"/>
      <c r="AZ325" s="115"/>
      <c r="BA325" s="115"/>
      <c r="BB325" s="115"/>
      <c r="BC325" s="115"/>
      <c r="BD325" s="115"/>
      <c r="BE325" s="115"/>
      <c r="BF325" s="25"/>
      <c r="BG325" s="13"/>
      <c r="BJ325" s="114"/>
    </row>
    <row r="326" spans="1:62" ht="20.100000000000001" customHeight="1" x14ac:dyDescent="0.4">
      <c r="A326" s="117"/>
      <c r="B326" s="123"/>
      <c r="C326" s="123"/>
      <c r="D326" s="123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26"/>
      <c r="X326" s="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25"/>
      <c r="AI326" s="13"/>
      <c r="AN326" s="116"/>
      <c r="AO326" s="123"/>
      <c r="AP326" s="123"/>
      <c r="AQ326" s="123"/>
      <c r="AV326" s="115"/>
      <c r="AW326" s="115"/>
      <c r="AX326" s="115"/>
      <c r="AY326" s="115"/>
      <c r="AZ326" s="115"/>
      <c r="BA326" s="115"/>
      <c r="BB326" s="115"/>
      <c r="BC326" s="115"/>
      <c r="BD326" s="115"/>
      <c r="BE326" s="115"/>
      <c r="BF326" s="25"/>
      <c r="BG326" s="13"/>
      <c r="BJ326" s="114"/>
    </row>
    <row r="327" spans="1:62" ht="20.100000000000001" customHeight="1" x14ac:dyDescent="0.4">
      <c r="A327" s="117"/>
      <c r="B327" s="123"/>
      <c r="C327" s="123"/>
      <c r="D327" s="123"/>
      <c r="W327" s="26"/>
      <c r="X327" s="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25"/>
      <c r="AI327" s="13"/>
      <c r="AN327" s="116"/>
      <c r="AO327" s="123"/>
      <c r="AP327" s="123"/>
      <c r="AQ327" s="123"/>
      <c r="AV327" s="115"/>
      <c r="AW327" s="115"/>
      <c r="AX327" s="115"/>
      <c r="AY327" s="115"/>
      <c r="AZ327" s="115"/>
      <c r="BA327" s="115"/>
      <c r="BB327" s="115"/>
      <c r="BC327" s="115"/>
      <c r="BD327" s="115"/>
      <c r="BE327" s="115"/>
      <c r="BF327" s="25"/>
      <c r="BG327" s="13"/>
      <c r="BJ327" s="114"/>
    </row>
    <row r="328" spans="1:62" ht="20.100000000000001" customHeight="1" x14ac:dyDescent="0.4">
      <c r="A328" s="117"/>
      <c r="B328" s="123"/>
      <c r="C328" s="123"/>
      <c r="D328" s="123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26"/>
      <c r="X328" s="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25"/>
      <c r="AI328" s="13"/>
      <c r="AN328" s="116"/>
      <c r="AO328" s="123"/>
      <c r="AP328" s="123"/>
      <c r="AQ328" s="123"/>
      <c r="AV328" s="115"/>
      <c r="AW328" s="115"/>
      <c r="AX328" s="115"/>
      <c r="AY328" s="115"/>
      <c r="AZ328" s="115"/>
      <c r="BA328" s="115"/>
      <c r="BB328" s="115"/>
      <c r="BC328" s="115"/>
      <c r="BD328" s="115"/>
      <c r="BE328" s="115"/>
      <c r="BF328" s="25"/>
      <c r="BG328" s="13"/>
      <c r="BJ328" s="114"/>
    </row>
    <row r="329" spans="1:62" ht="20.100000000000001" customHeight="1" x14ac:dyDescent="0.4">
      <c r="A329" s="117"/>
      <c r="B329" s="123"/>
      <c r="C329" s="123"/>
      <c r="D329" s="123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26"/>
      <c r="X329" s="13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25"/>
      <c r="AI329" s="13"/>
      <c r="AN329" s="116"/>
      <c r="AO329" s="123"/>
      <c r="AP329" s="123"/>
      <c r="AQ329" s="123"/>
      <c r="AV329" s="115"/>
      <c r="AW329" s="115"/>
      <c r="AX329" s="115"/>
      <c r="AY329" s="115"/>
      <c r="AZ329" s="115"/>
      <c r="BA329" s="115"/>
      <c r="BB329" s="115"/>
      <c r="BC329" s="115"/>
      <c r="BD329" s="115"/>
      <c r="BE329" s="115"/>
      <c r="BF329" s="25"/>
      <c r="BG329" s="13"/>
      <c r="BJ329" s="114"/>
    </row>
    <row r="330" spans="1:62" ht="20.100000000000001" customHeight="1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26"/>
      <c r="X330" s="13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25"/>
      <c r="AI330" s="13"/>
      <c r="AN330" s="116"/>
      <c r="AO330" s="123"/>
      <c r="AP330" s="123"/>
      <c r="AQ330" s="123"/>
      <c r="AV330" s="115"/>
      <c r="AW330" s="115"/>
      <c r="AX330" s="115"/>
      <c r="AY330" s="115"/>
      <c r="AZ330" s="115"/>
      <c r="BA330" s="115"/>
      <c r="BB330" s="115"/>
      <c r="BC330" s="115"/>
      <c r="BD330" s="115"/>
      <c r="BE330" s="115"/>
      <c r="BF330" s="25"/>
      <c r="BG330" s="13"/>
      <c r="BJ330" s="114"/>
    </row>
    <row r="331" spans="1:62" ht="20.100000000000001" customHeight="1" x14ac:dyDescent="0.4">
      <c r="A331" s="117"/>
      <c r="B331" s="123"/>
      <c r="C331" s="123"/>
      <c r="D331" s="123"/>
      <c r="W331" s="26"/>
      <c r="X331" s="13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25">
        <v>45677</v>
      </c>
      <c r="AI331" s="13" t="s">
        <v>146</v>
      </c>
      <c r="AN331" s="116"/>
      <c r="AO331" s="123"/>
      <c r="AP331" s="123"/>
      <c r="AQ331" s="123"/>
      <c r="AV331" s="115"/>
      <c r="AW331" s="115"/>
      <c r="AX331" s="115"/>
      <c r="AY331" s="115"/>
      <c r="AZ331" s="115"/>
      <c r="BA331" s="115"/>
      <c r="BB331" s="115"/>
      <c r="BC331" s="115"/>
      <c r="BD331" s="115"/>
      <c r="BE331" s="115"/>
      <c r="BF331" s="25"/>
      <c r="BG331" s="13"/>
      <c r="BJ331" s="114"/>
    </row>
    <row r="332" spans="1:62" ht="20.100000000000001" customHeight="1" x14ac:dyDescent="0.4">
      <c r="A332" s="117"/>
      <c r="B332" s="123"/>
      <c r="C332" s="123"/>
      <c r="D332" s="123"/>
      <c r="N332" s="115"/>
      <c r="O332" s="115"/>
      <c r="P332" s="115"/>
      <c r="Q332" s="115"/>
      <c r="R332" s="115"/>
      <c r="S332" s="115"/>
      <c r="T332" s="115"/>
      <c r="U332" s="115"/>
      <c r="V332" s="115"/>
      <c r="W332" s="26"/>
      <c r="X332" s="13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25"/>
      <c r="AI332" s="13"/>
      <c r="AN332" s="116"/>
      <c r="AO332" s="123"/>
      <c r="AP332" s="123"/>
      <c r="AQ332" s="123"/>
      <c r="AV332" s="115"/>
      <c r="AW332" s="115"/>
      <c r="AX332" s="115"/>
      <c r="AY332" s="115"/>
      <c r="AZ332" s="115"/>
      <c r="BA332" s="115"/>
      <c r="BB332" s="115"/>
      <c r="BC332" s="115"/>
      <c r="BD332" s="115"/>
      <c r="BE332" s="115"/>
      <c r="BF332" s="25"/>
      <c r="BG332" s="13"/>
      <c r="BJ332" s="114"/>
    </row>
    <row r="333" spans="1:62" ht="20.100000000000001" customHeight="1" x14ac:dyDescent="0.4">
      <c r="A333" s="117"/>
      <c r="B333" s="123"/>
      <c r="C333" s="123"/>
      <c r="D333" s="123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26"/>
      <c r="X333" s="13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25"/>
      <c r="AI333" s="13"/>
      <c r="AN333" s="116"/>
      <c r="AO333" s="123"/>
      <c r="AP333" s="123"/>
      <c r="AQ333" s="123"/>
      <c r="AV333" s="115"/>
      <c r="AW333" s="115"/>
      <c r="AX333" s="115"/>
      <c r="AY333" s="115"/>
      <c r="AZ333" s="115"/>
      <c r="BA333" s="115"/>
      <c r="BB333" s="115"/>
      <c r="BC333" s="115"/>
      <c r="BD333" s="115"/>
      <c r="BE333" s="115"/>
      <c r="BF333" s="25"/>
      <c r="BG333" s="13"/>
      <c r="BJ333" s="114"/>
    </row>
    <row r="334" spans="1:62" ht="20.100000000000001" customHeight="1" x14ac:dyDescent="0.4">
      <c r="A334" s="117"/>
      <c r="B334" s="123"/>
      <c r="C334" s="123"/>
      <c r="D334" s="123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7"/>
      <c r="X334" s="13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25"/>
      <c r="AI334" s="13"/>
      <c r="AN334" s="116"/>
      <c r="AO334" s="123"/>
      <c r="AP334" s="123"/>
      <c r="AQ334" s="123"/>
      <c r="AV334" s="115"/>
      <c r="AW334" s="115"/>
      <c r="AX334" s="115"/>
      <c r="AY334" s="115"/>
      <c r="AZ334" s="115"/>
      <c r="BA334" s="115"/>
      <c r="BB334" s="115"/>
      <c r="BC334" s="115"/>
      <c r="BD334" s="115"/>
      <c r="BE334" s="115"/>
      <c r="BF334" s="25"/>
      <c r="BG334" s="13"/>
      <c r="BJ334" s="114"/>
    </row>
    <row r="335" spans="1:62" ht="20.100000000000001" customHeight="1" x14ac:dyDescent="0.4">
      <c r="A335" s="117"/>
      <c r="B335" s="123"/>
      <c r="C335" s="123"/>
      <c r="D335" s="123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26"/>
      <c r="X335" s="13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25"/>
      <c r="AI335" s="13"/>
      <c r="AN335" s="116"/>
      <c r="AO335" s="123"/>
      <c r="AP335" s="123"/>
      <c r="AQ335" s="123"/>
      <c r="AV335" s="115"/>
      <c r="AW335" s="115"/>
      <c r="AX335" s="115"/>
      <c r="AY335" s="115"/>
      <c r="AZ335" s="115"/>
      <c r="BA335" s="115"/>
      <c r="BB335" s="115"/>
      <c r="BC335" s="115"/>
      <c r="BD335" s="115"/>
      <c r="BE335" s="115"/>
      <c r="BF335" s="25"/>
      <c r="BG335" s="13"/>
      <c r="BJ335" s="114"/>
    </row>
    <row r="336" spans="1:62" ht="20.100000000000001" customHeight="1" x14ac:dyDescent="0.4">
      <c r="A336" s="117"/>
      <c r="B336" s="123"/>
      <c r="C336" s="123"/>
      <c r="D336" s="123"/>
      <c r="W336" s="26"/>
      <c r="X336" s="13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25">
        <v>45677</v>
      </c>
      <c r="AI336" s="13" t="s">
        <v>148</v>
      </c>
      <c r="AN336" s="116"/>
      <c r="AO336" s="123"/>
      <c r="AP336" s="123"/>
      <c r="AQ336" s="123"/>
      <c r="AV336" s="115"/>
      <c r="AW336" s="115"/>
      <c r="AX336" s="115"/>
      <c r="AY336" s="115"/>
      <c r="AZ336" s="115"/>
      <c r="BA336" s="115"/>
      <c r="BB336" s="115"/>
      <c r="BC336" s="115"/>
      <c r="BD336" s="115"/>
      <c r="BE336" s="115"/>
      <c r="BF336" s="25"/>
      <c r="BG336" s="13"/>
      <c r="BJ336" s="114"/>
    </row>
    <row r="337" spans="1:62" ht="19.5" x14ac:dyDescent="0.4">
      <c r="A337" s="117"/>
      <c r="B337" s="123"/>
      <c r="C337" s="123"/>
      <c r="D337" s="123"/>
      <c r="W337" s="26"/>
      <c r="X337" s="13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25"/>
      <c r="AI337" s="13"/>
      <c r="AN337" s="116"/>
      <c r="AO337" s="123"/>
      <c r="AP337" s="123"/>
      <c r="AQ337" s="123"/>
      <c r="AV337" s="115"/>
      <c r="AW337" s="115"/>
      <c r="AX337" s="115"/>
      <c r="AY337" s="115"/>
      <c r="AZ337" s="115"/>
      <c r="BA337" s="115"/>
      <c r="BB337" s="115"/>
      <c r="BC337" s="115"/>
      <c r="BD337" s="115"/>
      <c r="BE337" s="115"/>
      <c r="BF337" s="25"/>
      <c r="BG337" s="13"/>
      <c r="BJ337" s="114"/>
    </row>
    <row r="338" spans="1:62" ht="19.5" x14ac:dyDescent="0.4">
      <c r="A338" s="117"/>
      <c r="B338" s="123"/>
      <c r="C338" s="123"/>
      <c r="D338" s="123"/>
      <c r="O338" s="115"/>
      <c r="P338" s="115"/>
      <c r="Q338" s="115"/>
      <c r="R338" s="115"/>
      <c r="S338" s="115"/>
      <c r="T338" s="115"/>
      <c r="U338" s="115"/>
      <c r="V338" s="115"/>
      <c r="W338" s="17"/>
      <c r="X338" s="13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25"/>
      <c r="AI338" s="13"/>
      <c r="AN338" s="116"/>
      <c r="AO338" s="123"/>
      <c r="AP338" s="123"/>
      <c r="AQ338" s="123"/>
      <c r="AV338" s="115"/>
      <c r="AW338" s="115"/>
      <c r="AX338" s="115"/>
      <c r="AY338" s="115"/>
      <c r="AZ338" s="115"/>
      <c r="BA338" s="115"/>
      <c r="BB338" s="115"/>
      <c r="BC338" s="115"/>
      <c r="BD338" s="115"/>
      <c r="BE338" s="115"/>
      <c r="BF338" s="25"/>
      <c r="BG338" s="13"/>
      <c r="BJ338" s="114"/>
    </row>
    <row r="339" spans="1:62" ht="19.5" x14ac:dyDescent="0.4">
      <c r="A339" s="117"/>
      <c r="B339" s="123"/>
      <c r="C339" s="123"/>
      <c r="D339" s="123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26"/>
      <c r="X339" s="13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25"/>
      <c r="AI339" s="13"/>
      <c r="AN339" s="116"/>
      <c r="AO339" s="123"/>
      <c r="AP339" s="123"/>
      <c r="AQ339" s="123"/>
      <c r="AV339" s="115"/>
      <c r="AW339" s="115"/>
      <c r="AX339" s="115"/>
      <c r="AY339" s="115"/>
      <c r="AZ339" s="115"/>
      <c r="BA339" s="115"/>
      <c r="BB339" s="115"/>
      <c r="BC339" s="115"/>
      <c r="BD339" s="115"/>
      <c r="BE339" s="115"/>
      <c r="BF339" s="25"/>
      <c r="BG339" s="13"/>
      <c r="BJ339" s="114"/>
    </row>
    <row r="340" spans="1:62" ht="19.5" x14ac:dyDescent="0.4">
      <c r="A340" s="117"/>
      <c r="B340" s="123"/>
      <c r="C340" s="123"/>
      <c r="D340" s="123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7"/>
      <c r="X340" s="13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25"/>
      <c r="AI340" s="13"/>
      <c r="AN340" s="116"/>
      <c r="AO340" s="123"/>
      <c r="AP340" s="123"/>
      <c r="AQ340" s="123"/>
      <c r="AV340" s="115"/>
      <c r="AW340" s="115"/>
      <c r="AX340" s="115"/>
      <c r="AY340" s="115"/>
      <c r="AZ340" s="115"/>
      <c r="BA340" s="115"/>
      <c r="BB340" s="115"/>
      <c r="BC340" s="115"/>
      <c r="BD340" s="115"/>
      <c r="BE340" s="115"/>
      <c r="BF340" s="25"/>
      <c r="BG340" s="13"/>
      <c r="BJ340" s="114"/>
    </row>
    <row r="341" spans="1:62" ht="19.5" x14ac:dyDescent="0.4">
      <c r="A341" s="117"/>
      <c r="B341" s="123"/>
      <c r="C341" s="123"/>
      <c r="D341" s="123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26"/>
      <c r="X341" s="13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25"/>
      <c r="AI341" s="13"/>
      <c r="AN341" s="116"/>
      <c r="AO341" s="123"/>
      <c r="AP341" s="123"/>
      <c r="AQ341" s="123"/>
      <c r="AV341" s="115"/>
      <c r="AW341" s="115"/>
      <c r="AX341" s="115"/>
      <c r="AY341" s="115"/>
      <c r="AZ341" s="115"/>
      <c r="BA341" s="115"/>
      <c r="BB341" s="115"/>
      <c r="BC341" s="115"/>
      <c r="BD341" s="115"/>
      <c r="BE341" s="115"/>
      <c r="BF341" s="25"/>
      <c r="BG341" s="13"/>
      <c r="BJ341" s="114"/>
    </row>
    <row r="342" spans="1:62" ht="19.5" x14ac:dyDescent="0.4">
      <c r="A342" s="117"/>
      <c r="B342" s="123"/>
      <c r="C342" s="123"/>
      <c r="D342" s="123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7"/>
      <c r="X342" s="13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25"/>
      <c r="AI342" s="13"/>
      <c r="AN342" s="116"/>
      <c r="AO342" s="123"/>
      <c r="AP342" s="123"/>
      <c r="AQ342" s="123"/>
      <c r="AV342" s="115"/>
      <c r="AW342" s="115"/>
      <c r="AX342" s="115"/>
      <c r="AY342" s="115"/>
      <c r="AZ342" s="115"/>
      <c r="BA342" s="115"/>
      <c r="BB342" s="115"/>
      <c r="BC342" s="115"/>
      <c r="BD342" s="115"/>
      <c r="BE342" s="115"/>
      <c r="BF342" s="25"/>
      <c r="BG342" s="13"/>
      <c r="BJ342" s="114"/>
    </row>
    <row r="343" spans="1:62" ht="19.5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26"/>
      <c r="X343" s="13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25"/>
      <c r="AI343" s="13"/>
      <c r="AN343" s="116"/>
      <c r="AO343" s="123"/>
      <c r="AP343" s="123"/>
      <c r="AQ343" s="123"/>
      <c r="AV343" s="115"/>
      <c r="AW343" s="115"/>
      <c r="AX343" s="115"/>
      <c r="AY343" s="115"/>
      <c r="AZ343" s="115"/>
      <c r="BA343" s="115"/>
      <c r="BB343" s="115"/>
      <c r="BC343" s="115"/>
      <c r="BD343" s="115"/>
      <c r="BE343" s="115"/>
      <c r="BF343" s="25"/>
      <c r="BG343" s="13"/>
      <c r="BJ343" s="114"/>
    </row>
    <row r="344" spans="1:62" ht="19.5" x14ac:dyDescent="0.4">
      <c r="A344" s="117"/>
      <c r="B344" s="123"/>
      <c r="C344" s="123"/>
      <c r="D344" s="123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26"/>
      <c r="X344" s="13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25"/>
      <c r="AI344" s="13"/>
      <c r="AN344" s="116"/>
      <c r="AO344" s="123"/>
      <c r="AP344" s="123"/>
      <c r="AQ344" s="123"/>
      <c r="AV344" s="115"/>
      <c r="AW344" s="115"/>
      <c r="AX344" s="115"/>
      <c r="AY344" s="115"/>
      <c r="AZ344" s="115"/>
      <c r="BA344" s="115"/>
      <c r="BB344" s="115"/>
      <c r="BC344" s="115"/>
      <c r="BD344" s="115"/>
      <c r="BE344" s="115"/>
      <c r="BF344" s="25"/>
      <c r="BG344" s="13"/>
      <c r="BJ344" s="114"/>
    </row>
    <row r="345" spans="1:62" ht="19.5" x14ac:dyDescent="0.4">
      <c r="A345" s="117"/>
      <c r="B345" s="123"/>
      <c r="C345" s="123"/>
      <c r="D345" s="123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26"/>
      <c r="X345" s="13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25"/>
      <c r="AI345" s="13"/>
      <c r="AN345" s="116"/>
      <c r="AO345" s="123"/>
      <c r="AP345" s="123"/>
      <c r="AQ345" s="123"/>
      <c r="AV345" s="115"/>
      <c r="AW345" s="115"/>
      <c r="AX345" s="115"/>
      <c r="AY345" s="115"/>
      <c r="AZ345" s="115"/>
      <c r="BA345" s="115"/>
      <c r="BB345" s="115"/>
      <c r="BC345" s="115"/>
      <c r="BD345" s="115"/>
      <c r="BE345" s="115"/>
      <c r="BF345" s="25"/>
      <c r="BG345" s="13"/>
      <c r="BJ345" s="114"/>
    </row>
    <row r="346" spans="1:62" ht="19.5" x14ac:dyDescent="0.4">
      <c r="A346" s="117"/>
      <c r="B346" s="123"/>
      <c r="C346" s="123"/>
      <c r="D346" s="123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7"/>
      <c r="X346" s="13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25"/>
      <c r="AI346" s="13"/>
      <c r="AN346" s="116"/>
      <c r="AO346" s="123"/>
      <c r="AP346" s="123"/>
      <c r="AQ346" s="123"/>
      <c r="AV346" s="115"/>
      <c r="AW346" s="115"/>
      <c r="AX346" s="115"/>
      <c r="AY346" s="115"/>
      <c r="AZ346" s="115"/>
      <c r="BA346" s="115"/>
      <c r="BB346" s="115"/>
      <c r="BC346" s="115"/>
      <c r="BD346" s="115"/>
      <c r="BE346" s="115"/>
      <c r="BF346" s="25"/>
      <c r="BG346" s="13"/>
      <c r="BJ346" s="114"/>
    </row>
    <row r="347" spans="1:62" ht="19.5" x14ac:dyDescent="0.4">
      <c r="A347" s="117"/>
      <c r="B347" s="123"/>
      <c r="C347" s="123"/>
      <c r="D347" s="123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26"/>
      <c r="X347" s="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25"/>
      <c r="AI347" s="13"/>
      <c r="AN347" s="116"/>
      <c r="AO347" s="123"/>
      <c r="AP347" s="123"/>
      <c r="AQ347" s="123"/>
      <c r="AV347" s="115"/>
      <c r="AW347" s="115"/>
      <c r="AX347" s="115"/>
      <c r="AY347" s="115"/>
      <c r="AZ347" s="115"/>
      <c r="BA347" s="115"/>
      <c r="BB347" s="115"/>
      <c r="BC347" s="115"/>
      <c r="BD347" s="115"/>
      <c r="BE347" s="115"/>
      <c r="BF347" s="25"/>
      <c r="BG347" s="13"/>
      <c r="BJ347" s="114"/>
    </row>
    <row r="348" spans="1:62" ht="19.5" x14ac:dyDescent="0.4">
      <c r="A348" s="117"/>
      <c r="B348" s="123"/>
      <c r="C348" s="123"/>
      <c r="D348" s="123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7"/>
      <c r="X348" s="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25"/>
      <c r="AI348" s="13"/>
      <c r="AN348" s="116"/>
      <c r="AO348" s="123"/>
      <c r="AP348" s="123"/>
      <c r="AQ348" s="123"/>
      <c r="AV348" s="115"/>
      <c r="AW348" s="115"/>
      <c r="AX348" s="115"/>
      <c r="AY348" s="115"/>
      <c r="AZ348" s="115"/>
      <c r="BA348" s="115"/>
      <c r="BB348" s="115"/>
      <c r="BC348" s="115"/>
      <c r="BD348" s="115"/>
      <c r="BE348" s="115"/>
      <c r="BF348" s="25"/>
      <c r="BG348" s="13"/>
      <c r="BJ348" s="114"/>
    </row>
    <row r="349" spans="1:62" ht="19.5" x14ac:dyDescent="0.4">
      <c r="A349" s="117"/>
      <c r="B349" s="123"/>
      <c r="C349" s="123"/>
      <c r="D349" s="123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26"/>
      <c r="X349" s="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25"/>
      <c r="AI349" s="13"/>
      <c r="AN349" s="116"/>
      <c r="AO349" s="123"/>
      <c r="AP349" s="123"/>
      <c r="AQ349" s="123"/>
      <c r="AV349" s="115"/>
      <c r="AW349" s="115"/>
      <c r="AX349" s="115"/>
      <c r="AY349" s="115"/>
      <c r="AZ349" s="115"/>
      <c r="BA349" s="115"/>
      <c r="BB349" s="115"/>
      <c r="BC349" s="115"/>
      <c r="BD349" s="115"/>
      <c r="BE349" s="115"/>
      <c r="BF349" s="25"/>
      <c r="BG349" s="13"/>
      <c r="BJ349" s="114"/>
    </row>
    <row r="350" spans="1:62" ht="19.5" x14ac:dyDescent="0.4">
      <c r="A350" s="117"/>
      <c r="B350" s="123"/>
      <c r="C350" s="123"/>
      <c r="D350" s="123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7"/>
      <c r="X350" s="13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25"/>
      <c r="AI350" s="13"/>
      <c r="AN350" s="116"/>
      <c r="AO350" s="123"/>
      <c r="AP350" s="123"/>
      <c r="AQ350" s="123"/>
      <c r="AV350" s="115"/>
      <c r="AW350" s="115"/>
      <c r="AX350" s="115"/>
      <c r="AY350" s="115"/>
      <c r="AZ350" s="115"/>
      <c r="BA350" s="115"/>
      <c r="BB350" s="115"/>
      <c r="BC350" s="115"/>
      <c r="BD350" s="115"/>
      <c r="BE350" s="115"/>
      <c r="BF350" s="25"/>
      <c r="BG350" s="13"/>
      <c r="BJ350" s="114"/>
    </row>
    <row r="351" spans="1:62" ht="19.5" x14ac:dyDescent="0.4">
      <c r="A351" s="117"/>
      <c r="B351" s="123"/>
      <c r="C351" s="123"/>
      <c r="D351" s="123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7"/>
      <c r="X351" s="13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25"/>
      <c r="AI351" s="13"/>
      <c r="AN351" s="116"/>
      <c r="AO351" s="123"/>
      <c r="AP351" s="123"/>
      <c r="AQ351" s="123"/>
      <c r="AV351" s="115"/>
      <c r="AW351" s="115"/>
      <c r="AX351" s="115"/>
      <c r="AY351" s="115"/>
      <c r="AZ351" s="115"/>
      <c r="BA351" s="115"/>
      <c r="BB351" s="115"/>
      <c r="BC351" s="115"/>
      <c r="BD351" s="115"/>
      <c r="BE351" s="115"/>
      <c r="BF351" s="25"/>
      <c r="BG351" s="13"/>
      <c r="BJ351" s="114"/>
    </row>
    <row r="352" spans="1:62" ht="19.5" x14ac:dyDescent="0.4">
      <c r="A352" s="117"/>
      <c r="B352" s="123"/>
      <c r="C352" s="123"/>
      <c r="D352" s="123"/>
      <c r="W352" s="26"/>
      <c r="X352" s="13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25">
        <v>45677</v>
      </c>
      <c r="AI352" s="13" t="s">
        <v>146</v>
      </c>
      <c r="AN352" s="116"/>
      <c r="AO352" s="123"/>
      <c r="AP352" s="123"/>
      <c r="AQ352" s="123"/>
      <c r="AV352" s="115"/>
      <c r="AW352" s="115"/>
      <c r="AX352" s="115"/>
      <c r="AY352" s="115"/>
      <c r="AZ352" s="115"/>
      <c r="BA352" s="115"/>
      <c r="BB352" s="115"/>
      <c r="BC352" s="115"/>
      <c r="BD352" s="115"/>
      <c r="BE352" s="115"/>
      <c r="BF352" s="25"/>
      <c r="BG352" s="13"/>
      <c r="BJ352" s="114"/>
    </row>
    <row r="353" spans="1:62" ht="19.5" x14ac:dyDescent="0.4">
      <c r="A353" s="117"/>
      <c r="B353" s="123"/>
      <c r="C353" s="123"/>
      <c r="D353" s="123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26"/>
      <c r="X353" s="13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25"/>
      <c r="AI353" s="13"/>
      <c r="AN353" s="116"/>
      <c r="AO353" s="123"/>
      <c r="AP353" s="123"/>
      <c r="AQ353" s="123"/>
      <c r="AV353" s="115"/>
      <c r="AW353" s="115"/>
      <c r="AX353" s="115"/>
      <c r="AY353" s="115"/>
      <c r="AZ353" s="115"/>
      <c r="BA353" s="115"/>
      <c r="BB353" s="115"/>
      <c r="BC353" s="115"/>
      <c r="BD353" s="115"/>
      <c r="BE353" s="115"/>
      <c r="BF353" s="25"/>
      <c r="BG353" s="13"/>
      <c r="BJ353" s="114"/>
    </row>
    <row r="354" spans="1:62" ht="19.5" x14ac:dyDescent="0.4">
      <c r="A354" s="117"/>
      <c r="B354" s="123"/>
      <c r="C354" s="123"/>
      <c r="D354" s="123"/>
      <c r="W354" s="26"/>
      <c r="X354" s="13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25"/>
      <c r="AI354" s="13"/>
      <c r="AN354" s="116"/>
      <c r="AO354" s="123"/>
      <c r="AP354" s="123"/>
      <c r="AQ354" s="123"/>
      <c r="AV354" s="115"/>
      <c r="AW354" s="115"/>
      <c r="AX354" s="115"/>
      <c r="AY354" s="115"/>
      <c r="AZ354" s="115"/>
      <c r="BA354" s="115"/>
      <c r="BB354" s="115"/>
      <c r="BC354" s="115"/>
      <c r="BD354" s="115"/>
      <c r="BE354" s="115"/>
      <c r="BF354" s="25"/>
      <c r="BG354" s="13"/>
      <c r="BJ354" s="114"/>
    </row>
    <row r="355" spans="1:62" ht="19.5" x14ac:dyDescent="0.4">
      <c r="A355" s="117"/>
      <c r="B355" s="123"/>
      <c r="C355" s="123"/>
      <c r="D355" s="123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26"/>
      <c r="X355" s="13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25"/>
      <c r="AI355" s="13"/>
      <c r="AN355" s="116"/>
      <c r="AO355" s="123"/>
      <c r="AP355" s="123"/>
      <c r="AQ355" s="123"/>
      <c r="AV355" s="115"/>
      <c r="AW355" s="115"/>
      <c r="AX355" s="115"/>
      <c r="AY355" s="115"/>
      <c r="AZ355" s="115"/>
      <c r="BA355" s="115"/>
      <c r="BB355" s="115"/>
      <c r="BC355" s="115"/>
      <c r="BD355" s="115"/>
      <c r="BE355" s="115"/>
      <c r="BF355" s="25"/>
      <c r="BG355" s="13"/>
      <c r="BJ355" s="114"/>
    </row>
    <row r="356" spans="1:62" ht="19.5" x14ac:dyDescent="0.4">
      <c r="A356" s="117"/>
      <c r="B356" s="123"/>
      <c r="C356" s="123"/>
      <c r="D356" s="123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26"/>
      <c r="X356" s="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25"/>
      <c r="AI356" s="13"/>
      <c r="AN356" s="116"/>
      <c r="AO356" s="123"/>
      <c r="AP356" s="123"/>
      <c r="AQ356" s="123"/>
      <c r="AV356" s="115"/>
      <c r="AW356" s="115"/>
      <c r="AX356" s="115"/>
      <c r="AY356" s="115"/>
      <c r="AZ356" s="115"/>
      <c r="BA356" s="115"/>
      <c r="BB356" s="115"/>
      <c r="BC356" s="115"/>
      <c r="BD356" s="115"/>
      <c r="BE356" s="115"/>
      <c r="BF356" s="25"/>
      <c r="BG356" s="13"/>
      <c r="BJ356" s="114"/>
    </row>
    <row r="357" spans="1:62" ht="19.5" x14ac:dyDescent="0.4">
      <c r="A357" s="117"/>
      <c r="B357" s="123"/>
      <c r="C357" s="123"/>
      <c r="D357" s="123"/>
      <c r="W357" s="26"/>
      <c r="X357" s="13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25"/>
      <c r="AI357" s="13"/>
      <c r="AN357" s="116"/>
      <c r="AO357" s="123"/>
      <c r="AP357" s="123"/>
      <c r="AQ357" s="123"/>
      <c r="AV357" s="115"/>
      <c r="AW357" s="115"/>
      <c r="AX357" s="115"/>
      <c r="AY357" s="115"/>
      <c r="AZ357" s="115"/>
      <c r="BA357" s="115"/>
      <c r="BB357" s="115"/>
      <c r="BC357" s="115"/>
      <c r="BD357" s="115"/>
      <c r="BE357" s="115"/>
      <c r="BF357" s="25"/>
      <c r="BG357" s="13"/>
      <c r="BJ357" s="114"/>
    </row>
    <row r="358" spans="1:62" ht="19.5" x14ac:dyDescent="0.4">
      <c r="A358" s="117"/>
      <c r="B358" s="123"/>
      <c r="C358" s="123"/>
      <c r="D358" s="123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26"/>
      <c r="X358" s="13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25"/>
      <c r="AI358" s="13"/>
      <c r="AN358" s="116"/>
      <c r="AO358" s="123"/>
      <c r="AP358" s="123"/>
      <c r="AQ358" s="123"/>
      <c r="AV358" s="115"/>
      <c r="AW358" s="115"/>
      <c r="AX358" s="115"/>
      <c r="AY358" s="115"/>
      <c r="AZ358" s="115"/>
      <c r="BA358" s="115"/>
      <c r="BB358" s="115"/>
      <c r="BC358" s="115"/>
      <c r="BD358" s="115"/>
      <c r="BE358" s="115"/>
      <c r="BF358" s="25"/>
      <c r="BG358" s="13"/>
      <c r="BJ358" s="114"/>
    </row>
    <row r="359" spans="1:6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26"/>
      <c r="X359" s="13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25"/>
      <c r="AI359" s="13"/>
      <c r="AN359" s="116"/>
      <c r="AO359" s="123"/>
      <c r="AP359" s="123"/>
      <c r="AQ359" s="123"/>
      <c r="AV359" s="115"/>
      <c r="AW359" s="115"/>
      <c r="AX359" s="115"/>
      <c r="AY359" s="115"/>
      <c r="AZ359" s="115"/>
      <c r="BA359" s="115"/>
      <c r="BB359" s="115"/>
      <c r="BC359" s="115"/>
      <c r="BD359" s="115"/>
      <c r="BE359" s="115"/>
      <c r="BF359" s="25"/>
      <c r="BG359" s="13"/>
      <c r="BJ359" s="114"/>
    </row>
    <row r="360" spans="1:6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26"/>
      <c r="X360" s="13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25"/>
      <c r="AI360" s="13"/>
      <c r="AN360" s="116"/>
      <c r="AO360" s="123"/>
      <c r="AP360" s="123"/>
      <c r="AQ360" s="123"/>
      <c r="AV360" s="115"/>
      <c r="AW360" s="115"/>
      <c r="AX360" s="115"/>
      <c r="AY360" s="115"/>
      <c r="AZ360" s="115"/>
      <c r="BA360" s="115"/>
      <c r="BB360" s="115"/>
      <c r="BC360" s="115"/>
      <c r="BD360" s="115"/>
      <c r="BE360" s="115"/>
      <c r="BF360" s="25"/>
      <c r="BG360" s="13"/>
      <c r="BJ360" s="114"/>
    </row>
    <row r="361" spans="1:6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7"/>
      <c r="X361" s="13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25"/>
      <c r="AI361" s="13"/>
      <c r="AN361" s="116"/>
      <c r="AO361" s="123"/>
      <c r="AP361" s="123"/>
      <c r="AQ361" s="123"/>
      <c r="AV361" s="115"/>
      <c r="AW361" s="115"/>
      <c r="AX361" s="115"/>
      <c r="AY361" s="115"/>
      <c r="AZ361" s="115"/>
      <c r="BA361" s="115"/>
      <c r="BB361" s="115"/>
      <c r="BC361" s="115"/>
      <c r="BD361" s="115"/>
      <c r="BE361" s="115"/>
      <c r="BF361" s="25"/>
      <c r="BG361" s="13"/>
      <c r="BJ361" s="114"/>
    </row>
    <row r="362" spans="1:62" ht="19.5" x14ac:dyDescent="0.4">
      <c r="A362" s="117"/>
      <c r="B362" s="123"/>
      <c r="C362" s="123"/>
      <c r="D362" s="123"/>
      <c r="W362" s="26"/>
      <c r="X362" s="13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25">
        <v>45677</v>
      </c>
      <c r="AI362" s="13" t="s">
        <v>147</v>
      </c>
      <c r="AN362" s="116"/>
      <c r="AO362" s="123"/>
      <c r="AP362" s="123"/>
      <c r="AQ362" s="123"/>
      <c r="AV362" s="115"/>
      <c r="AW362" s="115"/>
      <c r="AX362" s="115"/>
      <c r="AY362" s="115"/>
      <c r="AZ362" s="115"/>
      <c r="BA362" s="115"/>
      <c r="BB362" s="115"/>
      <c r="BC362" s="115"/>
      <c r="BD362" s="115"/>
      <c r="BE362" s="115"/>
      <c r="BF362" s="25"/>
      <c r="BG362" s="13"/>
      <c r="BJ362" s="114"/>
    </row>
    <row r="363" spans="1:62" ht="19.5" x14ac:dyDescent="0.4">
      <c r="A363" s="117"/>
      <c r="B363" s="123"/>
      <c r="C363" s="123"/>
      <c r="D363" s="123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26"/>
      <c r="X363" s="13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25"/>
      <c r="AI363" s="13"/>
      <c r="AN363" s="116"/>
      <c r="AO363" s="123"/>
      <c r="AP363" s="123"/>
      <c r="AQ363" s="123"/>
      <c r="AV363" s="115"/>
      <c r="AW363" s="115"/>
      <c r="AX363" s="115"/>
      <c r="AY363" s="115"/>
      <c r="AZ363" s="115"/>
      <c r="BA363" s="115"/>
      <c r="BB363" s="115"/>
      <c r="BC363" s="115"/>
      <c r="BD363" s="115"/>
      <c r="BE363" s="115"/>
      <c r="BF363" s="25"/>
      <c r="BG363" s="13"/>
      <c r="BJ363" s="114"/>
    </row>
    <row r="364" spans="1:62" ht="19.5" x14ac:dyDescent="0.4">
      <c r="A364" s="117"/>
      <c r="B364" s="123"/>
      <c r="C364" s="123"/>
      <c r="D364" s="123"/>
      <c r="W364" s="26"/>
      <c r="X364" s="13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25">
        <v>45677</v>
      </c>
      <c r="AI364" s="25" t="s">
        <v>147</v>
      </c>
      <c r="AN364" s="116"/>
      <c r="AO364" s="123"/>
      <c r="AP364" s="123"/>
      <c r="AQ364" s="123"/>
      <c r="AV364" s="115"/>
      <c r="AW364" s="115"/>
      <c r="AX364" s="115"/>
      <c r="AY364" s="115"/>
      <c r="AZ364" s="115"/>
      <c r="BA364" s="115"/>
      <c r="BB364" s="115"/>
      <c r="BC364" s="115"/>
      <c r="BD364" s="115"/>
      <c r="BE364" s="115"/>
      <c r="BF364" s="25"/>
      <c r="BG364" s="13"/>
      <c r="BJ364" s="114"/>
    </row>
    <row r="365" spans="1:62" ht="19.5" x14ac:dyDescent="0.4">
      <c r="A365" s="117"/>
      <c r="B365" s="123"/>
      <c r="C365" s="123"/>
      <c r="D365" s="123"/>
      <c r="W365" s="26"/>
      <c r="X365" s="13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25"/>
      <c r="AI365" s="25"/>
      <c r="AN365" s="116"/>
      <c r="AO365" s="123"/>
      <c r="AP365" s="123"/>
      <c r="AQ365" s="123"/>
      <c r="AV365" s="115"/>
      <c r="AW365" s="115"/>
      <c r="AX365" s="115"/>
      <c r="AY365" s="115"/>
      <c r="AZ365" s="115"/>
      <c r="BA365" s="115"/>
      <c r="BB365" s="115"/>
      <c r="BC365" s="115"/>
      <c r="BD365" s="115"/>
      <c r="BE365" s="115"/>
      <c r="BF365" s="25"/>
      <c r="BG365" s="13"/>
      <c r="BJ365" s="114"/>
    </row>
    <row r="366" spans="1:62" ht="19.5" x14ac:dyDescent="0.4">
      <c r="A366" s="117"/>
      <c r="B366" s="123"/>
      <c r="C366" s="123"/>
      <c r="D366" s="123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26"/>
      <c r="X366" s="13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25"/>
      <c r="AI366" s="25"/>
      <c r="AN366" s="116"/>
      <c r="AO366" s="123"/>
      <c r="AP366" s="123"/>
      <c r="AQ366" s="123"/>
      <c r="AV366" s="115"/>
      <c r="AW366" s="115"/>
      <c r="AX366" s="115"/>
      <c r="AY366" s="115"/>
      <c r="AZ366" s="115"/>
      <c r="BA366" s="115"/>
      <c r="BB366" s="115"/>
      <c r="BC366" s="115"/>
      <c r="BD366" s="115"/>
      <c r="BE366" s="115"/>
      <c r="BF366" s="25"/>
      <c r="BG366" s="13"/>
      <c r="BJ366" s="114"/>
    </row>
    <row r="367" spans="1:62" ht="19.5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26"/>
      <c r="X367" s="13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25"/>
      <c r="AI367" s="25"/>
      <c r="AN367" s="116"/>
      <c r="AO367" s="123"/>
      <c r="AP367" s="123"/>
      <c r="AQ367" s="123"/>
      <c r="AV367" s="115"/>
      <c r="AW367" s="115"/>
      <c r="AX367" s="115"/>
      <c r="AY367" s="115"/>
      <c r="AZ367" s="115"/>
      <c r="BA367" s="115"/>
      <c r="BB367" s="115"/>
      <c r="BC367" s="115"/>
      <c r="BD367" s="115"/>
      <c r="BE367" s="115"/>
      <c r="BF367" s="25"/>
      <c r="BG367" s="13"/>
      <c r="BJ367" s="114"/>
    </row>
    <row r="368" spans="1:62" ht="19.5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26"/>
      <c r="X368" s="13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25"/>
      <c r="AI368" s="25"/>
      <c r="AN368" s="116"/>
      <c r="AO368" s="123"/>
      <c r="AP368" s="123"/>
      <c r="AQ368" s="123"/>
      <c r="AV368" s="115"/>
      <c r="AW368" s="115"/>
      <c r="AX368" s="115"/>
      <c r="AY368" s="115"/>
      <c r="AZ368" s="115"/>
      <c r="BA368" s="115"/>
      <c r="BB368" s="115"/>
      <c r="BC368" s="115"/>
      <c r="BD368" s="115"/>
      <c r="BE368" s="115"/>
      <c r="BF368" s="25"/>
      <c r="BG368" s="13"/>
      <c r="BJ368" s="114"/>
    </row>
    <row r="369" spans="1:62" ht="19.5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7"/>
      <c r="X369" s="13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25"/>
      <c r="AI369" s="25"/>
      <c r="AN369" s="116"/>
      <c r="AO369" s="123"/>
      <c r="AP369" s="123"/>
      <c r="AQ369" s="123"/>
      <c r="AV369" s="115"/>
      <c r="AW369" s="115"/>
      <c r="AX369" s="115"/>
      <c r="AY369" s="115"/>
      <c r="AZ369" s="115"/>
      <c r="BA369" s="115"/>
      <c r="BB369" s="115"/>
      <c r="BC369" s="115"/>
      <c r="BD369" s="115"/>
      <c r="BE369" s="115"/>
      <c r="BF369" s="25"/>
      <c r="BG369" s="13"/>
      <c r="BJ369" s="114"/>
    </row>
    <row r="370" spans="1:62" ht="19.5" x14ac:dyDescent="0.4">
      <c r="A370" s="117"/>
      <c r="B370" s="123"/>
      <c r="C370" s="123"/>
      <c r="D370" s="123"/>
      <c r="W370" s="26"/>
      <c r="X370" s="13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25">
        <v>45678</v>
      </c>
      <c r="AI370" s="13" t="s">
        <v>147</v>
      </c>
      <c r="AN370" s="116"/>
      <c r="AO370" s="123"/>
      <c r="AP370" s="123"/>
      <c r="AQ370" s="123"/>
      <c r="AV370" s="115"/>
      <c r="AW370" s="115"/>
      <c r="AX370" s="115"/>
      <c r="AY370" s="115"/>
      <c r="AZ370" s="115"/>
      <c r="BA370" s="115"/>
      <c r="BB370" s="115"/>
      <c r="BC370" s="115"/>
      <c r="BD370" s="115"/>
      <c r="BE370" s="115"/>
      <c r="BF370" s="25"/>
      <c r="BG370" s="13"/>
      <c r="BJ370" s="114"/>
    </row>
    <row r="371" spans="1:6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26"/>
      <c r="X371" s="13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25"/>
      <c r="AI371" s="13"/>
      <c r="AN371" s="116"/>
      <c r="AO371" s="123"/>
      <c r="AP371" s="123"/>
      <c r="AQ371" s="123"/>
      <c r="AV371" s="115"/>
      <c r="AW371" s="115"/>
      <c r="AX371" s="115"/>
      <c r="AY371" s="115"/>
      <c r="AZ371" s="115"/>
      <c r="BA371" s="115"/>
      <c r="BB371" s="115"/>
      <c r="BC371" s="115"/>
      <c r="BD371" s="115"/>
      <c r="BE371" s="115"/>
      <c r="BF371" s="25"/>
      <c r="BG371" s="13"/>
      <c r="BJ371" s="114"/>
    </row>
    <row r="372" spans="1:62" ht="19.5" x14ac:dyDescent="0.4">
      <c r="A372" s="117"/>
      <c r="B372" s="123"/>
      <c r="C372" s="123"/>
      <c r="D372" s="123"/>
      <c r="W372" s="26"/>
      <c r="X372" s="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25">
        <v>45678</v>
      </c>
      <c r="AI372" s="13" t="s">
        <v>146</v>
      </c>
      <c r="AN372" s="116"/>
      <c r="AO372" s="123"/>
      <c r="AP372" s="123"/>
      <c r="AQ372" s="123"/>
      <c r="AV372" s="115"/>
      <c r="AW372" s="115"/>
      <c r="AX372" s="115"/>
      <c r="AY372" s="115"/>
      <c r="AZ372" s="115"/>
      <c r="BA372" s="115"/>
      <c r="BB372" s="115"/>
      <c r="BC372" s="115"/>
      <c r="BD372" s="115"/>
      <c r="BE372" s="115"/>
      <c r="BF372" s="25"/>
      <c r="BG372" s="13"/>
      <c r="BJ372" s="114"/>
    </row>
    <row r="373" spans="1:62" ht="19.5" x14ac:dyDescent="0.4">
      <c r="A373" s="117"/>
      <c r="B373" s="123"/>
      <c r="C373" s="123"/>
      <c r="D373" s="123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26"/>
      <c r="X373" s="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25"/>
      <c r="AI373" s="13"/>
      <c r="AN373" s="116"/>
      <c r="AO373" s="123"/>
      <c r="AP373" s="123"/>
      <c r="AQ373" s="123"/>
      <c r="AV373" s="115"/>
      <c r="AW373" s="115"/>
      <c r="AX373" s="115"/>
      <c r="AY373" s="115"/>
      <c r="AZ373" s="115"/>
      <c r="BA373" s="115"/>
      <c r="BB373" s="115"/>
      <c r="BC373" s="115"/>
      <c r="BD373" s="115"/>
      <c r="BE373" s="115"/>
      <c r="BF373" s="25"/>
      <c r="BG373" s="13"/>
      <c r="BJ373" s="114"/>
    </row>
    <row r="374" spans="1:62" ht="19.5" x14ac:dyDescent="0.4">
      <c r="A374" s="117"/>
      <c r="B374" s="123"/>
      <c r="C374" s="123"/>
      <c r="D374" s="123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26"/>
      <c r="X374" s="13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25"/>
      <c r="AI374" s="13"/>
      <c r="AN374" s="116"/>
      <c r="AO374" s="123"/>
      <c r="AP374" s="123"/>
      <c r="AQ374" s="123"/>
      <c r="AV374" s="115"/>
      <c r="AW374" s="115"/>
      <c r="AX374" s="115"/>
      <c r="AY374" s="115"/>
      <c r="AZ374" s="115"/>
      <c r="BA374" s="115"/>
      <c r="BB374" s="115"/>
      <c r="BC374" s="115"/>
      <c r="BD374" s="115"/>
      <c r="BE374" s="115"/>
      <c r="BF374" s="25"/>
      <c r="BG374" s="13"/>
      <c r="BJ374" s="114"/>
    </row>
    <row r="375" spans="1:62" ht="19.5" x14ac:dyDescent="0.4">
      <c r="A375" s="117"/>
      <c r="B375" s="123"/>
      <c r="C375" s="123"/>
      <c r="D375" s="123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26"/>
      <c r="X375" s="13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25"/>
      <c r="AI375" s="13"/>
      <c r="AN375" s="116"/>
      <c r="AO375" s="123"/>
      <c r="AP375" s="123"/>
      <c r="AQ375" s="123"/>
      <c r="AV375" s="115"/>
      <c r="AW375" s="115"/>
      <c r="AX375" s="115"/>
      <c r="AY375" s="115"/>
      <c r="AZ375" s="115"/>
      <c r="BA375" s="115"/>
      <c r="BB375" s="115"/>
      <c r="BC375" s="115"/>
      <c r="BD375" s="115"/>
      <c r="BE375" s="115"/>
      <c r="BF375" s="25"/>
      <c r="BG375" s="13"/>
      <c r="BJ375" s="114"/>
    </row>
    <row r="376" spans="1:62" ht="19.5" x14ac:dyDescent="0.4">
      <c r="A376" s="117"/>
      <c r="B376" s="123"/>
      <c r="C376" s="123"/>
      <c r="D376" s="123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26"/>
      <c r="X376" s="13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25"/>
      <c r="AI376" s="13"/>
      <c r="AN376" s="116"/>
      <c r="AO376" s="123"/>
      <c r="AP376" s="123"/>
      <c r="AQ376" s="123"/>
      <c r="AV376" s="115"/>
      <c r="AW376" s="115"/>
      <c r="AX376" s="115"/>
      <c r="AY376" s="115"/>
      <c r="AZ376" s="115"/>
      <c r="BA376" s="115"/>
      <c r="BB376" s="115"/>
      <c r="BC376" s="115"/>
      <c r="BD376" s="115"/>
      <c r="BE376" s="115"/>
      <c r="BF376" s="25"/>
      <c r="BG376" s="13"/>
      <c r="BJ376" s="114"/>
    </row>
    <row r="377" spans="1:62" ht="19.5" x14ac:dyDescent="0.4">
      <c r="A377" s="117"/>
      <c r="B377" s="123"/>
      <c r="C377" s="123"/>
      <c r="D377" s="123"/>
      <c r="W377" s="26"/>
      <c r="X377" s="13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25">
        <v>45678</v>
      </c>
      <c r="AI377" s="13" t="s">
        <v>148</v>
      </c>
      <c r="AN377" s="116"/>
      <c r="AO377" s="123"/>
      <c r="AP377" s="123"/>
      <c r="AQ377" s="123"/>
      <c r="AV377" s="115"/>
      <c r="AW377" s="115"/>
      <c r="AX377" s="115"/>
      <c r="AY377" s="115"/>
      <c r="AZ377" s="115"/>
      <c r="BA377" s="115"/>
      <c r="BB377" s="115"/>
      <c r="BC377" s="115"/>
      <c r="BD377" s="115"/>
      <c r="BE377" s="115"/>
      <c r="BF377" s="25"/>
      <c r="BG377" s="13"/>
      <c r="BJ377" s="114"/>
    </row>
    <row r="378" spans="1:62" ht="19.5" x14ac:dyDescent="0.4">
      <c r="A378" s="117"/>
      <c r="B378" s="123"/>
      <c r="C378" s="123"/>
      <c r="D378" s="123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26"/>
      <c r="X378" s="13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25"/>
      <c r="AI378" s="13"/>
      <c r="AN378" s="116"/>
      <c r="AO378" s="123"/>
      <c r="AP378" s="123"/>
      <c r="AQ378" s="123"/>
      <c r="AV378" s="115"/>
      <c r="AW378" s="115"/>
      <c r="AX378" s="115"/>
      <c r="AY378" s="115"/>
      <c r="AZ378" s="115"/>
      <c r="BA378" s="115"/>
      <c r="BB378" s="115"/>
      <c r="BC378" s="115"/>
      <c r="BD378" s="115"/>
      <c r="BE378" s="115"/>
      <c r="BF378" s="25"/>
      <c r="BG378" s="13"/>
      <c r="BJ378" s="114"/>
    </row>
    <row r="379" spans="1:62" ht="19.5" x14ac:dyDescent="0.4">
      <c r="A379" s="117"/>
      <c r="B379" s="123"/>
      <c r="C379" s="123"/>
      <c r="D379" s="123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7"/>
      <c r="X379" s="13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25"/>
      <c r="AI379" s="13"/>
      <c r="AN379" s="116"/>
      <c r="AO379" s="123"/>
      <c r="AP379" s="123"/>
      <c r="AQ379" s="123"/>
      <c r="AV379" s="115"/>
      <c r="AW379" s="115"/>
      <c r="AX379" s="115"/>
      <c r="AY379" s="115"/>
      <c r="AZ379" s="115"/>
      <c r="BA379" s="115"/>
      <c r="BB379" s="115"/>
      <c r="BC379" s="115"/>
      <c r="BD379" s="115"/>
      <c r="BE379" s="115"/>
      <c r="BF379" s="25"/>
      <c r="BG379" s="13"/>
      <c r="BJ379" s="114"/>
    </row>
    <row r="380" spans="1:62" ht="19.5" x14ac:dyDescent="0.4">
      <c r="A380" s="117"/>
      <c r="B380" s="123"/>
      <c r="C380" s="123"/>
      <c r="D380" s="123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26"/>
      <c r="X380" s="134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25"/>
      <c r="AI380" s="13"/>
      <c r="AN380" s="116"/>
      <c r="AO380" s="123"/>
      <c r="AP380" s="123"/>
      <c r="AQ380" s="123"/>
      <c r="AV380" s="115"/>
      <c r="AW380" s="115"/>
      <c r="AX380" s="115"/>
      <c r="AY380" s="115"/>
      <c r="AZ380" s="115"/>
      <c r="BA380" s="115"/>
      <c r="BB380" s="115"/>
      <c r="BC380" s="115"/>
      <c r="BD380" s="115"/>
      <c r="BE380" s="115"/>
      <c r="BF380" s="25"/>
      <c r="BG380" s="13"/>
      <c r="BJ380" s="114"/>
    </row>
    <row r="381" spans="1:62" ht="19.5" x14ac:dyDescent="0.4">
      <c r="A381" s="117"/>
      <c r="B381" s="123"/>
      <c r="C381" s="123"/>
      <c r="D381" s="123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26"/>
      <c r="X381" s="13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25"/>
      <c r="AI381" s="13"/>
      <c r="AN381" s="116"/>
      <c r="AO381" s="123"/>
      <c r="AP381" s="123"/>
      <c r="AQ381" s="123"/>
      <c r="AV381" s="115"/>
      <c r="AW381" s="115"/>
      <c r="AX381" s="115"/>
      <c r="AY381" s="115"/>
      <c r="AZ381" s="115"/>
      <c r="BA381" s="115"/>
      <c r="BB381" s="115"/>
      <c r="BC381" s="115"/>
      <c r="BD381" s="115"/>
      <c r="BE381" s="115"/>
      <c r="BF381" s="25"/>
      <c r="BG381" s="13"/>
      <c r="BJ381" s="114"/>
    </row>
    <row r="382" spans="1:62" ht="19.5" x14ac:dyDescent="0.4">
      <c r="A382" s="117"/>
      <c r="B382" s="123"/>
      <c r="C382" s="123"/>
      <c r="D382" s="123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26"/>
      <c r="X382" s="13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25"/>
      <c r="AI382" s="13"/>
      <c r="AN382" s="116"/>
      <c r="AO382" s="123"/>
      <c r="AP382" s="123"/>
      <c r="AQ382" s="123"/>
      <c r="AV382" s="115"/>
      <c r="AW382" s="115"/>
      <c r="AX382" s="115"/>
      <c r="AY382" s="115"/>
      <c r="AZ382" s="115"/>
      <c r="BA382" s="115"/>
      <c r="BB382" s="115"/>
      <c r="BC382" s="115"/>
      <c r="BD382" s="115"/>
      <c r="BE382" s="115"/>
      <c r="BF382" s="25"/>
      <c r="BG382" s="13"/>
      <c r="BJ382" s="114"/>
    </row>
    <row r="383" spans="1:62" ht="19.5" x14ac:dyDescent="0.4">
      <c r="A383" s="117"/>
      <c r="B383" s="123"/>
      <c r="C383" s="123"/>
      <c r="D383" s="123"/>
      <c r="W383" s="26"/>
      <c r="X383" s="13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25">
        <v>45678</v>
      </c>
      <c r="AI383" s="13" t="s">
        <v>148</v>
      </c>
      <c r="AN383" s="116"/>
      <c r="AO383" s="123"/>
      <c r="AP383" s="123"/>
      <c r="AQ383" s="123"/>
      <c r="AV383" s="115"/>
      <c r="AW383" s="115"/>
      <c r="AX383" s="115"/>
      <c r="AY383" s="115"/>
      <c r="AZ383" s="115"/>
      <c r="BA383" s="115"/>
      <c r="BB383" s="115"/>
      <c r="BC383" s="115"/>
      <c r="BD383" s="115"/>
      <c r="BE383" s="115"/>
      <c r="BF383" s="25"/>
      <c r="BG383" s="13"/>
      <c r="BJ383" s="114"/>
    </row>
    <row r="384" spans="1:62" ht="19.5" x14ac:dyDescent="0.4">
      <c r="A384" s="117"/>
      <c r="B384" s="123"/>
      <c r="C384" s="123"/>
      <c r="D384" s="123"/>
      <c r="W384" s="26"/>
      <c r="X384" s="13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25">
        <v>45678</v>
      </c>
      <c r="AI384" s="13" t="s">
        <v>148</v>
      </c>
      <c r="AN384" s="116"/>
      <c r="AO384" s="123"/>
      <c r="AP384" s="123"/>
      <c r="AQ384" s="123"/>
      <c r="AV384" s="115"/>
      <c r="AW384" s="115"/>
      <c r="AX384" s="115"/>
      <c r="AY384" s="115"/>
      <c r="AZ384" s="115"/>
      <c r="BA384" s="115"/>
      <c r="BB384" s="115"/>
      <c r="BC384" s="115"/>
      <c r="BD384" s="115"/>
      <c r="BE384" s="115"/>
      <c r="BF384" s="25"/>
      <c r="BG384" s="13"/>
      <c r="BJ384" s="114"/>
    </row>
    <row r="385" spans="1:62" ht="19.5" x14ac:dyDescent="0.4">
      <c r="A385" s="117"/>
      <c r="B385" s="123"/>
      <c r="C385" s="123"/>
      <c r="D385" s="123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26"/>
      <c r="X385" s="13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25"/>
      <c r="AI385" s="13"/>
      <c r="AN385" s="116"/>
      <c r="AO385" s="123"/>
      <c r="AP385" s="123"/>
      <c r="AQ385" s="123"/>
      <c r="AV385" s="115"/>
      <c r="AW385" s="115"/>
      <c r="AX385" s="115"/>
      <c r="AY385" s="115"/>
      <c r="AZ385" s="115"/>
      <c r="BA385" s="115"/>
      <c r="BB385" s="115"/>
      <c r="BC385" s="115"/>
      <c r="BD385" s="115"/>
      <c r="BE385" s="115"/>
      <c r="BF385" s="25"/>
      <c r="BG385" s="13"/>
      <c r="BJ385" s="114"/>
    </row>
    <row r="386" spans="1:62" ht="19.5" x14ac:dyDescent="0.4">
      <c r="A386" s="117"/>
      <c r="B386" s="123"/>
      <c r="C386" s="123"/>
      <c r="D386" s="123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26"/>
      <c r="X386" s="13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25"/>
      <c r="AI386" s="13"/>
      <c r="AN386" s="116"/>
      <c r="AO386" s="123"/>
      <c r="AP386" s="123"/>
      <c r="AQ386" s="123"/>
      <c r="AV386" s="115"/>
      <c r="AW386" s="115"/>
      <c r="AX386" s="115"/>
      <c r="AY386" s="115"/>
      <c r="AZ386" s="115"/>
      <c r="BA386" s="115"/>
      <c r="BB386" s="115"/>
      <c r="BC386" s="115"/>
      <c r="BD386" s="115"/>
      <c r="BE386" s="115"/>
      <c r="BF386" s="25"/>
      <c r="BG386" s="13"/>
      <c r="BJ386" s="114"/>
    </row>
    <row r="387" spans="1:62" ht="19.5" x14ac:dyDescent="0.4">
      <c r="A387" s="117"/>
      <c r="B387" s="123"/>
      <c r="C387" s="123"/>
      <c r="D387" s="123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26"/>
      <c r="X387" s="13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25"/>
      <c r="AI387" s="13"/>
      <c r="AN387" s="116"/>
      <c r="AO387" s="123"/>
      <c r="AP387" s="123"/>
      <c r="AQ387" s="123"/>
      <c r="AV387" s="115"/>
      <c r="AW387" s="115"/>
      <c r="AX387" s="115"/>
      <c r="AY387" s="115"/>
      <c r="AZ387" s="115"/>
      <c r="BA387" s="115"/>
      <c r="BB387" s="115"/>
      <c r="BC387" s="115"/>
      <c r="BD387" s="115"/>
      <c r="BE387" s="115"/>
      <c r="BF387" s="25"/>
      <c r="BG387" s="13"/>
      <c r="BJ387" s="114"/>
    </row>
    <row r="388" spans="1:62" ht="19.5" x14ac:dyDescent="0.4">
      <c r="A388" s="117"/>
      <c r="B388" s="123"/>
      <c r="C388" s="123"/>
      <c r="D388" s="123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26"/>
      <c r="X388" s="13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25"/>
      <c r="AI388" s="13"/>
      <c r="AN388" s="116"/>
      <c r="AO388" s="123"/>
      <c r="AP388" s="123"/>
      <c r="AQ388" s="123"/>
      <c r="AV388" s="115"/>
      <c r="AW388" s="115"/>
      <c r="AX388" s="115"/>
      <c r="AY388" s="115"/>
      <c r="AZ388" s="115"/>
      <c r="BA388" s="115"/>
      <c r="BB388" s="115"/>
      <c r="BC388" s="115"/>
      <c r="BD388" s="115"/>
      <c r="BE388" s="115"/>
      <c r="BF388" s="25"/>
      <c r="BG388" s="13"/>
      <c r="BJ388" s="114"/>
    </row>
    <row r="389" spans="1:62" ht="19.5" x14ac:dyDescent="0.4">
      <c r="A389" s="117"/>
      <c r="B389" s="123"/>
      <c r="C389" s="123"/>
      <c r="D389" s="123"/>
      <c r="W389" s="26"/>
      <c r="X389" s="13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25">
        <v>45679</v>
      </c>
      <c r="AI389" s="15" t="s">
        <v>146</v>
      </c>
      <c r="AN389" s="116"/>
      <c r="AO389" s="123"/>
      <c r="AP389" s="123"/>
      <c r="AQ389" s="123"/>
      <c r="AV389" s="115"/>
      <c r="AW389" s="115"/>
      <c r="AX389" s="115"/>
      <c r="AY389" s="115"/>
      <c r="AZ389" s="115"/>
      <c r="BA389" s="115"/>
      <c r="BB389" s="115"/>
      <c r="BC389" s="115"/>
      <c r="BD389" s="115"/>
      <c r="BE389" s="115"/>
      <c r="BF389" s="25"/>
      <c r="BG389" s="13"/>
      <c r="BJ389" s="114"/>
    </row>
    <row r="390" spans="1:62" ht="19.5" x14ac:dyDescent="0.4">
      <c r="A390" s="117"/>
      <c r="B390" s="123"/>
      <c r="C390" s="123"/>
      <c r="D390" s="123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26"/>
      <c r="X390" s="13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25"/>
      <c r="AI390" s="15"/>
      <c r="AN390" s="116"/>
      <c r="AO390" s="123"/>
      <c r="AP390" s="123"/>
      <c r="AQ390" s="123"/>
      <c r="AV390" s="115"/>
      <c r="AW390" s="115"/>
      <c r="AX390" s="115"/>
      <c r="AY390" s="115"/>
      <c r="AZ390" s="115"/>
      <c r="BA390" s="115"/>
      <c r="BB390" s="115"/>
      <c r="BC390" s="115"/>
      <c r="BD390" s="115"/>
      <c r="BE390" s="115"/>
      <c r="BF390" s="25"/>
      <c r="BG390" s="13"/>
      <c r="BJ390" s="114"/>
    </row>
    <row r="391" spans="1:62" ht="19.5" x14ac:dyDescent="0.4">
      <c r="A391" s="117"/>
      <c r="B391" s="123"/>
      <c r="C391" s="123"/>
      <c r="D391" s="123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7"/>
      <c r="X391" s="13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25"/>
      <c r="AI391" s="15"/>
      <c r="AN391" s="116"/>
      <c r="AO391" s="123"/>
      <c r="AP391" s="123"/>
      <c r="AQ391" s="123"/>
      <c r="AV391" s="115"/>
      <c r="AW391" s="115"/>
      <c r="AX391" s="115"/>
      <c r="AY391" s="115"/>
      <c r="AZ391" s="115"/>
      <c r="BA391" s="115"/>
      <c r="BB391" s="115"/>
      <c r="BC391" s="115"/>
      <c r="BD391" s="115"/>
      <c r="BE391" s="115"/>
      <c r="BF391" s="25"/>
      <c r="BG391" s="13"/>
      <c r="BJ391" s="114"/>
    </row>
    <row r="392" spans="1:62" ht="19.5" x14ac:dyDescent="0.4">
      <c r="A392" s="117"/>
      <c r="B392" s="123"/>
      <c r="C392" s="123"/>
      <c r="D392" s="123"/>
      <c r="W392" s="26"/>
      <c r="X392" s="13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25"/>
      <c r="AI392" s="15"/>
      <c r="AN392" s="116"/>
      <c r="AO392" s="123"/>
      <c r="AP392" s="123"/>
      <c r="AQ392" s="123"/>
      <c r="AV392" s="115"/>
      <c r="AW392" s="115"/>
      <c r="AX392" s="115"/>
      <c r="AY392" s="115"/>
      <c r="AZ392" s="115"/>
      <c r="BA392" s="115"/>
      <c r="BB392" s="115"/>
      <c r="BC392" s="115"/>
      <c r="BD392" s="115"/>
      <c r="BE392" s="115"/>
      <c r="BF392" s="25"/>
      <c r="BG392" s="13"/>
      <c r="BJ392" s="114"/>
    </row>
    <row r="393" spans="1:62" ht="19.5" x14ac:dyDescent="0.4">
      <c r="A393" s="117"/>
      <c r="B393" s="123"/>
      <c r="C393" s="123"/>
      <c r="D393" s="123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26"/>
      <c r="X393" s="13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25"/>
      <c r="AI393" s="15"/>
      <c r="AN393" s="116"/>
      <c r="AO393" s="123"/>
      <c r="AP393" s="123"/>
      <c r="AQ393" s="123"/>
      <c r="AV393" s="115"/>
      <c r="AW393" s="115"/>
      <c r="AX393" s="115"/>
      <c r="AY393" s="115"/>
      <c r="AZ393" s="115"/>
      <c r="BA393" s="115"/>
      <c r="BB393" s="115"/>
      <c r="BC393" s="115"/>
      <c r="BD393" s="115"/>
      <c r="BE393" s="115"/>
      <c r="BF393" s="25"/>
      <c r="BG393" s="13"/>
      <c r="BJ393" s="114"/>
    </row>
    <row r="394" spans="1:62" ht="19.5" x14ac:dyDescent="0.4">
      <c r="A394" s="117"/>
      <c r="B394" s="123"/>
      <c r="C394" s="123"/>
      <c r="D394" s="123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7"/>
      <c r="X394" s="13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25"/>
      <c r="AI394" s="15"/>
      <c r="AN394" s="116"/>
      <c r="AO394" s="123"/>
      <c r="AP394" s="123"/>
      <c r="AQ394" s="123"/>
      <c r="AV394" s="115"/>
      <c r="AW394" s="115"/>
      <c r="AX394" s="115"/>
      <c r="AY394" s="115"/>
      <c r="AZ394" s="115"/>
      <c r="BA394" s="115"/>
      <c r="BB394" s="115"/>
      <c r="BC394" s="115"/>
      <c r="BD394" s="115"/>
      <c r="BE394" s="115"/>
      <c r="BF394" s="25"/>
      <c r="BG394" s="13"/>
      <c r="BJ394" s="114"/>
    </row>
    <row r="395" spans="1:62" ht="19.5" x14ac:dyDescent="0.4">
      <c r="A395" s="117"/>
      <c r="B395" s="123"/>
      <c r="C395" s="123"/>
      <c r="D395" s="123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26"/>
      <c r="X395" s="13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25"/>
      <c r="AI395" s="15"/>
      <c r="AN395" s="116"/>
      <c r="AO395" s="123"/>
      <c r="AP395" s="123"/>
      <c r="AQ395" s="123"/>
      <c r="AV395" s="115"/>
      <c r="AW395" s="115"/>
      <c r="AX395" s="115"/>
      <c r="AY395" s="115"/>
      <c r="AZ395" s="115"/>
      <c r="BA395" s="115"/>
      <c r="BB395" s="115"/>
      <c r="BC395" s="115"/>
      <c r="BD395" s="115"/>
      <c r="BE395" s="115"/>
      <c r="BF395" s="25"/>
      <c r="BG395" s="13"/>
      <c r="BJ395" s="114"/>
    </row>
    <row r="396" spans="1:62" ht="19.5" x14ac:dyDescent="0.4">
      <c r="A396" s="117"/>
      <c r="B396" s="123"/>
      <c r="C396" s="123"/>
      <c r="D396" s="123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26"/>
      <c r="X396" s="13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25"/>
      <c r="AI396" s="15"/>
      <c r="AN396" s="116"/>
      <c r="AO396" s="123"/>
      <c r="AP396" s="123"/>
      <c r="AQ396" s="123"/>
      <c r="AV396" s="115"/>
      <c r="AW396" s="115"/>
      <c r="AX396" s="115"/>
      <c r="AY396" s="115"/>
      <c r="AZ396" s="115"/>
      <c r="BA396" s="115"/>
      <c r="BB396" s="115"/>
      <c r="BC396" s="115"/>
      <c r="BD396" s="115"/>
      <c r="BE396" s="115"/>
      <c r="BF396" s="25"/>
      <c r="BG396" s="13"/>
      <c r="BJ396" s="114"/>
    </row>
    <row r="397" spans="1:6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26"/>
      <c r="X397" s="13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25"/>
      <c r="AI397" s="15"/>
      <c r="AN397" s="116"/>
      <c r="AO397" s="123"/>
      <c r="AP397" s="123"/>
      <c r="AQ397" s="123"/>
      <c r="AV397" s="115"/>
      <c r="AW397" s="115"/>
      <c r="AX397" s="115"/>
      <c r="AY397" s="115"/>
      <c r="AZ397" s="115"/>
      <c r="BA397" s="115"/>
      <c r="BB397" s="115"/>
      <c r="BC397" s="115"/>
      <c r="BD397" s="115"/>
      <c r="BE397" s="115"/>
      <c r="BF397" s="25"/>
      <c r="BG397" s="13"/>
      <c r="BJ397" s="114"/>
    </row>
    <row r="398" spans="1:62" ht="19.5" x14ac:dyDescent="0.4">
      <c r="A398" s="117"/>
      <c r="B398" s="123"/>
      <c r="C398" s="123"/>
      <c r="D398" s="123"/>
      <c r="W398" s="26"/>
      <c r="X398" s="13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25">
        <v>45679</v>
      </c>
      <c r="AI398" s="15" t="s">
        <v>148</v>
      </c>
      <c r="AN398" s="116"/>
      <c r="AO398" s="123"/>
      <c r="AP398" s="123"/>
      <c r="AQ398" s="123"/>
      <c r="AV398" s="115"/>
      <c r="AW398" s="115"/>
      <c r="AX398" s="115"/>
      <c r="AY398" s="115"/>
      <c r="AZ398" s="115"/>
      <c r="BA398" s="115"/>
      <c r="BB398" s="115"/>
      <c r="BC398" s="115"/>
      <c r="BD398" s="115"/>
      <c r="BE398" s="115"/>
      <c r="BF398" s="25"/>
      <c r="BG398" s="13"/>
      <c r="BJ398" s="114"/>
    </row>
    <row r="399" spans="1:62" ht="19.5" x14ac:dyDescent="0.4">
      <c r="A399" s="117"/>
      <c r="B399" s="123"/>
      <c r="C399" s="123"/>
      <c r="D399" s="123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26"/>
      <c r="X399" s="13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25"/>
      <c r="AI399" s="13"/>
      <c r="AN399" s="116"/>
      <c r="AO399" s="123"/>
      <c r="AP399" s="123"/>
      <c r="AQ399" s="123"/>
      <c r="AV399" s="115"/>
      <c r="AW399" s="115"/>
      <c r="AX399" s="115"/>
      <c r="AY399" s="115"/>
      <c r="AZ399" s="115"/>
      <c r="BA399" s="115"/>
      <c r="BB399" s="115"/>
      <c r="BC399" s="115"/>
      <c r="BD399" s="115"/>
      <c r="BE399" s="115"/>
      <c r="BF399" s="25"/>
      <c r="BG399" s="13"/>
      <c r="BJ399" s="114"/>
    </row>
    <row r="400" spans="1:62" ht="19.5" x14ac:dyDescent="0.4">
      <c r="A400" s="117"/>
      <c r="B400" s="123"/>
      <c r="C400" s="123"/>
      <c r="D400" s="123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26"/>
      <c r="X400" s="13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25"/>
      <c r="AI400" s="13"/>
      <c r="AN400" s="116"/>
      <c r="AO400" s="123"/>
      <c r="AP400" s="123"/>
      <c r="AQ400" s="123"/>
      <c r="AV400" s="115"/>
      <c r="AW400" s="115"/>
      <c r="AX400" s="115"/>
      <c r="AY400" s="115"/>
      <c r="AZ400" s="115"/>
      <c r="BA400" s="115"/>
      <c r="BB400" s="115"/>
      <c r="BC400" s="115"/>
      <c r="BD400" s="115"/>
      <c r="BE400" s="115"/>
      <c r="BF400" s="25"/>
      <c r="BG400" s="13"/>
      <c r="BJ400" s="114"/>
    </row>
    <row r="401" spans="1:62" ht="19.5" x14ac:dyDescent="0.4">
      <c r="A401" s="117"/>
      <c r="B401" s="123"/>
      <c r="C401" s="123"/>
      <c r="D401" s="123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26"/>
      <c r="X401" s="13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25"/>
      <c r="AI401" s="13"/>
      <c r="AN401" s="116"/>
      <c r="AO401" s="123"/>
      <c r="AP401" s="123"/>
      <c r="AQ401" s="123"/>
      <c r="AV401" s="115"/>
      <c r="AW401" s="115"/>
      <c r="AX401" s="115"/>
      <c r="AY401" s="115"/>
      <c r="AZ401" s="115"/>
      <c r="BA401" s="115"/>
      <c r="BB401" s="115"/>
      <c r="BC401" s="115"/>
      <c r="BD401" s="115"/>
      <c r="BE401" s="115"/>
      <c r="BF401" s="25"/>
      <c r="BG401" s="13"/>
      <c r="BJ401" s="114"/>
    </row>
    <row r="402" spans="1:62" ht="19.5" x14ac:dyDescent="0.4">
      <c r="A402" s="117"/>
      <c r="B402" s="123"/>
      <c r="C402" s="123"/>
      <c r="D402" s="123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7"/>
      <c r="X402" s="13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25"/>
      <c r="AI402" s="13"/>
      <c r="AN402" s="116"/>
      <c r="AO402" s="123"/>
      <c r="AP402" s="123"/>
      <c r="AQ402" s="123"/>
      <c r="AV402" s="115"/>
      <c r="AW402" s="115"/>
      <c r="AX402" s="115"/>
      <c r="AY402" s="115"/>
      <c r="AZ402" s="115"/>
      <c r="BA402" s="115"/>
      <c r="BB402" s="115"/>
      <c r="BC402" s="115"/>
      <c r="BD402" s="115"/>
      <c r="BE402" s="115"/>
      <c r="BF402" s="25"/>
      <c r="BG402" s="13"/>
      <c r="BJ402" s="114"/>
    </row>
    <row r="403" spans="1:62" ht="19.5" x14ac:dyDescent="0.4">
      <c r="A403" s="117"/>
      <c r="B403" s="123"/>
      <c r="C403" s="123"/>
      <c r="D403" s="123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26"/>
      <c r="X403" s="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25"/>
      <c r="AI403" s="13"/>
      <c r="AN403" s="116"/>
      <c r="AO403" s="123"/>
      <c r="AP403" s="123"/>
      <c r="AQ403" s="123"/>
      <c r="AV403" s="115"/>
      <c r="AW403" s="115"/>
      <c r="AX403" s="115"/>
      <c r="AY403" s="115"/>
      <c r="AZ403" s="115"/>
      <c r="BA403" s="115"/>
      <c r="BB403" s="115"/>
      <c r="BC403" s="115"/>
      <c r="BD403" s="115"/>
      <c r="BE403" s="115"/>
      <c r="BF403" s="25"/>
      <c r="BG403" s="13"/>
      <c r="BJ403" s="114"/>
    </row>
    <row r="404" spans="1:62" ht="19.5" x14ac:dyDescent="0.4">
      <c r="A404" s="117"/>
      <c r="B404" s="123"/>
      <c r="C404" s="123"/>
      <c r="D404" s="123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7"/>
      <c r="X404" s="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25"/>
      <c r="AI404" s="13"/>
      <c r="AN404" s="116"/>
      <c r="AO404" s="123"/>
      <c r="AP404" s="123"/>
      <c r="AQ404" s="123"/>
      <c r="AV404" s="115"/>
      <c r="AW404" s="115"/>
      <c r="AX404" s="115"/>
      <c r="AY404" s="115"/>
      <c r="AZ404" s="115"/>
      <c r="BA404" s="115"/>
      <c r="BB404" s="115"/>
      <c r="BC404" s="115"/>
      <c r="BD404" s="115"/>
      <c r="BE404" s="115"/>
      <c r="BF404" s="25"/>
      <c r="BG404" s="13"/>
      <c r="BJ404" s="114"/>
    </row>
    <row r="405" spans="1:62" ht="19.5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26"/>
      <c r="X405" s="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25"/>
      <c r="AI405" s="13"/>
      <c r="AN405" s="116"/>
      <c r="AO405" s="123"/>
      <c r="AP405" s="123"/>
      <c r="AQ405" s="123"/>
      <c r="AV405" s="115"/>
      <c r="AW405" s="115"/>
      <c r="AX405" s="115"/>
      <c r="AY405" s="115"/>
      <c r="AZ405" s="115"/>
      <c r="BA405" s="115"/>
      <c r="BB405" s="115"/>
      <c r="BC405" s="115"/>
      <c r="BD405" s="115"/>
      <c r="BE405" s="115"/>
      <c r="BF405" s="25"/>
      <c r="BG405" s="13"/>
      <c r="BJ405" s="114"/>
    </row>
    <row r="406" spans="1:62" ht="19.5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7"/>
      <c r="X406" s="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25"/>
      <c r="AI406" s="13"/>
      <c r="AN406" s="116"/>
      <c r="AO406" s="123"/>
      <c r="AP406" s="123"/>
      <c r="AQ406" s="123"/>
      <c r="AV406" s="115"/>
      <c r="AW406" s="115"/>
      <c r="AX406" s="115"/>
      <c r="AY406" s="115"/>
      <c r="AZ406" s="115"/>
      <c r="BA406" s="115"/>
      <c r="BB406" s="115"/>
      <c r="BC406" s="115"/>
      <c r="BD406" s="115"/>
      <c r="BE406" s="115"/>
      <c r="BF406" s="25"/>
      <c r="BG406" s="13"/>
      <c r="BJ406" s="114"/>
    </row>
    <row r="407" spans="1:62" ht="19.5" x14ac:dyDescent="0.4">
      <c r="A407" s="117"/>
      <c r="B407" s="123"/>
      <c r="C407" s="123"/>
      <c r="D407" s="123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26"/>
      <c r="X407" s="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25"/>
      <c r="AI407" s="13"/>
      <c r="AN407" s="116"/>
      <c r="AO407" s="123"/>
      <c r="AP407" s="123"/>
      <c r="AQ407" s="123"/>
      <c r="AV407" s="115"/>
      <c r="AW407" s="115"/>
      <c r="AX407" s="115"/>
      <c r="AY407" s="115"/>
      <c r="AZ407" s="115"/>
      <c r="BA407" s="115"/>
      <c r="BB407" s="115"/>
      <c r="BC407" s="115"/>
      <c r="BD407" s="115"/>
      <c r="BE407" s="115"/>
      <c r="BF407" s="25"/>
      <c r="BG407" s="13"/>
      <c r="BJ407" s="114"/>
    </row>
    <row r="408" spans="1:62" ht="19.5" x14ac:dyDescent="0.4">
      <c r="A408" s="117"/>
      <c r="B408" s="123"/>
      <c r="C408" s="123"/>
      <c r="D408" s="123"/>
      <c r="W408" s="26"/>
      <c r="X408" s="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25">
        <v>45679</v>
      </c>
      <c r="AI408" s="13" t="s">
        <v>147</v>
      </c>
      <c r="AN408" s="116"/>
      <c r="AO408" s="123"/>
      <c r="AP408" s="123"/>
      <c r="AQ408" s="123"/>
      <c r="AV408" s="115"/>
      <c r="AW408" s="115"/>
      <c r="AX408" s="115"/>
      <c r="AY408" s="115"/>
      <c r="AZ408" s="115"/>
      <c r="BA408" s="115"/>
      <c r="BB408" s="115"/>
      <c r="BC408" s="115"/>
      <c r="BD408" s="115"/>
      <c r="BE408" s="115"/>
      <c r="BF408" s="25"/>
      <c r="BG408" s="13"/>
      <c r="BJ408" s="114"/>
    </row>
    <row r="409" spans="1:62" ht="19.5" x14ac:dyDescent="0.4">
      <c r="A409" s="117"/>
      <c r="B409" s="123"/>
      <c r="C409" s="123"/>
      <c r="D409" s="123"/>
      <c r="N409" s="115"/>
      <c r="O409" s="115"/>
      <c r="P409" s="115"/>
      <c r="Q409" s="115"/>
      <c r="R409" s="115"/>
      <c r="S409" s="115"/>
      <c r="T409" s="115"/>
      <c r="U409" s="115"/>
      <c r="V409" s="115"/>
      <c r="W409" s="17"/>
      <c r="X409" s="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25"/>
      <c r="AI409" s="13"/>
      <c r="AN409" s="116"/>
      <c r="AO409" s="123"/>
      <c r="AP409" s="123"/>
      <c r="AQ409" s="123"/>
      <c r="AV409" s="115"/>
      <c r="AW409" s="115"/>
      <c r="AX409" s="115"/>
      <c r="AY409" s="115"/>
      <c r="AZ409" s="115"/>
      <c r="BA409" s="115"/>
      <c r="BB409" s="115"/>
      <c r="BC409" s="115"/>
      <c r="BD409" s="115"/>
      <c r="BE409" s="115"/>
      <c r="BF409" s="25"/>
      <c r="BG409" s="13"/>
      <c r="BJ409" s="114"/>
    </row>
    <row r="410" spans="1:62" ht="19.5" x14ac:dyDescent="0.4">
      <c r="A410" s="117"/>
      <c r="B410" s="123"/>
      <c r="C410" s="123"/>
      <c r="D410" s="123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26"/>
      <c r="X410" s="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25"/>
      <c r="AI410" s="13"/>
      <c r="AN410" s="116"/>
      <c r="AO410" s="123"/>
      <c r="AP410" s="123"/>
      <c r="AQ410" s="123"/>
      <c r="AV410" s="115"/>
      <c r="AW410" s="115"/>
      <c r="AX410" s="115"/>
      <c r="AY410" s="115"/>
      <c r="AZ410" s="115"/>
      <c r="BA410" s="115"/>
      <c r="BB410" s="115"/>
      <c r="BC410" s="115"/>
      <c r="BD410" s="115"/>
      <c r="BE410" s="115"/>
      <c r="BF410" s="25"/>
      <c r="BG410" s="13"/>
      <c r="BJ410" s="114"/>
    </row>
    <row r="411" spans="1:62" ht="19.5" x14ac:dyDescent="0.4">
      <c r="A411" s="117"/>
      <c r="B411" s="123"/>
      <c r="C411" s="123"/>
      <c r="D411" s="123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26"/>
      <c r="X411" s="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25"/>
      <c r="AI411" s="13"/>
      <c r="AN411" s="116"/>
      <c r="AO411" s="123"/>
      <c r="AP411" s="123"/>
      <c r="AQ411" s="123"/>
      <c r="AV411" s="115"/>
      <c r="AW411" s="115"/>
      <c r="AX411" s="115"/>
      <c r="AY411" s="115"/>
      <c r="AZ411" s="115"/>
      <c r="BA411" s="115"/>
      <c r="BB411" s="115"/>
      <c r="BC411" s="115"/>
      <c r="BD411" s="115"/>
      <c r="BE411" s="115"/>
      <c r="BF411" s="25"/>
      <c r="BG411" s="13"/>
      <c r="BJ411" s="114"/>
    </row>
    <row r="412" spans="1:62" ht="19.5" x14ac:dyDescent="0.4">
      <c r="A412" s="117"/>
      <c r="B412" s="123"/>
      <c r="C412" s="123"/>
      <c r="D412" s="123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7"/>
      <c r="X412" s="13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25"/>
      <c r="AI412" s="13"/>
      <c r="AN412" s="116"/>
      <c r="AO412" s="123"/>
      <c r="AP412" s="123"/>
      <c r="AQ412" s="123"/>
      <c r="AV412" s="115"/>
      <c r="AW412" s="115"/>
      <c r="AX412" s="115"/>
      <c r="AY412" s="115"/>
      <c r="AZ412" s="115"/>
      <c r="BA412" s="115"/>
      <c r="BB412" s="115"/>
      <c r="BC412" s="115"/>
      <c r="BD412" s="115"/>
      <c r="BE412" s="115"/>
      <c r="BF412" s="25"/>
      <c r="BG412" s="13"/>
      <c r="BJ412" s="114"/>
    </row>
    <row r="413" spans="1:62" ht="19.5" x14ac:dyDescent="0.4">
      <c r="A413" s="117"/>
      <c r="B413" s="123"/>
      <c r="C413" s="123"/>
      <c r="D413" s="123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7"/>
      <c r="X413" s="13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25"/>
      <c r="AI413" s="13"/>
      <c r="AN413" s="116"/>
      <c r="AO413" s="123"/>
      <c r="AP413" s="123"/>
      <c r="AQ413" s="123"/>
      <c r="AV413" s="115"/>
      <c r="AW413" s="115"/>
      <c r="AX413" s="115"/>
      <c r="AY413" s="115"/>
      <c r="AZ413" s="115"/>
      <c r="BA413" s="115"/>
      <c r="BB413" s="115"/>
      <c r="BC413" s="115"/>
      <c r="BD413" s="115"/>
      <c r="BE413" s="115"/>
      <c r="BF413" s="25"/>
      <c r="BG413" s="13"/>
      <c r="BJ413" s="114"/>
    </row>
    <row r="414" spans="1:62" ht="19.5" x14ac:dyDescent="0.4">
      <c r="A414" s="117"/>
      <c r="B414" s="123"/>
      <c r="C414" s="123"/>
      <c r="D414" s="123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26"/>
      <c r="X414" s="13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25"/>
      <c r="AI414" s="13"/>
      <c r="AN414" s="116"/>
      <c r="AO414" s="123"/>
      <c r="AP414" s="123"/>
      <c r="AQ414" s="123"/>
      <c r="AV414" s="115"/>
      <c r="AW414" s="115"/>
      <c r="AX414" s="115"/>
      <c r="AY414" s="115"/>
      <c r="AZ414" s="115"/>
      <c r="BA414" s="115"/>
      <c r="BB414" s="115"/>
      <c r="BC414" s="115"/>
      <c r="BD414" s="115"/>
      <c r="BE414" s="115"/>
      <c r="BF414" s="25"/>
      <c r="BG414" s="13"/>
      <c r="BJ414" s="114"/>
    </row>
    <row r="415" spans="1:62" ht="19.5" x14ac:dyDescent="0.4">
      <c r="A415" s="117"/>
      <c r="B415" s="123"/>
      <c r="C415" s="123"/>
      <c r="D415" s="123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7"/>
      <c r="X415" s="13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25"/>
      <c r="AI415" s="13"/>
      <c r="AN415" s="116"/>
      <c r="AO415" s="123"/>
      <c r="AP415" s="123"/>
      <c r="AQ415" s="123"/>
      <c r="AV415" s="115"/>
      <c r="AW415" s="115"/>
      <c r="AX415" s="115"/>
      <c r="AY415" s="115"/>
      <c r="AZ415" s="115"/>
      <c r="BA415" s="115"/>
      <c r="BB415" s="115"/>
      <c r="BC415" s="115"/>
      <c r="BD415" s="115"/>
      <c r="BE415" s="115"/>
      <c r="BF415" s="25"/>
      <c r="BG415" s="13"/>
      <c r="BJ415" s="114"/>
    </row>
    <row r="416" spans="1:62" ht="19.5" x14ac:dyDescent="0.4">
      <c r="A416" s="117"/>
      <c r="B416" s="123"/>
      <c r="C416" s="123"/>
      <c r="D416" s="123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26"/>
      <c r="X416" s="13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25"/>
      <c r="AI416" s="13"/>
      <c r="AN416" s="116"/>
      <c r="AO416" s="123"/>
      <c r="AP416" s="123"/>
      <c r="AQ416" s="123"/>
      <c r="AV416" s="115"/>
      <c r="AW416" s="115"/>
      <c r="AX416" s="115"/>
      <c r="AY416" s="115"/>
      <c r="AZ416" s="115"/>
      <c r="BA416" s="115"/>
      <c r="BB416" s="115"/>
      <c r="BC416" s="115"/>
      <c r="BD416" s="115"/>
      <c r="BE416" s="115"/>
      <c r="BF416" s="25"/>
      <c r="BG416" s="13"/>
      <c r="BJ416" s="114"/>
    </row>
    <row r="417" spans="1:62" ht="19.5" x14ac:dyDescent="0.4">
      <c r="A417" s="117"/>
      <c r="B417" s="123"/>
      <c r="C417" s="123"/>
      <c r="D417" s="123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26"/>
      <c r="X417" s="13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25"/>
      <c r="AI417" s="13"/>
      <c r="AN417" s="116"/>
      <c r="AO417" s="123"/>
      <c r="AP417" s="123"/>
      <c r="AQ417" s="123"/>
      <c r="AV417" s="115"/>
      <c r="AW417" s="115"/>
      <c r="AX417" s="115"/>
      <c r="AY417" s="115"/>
      <c r="AZ417" s="115"/>
      <c r="BA417" s="115"/>
      <c r="BB417" s="115"/>
      <c r="BC417" s="115"/>
      <c r="BD417" s="115"/>
      <c r="BE417" s="115"/>
      <c r="BF417" s="25"/>
      <c r="BG417" s="13"/>
      <c r="BJ417" s="114"/>
    </row>
    <row r="418" spans="1:62" ht="19.5" x14ac:dyDescent="0.4">
      <c r="A418" s="117"/>
      <c r="B418" s="123"/>
      <c r="C418" s="123"/>
      <c r="D418" s="123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26"/>
      <c r="X418" s="13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25"/>
      <c r="AI418" s="13"/>
      <c r="AN418" s="116"/>
      <c r="AO418" s="123"/>
      <c r="AP418" s="123"/>
      <c r="AQ418" s="123"/>
      <c r="AV418" s="115"/>
      <c r="AW418" s="115"/>
      <c r="AX418" s="115"/>
      <c r="AY418" s="115"/>
      <c r="AZ418" s="115"/>
      <c r="BA418" s="115"/>
      <c r="BB418" s="115"/>
      <c r="BC418" s="115"/>
      <c r="BD418" s="115"/>
      <c r="BE418" s="115"/>
      <c r="BF418" s="25"/>
      <c r="BG418" s="13"/>
      <c r="BJ418" s="114"/>
    </row>
    <row r="419" spans="1:62" ht="19.5" x14ac:dyDescent="0.4">
      <c r="A419" s="117"/>
      <c r="B419" s="123"/>
      <c r="C419" s="123"/>
      <c r="D419" s="123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26"/>
      <c r="X419" s="13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25"/>
      <c r="AI419" s="13"/>
      <c r="AN419" s="116"/>
      <c r="AO419" s="123"/>
      <c r="AP419" s="123"/>
      <c r="AQ419" s="123"/>
      <c r="AV419" s="115"/>
      <c r="AW419" s="115"/>
      <c r="AX419" s="115"/>
      <c r="AY419" s="115"/>
      <c r="AZ419" s="115"/>
      <c r="BA419" s="115"/>
      <c r="BB419" s="115"/>
      <c r="BC419" s="115"/>
      <c r="BD419" s="115"/>
      <c r="BE419" s="115"/>
      <c r="BF419" s="25"/>
      <c r="BG419" s="13"/>
      <c r="BJ419" s="114"/>
    </row>
    <row r="420" spans="1:62" ht="19.5" x14ac:dyDescent="0.4">
      <c r="A420" s="117"/>
      <c r="B420" s="123"/>
      <c r="C420" s="123"/>
      <c r="D420" s="123"/>
      <c r="W420" s="26"/>
      <c r="X420" s="13"/>
      <c r="AH420" s="25">
        <v>45679</v>
      </c>
      <c r="AI420" s="13" t="s">
        <v>147</v>
      </c>
      <c r="AN420" s="116"/>
      <c r="AO420" s="123"/>
      <c r="AP420" s="123"/>
      <c r="AQ420" s="123"/>
      <c r="AV420" s="115"/>
      <c r="AW420" s="115"/>
      <c r="AX420" s="115"/>
      <c r="AY420" s="115"/>
      <c r="AZ420" s="115"/>
      <c r="BA420" s="115"/>
      <c r="BB420" s="115"/>
      <c r="BC420" s="115"/>
      <c r="BD420" s="115"/>
      <c r="BE420" s="115"/>
      <c r="BF420" s="25"/>
      <c r="BG420" s="13"/>
      <c r="BJ420" s="114"/>
    </row>
    <row r="421" spans="1:62" ht="19.5" x14ac:dyDescent="0.4">
      <c r="A421" s="117"/>
      <c r="B421" s="123"/>
      <c r="C421" s="123"/>
      <c r="D421" s="123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26"/>
      <c r="X421" s="13"/>
      <c r="AH421" s="25"/>
      <c r="AI421" s="13"/>
      <c r="AN421" s="116"/>
      <c r="AO421" s="123"/>
      <c r="AP421" s="123"/>
      <c r="AQ421" s="123"/>
      <c r="AV421" s="115"/>
      <c r="AW421" s="115"/>
      <c r="AX421" s="115"/>
      <c r="AY421" s="115"/>
      <c r="AZ421" s="115"/>
      <c r="BA421" s="115"/>
      <c r="BB421" s="115"/>
      <c r="BC421" s="115"/>
      <c r="BD421" s="115"/>
      <c r="BE421" s="115"/>
      <c r="BF421" s="25"/>
      <c r="BG421" s="13"/>
      <c r="BJ421" s="114"/>
    </row>
    <row r="422" spans="1:62" ht="19.5" x14ac:dyDescent="0.4">
      <c r="A422" s="117"/>
      <c r="B422" s="123"/>
      <c r="C422" s="123"/>
      <c r="D422" s="123"/>
      <c r="W422" s="26"/>
      <c r="X422" s="13"/>
      <c r="AH422" s="25"/>
      <c r="AI422" s="13"/>
      <c r="AN422" s="116"/>
      <c r="AO422" s="123"/>
      <c r="AP422" s="123"/>
      <c r="AQ422" s="123"/>
      <c r="AV422" s="115"/>
      <c r="AW422" s="115"/>
      <c r="AX422" s="115"/>
      <c r="AY422" s="115"/>
      <c r="AZ422" s="115"/>
      <c r="BA422" s="115"/>
      <c r="BB422" s="115"/>
      <c r="BC422" s="115"/>
      <c r="BD422" s="115"/>
      <c r="BE422" s="115"/>
      <c r="BF422" s="25"/>
      <c r="BG422" s="13"/>
      <c r="BJ422" s="114"/>
    </row>
    <row r="423" spans="1:62" ht="19.5" x14ac:dyDescent="0.4">
      <c r="A423" s="117"/>
      <c r="B423" s="123"/>
      <c r="C423" s="123"/>
      <c r="D423" s="123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26"/>
      <c r="X423" s="13"/>
      <c r="AH423" s="25"/>
      <c r="AI423" s="13"/>
      <c r="AN423" s="116"/>
      <c r="AO423" s="123"/>
      <c r="AP423" s="123"/>
      <c r="AQ423" s="123"/>
      <c r="AV423" s="115"/>
      <c r="AW423" s="115"/>
      <c r="AX423" s="115"/>
      <c r="AY423" s="115"/>
      <c r="AZ423" s="115"/>
      <c r="BA423" s="115"/>
      <c r="BB423" s="115"/>
      <c r="BC423" s="115"/>
      <c r="BD423" s="115"/>
      <c r="BE423" s="115"/>
      <c r="BF423" s="25"/>
      <c r="BG423" s="13"/>
      <c r="BJ423" s="114"/>
    </row>
    <row r="424" spans="1:62" ht="19.5" x14ac:dyDescent="0.4">
      <c r="A424" s="117"/>
      <c r="B424" s="123"/>
      <c r="C424" s="123"/>
      <c r="D424" s="123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7"/>
      <c r="X424" s="13"/>
      <c r="AH424" s="25"/>
      <c r="AI424" s="13"/>
      <c r="AN424" s="116"/>
      <c r="AO424" s="123"/>
      <c r="AP424" s="123"/>
      <c r="AQ424" s="123"/>
      <c r="AV424" s="115"/>
      <c r="AW424" s="115"/>
      <c r="AX424" s="115"/>
      <c r="AY424" s="115"/>
      <c r="AZ424" s="115"/>
      <c r="BA424" s="115"/>
      <c r="BB424" s="115"/>
      <c r="BC424" s="115"/>
      <c r="BD424" s="115"/>
      <c r="BE424" s="115"/>
      <c r="BF424" s="25"/>
      <c r="BG424" s="13"/>
      <c r="BJ424" s="114"/>
    </row>
    <row r="425" spans="1:62" ht="19.5" x14ac:dyDescent="0.4">
      <c r="A425" s="117"/>
      <c r="B425" s="123"/>
      <c r="C425" s="123"/>
      <c r="D425" s="123"/>
      <c r="W425" s="26"/>
      <c r="X425" s="13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25">
        <v>45679</v>
      </c>
      <c r="AI425" s="13" t="s">
        <v>146</v>
      </c>
      <c r="AN425" s="116"/>
      <c r="AO425" s="123"/>
      <c r="AP425" s="123"/>
      <c r="AQ425" s="123"/>
      <c r="AV425" s="115"/>
      <c r="AW425" s="115"/>
      <c r="AX425" s="115"/>
      <c r="AY425" s="115"/>
      <c r="AZ425" s="115"/>
      <c r="BA425" s="115"/>
      <c r="BB425" s="115"/>
      <c r="BC425" s="115"/>
      <c r="BD425" s="115"/>
      <c r="BE425" s="115"/>
      <c r="BF425" s="25"/>
      <c r="BG425" s="13"/>
      <c r="BJ425" s="114"/>
    </row>
    <row r="426" spans="1:62" ht="19.5" x14ac:dyDescent="0.4">
      <c r="A426" s="117"/>
      <c r="B426" s="123"/>
      <c r="C426" s="123"/>
      <c r="D426" s="123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26"/>
      <c r="X426" s="13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25"/>
      <c r="AI426" s="13"/>
      <c r="AN426" s="116"/>
      <c r="AO426" s="123"/>
      <c r="AP426" s="123"/>
      <c r="AQ426" s="123"/>
      <c r="AV426" s="115"/>
      <c r="AW426" s="115"/>
      <c r="AX426" s="115"/>
      <c r="AY426" s="115"/>
      <c r="AZ426" s="115"/>
      <c r="BA426" s="115"/>
      <c r="BB426" s="115"/>
      <c r="BC426" s="115"/>
      <c r="BD426" s="115"/>
      <c r="BE426" s="115"/>
      <c r="BF426" s="25"/>
      <c r="BG426" s="13"/>
      <c r="BJ426" s="114"/>
    </row>
    <row r="427" spans="1:62" ht="19.5" x14ac:dyDescent="0.4">
      <c r="A427" s="117"/>
      <c r="B427" s="123"/>
      <c r="C427" s="123"/>
      <c r="D427" s="123"/>
      <c r="W427" s="26"/>
      <c r="X427" s="13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25"/>
      <c r="AI427" s="13"/>
      <c r="AN427" s="116"/>
      <c r="AO427" s="123"/>
      <c r="AP427" s="123"/>
      <c r="AQ427" s="123"/>
      <c r="AV427" s="115"/>
      <c r="AW427" s="115"/>
      <c r="AX427" s="115"/>
      <c r="AY427" s="115"/>
      <c r="AZ427" s="115"/>
      <c r="BA427" s="115"/>
      <c r="BB427" s="115"/>
      <c r="BC427" s="115"/>
      <c r="BD427" s="115"/>
      <c r="BE427" s="115"/>
      <c r="BF427" s="25"/>
      <c r="BG427" s="13"/>
      <c r="BJ427" s="114"/>
    </row>
    <row r="428" spans="1:62" ht="19.5" x14ac:dyDescent="0.4">
      <c r="A428" s="117"/>
      <c r="B428" s="123"/>
      <c r="C428" s="123"/>
      <c r="D428" s="123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26"/>
      <c r="X428" s="13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25"/>
      <c r="AI428" s="13"/>
      <c r="AN428" s="116"/>
      <c r="AO428" s="123"/>
      <c r="AP428" s="123"/>
      <c r="AQ428" s="123"/>
      <c r="AV428" s="115"/>
      <c r="AW428" s="115"/>
      <c r="AX428" s="115"/>
      <c r="AY428" s="115"/>
      <c r="AZ428" s="115"/>
      <c r="BA428" s="115"/>
      <c r="BB428" s="115"/>
      <c r="BC428" s="115"/>
      <c r="BD428" s="115"/>
      <c r="BE428" s="115"/>
      <c r="BF428" s="25"/>
      <c r="BG428" s="13"/>
      <c r="BJ428" s="114"/>
    </row>
    <row r="429" spans="1:62" ht="19.5" x14ac:dyDescent="0.4">
      <c r="A429" s="117"/>
      <c r="B429" s="123"/>
      <c r="C429" s="123"/>
      <c r="D429" s="123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26"/>
      <c r="X429" s="13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25"/>
      <c r="AI429" s="13"/>
      <c r="AN429" s="116"/>
      <c r="AO429" s="123"/>
      <c r="AP429" s="123"/>
      <c r="AQ429" s="123"/>
      <c r="AV429" s="115"/>
      <c r="AW429" s="115"/>
      <c r="AX429" s="115"/>
      <c r="AY429" s="115"/>
      <c r="AZ429" s="115"/>
      <c r="BA429" s="115"/>
      <c r="BB429" s="115"/>
      <c r="BC429" s="115"/>
      <c r="BD429" s="115"/>
      <c r="BE429" s="115"/>
      <c r="BF429" s="25"/>
      <c r="BG429" s="13"/>
      <c r="BJ429" s="114"/>
    </row>
    <row r="430" spans="1:62" ht="19.5" x14ac:dyDescent="0.4">
      <c r="A430" s="117"/>
      <c r="B430" s="123"/>
      <c r="C430" s="123"/>
      <c r="D430" s="123"/>
      <c r="W430" s="26"/>
      <c r="X430" s="13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25">
        <v>45679</v>
      </c>
      <c r="AI430" s="13" t="s">
        <v>147</v>
      </c>
      <c r="AN430" s="116"/>
      <c r="AO430" s="123"/>
      <c r="AP430" s="123"/>
      <c r="AQ430" s="123"/>
      <c r="AV430" s="115"/>
      <c r="AW430" s="115"/>
      <c r="AX430" s="115"/>
      <c r="AY430" s="115"/>
      <c r="AZ430" s="115"/>
      <c r="BA430" s="115"/>
      <c r="BB430" s="115"/>
      <c r="BC430" s="115"/>
      <c r="BD430" s="115"/>
      <c r="BE430" s="115"/>
      <c r="BF430" s="25"/>
      <c r="BG430" s="13"/>
      <c r="BJ430" s="114"/>
    </row>
    <row r="431" spans="1:62" ht="19.5" x14ac:dyDescent="0.4">
      <c r="A431" s="117"/>
      <c r="B431" s="123"/>
      <c r="C431" s="123"/>
      <c r="D431" s="123"/>
      <c r="W431" s="26"/>
      <c r="X431" s="13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25">
        <v>45680</v>
      </c>
      <c r="AI431" s="13" t="s">
        <v>148</v>
      </c>
      <c r="AN431" s="116"/>
      <c r="AO431" s="123"/>
      <c r="AP431" s="123"/>
      <c r="AQ431" s="123"/>
      <c r="AV431" s="115"/>
      <c r="AW431" s="115"/>
      <c r="AX431" s="115"/>
      <c r="AY431" s="115"/>
      <c r="AZ431" s="115"/>
      <c r="BA431" s="115"/>
      <c r="BB431" s="115"/>
      <c r="BC431" s="115"/>
      <c r="BD431" s="115"/>
      <c r="BE431" s="115"/>
      <c r="BF431" s="25"/>
      <c r="BG431" s="13"/>
      <c r="BJ431" s="114"/>
    </row>
    <row r="432" spans="1:62" ht="19.5" x14ac:dyDescent="0.4">
      <c r="A432" s="117"/>
      <c r="B432" s="123"/>
      <c r="C432" s="123"/>
      <c r="D432" s="123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7"/>
      <c r="X432" s="13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25"/>
      <c r="AI432" s="13"/>
      <c r="AN432" s="116"/>
      <c r="AO432" s="123"/>
      <c r="AP432" s="123"/>
      <c r="AQ432" s="123"/>
      <c r="AV432" s="115"/>
      <c r="AW432" s="115"/>
      <c r="AX432" s="115"/>
      <c r="AY432" s="115"/>
      <c r="AZ432" s="115"/>
      <c r="BA432" s="115"/>
      <c r="BB432" s="115"/>
      <c r="BC432" s="115"/>
      <c r="BD432" s="115"/>
      <c r="BE432" s="115"/>
      <c r="BF432" s="25"/>
      <c r="BG432" s="13"/>
      <c r="BJ432" s="114"/>
    </row>
    <row r="433" spans="1:62" ht="19.5" x14ac:dyDescent="0.4">
      <c r="A433" s="117"/>
      <c r="B433" s="123"/>
      <c r="C433" s="123"/>
      <c r="D433" s="123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26"/>
      <c r="X433" s="13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25"/>
      <c r="AI433" s="13"/>
      <c r="AN433" s="116"/>
      <c r="AO433" s="123"/>
      <c r="AP433" s="123"/>
      <c r="AQ433" s="123"/>
      <c r="AV433" s="115"/>
      <c r="AW433" s="115"/>
      <c r="AX433" s="115"/>
      <c r="AY433" s="115"/>
      <c r="AZ433" s="115"/>
      <c r="BA433" s="115"/>
      <c r="BB433" s="115"/>
      <c r="BC433" s="115"/>
      <c r="BD433" s="115"/>
      <c r="BE433" s="115"/>
      <c r="BF433" s="25"/>
      <c r="BG433" s="13"/>
      <c r="BJ433" s="114"/>
    </row>
    <row r="434" spans="1:62" ht="19.5" x14ac:dyDescent="0.4">
      <c r="A434" s="117"/>
      <c r="B434" s="123"/>
      <c r="C434" s="123"/>
      <c r="D434" s="123"/>
      <c r="W434" s="26"/>
      <c r="X434" s="13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25">
        <v>45680</v>
      </c>
      <c r="AI434" s="13" t="s">
        <v>147</v>
      </c>
      <c r="AN434" s="116"/>
      <c r="AO434" s="123"/>
      <c r="AP434" s="123"/>
      <c r="AQ434" s="123"/>
      <c r="AV434" s="115"/>
      <c r="AW434" s="115"/>
      <c r="AX434" s="115"/>
      <c r="AY434" s="115"/>
      <c r="AZ434" s="115"/>
      <c r="BA434" s="115"/>
      <c r="BB434" s="115"/>
      <c r="BC434" s="115"/>
      <c r="BD434" s="115"/>
      <c r="BE434" s="115"/>
      <c r="BF434" s="25"/>
      <c r="BG434" s="13"/>
      <c r="BJ434" s="114"/>
    </row>
    <row r="435" spans="1:62" ht="19.5" x14ac:dyDescent="0.4">
      <c r="A435" s="117"/>
      <c r="B435" s="123"/>
      <c r="C435" s="123"/>
      <c r="D435" s="123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26"/>
      <c r="X435" s="13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25"/>
      <c r="AI435" s="13"/>
      <c r="AN435" s="116"/>
      <c r="AO435" s="123"/>
      <c r="AP435" s="123"/>
      <c r="AQ435" s="123"/>
      <c r="AV435" s="115"/>
      <c r="AW435" s="115"/>
      <c r="AX435" s="115"/>
      <c r="AY435" s="115"/>
      <c r="AZ435" s="115"/>
      <c r="BA435" s="115"/>
      <c r="BB435" s="115"/>
      <c r="BC435" s="115"/>
      <c r="BD435" s="115"/>
      <c r="BE435" s="115"/>
      <c r="BF435" s="25"/>
      <c r="BG435" s="13"/>
      <c r="BJ435" s="114"/>
    </row>
    <row r="436" spans="1:62" ht="19.5" x14ac:dyDescent="0.4">
      <c r="A436" s="117"/>
      <c r="B436" s="123"/>
      <c r="C436" s="123"/>
      <c r="D436" s="123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26"/>
      <c r="X436" s="13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25"/>
      <c r="AI436" s="13"/>
      <c r="AN436" s="116"/>
      <c r="AO436" s="123"/>
      <c r="AP436" s="123"/>
      <c r="AQ436" s="123"/>
      <c r="AV436" s="115"/>
      <c r="AW436" s="115"/>
      <c r="AX436" s="115"/>
      <c r="AY436" s="115"/>
      <c r="AZ436" s="115"/>
      <c r="BA436" s="115"/>
      <c r="BB436" s="115"/>
      <c r="BC436" s="115"/>
      <c r="BD436" s="115"/>
      <c r="BE436" s="115"/>
      <c r="BF436" s="25"/>
      <c r="BG436" s="13"/>
      <c r="BJ436" s="114"/>
    </row>
    <row r="437" spans="1:62" ht="19.5" x14ac:dyDescent="0.4">
      <c r="A437" s="117"/>
      <c r="B437" s="123"/>
      <c r="C437" s="123"/>
      <c r="D437" s="123"/>
      <c r="W437" s="26"/>
      <c r="X437" s="13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25">
        <v>45680</v>
      </c>
      <c r="AI437" s="13" t="s">
        <v>147</v>
      </c>
      <c r="AN437" s="116"/>
      <c r="AO437" s="123"/>
      <c r="AP437" s="123"/>
      <c r="AQ437" s="123"/>
      <c r="AV437" s="115"/>
      <c r="AW437" s="115"/>
      <c r="AX437" s="115"/>
      <c r="AY437" s="115"/>
      <c r="AZ437" s="115"/>
      <c r="BA437" s="115"/>
      <c r="BB437" s="115"/>
      <c r="BC437" s="115"/>
      <c r="BD437" s="115"/>
      <c r="BE437" s="115"/>
      <c r="BF437" s="25"/>
      <c r="BG437" s="13"/>
      <c r="BJ437" s="114"/>
    </row>
    <row r="438" spans="1:62" ht="19.5" x14ac:dyDescent="0.4">
      <c r="A438" s="117"/>
      <c r="B438" s="123"/>
      <c r="C438" s="123"/>
      <c r="D438" s="123"/>
      <c r="W438" s="26"/>
      <c r="X438" s="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25"/>
      <c r="AI438" s="13"/>
      <c r="AN438" s="116"/>
      <c r="AO438" s="123"/>
      <c r="AP438" s="123"/>
      <c r="AQ438" s="123"/>
      <c r="AV438" s="115"/>
      <c r="AW438" s="115"/>
      <c r="AX438" s="115"/>
      <c r="AY438" s="115"/>
      <c r="AZ438" s="115"/>
      <c r="BA438" s="115"/>
      <c r="BB438" s="115"/>
      <c r="BC438" s="115"/>
      <c r="BD438" s="115"/>
      <c r="BE438" s="115"/>
      <c r="BF438" s="25"/>
      <c r="BG438" s="13"/>
      <c r="BJ438" s="114"/>
    </row>
    <row r="439" spans="1:6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26"/>
      <c r="X439" s="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25"/>
      <c r="AI439" s="13"/>
      <c r="AN439" s="116"/>
      <c r="AO439" s="123"/>
      <c r="AP439" s="123"/>
      <c r="AQ439" s="123"/>
      <c r="AV439" s="115"/>
      <c r="AW439" s="115"/>
      <c r="AX439" s="115"/>
      <c r="AY439" s="115"/>
      <c r="AZ439" s="115"/>
      <c r="BA439" s="115"/>
      <c r="BB439" s="115"/>
      <c r="BC439" s="115"/>
      <c r="BD439" s="115"/>
      <c r="BE439" s="115"/>
      <c r="BF439" s="25"/>
      <c r="BG439" s="13"/>
      <c r="BJ439" s="114"/>
    </row>
    <row r="440" spans="1:6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26"/>
      <c r="X440" s="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25"/>
      <c r="AI440" s="13"/>
      <c r="AN440" s="116"/>
      <c r="AO440" s="123"/>
      <c r="AP440" s="123"/>
      <c r="AQ440" s="123"/>
      <c r="AV440" s="115"/>
      <c r="AW440" s="115"/>
      <c r="AX440" s="115"/>
      <c r="AY440" s="115"/>
      <c r="AZ440" s="115"/>
      <c r="BA440" s="115"/>
      <c r="BB440" s="115"/>
      <c r="BC440" s="115"/>
      <c r="BD440" s="115"/>
      <c r="BE440" s="115"/>
      <c r="BF440" s="25"/>
      <c r="BG440" s="13"/>
      <c r="BJ440" s="114"/>
    </row>
    <row r="441" spans="1:62" ht="19.5" x14ac:dyDescent="0.4">
      <c r="A441" s="117"/>
      <c r="B441" s="123"/>
      <c r="C441" s="123"/>
      <c r="D441" s="123"/>
      <c r="W441" s="26"/>
      <c r="X441" s="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25">
        <v>45680</v>
      </c>
      <c r="AI441" s="13" t="s">
        <v>146</v>
      </c>
      <c r="AN441" s="116"/>
      <c r="AO441" s="123"/>
      <c r="AP441" s="123"/>
      <c r="AQ441" s="123"/>
      <c r="AV441" s="115"/>
      <c r="AW441" s="115"/>
      <c r="AX441" s="115"/>
      <c r="AY441" s="115"/>
      <c r="AZ441" s="115"/>
      <c r="BA441" s="115"/>
      <c r="BB441" s="115"/>
      <c r="BC441" s="115"/>
      <c r="BD441" s="115"/>
      <c r="BE441" s="115"/>
      <c r="BF441" s="25"/>
      <c r="BG441" s="13"/>
      <c r="BJ441" s="114"/>
    </row>
    <row r="442" spans="1:62" ht="19.5" x14ac:dyDescent="0.4">
      <c r="A442" s="117"/>
      <c r="B442" s="123"/>
      <c r="C442" s="123"/>
      <c r="D442" s="123"/>
      <c r="W442" s="26"/>
      <c r="X442" s="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25">
        <v>45680</v>
      </c>
      <c r="AI442" s="13" t="s">
        <v>146</v>
      </c>
      <c r="AN442" s="116"/>
      <c r="AO442" s="123"/>
      <c r="AP442" s="123"/>
      <c r="AQ442" s="123"/>
      <c r="AV442" s="115"/>
      <c r="AW442" s="115"/>
      <c r="AX442" s="115"/>
      <c r="AY442" s="115"/>
      <c r="AZ442" s="115"/>
      <c r="BA442" s="115"/>
      <c r="BB442" s="115"/>
      <c r="BC442" s="115"/>
      <c r="BD442" s="115"/>
      <c r="BE442" s="115"/>
      <c r="BF442" s="25"/>
      <c r="BG442" s="13"/>
      <c r="BJ442" s="114"/>
    </row>
    <row r="443" spans="1:62" ht="19.5" x14ac:dyDescent="0.4">
      <c r="A443" s="117"/>
      <c r="B443" s="123"/>
      <c r="C443" s="123"/>
      <c r="D443" s="123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26"/>
      <c r="X443" s="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25">
        <v>45680</v>
      </c>
      <c r="AI443" s="13" t="s">
        <v>147</v>
      </c>
      <c r="AN443" s="116"/>
      <c r="AO443" s="123"/>
      <c r="AP443" s="123"/>
      <c r="AQ443" s="123"/>
      <c r="AV443" s="115"/>
      <c r="AW443" s="115"/>
      <c r="AX443" s="115"/>
      <c r="AY443" s="115"/>
      <c r="AZ443" s="115"/>
      <c r="BA443" s="115"/>
      <c r="BB443" s="115"/>
      <c r="BC443" s="115"/>
      <c r="BD443" s="115"/>
      <c r="BE443" s="115"/>
      <c r="BF443" s="25"/>
      <c r="BG443" s="13"/>
      <c r="BJ443" s="114"/>
    </row>
    <row r="444" spans="1:62" ht="19.5" x14ac:dyDescent="0.4">
      <c r="A444" s="117"/>
      <c r="B444" s="123"/>
      <c r="C444" s="123"/>
      <c r="D444" s="123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26"/>
      <c r="X444" s="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25"/>
      <c r="AI444" s="13"/>
      <c r="AN444" s="116"/>
      <c r="AO444" s="123"/>
      <c r="AP444" s="123"/>
      <c r="AQ444" s="123"/>
      <c r="AV444" s="115"/>
      <c r="AW444" s="115"/>
      <c r="AX444" s="115"/>
      <c r="AY444" s="115"/>
      <c r="AZ444" s="115"/>
      <c r="BA444" s="115"/>
      <c r="BB444" s="115"/>
      <c r="BC444" s="115"/>
      <c r="BD444" s="115"/>
      <c r="BE444" s="115"/>
      <c r="BF444" s="25"/>
      <c r="BG444" s="13"/>
      <c r="BJ444" s="114"/>
    </row>
    <row r="445" spans="1:62" ht="19.5" x14ac:dyDescent="0.4">
      <c r="A445" s="117"/>
      <c r="B445" s="123"/>
      <c r="C445" s="123"/>
      <c r="D445" s="123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7"/>
      <c r="X445" s="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25"/>
      <c r="AI445" s="13"/>
      <c r="AN445" s="116"/>
      <c r="AO445" s="123"/>
      <c r="AP445" s="123"/>
      <c r="AQ445" s="123"/>
      <c r="AV445" s="115"/>
      <c r="AW445" s="115"/>
      <c r="AX445" s="115"/>
      <c r="AY445" s="115"/>
      <c r="AZ445" s="115"/>
      <c r="BA445" s="115"/>
      <c r="BB445" s="115"/>
      <c r="BC445" s="115"/>
      <c r="BD445" s="115"/>
      <c r="BE445" s="115"/>
      <c r="BF445" s="25"/>
      <c r="BG445" s="13"/>
      <c r="BJ445" s="114"/>
    </row>
    <row r="446" spans="1:62" ht="19.5" x14ac:dyDescent="0.4">
      <c r="A446" s="117"/>
      <c r="B446" s="123"/>
      <c r="C446" s="123"/>
      <c r="D446" s="123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26"/>
      <c r="X446" s="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25"/>
      <c r="AI446" s="13"/>
      <c r="AN446" s="116"/>
      <c r="AO446" s="123"/>
      <c r="AP446" s="123"/>
      <c r="AQ446" s="123"/>
      <c r="AV446" s="115"/>
      <c r="AW446" s="115"/>
      <c r="AX446" s="115"/>
      <c r="AY446" s="115"/>
      <c r="AZ446" s="115"/>
      <c r="BA446" s="115"/>
      <c r="BB446" s="115"/>
      <c r="BC446" s="115"/>
      <c r="BD446" s="115"/>
      <c r="BE446" s="115"/>
      <c r="BF446" s="25"/>
      <c r="BG446" s="13"/>
      <c r="BJ446" s="114"/>
    </row>
    <row r="447" spans="1:62" ht="19.5" x14ac:dyDescent="0.4">
      <c r="A447" s="117"/>
      <c r="B447" s="123"/>
      <c r="C447" s="123"/>
      <c r="D447" s="123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7"/>
      <c r="X447" s="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25"/>
      <c r="AI447" s="13"/>
      <c r="AN447" s="116"/>
      <c r="AO447" s="123"/>
      <c r="AP447" s="123"/>
      <c r="AQ447" s="123"/>
      <c r="AV447" s="115"/>
      <c r="AW447" s="115"/>
      <c r="AX447" s="115"/>
      <c r="AY447" s="115"/>
      <c r="AZ447" s="115"/>
      <c r="BA447" s="115"/>
      <c r="BB447" s="115"/>
      <c r="BC447" s="115"/>
      <c r="BD447" s="115"/>
      <c r="BE447" s="115"/>
      <c r="BF447" s="25"/>
      <c r="BG447" s="13"/>
      <c r="BJ447" s="114"/>
    </row>
    <row r="448" spans="1:62" ht="19.5" x14ac:dyDescent="0.4">
      <c r="A448" s="117"/>
      <c r="B448" s="123"/>
      <c r="C448" s="123"/>
      <c r="D448" s="123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26"/>
      <c r="X448" s="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25">
        <v>45680</v>
      </c>
      <c r="AI448" s="15" t="s">
        <v>142</v>
      </c>
      <c r="AN448" s="116"/>
      <c r="AO448" s="123"/>
      <c r="AP448" s="123"/>
      <c r="AQ448" s="123"/>
      <c r="AV448" s="115"/>
      <c r="AW448" s="115"/>
      <c r="AX448" s="115"/>
      <c r="AY448" s="115"/>
      <c r="AZ448" s="115"/>
      <c r="BA448" s="115"/>
      <c r="BB448" s="115"/>
      <c r="BC448" s="115"/>
      <c r="BD448" s="115"/>
      <c r="BE448" s="115"/>
      <c r="BF448" s="25"/>
      <c r="BG448" s="13"/>
      <c r="BJ448" s="114"/>
    </row>
    <row r="449" spans="1:62" ht="19.5" x14ac:dyDescent="0.4">
      <c r="A449" s="117"/>
      <c r="B449" s="123"/>
      <c r="C449" s="123"/>
      <c r="D449" s="123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7"/>
      <c r="X449" s="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25"/>
      <c r="AI449" s="15"/>
      <c r="AN449" s="116"/>
      <c r="AO449" s="123"/>
      <c r="AP449" s="123"/>
      <c r="AQ449" s="123"/>
      <c r="AV449" s="115"/>
      <c r="AW449" s="115"/>
      <c r="AX449" s="115"/>
      <c r="AY449" s="115"/>
      <c r="AZ449" s="115"/>
      <c r="BA449" s="115"/>
      <c r="BB449" s="115"/>
      <c r="BC449" s="115"/>
      <c r="BD449" s="115"/>
      <c r="BE449" s="115"/>
      <c r="BF449" s="25"/>
      <c r="BG449" s="13"/>
      <c r="BJ449" s="114"/>
    </row>
    <row r="450" spans="1:62" ht="19.5" x14ac:dyDescent="0.4">
      <c r="A450" s="117"/>
      <c r="B450" s="123"/>
      <c r="C450" s="123"/>
      <c r="D450" s="123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26"/>
      <c r="X450" s="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25"/>
      <c r="AI450" s="15"/>
      <c r="AN450" s="116"/>
      <c r="AO450" s="123"/>
      <c r="AP450" s="123"/>
      <c r="AQ450" s="123"/>
      <c r="AV450" s="115"/>
      <c r="AW450" s="115"/>
      <c r="AX450" s="115"/>
      <c r="AY450" s="115"/>
      <c r="AZ450" s="115"/>
      <c r="BA450" s="115"/>
      <c r="BB450" s="115"/>
      <c r="BC450" s="115"/>
      <c r="BD450" s="115"/>
      <c r="BE450" s="115"/>
      <c r="BF450" s="25"/>
      <c r="BG450" s="13"/>
      <c r="BJ450" s="114"/>
    </row>
    <row r="451" spans="1:62" ht="19.5" x14ac:dyDescent="0.4">
      <c r="A451" s="117"/>
      <c r="B451" s="123"/>
      <c r="C451" s="123"/>
      <c r="D451" s="123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26"/>
      <c r="X451" s="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25">
        <v>45680</v>
      </c>
      <c r="AI451" s="15" t="s">
        <v>146</v>
      </c>
      <c r="AN451" s="116"/>
      <c r="AO451" s="123"/>
      <c r="AP451" s="123"/>
      <c r="AQ451" s="123"/>
      <c r="AV451" s="115"/>
      <c r="AW451" s="115"/>
      <c r="AX451" s="115"/>
      <c r="AY451" s="115"/>
      <c r="AZ451" s="115"/>
      <c r="BA451" s="115"/>
      <c r="BB451" s="115"/>
      <c r="BC451" s="115"/>
      <c r="BD451" s="115"/>
      <c r="BE451" s="115"/>
      <c r="BF451" s="25"/>
      <c r="BG451" s="13"/>
      <c r="BJ451" s="114"/>
    </row>
    <row r="452" spans="1:62" ht="19.5" x14ac:dyDescent="0.4">
      <c r="A452" s="117"/>
      <c r="B452" s="123"/>
      <c r="C452" s="123"/>
      <c r="D452" s="123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26"/>
      <c r="X452" s="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25"/>
      <c r="AI452" s="15"/>
      <c r="AN452" s="116"/>
      <c r="AO452" s="123"/>
      <c r="AP452" s="123"/>
      <c r="AQ452" s="123"/>
      <c r="AV452" s="115"/>
      <c r="AW452" s="115"/>
      <c r="AX452" s="115"/>
      <c r="AY452" s="115"/>
      <c r="AZ452" s="115"/>
      <c r="BA452" s="115"/>
      <c r="BB452" s="115"/>
      <c r="BC452" s="115"/>
      <c r="BD452" s="115"/>
      <c r="BE452" s="115"/>
      <c r="BF452" s="25"/>
      <c r="BG452" s="13"/>
      <c r="BJ452" s="114"/>
    </row>
    <row r="453" spans="1:62" ht="19.5" x14ac:dyDescent="0.4">
      <c r="A453" s="117"/>
      <c r="B453" s="123"/>
      <c r="C453" s="123"/>
      <c r="D453" s="123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26"/>
      <c r="X453" s="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25">
        <v>45680</v>
      </c>
      <c r="AI453" s="15" t="s">
        <v>146</v>
      </c>
      <c r="AN453" s="116"/>
      <c r="AO453" s="123"/>
      <c r="AP453" s="123"/>
      <c r="AQ453" s="123"/>
      <c r="AV453" s="115"/>
      <c r="AW453" s="115"/>
      <c r="AX453" s="115"/>
      <c r="AY453" s="115"/>
      <c r="AZ453" s="115"/>
      <c r="BA453" s="115"/>
      <c r="BB453" s="115"/>
      <c r="BC453" s="115"/>
      <c r="BD453" s="115"/>
      <c r="BE453" s="115"/>
      <c r="BF453" s="25"/>
      <c r="BG453" s="13"/>
      <c r="BJ453" s="114"/>
    </row>
    <row r="454" spans="1:62" ht="19.5" x14ac:dyDescent="0.4">
      <c r="A454" s="117"/>
      <c r="B454" s="123"/>
      <c r="C454" s="123"/>
      <c r="D454" s="123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26"/>
      <c r="X454" s="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25"/>
      <c r="AI454" s="15"/>
      <c r="AN454" s="116"/>
      <c r="AO454" s="123"/>
      <c r="AP454" s="123"/>
      <c r="AQ454" s="123"/>
      <c r="AV454" s="115"/>
      <c r="AW454" s="115"/>
      <c r="AX454" s="115"/>
      <c r="AY454" s="115"/>
      <c r="AZ454" s="115"/>
      <c r="BA454" s="115"/>
      <c r="BB454" s="115"/>
      <c r="BC454" s="115"/>
      <c r="BD454" s="115"/>
      <c r="BE454" s="115"/>
      <c r="BF454" s="25"/>
      <c r="BG454" s="13"/>
      <c r="BJ454" s="114"/>
    </row>
    <row r="455" spans="1:62" ht="19.5" x14ac:dyDescent="0.4">
      <c r="A455" s="117"/>
      <c r="B455" s="123"/>
      <c r="C455" s="123"/>
      <c r="D455" s="123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26"/>
      <c r="X455" s="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25"/>
      <c r="AI455" s="15"/>
      <c r="AN455" s="116"/>
      <c r="AO455" s="123"/>
      <c r="AP455" s="123"/>
      <c r="AQ455" s="123"/>
      <c r="AV455" s="115"/>
      <c r="AW455" s="115"/>
      <c r="AX455" s="115"/>
      <c r="AY455" s="115"/>
      <c r="AZ455" s="115"/>
      <c r="BA455" s="115"/>
      <c r="BB455" s="115"/>
      <c r="BC455" s="115"/>
      <c r="BD455" s="115"/>
      <c r="BE455" s="115"/>
      <c r="BF455" s="25"/>
      <c r="BG455" s="13"/>
      <c r="BJ455" s="114"/>
    </row>
    <row r="456" spans="1:62" ht="19.5" x14ac:dyDescent="0.4">
      <c r="A456" s="117"/>
      <c r="B456" s="123"/>
      <c r="C456" s="123"/>
      <c r="D456" s="123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26"/>
      <c r="X456" s="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25"/>
      <c r="AI456" s="15"/>
      <c r="AN456" s="116"/>
      <c r="AO456" s="123"/>
      <c r="AP456" s="123"/>
      <c r="AQ456" s="123"/>
      <c r="AV456" s="115"/>
      <c r="AW456" s="115"/>
      <c r="AX456" s="115"/>
      <c r="AY456" s="115"/>
      <c r="AZ456" s="115"/>
      <c r="BA456" s="115"/>
      <c r="BB456" s="115"/>
      <c r="BC456" s="115"/>
      <c r="BD456" s="115"/>
      <c r="BE456" s="115"/>
      <c r="BF456" s="25"/>
      <c r="BG456" s="13"/>
      <c r="BJ456" s="114"/>
    </row>
    <row r="457" spans="1:62" ht="19.5" x14ac:dyDescent="0.4">
      <c r="A457" s="117"/>
      <c r="B457" s="123"/>
      <c r="C457" s="123"/>
      <c r="D457" s="123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26"/>
      <c r="X457" s="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25">
        <v>45680</v>
      </c>
      <c r="AI457" s="15" t="s">
        <v>146</v>
      </c>
      <c r="AN457" s="116"/>
      <c r="AO457" s="123"/>
      <c r="AP457" s="123"/>
      <c r="AQ457" s="123"/>
      <c r="AV457" s="115"/>
      <c r="AW457" s="115"/>
      <c r="AX457" s="115"/>
      <c r="AY457" s="115"/>
      <c r="AZ457" s="115"/>
      <c r="BA457" s="115"/>
      <c r="BB457" s="115"/>
      <c r="BC457" s="115"/>
      <c r="BD457" s="115"/>
      <c r="BE457" s="115"/>
      <c r="BF457" s="25"/>
      <c r="BG457" s="13"/>
      <c r="BJ457" s="114"/>
    </row>
    <row r="458" spans="1:62" ht="19.5" x14ac:dyDescent="0.4">
      <c r="A458" s="117"/>
      <c r="B458" s="123"/>
      <c r="C458" s="123"/>
      <c r="D458" s="123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26"/>
      <c r="X458" s="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25"/>
      <c r="AI458" s="15"/>
      <c r="AN458" s="116"/>
      <c r="AO458" s="123"/>
      <c r="AP458" s="123"/>
      <c r="AQ458" s="123"/>
      <c r="AV458" s="115"/>
      <c r="AW458" s="115"/>
      <c r="AX458" s="115"/>
      <c r="AY458" s="115"/>
      <c r="AZ458" s="115"/>
      <c r="BA458" s="115"/>
      <c r="BB458" s="115"/>
      <c r="BC458" s="115"/>
      <c r="BD458" s="115"/>
      <c r="BE458" s="115"/>
      <c r="BF458" s="25"/>
      <c r="BG458" s="13"/>
      <c r="BJ458" s="114"/>
    </row>
    <row r="459" spans="1:62" ht="19.5" x14ac:dyDescent="0.4">
      <c r="A459" s="117"/>
      <c r="B459" s="123"/>
      <c r="C459" s="123"/>
      <c r="D459" s="123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7"/>
      <c r="X459" s="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25"/>
      <c r="AI459" s="15"/>
      <c r="AN459" s="116"/>
      <c r="AO459" s="123"/>
      <c r="AP459" s="123"/>
      <c r="AQ459" s="123"/>
      <c r="AV459" s="115"/>
      <c r="AW459" s="115"/>
      <c r="AX459" s="115"/>
      <c r="AY459" s="115"/>
      <c r="AZ459" s="115"/>
      <c r="BA459" s="115"/>
      <c r="BB459" s="115"/>
      <c r="BC459" s="115"/>
      <c r="BD459" s="115"/>
      <c r="BE459" s="115"/>
      <c r="BF459" s="25"/>
      <c r="BG459" s="13"/>
      <c r="BJ459" s="114"/>
    </row>
    <row r="460" spans="1:62" ht="19.5" x14ac:dyDescent="0.4">
      <c r="A460" s="117"/>
      <c r="B460" s="123"/>
      <c r="C460" s="123"/>
      <c r="D460" s="123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26"/>
      <c r="X460" s="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25">
        <v>45680</v>
      </c>
      <c r="AI460" s="15" t="s">
        <v>147</v>
      </c>
      <c r="AN460" s="116"/>
      <c r="AO460" s="123"/>
      <c r="AP460" s="123"/>
      <c r="AQ460" s="123"/>
      <c r="AV460" s="115"/>
      <c r="AW460" s="115"/>
      <c r="AX460" s="115"/>
      <c r="AY460" s="115"/>
      <c r="AZ460" s="115"/>
      <c r="BA460" s="115"/>
      <c r="BB460" s="115"/>
      <c r="BC460" s="115"/>
      <c r="BD460" s="115"/>
      <c r="BE460" s="115"/>
      <c r="BF460" s="25"/>
      <c r="BG460" s="13"/>
      <c r="BJ460" s="114"/>
    </row>
    <row r="461" spans="1:62" ht="19.5" x14ac:dyDescent="0.4">
      <c r="A461" s="117"/>
      <c r="B461" s="123"/>
      <c r="C461" s="123"/>
      <c r="D461" s="123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7"/>
      <c r="X461" s="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25"/>
      <c r="AI461" s="13"/>
      <c r="AN461" s="116"/>
      <c r="AO461" s="123"/>
      <c r="AP461" s="123"/>
      <c r="AQ461" s="123"/>
      <c r="AV461" s="115"/>
      <c r="AW461" s="115"/>
      <c r="AX461" s="115"/>
      <c r="AY461" s="115"/>
      <c r="AZ461" s="115"/>
      <c r="BA461" s="115"/>
      <c r="BB461" s="115"/>
      <c r="BC461" s="115"/>
      <c r="BD461" s="115"/>
      <c r="BE461" s="115"/>
      <c r="BF461" s="25"/>
      <c r="BG461" s="13"/>
      <c r="BJ461" s="114"/>
    </row>
    <row r="462" spans="1:62" ht="19.5" x14ac:dyDescent="0.4">
      <c r="A462" s="117"/>
      <c r="B462" s="123"/>
      <c r="C462" s="123"/>
      <c r="D462" s="123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26"/>
      <c r="X462" s="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25"/>
      <c r="AI462" s="13"/>
      <c r="AN462" s="116"/>
      <c r="AO462" s="123"/>
      <c r="AP462" s="123"/>
      <c r="AQ462" s="123"/>
      <c r="AV462" s="115"/>
      <c r="AW462" s="115"/>
      <c r="AX462" s="115"/>
      <c r="AY462" s="115"/>
      <c r="AZ462" s="115"/>
      <c r="BA462" s="115"/>
      <c r="BB462" s="115"/>
      <c r="BC462" s="115"/>
      <c r="BD462" s="115"/>
      <c r="BE462" s="115"/>
      <c r="BF462" s="25"/>
      <c r="BG462" s="13"/>
      <c r="BJ462" s="114"/>
    </row>
    <row r="463" spans="1:62" ht="19.5" x14ac:dyDescent="0.4">
      <c r="A463" s="117"/>
      <c r="B463" s="123"/>
      <c r="C463" s="123"/>
      <c r="D463" s="123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26"/>
      <c r="X463" s="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25"/>
      <c r="AI463" s="13"/>
      <c r="AN463" s="116"/>
      <c r="AO463" s="123"/>
      <c r="AP463" s="123"/>
      <c r="AQ463" s="123"/>
      <c r="AV463" s="115"/>
      <c r="AW463" s="115"/>
      <c r="AX463" s="115"/>
      <c r="AY463" s="115"/>
      <c r="AZ463" s="115"/>
      <c r="BA463" s="115"/>
      <c r="BB463" s="115"/>
      <c r="BC463" s="115"/>
      <c r="BD463" s="115"/>
      <c r="BE463" s="115"/>
      <c r="BF463" s="25"/>
      <c r="BG463" s="13"/>
      <c r="BJ463" s="114"/>
    </row>
    <row r="464" spans="1:62" ht="19.5" x14ac:dyDescent="0.4">
      <c r="A464" s="117"/>
      <c r="B464" s="123"/>
      <c r="C464" s="123"/>
      <c r="D464" s="123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7"/>
      <c r="X464" s="13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25"/>
      <c r="AI464" s="13"/>
      <c r="AN464" s="116"/>
      <c r="AO464" s="123"/>
      <c r="AP464" s="123"/>
      <c r="AQ464" s="123"/>
      <c r="AV464" s="115"/>
      <c r="AW464" s="115"/>
      <c r="AX464" s="115"/>
      <c r="AY464" s="115"/>
      <c r="AZ464" s="115"/>
      <c r="BA464" s="115"/>
      <c r="BB464" s="115"/>
      <c r="BC464" s="115"/>
      <c r="BD464" s="115"/>
      <c r="BE464" s="115"/>
      <c r="BF464" s="25"/>
      <c r="BG464" s="13"/>
      <c r="BJ464" s="114"/>
    </row>
    <row r="465" spans="1:62" ht="19.5" x14ac:dyDescent="0.4">
      <c r="A465" s="117"/>
      <c r="B465" s="123"/>
      <c r="C465" s="123"/>
      <c r="D465" s="123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7"/>
      <c r="X465" s="13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25"/>
      <c r="AI465" s="13"/>
      <c r="AN465" s="116"/>
      <c r="AO465" s="123"/>
      <c r="AP465" s="123"/>
      <c r="AQ465" s="123"/>
      <c r="AV465" s="115"/>
      <c r="AW465" s="115"/>
      <c r="AX465" s="115"/>
      <c r="AY465" s="115"/>
      <c r="AZ465" s="115"/>
      <c r="BA465" s="115"/>
      <c r="BB465" s="115"/>
      <c r="BC465" s="115"/>
      <c r="BD465" s="115"/>
      <c r="BE465" s="115"/>
      <c r="BF465" s="25"/>
      <c r="BG465" s="13"/>
      <c r="BJ465" s="114"/>
    </row>
    <row r="466" spans="1:62" ht="19.5" x14ac:dyDescent="0.4">
      <c r="A466" s="117"/>
      <c r="B466" s="123"/>
      <c r="C466" s="123"/>
      <c r="D466" s="123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26"/>
      <c r="X466" s="13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25"/>
      <c r="AI466" s="13"/>
      <c r="AN466" s="116"/>
      <c r="AO466" s="123"/>
      <c r="AP466" s="123"/>
      <c r="AQ466" s="123"/>
      <c r="AV466" s="115"/>
      <c r="AW466" s="115"/>
      <c r="AX466" s="115"/>
      <c r="AY466" s="115"/>
      <c r="AZ466" s="115"/>
      <c r="BA466" s="115"/>
      <c r="BB466" s="115"/>
      <c r="BC466" s="115"/>
      <c r="BD466" s="115"/>
      <c r="BE466" s="115"/>
      <c r="BF466" s="25"/>
      <c r="BG466" s="13"/>
      <c r="BJ466" s="114"/>
    </row>
    <row r="467" spans="1:62" ht="19.5" x14ac:dyDescent="0.4">
      <c r="A467" s="117"/>
      <c r="B467" s="123"/>
      <c r="C467" s="123"/>
      <c r="D467" s="123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26"/>
      <c r="X467" s="13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25"/>
      <c r="AI467" s="13"/>
      <c r="AN467" s="116"/>
      <c r="AO467" s="123"/>
      <c r="AP467" s="123"/>
      <c r="AQ467" s="123"/>
      <c r="AV467" s="115"/>
      <c r="AW467" s="115"/>
      <c r="AX467" s="115"/>
      <c r="AY467" s="115"/>
      <c r="AZ467" s="115"/>
      <c r="BA467" s="115"/>
      <c r="BB467" s="115"/>
      <c r="BC467" s="115"/>
      <c r="BD467" s="115"/>
      <c r="BE467" s="115"/>
      <c r="BF467" s="25"/>
      <c r="BG467" s="13"/>
      <c r="BJ467" s="114"/>
    </row>
    <row r="468" spans="1:62" ht="19.5" x14ac:dyDescent="0.4">
      <c r="A468" s="117"/>
      <c r="B468" s="123"/>
      <c r="C468" s="123"/>
      <c r="D468" s="123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26"/>
      <c r="X468" s="13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25"/>
      <c r="AI468" s="13"/>
      <c r="AN468" s="116"/>
      <c r="AO468" s="123"/>
      <c r="AP468" s="123"/>
      <c r="AQ468" s="123"/>
      <c r="AV468" s="115"/>
      <c r="AW468" s="115"/>
      <c r="AX468" s="115"/>
      <c r="AY468" s="115"/>
      <c r="AZ468" s="115"/>
      <c r="BA468" s="115"/>
      <c r="BB468" s="115"/>
      <c r="BC468" s="115"/>
      <c r="BD468" s="115"/>
      <c r="BE468" s="115"/>
      <c r="BF468" s="25"/>
      <c r="BG468" s="13"/>
      <c r="BJ468" s="114"/>
    </row>
    <row r="469" spans="1:62" ht="19.5" x14ac:dyDescent="0.4">
      <c r="A469" s="117"/>
      <c r="B469" s="123"/>
      <c r="C469" s="123"/>
      <c r="D469" s="123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26"/>
      <c r="X469" s="13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25"/>
      <c r="AI469" s="13"/>
      <c r="AN469" s="116"/>
      <c r="AO469" s="123"/>
      <c r="AP469" s="123"/>
      <c r="AQ469" s="123"/>
      <c r="AV469" s="115"/>
      <c r="AW469" s="115"/>
      <c r="AX469" s="115"/>
      <c r="AY469" s="115"/>
      <c r="AZ469" s="115"/>
      <c r="BA469" s="115"/>
      <c r="BB469" s="115"/>
      <c r="BC469" s="115"/>
      <c r="BD469" s="115"/>
      <c r="BE469" s="115"/>
      <c r="BF469" s="25"/>
      <c r="BG469" s="13"/>
      <c r="BJ469" s="114"/>
    </row>
    <row r="470" spans="1:62" ht="19.5" x14ac:dyDescent="0.4">
      <c r="A470" s="117"/>
      <c r="B470" s="123"/>
      <c r="C470" s="123"/>
      <c r="D470" s="123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26"/>
      <c r="X470" s="13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25">
        <v>45680</v>
      </c>
      <c r="AI470" s="13" t="s">
        <v>146</v>
      </c>
      <c r="AN470" s="116"/>
      <c r="AO470" s="123"/>
      <c r="AP470" s="123"/>
      <c r="AQ470" s="123"/>
      <c r="AV470" s="115"/>
      <c r="AW470" s="115"/>
      <c r="AX470" s="115"/>
      <c r="AY470" s="115"/>
      <c r="AZ470" s="115"/>
      <c r="BA470" s="115"/>
      <c r="BB470" s="115"/>
      <c r="BC470" s="115"/>
      <c r="BD470" s="115"/>
      <c r="BE470" s="115"/>
      <c r="BF470" s="25"/>
      <c r="BG470" s="13"/>
      <c r="BJ470" s="114"/>
    </row>
    <row r="471" spans="1:62" ht="19.5" x14ac:dyDescent="0.4">
      <c r="A471" s="117"/>
      <c r="B471" s="123"/>
      <c r="C471" s="123"/>
      <c r="D471" s="123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7"/>
      <c r="X471" s="13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25"/>
      <c r="AI471" s="13"/>
      <c r="AN471" s="116"/>
      <c r="AO471" s="123"/>
      <c r="AP471" s="123"/>
      <c r="AQ471" s="123"/>
      <c r="AV471" s="115"/>
      <c r="AW471" s="115"/>
      <c r="AX471" s="115"/>
      <c r="AY471" s="115"/>
      <c r="AZ471" s="115"/>
      <c r="BA471" s="115"/>
      <c r="BB471" s="115"/>
      <c r="BC471" s="115"/>
      <c r="BD471" s="115"/>
      <c r="BE471" s="115"/>
      <c r="BF471" s="25"/>
      <c r="BG471" s="13"/>
      <c r="BJ471" s="114"/>
    </row>
    <row r="472" spans="1:62" ht="19.5" x14ac:dyDescent="0.4">
      <c r="A472" s="117"/>
      <c r="B472" s="123"/>
      <c r="C472" s="123"/>
      <c r="D472" s="123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26"/>
      <c r="X472" s="13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25">
        <v>45680</v>
      </c>
      <c r="AI472" s="13" t="s">
        <v>147</v>
      </c>
      <c r="AN472" s="116"/>
      <c r="AO472" s="123"/>
      <c r="AP472" s="123"/>
      <c r="AQ472" s="123"/>
      <c r="AV472" s="115"/>
      <c r="AW472" s="115"/>
      <c r="AX472" s="115"/>
      <c r="AY472" s="115"/>
      <c r="AZ472" s="115"/>
      <c r="BA472" s="115"/>
      <c r="BB472" s="115"/>
      <c r="BC472" s="115"/>
      <c r="BD472" s="115"/>
      <c r="BE472" s="115"/>
      <c r="BF472" s="25"/>
      <c r="BG472" s="13"/>
      <c r="BJ472" s="114"/>
    </row>
    <row r="473" spans="1:62" ht="19.5" x14ac:dyDescent="0.4">
      <c r="A473" s="117"/>
      <c r="B473" s="123"/>
      <c r="C473" s="123"/>
      <c r="D473" s="123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26"/>
      <c r="X473" s="13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25">
        <v>45680</v>
      </c>
      <c r="AI473" s="13" t="s">
        <v>146</v>
      </c>
      <c r="AN473" s="116"/>
      <c r="AO473" s="123"/>
      <c r="AP473" s="123"/>
      <c r="AQ473" s="123"/>
      <c r="AV473" s="115"/>
      <c r="AW473" s="115"/>
      <c r="AX473" s="115"/>
      <c r="AY473" s="115"/>
      <c r="AZ473" s="115"/>
      <c r="BA473" s="115"/>
      <c r="BB473" s="115"/>
      <c r="BC473" s="115"/>
      <c r="BD473" s="115"/>
      <c r="BE473" s="115"/>
      <c r="BF473" s="25"/>
      <c r="BG473" s="13"/>
      <c r="BJ473" s="114"/>
    </row>
    <row r="474" spans="1:62" ht="19.5" x14ac:dyDescent="0.4">
      <c r="A474" s="117"/>
      <c r="B474" s="123"/>
      <c r="C474" s="123"/>
      <c r="D474" s="123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7"/>
      <c r="X474" s="13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25"/>
      <c r="AI474" s="13"/>
      <c r="AN474" s="116"/>
      <c r="AO474" s="123"/>
      <c r="AP474" s="123"/>
      <c r="AQ474" s="123"/>
      <c r="AV474" s="115"/>
      <c r="AW474" s="115"/>
      <c r="AX474" s="115"/>
      <c r="AY474" s="115"/>
      <c r="AZ474" s="115"/>
      <c r="BA474" s="115"/>
      <c r="BB474" s="115"/>
      <c r="BC474" s="115"/>
      <c r="BD474" s="115"/>
      <c r="BE474" s="115"/>
      <c r="BF474" s="25"/>
      <c r="BG474" s="13"/>
      <c r="BJ474" s="114"/>
    </row>
    <row r="475" spans="1:62" ht="19.5" x14ac:dyDescent="0.4">
      <c r="A475" s="117"/>
      <c r="B475" s="123"/>
      <c r="C475" s="123"/>
      <c r="D475" s="123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26"/>
      <c r="X475" s="13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25"/>
      <c r="AI475" s="13"/>
      <c r="AN475" s="116"/>
      <c r="AO475" s="123"/>
      <c r="AP475" s="123"/>
      <c r="AQ475" s="123"/>
      <c r="AV475" s="115"/>
      <c r="AW475" s="115"/>
      <c r="AX475" s="115"/>
      <c r="AY475" s="115"/>
      <c r="AZ475" s="115"/>
      <c r="BA475" s="115"/>
      <c r="BB475" s="115"/>
      <c r="BC475" s="115"/>
      <c r="BD475" s="115"/>
      <c r="BE475" s="115"/>
      <c r="BF475" s="25"/>
      <c r="BG475" s="13"/>
      <c r="BJ475" s="114"/>
    </row>
    <row r="476" spans="1:62" ht="19.5" x14ac:dyDescent="0.4">
      <c r="A476" s="117"/>
      <c r="B476" s="123"/>
      <c r="C476" s="123"/>
      <c r="D476" s="123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7"/>
      <c r="X476" s="13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25"/>
      <c r="AI476" s="13"/>
      <c r="AN476" s="116"/>
      <c r="AO476" s="123"/>
      <c r="AP476" s="123"/>
      <c r="AQ476" s="123"/>
      <c r="AV476" s="115"/>
      <c r="AW476" s="115"/>
      <c r="AX476" s="115"/>
      <c r="AY476" s="115"/>
      <c r="AZ476" s="115"/>
      <c r="BA476" s="115"/>
      <c r="BB476" s="115"/>
      <c r="BC476" s="115"/>
      <c r="BD476" s="115"/>
      <c r="BE476" s="115"/>
      <c r="BF476" s="25"/>
      <c r="BG476" s="13"/>
      <c r="BJ476" s="114"/>
    </row>
    <row r="477" spans="1:62" ht="19.5" x14ac:dyDescent="0.4">
      <c r="A477" s="117"/>
      <c r="B477" s="123"/>
      <c r="C477" s="123"/>
      <c r="D477" s="123"/>
      <c r="W477" s="26"/>
      <c r="X477" s="13"/>
      <c r="AH477" s="25">
        <v>45680</v>
      </c>
      <c r="AI477" s="13" t="s">
        <v>146</v>
      </c>
      <c r="AN477" s="117"/>
      <c r="AO477" s="123"/>
      <c r="AP477" s="123"/>
      <c r="AQ477" s="123"/>
      <c r="AV477" s="115"/>
      <c r="AW477" s="115"/>
      <c r="AX477" s="115"/>
      <c r="AY477" s="115"/>
      <c r="AZ477" s="115"/>
      <c r="BA477" s="115"/>
      <c r="BB477" s="115"/>
      <c r="BC477" s="115"/>
      <c r="BD477" s="115"/>
      <c r="BE477" s="115" t="s">
        <v>149</v>
      </c>
      <c r="BF477" s="13">
        <f>SUBTOTAL(3,BF2:BF2)</f>
        <v>1</v>
      </c>
      <c r="BG477" s="13">
        <f>SUBTOTAL(3,BG2:BG2)</f>
        <v>1</v>
      </c>
      <c r="BJ477" s="114"/>
    </row>
    <row r="478" spans="1:62" ht="19.5" x14ac:dyDescent="0.4">
      <c r="A478" s="117"/>
      <c r="B478" s="123"/>
      <c r="C478" s="123"/>
      <c r="D478" s="123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7"/>
      <c r="X478" s="13"/>
      <c r="AH478" s="25"/>
      <c r="AI478" s="13"/>
      <c r="AN478" s="117"/>
      <c r="AO478" s="123"/>
      <c r="AP478" s="123"/>
      <c r="AQ478" s="123"/>
      <c r="AV478" s="115"/>
      <c r="AW478" s="115"/>
      <c r="AX478" s="115"/>
      <c r="AY478" s="115"/>
      <c r="AZ478" s="115"/>
      <c r="BA478" s="115"/>
      <c r="BB478" s="115"/>
      <c r="BC478" s="115"/>
      <c r="BD478" s="115"/>
      <c r="BE478" s="115"/>
      <c r="BF478" s="13"/>
      <c r="BG478" s="13"/>
      <c r="BJ478" s="114"/>
    </row>
    <row r="479" spans="1:62" ht="19.5" x14ac:dyDescent="0.4">
      <c r="A479" s="117"/>
      <c r="B479" s="123"/>
      <c r="C479" s="123"/>
      <c r="D479" s="123"/>
      <c r="W479" s="26"/>
      <c r="X479" s="13"/>
      <c r="AH479" s="25"/>
      <c r="AI479" s="13"/>
      <c r="AN479" s="117"/>
      <c r="AO479" s="123"/>
      <c r="AP479" s="123"/>
      <c r="AQ479" s="123"/>
      <c r="AV479" s="115"/>
      <c r="AW479" s="115"/>
      <c r="AX479" s="115"/>
      <c r="AY479" s="115"/>
      <c r="AZ479" s="115"/>
      <c r="BA479" s="115"/>
      <c r="BB479" s="115"/>
      <c r="BC479" s="115"/>
      <c r="BD479" s="115"/>
      <c r="BE479" s="115"/>
      <c r="BF479" s="13"/>
      <c r="BG479" s="13"/>
      <c r="BJ479" s="114"/>
    </row>
    <row r="480" spans="1:62" ht="19.5" x14ac:dyDescent="0.4">
      <c r="A480" s="117"/>
      <c r="B480" s="123"/>
      <c r="C480" s="123"/>
      <c r="D480" s="123"/>
      <c r="W480" s="26"/>
      <c r="X480" s="13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25">
        <v>45682</v>
      </c>
      <c r="AI480" s="13" t="s">
        <v>147</v>
      </c>
      <c r="AN480" s="117"/>
      <c r="AO480" s="123"/>
      <c r="AP480" s="123"/>
      <c r="AQ480" s="123"/>
      <c r="AV480" s="115"/>
      <c r="AW480" s="115"/>
      <c r="AX480" s="115"/>
      <c r="AY480" s="115"/>
      <c r="AZ480" s="115"/>
      <c r="BA480" s="115"/>
      <c r="BB480" s="115"/>
      <c r="BC480" s="115"/>
      <c r="BD480" s="115"/>
      <c r="BE480" s="115"/>
      <c r="BF480" s="13"/>
      <c r="BG480" s="13"/>
      <c r="BJ480" s="114"/>
    </row>
    <row r="481" spans="1:62" ht="19.5" x14ac:dyDescent="0.4">
      <c r="A481" s="117"/>
      <c r="B481" s="123"/>
      <c r="C481" s="123"/>
      <c r="D481" s="123"/>
      <c r="W481" s="26"/>
      <c r="X481" s="13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25">
        <v>45682</v>
      </c>
      <c r="AI481" s="13" t="s">
        <v>146</v>
      </c>
      <c r="AN481" s="117"/>
      <c r="AO481" s="123"/>
      <c r="AP481" s="123"/>
      <c r="AQ481" s="123"/>
      <c r="AV481" s="115"/>
      <c r="AW481" s="115"/>
      <c r="AX481" s="115"/>
      <c r="AY481" s="115"/>
      <c r="AZ481" s="115"/>
      <c r="BA481" s="115"/>
      <c r="BB481" s="115"/>
      <c r="BC481" s="115"/>
      <c r="BD481" s="115"/>
      <c r="BE481" s="115"/>
      <c r="BF481" s="13"/>
      <c r="BG481" s="13"/>
      <c r="BJ481" s="114"/>
    </row>
    <row r="482" spans="1:62" ht="19.5" x14ac:dyDescent="0.4">
      <c r="A482" s="117"/>
      <c r="B482" s="123"/>
      <c r="C482" s="123"/>
      <c r="D482" s="123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26"/>
      <c r="X482" s="13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25"/>
      <c r="AI482" s="13"/>
      <c r="AN482" s="117"/>
      <c r="AO482" s="123"/>
      <c r="AP482" s="123"/>
      <c r="AQ482" s="123"/>
      <c r="AV482" s="115"/>
      <c r="AW482" s="115"/>
      <c r="AX482" s="115"/>
      <c r="AY482" s="115"/>
      <c r="AZ482" s="115"/>
      <c r="BA482" s="115"/>
      <c r="BB482" s="115"/>
      <c r="BC482" s="115"/>
      <c r="BD482" s="115"/>
      <c r="BE482" s="115"/>
      <c r="BF482" s="13"/>
      <c r="BG482" s="13"/>
      <c r="BJ482" s="114"/>
    </row>
    <row r="483" spans="1:62" ht="19.5" x14ac:dyDescent="0.4">
      <c r="A483" s="117"/>
      <c r="B483" s="123"/>
      <c r="C483" s="123"/>
      <c r="D483" s="123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26"/>
      <c r="X483" s="13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25"/>
      <c r="AI483" s="13"/>
      <c r="AN483" s="117"/>
      <c r="AO483" s="123"/>
      <c r="AP483" s="123"/>
      <c r="AQ483" s="123"/>
      <c r="AV483" s="115"/>
      <c r="AW483" s="115"/>
      <c r="AX483" s="115"/>
      <c r="AY483" s="115"/>
      <c r="AZ483" s="115"/>
      <c r="BA483" s="115"/>
      <c r="BB483" s="115"/>
      <c r="BC483" s="115"/>
      <c r="BD483" s="115"/>
      <c r="BE483" s="115"/>
      <c r="BF483" s="13"/>
      <c r="BG483" s="13"/>
      <c r="BJ483" s="114"/>
    </row>
    <row r="484" spans="1:62" ht="19.5" x14ac:dyDescent="0.4">
      <c r="A484" s="117"/>
      <c r="B484" s="123"/>
      <c r="C484" s="123"/>
      <c r="D484" s="123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7"/>
      <c r="X484" s="13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25"/>
      <c r="AI484" s="13"/>
      <c r="AN484" s="117"/>
      <c r="AO484" s="123"/>
      <c r="AP484" s="123"/>
      <c r="AQ484" s="123"/>
      <c r="AV484" s="115"/>
      <c r="AW484" s="115"/>
      <c r="AX484" s="115"/>
      <c r="AY484" s="115"/>
      <c r="AZ484" s="115"/>
      <c r="BA484" s="115"/>
      <c r="BB484" s="115"/>
      <c r="BC484" s="115"/>
      <c r="BD484" s="115"/>
      <c r="BE484" s="115"/>
      <c r="BF484" s="13"/>
      <c r="BG484" s="13"/>
      <c r="BJ484" s="114"/>
    </row>
    <row r="485" spans="1:62" ht="19.5" x14ac:dyDescent="0.4">
      <c r="A485" s="117"/>
      <c r="B485" s="123"/>
      <c r="C485" s="123"/>
      <c r="D485" s="123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26"/>
      <c r="X485" s="13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25"/>
      <c r="AI485" s="13"/>
      <c r="AN485" s="117"/>
      <c r="AO485" s="123"/>
      <c r="AP485" s="123"/>
      <c r="AQ485" s="123"/>
      <c r="AV485" s="115"/>
      <c r="AW485" s="115"/>
      <c r="AX485" s="115"/>
      <c r="AY485" s="115"/>
      <c r="AZ485" s="115"/>
      <c r="BA485" s="115"/>
      <c r="BB485" s="115"/>
      <c r="BC485" s="115"/>
      <c r="BD485" s="115"/>
      <c r="BE485" s="115"/>
      <c r="BF485" s="13"/>
      <c r="BG485" s="13"/>
      <c r="BJ485" s="114"/>
    </row>
    <row r="486" spans="1:62" ht="19.5" x14ac:dyDescent="0.4">
      <c r="A486" s="117"/>
      <c r="B486" s="123"/>
      <c r="C486" s="123"/>
      <c r="D486" s="123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7"/>
      <c r="X486" s="13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25"/>
      <c r="AI486" s="13"/>
      <c r="AN486" s="117"/>
      <c r="AO486" s="123"/>
      <c r="AP486" s="123"/>
      <c r="AQ486" s="123"/>
      <c r="AV486" s="115"/>
      <c r="AW486" s="115"/>
      <c r="AX486" s="115"/>
      <c r="AY486" s="115"/>
      <c r="AZ486" s="115"/>
      <c r="BA486" s="115"/>
      <c r="BB486" s="115"/>
      <c r="BC486" s="115"/>
      <c r="BD486" s="115"/>
      <c r="BE486" s="115"/>
      <c r="BF486" s="13"/>
      <c r="BG486" s="13"/>
      <c r="BJ486" s="114"/>
    </row>
    <row r="487" spans="1:62" ht="19.5" x14ac:dyDescent="0.4">
      <c r="A487" s="117"/>
      <c r="B487" s="123"/>
      <c r="C487" s="123"/>
      <c r="D487" s="123"/>
      <c r="W487" s="26"/>
      <c r="X487" s="13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25">
        <v>45682</v>
      </c>
      <c r="AI487" s="13" t="s">
        <v>147</v>
      </c>
      <c r="AN487" s="117"/>
      <c r="AO487" s="123"/>
      <c r="AP487" s="123"/>
      <c r="AQ487" s="123"/>
      <c r="AV487" s="115"/>
      <c r="AW487" s="115"/>
      <c r="AX487" s="115"/>
      <c r="AY487" s="115"/>
      <c r="AZ487" s="115"/>
      <c r="BA487" s="115"/>
      <c r="BB487" s="115"/>
      <c r="BC487" s="115"/>
      <c r="BD487" s="115"/>
      <c r="BE487" s="115"/>
      <c r="BF487" s="13"/>
      <c r="BG487" s="13"/>
      <c r="BJ487" s="114"/>
    </row>
    <row r="488" spans="1:62" ht="19.5" x14ac:dyDescent="0.4">
      <c r="A488" s="117"/>
      <c r="B488" s="123"/>
      <c r="C488" s="123"/>
      <c r="D488" s="123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7"/>
      <c r="X488" s="13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25"/>
      <c r="AI488" s="13"/>
      <c r="AN488" s="117"/>
      <c r="AO488" s="123"/>
      <c r="AP488" s="123"/>
      <c r="AQ488" s="123"/>
      <c r="AV488" s="115"/>
      <c r="AW488" s="115"/>
      <c r="AX488" s="115"/>
      <c r="AY488" s="115"/>
      <c r="AZ488" s="115"/>
      <c r="BA488" s="115"/>
      <c r="BB488" s="115"/>
      <c r="BC488" s="115"/>
      <c r="BD488" s="115"/>
      <c r="BE488" s="115"/>
      <c r="BF488" s="13"/>
      <c r="BG488" s="13"/>
      <c r="BJ488" s="114"/>
    </row>
    <row r="489" spans="1:62" ht="19.5" x14ac:dyDescent="0.4">
      <c r="A489" s="117"/>
      <c r="B489" s="123"/>
      <c r="C489" s="123"/>
      <c r="D489" s="123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7"/>
      <c r="X489" s="13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25"/>
      <c r="AI489" s="13"/>
      <c r="AN489" s="117"/>
      <c r="AO489" s="123"/>
      <c r="AP489" s="123"/>
      <c r="AQ489" s="123"/>
      <c r="AV489" s="115"/>
      <c r="AW489" s="115"/>
      <c r="AX489" s="115"/>
      <c r="AY489" s="115"/>
      <c r="AZ489" s="115"/>
      <c r="BA489" s="115"/>
      <c r="BB489" s="115"/>
      <c r="BC489" s="115"/>
      <c r="BD489" s="115"/>
      <c r="BE489" s="115"/>
      <c r="BF489" s="13"/>
      <c r="BG489" s="13"/>
      <c r="BJ489" s="114"/>
    </row>
    <row r="490" spans="1:62" ht="19.5" x14ac:dyDescent="0.4">
      <c r="A490" s="117"/>
      <c r="B490" s="123"/>
      <c r="C490" s="123"/>
      <c r="D490" s="123"/>
      <c r="W490" s="129"/>
      <c r="X490" s="13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25"/>
      <c r="AI490" s="13"/>
      <c r="AN490" s="117"/>
      <c r="AO490" s="123"/>
      <c r="AP490" s="123"/>
      <c r="AQ490" s="123"/>
      <c r="AV490" s="115"/>
      <c r="AW490" s="115"/>
      <c r="AX490" s="115"/>
      <c r="AY490" s="115"/>
      <c r="AZ490" s="115"/>
      <c r="BA490" s="115"/>
      <c r="BB490" s="115"/>
      <c r="BC490" s="115"/>
      <c r="BD490" s="115"/>
      <c r="BE490" s="115"/>
      <c r="BF490" s="13"/>
      <c r="BG490" s="13"/>
      <c r="BJ490" s="114"/>
    </row>
    <row r="491" spans="1:62" ht="19.5" x14ac:dyDescent="0.4">
      <c r="A491" s="117"/>
      <c r="B491" s="123"/>
      <c r="C491" s="123"/>
      <c r="D491" s="123"/>
      <c r="W491" s="26"/>
      <c r="X491" s="13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25"/>
      <c r="AI491" s="13"/>
      <c r="AN491" s="117"/>
      <c r="AO491" s="123"/>
      <c r="AP491" s="123"/>
      <c r="AQ491" s="123"/>
      <c r="AV491" s="115"/>
      <c r="AW491" s="115"/>
      <c r="AX491" s="115"/>
      <c r="AY491" s="115"/>
      <c r="AZ491" s="115"/>
      <c r="BA491" s="115"/>
      <c r="BB491" s="115"/>
      <c r="BC491" s="115"/>
      <c r="BD491" s="115"/>
      <c r="BE491" s="115"/>
      <c r="BF491" s="13"/>
      <c r="BG491" s="13"/>
      <c r="BJ491" s="114"/>
    </row>
    <row r="492" spans="1:62" ht="19.5" x14ac:dyDescent="0.4">
      <c r="A492" s="117"/>
      <c r="B492" s="123"/>
      <c r="C492" s="123"/>
      <c r="D492" s="123"/>
      <c r="W492" s="26"/>
      <c r="X492" s="13"/>
      <c r="AH492" s="25">
        <v>45682</v>
      </c>
      <c r="AI492" s="15" t="s">
        <v>146</v>
      </c>
      <c r="AN492" s="117"/>
      <c r="AO492" s="123"/>
      <c r="AP492" s="123"/>
      <c r="AQ492" s="123"/>
      <c r="AV492" s="115"/>
      <c r="AW492" s="115"/>
      <c r="AX492" s="115"/>
      <c r="AY492" s="115"/>
      <c r="AZ492" s="115"/>
      <c r="BA492" s="115"/>
      <c r="BB492" s="115"/>
      <c r="BC492" s="115"/>
      <c r="BD492" s="115"/>
      <c r="BE492" s="115"/>
      <c r="BF492" s="13"/>
      <c r="BG492" s="13"/>
      <c r="BJ492" s="114"/>
    </row>
    <row r="493" spans="1:62" ht="19.5" x14ac:dyDescent="0.4">
      <c r="A493" s="117"/>
      <c r="B493" s="123"/>
      <c r="C493" s="123"/>
      <c r="D493" s="123"/>
      <c r="W493" s="129"/>
      <c r="X493" s="13"/>
      <c r="AH493" s="25"/>
      <c r="AI493" s="15"/>
      <c r="AN493" s="117"/>
      <c r="AO493" s="123"/>
      <c r="AP493" s="123"/>
      <c r="AQ493" s="123"/>
      <c r="AV493" s="115"/>
      <c r="AW493" s="115"/>
      <c r="AX493" s="115"/>
      <c r="AY493" s="115"/>
      <c r="AZ493" s="115"/>
      <c r="BA493" s="115"/>
      <c r="BB493" s="115"/>
      <c r="BC493" s="115"/>
      <c r="BD493" s="115"/>
      <c r="BE493" s="115"/>
      <c r="BF493" s="13"/>
      <c r="BG493" s="13"/>
      <c r="BJ493" s="114"/>
    </row>
    <row r="494" spans="1:62" ht="19.5" x14ac:dyDescent="0.4">
      <c r="A494" s="117"/>
      <c r="B494" s="123"/>
      <c r="C494" s="123"/>
      <c r="D494" s="123"/>
      <c r="W494" s="26"/>
      <c r="X494" s="13"/>
      <c r="AH494" s="25"/>
      <c r="AI494" s="15"/>
      <c r="AN494" s="117"/>
      <c r="AO494" s="123"/>
      <c r="AP494" s="123"/>
      <c r="AQ494" s="123"/>
      <c r="AV494" s="115"/>
      <c r="AW494" s="115"/>
      <c r="AX494" s="115"/>
      <c r="AY494" s="115"/>
      <c r="AZ494" s="115"/>
      <c r="BA494" s="115"/>
      <c r="BB494" s="115"/>
      <c r="BC494" s="115"/>
      <c r="BD494" s="115"/>
      <c r="BE494" s="115"/>
      <c r="BF494" s="13"/>
      <c r="BG494" s="13"/>
      <c r="BJ494" s="114"/>
    </row>
    <row r="495" spans="1:62" ht="19.5" x14ac:dyDescent="0.4">
      <c r="A495" s="117"/>
      <c r="B495" s="123"/>
      <c r="C495" s="123"/>
      <c r="D495" s="123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26"/>
      <c r="X495" s="13"/>
      <c r="AH495" s="25"/>
      <c r="AI495" s="15"/>
      <c r="AN495" s="117"/>
      <c r="AO495" s="123"/>
      <c r="AP495" s="123"/>
      <c r="AQ495" s="123"/>
      <c r="AV495" s="115"/>
      <c r="AW495" s="115"/>
      <c r="AX495" s="115"/>
      <c r="AY495" s="115"/>
      <c r="AZ495" s="115"/>
      <c r="BA495" s="115"/>
      <c r="BB495" s="115"/>
      <c r="BC495" s="115"/>
      <c r="BD495" s="115"/>
      <c r="BE495" s="115"/>
      <c r="BF495" s="13"/>
      <c r="BG495" s="13"/>
      <c r="BJ495" s="114"/>
    </row>
    <row r="496" spans="1:62" ht="19.5" x14ac:dyDescent="0.4">
      <c r="A496" s="117"/>
      <c r="B496" s="123"/>
      <c r="C496" s="123"/>
      <c r="D496" s="123"/>
      <c r="W496" s="26"/>
      <c r="X496" s="13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25">
        <v>45682</v>
      </c>
      <c r="AI496" s="15" t="s">
        <v>146</v>
      </c>
      <c r="AN496" s="117"/>
      <c r="AO496" s="123"/>
      <c r="AP496" s="123"/>
      <c r="AQ496" s="123"/>
      <c r="AV496" s="115"/>
      <c r="AW496" s="115"/>
      <c r="AX496" s="115"/>
      <c r="AY496" s="115"/>
      <c r="AZ496" s="115"/>
      <c r="BA496" s="115"/>
      <c r="BB496" s="115"/>
      <c r="BC496" s="115"/>
      <c r="BD496" s="115"/>
      <c r="BE496" s="115"/>
      <c r="BF496" s="13"/>
      <c r="BG496" s="13"/>
      <c r="BJ496" s="114"/>
    </row>
    <row r="497" spans="1:62" ht="19.5" x14ac:dyDescent="0.4">
      <c r="A497" s="117"/>
      <c r="B497" s="123"/>
      <c r="C497" s="123"/>
      <c r="D497" s="123"/>
      <c r="W497" s="129"/>
      <c r="X497" s="13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25"/>
      <c r="AI497" s="15"/>
      <c r="AN497" s="117"/>
      <c r="AO497" s="123"/>
      <c r="AP497" s="123"/>
      <c r="AQ497" s="123"/>
      <c r="AV497" s="115"/>
      <c r="AW497" s="115"/>
      <c r="AX497" s="115"/>
      <c r="AY497" s="115"/>
      <c r="AZ497" s="115"/>
      <c r="BA497" s="115"/>
      <c r="BB497" s="115"/>
      <c r="BC497" s="115"/>
      <c r="BD497" s="115"/>
      <c r="BE497" s="115"/>
      <c r="BF497" s="13"/>
      <c r="BG497" s="13"/>
      <c r="BJ497" s="114"/>
    </row>
    <row r="498" spans="1:62" ht="19.5" x14ac:dyDescent="0.4">
      <c r="A498" s="117"/>
      <c r="B498" s="123"/>
      <c r="C498" s="123"/>
      <c r="D498" s="123"/>
      <c r="W498" s="26"/>
      <c r="X498" s="13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25">
        <v>45682</v>
      </c>
      <c r="AI498" s="15" t="s">
        <v>148</v>
      </c>
      <c r="AN498" s="117"/>
      <c r="AO498" s="123"/>
      <c r="AP498" s="123"/>
      <c r="AQ498" s="123"/>
      <c r="AV498" s="115"/>
      <c r="AW498" s="115"/>
      <c r="AX498" s="115"/>
      <c r="AY498" s="115"/>
      <c r="AZ498" s="115"/>
      <c r="BA498" s="115"/>
      <c r="BB498" s="115"/>
      <c r="BC498" s="115"/>
      <c r="BD498" s="115"/>
      <c r="BE498" s="115"/>
      <c r="BF498" s="13"/>
      <c r="BG498" s="13"/>
      <c r="BJ498" s="114"/>
    </row>
    <row r="499" spans="1:62" ht="19.5" x14ac:dyDescent="0.4">
      <c r="A499" s="117"/>
      <c r="B499" s="123"/>
      <c r="C499" s="123"/>
      <c r="D499" s="123"/>
      <c r="W499" s="26"/>
      <c r="X499" s="13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25">
        <v>45682</v>
      </c>
      <c r="AI499" s="15" t="s">
        <v>146</v>
      </c>
      <c r="AN499" s="117"/>
      <c r="AO499" s="123"/>
      <c r="AP499" s="123"/>
      <c r="AQ499" s="123"/>
      <c r="AV499" s="115"/>
      <c r="AW499" s="115"/>
      <c r="AX499" s="115"/>
      <c r="AY499" s="115"/>
      <c r="AZ499" s="115"/>
      <c r="BA499" s="115"/>
      <c r="BB499" s="115"/>
      <c r="BC499" s="115"/>
      <c r="BD499" s="115"/>
      <c r="BE499" s="115"/>
      <c r="BF499" s="13"/>
      <c r="BG499" s="13"/>
      <c r="BJ499" s="114"/>
    </row>
    <row r="500" spans="1:62" ht="19.5" x14ac:dyDescent="0.4">
      <c r="A500" s="117"/>
      <c r="B500" s="123"/>
      <c r="C500" s="123"/>
      <c r="D500" s="123"/>
      <c r="W500" s="26"/>
      <c r="X500" s="13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25">
        <v>45682</v>
      </c>
      <c r="AI500" s="15" t="s">
        <v>148</v>
      </c>
      <c r="AN500" s="117"/>
      <c r="AO500" s="123"/>
      <c r="AP500" s="123"/>
      <c r="AQ500" s="123"/>
      <c r="AV500" s="115"/>
      <c r="AW500" s="115"/>
      <c r="AX500" s="115"/>
      <c r="AY500" s="115"/>
      <c r="AZ500" s="115"/>
      <c r="BA500" s="115"/>
      <c r="BB500" s="115"/>
      <c r="BC500" s="115"/>
      <c r="BD500" s="115"/>
      <c r="BE500" s="115"/>
      <c r="BF500" s="13"/>
      <c r="BG500" s="13"/>
      <c r="BJ500" s="114"/>
    </row>
    <row r="501" spans="1:62" ht="19.5" x14ac:dyDescent="0.4">
      <c r="A501" s="117"/>
      <c r="B501" s="123"/>
      <c r="C501" s="123"/>
      <c r="D501" s="123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26"/>
      <c r="X501" s="13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25"/>
      <c r="AI501" s="15"/>
      <c r="AN501" s="117"/>
      <c r="AO501" s="123"/>
      <c r="AP501" s="123"/>
      <c r="AQ501" s="123"/>
      <c r="AV501" s="115"/>
      <c r="AW501" s="115"/>
      <c r="AX501" s="115"/>
      <c r="AY501" s="115"/>
      <c r="AZ501" s="115"/>
      <c r="BA501" s="115"/>
      <c r="BB501" s="115"/>
      <c r="BC501" s="115"/>
      <c r="BD501" s="115"/>
      <c r="BE501" s="115"/>
      <c r="BF501" s="13"/>
      <c r="BG501" s="13"/>
      <c r="BJ501" s="114"/>
    </row>
    <row r="502" spans="1:62" ht="19.5" x14ac:dyDescent="0.4">
      <c r="A502" s="117"/>
      <c r="B502" s="123"/>
      <c r="C502" s="123"/>
      <c r="D502" s="123"/>
      <c r="W502" s="26"/>
      <c r="X502" s="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25">
        <v>45682</v>
      </c>
      <c r="AI502" s="15" t="s">
        <v>148</v>
      </c>
      <c r="AN502" s="117"/>
      <c r="AO502" s="123"/>
      <c r="AP502" s="123"/>
      <c r="AQ502" s="123"/>
      <c r="AV502" s="115"/>
      <c r="AW502" s="115"/>
      <c r="AX502" s="115"/>
      <c r="AY502" s="115"/>
      <c r="AZ502" s="115"/>
      <c r="BA502" s="115"/>
      <c r="BB502" s="115"/>
      <c r="BC502" s="115"/>
      <c r="BD502" s="115"/>
      <c r="BE502" s="115"/>
      <c r="BF502" s="13"/>
      <c r="BG502" s="13"/>
      <c r="BJ502" s="114"/>
    </row>
    <row r="503" spans="1:62" ht="19.5" x14ac:dyDescent="0.4">
      <c r="A503" s="117"/>
      <c r="B503" s="123"/>
      <c r="C503" s="123"/>
      <c r="D503" s="123"/>
      <c r="W503" s="26"/>
      <c r="X503" s="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25">
        <v>45682</v>
      </c>
      <c r="AI503" s="105" t="s">
        <v>148</v>
      </c>
      <c r="AN503" s="117"/>
      <c r="AO503" s="123"/>
      <c r="AP503" s="123"/>
      <c r="AQ503" s="123"/>
      <c r="AV503" s="115"/>
      <c r="AW503" s="115"/>
      <c r="AX503" s="115"/>
      <c r="AY503" s="115"/>
      <c r="AZ503" s="115"/>
      <c r="BA503" s="115"/>
      <c r="BB503" s="115"/>
      <c r="BC503" s="115"/>
      <c r="BD503" s="115"/>
      <c r="BE503" s="115"/>
      <c r="BF503" s="13"/>
      <c r="BG503" s="13"/>
      <c r="BJ503" s="114"/>
    </row>
    <row r="504" spans="1:62" ht="19.5" x14ac:dyDescent="0.4">
      <c r="A504" s="117"/>
      <c r="B504" s="123"/>
      <c r="C504" s="123"/>
      <c r="D504" s="123"/>
      <c r="W504" s="26"/>
      <c r="X504" s="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25">
        <v>45682</v>
      </c>
      <c r="AI504" s="105" t="s">
        <v>146</v>
      </c>
      <c r="AN504" s="117"/>
      <c r="AO504" s="123"/>
      <c r="AP504" s="123"/>
      <c r="AQ504" s="123"/>
      <c r="AV504" s="115"/>
      <c r="AW504" s="115"/>
      <c r="AX504" s="115"/>
      <c r="AY504" s="115"/>
      <c r="AZ504" s="115"/>
      <c r="BA504" s="115"/>
      <c r="BB504" s="115"/>
      <c r="BC504" s="115"/>
      <c r="BD504" s="115"/>
      <c r="BE504" s="115"/>
      <c r="BF504" s="13"/>
      <c r="BG504" s="13"/>
      <c r="BJ504" s="114"/>
    </row>
    <row r="505" spans="1:62" ht="19.5" x14ac:dyDescent="0.4">
      <c r="A505" s="117"/>
      <c r="B505" s="123"/>
      <c r="C505" s="123"/>
      <c r="D505" s="123"/>
      <c r="W505" s="129"/>
      <c r="X505" s="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25"/>
      <c r="AI505" s="105"/>
      <c r="AN505" s="117"/>
      <c r="AO505" s="123"/>
      <c r="AP505" s="123"/>
      <c r="AQ505" s="123"/>
      <c r="AV505" s="115"/>
      <c r="AW505" s="115"/>
      <c r="AX505" s="115"/>
      <c r="AY505" s="115"/>
      <c r="AZ505" s="115"/>
      <c r="BA505" s="115"/>
      <c r="BB505" s="115"/>
      <c r="BC505" s="115"/>
      <c r="BD505" s="115"/>
      <c r="BE505" s="115"/>
      <c r="BF505" s="13"/>
      <c r="BG505" s="13"/>
      <c r="BJ505" s="114"/>
    </row>
    <row r="506" spans="1:62" ht="19.5" x14ac:dyDescent="0.4">
      <c r="A506" s="117"/>
      <c r="B506" s="123"/>
      <c r="C506" s="123"/>
      <c r="D506" s="123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26"/>
      <c r="X506" s="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25">
        <v>45682</v>
      </c>
      <c r="AI506" s="15" t="s">
        <v>146</v>
      </c>
      <c r="AN506" s="117"/>
      <c r="AO506" s="123"/>
      <c r="AP506" s="123"/>
      <c r="AQ506" s="123"/>
      <c r="AV506" s="115"/>
      <c r="AW506" s="115"/>
      <c r="AX506" s="115"/>
      <c r="AY506" s="115"/>
      <c r="AZ506" s="115"/>
      <c r="BA506" s="115"/>
      <c r="BB506" s="115"/>
      <c r="BC506" s="115"/>
      <c r="BD506" s="115"/>
      <c r="BE506" s="115"/>
      <c r="BF506" s="13"/>
      <c r="BG506" s="13"/>
      <c r="BJ506" s="114"/>
    </row>
    <row r="507" spans="1:62" ht="19.5" x14ac:dyDescent="0.4">
      <c r="A507" s="117"/>
      <c r="B507" s="123"/>
      <c r="C507" s="123"/>
      <c r="D507" s="123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26"/>
      <c r="X507" s="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25">
        <v>45683</v>
      </c>
      <c r="AI507" s="13" t="s">
        <v>147</v>
      </c>
      <c r="AN507" s="117"/>
      <c r="AO507" s="123"/>
      <c r="AP507" s="123"/>
      <c r="AQ507" s="123"/>
      <c r="AV507" s="115"/>
      <c r="AW507" s="115"/>
      <c r="AX507" s="115"/>
      <c r="AY507" s="115"/>
      <c r="AZ507" s="115"/>
      <c r="BA507" s="115"/>
      <c r="BB507" s="115"/>
      <c r="BC507" s="115"/>
      <c r="BD507" s="115"/>
      <c r="BE507" s="115"/>
      <c r="BF507" s="13"/>
      <c r="BG507" s="13"/>
      <c r="BJ507" s="114"/>
    </row>
    <row r="508" spans="1:62" ht="19.5" x14ac:dyDescent="0.4">
      <c r="A508" s="117"/>
      <c r="B508" s="123"/>
      <c r="C508" s="123"/>
      <c r="D508" s="123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26"/>
      <c r="X508" s="13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25">
        <v>45683</v>
      </c>
      <c r="AI508" s="13" t="s">
        <v>147</v>
      </c>
      <c r="AN508" s="117"/>
      <c r="AO508" s="123"/>
      <c r="AP508" s="123"/>
      <c r="AQ508" s="123"/>
      <c r="AV508" s="115"/>
      <c r="AW508" s="115"/>
      <c r="AX508" s="115"/>
      <c r="AY508" s="115"/>
      <c r="AZ508" s="115"/>
      <c r="BA508" s="115"/>
      <c r="BB508" s="115"/>
      <c r="BC508" s="115"/>
      <c r="BD508" s="115"/>
      <c r="BE508" s="115"/>
      <c r="BF508" s="13"/>
      <c r="BG508" s="13"/>
      <c r="BJ508" s="114"/>
    </row>
    <row r="509" spans="1:62" ht="19.5" x14ac:dyDescent="0.4">
      <c r="A509" s="117"/>
      <c r="B509" s="123"/>
      <c r="C509" s="123"/>
      <c r="D509" s="123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26"/>
      <c r="X509" s="13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25"/>
      <c r="AI509" s="13"/>
      <c r="AN509" s="117"/>
      <c r="AO509" s="123"/>
      <c r="AP509" s="123"/>
      <c r="AQ509" s="123"/>
      <c r="AV509" s="115"/>
      <c r="AW509" s="115"/>
      <c r="AX509" s="115"/>
      <c r="AY509" s="115"/>
      <c r="AZ509" s="115"/>
      <c r="BA509" s="115"/>
      <c r="BB509" s="115"/>
      <c r="BC509" s="115"/>
      <c r="BD509" s="115"/>
      <c r="BE509" s="115"/>
      <c r="BF509" s="13"/>
      <c r="BG509" s="13"/>
      <c r="BJ509" s="114"/>
    </row>
    <row r="510" spans="1:62" ht="19.5" x14ac:dyDescent="0.4">
      <c r="A510" s="117"/>
      <c r="B510" s="123"/>
      <c r="C510" s="123"/>
      <c r="D510" s="123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26"/>
      <c r="X510" s="13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25">
        <v>45684</v>
      </c>
      <c r="AI510" s="13" t="s">
        <v>146</v>
      </c>
      <c r="AN510" s="117"/>
      <c r="AO510" s="123"/>
      <c r="AP510" s="123"/>
      <c r="AQ510" s="123"/>
      <c r="AV510" s="115"/>
      <c r="AW510" s="115"/>
      <c r="AX510" s="115"/>
      <c r="AY510" s="115"/>
      <c r="AZ510" s="115"/>
      <c r="BA510" s="115"/>
      <c r="BB510" s="115"/>
      <c r="BC510" s="115"/>
      <c r="BD510" s="115"/>
      <c r="BE510" s="115"/>
      <c r="BF510" s="13"/>
      <c r="BG510" s="13"/>
      <c r="BJ510" s="114"/>
    </row>
    <row r="511" spans="1:62" ht="19.5" x14ac:dyDescent="0.4">
      <c r="A511" s="117"/>
      <c r="B511" s="123"/>
      <c r="C511" s="123"/>
      <c r="D511" s="123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26"/>
      <c r="X511" s="13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25"/>
      <c r="AI511" s="13"/>
      <c r="AN511" s="117"/>
      <c r="AO511" s="123"/>
      <c r="AP511" s="123"/>
      <c r="AQ511" s="123"/>
      <c r="AV511" s="115"/>
      <c r="AW511" s="115"/>
      <c r="AX511" s="115"/>
      <c r="AY511" s="115"/>
      <c r="AZ511" s="115"/>
      <c r="BA511" s="115"/>
      <c r="BB511" s="115"/>
      <c r="BC511" s="115"/>
      <c r="BD511" s="115"/>
      <c r="BE511" s="115"/>
      <c r="BF511" s="13"/>
      <c r="BG511" s="13"/>
      <c r="BJ511" s="114"/>
    </row>
    <row r="512" spans="1:62" ht="19.5" x14ac:dyDescent="0.4">
      <c r="A512" s="117"/>
      <c r="B512" s="123"/>
      <c r="C512" s="123"/>
      <c r="D512" s="123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29"/>
      <c r="X512" s="13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25"/>
      <c r="AI512" s="13"/>
      <c r="AN512" s="117"/>
      <c r="AO512" s="123"/>
      <c r="AP512" s="123"/>
      <c r="AQ512" s="123"/>
      <c r="AV512" s="115"/>
      <c r="AW512" s="115"/>
      <c r="AX512" s="115"/>
      <c r="AY512" s="115"/>
      <c r="AZ512" s="115"/>
      <c r="BA512" s="115"/>
      <c r="BB512" s="115"/>
      <c r="BC512" s="115"/>
      <c r="BD512" s="115"/>
      <c r="BE512" s="115"/>
      <c r="BF512" s="13"/>
      <c r="BG512" s="13"/>
      <c r="BJ512" s="114"/>
    </row>
    <row r="513" spans="1:62" ht="19.5" x14ac:dyDescent="0.4">
      <c r="A513" s="117"/>
      <c r="B513" s="123"/>
      <c r="C513" s="123"/>
      <c r="D513" s="123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26"/>
      <c r="X513" s="13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25">
        <v>45684</v>
      </c>
      <c r="AI513" s="13" t="s">
        <v>148</v>
      </c>
      <c r="AN513" s="117"/>
      <c r="AO513" s="123"/>
      <c r="AP513" s="123"/>
      <c r="AQ513" s="123"/>
      <c r="AV513" s="115"/>
      <c r="AW513" s="115"/>
      <c r="AX513" s="115"/>
      <c r="AY513" s="115"/>
      <c r="AZ513" s="115"/>
      <c r="BA513" s="115"/>
      <c r="BB513" s="115"/>
      <c r="BC513" s="115"/>
      <c r="BD513" s="115"/>
      <c r="BE513" s="115"/>
      <c r="BF513" s="13"/>
      <c r="BG513" s="13"/>
      <c r="BJ513" s="114"/>
    </row>
    <row r="514" spans="1:62" ht="19.5" x14ac:dyDescent="0.4">
      <c r="A514" s="117"/>
      <c r="B514" s="123"/>
      <c r="C514" s="123"/>
      <c r="D514" s="123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26"/>
      <c r="X514" s="13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25"/>
      <c r="AI514" s="13"/>
      <c r="AN514" s="117"/>
      <c r="AO514" s="123"/>
      <c r="AP514" s="123"/>
      <c r="AQ514" s="123"/>
      <c r="AV514" s="115"/>
      <c r="AW514" s="115"/>
      <c r="AX514" s="115"/>
      <c r="AY514" s="115"/>
      <c r="AZ514" s="115"/>
      <c r="BA514" s="115"/>
      <c r="BB514" s="115"/>
      <c r="BC514" s="115"/>
      <c r="BD514" s="115"/>
      <c r="BE514" s="115"/>
      <c r="BF514" s="13"/>
      <c r="BG514" s="13"/>
      <c r="BJ514" s="114"/>
    </row>
    <row r="515" spans="1:62" ht="19.5" x14ac:dyDescent="0.4">
      <c r="A515" s="117"/>
      <c r="B515" s="123"/>
      <c r="C515" s="123"/>
      <c r="D515" s="123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26"/>
      <c r="X515" s="13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25"/>
      <c r="AI515" s="13"/>
      <c r="AN515" s="117"/>
      <c r="AO515" s="123"/>
      <c r="AP515" s="123"/>
      <c r="AQ515" s="123"/>
      <c r="AV515" s="115"/>
      <c r="AW515" s="115"/>
      <c r="AX515" s="115"/>
      <c r="AY515" s="115"/>
      <c r="AZ515" s="115"/>
      <c r="BA515" s="115"/>
      <c r="BB515" s="115"/>
      <c r="BC515" s="115"/>
      <c r="BD515" s="115"/>
      <c r="BE515" s="115"/>
      <c r="BF515" s="13"/>
      <c r="BG515" s="13"/>
      <c r="BJ515" s="114"/>
    </row>
    <row r="516" spans="1:62" ht="19.5" x14ac:dyDescent="0.4">
      <c r="A516" s="117"/>
      <c r="B516" s="123"/>
      <c r="C516" s="123"/>
      <c r="D516" s="123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29"/>
      <c r="X516" s="13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25"/>
      <c r="AI516" s="13"/>
      <c r="AN516" s="117"/>
      <c r="AO516" s="123"/>
      <c r="AP516" s="123"/>
      <c r="AQ516" s="123"/>
      <c r="AV516" s="115"/>
      <c r="AW516" s="115"/>
      <c r="AX516" s="115"/>
      <c r="AY516" s="115"/>
      <c r="AZ516" s="115"/>
      <c r="BA516" s="115"/>
      <c r="BB516" s="115"/>
      <c r="BC516" s="115"/>
      <c r="BD516" s="115"/>
      <c r="BE516" s="115"/>
      <c r="BF516" s="13"/>
      <c r="BG516" s="13"/>
      <c r="BJ516" s="114"/>
    </row>
    <row r="517" spans="1:62" ht="19.5" x14ac:dyDescent="0.4">
      <c r="A517" s="117"/>
      <c r="B517" s="123"/>
      <c r="C517" s="123"/>
      <c r="D517" s="123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26"/>
      <c r="X517" s="2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25"/>
      <c r="AI517" s="13"/>
      <c r="AN517" s="117"/>
      <c r="AO517" s="123"/>
      <c r="AP517" s="123"/>
      <c r="AQ517" s="123"/>
      <c r="AV517" s="115"/>
      <c r="AW517" s="115"/>
      <c r="AX517" s="115"/>
      <c r="AY517" s="115"/>
      <c r="AZ517" s="115"/>
      <c r="BA517" s="115"/>
      <c r="BB517" s="115"/>
      <c r="BC517" s="115"/>
      <c r="BD517" s="115"/>
      <c r="BE517" s="115"/>
      <c r="BF517" s="13"/>
      <c r="BG517" s="13"/>
      <c r="BJ517" s="114"/>
    </row>
    <row r="518" spans="1:62" ht="19.5" x14ac:dyDescent="0.4">
      <c r="A518" s="117"/>
      <c r="B518" s="123"/>
      <c r="C518" s="123"/>
      <c r="D518" s="123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26"/>
      <c r="X518" s="13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25"/>
      <c r="AI518" s="13"/>
      <c r="AN518" s="117"/>
      <c r="AO518" s="123"/>
      <c r="AP518" s="123"/>
      <c r="AQ518" s="123"/>
      <c r="AV518" s="115"/>
      <c r="AW518" s="115"/>
      <c r="AX518" s="115"/>
      <c r="AY518" s="115"/>
      <c r="AZ518" s="115"/>
      <c r="BA518" s="115"/>
      <c r="BB518" s="115"/>
      <c r="BC518" s="115"/>
      <c r="BD518" s="115"/>
      <c r="BE518" s="115"/>
      <c r="BF518" s="13"/>
      <c r="BG518" s="13"/>
      <c r="BJ518" s="114"/>
    </row>
    <row r="519" spans="1:62" ht="19.5" x14ac:dyDescent="0.4">
      <c r="A519" s="117"/>
      <c r="B519" s="123"/>
      <c r="C519" s="123"/>
      <c r="D519" s="123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26"/>
      <c r="X519" s="13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25"/>
      <c r="AI519" s="13"/>
      <c r="AN519" s="117"/>
      <c r="AO519" s="123"/>
      <c r="AP519" s="123"/>
      <c r="AQ519" s="123"/>
      <c r="AV519" s="115"/>
      <c r="AW519" s="115"/>
      <c r="AX519" s="115"/>
      <c r="AY519" s="115"/>
      <c r="AZ519" s="115"/>
      <c r="BA519" s="115"/>
      <c r="BB519" s="115"/>
      <c r="BC519" s="115"/>
      <c r="BD519" s="115"/>
      <c r="BE519" s="115"/>
      <c r="BF519" s="13"/>
      <c r="BG519" s="13"/>
      <c r="BJ519" s="114"/>
    </row>
    <row r="520" spans="1:62" ht="19.5" x14ac:dyDescent="0.4">
      <c r="A520" s="117"/>
      <c r="B520" s="123"/>
      <c r="C520" s="123"/>
      <c r="D520" s="123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29"/>
      <c r="X520" s="13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25"/>
      <c r="AI520" s="13"/>
      <c r="AN520" s="117"/>
      <c r="AO520" s="123"/>
      <c r="AP520" s="123"/>
      <c r="AQ520" s="123"/>
      <c r="AV520" s="115"/>
      <c r="AW520" s="115"/>
      <c r="AX520" s="115"/>
      <c r="AY520" s="115"/>
      <c r="AZ520" s="115"/>
      <c r="BA520" s="115"/>
      <c r="BB520" s="115"/>
      <c r="BC520" s="115"/>
      <c r="BD520" s="115"/>
      <c r="BE520" s="115"/>
      <c r="BF520" s="13"/>
      <c r="BG520" s="13"/>
      <c r="BJ520" s="114"/>
    </row>
    <row r="521" spans="1:62" ht="19.5" x14ac:dyDescent="0.4">
      <c r="A521" s="117"/>
      <c r="B521" s="123"/>
      <c r="C521" s="123"/>
      <c r="D521" s="123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26"/>
      <c r="X521" s="134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25"/>
      <c r="AI521" s="13"/>
      <c r="AN521" s="117"/>
      <c r="AO521" s="123"/>
      <c r="AP521" s="123"/>
      <c r="AQ521" s="123"/>
      <c r="AV521" s="115"/>
      <c r="AW521" s="115"/>
      <c r="AX521" s="115"/>
      <c r="AY521" s="115"/>
      <c r="AZ521" s="115"/>
      <c r="BA521" s="115"/>
      <c r="BB521" s="115"/>
      <c r="BC521" s="115"/>
      <c r="BD521" s="115"/>
      <c r="BE521" s="115"/>
      <c r="BF521" s="13"/>
      <c r="BG521" s="13"/>
      <c r="BJ521" s="114"/>
    </row>
    <row r="522" spans="1:62" ht="19.5" x14ac:dyDescent="0.4">
      <c r="A522" s="117"/>
      <c r="B522" s="123"/>
      <c r="C522" s="123"/>
      <c r="D522" s="123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26"/>
      <c r="X522" s="13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25">
        <v>45684</v>
      </c>
      <c r="AI522" s="13" t="s">
        <v>147</v>
      </c>
      <c r="AN522" s="117"/>
      <c r="AO522" s="123"/>
      <c r="AP522" s="123"/>
      <c r="AQ522" s="123"/>
      <c r="AV522" s="115"/>
      <c r="AW522" s="115"/>
      <c r="AX522" s="115"/>
      <c r="AY522" s="115"/>
      <c r="AZ522" s="115"/>
      <c r="BA522" s="115"/>
      <c r="BB522" s="115"/>
      <c r="BC522" s="115"/>
      <c r="BD522" s="115"/>
      <c r="BE522" s="115"/>
      <c r="BF522" s="13"/>
      <c r="BG522" s="13"/>
      <c r="BJ522" s="114"/>
    </row>
    <row r="523" spans="1:62" ht="19.5" x14ac:dyDescent="0.4">
      <c r="A523" s="117"/>
      <c r="B523" s="123"/>
      <c r="C523" s="123"/>
      <c r="D523" s="123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29"/>
      <c r="X523" s="13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25"/>
      <c r="AI523" s="13"/>
      <c r="AN523" s="117"/>
      <c r="AO523" s="123"/>
      <c r="AP523" s="123"/>
      <c r="AQ523" s="123"/>
      <c r="AV523" s="115"/>
      <c r="AW523" s="115"/>
      <c r="AX523" s="115"/>
      <c r="AY523" s="115"/>
      <c r="AZ523" s="115"/>
      <c r="BA523" s="115"/>
      <c r="BB523" s="115"/>
      <c r="BC523" s="115"/>
      <c r="BD523" s="115"/>
      <c r="BE523" s="115"/>
      <c r="BF523" s="13"/>
      <c r="BG523" s="13"/>
      <c r="BJ523" s="114"/>
    </row>
    <row r="524" spans="1:62" ht="19.5" x14ac:dyDescent="0.4">
      <c r="A524" s="117"/>
      <c r="B524" s="123"/>
      <c r="C524" s="123"/>
      <c r="D524" s="123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26"/>
      <c r="X524" s="13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25"/>
      <c r="AI524" s="13"/>
      <c r="AN524" s="117"/>
      <c r="AO524" s="123"/>
      <c r="AP524" s="123"/>
      <c r="AQ524" s="123"/>
      <c r="AV524" s="115"/>
      <c r="AW524" s="115"/>
      <c r="AX524" s="115"/>
      <c r="AY524" s="115"/>
      <c r="AZ524" s="115"/>
      <c r="BA524" s="115"/>
      <c r="BB524" s="115"/>
      <c r="BC524" s="115"/>
      <c r="BD524" s="115"/>
      <c r="BE524" s="115"/>
      <c r="BF524" s="13"/>
      <c r="BG524" s="13"/>
      <c r="BJ524" s="114"/>
    </row>
    <row r="525" spans="1:62" ht="19.5" x14ac:dyDescent="0.4">
      <c r="A525" s="117"/>
      <c r="B525" s="123"/>
      <c r="C525" s="123"/>
      <c r="D525" s="123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26"/>
      <c r="X525" s="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25">
        <v>45684</v>
      </c>
      <c r="AI525" s="13" t="s">
        <v>146</v>
      </c>
      <c r="AN525" s="117"/>
      <c r="AO525" s="123"/>
      <c r="AP525" s="123"/>
      <c r="AQ525" s="123"/>
      <c r="AV525" s="115"/>
      <c r="AW525" s="115"/>
      <c r="AX525" s="115"/>
      <c r="AY525" s="115"/>
      <c r="AZ525" s="115"/>
      <c r="BA525" s="115"/>
      <c r="BB525" s="115"/>
      <c r="BC525" s="115"/>
      <c r="BD525" s="115"/>
      <c r="BE525" s="115"/>
      <c r="BF525" s="13"/>
      <c r="BG525" s="13"/>
      <c r="BJ525" s="114"/>
    </row>
    <row r="526" spans="1:62" ht="19.5" x14ac:dyDescent="0.4">
      <c r="A526" s="117"/>
      <c r="B526" s="123"/>
      <c r="C526" s="123"/>
      <c r="D526" s="123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29"/>
      <c r="X526" s="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25"/>
      <c r="AI526" s="13"/>
      <c r="AN526" s="117"/>
      <c r="AO526" s="123"/>
      <c r="AP526" s="123"/>
      <c r="AQ526" s="123"/>
      <c r="AV526" s="115"/>
      <c r="AW526" s="115"/>
      <c r="AX526" s="115"/>
      <c r="AY526" s="115"/>
      <c r="AZ526" s="115"/>
      <c r="BA526" s="115"/>
      <c r="BB526" s="115"/>
      <c r="BC526" s="115"/>
      <c r="BD526" s="115"/>
      <c r="BE526" s="115"/>
      <c r="BF526" s="13"/>
      <c r="BG526" s="13"/>
      <c r="BJ526" s="114"/>
    </row>
    <row r="527" spans="1:62" ht="19.5" x14ac:dyDescent="0.4">
      <c r="A527" s="117"/>
      <c r="B527" s="123"/>
      <c r="C527" s="123"/>
      <c r="D527" s="123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26"/>
      <c r="X527" s="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25"/>
      <c r="AI527" s="13"/>
      <c r="AN527" s="117"/>
      <c r="AO527" s="123"/>
      <c r="AP527" s="123"/>
      <c r="AQ527" s="123"/>
      <c r="AV527" s="115"/>
      <c r="AW527" s="115"/>
      <c r="AX527" s="115"/>
      <c r="AY527" s="115"/>
      <c r="AZ527" s="115"/>
      <c r="BA527" s="115"/>
      <c r="BB527" s="115"/>
      <c r="BC527" s="115"/>
      <c r="BD527" s="115"/>
      <c r="BE527" s="115"/>
      <c r="BF527" s="13"/>
      <c r="BG527" s="13"/>
      <c r="BJ527" s="114"/>
    </row>
    <row r="528" spans="1:62" ht="19.5" x14ac:dyDescent="0.4">
      <c r="A528" s="117"/>
      <c r="B528" s="123"/>
      <c r="C528" s="123"/>
      <c r="D528" s="123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29"/>
      <c r="X528" s="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25"/>
      <c r="AI528" s="13"/>
      <c r="AN528" s="117"/>
      <c r="AO528" s="123"/>
      <c r="AP528" s="123"/>
      <c r="AQ528" s="123"/>
      <c r="AV528" s="115"/>
      <c r="AW528" s="115"/>
      <c r="AX528" s="115"/>
      <c r="AY528" s="115"/>
      <c r="AZ528" s="115"/>
      <c r="BA528" s="115"/>
      <c r="BB528" s="115"/>
      <c r="BC528" s="115"/>
      <c r="BD528" s="115"/>
      <c r="BE528" s="115"/>
      <c r="BF528" s="13"/>
      <c r="BG528" s="13"/>
      <c r="BJ528" s="114"/>
    </row>
    <row r="529" spans="1:62" ht="19.5" x14ac:dyDescent="0.4">
      <c r="A529" s="117"/>
      <c r="B529" s="123"/>
      <c r="C529" s="123"/>
      <c r="D529" s="123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26"/>
      <c r="X529" s="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25"/>
      <c r="AI529" s="13"/>
      <c r="AN529" s="117"/>
      <c r="AO529" s="123"/>
      <c r="AP529" s="123"/>
      <c r="AQ529" s="123"/>
      <c r="AV529" s="115"/>
      <c r="AW529" s="115"/>
      <c r="AX529" s="115"/>
      <c r="AY529" s="115"/>
      <c r="AZ529" s="115"/>
      <c r="BA529" s="115"/>
      <c r="BB529" s="115"/>
      <c r="BC529" s="115"/>
      <c r="BD529" s="115"/>
      <c r="BE529" s="115"/>
      <c r="BF529" s="13"/>
      <c r="BG529" s="13"/>
      <c r="BJ529" s="114"/>
    </row>
    <row r="530" spans="1:62" ht="19.5" x14ac:dyDescent="0.4">
      <c r="A530" s="117"/>
      <c r="B530" s="123"/>
      <c r="C530" s="123"/>
      <c r="D530" s="123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29"/>
      <c r="X530" s="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25"/>
      <c r="AI530" s="13"/>
      <c r="AN530" s="117"/>
      <c r="AO530" s="123"/>
      <c r="AP530" s="123"/>
      <c r="AQ530" s="123"/>
      <c r="AV530" s="115"/>
      <c r="AW530" s="115"/>
      <c r="AX530" s="115"/>
      <c r="AY530" s="115"/>
      <c r="AZ530" s="115"/>
      <c r="BA530" s="115"/>
      <c r="BB530" s="115"/>
      <c r="BC530" s="115"/>
      <c r="BD530" s="115"/>
      <c r="BE530" s="115"/>
      <c r="BF530" s="13"/>
      <c r="BG530" s="13"/>
      <c r="BJ530" s="114"/>
    </row>
    <row r="531" spans="1:62" ht="19.5" x14ac:dyDescent="0.4">
      <c r="A531" s="117"/>
      <c r="B531" s="123"/>
      <c r="C531" s="123"/>
      <c r="D531" s="123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29"/>
      <c r="X531" s="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25"/>
      <c r="AI531" s="13"/>
      <c r="AN531" s="117"/>
      <c r="AO531" s="123"/>
      <c r="AP531" s="123"/>
      <c r="AQ531" s="123"/>
      <c r="AV531" s="115"/>
      <c r="AW531" s="115"/>
      <c r="AX531" s="115"/>
      <c r="AY531" s="115"/>
      <c r="AZ531" s="115"/>
      <c r="BA531" s="115"/>
      <c r="BB531" s="115"/>
      <c r="BC531" s="115"/>
      <c r="BD531" s="115"/>
      <c r="BE531" s="115"/>
      <c r="BF531" s="13"/>
      <c r="BG531" s="13"/>
      <c r="BJ531" s="114"/>
    </row>
    <row r="532" spans="1:62" ht="19.5" x14ac:dyDescent="0.4">
      <c r="A532" s="117"/>
      <c r="B532" s="123"/>
      <c r="C532" s="123"/>
      <c r="D532" s="123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26"/>
      <c r="X532" s="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25">
        <v>45684</v>
      </c>
      <c r="AI532" s="13" t="s">
        <v>147</v>
      </c>
      <c r="AN532" s="117"/>
      <c r="AO532" s="123"/>
      <c r="AP532" s="123"/>
      <c r="AQ532" s="123"/>
      <c r="AV532" s="115"/>
      <c r="AW532" s="115"/>
      <c r="AX532" s="115"/>
      <c r="AY532" s="115"/>
      <c r="AZ532" s="115"/>
      <c r="BA532" s="115"/>
      <c r="BB532" s="115"/>
      <c r="BC532" s="115"/>
      <c r="BD532" s="115"/>
      <c r="BE532" s="115"/>
      <c r="BF532" s="13"/>
      <c r="BG532" s="13"/>
      <c r="BJ532" s="114"/>
    </row>
    <row r="533" spans="1:62" ht="19.5" x14ac:dyDescent="0.4">
      <c r="A533" s="117"/>
      <c r="B533" s="123"/>
      <c r="C533" s="123"/>
      <c r="D533" s="123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26"/>
      <c r="X533" s="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25">
        <v>45684</v>
      </c>
      <c r="AI533" s="13" t="s">
        <v>146</v>
      </c>
      <c r="AN533" s="117"/>
      <c r="AO533" s="123"/>
      <c r="AP533" s="123"/>
      <c r="AQ533" s="123"/>
      <c r="AV533" s="115"/>
      <c r="AW533" s="115"/>
      <c r="AX533" s="115"/>
      <c r="AY533" s="115"/>
      <c r="AZ533" s="115"/>
      <c r="BA533" s="115"/>
      <c r="BB533" s="115"/>
      <c r="BC533" s="115"/>
      <c r="BD533" s="115"/>
      <c r="BE533" s="115"/>
      <c r="BF533" s="13"/>
      <c r="BG533" s="13"/>
      <c r="BJ533" s="114"/>
    </row>
    <row r="534" spans="1:62" ht="19.5" x14ac:dyDescent="0.4">
      <c r="A534" s="117"/>
      <c r="B534" s="123"/>
      <c r="C534" s="123"/>
      <c r="D534" s="123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26"/>
      <c r="X534" s="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25">
        <v>45684</v>
      </c>
      <c r="AI534" s="13" t="s">
        <v>146</v>
      </c>
      <c r="AN534" s="117"/>
      <c r="AO534" s="123"/>
      <c r="AP534" s="123"/>
      <c r="AQ534" s="123"/>
      <c r="AV534" s="115"/>
      <c r="AW534" s="115"/>
      <c r="AX534" s="115"/>
      <c r="AY534" s="115"/>
      <c r="AZ534" s="115"/>
      <c r="BA534" s="115"/>
      <c r="BB534" s="115"/>
      <c r="BC534" s="115"/>
      <c r="BD534" s="115"/>
      <c r="BE534" s="115"/>
      <c r="BF534" s="13"/>
      <c r="BG534" s="13"/>
      <c r="BJ534" s="114"/>
    </row>
    <row r="535" spans="1:62" ht="19.5" x14ac:dyDescent="0.4">
      <c r="A535" s="117"/>
      <c r="B535" s="123"/>
      <c r="C535" s="123"/>
      <c r="D535" s="123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20"/>
      <c r="X535" s="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25"/>
      <c r="AI535" s="13"/>
      <c r="AN535" s="117"/>
      <c r="AO535" s="123"/>
      <c r="AP535" s="123"/>
      <c r="AQ535" s="123"/>
      <c r="AV535" s="115"/>
      <c r="AW535" s="115"/>
      <c r="AX535" s="115"/>
      <c r="AY535" s="115"/>
      <c r="AZ535" s="115"/>
      <c r="BA535" s="115"/>
      <c r="BB535" s="115"/>
      <c r="BC535" s="115"/>
      <c r="BD535" s="115"/>
      <c r="BE535" s="115"/>
      <c r="BF535" s="13"/>
      <c r="BG535" s="13"/>
      <c r="BJ535" s="114"/>
    </row>
    <row r="536" spans="1:62" ht="19.5" x14ac:dyDescent="0.4">
      <c r="A536" s="117"/>
      <c r="B536" s="123"/>
      <c r="C536" s="123"/>
      <c r="D536" s="123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20"/>
      <c r="X536" s="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25"/>
      <c r="AI536" s="13"/>
      <c r="AN536" s="117"/>
      <c r="AO536" s="123"/>
      <c r="AP536" s="123"/>
      <c r="AQ536" s="123"/>
      <c r="AV536" s="115"/>
      <c r="AW536" s="115"/>
      <c r="AX536" s="115"/>
      <c r="AY536" s="115"/>
      <c r="AZ536" s="115"/>
      <c r="BA536" s="115"/>
      <c r="BB536" s="115"/>
      <c r="BC536" s="115"/>
      <c r="BD536" s="115"/>
      <c r="BE536" s="115"/>
      <c r="BF536" s="13"/>
      <c r="BG536" s="13"/>
      <c r="BJ536" s="114"/>
    </row>
    <row r="537" spans="1:62" ht="19.5" x14ac:dyDescent="0.4">
      <c r="A537" s="117"/>
      <c r="B537" s="123"/>
      <c r="C537" s="123"/>
      <c r="D537" s="123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25"/>
      <c r="X537" s="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25">
        <v>45684</v>
      </c>
      <c r="AI537" s="13" t="s">
        <v>147</v>
      </c>
      <c r="AN537" s="117"/>
      <c r="AO537" s="123"/>
      <c r="AP537" s="123"/>
      <c r="AQ537" s="123"/>
      <c r="AV537" s="115"/>
      <c r="AW537" s="115"/>
      <c r="AX537" s="115"/>
      <c r="AY537" s="115"/>
      <c r="AZ537" s="115"/>
      <c r="BA537" s="115"/>
      <c r="BB537" s="115"/>
      <c r="BC537" s="115"/>
      <c r="BD537" s="115"/>
      <c r="BE537" s="115"/>
      <c r="BF537" s="13"/>
      <c r="BG537" s="13"/>
      <c r="BJ537" s="114"/>
    </row>
    <row r="538" spans="1:62" ht="19.5" x14ac:dyDescent="0.4">
      <c r="A538" s="117"/>
      <c r="B538" s="123"/>
      <c r="C538" s="123"/>
      <c r="D538" s="123"/>
      <c r="W538" s="25"/>
      <c r="X538" s="15"/>
      <c r="AH538" s="25">
        <v>45685</v>
      </c>
      <c r="AI538" s="13" t="s">
        <v>146</v>
      </c>
      <c r="AN538" s="117"/>
      <c r="AO538" s="123"/>
      <c r="AP538" s="123"/>
      <c r="AQ538" s="123"/>
      <c r="AV538" s="115"/>
      <c r="AW538" s="115"/>
      <c r="AX538" s="115"/>
      <c r="AY538" s="115"/>
      <c r="AZ538" s="115"/>
      <c r="BA538" s="115"/>
      <c r="BB538" s="115"/>
      <c r="BC538" s="115"/>
      <c r="BD538" s="115"/>
      <c r="BE538" s="115"/>
      <c r="BF538" s="25">
        <v>45263</v>
      </c>
      <c r="BG538" s="13" t="s">
        <v>162</v>
      </c>
      <c r="BJ538" s="114"/>
    </row>
    <row r="539" spans="1:62" ht="19.5" x14ac:dyDescent="0.4">
      <c r="A539" s="117"/>
      <c r="B539" s="123"/>
      <c r="C539" s="123"/>
      <c r="D539" s="123"/>
      <c r="W539" s="25"/>
      <c r="X539" s="15"/>
      <c r="AE539" s="115"/>
      <c r="AF539" s="115"/>
      <c r="AG539" s="115"/>
      <c r="AH539" s="25">
        <v>45685</v>
      </c>
      <c r="AI539" s="13" t="s">
        <v>147</v>
      </c>
      <c r="AN539" s="117"/>
      <c r="AO539" s="123"/>
      <c r="AP539" s="123"/>
      <c r="AQ539" s="123"/>
      <c r="AV539" s="115"/>
      <c r="AW539" s="115"/>
      <c r="AX539" s="115"/>
      <c r="AY539" s="115"/>
      <c r="AZ539" s="115"/>
      <c r="BA539" s="115"/>
      <c r="BB539" s="115"/>
      <c r="BC539" s="115"/>
      <c r="BD539" s="115"/>
      <c r="BE539" s="115"/>
      <c r="BF539" s="25"/>
      <c r="BG539" s="13"/>
      <c r="BJ539" s="114"/>
    </row>
    <row r="540" spans="1:62" ht="19.5" x14ac:dyDescent="0.4">
      <c r="A540" s="117"/>
      <c r="B540" s="123"/>
      <c r="C540" s="123"/>
      <c r="D540" s="123"/>
      <c r="W540" s="133"/>
      <c r="X540" s="15"/>
      <c r="AE540" s="115"/>
      <c r="AF540" s="115"/>
      <c r="AG540" s="115"/>
      <c r="AH540" s="25"/>
      <c r="AI540" s="13"/>
      <c r="AN540" s="117"/>
      <c r="AO540" s="123"/>
      <c r="AP540" s="123"/>
      <c r="AQ540" s="123"/>
      <c r="AV540" s="115"/>
      <c r="AW540" s="115"/>
      <c r="AX540" s="115"/>
      <c r="AY540" s="115"/>
      <c r="AZ540" s="115"/>
      <c r="BA540" s="115"/>
      <c r="BB540" s="115"/>
      <c r="BC540" s="115"/>
      <c r="BD540" s="115"/>
      <c r="BE540" s="115"/>
      <c r="BF540" s="25"/>
      <c r="BG540" s="13"/>
      <c r="BJ540" s="114"/>
    </row>
    <row r="541" spans="1:62" ht="19.5" x14ac:dyDescent="0.4">
      <c r="A541" s="117"/>
      <c r="B541" s="123"/>
      <c r="C541" s="123"/>
      <c r="D541" s="123"/>
      <c r="W541" s="25"/>
      <c r="X541" s="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25">
        <v>45685</v>
      </c>
      <c r="AI541" s="13" t="s">
        <v>147</v>
      </c>
      <c r="AN541" s="117"/>
      <c r="AO541" s="123"/>
      <c r="AP541" s="123"/>
      <c r="AQ541" s="123"/>
      <c r="AV541" s="115"/>
      <c r="AW541" s="115"/>
      <c r="AX541" s="115"/>
      <c r="AY541" s="115"/>
      <c r="AZ541" s="115"/>
      <c r="BA541" s="115"/>
      <c r="BB541" s="115"/>
      <c r="BC541" s="115"/>
      <c r="BD541" s="115"/>
      <c r="BE541" s="115"/>
      <c r="BF541" s="25"/>
      <c r="BG541" s="13"/>
      <c r="BJ541" s="114"/>
    </row>
    <row r="542" spans="1:62" ht="19.5" x14ac:dyDescent="0.4">
      <c r="A542" s="117"/>
      <c r="B542" s="123"/>
      <c r="C542" s="123"/>
      <c r="D542" s="123"/>
      <c r="W542" s="25"/>
      <c r="X542" s="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25">
        <v>45685</v>
      </c>
      <c r="AI542" s="13" t="s">
        <v>148</v>
      </c>
      <c r="AN542" s="117"/>
      <c r="AO542" s="123"/>
      <c r="AP542" s="123"/>
      <c r="AQ542" s="123"/>
      <c r="AV542" s="115"/>
      <c r="AW542" s="115"/>
      <c r="AX542" s="115"/>
      <c r="AY542" s="115"/>
      <c r="AZ542" s="115"/>
      <c r="BA542" s="115"/>
      <c r="BB542" s="115"/>
      <c r="BC542" s="115"/>
      <c r="BD542" s="115"/>
      <c r="BE542" s="115"/>
      <c r="BF542" s="25"/>
      <c r="BG542" s="13"/>
      <c r="BJ542" s="114"/>
    </row>
    <row r="543" spans="1:62" ht="19.5" x14ac:dyDescent="0.4">
      <c r="A543" s="117"/>
      <c r="B543" s="123"/>
      <c r="C543" s="123"/>
      <c r="D543" s="123"/>
      <c r="W543" s="25"/>
      <c r="X543" s="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25">
        <v>45685</v>
      </c>
      <c r="AI543" s="13" t="s">
        <v>148</v>
      </c>
      <c r="AN543" s="117"/>
      <c r="AO543" s="123"/>
      <c r="AP543" s="123"/>
      <c r="AQ543" s="123"/>
      <c r="AV543" s="115"/>
      <c r="AW543" s="115"/>
      <c r="AX543" s="115"/>
      <c r="AY543" s="115"/>
      <c r="AZ543" s="115"/>
      <c r="BA543" s="115"/>
      <c r="BB543" s="115"/>
      <c r="BC543" s="115"/>
      <c r="BD543" s="115"/>
      <c r="BE543" s="115"/>
      <c r="BF543" s="25"/>
      <c r="BG543" s="13"/>
      <c r="BJ543" s="114"/>
    </row>
    <row r="544" spans="1:62" ht="19.5" x14ac:dyDescent="0.4">
      <c r="A544" s="117"/>
      <c r="B544" s="123"/>
      <c r="C544" s="123"/>
      <c r="D544" s="123"/>
      <c r="W544" s="133"/>
      <c r="X544" s="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25"/>
      <c r="AI544" s="13"/>
      <c r="AN544" s="117"/>
      <c r="AO544" s="123"/>
      <c r="AP544" s="123"/>
      <c r="AQ544" s="123"/>
      <c r="AV544" s="115"/>
      <c r="AW544" s="115"/>
      <c r="AX544" s="115"/>
      <c r="AY544" s="115"/>
      <c r="AZ544" s="115"/>
      <c r="BA544" s="115"/>
      <c r="BB544" s="115"/>
      <c r="BC544" s="115"/>
      <c r="BD544" s="115"/>
      <c r="BE544" s="115"/>
      <c r="BF544" s="25"/>
      <c r="BG544" s="13"/>
      <c r="BJ544" s="114"/>
    </row>
    <row r="545" spans="1:62" ht="19.5" x14ac:dyDescent="0.4">
      <c r="A545" s="117"/>
      <c r="B545" s="123"/>
      <c r="C545" s="123"/>
      <c r="D545" s="123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25"/>
      <c r="X545" s="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25"/>
      <c r="AI545" s="13"/>
      <c r="AN545" s="117"/>
      <c r="AO545" s="123"/>
      <c r="AP545" s="123"/>
      <c r="AQ545" s="123"/>
      <c r="AV545" s="115"/>
      <c r="AW545" s="115"/>
      <c r="AX545" s="115"/>
      <c r="AY545" s="115"/>
      <c r="AZ545" s="115"/>
      <c r="BA545" s="115"/>
      <c r="BB545" s="115"/>
      <c r="BC545" s="115"/>
      <c r="BD545" s="115"/>
      <c r="BE545" s="115"/>
      <c r="BF545" s="25"/>
      <c r="BG545" s="13"/>
      <c r="BJ545" s="114"/>
    </row>
    <row r="546" spans="1:62" ht="19.5" x14ac:dyDescent="0.4">
      <c r="A546" s="117"/>
      <c r="B546" s="123"/>
      <c r="C546" s="123"/>
      <c r="D546" s="123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33"/>
      <c r="X546" s="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25"/>
      <c r="AI546" s="13"/>
      <c r="AN546" s="117"/>
      <c r="AO546" s="123"/>
      <c r="AP546" s="123"/>
      <c r="AQ546" s="123"/>
      <c r="AV546" s="115"/>
      <c r="AW546" s="115"/>
      <c r="AX546" s="115"/>
      <c r="AY546" s="115"/>
      <c r="AZ546" s="115"/>
      <c r="BA546" s="115"/>
      <c r="BB546" s="115"/>
      <c r="BC546" s="115"/>
      <c r="BD546" s="115"/>
      <c r="BE546" s="115"/>
      <c r="BF546" s="25"/>
      <c r="BG546" s="13"/>
      <c r="BJ546" s="114"/>
    </row>
    <row r="547" spans="1:62" ht="19.5" x14ac:dyDescent="0.4">
      <c r="A547" s="117"/>
      <c r="B547" s="123"/>
      <c r="C547" s="123"/>
      <c r="D547" s="123"/>
      <c r="W547" s="25"/>
      <c r="X547" s="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25">
        <v>45685</v>
      </c>
      <c r="AI547" s="13" t="s">
        <v>148</v>
      </c>
      <c r="AN547" s="117"/>
      <c r="AO547" s="123"/>
      <c r="AP547" s="123"/>
      <c r="AQ547" s="123"/>
      <c r="AV547" s="115"/>
      <c r="AW547" s="115"/>
      <c r="AX547" s="115"/>
      <c r="AY547" s="115"/>
      <c r="AZ547" s="115"/>
      <c r="BA547" s="115"/>
      <c r="BB547" s="115"/>
      <c r="BC547" s="115"/>
      <c r="BD547" s="115"/>
      <c r="BE547" s="115"/>
      <c r="BF547" s="25"/>
      <c r="BG547" s="13"/>
      <c r="BJ547" s="114"/>
    </row>
    <row r="548" spans="1:62" ht="19.5" x14ac:dyDescent="0.4">
      <c r="A548" s="117"/>
      <c r="B548" s="123"/>
      <c r="C548" s="123"/>
      <c r="D548" s="123"/>
      <c r="W548" s="25"/>
      <c r="X548" s="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25">
        <v>45685</v>
      </c>
      <c r="AI548" s="13" t="s">
        <v>148</v>
      </c>
      <c r="AN548" s="117"/>
      <c r="AO548" s="123"/>
      <c r="AP548" s="123"/>
      <c r="AQ548" s="123"/>
      <c r="AV548" s="115"/>
      <c r="AW548" s="115"/>
      <c r="AX548" s="115"/>
      <c r="AY548" s="115"/>
      <c r="AZ548" s="115"/>
      <c r="BA548" s="115"/>
      <c r="BB548" s="115"/>
      <c r="BC548" s="115"/>
      <c r="BD548" s="115"/>
      <c r="BE548" s="115"/>
      <c r="BF548" s="25"/>
      <c r="BG548" s="13"/>
      <c r="BJ548" s="114"/>
    </row>
    <row r="549" spans="1:62" ht="19.5" x14ac:dyDescent="0.4">
      <c r="A549" s="117"/>
      <c r="B549" s="123"/>
      <c r="C549" s="123"/>
      <c r="D549" s="123"/>
      <c r="W549" s="25"/>
      <c r="X549" s="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25">
        <v>45685</v>
      </c>
      <c r="AI549" s="13" t="s">
        <v>146</v>
      </c>
      <c r="AN549" s="117"/>
      <c r="AO549" s="123"/>
      <c r="AP549" s="123"/>
      <c r="AQ549" s="123"/>
      <c r="AV549" s="115"/>
      <c r="AW549" s="115"/>
      <c r="AX549" s="115"/>
      <c r="AY549" s="115"/>
      <c r="AZ549" s="115"/>
      <c r="BA549" s="115"/>
      <c r="BB549" s="115"/>
      <c r="BC549" s="115"/>
      <c r="BD549" s="115"/>
      <c r="BE549" s="115"/>
      <c r="BF549" s="25"/>
      <c r="BG549" s="13"/>
      <c r="BJ549" s="114"/>
    </row>
    <row r="550" spans="1:62" ht="19.5" x14ac:dyDescent="0.4">
      <c r="A550" s="117"/>
      <c r="B550" s="123"/>
      <c r="C550" s="123"/>
      <c r="D550" s="123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25"/>
      <c r="X550" s="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25"/>
      <c r="AI550" s="13"/>
      <c r="AN550" s="117"/>
      <c r="AO550" s="123"/>
      <c r="AP550" s="123"/>
      <c r="AQ550" s="123"/>
      <c r="AV550" s="115"/>
      <c r="AW550" s="115"/>
      <c r="AX550" s="115"/>
      <c r="AY550" s="115"/>
      <c r="AZ550" s="115"/>
      <c r="BA550" s="115"/>
      <c r="BB550" s="115"/>
      <c r="BC550" s="115"/>
      <c r="BD550" s="115"/>
      <c r="BE550" s="115"/>
      <c r="BF550" s="25"/>
      <c r="BG550" s="13"/>
      <c r="BJ550" s="114"/>
    </row>
    <row r="551" spans="1:62" ht="19.5" x14ac:dyDescent="0.4">
      <c r="A551" s="117"/>
      <c r="B551" s="123"/>
      <c r="C551" s="123"/>
      <c r="D551" s="123"/>
      <c r="W551" s="25"/>
      <c r="X551" s="15"/>
      <c r="AH551" s="25">
        <v>45685</v>
      </c>
      <c r="AI551" s="13" t="s">
        <v>148</v>
      </c>
      <c r="AN551" s="117"/>
      <c r="AO551" s="123"/>
      <c r="AP551" s="123"/>
      <c r="AQ551" s="123"/>
      <c r="AV551" s="115"/>
      <c r="AW551" s="115"/>
      <c r="AX551" s="115"/>
      <c r="AY551" s="115"/>
      <c r="AZ551" s="115"/>
      <c r="BA551" s="115"/>
      <c r="BB551" s="115"/>
      <c r="BC551" s="115"/>
      <c r="BD551" s="115"/>
      <c r="BE551" s="115" t="s">
        <v>150</v>
      </c>
      <c r="BF551" s="13">
        <f>SUBTOTAL(3,BF538:BF538)</f>
        <v>1</v>
      </c>
      <c r="BG551" s="13">
        <f>SUBTOTAL(3,BG538:BG538)</f>
        <v>1</v>
      </c>
      <c r="BJ551" s="114"/>
    </row>
    <row r="552" spans="1:62" ht="19.5" x14ac:dyDescent="0.4">
      <c r="A552" s="117"/>
      <c r="B552" s="123"/>
      <c r="C552" s="123"/>
      <c r="D552" s="123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25"/>
      <c r="X552" s="15"/>
      <c r="AH552" s="25"/>
      <c r="AI552" s="13"/>
      <c r="AN552" s="117"/>
      <c r="AO552" s="123"/>
      <c r="AP552" s="123"/>
      <c r="AQ552" s="123"/>
      <c r="AV552" s="115"/>
      <c r="AW552" s="115"/>
      <c r="AX552" s="115"/>
      <c r="AY552" s="115"/>
      <c r="AZ552" s="115"/>
      <c r="BA552" s="115"/>
      <c r="BB552" s="115"/>
      <c r="BC552" s="115"/>
      <c r="BD552" s="115"/>
      <c r="BE552" s="115"/>
      <c r="BF552" s="13"/>
      <c r="BG552" s="13"/>
      <c r="BJ552" s="114"/>
    </row>
    <row r="553" spans="1:62" ht="19.5" x14ac:dyDescent="0.4">
      <c r="A553" s="117"/>
      <c r="B553" s="123"/>
      <c r="C553" s="123"/>
      <c r="D553" s="123"/>
      <c r="W553" s="25"/>
      <c r="X553" s="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25">
        <v>45685</v>
      </c>
      <c r="AI553" s="15" t="s">
        <v>146</v>
      </c>
      <c r="AN553" s="117"/>
      <c r="AO553" s="123"/>
      <c r="AP553" s="123"/>
      <c r="AQ553" s="123"/>
      <c r="AV553" s="115"/>
      <c r="AW553" s="115"/>
      <c r="AX553" s="115"/>
      <c r="AY553" s="115"/>
      <c r="AZ553" s="115"/>
      <c r="BA553" s="115"/>
      <c r="BB553" s="115"/>
      <c r="BC553" s="115"/>
      <c r="BD553" s="115"/>
      <c r="BE553" s="115"/>
      <c r="BF553" s="13"/>
      <c r="BG553" s="13"/>
      <c r="BJ553" s="114"/>
    </row>
    <row r="554" spans="1:62" ht="19.5" x14ac:dyDescent="0.4">
      <c r="A554" s="117"/>
      <c r="B554" s="123"/>
      <c r="C554" s="123"/>
      <c r="D554" s="123"/>
      <c r="W554" s="25"/>
      <c r="X554" s="15"/>
      <c r="AH554" s="25">
        <v>45685</v>
      </c>
      <c r="AI554" s="15" t="s">
        <v>146</v>
      </c>
      <c r="AN554" s="117"/>
      <c r="AO554" s="123"/>
      <c r="AP554" s="123"/>
      <c r="AQ554" s="123"/>
      <c r="AV554" s="115"/>
      <c r="AW554" s="115"/>
      <c r="AX554" s="115"/>
      <c r="AY554" s="115"/>
      <c r="AZ554" s="115"/>
      <c r="BA554" s="115"/>
      <c r="BB554" s="115"/>
      <c r="BC554" s="115"/>
      <c r="BD554" s="115"/>
      <c r="BE554" s="115"/>
      <c r="BF554" s="25">
        <v>45264</v>
      </c>
      <c r="BG554" s="13" t="s">
        <v>162</v>
      </c>
      <c r="BJ554" s="114"/>
    </row>
    <row r="555" spans="1:62" ht="19.5" x14ac:dyDescent="0.4">
      <c r="A555" s="117"/>
      <c r="B555" s="123"/>
      <c r="C555" s="123"/>
      <c r="D555" s="123"/>
      <c r="W555" s="25"/>
      <c r="X555" s="15"/>
      <c r="AD555" s="115"/>
      <c r="AE555" s="115"/>
      <c r="AF555" s="115"/>
      <c r="AG555" s="115"/>
      <c r="AH555" s="25">
        <v>45686</v>
      </c>
      <c r="AI555" s="15" t="s">
        <v>148</v>
      </c>
      <c r="AN555" s="117"/>
      <c r="AO555" s="123"/>
      <c r="AP555" s="123"/>
      <c r="AQ555" s="123"/>
      <c r="AV555" s="115"/>
      <c r="AW555" s="115"/>
      <c r="AX555" s="115"/>
      <c r="AY555" s="115"/>
      <c r="AZ555" s="115"/>
      <c r="BA555" s="115"/>
      <c r="BB555" s="115"/>
      <c r="BC555" s="115"/>
      <c r="BD555" s="115"/>
      <c r="BE555" s="115"/>
      <c r="BF555" s="25"/>
      <c r="BG555" s="13"/>
      <c r="BJ555" s="114"/>
    </row>
    <row r="556" spans="1:62" ht="19.5" x14ac:dyDescent="0.4">
      <c r="A556" s="117"/>
      <c r="B556" s="123"/>
      <c r="C556" s="123"/>
      <c r="D556" s="123"/>
      <c r="W556" s="25"/>
      <c r="X556" s="15"/>
      <c r="AB556" s="115"/>
      <c r="AC556" s="115"/>
      <c r="AD556" s="115"/>
      <c r="AE556" s="115"/>
      <c r="AF556" s="115"/>
      <c r="AG556" s="115"/>
      <c r="AH556" s="25">
        <v>45686</v>
      </c>
      <c r="AI556" s="15" t="s">
        <v>146</v>
      </c>
      <c r="AN556" s="117"/>
      <c r="AO556" s="123"/>
      <c r="AP556" s="123"/>
      <c r="AQ556" s="123"/>
      <c r="AV556" s="115"/>
      <c r="AW556" s="115"/>
      <c r="AX556" s="115"/>
      <c r="AY556" s="115"/>
      <c r="AZ556" s="115"/>
      <c r="BA556" s="115"/>
      <c r="BB556" s="115"/>
      <c r="BC556" s="115"/>
      <c r="BD556" s="115"/>
      <c r="BE556" s="115"/>
      <c r="BF556" s="25"/>
      <c r="BG556" s="13"/>
      <c r="BJ556" s="114"/>
    </row>
    <row r="557" spans="1:62" ht="19.5" x14ac:dyDescent="0.4">
      <c r="A557" s="117"/>
      <c r="B557" s="123"/>
      <c r="C557" s="123"/>
      <c r="D557" s="123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25"/>
      <c r="X557" s="15"/>
      <c r="AB557" s="115"/>
      <c r="AC557" s="115"/>
      <c r="AD557" s="115"/>
      <c r="AE557" s="115"/>
      <c r="AF557" s="115"/>
      <c r="AG557" s="115"/>
      <c r="AH557" s="25"/>
      <c r="AI557" s="15"/>
      <c r="AN557" s="117"/>
      <c r="AO557" s="123"/>
      <c r="AP557" s="123"/>
      <c r="AQ557" s="123"/>
      <c r="AV557" s="115"/>
      <c r="AW557" s="115"/>
      <c r="AX557" s="115"/>
      <c r="AY557" s="115"/>
      <c r="AZ557" s="115"/>
      <c r="BA557" s="115"/>
      <c r="BB557" s="115"/>
      <c r="BC557" s="115"/>
      <c r="BD557" s="115"/>
      <c r="BE557" s="115"/>
      <c r="BF557" s="25"/>
      <c r="BG557" s="13"/>
      <c r="BJ557" s="114"/>
    </row>
    <row r="558" spans="1:62" ht="19.5" x14ac:dyDescent="0.4">
      <c r="A558" s="117"/>
      <c r="B558" s="123"/>
      <c r="C558" s="123"/>
      <c r="D558" s="123"/>
      <c r="W558" s="26"/>
      <c r="X558" s="15"/>
      <c r="AB558" s="115"/>
      <c r="AC558" s="115"/>
      <c r="AD558" s="115"/>
      <c r="AE558" s="115"/>
      <c r="AF558" s="115"/>
      <c r="AG558" s="115"/>
      <c r="AH558" s="25">
        <v>45686</v>
      </c>
      <c r="AI558" s="15" t="s">
        <v>148</v>
      </c>
      <c r="AN558" s="117"/>
      <c r="AO558" s="123"/>
      <c r="AP558" s="123"/>
      <c r="AQ558" s="123"/>
      <c r="AV558" s="115"/>
      <c r="AW558" s="115"/>
      <c r="AX558" s="115"/>
      <c r="AY558" s="115"/>
      <c r="AZ558" s="115"/>
      <c r="BA558" s="115"/>
      <c r="BB558" s="115"/>
      <c r="BC558" s="115"/>
      <c r="BD558" s="115"/>
      <c r="BE558" s="115"/>
      <c r="BF558" s="25"/>
      <c r="BG558" s="13"/>
      <c r="BJ558" s="114"/>
    </row>
    <row r="559" spans="1:62" ht="19.5" x14ac:dyDescent="0.4">
      <c r="A559" s="117"/>
      <c r="B559" s="123"/>
      <c r="C559" s="123"/>
      <c r="D559" s="123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26"/>
      <c r="X559" s="13"/>
      <c r="AB559" s="115"/>
      <c r="AC559" s="115"/>
      <c r="AD559" s="115"/>
      <c r="AE559" s="115"/>
      <c r="AF559" s="115"/>
      <c r="AG559" s="115"/>
      <c r="AH559" s="25"/>
      <c r="AI559" s="15"/>
      <c r="AN559" s="117"/>
      <c r="AO559" s="123"/>
      <c r="AP559" s="123"/>
      <c r="AQ559" s="123"/>
      <c r="AV559" s="115"/>
      <c r="AW559" s="115"/>
      <c r="AX559" s="115"/>
      <c r="AY559" s="115"/>
      <c r="AZ559" s="115"/>
      <c r="BA559" s="115"/>
      <c r="BB559" s="115"/>
      <c r="BC559" s="115"/>
      <c r="BD559" s="115"/>
      <c r="BE559" s="115"/>
      <c r="BF559" s="25"/>
      <c r="BG559" s="13"/>
      <c r="BJ559" s="114"/>
    </row>
    <row r="560" spans="1:62" ht="19.5" x14ac:dyDescent="0.4">
      <c r="A560" s="117"/>
      <c r="B560" s="123"/>
      <c r="C560" s="123"/>
      <c r="D560" s="123"/>
      <c r="W560" s="26"/>
      <c r="X560" s="13"/>
      <c r="AH560" s="25">
        <v>45686</v>
      </c>
      <c r="AI560" s="15" t="s">
        <v>146</v>
      </c>
      <c r="AN560" s="117"/>
      <c r="AO560" s="123"/>
      <c r="AP560" s="123"/>
      <c r="AQ560" s="123"/>
      <c r="AV560" s="115"/>
      <c r="AW560" s="115"/>
      <c r="AX560" s="115"/>
      <c r="AY560" s="115"/>
      <c r="AZ560" s="115"/>
      <c r="BA560" s="115"/>
      <c r="BB560" s="115"/>
      <c r="BC560" s="115"/>
      <c r="BD560" s="115"/>
      <c r="BE560" s="115" t="s">
        <v>154</v>
      </c>
      <c r="BF560" s="13">
        <f>SUBTOTAL(3,BF554:BF554)</f>
        <v>1</v>
      </c>
      <c r="BG560" s="13">
        <f>SUBTOTAL(3,BG554:BG554)</f>
        <v>1</v>
      </c>
      <c r="BJ560" s="114"/>
    </row>
    <row r="561" spans="1:62" ht="19.5" x14ac:dyDescent="0.4">
      <c r="A561" s="117"/>
      <c r="B561" s="123"/>
      <c r="C561" s="123"/>
      <c r="D561" s="123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26"/>
      <c r="X561" s="13"/>
      <c r="AH561" s="25"/>
      <c r="AI561" s="15"/>
      <c r="AN561" s="117"/>
      <c r="AO561" s="123"/>
      <c r="AP561" s="123"/>
      <c r="AQ561" s="123"/>
      <c r="AV561" s="115"/>
      <c r="AW561" s="115"/>
      <c r="AX561" s="115"/>
      <c r="AY561" s="115"/>
      <c r="AZ561" s="115"/>
      <c r="BA561" s="115"/>
      <c r="BB561" s="115"/>
      <c r="BC561" s="115"/>
      <c r="BD561" s="115"/>
      <c r="BE561" s="115"/>
      <c r="BF561" s="13"/>
      <c r="BG561" s="13"/>
      <c r="BJ561" s="114"/>
    </row>
    <row r="562" spans="1:62" ht="19.5" x14ac:dyDescent="0.4">
      <c r="A562" s="117"/>
      <c r="B562" s="123"/>
      <c r="C562" s="123"/>
      <c r="D562" s="123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26"/>
      <c r="X562" s="13"/>
      <c r="AH562" s="25"/>
      <c r="AI562" s="15"/>
      <c r="AN562" s="117"/>
      <c r="AO562" s="123"/>
      <c r="AP562" s="123"/>
      <c r="AQ562" s="123"/>
      <c r="AV562" s="115"/>
      <c r="AW562" s="115"/>
      <c r="AX562" s="115"/>
      <c r="AY562" s="115"/>
      <c r="AZ562" s="115"/>
      <c r="BA562" s="115"/>
      <c r="BB562" s="115"/>
      <c r="BC562" s="115"/>
      <c r="BD562" s="115"/>
      <c r="BE562" s="115"/>
      <c r="BF562" s="13"/>
      <c r="BG562" s="13"/>
      <c r="BJ562" s="114"/>
    </row>
    <row r="563" spans="1:62" ht="19.5" x14ac:dyDescent="0.4">
      <c r="A563" s="117"/>
      <c r="B563" s="123"/>
      <c r="C563" s="123"/>
      <c r="D563" s="123"/>
      <c r="W563" s="26"/>
      <c r="X563" s="13"/>
      <c r="AH563" s="25">
        <v>45686</v>
      </c>
      <c r="AI563" s="15" t="s">
        <v>146</v>
      </c>
      <c r="AN563" s="117"/>
      <c r="AO563" s="123"/>
      <c r="AP563" s="123"/>
      <c r="AQ563" s="123"/>
      <c r="AV563" s="115"/>
      <c r="AW563" s="115"/>
      <c r="AX563" s="115"/>
      <c r="AY563" s="115"/>
      <c r="AZ563" s="115"/>
      <c r="BA563" s="115"/>
      <c r="BB563" s="115"/>
      <c r="BC563" s="115"/>
      <c r="BD563" s="115"/>
      <c r="BE563" s="115"/>
      <c r="BF563" s="25">
        <v>45265</v>
      </c>
      <c r="BG563" s="13" t="s">
        <v>162</v>
      </c>
      <c r="BJ563" s="114"/>
    </row>
    <row r="564" spans="1:62" ht="19.5" x14ac:dyDescent="0.4">
      <c r="A564" s="117"/>
      <c r="B564" s="123"/>
      <c r="C564" s="123"/>
      <c r="D564" s="123"/>
      <c r="W564" s="26"/>
      <c r="X564" s="13"/>
      <c r="AH564" s="25">
        <v>45686</v>
      </c>
      <c r="AI564" s="15" t="s">
        <v>146</v>
      </c>
      <c r="AN564" s="117"/>
      <c r="AO564" s="123"/>
      <c r="AP564" s="123"/>
      <c r="AQ564" s="123"/>
      <c r="AV564" s="115"/>
      <c r="AW564" s="115"/>
      <c r="AX564" s="115"/>
      <c r="AY564" s="115"/>
      <c r="AZ564" s="115"/>
      <c r="BA564" s="115"/>
      <c r="BB564" s="115"/>
      <c r="BC564" s="115"/>
      <c r="BD564" s="115"/>
      <c r="BE564" s="115"/>
      <c r="BF564" s="25">
        <v>45265</v>
      </c>
      <c r="BG564" s="25" t="s">
        <v>162</v>
      </c>
      <c r="BJ564" s="114"/>
    </row>
    <row r="565" spans="1:62" ht="19.5" x14ac:dyDescent="0.4">
      <c r="A565" s="117"/>
      <c r="B565" s="123"/>
      <c r="C565" s="123"/>
      <c r="D565" s="123"/>
      <c r="W565" s="26"/>
      <c r="X565" s="13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25">
        <v>45686</v>
      </c>
      <c r="AI565" s="15" t="s">
        <v>146</v>
      </c>
      <c r="AN565" s="117"/>
      <c r="AO565" s="123"/>
      <c r="AP565" s="123"/>
      <c r="AQ565" s="123"/>
      <c r="AV565" s="115"/>
      <c r="AW565" s="115"/>
      <c r="AX565" s="115"/>
      <c r="AY565" s="115"/>
      <c r="AZ565" s="115"/>
      <c r="BA565" s="115"/>
      <c r="BB565" s="115"/>
      <c r="BC565" s="115"/>
      <c r="BD565" s="115"/>
      <c r="BE565" s="115"/>
      <c r="BF565" s="25"/>
      <c r="BG565" s="25"/>
      <c r="BJ565" s="114"/>
    </row>
    <row r="566" spans="1:62" ht="19.5" x14ac:dyDescent="0.4">
      <c r="A566" s="117"/>
      <c r="B566" s="123"/>
      <c r="C566" s="123"/>
      <c r="D566" s="123"/>
      <c r="W566" s="129"/>
      <c r="X566" s="13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25"/>
      <c r="AI566" s="13"/>
      <c r="AN566" s="117"/>
      <c r="AO566" s="123"/>
      <c r="AP566" s="123"/>
      <c r="AQ566" s="123"/>
      <c r="AV566" s="115"/>
      <c r="AW566" s="115"/>
      <c r="AX566" s="115"/>
      <c r="AY566" s="115"/>
      <c r="AZ566" s="115"/>
      <c r="BA566" s="115"/>
      <c r="BB566" s="115"/>
      <c r="BC566" s="115"/>
      <c r="BD566" s="115"/>
      <c r="BE566" s="115"/>
      <c r="BF566" s="25"/>
      <c r="BG566" s="25"/>
      <c r="BJ566" s="114"/>
    </row>
    <row r="567" spans="1:62" ht="19.5" x14ac:dyDescent="0.4">
      <c r="A567" s="117"/>
      <c r="B567" s="123"/>
      <c r="C567" s="123"/>
      <c r="D567" s="123"/>
      <c r="W567" s="26"/>
      <c r="X567" s="13"/>
      <c r="AH567" s="25">
        <v>45686</v>
      </c>
      <c r="AI567" s="13" t="s">
        <v>146</v>
      </c>
      <c r="AN567" s="117"/>
      <c r="AO567" s="123"/>
      <c r="AP567" s="123"/>
      <c r="AQ567" s="123"/>
      <c r="AV567" s="115"/>
      <c r="AW567" s="115"/>
      <c r="AX567" s="115"/>
      <c r="AY567" s="115"/>
      <c r="AZ567" s="115"/>
      <c r="BA567" s="115"/>
      <c r="BB567" s="115"/>
      <c r="BC567" s="115"/>
      <c r="BD567" s="115"/>
      <c r="BE567" s="115"/>
      <c r="BF567" s="25">
        <v>45265</v>
      </c>
      <c r="BG567" s="13" t="s">
        <v>162</v>
      </c>
      <c r="BJ567" s="114"/>
    </row>
    <row r="568" spans="1:62" ht="19.5" x14ac:dyDescent="0.4">
      <c r="A568" s="117"/>
      <c r="B568" s="123"/>
      <c r="C568" s="123"/>
      <c r="D568" s="123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26"/>
      <c r="X568" s="13"/>
      <c r="AH568" s="25"/>
      <c r="AI568" s="13"/>
      <c r="AN568" s="117"/>
      <c r="AO568" s="123"/>
      <c r="AP568" s="123"/>
      <c r="AQ568" s="123"/>
      <c r="AV568" s="115"/>
      <c r="AW568" s="115"/>
      <c r="AX568" s="115"/>
      <c r="AY568" s="115"/>
      <c r="AZ568" s="115"/>
      <c r="BA568" s="115"/>
      <c r="BB568" s="115"/>
      <c r="BC568" s="115"/>
      <c r="BD568" s="115"/>
      <c r="BE568" s="115"/>
      <c r="BF568" s="25"/>
      <c r="BG568" s="13"/>
      <c r="BJ568" s="114"/>
    </row>
    <row r="569" spans="1:62" ht="19.5" x14ac:dyDescent="0.4">
      <c r="A569" s="117"/>
      <c r="B569" s="123"/>
      <c r="C569" s="123"/>
      <c r="D569" s="123"/>
      <c r="W569" s="26"/>
      <c r="X569" s="13"/>
      <c r="AD569" s="115"/>
      <c r="AE569" s="115"/>
      <c r="AF569" s="115"/>
      <c r="AG569" s="115"/>
      <c r="AH569" s="25">
        <v>45686</v>
      </c>
      <c r="AI569" s="15" t="s">
        <v>146</v>
      </c>
      <c r="AN569" s="117"/>
      <c r="AO569" s="123"/>
      <c r="AP569" s="123"/>
      <c r="AQ569" s="123"/>
      <c r="AV569" s="115"/>
      <c r="AW569" s="115"/>
      <c r="AX569" s="115"/>
      <c r="AY569" s="115"/>
      <c r="AZ569" s="115"/>
      <c r="BA569" s="115"/>
      <c r="BB569" s="115"/>
      <c r="BC569" s="115"/>
      <c r="BD569" s="115"/>
      <c r="BE569" s="115"/>
      <c r="BF569" s="25"/>
      <c r="BG569" s="13"/>
      <c r="BJ569" s="114"/>
    </row>
    <row r="570" spans="1:62" ht="19.5" x14ac:dyDescent="0.4">
      <c r="A570" s="117"/>
      <c r="B570" s="123"/>
      <c r="C570" s="123"/>
      <c r="D570" s="123"/>
      <c r="W570" s="26"/>
      <c r="X570" s="13"/>
      <c r="AH570" s="25">
        <v>45686</v>
      </c>
      <c r="AI570" s="15" t="s">
        <v>147</v>
      </c>
      <c r="AN570" s="117"/>
      <c r="AO570" s="123"/>
      <c r="AP570" s="123"/>
      <c r="AQ570" s="123"/>
      <c r="AV570" s="115"/>
      <c r="AW570" s="115"/>
      <c r="AX570" s="115"/>
      <c r="AY570" s="115"/>
      <c r="AZ570" s="115"/>
      <c r="BA570" s="115"/>
      <c r="BB570" s="115"/>
      <c r="BC570" s="115"/>
      <c r="BD570" s="115"/>
      <c r="BE570" s="115"/>
      <c r="BF570" s="25">
        <v>45265</v>
      </c>
      <c r="BG570" s="13" t="s">
        <v>162</v>
      </c>
      <c r="BJ570" s="114"/>
    </row>
    <row r="571" spans="1:62" ht="19.5" x14ac:dyDescent="0.4">
      <c r="A571" s="117"/>
      <c r="B571" s="123"/>
      <c r="C571" s="123"/>
      <c r="D571" s="123"/>
      <c r="W571" s="26"/>
      <c r="X571" s="13"/>
      <c r="AE571" s="115"/>
      <c r="AF571" s="115"/>
      <c r="AG571" s="115"/>
      <c r="AH571" s="25">
        <v>45686</v>
      </c>
      <c r="AI571" s="15" t="s">
        <v>147</v>
      </c>
      <c r="AN571" s="117"/>
      <c r="AO571" s="123"/>
      <c r="AP571" s="123"/>
      <c r="AQ571" s="123"/>
      <c r="AV571" s="115"/>
      <c r="AW571" s="115"/>
      <c r="AX571" s="115"/>
      <c r="AY571" s="115"/>
      <c r="AZ571" s="115"/>
      <c r="BA571" s="115"/>
      <c r="BB571" s="115"/>
      <c r="BC571" s="115"/>
      <c r="BD571" s="115"/>
      <c r="BE571" s="115"/>
      <c r="BF571" s="25"/>
      <c r="BG571" s="13"/>
      <c r="BJ571" s="114"/>
    </row>
    <row r="572" spans="1:62" ht="19.5" x14ac:dyDescent="0.4">
      <c r="A572" s="117"/>
      <c r="B572" s="123"/>
      <c r="C572" s="123"/>
      <c r="D572" s="123"/>
      <c r="W572" s="26"/>
      <c r="X572" s="13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25">
        <v>45686</v>
      </c>
      <c r="AI572" s="13" t="s">
        <v>146</v>
      </c>
      <c r="AN572" s="117"/>
      <c r="AO572" s="123"/>
      <c r="AP572" s="123"/>
      <c r="AQ572" s="123"/>
      <c r="AV572" s="115"/>
      <c r="AW572" s="115"/>
      <c r="AX572" s="115"/>
      <c r="AY572" s="115"/>
      <c r="AZ572" s="115"/>
      <c r="BA572" s="115"/>
      <c r="BB572" s="115"/>
      <c r="BC572" s="115"/>
      <c r="BD572" s="115"/>
      <c r="BE572" s="115"/>
      <c r="BF572" s="25"/>
      <c r="BG572" s="13"/>
      <c r="BJ572" s="114"/>
    </row>
    <row r="573" spans="1:62" ht="19.5" x14ac:dyDescent="0.4">
      <c r="A573" s="117"/>
      <c r="B573" s="123"/>
      <c r="C573" s="123"/>
      <c r="D573" s="123"/>
      <c r="W573" s="26"/>
      <c r="X573" s="13"/>
      <c r="AH573" s="25">
        <v>45686</v>
      </c>
      <c r="AI573" s="25" t="s">
        <v>146</v>
      </c>
      <c r="AN573" s="117"/>
      <c r="AO573" s="123"/>
      <c r="AP573" s="123"/>
      <c r="AQ573" s="123"/>
      <c r="AV573" s="115"/>
      <c r="AW573" s="115"/>
      <c r="AX573" s="115"/>
      <c r="AY573" s="115"/>
      <c r="AZ573" s="115"/>
      <c r="BA573" s="115"/>
      <c r="BB573" s="115"/>
      <c r="BC573" s="115"/>
      <c r="BD573" s="115"/>
      <c r="BE573" s="115"/>
      <c r="BF573" s="25">
        <v>45265</v>
      </c>
      <c r="BG573" s="13" t="s">
        <v>163</v>
      </c>
      <c r="BJ573" s="114"/>
    </row>
    <row r="574" spans="1:62" ht="19.5" x14ac:dyDescent="0.4">
      <c r="A574" s="117"/>
      <c r="B574" s="123"/>
      <c r="C574" s="123"/>
      <c r="D574" s="123"/>
      <c r="W574" s="26"/>
      <c r="X574" s="13"/>
      <c r="AH574" s="25">
        <v>45686</v>
      </c>
      <c r="AI574" s="25" t="s">
        <v>147</v>
      </c>
      <c r="AN574" s="117"/>
      <c r="AO574" s="123"/>
      <c r="AP574" s="123"/>
      <c r="AQ574" s="123"/>
      <c r="AV574" s="115"/>
      <c r="AW574" s="115"/>
      <c r="AX574" s="115"/>
      <c r="AY574" s="115"/>
      <c r="AZ574" s="115"/>
      <c r="BA574" s="115"/>
      <c r="BB574" s="115"/>
      <c r="BC574" s="115"/>
      <c r="BD574" s="115"/>
      <c r="BE574" s="115" t="s">
        <v>155</v>
      </c>
      <c r="BF574" s="13">
        <f>SUBTOTAL(3,BF563:BF573)</f>
        <v>5</v>
      </c>
      <c r="BG574" s="13">
        <f>SUBTOTAL(3,BG563:BG573)</f>
        <v>5</v>
      </c>
      <c r="BJ574" s="114"/>
    </row>
    <row r="575" spans="1:62" ht="19.5" x14ac:dyDescent="0.4">
      <c r="A575" s="117"/>
      <c r="B575" s="123"/>
      <c r="C575" s="123"/>
      <c r="D575" s="123"/>
      <c r="W575" s="26"/>
      <c r="X575" s="13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25">
        <v>45686</v>
      </c>
      <c r="AI575" s="25" t="s">
        <v>148</v>
      </c>
      <c r="AN575" s="117"/>
      <c r="AO575" s="123"/>
      <c r="AP575" s="123"/>
      <c r="AQ575" s="123"/>
      <c r="AV575" s="115"/>
      <c r="AW575" s="115"/>
      <c r="AX575" s="115"/>
      <c r="AY575" s="115"/>
      <c r="AZ575" s="115"/>
      <c r="BA575" s="115"/>
      <c r="BB575" s="115"/>
      <c r="BC575" s="115"/>
      <c r="BD575" s="115"/>
      <c r="BE575" s="115"/>
      <c r="BF575" s="13"/>
      <c r="BG575" s="13"/>
      <c r="BJ575" s="114"/>
    </row>
    <row r="576" spans="1:62" ht="19.5" x14ac:dyDescent="0.4">
      <c r="A576" s="117"/>
      <c r="B576" s="123"/>
      <c r="C576" s="123"/>
      <c r="D576" s="123"/>
      <c r="W576" s="26"/>
      <c r="X576" s="13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25">
        <v>45686</v>
      </c>
      <c r="AI576" s="13" t="s">
        <v>146</v>
      </c>
      <c r="AN576" s="117"/>
      <c r="AO576" s="123"/>
      <c r="AP576" s="123"/>
      <c r="AQ576" s="123"/>
      <c r="AV576" s="115"/>
      <c r="AW576" s="115"/>
      <c r="AX576" s="115"/>
      <c r="AY576" s="115"/>
      <c r="AZ576" s="115"/>
      <c r="BA576" s="115"/>
      <c r="BB576" s="115"/>
      <c r="BC576" s="115"/>
      <c r="BD576" s="115"/>
      <c r="BE576" s="115"/>
      <c r="BF576" s="13"/>
      <c r="BG576" s="13"/>
      <c r="BJ576" s="114"/>
    </row>
    <row r="577" spans="1:62" ht="19.5" x14ac:dyDescent="0.4">
      <c r="A577" s="117"/>
      <c r="B577" s="123"/>
      <c r="C577" s="123"/>
      <c r="D577" s="123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26"/>
      <c r="X577" s="13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25">
        <v>45686</v>
      </c>
      <c r="AI577" s="13" t="s">
        <v>146</v>
      </c>
      <c r="AN577" s="117"/>
      <c r="AO577" s="123"/>
      <c r="AP577" s="123"/>
      <c r="AQ577" s="123"/>
      <c r="AV577" s="115"/>
      <c r="AW577" s="115"/>
      <c r="AX577" s="115"/>
      <c r="AY577" s="115"/>
      <c r="AZ577" s="115"/>
      <c r="BA577" s="115"/>
      <c r="BB577" s="115"/>
      <c r="BC577" s="115"/>
      <c r="BD577" s="115"/>
      <c r="BE577" s="115"/>
      <c r="BF577" s="13"/>
      <c r="BG577" s="13"/>
      <c r="BJ577" s="114"/>
    </row>
    <row r="578" spans="1:62" ht="19.5" x14ac:dyDescent="0.4">
      <c r="A578" s="117"/>
      <c r="B578" s="123"/>
      <c r="C578" s="123"/>
      <c r="D578" s="123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26"/>
      <c r="X578" s="13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25">
        <v>45686</v>
      </c>
      <c r="AI578" s="15" t="s">
        <v>148</v>
      </c>
      <c r="AN578" s="117"/>
      <c r="AO578" s="123"/>
      <c r="AP578" s="123"/>
      <c r="AQ578" s="123"/>
      <c r="AV578" s="115"/>
      <c r="AW578" s="115"/>
      <c r="AX578" s="115"/>
      <c r="AY578" s="115"/>
      <c r="AZ578" s="115"/>
      <c r="BA578" s="115"/>
      <c r="BB578" s="115"/>
      <c r="BC578" s="115"/>
      <c r="BD578" s="115"/>
      <c r="BE578" s="115"/>
      <c r="BF578" s="13"/>
      <c r="BG578" s="13"/>
      <c r="BJ578" s="114"/>
    </row>
    <row r="579" spans="1:62" ht="19.5" x14ac:dyDescent="0.4">
      <c r="A579" s="117"/>
      <c r="B579" s="123"/>
      <c r="C579" s="123"/>
      <c r="D579" s="123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26"/>
      <c r="X579" s="13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25">
        <v>45686</v>
      </c>
      <c r="AI579" s="15" t="s">
        <v>148</v>
      </c>
      <c r="AN579" s="117"/>
      <c r="AO579" s="123"/>
      <c r="AP579" s="123"/>
      <c r="AQ579" s="123"/>
      <c r="AV579" s="115"/>
      <c r="AW579" s="115"/>
      <c r="AX579" s="115"/>
      <c r="AY579" s="115"/>
      <c r="AZ579" s="115"/>
      <c r="BA579" s="115"/>
      <c r="BB579" s="115"/>
      <c r="BC579" s="115"/>
      <c r="BD579" s="115"/>
      <c r="BE579" s="115"/>
      <c r="BF579" s="13"/>
      <c r="BG579" s="13"/>
      <c r="BJ579" s="114"/>
    </row>
    <row r="580" spans="1:62" ht="19.5" x14ac:dyDescent="0.4">
      <c r="A580" s="117"/>
      <c r="B580" s="123"/>
      <c r="C580" s="123"/>
      <c r="D580" s="123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26"/>
      <c r="X580" s="13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25">
        <v>45686</v>
      </c>
      <c r="AI580" s="15" t="s">
        <v>148</v>
      </c>
      <c r="AN580" s="117"/>
      <c r="AO580" s="123"/>
      <c r="AP580" s="123"/>
      <c r="AQ580" s="123"/>
      <c r="AV580" s="115"/>
      <c r="AW580" s="115"/>
      <c r="AX580" s="115"/>
      <c r="AY580" s="115"/>
      <c r="AZ580" s="115"/>
      <c r="BA580" s="115"/>
      <c r="BB580" s="115"/>
      <c r="BC580" s="115"/>
      <c r="BD580" s="115"/>
      <c r="BE580" s="115"/>
      <c r="BF580" s="13"/>
      <c r="BG580" s="13"/>
      <c r="BJ580" s="114"/>
    </row>
    <row r="581" spans="1:62" ht="19.5" x14ac:dyDescent="0.4">
      <c r="A581" s="117"/>
      <c r="B581" s="123"/>
      <c r="C581" s="123"/>
      <c r="D581" s="123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26"/>
      <c r="X581" s="13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25">
        <v>45686</v>
      </c>
      <c r="AI581" s="15" t="s">
        <v>146</v>
      </c>
      <c r="AN581" s="117"/>
      <c r="AO581" s="123"/>
      <c r="AP581" s="123"/>
      <c r="AQ581" s="123"/>
      <c r="AV581" s="115"/>
      <c r="AW581" s="115"/>
      <c r="AX581" s="115"/>
      <c r="AY581" s="115"/>
      <c r="AZ581" s="115"/>
      <c r="BA581" s="115"/>
      <c r="BB581" s="115"/>
      <c r="BC581" s="115"/>
      <c r="BD581" s="115"/>
      <c r="BE581" s="115"/>
      <c r="BF581" s="13"/>
      <c r="BG581" s="13"/>
      <c r="BJ581" s="114"/>
    </row>
    <row r="582" spans="1:62" ht="19.5" x14ac:dyDescent="0.4">
      <c r="A582" s="117"/>
      <c r="B582" s="123"/>
      <c r="C582" s="123"/>
      <c r="D582" s="123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26"/>
      <c r="X582" s="13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25">
        <v>45686</v>
      </c>
      <c r="AI582" s="15" t="s">
        <v>148</v>
      </c>
      <c r="AN582" s="117"/>
      <c r="AO582" s="123"/>
      <c r="AP582" s="123"/>
      <c r="AQ582" s="123"/>
      <c r="AV582" s="115"/>
      <c r="AW582" s="115"/>
      <c r="AX582" s="115"/>
      <c r="AY582" s="115"/>
      <c r="AZ582" s="115"/>
      <c r="BA582" s="115"/>
      <c r="BB582" s="115"/>
      <c r="BC582" s="115"/>
      <c r="BD582" s="115"/>
      <c r="BE582" s="115"/>
      <c r="BF582" s="13"/>
      <c r="BG582" s="13"/>
      <c r="BJ582" s="114"/>
    </row>
    <row r="583" spans="1:62" ht="19.5" x14ac:dyDescent="0.4">
      <c r="A583" s="117"/>
      <c r="B583" s="123"/>
      <c r="C583" s="123"/>
      <c r="D583" s="123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26"/>
      <c r="X583" s="13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25">
        <v>45689</v>
      </c>
      <c r="AI583" s="15" t="s">
        <v>147</v>
      </c>
      <c r="AN583" s="117"/>
      <c r="AO583" s="123"/>
      <c r="AP583" s="123"/>
      <c r="AQ583" s="123"/>
      <c r="AV583" s="115"/>
      <c r="AW583" s="115"/>
      <c r="AX583" s="115"/>
      <c r="AY583" s="115"/>
      <c r="AZ583" s="115"/>
      <c r="BA583" s="115"/>
      <c r="BB583" s="115"/>
      <c r="BC583" s="115"/>
      <c r="BD583" s="115"/>
      <c r="BE583" s="115"/>
      <c r="BF583" s="13"/>
      <c r="BG583" s="13"/>
      <c r="BJ583" s="114"/>
    </row>
    <row r="584" spans="1:62" ht="19.5" x14ac:dyDescent="0.4">
      <c r="A584" s="117"/>
      <c r="B584" s="123"/>
      <c r="C584" s="123"/>
      <c r="D584" s="123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26"/>
      <c r="X584" s="13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25"/>
      <c r="AI584" s="15"/>
      <c r="AN584" s="117"/>
      <c r="AO584" s="123"/>
      <c r="AP584" s="123"/>
      <c r="AQ584" s="123"/>
      <c r="AV584" s="115"/>
      <c r="AW584" s="115"/>
      <c r="AX584" s="115"/>
      <c r="AY584" s="115"/>
      <c r="AZ584" s="115"/>
      <c r="BA584" s="115"/>
      <c r="BB584" s="115"/>
      <c r="BC584" s="115"/>
      <c r="BD584" s="115"/>
      <c r="BE584" s="115"/>
      <c r="BF584" s="13"/>
      <c r="BG584" s="13"/>
      <c r="BJ584" s="114"/>
    </row>
    <row r="585" spans="1:62" ht="19.5" x14ac:dyDescent="0.4">
      <c r="A585" s="117"/>
      <c r="B585" s="123"/>
      <c r="C585" s="123"/>
      <c r="D585" s="123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26"/>
      <c r="X585" s="13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25">
        <v>45689</v>
      </c>
      <c r="AI585" s="15" t="s">
        <v>147</v>
      </c>
      <c r="AN585" s="117"/>
      <c r="AO585" s="123"/>
      <c r="AP585" s="123"/>
      <c r="AQ585" s="123"/>
      <c r="AV585" s="115"/>
      <c r="AW585" s="115"/>
      <c r="AX585" s="115"/>
      <c r="AY585" s="115"/>
      <c r="AZ585" s="115"/>
      <c r="BA585" s="115"/>
      <c r="BB585" s="115"/>
      <c r="BC585" s="115"/>
      <c r="BD585" s="115"/>
      <c r="BE585" s="115"/>
      <c r="BF585" s="13"/>
      <c r="BG585" s="13"/>
      <c r="BJ585" s="114"/>
    </row>
    <row r="586" spans="1:62" ht="19.5" x14ac:dyDescent="0.4">
      <c r="A586" s="117"/>
      <c r="B586" s="123"/>
      <c r="C586" s="123"/>
      <c r="D586" s="123"/>
      <c r="W586" s="26"/>
      <c r="X586" s="13"/>
      <c r="AH586" s="25">
        <v>45689</v>
      </c>
      <c r="AI586" s="15" t="s">
        <v>146</v>
      </c>
      <c r="AN586" s="117"/>
      <c r="AO586" s="123"/>
      <c r="AP586" s="123"/>
      <c r="AQ586" s="123"/>
      <c r="AS586" s="115"/>
      <c r="AT586" s="115"/>
      <c r="AU586" s="115"/>
      <c r="AV586" s="115"/>
      <c r="AW586" s="115"/>
      <c r="AX586" s="115"/>
      <c r="AY586" s="115"/>
      <c r="AZ586" s="115"/>
      <c r="BA586" s="115"/>
      <c r="BB586" s="115"/>
      <c r="BC586" s="115"/>
      <c r="BD586" s="115"/>
      <c r="BE586" s="115"/>
      <c r="BF586" s="25">
        <v>45266</v>
      </c>
      <c r="BG586" s="25" t="s">
        <v>162</v>
      </c>
      <c r="BJ586" s="114"/>
    </row>
    <row r="587" spans="1:62" ht="19.5" x14ac:dyDescent="0.4">
      <c r="A587" s="117"/>
      <c r="B587" s="123"/>
      <c r="C587" s="123"/>
      <c r="D587" s="123"/>
      <c r="W587" s="129"/>
      <c r="X587" s="13"/>
      <c r="AH587" s="25"/>
      <c r="AI587" s="15"/>
      <c r="AN587" s="117"/>
      <c r="AO587" s="123"/>
      <c r="AP587" s="123"/>
      <c r="AQ587" s="123"/>
      <c r="AS587" s="115"/>
      <c r="AT587" s="115"/>
      <c r="AU587" s="115"/>
      <c r="AV587" s="115"/>
      <c r="AW587" s="115"/>
      <c r="AX587" s="115"/>
      <c r="AY587" s="115"/>
      <c r="AZ587" s="115"/>
      <c r="BA587" s="115"/>
      <c r="BB587" s="115"/>
      <c r="BC587" s="115"/>
      <c r="BD587" s="115"/>
      <c r="BE587" s="115"/>
      <c r="BF587" s="25"/>
      <c r="BG587" s="25"/>
      <c r="BJ587" s="114"/>
    </row>
    <row r="588" spans="1:62" ht="19.5" x14ac:dyDescent="0.4">
      <c r="A588" s="117"/>
      <c r="B588" s="123"/>
      <c r="C588" s="123"/>
      <c r="D588" s="123"/>
      <c r="W588" s="26"/>
      <c r="X588" s="13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25">
        <v>45689</v>
      </c>
      <c r="AI588" s="15" t="s">
        <v>146</v>
      </c>
      <c r="AN588" s="117"/>
      <c r="AO588" s="123"/>
      <c r="AP588" s="123"/>
      <c r="AQ588" s="123"/>
      <c r="AS588" s="115"/>
      <c r="AT588" s="115"/>
      <c r="AU588" s="115"/>
      <c r="AV588" s="115"/>
      <c r="AW588" s="115"/>
      <c r="AX588" s="115"/>
      <c r="AY588" s="115"/>
      <c r="AZ588" s="115"/>
      <c r="BA588" s="115"/>
      <c r="BB588" s="115"/>
      <c r="BC588" s="115"/>
      <c r="BD588" s="115"/>
      <c r="BE588" s="115"/>
      <c r="BF588" s="25"/>
      <c r="BG588" s="25"/>
      <c r="BJ588" s="114"/>
    </row>
    <row r="589" spans="1:62" ht="19.5" x14ac:dyDescent="0.4">
      <c r="A589" s="117"/>
      <c r="B589" s="123"/>
      <c r="C589" s="123"/>
      <c r="D589" s="123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26"/>
      <c r="X589" s="13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25"/>
      <c r="AI589" s="15"/>
      <c r="AN589" s="117"/>
      <c r="AO589" s="123"/>
      <c r="AP589" s="123"/>
      <c r="AQ589" s="123"/>
      <c r="AS589" s="115"/>
      <c r="AT589" s="115"/>
      <c r="AU589" s="115"/>
      <c r="AV589" s="115"/>
      <c r="AW589" s="115"/>
      <c r="AX589" s="115"/>
      <c r="AY589" s="115"/>
      <c r="AZ589" s="115"/>
      <c r="BA589" s="115"/>
      <c r="BB589" s="115"/>
      <c r="BC589" s="115"/>
      <c r="BD589" s="115"/>
      <c r="BE589" s="115"/>
      <c r="BF589" s="25"/>
      <c r="BG589" s="25"/>
      <c r="BJ589" s="114"/>
    </row>
    <row r="590" spans="1:62" ht="19.5" x14ac:dyDescent="0.4">
      <c r="A590" s="117"/>
      <c r="B590" s="123"/>
      <c r="C590" s="123"/>
      <c r="D590" s="123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26"/>
      <c r="X590" s="13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25"/>
      <c r="AI590" s="15"/>
      <c r="AN590" s="117"/>
      <c r="AO590" s="123"/>
      <c r="AP590" s="123"/>
      <c r="AQ590" s="123"/>
      <c r="AS590" s="115"/>
      <c r="AT590" s="115"/>
      <c r="AU590" s="115"/>
      <c r="AV590" s="115"/>
      <c r="AW590" s="115"/>
      <c r="AX590" s="115"/>
      <c r="AY590" s="115"/>
      <c r="AZ590" s="115"/>
      <c r="BA590" s="115"/>
      <c r="BB590" s="115"/>
      <c r="BC590" s="115"/>
      <c r="BD590" s="115"/>
      <c r="BE590" s="115"/>
      <c r="BF590" s="25"/>
      <c r="BG590" s="25"/>
      <c r="BJ590" s="114"/>
    </row>
    <row r="591" spans="1:62" ht="19.5" x14ac:dyDescent="0.4">
      <c r="A591" s="117"/>
      <c r="B591" s="123"/>
      <c r="C591" s="123"/>
      <c r="D591" s="123"/>
      <c r="W591" s="26"/>
      <c r="X591" s="13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25">
        <v>45690</v>
      </c>
      <c r="AI591" s="15" t="s">
        <v>146</v>
      </c>
      <c r="AN591" s="117"/>
      <c r="AO591" s="123"/>
      <c r="AP591" s="123"/>
      <c r="AQ591" s="123"/>
      <c r="AS591" s="115"/>
      <c r="AT591" s="115"/>
      <c r="AU591" s="115"/>
      <c r="AV591" s="115"/>
      <c r="AW591" s="115"/>
      <c r="AX591" s="115"/>
      <c r="AY591" s="115"/>
      <c r="AZ591" s="115"/>
      <c r="BA591" s="115"/>
      <c r="BB591" s="115"/>
      <c r="BC591" s="115"/>
      <c r="BD591" s="115"/>
      <c r="BE591" s="115"/>
      <c r="BF591" s="25"/>
      <c r="BG591" s="25"/>
      <c r="BJ591" s="114"/>
    </row>
    <row r="592" spans="1:62" ht="19.5" x14ac:dyDescent="0.4">
      <c r="A592" s="117"/>
      <c r="B592" s="123"/>
      <c r="C592" s="123"/>
      <c r="D592" s="123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26"/>
      <c r="X592" s="13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25"/>
      <c r="AI592" s="15"/>
      <c r="AN592" s="117"/>
      <c r="AO592" s="123"/>
      <c r="AP592" s="123"/>
      <c r="AQ592" s="123"/>
      <c r="AS592" s="115"/>
      <c r="AT592" s="115"/>
      <c r="AU592" s="115"/>
      <c r="AV592" s="115"/>
      <c r="AW592" s="115"/>
      <c r="AX592" s="115"/>
      <c r="AY592" s="115"/>
      <c r="AZ592" s="115"/>
      <c r="BA592" s="115"/>
      <c r="BB592" s="115"/>
      <c r="BC592" s="115"/>
      <c r="BD592" s="115"/>
      <c r="BE592" s="115"/>
      <c r="BF592" s="25"/>
      <c r="BG592" s="25"/>
      <c r="BJ592" s="114"/>
    </row>
    <row r="593" spans="1:62" ht="19.5" x14ac:dyDescent="0.4">
      <c r="A593" s="117"/>
      <c r="B593" s="123"/>
      <c r="C593" s="123"/>
      <c r="D593" s="123"/>
      <c r="W593" s="26"/>
      <c r="X593" s="13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25">
        <v>45691</v>
      </c>
      <c r="AI593" s="15" t="s">
        <v>146</v>
      </c>
      <c r="AN593" s="117"/>
      <c r="AO593" s="123"/>
      <c r="AP593" s="123"/>
      <c r="AQ593" s="123"/>
      <c r="AS593" s="115"/>
      <c r="AT593" s="115"/>
      <c r="AU593" s="115"/>
      <c r="AV593" s="115"/>
      <c r="AW593" s="115"/>
      <c r="AX593" s="115"/>
      <c r="AY593" s="115"/>
      <c r="AZ593" s="115"/>
      <c r="BA593" s="115"/>
      <c r="BB593" s="115"/>
      <c r="BC593" s="115"/>
      <c r="BD593" s="115"/>
      <c r="BE593" s="115"/>
      <c r="BF593" s="25"/>
      <c r="BG593" s="25"/>
      <c r="BJ593" s="114"/>
    </row>
    <row r="594" spans="1:62" ht="19.5" x14ac:dyDescent="0.4">
      <c r="A594" s="117"/>
      <c r="B594" s="123"/>
      <c r="C594" s="123"/>
      <c r="D594" s="123"/>
      <c r="W594" s="26"/>
      <c r="X594" s="13"/>
      <c r="AH594" s="25">
        <v>45691</v>
      </c>
      <c r="AI594" s="15" t="s">
        <v>146</v>
      </c>
      <c r="AN594" s="117"/>
      <c r="AO594" s="123"/>
      <c r="AP594" s="123"/>
      <c r="AQ594" s="123"/>
      <c r="AS594" s="115"/>
      <c r="AT594" s="115"/>
      <c r="AU594" s="115"/>
      <c r="AV594" s="115"/>
      <c r="AW594" s="115"/>
      <c r="AX594" s="115"/>
      <c r="AY594" s="115"/>
      <c r="AZ594" s="115"/>
      <c r="BA594" s="115"/>
      <c r="BB594" s="115"/>
      <c r="BC594" s="115"/>
      <c r="BD594" s="115"/>
      <c r="BE594" s="115" t="s">
        <v>156</v>
      </c>
      <c r="BF594" s="13">
        <f>SUBTOTAL(3,BF586:BF586)</f>
        <v>1</v>
      </c>
      <c r="BG594" s="13">
        <f>SUBTOTAL(3,BG586:BG586)</f>
        <v>1</v>
      </c>
      <c r="BJ594" s="114"/>
    </row>
    <row r="595" spans="1:62" ht="19.5" x14ac:dyDescent="0.4">
      <c r="A595" s="117"/>
      <c r="B595" s="123"/>
      <c r="C595" s="123"/>
      <c r="D595" s="123"/>
      <c r="W595" s="26"/>
      <c r="X595" s="13"/>
      <c r="AD595" s="115"/>
      <c r="AE595" s="115"/>
      <c r="AF595" s="115"/>
      <c r="AG595" s="115"/>
      <c r="AH595" s="25">
        <v>45691</v>
      </c>
      <c r="AI595" s="15" t="s">
        <v>146</v>
      </c>
      <c r="AN595" s="117"/>
      <c r="AO595" s="123"/>
      <c r="AP595" s="123"/>
      <c r="AQ595" s="123"/>
      <c r="AS595" s="115"/>
      <c r="AT595" s="115"/>
      <c r="AU595" s="115"/>
      <c r="AV595" s="115"/>
      <c r="AW595" s="115"/>
      <c r="AX595" s="115"/>
      <c r="AY595" s="115"/>
      <c r="AZ595" s="115"/>
      <c r="BA595" s="115"/>
      <c r="BB595" s="115"/>
      <c r="BC595" s="115"/>
      <c r="BD595" s="115"/>
      <c r="BE595" s="115"/>
      <c r="BF595" s="13"/>
      <c r="BG595" s="13"/>
      <c r="BJ595" s="114"/>
    </row>
    <row r="596" spans="1:62" ht="19.5" x14ac:dyDescent="0.4">
      <c r="A596" s="117"/>
      <c r="B596" s="123"/>
      <c r="C596" s="123"/>
      <c r="D596" s="123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26"/>
      <c r="X596" s="13"/>
      <c r="AD596" s="115"/>
      <c r="AE596" s="115"/>
      <c r="AF596" s="115"/>
      <c r="AG596" s="115"/>
      <c r="AH596" s="25"/>
      <c r="AI596" s="15"/>
      <c r="AN596" s="117"/>
      <c r="AO596" s="123"/>
      <c r="AP596" s="123"/>
      <c r="AQ596" s="123"/>
      <c r="AS596" s="115"/>
      <c r="AT596" s="115"/>
      <c r="AU596" s="115"/>
      <c r="AV596" s="115"/>
      <c r="AW596" s="115"/>
      <c r="AX596" s="115"/>
      <c r="AY596" s="115"/>
      <c r="AZ596" s="115"/>
      <c r="BA596" s="115"/>
      <c r="BB596" s="115"/>
      <c r="BC596" s="115"/>
      <c r="BD596" s="115"/>
      <c r="BE596" s="115"/>
      <c r="BF596" s="13"/>
      <c r="BG596" s="13"/>
      <c r="BJ596" s="114"/>
    </row>
    <row r="597" spans="1:62" ht="19.5" x14ac:dyDescent="0.4">
      <c r="A597" s="117"/>
      <c r="B597" s="123"/>
      <c r="C597" s="123"/>
      <c r="D597" s="123"/>
      <c r="W597" s="26"/>
      <c r="X597" s="13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25">
        <v>45691</v>
      </c>
      <c r="AI597" s="15" t="s">
        <v>146</v>
      </c>
      <c r="AN597" s="117"/>
      <c r="AO597" s="123"/>
      <c r="AP597" s="123"/>
      <c r="AQ597" s="123"/>
      <c r="AS597" s="115"/>
      <c r="AT597" s="115"/>
      <c r="AU597" s="115"/>
      <c r="AV597" s="115"/>
      <c r="AW597" s="115"/>
      <c r="AX597" s="115"/>
      <c r="AY597" s="115"/>
      <c r="AZ597" s="115"/>
      <c r="BA597" s="115"/>
      <c r="BB597" s="115"/>
      <c r="BC597" s="115"/>
      <c r="BD597" s="115"/>
      <c r="BE597" s="115"/>
      <c r="BF597" s="13"/>
      <c r="BG597" s="13"/>
      <c r="BJ597" s="114"/>
    </row>
    <row r="598" spans="1:62" ht="19.5" x14ac:dyDescent="0.4">
      <c r="A598" s="117"/>
      <c r="B598" s="123"/>
      <c r="C598" s="123"/>
      <c r="D598" s="123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26"/>
      <c r="X598" s="13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25"/>
      <c r="AI598" s="15"/>
      <c r="AN598" s="117"/>
      <c r="AO598" s="123"/>
      <c r="AP598" s="123"/>
      <c r="AQ598" s="123"/>
      <c r="AS598" s="115"/>
      <c r="AT598" s="115"/>
      <c r="AU598" s="115"/>
      <c r="AV598" s="115"/>
      <c r="AW598" s="115"/>
      <c r="AX598" s="115"/>
      <c r="AY598" s="115"/>
      <c r="AZ598" s="115"/>
      <c r="BA598" s="115"/>
      <c r="BB598" s="115"/>
      <c r="BC598" s="115"/>
      <c r="BD598" s="115"/>
      <c r="BE598" s="115"/>
      <c r="BF598" s="13"/>
      <c r="BG598" s="13"/>
      <c r="BJ598" s="114"/>
    </row>
    <row r="599" spans="1:62" ht="19.5" x14ac:dyDescent="0.4">
      <c r="A599" s="117"/>
      <c r="B599" s="123"/>
      <c r="C599" s="123"/>
      <c r="D599" s="123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26"/>
      <c r="X599" s="13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25"/>
      <c r="AI599" s="15"/>
      <c r="AN599" s="117"/>
      <c r="AO599" s="123"/>
      <c r="AP599" s="123"/>
      <c r="AQ599" s="123"/>
      <c r="AS599" s="115"/>
      <c r="AT599" s="115"/>
      <c r="AU599" s="115"/>
      <c r="AV599" s="115"/>
      <c r="AW599" s="115"/>
      <c r="AX599" s="115"/>
      <c r="AY599" s="115"/>
      <c r="AZ599" s="115"/>
      <c r="BA599" s="115"/>
      <c r="BB599" s="115"/>
      <c r="BC599" s="115"/>
      <c r="BD599" s="115"/>
      <c r="BE599" s="115"/>
      <c r="BF599" s="13"/>
      <c r="BG599" s="13"/>
      <c r="BJ599" s="114"/>
    </row>
    <row r="600" spans="1:62" ht="19.5" x14ac:dyDescent="0.4">
      <c r="A600" s="117"/>
      <c r="B600" s="123"/>
      <c r="C600" s="123"/>
      <c r="D600" s="123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26"/>
      <c r="X600" s="13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25"/>
      <c r="AI600" s="15"/>
      <c r="AN600" s="117"/>
      <c r="AO600" s="123"/>
      <c r="AP600" s="123"/>
      <c r="AQ600" s="123"/>
      <c r="AS600" s="115"/>
      <c r="AT600" s="115"/>
      <c r="AU600" s="115"/>
      <c r="AV600" s="115"/>
      <c r="AW600" s="115"/>
      <c r="AX600" s="115"/>
      <c r="AY600" s="115"/>
      <c r="AZ600" s="115"/>
      <c r="BA600" s="115"/>
      <c r="BB600" s="115"/>
      <c r="BC600" s="115"/>
      <c r="BD600" s="115"/>
      <c r="BE600" s="115"/>
      <c r="BF600" s="13"/>
      <c r="BG600" s="13"/>
      <c r="BJ600" s="114"/>
    </row>
    <row r="601" spans="1:62" ht="19.5" x14ac:dyDescent="0.4">
      <c r="A601" s="117"/>
      <c r="B601" s="123"/>
      <c r="C601" s="123"/>
      <c r="D601" s="123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29"/>
      <c r="X601" s="13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25"/>
      <c r="AI601" s="15"/>
      <c r="AN601" s="117"/>
      <c r="AO601" s="123"/>
      <c r="AP601" s="123"/>
      <c r="AQ601" s="123"/>
      <c r="AS601" s="115"/>
      <c r="AT601" s="115"/>
      <c r="AU601" s="115"/>
      <c r="AV601" s="115"/>
      <c r="AW601" s="115"/>
      <c r="AX601" s="115"/>
      <c r="AY601" s="115"/>
      <c r="AZ601" s="115"/>
      <c r="BA601" s="115"/>
      <c r="BB601" s="115"/>
      <c r="BC601" s="115"/>
      <c r="BD601" s="115"/>
      <c r="BE601" s="115"/>
      <c r="BF601" s="13"/>
      <c r="BG601" s="13"/>
      <c r="BJ601" s="114"/>
    </row>
    <row r="602" spans="1:62" ht="19.5" x14ac:dyDescent="0.4">
      <c r="A602" s="117"/>
      <c r="B602" s="123"/>
      <c r="C602" s="123"/>
      <c r="D602" s="123"/>
      <c r="W602" s="26"/>
      <c r="X602" s="13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25">
        <v>45692</v>
      </c>
      <c r="AI602" s="15" t="s">
        <v>146</v>
      </c>
      <c r="AN602" s="117"/>
      <c r="AO602" s="123"/>
      <c r="AP602" s="123"/>
      <c r="AQ602" s="123"/>
      <c r="AS602" s="115"/>
      <c r="AT602" s="115"/>
      <c r="AU602" s="115"/>
      <c r="AV602" s="115"/>
      <c r="AW602" s="115"/>
      <c r="AX602" s="115"/>
      <c r="AY602" s="115"/>
      <c r="AZ602" s="115"/>
      <c r="BA602" s="115"/>
      <c r="BB602" s="115"/>
      <c r="BC602" s="115"/>
      <c r="BD602" s="115"/>
      <c r="BE602" s="115"/>
      <c r="BF602" s="13"/>
      <c r="BG602" s="13"/>
      <c r="BJ602" s="114"/>
    </row>
    <row r="603" spans="1:62" ht="19.5" x14ac:dyDescent="0.4">
      <c r="A603" s="117"/>
      <c r="B603" s="123"/>
      <c r="C603" s="123"/>
      <c r="D603" s="123"/>
      <c r="W603" s="129"/>
      <c r="X603" s="13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25"/>
      <c r="AI603" s="15"/>
      <c r="AN603" s="117"/>
      <c r="AO603" s="123"/>
      <c r="AP603" s="123"/>
      <c r="AQ603" s="123"/>
      <c r="AS603" s="115"/>
      <c r="AT603" s="115"/>
      <c r="AU603" s="115"/>
      <c r="AV603" s="115"/>
      <c r="AW603" s="115"/>
      <c r="AX603" s="115"/>
      <c r="AY603" s="115"/>
      <c r="AZ603" s="115"/>
      <c r="BA603" s="115"/>
      <c r="BB603" s="115"/>
      <c r="BC603" s="115"/>
      <c r="BD603" s="115"/>
      <c r="BE603" s="115"/>
      <c r="BF603" s="13"/>
      <c r="BG603" s="13"/>
      <c r="BJ603" s="114"/>
    </row>
    <row r="604" spans="1:62" ht="19.5" x14ac:dyDescent="0.4">
      <c r="A604" s="117"/>
      <c r="B604" s="123"/>
      <c r="C604" s="123"/>
      <c r="D604" s="123"/>
      <c r="W604" s="26"/>
      <c r="X604" s="13"/>
      <c r="AH604" s="25">
        <v>45692</v>
      </c>
      <c r="AI604" s="15" t="s">
        <v>146</v>
      </c>
      <c r="AN604" s="117"/>
      <c r="AO604" s="123"/>
      <c r="AP604" s="123"/>
      <c r="AQ604" s="123"/>
      <c r="AS604" s="115"/>
      <c r="AT604" s="115"/>
      <c r="AU604" s="115"/>
      <c r="AV604" s="115"/>
      <c r="AW604" s="115"/>
      <c r="AX604" s="115"/>
      <c r="AY604" s="115"/>
      <c r="AZ604" s="115"/>
      <c r="BA604" s="115"/>
      <c r="BB604" s="115"/>
      <c r="BC604" s="115"/>
      <c r="BD604" s="115"/>
      <c r="BE604" s="115"/>
      <c r="BF604" s="25">
        <v>45267</v>
      </c>
      <c r="BG604" s="13" t="s">
        <v>142</v>
      </c>
      <c r="BJ604" s="114"/>
    </row>
    <row r="605" spans="1:62" ht="19.5" x14ac:dyDescent="0.4">
      <c r="A605" s="117"/>
      <c r="B605" s="123"/>
      <c r="C605" s="123"/>
      <c r="D605" s="123"/>
      <c r="W605" s="26"/>
      <c r="X605" s="13"/>
      <c r="AD605" s="115"/>
      <c r="AE605" s="115"/>
      <c r="AF605" s="115"/>
      <c r="AG605" s="115"/>
      <c r="AH605" s="25">
        <v>45692</v>
      </c>
      <c r="AI605" s="15" t="s">
        <v>146</v>
      </c>
      <c r="AN605" s="117"/>
      <c r="AO605" s="123"/>
      <c r="AP605" s="123"/>
      <c r="AQ605" s="123"/>
      <c r="AS605" s="115"/>
      <c r="AT605" s="115"/>
      <c r="AU605" s="115"/>
      <c r="AV605" s="115"/>
      <c r="AW605" s="115"/>
      <c r="AX605" s="115"/>
      <c r="AY605" s="115"/>
      <c r="AZ605" s="115"/>
      <c r="BA605" s="115"/>
      <c r="BB605" s="115"/>
      <c r="BC605" s="115"/>
      <c r="BD605" s="115"/>
      <c r="BE605" s="115"/>
      <c r="BF605" s="25"/>
      <c r="BG605" s="13"/>
      <c r="BJ605" s="114"/>
    </row>
    <row r="606" spans="1:62" ht="19.5" x14ac:dyDescent="0.4">
      <c r="A606" s="117"/>
      <c r="B606" s="123"/>
      <c r="C606" s="123"/>
      <c r="D606" s="123"/>
      <c r="W606" s="26"/>
      <c r="X606" s="13"/>
      <c r="Z606" s="115"/>
      <c r="AA606" s="115"/>
      <c r="AB606" s="115"/>
      <c r="AC606" s="115"/>
      <c r="AD606" s="115"/>
      <c r="AE606" s="115"/>
      <c r="AF606" s="115"/>
      <c r="AG606" s="115"/>
      <c r="AH606" s="25">
        <v>45692</v>
      </c>
      <c r="AI606" s="15" t="s">
        <v>146</v>
      </c>
      <c r="AN606" s="117"/>
      <c r="AO606" s="123"/>
      <c r="AP606" s="123"/>
      <c r="AQ606" s="123"/>
      <c r="AS606" s="115"/>
      <c r="AT606" s="115"/>
      <c r="AU606" s="115"/>
      <c r="AV606" s="115"/>
      <c r="AW606" s="115"/>
      <c r="AX606" s="115"/>
      <c r="AY606" s="115"/>
      <c r="AZ606" s="115"/>
      <c r="BA606" s="115"/>
      <c r="BB606" s="115"/>
      <c r="BC606" s="115"/>
      <c r="BD606" s="115"/>
      <c r="BE606" s="115"/>
      <c r="BF606" s="25"/>
      <c r="BG606" s="13"/>
      <c r="BJ606" s="114"/>
    </row>
    <row r="607" spans="1:62" ht="19.5" x14ac:dyDescent="0.4">
      <c r="A607" s="117"/>
      <c r="B607" s="123"/>
      <c r="C607" s="123"/>
      <c r="D607" s="123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26"/>
      <c r="X607" s="13"/>
      <c r="Z607" s="115"/>
      <c r="AA607" s="115"/>
      <c r="AB607" s="115"/>
      <c r="AC607" s="115"/>
      <c r="AD607" s="115"/>
      <c r="AE607" s="115"/>
      <c r="AF607" s="115"/>
      <c r="AG607" s="115"/>
      <c r="AH607" s="25"/>
      <c r="AI607" s="15"/>
      <c r="AN607" s="117"/>
      <c r="AO607" s="123"/>
      <c r="AP607" s="123"/>
      <c r="AQ607" s="123"/>
      <c r="AS607" s="115"/>
      <c r="AT607" s="115"/>
      <c r="AU607" s="115"/>
      <c r="AV607" s="115"/>
      <c r="AW607" s="115"/>
      <c r="AX607" s="115"/>
      <c r="AY607" s="115"/>
      <c r="AZ607" s="115"/>
      <c r="BA607" s="115"/>
      <c r="BB607" s="115"/>
      <c r="BC607" s="115"/>
      <c r="BD607" s="115"/>
      <c r="BE607" s="115"/>
      <c r="BF607" s="25"/>
      <c r="BG607" s="13"/>
      <c r="BJ607" s="114"/>
    </row>
    <row r="608" spans="1:62" ht="19.5" x14ac:dyDescent="0.4">
      <c r="A608" s="117"/>
      <c r="B608" s="123"/>
      <c r="C608" s="123"/>
      <c r="D608" s="123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29"/>
      <c r="X608" s="13"/>
      <c r="Z608" s="115"/>
      <c r="AA608" s="115"/>
      <c r="AB608" s="115"/>
      <c r="AC608" s="115"/>
      <c r="AD608" s="115"/>
      <c r="AE608" s="115"/>
      <c r="AF608" s="115"/>
      <c r="AG608" s="115"/>
      <c r="AH608" s="25"/>
      <c r="AI608" s="15"/>
      <c r="AN608" s="117"/>
      <c r="AO608" s="123"/>
      <c r="AP608" s="123"/>
      <c r="AQ608" s="123"/>
      <c r="AS608" s="115"/>
      <c r="AT608" s="115"/>
      <c r="AU608" s="115"/>
      <c r="AV608" s="115"/>
      <c r="AW608" s="115"/>
      <c r="AX608" s="115"/>
      <c r="AY608" s="115"/>
      <c r="AZ608" s="115"/>
      <c r="BA608" s="115"/>
      <c r="BB608" s="115"/>
      <c r="BC608" s="115"/>
      <c r="BD608" s="115"/>
      <c r="BE608" s="115"/>
      <c r="BF608" s="25"/>
      <c r="BG608" s="13"/>
      <c r="BJ608" s="114"/>
    </row>
    <row r="609" spans="1:62" ht="19.5" x14ac:dyDescent="0.4">
      <c r="A609" s="117"/>
      <c r="B609" s="123"/>
      <c r="C609" s="123"/>
      <c r="D609" s="123"/>
      <c r="W609" s="26"/>
      <c r="X609" s="13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25">
        <v>45693</v>
      </c>
      <c r="AI609" s="15" t="s">
        <v>146</v>
      </c>
      <c r="AN609" s="117"/>
      <c r="AO609" s="123"/>
      <c r="AP609" s="123"/>
      <c r="AQ609" s="123"/>
      <c r="AS609" s="115"/>
      <c r="AT609" s="115"/>
      <c r="AU609" s="115"/>
      <c r="AV609" s="115"/>
      <c r="AW609" s="115"/>
      <c r="AX609" s="115"/>
      <c r="AY609" s="115"/>
      <c r="AZ609" s="115"/>
      <c r="BA609" s="115"/>
      <c r="BB609" s="115"/>
      <c r="BC609" s="115"/>
      <c r="BD609" s="115"/>
      <c r="BE609" s="115"/>
      <c r="BF609" s="25"/>
      <c r="BG609" s="13"/>
      <c r="BJ609" s="114"/>
    </row>
    <row r="610" spans="1:62" ht="19.5" x14ac:dyDescent="0.4">
      <c r="A610" s="117"/>
      <c r="B610" s="123"/>
      <c r="C610" s="123"/>
      <c r="D610" s="123"/>
      <c r="W610" s="129"/>
      <c r="X610" s="13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25"/>
      <c r="AI610" s="15"/>
      <c r="AN610" s="117"/>
      <c r="AO610" s="123"/>
      <c r="AP610" s="123"/>
      <c r="AQ610" s="123"/>
      <c r="AS610" s="115"/>
      <c r="AT610" s="115"/>
      <c r="AU610" s="115"/>
      <c r="AV610" s="115"/>
      <c r="AW610" s="115"/>
      <c r="AX610" s="115"/>
      <c r="AY610" s="115"/>
      <c r="AZ610" s="115"/>
      <c r="BA610" s="115"/>
      <c r="BB610" s="115"/>
      <c r="BC610" s="115"/>
      <c r="BD610" s="115"/>
      <c r="BE610" s="115"/>
      <c r="BF610" s="25"/>
      <c r="BG610" s="13"/>
      <c r="BJ610" s="114"/>
    </row>
    <row r="611" spans="1:62" ht="19.5" x14ac:dyDescent="0.4">
      <c r="A611" s="117"/>
      <c r="B611" s="123"/>
      <c r="C611" s="123"/>
      <c r="D611" s="123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26"/>
      <c r="X611" s="13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25"/>
      <c r="AI611" s="15"/>
      <c r="AN611" s="117"/>
      <c r="AO611" s="123"/>
      <c r="AP611" s="123"/>
      <c r="AQ611" s="123"/>
      <c r="AS611" s="115"/>
      <c r="AT611" s="115"/>
      <c r="AU611" s="115"/>
      <c r="AV611" s="115"/>
      <c r="AW611" s="115"/>
      <c r="AX611" s="115"/>
      <c r="AY611" s="115"/>
      <c r="AZ611" s="115"/>
      <c r="BA611" s="115"/>
      <c r="BB611" s="115"/>
      <c r="BC611" s="115"/>
      <c r="BD611" s="115"/>
      <c r="BE611" s="115"/>
      <c r="BF611" s="25"/>
      <c r="BG611" s="13"/>
      <c r="BJ611" s="114"/>
    </row>
    <row r="612" spans="1:62" ht="19.5" x14ac:dyDescent="0.4">
      <c r="A612" s="117"/>
      <c r="B612" s="123"/>
      <c r="C612" s="123"/>
      <c r="D612" s="123"/>
      <c r="W612" s="26"/>
      <c r="X612" s="13"/>
      <c r="AH612" s="25">
        <v>45693</v>
      </c>
      <c r="AI612" s="15" t="s">
        <v>146</v>
      </c>
      <c r="AN612" s="117"/>
      <c r="AO612" s="123"/>
      <c r="AP612" s="123"/>
      <c r="AQ612" s="123"/>
      <c r="AS612" s="115"/>
      <c r="AT612" s="115"/>
      <c r="AU612" s="115"/>
      <c r="AV612" s="115"/>
      <c r="AW612" s="115"/>
      <c r="AX612" s="115"/>
      <c r="AY612" s="115"/>
      <c r="AZ612" s="115"/>
      <c r="BA612" s="115"/>
      <c r="BB612" s="115"/>
      <c r="BC612" s="115"/>
      <c r="BD612" s="115"/>
      <c r="BE612" s="115" t="s">
        <v>157</v>
      </c>
      <c r="BF612" s="13">
        <f>SUBTOTAL(3,BF604:BF604)</f>
        <v>1</v>
      </c>
      <c r="BG612" s="13">
        <f>SUBTOTAL(3,BG604:BG604)</f>
        <v>1</v>
      </c>
      <c r="BJ612" s="114"/>
    </row>
    <row r="613" spans="1:62" ht="19.5" x14ac:dyDescent="0.4">
      <c r="A613" s="117"/>
      <c r="B613" s="123"/>
      <c r="C613" s="123"/>
      <c r="D613" s="123"/>
      <c r="W613" s="26"/>
      <c r="X613" s="13"/>
      <c r="Z613" s="115"/>
      <c r="AA613" s="115"/>
      <c r="AB613" s="115"/>
      <c r="AC613" s="115"/>
      <c r="AD613" s="115"/>
      <c r="AE613" s="115"/>
      <c r="AF613" s="115"/>
      <c r="AG613" s="115"/>
      <c r="AH613" s="25">
        <v>45693</v>
      </c>
      <c r="AI613" s="15" t="s">
        <v>146</v>
      </c>
      <c r="AN613" s="117"/>
      <c r="AO613" s="123"/>
      <c r="AP613" s="123"/>
      <c r="AQ613" s="123"/>
      <c r="AS613" s="115"/>
      <c r="AT613" s="115"/>
      <c r="AU613" s="115"/>
      <c r="AV613" s="115"/>
      <c r="AW613" s="115"/>
      <c r="AX613" s="115"/>
      <c r="AY613" s="115"/>
      <c r="AZ613" s="115"/>
      <c r="BA613" s="115"/>
      <c r="BB613" s="115"/>
      <c r="BC613" s="115"/>
      <c r="BD613" s="115"/>
      <c r="BE613" s="115"/>
      <c r="BF613" s="13"/>
      <c r="BG613" s="13"/>
      <c r="BJ613" s="114"/>
    </row>
    <row r="614" spans="1:62" ht="19.5" x14ac:dyDescent="0.4">
      <c r="A614" s="117"/>
      <c r="B614" s="123"/>
      <c r="C614" s="123"/>
      <c r="D614" s="123"/>
      <c r="W614" s="129"/>
      <c r="X614" s="13"/>
      <c r="Z614" s="115"/>
      <c r="AA614" s="115"/>
      <c r="AB614" s="115"/>
      <c r="AC614" s="115"/>
      <c r="AD614" s="115"/>
      <c r="AE614" s="115"/>
      <c r="AF614" s="115"/>
      <c r="AG614" s="115"/>
      <c r="AH614" s="25"/>
      <c r="AI614" s="15"/>
      <c r="AN614" s="117"/>
      <c r="AO614" s="123"/>
      <c r="AP614" s="123"/>
      <c r="AQ614" s="123"/>
      <c r="AS614" s="115"/>
      <c r="AT614" s="115"/>
      <c r="AU614" s="115"/>
      <c r="AV614" s="115"/>
      <c r="AW614" s="115"/>
      <c r="AX614" s="115"/>
      <c r="AY614" s="115"/>
      <c r="AZ614" s="115"/>
      <c r="BA614" s="115"/>
      <c r="BB614" s="115"/>
      <c r="BC614" s="115"/>
      <c r="BD614" s="115"/>
      <c r="BE614" s="115"/>
      <c r="BF614" s="13"/>
      <c r="BG614" s="13"/>
      <c r="BJ614" s="114"/>
    </row>
    <row r="615" spans="1:62" ht="19.5" x14ac:dyDescent="0.4">
      <c r="A615" s="117"/>
      <c r="B615" s="123"/>
      <c r="C615" s="123"/>
      <c r="D615" s="123"/>
      <c r="W615" s="129"/>
      <c r="X615" s="13"/>
      <c r="Z615" s="115"/>
      <c r="AA615" s="115"/>
      <c r="AB615" s="115"/>
      <c r="AC615" s="115"/>
      <c r="AD615" s="115"/>
      <c r="AE615" s="115"/>
      <c r="AF615" s="115"/>
      <c r="AG615" s="115"/>
      <c r="AH615" s="25"/>
      <c r="AI615" s="15"/>
      <c r="AN615" s="117"/>
      <c r="AO615" s="123"/>
      <c r="AP615" s="123"/>
      <c r="AQ615" s="123"/>
      <c r="AS615" s="115"/>
      <c r="AT615" s="115"/>
      <c r="AU615" s="115"/>
      <c r="AV615" s="115"/>
      <c r="AW615" s="115"/>
      <c r="AX615" s="115"/>
      <c r="AY615" s="115"/>
      <c r="AZ615" s="115"/>
      <c r="BA615" s="115"/>
      <c r="BB615" s="115"/>
      <c r="BC615" s="115"/>
      <c r="BD615" s="115"/>
      <c r="BE615" s="115"/>
      <c r="BF615" s="13"/>
      <c r="BG615" s="13"/>
      <c r="BJ615" s="114"/>
    </row>
    <row r="616" spans="1:62" ht="19.5" x14ac:dyDescent="0.4">
      <c r="A616" s="117"/>
      <c r="B616" s="123"/>
      <c r="C616" s="123"/>
      <c r="D616" s="123"/>
      <c r="W616" s="26"/>
      <c r="X616" s="13"/>
      <c r="Z616" s="115"/>
      <c r="AA616" s="115"/>
      <c r="AB616" s="115"/>
      <c r="AC616" s="115"/>
      <c r="AD616" s="115"/>
      <c r="AE616" s="115"/>
      <c r="AF616" s="115"/>
      <c r="AG616" s="115"/>
      <c r="AH616" s="25">
        <v>45694</v>
      </c>
      <c r="AI616" s="15" t="s">
        <v>147</v>
      </c>
      <c r="AN616" s="117"/>
      <c r="AO616" s="123"/>
      <c r="AP616" s="123"/>
      <c r="AQ616" s="123"/>
      <c r="AS616" s="115"/>
      <c r="AT616" s="115"/>
      <c r="AU616" s="115"/>
      <c r="AV616" s="115"/>
      <c r="AW616" s="115"/>
      <c r="AX616" s="115"/>
      <c r="AY616" s="115"/>
      <c r="AZ616" s="115"/>
      <c r="BA616" s="115"/>
      <c r="BB616" s="115"/>
      <c r="BC616" s="115"/>
      <c r="BD616" s="115"/>
      <c r="BE616" s="115"/>
      <c r="BF616" s="13"/>
      <c r="BG616" s="13"/>
      <c r="BJ616" s="114"/>
    </row>
    <row r="617" spans="1:62" ht="19.5" x14ac:dyDescent="0.4">
      <c r="A617" s="117"/>
      <c r="B617" s="123"/>
      <c r="C617" s="123"/>
      <c r="D617" s="123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7"/>
      <c r="X617" s="13"/>
      <c r="Z617" s="115"/>
      <c r="AA617" s="115"/>
      <c r="AB617" s="115"/>
      <c r="AC617" s="115"/>
      <c r="AD617" s="115"/>
      <c r="AE617" s="115"/>
      <c r="AF617" s="115"/>
      <c r="AG617" s="115"/>
      <c r="AH617" s="25"/>
      <c r="AI617" s="15"/>
      <c r="AN617" s="117"/>
      <c r="AO617" s="123"/>
      <c r="AP617" s="123"/>
      <c r="AQ617" s="123"/>
      <c r="AS617" s="115"/>
      <c r="AT617" s="115"/>
      <c r="AU617" s="115"/>
      <c r="AV617" s="115"/>
      <c r="AW617" s="115"/>
      <c r="AX617" s="115"/>
      <c r="AY617" s="115"/>
      <c r="AZ617" s="115"/>
      <c r="BA617" s="115"/>
      <c r="BB617" s="115"/>
      <c r="BC617" s="115"/>
      <c r="BD617" s="115"/>
      <c r="BE617" s="115"/>
      <c r="BF617" s="13"/>
      <c r="BG617" s="13"/>
      <c r="BJ617" s="114"/>
    </row>
    <row r="618" spans="1:62" ht="19.5" x14ac:dyDescent="0.4">
      <c r="A618" s="117"/>
      <c r="B618" s="123"/>
      <c r="C618" s="123"/>
      <c r="D618" s="123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7"/>
      <c r="X618" s="13"/>
      <c r="Z618" s="115"/>
      <c r="AA618" s="115"/>
      <c r="AB618" s="115"/>
      <c r="AC618" s="115"/>
      <c r="AD618" s="115"/>
      <c r="AE618" s="115"/>
      <c r="AF618" s="115"/>
      <c r="AG618" s="115"/>
      <c r="AH618" s="25"/>
      <c r="AI618" s="15"/>
      <c r="AN618" s="117"/>
      <c r="AO618" s="123"/>
      <c r="AP618" s="123"/>
      <c r="AQ618" s="123"/>
      <c r="AS618" s="115"/>
      <c r="AT618" s="115"/>
      <c r="AU618" s="115"/>
      <c r="AV618" s="115"/>
      <c r="AW618" s="115"/>
      <c r="AX618" s="115"/>
      <c r="AY618" s="115"/>
      <c r="AZ618" s="115"/>
      <c r="BA618" s="115"/>
      <c r="BB618" s="115"/>
      <c r="BC618" s="115"/>
      <c r="BD618" s="115"/>
      <c r="BE618" s="115"/>
      <c r="BF618" s="13"/>
      <c r="BG618" s="13"/>
      <c r="BJ618" s="114"/>
    </row>
    <row r="619" spans="1:62" ht="19.5" x14ac:dyDescent="0.4">
      <c r="A619" s="117"/>
      <c r="B619" s="123"/>
      <c r="C619" s="123"/>
      <c r="D619" s="123"/>
      <c r="W619" s="26"/>
      <c r="X619" s="13"/>
      <c r="Z619" s="115"/>
      <c r="AA619" s="115"/>
      <c r="AB619" s="115"/>
      <c r="AC619" s="115"/>
      <c r="AD619" s="115"/>
      <c r="AE619" s="115"/>
      <c r="AF619" s="115"/>
      <c r="AG619" s="115"/>
      <c r="AH619" s="25">
        <v>45694</v>
      </c>
      <c r="AI619" s="105" t="s">
        <v>147</v>
      </c>
      <c r="AN619" s="117"/>
      <c r="AO619" s="123"/>
      <c r="AP619" s="123"/>
      <c r="AQ619" s="123"/>
      <c r="AS619" s="115"/>
      <c r="AT619" s="115"/>
      <c r="AU619" s="115"/>
      <c r="AV619" s="115"/>
      <c r="AW619" s="115"/>
      <c r="AX619" s="115"/>
      <c r="AY619" s="115"/>
      <c r="AZ619" s="115"/>
      <c r="BA619" s="115"/>
      <c r="BB619" s="115"/>
      <c r="BC619" s="115"/>
      <c r="BD619" s="115"/>
      <c r="BE619" s="115"/>
      <c r="BF619" s="13"/>
      <c r="BG619" s="13"/>
      <c r="BJ619" s="114"/>
    </row>
    <row r="620" spans="1:62" ht="19.5" x14ac:dyDescent="0.4">
      <c r="A620" s="117"/>
      <c r="B620" s="123"/>
      <c r="C620" s="123"/>
      <c r="D620" s="123"/>
      <c r="W620" s="26"/>
      <c r="X620" s="13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25">
        <v>45694</v>
      </c>
      <c r="AI620" s="15" t="s">
        <v>147</v>
      </c>
      <c r="AN620" s="117"/>
      <c r="AO620" s="123"/>
      <c r="AP620" s="123"/>
      <c r="AQ620" s="123"/>
      <c r="AS620" s="115"/>
      <c r="AT620" s="115"/>
      <c r="AU620" s="115"/>
      <c r="AV620" s="115"/>
      <c r="AW620" s="115"/>
      <c r="AX620" s="115"/>
      <c r="AY620" s="115"/>
      <c r="AZ620" s="115"/>
      <c r="BA620" s="115"/>
      <c r="BB620" s="115"/>
      <c r="BC620" s="115"/>
      <c r="BD620" s="115"/>
      <c r="BE620" s="115"/>
      <c r="BF620" s="13"/>
      <c r="BG620" s="13"/>
      <c r="BJ620" s="114"/>
    </row>
    <row r="621" spans="1:62" ht="19.5" x14ac:dyDescent="0.4">
      <c r="A621" s="117"/>
      <c r="B621" s="123"/>
      <c r="C621" s="123"/>
      <c r="D621" s="123"/>
      <c r="W621" s="26"/>
      <c r="X621" s="13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26">
        <v>45694</v>
      </c>
      <c r="AI621" s="15" t="s">
        <v>148</v>
      </c>
      <c r="AN621" s="117"/>
      <c r="AO621" s="123"/>
      <c r="AP621" s="123"/>
      <c r="AQ621" s="123"/>
      <c r="AS621" s="115"/>
      <c r="AT621" s="115"/>
      <c r="AU621" s="115"/>
      <c r="AV621" s="115"/>
      <c r="AW621" s="115"/>
      <c r="AX621" s="115"/>
      <c r="AY621" s="115"/>
      <c r="AZ621" s="115"/>
      <c r="BA621" s="115"/>
      <c r="BB621" s="115"/>
      <c r="BC621" s="115"/>
      <c r="BD621" s="115"/>
      <c r="BE621" s="115"/>
      <c r="BF621" s="13"/>
      <c r="BG621" s="13"/>
      <c r="BJ621" s="114"/>
    </row>
    <row r="622" spans="1:62" ht="19.5" x14ac:dyDescent="0.4">
      <c r="A622" s="117"/>
      <c r="B622" s="123"/>
      <c r="C622" s="123"/>
      <c r="D622" s="123"/>
      <c r="W622" s="26"/>
      <c r="X622" s="13"/>
      <c r="AH622" s="26">
        <v>45694</v>
      </c>
      <c r="AI622" s="13" t="s">
        <v>147</v>
      </c>
      <c r="AN622" s="117"/>
      <c r="AO622" s="123"/>
      <c r="AP622" s="123"/>
      <c r="AQ622" s="123"/>
      <c r="AS622" s="115"/>
      <c r="AT622" s="115"/>
      <c r="AU622" s="115"/>
      <c r="AV622" s="115"/>
      <c r="AW622" s="115"/>
      <c r="AX622" s="115"/>
      <c r="AY622" s="115"/>
      <c r="AZ622" s="115"/>
      <c r="BA622" s="115"/>
      <c r="BB622" s="115"/>
      <c r="BC622" s="115"/>
      <c r="BD622" s="115"/>
      <c r="BE622" s="115"/>
      <c r="BF622" s="25">
        <v>45268</v>
      </c>
      <c r="BG622" s="13" t="s">
        <v>162</v>
      </c>
      <c r="BJ622" s="114"/>
    </row>
    <row r="623" spans="1:62" ht="19.5" x14ac:dyDescent="0.4">
      <c r="A623" s="117"/>
      <c r="B623" s="123"/>
      <c r="C623" s="123"/>
      <c r="D623" s="123"/>
      <c r="W623" s="26"/>
      <c r="X623" s="13"/>
      <c r="Z623" s="115"/>
      <c r="AA623" s="115"/>
      <c r="AB623" s="115"/>
      <c r="AC623" s="115"/>
      <c r="AD623" s="115"/>
      <c r="AE623" s="115"/>
      <c r="AF623" s="115"/>
      <c r="AG623" s="115"/>
      <c r="AH623" s="26">
        <v>45694</v>
      </c>
      <c r="AI623" s="13" t="s">
        <v>147</v>
      </c>
      <c r="AN623" s="117"/>
      <c r="AO623" s="123"/>
      <c r="AP623" s="123"/>
      <c r="AQ623" s="123"/>
      <c r="AS623" s="115"/>
      <c r="AT623" s="115"/>
      <c r="AU623" s="115"/>
      <c r="AV623" s="115"/>
      <c r="AW623" s="115"/>
      <c r="AX623" s="115"/>
      <c r="AY623" s="115"/>
      <c r="AZ623" s="115"/>
      <c r="BA623" s="115"/>
      <c r="BB623" s="115"/>
      <c r="BC623" s="115"/>
      <c r="BD623" s="115"/>
      <c r="BE623" s="115"/>
      <c r="BF623" s="25"/>
      <c r="BG623" s="13"/>
      <c r="BJ623" s="114"/>
    </row>
    <row r="624" spans="1:62" ht="19.5" x14ac:dyDescent="0.4">
      <c r="A624" s="117"/>
      <c r="B624" s="123"/>
      <c r="C624" s="123"/>
      <c r="D624" s="123"/>
      <c r="W624" s="26"/>
      <c r="X624" s="13"/>
      <c r="AH624" s="26">
        <v>45694</v>
      </c>
      <c r="AI624" s="13" t="s">
        <v>147</v>
      </c>
      <c r="AN624" s="117"/>
      <c r="AO624" s="123"/>
      <c r="AP624" s="123"/>
      <c r="AQ624" s="123"/>
      <c r="AS624" s="115"/>
      <c r="AT624" s="115"/>
      <c r="AU624" s="115"/>
      <c r="AV624" s="115"/>
      <c r="AW624" s="115"/>
      <c r="AX624" s="115"/>
      <c r="AY624" s="115"/>
      <c r="AZ624" s="115"/>
      <c r="BA624" s="115"/>
      <c r="BB624" s="115"/>
      <c r="BC624" s="115"/>
      <c r="BD624" s="115"/>
      <c r="BE624" s="115"/>
      <c r="BF624" s="25">
        <v>45268</v>
      </c>
      <c r="BG624" s="13" t="s">
        <v>162</v>
      </c>
      <c r="BJ624" s="114"/>
    </row>
    <row r="625" spans="1:62" ht="19.5" x14ac:dyDescent="0.4">
      <c r="A625" s="117"/>
      <c r="B625" s="123"/>
      <c r="C625" s="123"/>
      <c r="D625" s="123"/>
      <c r="W625" s="26"/>
      <c r="X625" s="13"/>
      <c r="AE625" s="115"/>
      <c r="AF625" s="115"/>
      <c r="AG625" s="115"/>
      <c r="AH625" s="26">
        <v>45696</v>
      </c>
      <c r="AI625" s="13" t="s">
        <v>147</v>
      </c>
      <c r="AN625" s="117"/>
      <c r="AO625" s="123"/>
      <c r="AP625" s="123"/>
      <c r="AQ625" s="123"/>
      <c r="AS625" s="115"/>
      <c r="AT625" s="115"/>
      <c r="AU625" s="115"/>
      <c r="AV625" s="115"/>
      <c r="AW625" s="115"/>
      <c r="AX625" s="115"/>
      <c r="AY625" s="115"/>
      <c r="AZ625" s="115"/>
      <c r="BA625" s="115"/>
      <c r="BB625" s="115"/>
      <c r="BC625" s="115"/>
      <c r="BD625" s="115"/>
      <c r="BE625" s="115"/>
      <c r="BF625" s="25"/>
      <c r="BG625" s="13"/>
      <c r="BJ625" s="114"/>
    </row>
    <row r="626" spans="1:62" ht="19.5" x14ac:dyDescent="0.4">
      <c r="A626" s="117"/>
      <c r="B626" s="123"/>
      <c r="C626" s="123"/>
      <c r="D626" s="123"/>
      <c r="W626" s="26"/>
      <c r="X626" s="13"/>
      <c r="AH626" s="26">
        <v>45698</v>
      </c>
      <c r="AI626" s="13" t="s">
        <v>147</v>
      </c>
      <c r="AN626" s="117"/>
      <c r="AO626" s="123"/>
      <c r="AP626" s="123"/>
      <c r="AQ626" s="123"/>
      <c r="AS626" s="115"/>
      <c r="AT626" s="115"/>
      <c r="AU626" s="115"/>
      <c r="AV626" s="115"/>
      <c r="AW626" s="115"/>
      <c r="AX626" s="115"/>
      <c r="AY626" s="115"/>
      <c r="AZ626" s="115"/>
      <c r="BA626" s="115"/>
      <c r="BB626" s="115"/>
      <c r="BC626" s="115"/>
      <c r="BD626" s="115"/>
      <c r="BE626" s="115"/>
      <c r="BF626" s="25">
        <v>45268</v>
      </c>
      <c r="BG626" s="13" t="s">
        <v>163</v>
      </c>
      <c r="BJ626" s="114"/>
    </row>
    <row r="627" spans="1:62" ht="19.5" x14ac:dyDescent="0.4">
      <c r="A627" s="117"/>
      <c r="B627" s="123"/>
      <c r="C627" s="123"/>
      <c r="D627" s="123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7"/>
      <c r="X627" s="13"/>
      <c r="AH627" s="26"/>
      <c r="AI627" s="13"/>
      <c r="AN627" s="117"/>
      <c r="AO627" s="123"/>
      <c r="AP627" s="123"/>
      <c r="AQ627" s="123"/>
      <c r="AS627" s="115"/>
      <c r="AT627" s="115"/>
      <c r="AU627" s="115"/>
      <c r="AV627" s="115"/>
      <c r="AW627" s="115"/>
      <c r="AX627" s="115"/>
      <c r="AY627" s="115"/>
      <c r="AZ627" s="115"/>
      <c r="BA627" s="115"/>
      <c r="BB627" s="115"/>
      <c r="BC627" s="115"/>
      <c r="BD627" s="115"/>
      <c r="BE627" s="115"/>
      <c r="BF627" s="25"/>
      <c r="BG627" s="13"/>
      <c r="BJ627" s="114"/>
    </row>
    <row r="628" spans="1:62" ht="19.5" x14ac:dyDescent="0.4">
      <c r="A628" s="117"/>
      <c r="B628" s="123"/>
      <c r="C628" s="123"/>
      <c r="D628" s="123"/>
      <c r="W628" s="26"/>
      <c r="X628" s="13"/>
      <c r="AE628" s="115"/>
      <c r="AF628" s="115"/>
      <c r="AG628" s="115"/>
      <c r="AH628" s="26">
        <v>45698</v>
      </c>
      <c r="AI628" s="13" t="s">
        <v>147</v>
      </c>
      <c r="AN628" s="117"/>
      <c r="AO628" s="123"/>
      <c r="AP628" s="123"/>
      <c r="AQ628" s="123"/>
      <c r="AS628" s="115"/>
      <c r="AT628" s="115"/>
      <c r="AU628" s="115"/>
      <c r="AV628" s="115"/>
      <c r="AW628" s="115"/>
      <c r="AX628" s="115"/>
      <c r="AY628" s="115"/>
      <c r="AZ628" s="115"/>
      <c r="BA628" s="115"/>
      <c r="BB628" s="115"/>
      <c r="BC628" s="115"/>
      <c r="BD628" s="115"/>
      <c r="BE628" s="115"/>
      <c r="BF628" s="25"/>
      <c r="BG628" s="13"/>
      <c r="BJ628" s="114"/>
    </row>
    <row r="629" spans="1:62" ht="19.5" x14ac:dyDescent="0.4">
      <c r="A629" s="117"/>
      <c r="B629" s="123"/>
      <c r="C629" s="123"/>
      <c r="D629" s="123"/>
      <c r="W629" s="26"/>
      <c r="X629" s="13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26">
        <v>45699</v>
      </c>
      <c r="AI629" s="13" t="s">
        <v>148</v>
      </c>
      <c r="AN629" s="117"/>
      <c r="AO629" s="123"/>
      <c r="AP629" s="123"/>
      <c r="AQ629" s="123"/>
      <c r="AS629" s="115"/>
      <c r="AT629" s="115"/>
      <c r="AU629" s="115"/>
      <c r="AV629" s="115"/>
      <c r="AW629" s="115"/>
      <c r="AX629" s="115"/>
      <c r="AY629" s="115"/>
      <c r="AZ629" s="115"/>
      <c r="BA629" s="115"/>
      <c r="BB629" s="115"/>
      <c r="BC629" s="115"/>
      <c r="BD629" s="115"/>
      <c r="BE629" s="115"/>
      <c r="BF629" s="25"/>
      <c r="BG629" s="13"/>
      <c r="BJ629" s="114"/>
    </row>
    <row r="630" spans="1:62" ht="19.5" x14ac:dyDescent="0.4">
      <c r="A630" s="117"/>
      <c r="B630" s="123"/>
      <c r="C630" s="123"/>
      <c r="D630" s="123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7"/>
      <c r="X630" s="13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26"/>
      <c r="AI630" s="13"/>
      <c r="AN630" s="117"/>
      <c r="AO630" s="123"/>
      <c r="AP630" s="123"/>
      <c r="AQ630" s="123"/>
      <c r="AS630" s="115"/>
      <c r="AT630" s="115"/>
      <c r="AU630" s="115"/>
      <c r="AV630" s="115"/>
      <c r="AW630" s="115"/>
      <c r="AX630" s="115"/>
      <c r="AY630" s="115"/>
      <c r="AZ630" s="115"/>
      <c r="BA630" s="115"/>
      <c r="BB630" s="115"/>
      <c r="BC630" s="115"/>
      <c r="BD630" s="115"/>
      <c r="BE630" s="115"/>
      <c r="BF630" s="25"/>
      <c r="BG630" s="13"/>
      <c r="BJ630" s="114"/>
    </row>
    <row r="631" spans="1:62" ht="19.5" x14ac:dyDescent="0.4">
      <c r="A631" s="117"/>
      <c r="B631" s="123"/>
      <c r="C631" s="123"/>
      <c r="D631" s="123"/>
      <c r="W631" s="26"/>
      <c r="X631" s="13"/>
      <c r="AH631" s="26">
        <v>45699</v>
      </c>
      <c r="AI631" s="13" t="s">
        <v>148</v>
      </c>
      <c r="AN631" s="117"/>
      <c r="AO631" s="123"/>
      <c r="AP631" s="123"/>
      <c r="AQ631" s="123"/>
      <c r="AR631" s="115"/>
      <c r="AS631" s="115"/>
      <c r="AT631" s="115"/>
      <c r="AU631" s="115"/>
      <c r="AV631" s="115"/>
      <c r="AW631" s="115"/>
      <c r="AX631" s="115"/>
      <c r="AY631" s="115"/>
      <c r="AZ631" s="115"/>
      <c r="BA631" s="115"/>
      <c r="BB631" s="115"/>
      <c r="BC631" s="115"/>
      <c r="BD631" s="115"/>
      <c r="BE631" s="115"/>
      <c r="BF631" s="25">
        <v>45268</v>
      </c>
      <c r="BG631" s="13" t="s">
        <v>163</v>
      </c>
      <c r="BJ631" s="114"/>
    </row>
    <row r="632" spans="1:62" ht="19.5" x14ac:dyDescent="0.4">
      <c r="A632" s="117"/>
      <c r="B632" s="123"/>
      <c r="C632" s="123"/>
      <c r="D632" s="123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7"/>
      <c r="X632" s="13"/>
      <c r="AH632" s="26"/>
      <c r="AI632" s="13"/>
      <c r="AN632" s="117"/>
      <c r="AO632" s="123"/>
      <c r="AP632" s="123"/>
      <c r="AQ632" s="123"/>
      <c r="AR632" s="115"/>
      <c r="AS632" s="115"/>
      <c r="AT632" s="115"/>
      <c r="AU632" s="115"/>
      <c r="AV632" s="115"/>
      <c r="AW632" s="115"/>
      <c r="AX632" s="115"/>
      <c r="AY632" s="115"/>
      <c r="AZ632" s="115"/>
      <c r="BA632" s="115"/>
      <c r="BB632" s="115"/>
      <c r="BC632" s="115"/>
      <c r="BD632" s="115"/>
      <c r="BE632" s="115"/>
      <c r="BF632" s="25"/>
      <c r="BG632" s="13"/>
      <c r="BJ632" s="114"/>
    </row>
    <row r="633" spans="1:62" ht="19.5" x14ac:dyDescent="0.4">
      <c r="A633" s="117"/>
      <c r="B633" s="123"/>
      <c r="C633" s="123"/>
      <c r="D633" s="123"/>
      <c r="W633" s="26"/>
      <c r="X633" s="13"/>
      <c r="AA633" s="115"/>
      <c r="AB633" s="115"/>
      <c r="AC633" s="115"/>
      <c r="AD633" s="115"/>
      <c r="AE633" s="115"/>
      <c r="AF633" s="115"/>
      <c r="AG633" s="115"/>
      <c r="AH633" s="26">
        <v>45699</v>
      </c>
      <c r="AI633" s="13" t="s">
        <v>148</v>
      </c>
      <c r="AN633" s="117"/>
      <c r="AO633" s="123"/>
      <c r="AP633" s="123"/>
      <c r="AQ633" s="123"/>
      <c r="AR633" s="115"/>
      <c r="AS633" s="115"/>
      <c r="AT633" s="115"/>
      <c r="AU633" s="115"/>
      <c r="AV633" s="115"/>
      <c r="AW633" s="115"/>
      <c r="AX633" s="115"/>
      <c r="AY633" s="115"/>
      <c r="AZ633" s="115"/>
      <c r="BA633" s="115"/>
      <c r="BB633" s="115"/>
      <c r="BC633" s="115"/>
      <c r="BD633" s="115"/>
      <c r="BE633" s="115"/>
      <c r="BF633" s="25"/>
      <c r="BG633" s="13"/>
      <c r="BJ633" s="114"/>
    </row>
    <row r="634" spans="1:62" ht="19.5" x14ac:dyDescent="0.4">
      <c r="A634" s="117"/>
      <c r="B634" s="123"/>
      <c r="C634" s="123"/>
      <c r="D634" s="123"/>
      <c r="W634" s="26"/>
      <c r="X634" s="13"/>
      <c r="AA634" s="115"/>
      <c r="AB634" s="115"/>
      <c r="AC634" s="115"/>
      <c r="AD634" s="115"/>
      <c r="AE634" s="115"/>
      <c r="AF634" s="115"/>
      <c r="AG634" s="115"/>
      <c r="AH634" s="26">
        <v>45699</v>
      </c>
      <c r="AI634" s="13" t="s">
        <v>148</v>
      </c>
      <c r="AN634" s="117"/>
      <c r="AO634" s="123"/>
      <c r="AP634" s="123"/>
      <c r="AQ634" s="123"/>
      <c r="AR634" s="115"/>
      <c r="AS634" s="115"/>
      <c r="AT634" s="115"/>
      <c r="AU634" s="115"/>
      <c r="AV634" s="115"/>
      <c r="AW634" s="115"/>
      <c r="AX634" s="115"/>
      <c r="AY634" s="115"/>
      <c r="AZ634" s="115"/>
      <c r="BA634" s="115"/>
      <c r="BB634" s="115"/>
      <c r="BC634" s="115"/>
      <c r="BD634" s="115"/>
      <c r="BE634" s="115"/>
      <c r="BF634" s="25"/>
      <c r="BG634" s="13"/>
      <c r="BJ634" s="114"/>
    </row>
    <row r="635" spans="1:62" ht="19.5" x14ac:dyDescent="0.4">
      <c r="A635" s="117"/>
      <c r="B635" s="123"/>
      <c r="C635" s="123"/>
      <c r="D635" s="123"/>
      <c r="W635" s="26"/>
      <c r="X635" s="13"/>
      <c r="AA635" s="115"/>
      <c r="AB635" s="115"/>
      <c r="AC635" s="115"/>
      <c r="AD635" s="115"/>
      <c r="AE635" s="115"/>
      <c r="AF635" s="115"/>
      <c r="AG635" s="115"/>
      <c r="AH635" s="26">
        <v>45699</v>
      </c>
      <c r="AI635" s="13" t="s">
        <v>148</v>
      </c>
      <c r="AN635" s="117"/>
      <c r="AO635" s="123"/>
      <c r="AP635" s="123"/>
      <c r="AQ635" s="123"/>
      <c r="AR635" s="115"/>
      <c r="AS635" s="115"/>
      <c r="AT635" s="115"/>
      <c r="AU635" s="115"/>
      <c r="AV635" s="115"/>
      <c r="AW635" s="115"/>
      <c r="AX635" s="115"/>
      <c r="AY635" s="115"/>
      <c r="AZ635" s="115"/>
      <c r="BA635" s="115"/>
      <c r="BB635" s="115"/>
      <c r="BC635" s="115"/>
      <c r="BD635" s="115"/>
      <c r="BE635" s="115"/>
      <c r="BF635" s="25"/>
      <c r="BG635" s="13"/>
      <c r="BJ635" s="114"/>
    </row>
    <row r="636" spans="1:62" ht="19.5" x14ac:dyDescent="0.4">
      <c r="A636" s="117"/>
      <c r="B636" s="123"/>
      <c r="C636" s="123"/>
      <c r="D636" s="123"/>
      <c r="W636" s="26"/>
      <c r="X636" s="13"/>
      <c r="AH636" s="26">
        <v>45699</v>
      </c>
      <c r="AI636" s="13" t="s">
        <v>148</v>
      </c>
      <c r="AN636" s="117"/>
      <c r="AO636" s="123"/>
      <c r="AP636" s="123"/>
      <c r="AQ636" s="123"/>
      <c r="AR636" s="115"/>
      <c r="AS636" s="115"/>
      <c r="AT636" s="115"/>
      <c r="AU636" s="115"/>
      <c r="AV636" s="115"/>
      <c r="AW636" s="115"/>
      <c r="AX636" s="115"/>
      <c r="AY636" s="115"/>
      <c r="AZ636" s="115"/>
      <c r="BA636" s="115"/>
      <c r="BB636" s="115"/>
      <c r="BC636" s="115"/>
      <c r="BD636" s="115"/>
      <c r="BE636" s="115" t="s">
        <v>158</v>
      </c>
      <c r="BF636" s="13">
        <f>SUBTOTAL(3,BF622:BF631)</f>
        <v>4</v>
      </c>
      <c r="BG636" s="13">
        <f>SUBTOTAL(3,BG622:BG631)</f>
        <v>4</v>
      </c>
      <c r="BJ636" s="114"/>
    </row>
    <row r="637" spans="1:62" ht="19.5" x14ac:dyDescent="0.4">
      <c r="A637" s="117"/>
      <c r="B637" s="123"/>
      <c r="C637" s="123"/>
      <c r="D637" s="123"/>
      <c r="W637" s="26"/>
      <c r="X637" s="15"/>
      <c r="AE637" s="115"/>
      <c r="AF637" s="115"/>
      <c r="AG637" s="115"/>
      <c r="AH637" s="26">
        <v>45706</v>
      </c>
      <c r="AI637" s="13" t="s">
        <v>146</v>
      </c>
      <c r="AN637" s="117"/>
      <c r="AO637" s="123"/>
      <c r="AP637" s="123"/>
      <c r="AQ637" s="123"/>
      <c r="AR637" s="115"/>
      <c r="AS637" s="115"/>
      <c r="AT637" s="115"/>
      <c r="AU637" s="115"/>
      <c r="AV637" s="115"/>
      <c r="AW637" s="115"/>
      <c r="AX637" s="115"/>
      <c r="AY637" s="115"/>
      <c r="AZ637" s="115"/>
      <c r="BA637" s="115"/>
      <c r="BB637" s="115"/>
      <c r="BC637" s="115"/>
      <c r="BD637" s="115"/>
      <c r="BE637" s="115"/>
      <c r="BF637" s="13"/>
      <c r="BG637" s="13"/>
      <c r="BJ637" s="114"/>
    </row>
    <row r="638" spans="1:62" ht="19.5" x14ac:dyDescent="0.4">
      <c r="A638" s="117"/>
      <c r="B638" s="123"/>
      <c r="C638" s="123"/>
      <c r="D638" s="123"/>
      <c r="W638" s="26"/>
      <c r="X638" s="13"/>
      <c r="AD638" s="115"/>
      <c r="AE638" s="115"/>
      <c r="AF638" s="115"/>
      <c r="AG638" s="115"/>
      <c r="AH638" s="26">
        <v>45709</v>
      </c>
      <c r="AI638" s="13" t="s">
        <v>148</v>
      </c>
      <c r="AN638" s="117"/>
      <c r="AO638" s="123"/>
      <c r="AP638" s="123"/>
      <c r="AQ638" s="123"/>
      <c r="AR638" s="115"/>
      <c r="AS638" s="115"/>
      <c r="AT638" s="115"/>
      <c r="AU638" s="115"/>
      <c r="AV638" s="115"/>
      <c r="AW638" s="115"/>
      <c r="AX638" s="115"/>
      <c r="AY638" s="115"/>
      <c r="AZ638" s="115"/>
      <c r="BA638" s="115"/>
      <c r="BB638" s="115"/>
      <c r="BC638" s="115"/>
      <c r="BD638" s="115"/>
      <c r="BE638" s="115"/>
      <c r="BF638" s="13"/>
      <c r="BG638" s="13"/>
      <c r="BJ638" s="114"/>
    </row>
    <row r="639" spans="1:62" ht="19.5" x14ac:dyDescent="0.4">
      <c r="A639" s="117"/>
      <c r="B639" s="123"/>
      <c r="C639" s="123"/>
      <c r="D639" s="123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7"/>
      <c r="X639" s="13"/>
      <c r="AD639" s="115"/>
      <c r="AE639" s="115"/>
      <c r="AF639" s="115"/>
      <c r="AG639" s="115"/>
      <c r="AH639" s="26"/>
      <c r="AI639" s="13"/>
      <c r="AN639" s="117"/>
      <c r="AO639" s="123"/>
      <c r="AP639" s="123"/>
      <c r="AQ639" s="123"/>
      <c r="AR639" s="115"/>
      <c r="AS639" s="115"/>
      <c r="AT639" s="115"/>
      <c r="AU639" s="115"/>
      <c r="AV639" s="115"/>
      <c r="AW639" s="115"/>
      <c r="AX639" s="115"/>
      <c r="AY639" s="115"/>
      <c r="AZ639" s="115"/>
      <c r="BA639" s="115"/>
      <c r="BB639" s="115"/>
      <c r="BC639" s="115"/>
      <c r="BD639" s="115"/>
      <c r="BE639" s="115"/>
      <c r="BF639" s="13"/>
      <c r="BG639" s="13"/>
      <c r="BJ639" s="114"/>
    </row>
    <row r="640" spans="1:62" ht="19.5" x14ac:dyDescent="0.4">
      <c r="A640" s="117"/>
      <c r="B640" s="123"/>
      <c r="C640" s="123"/>
      <c r="D640" s="123"/>
      <c r="W640" s="26"/>
      <c r="X640" s="13"/>
      <c r="AD640" s="115"/>
      <c r="AE640" s="115"/>
      <c r="AF640" s="115"/>
      <c r="AG640" s="115"/>
      <c r="AH640" s="26">
        <v>45709</v>
      </c>
      <c r="AI640" s="13" t="s">
        <v>147</v>
      </c>
      <c r="AN640" s="117"/>
      <c r="AO640" s="123"/>
      <c r="AP640" s="123"/>
      <c r="AQ640" s="123"/>
      <c r="AR640" s="115"/>
      <c r="AS640" s="115"/>
      <c r="AT640" s="115"/>
      <c r="AU640" s="115"/>
      <c r="AV640" s="115"/>
      <c r="AW640" s="115"/>
      <c r="AX640" s="115"/>
      <c r="AY640" s="115"/>
      <c r="AZ640" s="115"/>
      <c r="BA640" s="115"/>
      <c r="BB640" s="115"/>
      <c r="BC640" s="115"/>
      <c r="BD640" s="115"/>
      <c r="BE640" s="115"/>
      <c r="BF640" s="13"/>
      <c r="BG640" s="13"/>
      <c r="BJ640" s="114"/>
    </row>
    <row r="641" spans="1:62" ht="19.5" x14ac:dyDescent="0.4">
      <c r="A641" s="117"/>
      <c r="B641" s="123"/>
      <c r="C641" s="123"/>
      <c r="D641" s="123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7"/>
      <c r="X641" s="13"/>
      <c r="AD641" s="115"/>
      <c r="AE641" s="115"/>
      <c r="AF641" s="115"/>
      <c r="AG641" s="115"/>
      <c r="AH641" s="26"/>
      <c r="AI641" s="13"/>
      <c r="AN641" s="117"/>
      <c r="AO641" s="123"/>
      <c r="AP641" s="123"/>
      <c r="AQ641" s="123"/>
      <c r="AR641" s="115"/>
      <c r="AS641" s="115"/>
      <c r="AT641" s="115"/>
      <c r="AU641" s="115"/>
      <c r="AV641" s="115"/>
      <c r="AW641" s="115"/>
      <c r="AX641" s="115"/>
      <c r="AY641" s="115"/>
      <c r="AZ641" s="115"/>
      <c r="BA641" s="115"/>
      <c r="BB641" s="115"/>
      <c r="BC641" s="115"/>
      <c r="BD641" s="115"/>
      <c r="BE641" s="115"/>
      <c r="BF641" s="13"/>
      <c r="BG641" s="13"/>
      <c r="BJ641" s="114"/>
    </row>
    <row r="642" spans="1:62" ht="19.5" x14ac:dyDescent="0.4">
      <c r="A642" s="117"/>
      <c r="B642" s="123"/>
      <c r="C642" s="123"/>
      <c r="D642" s="123"/>
      <c r="W642" s="26"/>
      <c r="X642" s="13"/>
      <c r="AD642" s="115"/>
      <c r="AE642" s="115"/>
      <c r="AF642" s="115"/>
      <c r="AG642" s="115"/>
      <c r="AH642" s="26">
        <v>45712</v>
      </c>
      <c r="AI642" s="13" t="s">
        <v>146</v>
      </c>
      <c r="AN642" s="117"/>
      <c r="AO642" s="123"/>
      <c r="AP642" s="123"/>
      <c r="AQ642" s="123"/>
      <c r="AR642" s="115"/>
      <c r="AS642" s="115"/>
      <c r="AT642" s="115"/>
      <c r="AU642" s="115"/>
      <c r="AV642" s="115"/>
      <c r="AW642" s="115"/>
      <c r="AX642" s="115"/>
      <c r="AY642" s="115"/>
      <c r="AZ642" s="115"/>
      <c r="BA642" s="115"/>
      <c r="BB642" s="115"/>
      <c r="BC642" s="115"/>
      <c r="BD642" s="115"/>
      <c r="BE642" s="115"/>
      <c r="BF642" s="13"/>
      <c r="BG642" s="13"/>
      <c r="BJ642" s="114"/>
    </row>
    <row r="643" spans="1:62" ht="19.5" x14ac:dyDescent="0.4">
      <c r="A643" s="117"/>
      <c r="B643" s="123"/>
      <c r="C643" s="123"/>
      <c r="D643" s="123"/>
      <c r="W643" s="26"/>
      <c r="X643" s="13"/>
      <c r="AD643" s="115"/>
      <c r="AE643" s="115"/>
      <c r="AF643" s="115"/>
      <c r="AG643" s="115"/>
      <c r="AH643" s="26">
        <v>45712</v>
      </c>
      <c r="AI643" s="13" t="s">
        <v>148</v>
      </c>
      <c r="AN643" s="117"/>
      <c r="AO643" s="123"/>
      <c r="AP643" s="123"/>
      <c r="AQ643" s="123"/>
      <c r="AR643" s="115"/>
      <c r="AS643" s="115"/>
      <c r="AT643" s="115"/>
      <c r="AU643" s="115"/>
      <c r="AV643" s="115"/>
      <c r="AW643" s="115"/>
      <c r="AX643" s="115"/>
      <c r="AY643" s="115"/>
      <c r="AZ643" s="115"/>
      <c r="BA643" s="115"/>
      <c r="BB643" s="115"/>
      <c r="BC643" s="115"/>
      <c r="BD643" s="115"/>
      <c r="BE643" s="115"/>
      <c r="BF643" s="13"/>
      <c r="BG643" s="13"/>
      <c r="BJ643" s="114"/>
    </row>
    <row r="644" spans="1:62" ht="19.5" x14ac:dyDescent="0.4">
      <c r="A644" s="117"/>
      <c r="B644" s="123"/>
      <c r="C644" s="123"/>
      <c r="D644" s="123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7"/>
      <c r="X644" s="13"/>
      <c r="AD644" s="115"/>
      <c r="AE644" s="115"/>
      <c r="AF644" s="115"/>
      <c r="AG644" s="115"/>
      <c r="AH644" s="26"/>
      <c r="AI644" s="13"/>
      <c r="AN644" s="117"/>
      <c r="AO644" s="123"/>
      <c r="AP644" s="123"/>
      <c r="AQ644" s="123"/>
      <c r="AR644" s="115"/>
      <c r="AS644" s="115"/>
      <c r="AT644" s="115"/>
      <c r="AU644" s="115"/>
      <c r="AV644" s="115"/>
      <c r="AW644" s="115"/>
      <c r="AX644" s="115"/>
      <c r="AY644" s="115"/>
      <c r="AZ644" s="115"/>
      <c r="BA644" s="115"/>
      <c r="BB644" s="115"/>
      <c r="BC644" s="115"/>
      <c r="BD644" s="115"/>
      <c r="BE644" s="115"/>
      <c r="BF644" s="13"/>
      <c r="BG644" s="13"/>
      <c r="BJ644" s="114"/>
    </row>
    <row r="645" spans="1:62" ht="19.5" x14ac:dyDescent="0.4">
      <c r="A645" s="117"/>
      <c r="B645" s="123"/>
      <c r="C645" s="123"/>
      <c r="D645" s="123"/>
      <c r="W645" s="26"/>
      <c r="X645" s="13"/>
      <c r="AB645" s="115"/>
      <c r="AC645" s="115"/>
      <c r="AD645" s="115"/>
      <c r="AE645" s="115"/>
      <c r="AF645" s="115"/>
      <c r="AG645" s="115"/>
      <c r="AH645" s="26">
        <v>45714</v>
      </c>
      <c r="AI645" s="13" t="s">
        <v>147</v>
      </c>
      <c r="AN645" s="117"/>
      <c r="AO645" s="123"/>
      <c r="AP645" s="123"/>
      <c r="AQ645" s="123"/>
      <c r="AR645" s="115"/>
      <c r="AS645" s="115"/>
      <c r="AT645" s="115"/>
      <c r="AU645" s="115"/>
      <c r="AV645" s="115"/>
      <c r="AW645" s="115"/>
      <c r="AX645" s="115"/>
      <c r="AY645" s="115"/>
      <c r="AZ645" s="115"/>
      <c r="BA645" s="115"/>
      <c r="BB645" s="115"/>
      <c r="BC645" s="115"/>
      <c r="BD645" s="115"/>
      <c r="BE645" s="115"/>
      <c r="BF645" s="13"/>
      <c r="BG645" s="13"/>
      <c r="BJ645" s="114"/>
    </row>
    <row r="646" spans="1:62" ht="19.5" x14ac:dyDescent="0.4">
      <c r="A646" s="117"/>
      <c r="B646" s="123"/>
      <c r="C646" s="123"/>
      <c r="D646" s="123"/>
      <c r="W646" s="26"/>
      <c r="X646" s="13"/>
      <c r="AH646" s="26">
        <v>45714</v>
      </c>
      <c r="AI646" s="13" t="s">
        <v>147</v>
      </c>
      <c r="AN646" s="117"/>
      <c r="AO646" s="123"/>
      <c r="AP646" s="123"/>
      <c r="AQ646" s="123"/>
      <c r="AR646" s="115"/>
      <c r="AS646" s="115"/>
      <c r="AT646" s="115"/>
      <c r="AU646" s="115"/>
      <c r="AV646" s="115"/>
      <c r="AW646" s="115"/>
      <c r="AX646" s="115"/>
      <c r="AY646" s="115"/>
      <c r="AZ646" s="115"/>
      <c r="BA646" s="115"/>
      <c r="BB646" s="115"/>
      <c r="BC646" s="115"/>
      <c r="BD646" s="115"/>
      <c r="BE646" s="115"/>
      <c r="BF646" s="25">
        <v>45269</v>
      </c>
      <c r="BG646" s="13" t="s">
        <v>163</v>
      </c>
      <c r="BJ646" s="114"/>
    </row>
    <row r="647" spans="1:62" ht="19.5" x14ac:dyDescent="0.4">
      <c r="A647" s="117"/>
      <c r="B647" s="123"/>
      <c r="C647" s="123"/>
      <c r="D647" s="123"/>
      <c r="W647" s="26"/>
      <c r="X647" s="13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26">
        <v>45714</v>
      </c>
      <c r="AI647" s="13" t="s">
        <v>147</v>
      </c>
      <c r="AN647" s="117"/>
      <c r="AO647" s="123"/>
      <c r="AP647" s="123"/>
      <c r="AQ647" s="123"/>
      <c r="AR647" s="115"/>
      <c r="AS647" s="115"/>
      <c r="AT647" s="115"/>
      <c r="AU647" s="115"/>
      <c r="AV647" s="115"/>
      <c r="AW647" s="115"/>
      <c r="AX647" s="115"/>
      <c r="AY647" s="115"/>
      <c r="AZ647" s="115"/>
      <c r="BA647" s="115"/>
      <c r="BB647" s="115"/>
      <c r="BC647" s="115"/>
      <c r="BD647" s="115"/>
      <c r="BE647" s="115"/>
      <c r="BF647" s="25"/>
      <c r="BG647" s="13"/>
      <c r="BJ647" s="114"/>
    </row>
    <row r="648" spans="1:62" ht="19.5" x14ac:dyDescent="0.4">
      <c r="A648" s="117"/>
      <c r="B648" s="123"/>
      <c r="C648" s="123"/>
      <c r="D648" s="123"/>
      <c r="W648" s="26"/>
      <c r="X648" s="13"/>
      <c r="Y648" s="115"/>
      <c r="Z648" s="115"/>
      <c r="AA648" s="115"/>
      <c r="AB648" s="115"/>
      <c r="AC648" s="115"/>
      <c r="AD648" s="115"/>
      <c r="AE648" s="115"/>
      <c r="AF648" s="115" t="s">
        <v>145</v>
      </c>
      <c r="AG648" s="115">
        <f>SUBTOTAL(3,AG2:AG647)</f>
        <v>0</v>
      </c>
      <c r="AH648" s="26"/>
      <c r="AI648" s="13">
        <f>SUBTOTAL(3,AI2:AI647)</f>
        <v>145</v>
      </c>
      <c r="AN648" s="117"/>
      <c r="AO648" s="123"/>
      <c r="AP648" s="123"/>
      <c r="AQ648" s="123"/>
      <c r="AR648" s="115"/>
      <c r="AS648" s="115"/>
      <c r="AT648" s="115"/>
      <c r="AU648" s="115"/>
      <c r="AV648" s="115"/>
      <c r="AW648" s="115"/>
      <c r="AX648" s="115"/>
      <c r="AY648" s="115"/>
      <c r="AZ648" s="115"/>
      <c r="BA648" s="115"/>
      <c r="BB648" s="115"/>
      <c r="BC648" s="115"/>
      <c r="BD648" s="115"/>
      <c r="BE648" s="115"/>
      <c r="BF648" s="25"/>
      <c r="BG648" s="13"/>
      <c r="BJ648" s="114"/>
    </row>
    <row r="649" spans="1:62" ht="19.5" x14ac:dyDescent="0.4">
      <c r="A649" s="117"/>
      <c r="B649" s="123"/>
      <c r="C649" s="123"/>
      <c r="D649" s="123"/>
      <c r="W649" s="26"/>
      <c r="X649" s="13"/>
      <c r="AH649" s="26"/>
      <c r="AI649" s="13"/>
      <c r="AN649" s="117"/>
      <c r="AO649" s="123"/>
      <c r="AP649" s="123"/>
      <c r="AQ649" s="123"/>
      <c r="AR649" s="115"/>
      <c r="AS649" s="115"/>
      <c r="AT649" s="115"/>
      <c r="AU649" s="115"/>
      <c r="AV649" s="115"/>
      <c r="AW649" s="115"/>
      <c r="AX649" s="115"/>
      <c r="AY649" s="115"/>
      <c r="AZ649" s="115"/>
      <c r="BA649" s="115"/>
      <c r="BB649" s="115"/>
      <c r="BC649" s="115"/>
      <c r="BD649" s="115"/>
      <c r="BE649" s="115"/>
      <c r="BF649" s="25">
        <v>45269</v>
      </c>
      <c r="BG649" s="13" t="s">
        <v>163</v>
      </c>
      <c r="BJ649" s="114"/>
    </row>
    <row r="650" spans="1:62" ht="19.5" x14ac:dyDescent="0.4">
      <c r="A650" s="117"/>
      <c r="B650" s="123"/>
      <c r="C650" s="123"/>
      <c r="D650" s="123"/>
      <c r="W650" s="26"/>
      <c r="X650" s="13"/>
      <c r="AA650" s="115"/>
      <c r="AB650" s="115"/>
      <c r="AC650" s="115"/>
      <c r="AD650" s="115"/>
      <c r="AE650" s="115"/>
      <c r="AF650" s="115"/>
      <c r="AG650" s="115"/>
      <c r="AH650" s="26"/>
      <c r="AI650" s="13"/>
      <c r="AN650" s="117"/>
      <c r="AO650" s="123"/>
      <c r="AP650" s="123"/>
      <c r="AQ650" s="123"/>
      <c r="AR650" s="115"/>
      <c r="AS650" s="115"/>
      <c r="AT650" s="115"/>
      <c r="AU650" s="115"/>
      <c r="AV650" s="115"/>
      <c r="AW650" s="115"/>
      <c r="AX650" s="115"/>
      <c r="AY650" s="115"/>
      <c r="AZ650" s="115"/>
      <c r="BA650" s="115"/>
      <c r="BB650" s="115"/>
      <c r="BC650" s="115"/>
      <c r="BD650" s="115"/>
      <c r="BE650" s="115"/>
      <c r="BF650" s="25"/>
      <c r="BG650" s="13"/>
      <c r="BJ650" s="114"/>
    </row>
    <row r="651" spans="1:62" ht="19.5" x14ac:dyDescent="0.4">
      <c r="A651" s="117"/>
      <c r="B651" s="123"/>
      <c r="C651" s="123"/>
      <c r="D651" s="123"/>
      <c r="W651" s="26"/>
      <c r="X651" s="13"/>
      <c r="AH651" s="26"/>
      <c r="AI651" s="13"/>
      <c r="AN651" s="117"/>
      <c r="AO651" s="123"/>
      <c r="AP651" s="123"/>
      <c r="AQ651" s="123"/>
      <c r="AR651" s="115"/>
      <c r="AS651" s="115"/>
      <c r="AT651" s="115"/>
      <c r="AU651" s="115"/>
      <c r="AV651" s="115"/>
      <c r="AW651" s="115"/>
      <c r="AX651" s="115"/>
      <c r="AY651" s="115"/>
      <c r="AZ651" s="115"/>
      <c r="BA651" s="115"/>
      <c r="BB651" s="115"/>
      <c r="BC651" s="115"/>
      <c r="BD651" s="115"/>
      <c r="BE651" s="115" t="s">
        <v>159</v>
      </c>
      <c r="BF651" s="13">
        <f>SUBTOTAL(3,BF646:BF649)</f>
        <v>2</v>
      </c>
      <c r="BG651" s="13">
        <f>SUBTOTAL(3,BG646:BG649)</f>
        <v>2</v>
      </c>
      <c r="BJ651" s="114"/>
    </row>
    <row r="652" spans="1:62" ht="19.5" x14ac:dyDescent="0.4">
      <c r="A652" s="117"/>
      <c r="B652" s="123"/>
      <c r="C652" s="123"/>
      <c r="D652" s="123"/>
      <c r="W652" s="26"/>
      <c r="X652" s="13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26"/>
      <c r="AI652" s="13"/>
      <c r="AN652" s="117"/>
      <c r="AO652" s="123"/>
      <c r="AP652" s="123"/>
      <c r="AQ652" s="123"/>
      <c r="AR652" s="115"/>
      <c r="AS652" s="115"/>
      <c r="AT652" s="115"/>
      <c r="AU652" s="115"/>
      <c r="AV652" s="115"/>
      <c r="AW652" s="115"/>
      <c r="AX652" s="115"/>
      <c r="AY652" s="115"/>
      <c r="AZ652" s="115"/>
      <c r="BA652" s="115"/>
      <c r="BB652" s="115"/>
      <c r="BC652" s="115"/>
      <c r="BD652" s="115"/>
      <c r="BE652" s="115"/>
      <c r="BF652" s="13"/>
      <c r="BG652" s="13"/>
      <c r="BJ652" s="114"/>
    </row>
    <row r="653" spans="1:62" ht="19.5" x14ac:dyDescent="0.4">
      <c r="A653" s="117"/>
      <c r="B653" s="123"/>
      <c r="C653" s="123"/>
      <c r="D653" s="123"/>
      <c r="W653" s="26"/>
      <c r="X653" s="13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26"/>
      <c r="AI653" s="13"/>
      <c r="AN653" s="117"/>
      <c r="AO653" s="123"/>
      <c r="AP653" s="123"/>
      <c r="AQ653" s="123"/>
      <c r="AR653" s="115"/>
      <c r="AS653" s="115"/>
      <c r="AT653" s="115"/>
      <c r="AU653" s="115"/>
      <c r="AV653" s="115"/>
      <c r="AW653" s="115"/>
      <c r="AX653" s="115"/>
      <c r="AY653" s="115"/>
      <c r="AZ653" s="115"/>
      <c r="BA653" s="115"/>
      <c r="BB653" s="115"/>
      <c r="BC653" s="115"/>
      <c r="BD653" s="115"/>
      <c r="BE653" s="115"/>
      <c r="BF653" s="13"/>
      <c r="BG653" s="13"/>
      <c r="BJ653" s="114"/>
    </row>
    <row r="654" spans="1:62" ht="19.5" x14ac:dyDescent="0.4">
      <c r="A654" s="117"/>
      <c r="B654" s="123"/>
      <c r="C654" s="123"/>
      <c r="D654" s="123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26"/>
      <c r="X654" s="13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26"/>
      <c r="AI654" s="13"/>
      <c r="AN654" s="117"/>
      <c r="AO654" s="123"/>
      <c r="AP654" s="123"/>
      <c r="AQ654" s="123"/>
      <c r="AR654" s="115"/>
      <c r="AS654" s="115"/>
      <c r="AT654" s="115"/>
      <c r="AU654" s="115"/>
      <c r="AV654" s="115"/>
      <c r="AW654" s="115"/>
      <c r="AX654" s="115"/>
      <c r="AY654" s="115"/>
      <c r="AZ654" s="115"/>
      <c r="BA654" s="115"/>
      <c r="BB654" s="115"/>
      <c r="BC654" s="115"/>
      <c r="BD654" s="115"/>
      <c r="BE654" s="115"/>
      <c r="BF654" s="13"/>
      <c r="BG654" s="13"/>
      <c r="BJ654" s="114"/>
    </row>
    <row r="655" spans="1:62" ht="19.5" x14ac:dyDescent="0.4">
      <c r="A655" s="117"/>
      <c r="B655" s="123"/>
      <c r="C655" s="123"/>
      <c r="D655" s="123"/>
      <c r="W655" s="26"/>
      <c r="X655" s="13"/>
      <c r="AH655" s="26"/>
      <c r="AI655" s="13"/>
      <c r="AN655" s="117"/>
      <c r="AO655" s="123"/>
      <c r="AP655" s="123"/>
      <c r="AQ655" s="123"/>
      <c r="AR655" s="115"/>
      <c r="AS655" s="115"/>
      <c r="AT655" s="115"/>
      <c r="AU655" s="115"/>
      <c r="AV655" s="115"/>
      <c r="AW655" s="115"/>
      <c r="AX655" s="115"/>
      <c r="AY655" s="115"/>
      <c r="AZ655" s="115"/>
      <c r="BA655" s="115"/>
      <c r="BB655" s="115"/>
      <c r="BC655" s="115"/>
      <c r="BD655" s="115"/>
      <c r="BE655" s="115"/>
      <c r="BF655" s="25">
        <v>45270</v>
      </c>
      <c r="BG655" s="13" t="s">
        <v>164</v>
      </c>
      <c r="BJ655" s="114"/>
    </row>
    <row r="656" spans="1:62" ht="19.5" x14ac:dyDescent="0.4">
      <c r="A656" s="117"/>
      <c r="B656" s="123"/>
      <c r="C656" s="123"/>
      <c r="D656" s="123"/>
      <c r="W656" s="26"/>
      <c r="X656" s="13"/>
      <c r="AC656" s="115"/>
      <c r="AD656" s="115"/>
      <c r="AE656" s="115"/>
      <c r="AF656" s="115"/>
      <c r="AG656" s="115"/>
      <c r="AH656" s="17"/>
      <c r="AI656" s="13"/>
      <c r="AN656" s="117"/>
      <c r="AO656" s="123"/>
      <c r="AP656" s="123"/>
      <c r="AQ656" s="123"/>
      <c r="AR656" s="115"/>
      <c r="AS656" s="115"/>
      <c r="AT656" s="115"/>
      <c r="AU656" s="115"/>
      <c r="AV656" s="115"/>
      <c r="AW656" s="115"/>
      <c r="AX656" s="115"/>
      <c r="AY656" s="115"/>
      <c r="AZ656" s="115"/>
      <c r="BA656" s="115"/>
      <c r="BB656" s="115"/>
      <c r="BC656" s="115"/>
      <c r="BD656" s="115"/>
      <c r="BE656" s="115"/>
      <c r="BF656" s="25"/>
      <c r="BG656" s="13"/>
      <c r="BJ656" s="114"/>
    </row>
    <row r="657" spans="1:62" ht="19.5" x14ac:dyDescent="0.4">
      <c r="A657" s="117"/>
      <c r="B657" s="123"/>
      <c r="C657" s="123"/>
      <c r="D657" s="123"/>
      <c r="W657" s="26"/>
      <c r="X657" s="13"/>
      <c r="AH657" s="26"/>
      <c r="AI657" s="13"/>
      <c r="AN657" s="117"/>
      <c r="AO657" s="123"/>
      <c r="AP657" s="123"/>
      <c r="AQ657" s="123"/>
      <c r="AR657" s="115"/>
      <c r="AS657" s="115"/>
      <c r="AT657" s="115"/>
      <c r="AU657" s="115"/>
      <c r="AV657" s="115"/>
      <c r="AW657" s="115"/>
      <c r="AX657" s="115"/>
      <c r="AY657" s="115"/>
      <c r="AZ657" s="115"/>
      <c r="BA657" s="115"/>
      <c r="BB657" s="115"/>
      <c r="BC657" s="115"/>
      <c r="BD657" s="115"/>
      <c r="BE657" s="115"/>
      <c r="BF657" s="25"/>
      <c r="BG657" s="13"/>
      <c r="BJ657" s="114"/>
    </row>
    <row r="658" spans="1:62" ht="19.5" x14ac:dyDescent="0.4">
      <c r="A658" s="117"/>
      <c r="B658" s="123"/>
      <c r="C658" s="123"/>
      <c r="D658" s="123"/>
      <c r="W658" s="26"/>
      <c r="X658" s="13"/>
      <c r="Z658" s="115"/>
      <c r="AA658" s="115"/>
      <c r="AB658" s="115"/>
      <c r="AC658" s="115"/>
      <c r="AD658" s="115"/>
      <c r="AE658" s="115"/>
      <c r="AF658" s="115"/>
      <c r="AG658" s="115"/>
      <c r="AH658" s="26"/>
      <c r="AI658" s="13"/>
      <c r="AN658" s="117"/>
      <c r="AO658" s="123"/>
      <c r="AP658" s="123"/>
      <c r="AQ658" s="123"/>
      <c r="AR658" s="115"/>
      <c r="AS658" s="115"/>
      <c r="AT658" s="115"/>
      <c r="AU658" s="115"/>
      <c r="AV658" s="115"/>
      <c r="AW658" s="115"/>
      <c r="AX658" s="115"/>
      <c r="AY658" s="115"/>
      <c r="AZ658" s="115"/>
      <c r="BA658" s="115"/>
      <c r="BB658" s="115"/>
      <c r="BC658" s="115"/>
      <c r="BD658" s="115"/>
      <c r="BE658" s="115"/>
      <c r="BF658" s="25"/>
      <c r="BG658" s="13"/>
      <c r="BJ658" s="114"/>
    </row>
    <row r="659" spans="1:62" ht="19.5" x14ac:dyDescent="0.4">
      <c r="A659" s="117"/>
      <c r="B659" s="123"/>
      <c r="C659" s="123"/>
      <c r="D659" s="123"/>
      <c r="W659" s="26"/>
      <c r="X659" s="13"/>
      <c r="AH659" s="26"/>
      <c r="AI659" s="13"/>
      <c r="AN659" s="117"/>
      <c r="AO659" s="123"/>
      <c r="AP659" s="123"/>
      <c r="AQ659" s="123"/>
      <c r="AR659" s="115"/>
      <c r="AS659" s="115"/>
      <c r="AT659" s="115"/>
      <c r="AU659" s="115"/>
      <c r="AV659" s="115"/>
      <c r="AW659" s="115"/>
      <c r="AX659" s="115"/>
      <c r="AY659" s="115"/>
      <c r="AZ659" s="115"/>
      <c r="BA659" s="115"/>
      <c r="BB659" s="115"/>
      <c r="BC659" s="115"/>
      <c r="BD659" s="115"/>
      <c r="BE659" s="115"/>
      <c r="BF659" s="25">
        <v>45270</v>
      </c>
      <c r="BG659" s="13" t="s">
        <v>164</v>
      </c>
      <c r="BJ659" s="114"/>
    </row>
    <row r="660" spans="1:62" ht="19.5" x14ac:dyDescent="0.4">
      <c r="A660" s="117"/>
      <c r="B660" s="123"/>
      <c r="C660" s="123"/>
      <c r="D660" s="123"/>
      <c r="W660" s="26"/>
      <c r="X660" s="13"/>
      <c r="AB660" s="115"/>
      <c r="AC660" s="115"/>
      <c r="AD660" s="115"/>
      <c r="AE660" s="115"/>
      <c r="AF660" s="115"/>
      <c r="AG660" s="115"/>
      <c r="AH660" s="26"/>
      <c r="AI660" s="13"/>
      <c r="AN660" s="117"/>
      <c r="AO660" s="123"/>
      <c r="AP660" s="123"/>
      <c r="AQ660" s="123"/>
      <c r="AR660" s="115"/>
      <c r="AS660" s="115"/>
      <c r="AT660" s="115"/>
      <c r="AU660" s="115"/>
      <c r="AV660" s="115"/>
      <c r="AW660" s="115"/>
      <c r="AX660" s="115"/>
      <c r="AY660" s="115"/>
      <c r="AZ660" s="115"/>
      <c r="BA660" s="115"/>
      <c r="BB660" s="115"/>
      <c r="BC660" s="115"/>
      <c r="BD660" s="115"/>
      <c r="BE660" s="115"/>
      <c r="BF660" s="25"/>
      <c r="BG660" s="13"/>
      <c r="BJ660" s="114"/>
    </row>
    <row r="661" spans="1:62" ht="19.5" x14ac:dyDescent="0.4">
      <c r="A661" s="117"/>
      <c r="B661" s="123"/>
      <c r="C661" s="123"/>
      <c r="D661" s="123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26"/>
      <c r="X661" s="13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26"/>
      <c r="AI661" s="13"/>
      <c r="AN661" s="117"/>
      <c r="AO661" s="123"/>
      <c r="AP661" s="123"/>
      <c r="AQ661" s="123"/>
      <c r="AR661" s="115"/>
      <c r="AS661" s="115"/>
      <c r="AT661" s="115"/>
      <c r="AU661" s="115"/>
      <c r="AV661" s="115"/>
      <c r="AW661" s="115"/>
      <c r="AX661" s="115"/>
      <c r="AY661" s="115"/>
      <c r="AZ661" s="115"/>
      <c r="BA661" s="115"/>
      <c r="BB661" s="115"/>
      <c r="BC661" s="115"/>
      <c r="BD661" s="115"/>
      <c r="BE661" s="115"/>
      <c r="BF661" s="25"/>
      <c r="BG661" s="13"/>
      <c r="BJ661" s="114"/>
    </row>
    <row r="662" spans="1:62" ht="19.5" x14ac:dyDescent="0.4">
      <c r="A662" s="117"/>
      <c r="B662" s="123"/>
      <c r="C662" s="123"/>
      <c r="D662" s="123"/>
      <c r="W662" s="26"/>
      <c r="X662" s="15"/>
      <c r="AH662" s="26"/>
      <c r="AI662" s="13"/>
      <c r="AN662" s="117"/>
      <c r="AO662" s="123"/>
      <c r="AP662" s="123"/>
      <c r="AQ662" s="123"/>
      <c r="AR662" s="115"/>
      <c r="AS662" s="115"/>
      <c r="AT662" s="115"/>
      <c r="AU662" s="115"/>
      <c r="AV662" s="115"/>
      <c r="AW662" s="115"/>
      <c r="AX662" s="115"/>
      <c r="AY662" s="115"/>
      <c r="AZ662" s="115"/>
      <c r="BA662" s="115"/>
      <c r="BB662" s="115"/>
      <c r="BC662" s="115"/>
      <c r="BD662" s="115"/>
      <c r="BE662" s="115"/>
      <c r="BF662" s="25">
        <v>45270</v>
      </c>
      <c r="BG662" s="13" t="s">
        <v>162</v>
      </c>
      <c r="BJ662" s="114"/>
    </row>
    <row r="663" spans="1:62" ht="19.5" x14ac:dyDescent="0.4">
      <c r="A663" s="117"/>
      <c r="B663" s="123"/>
      <c r="C663" s="123"/>
      <c r="D663" s="123"/>
      <c r="W663" s="26"/>
      <c r="X663" s="15"/>
      <c r="AA663" s="115"/>
      <c r="AB663" s="115"/>
      <c r="AC663" s="115"/>
      <c r="AD663" s="115"/>
      <c r="AE663" s="115"/>
      <c r="AF663" s="115"/>
      <c r="AG663" s="115"/>
      <c r="AH663" s="26"/>
      <c r="AI663" s="15"/>
      <c r="AN663" s="117"/>
      <c r="AO663" s="123"/>
      <c r="AP663" s="123"/>
      <c r="AQ663" s="123"/>
      <c r="AR663" s="115"/>
      <c r="AS663" s="115"/>
      <c r="AT663" s="115"/>
      <c r="AU663" s="115"/>
      <c r="AV663" s="115"/>
      <c r="AW663" s="115"/>
      <c r="AX663" s="115"/>
      <c r="AY663" s="115"/>
      <c r="AZ663" s="115"/>
      <c r="BA663" s="115"/>
      <c r="BB663" s="115"/>
      <c r="BC663" s="115"/>
      <c r="BD663" s="115"/>
      <c r="BE663" s="115"/>
      <c r="BF663" s="25"/>
      <c r="BG663" s="13"/>
      <c r="BJ663" s="114"/>
    </row>
    <row r="664" spans="1:62" ht="19.5" x14ac:dyDescent="0.4">
      <c r="A664" s="117"/>
      <c r="B664" s="123"/>
      <c r="C664" s="123"/>
      <c r="D664" s="123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7"/>
      <c r="X664" s="15"/>
      <c r="AA664" s="115"/>
      <c r="AB664" s="115"/>
      <c r="AC664" s="115"/>
      <c r="AD664" s="115"/>
      <c r="AE664" s="115"/>
      <c r="AF664" s="115"/>
      <c r="AG664" s="115"/>
      <c r="AH664" s="26"/>
      <c r="AI664" s="13"/>
      <c r="AN664" s="117"/>
      <c r="AO664" s="123"/>
      <c r="AP664" s="123"/>
      <c r="AQ664" s="123"/>
      <c r="AR664" s="115"/>
      <c r="AS664" s="115"/>
      <c r="AT664" s="115"/>
      <c r="AU664" s="115"/>
      <c r="AV664" s="115"/>
      <c r="AW664" s="115"/>
      <c r="AX664" s="115"/>
      <c r="AY664" s="115"/>
      <c r="AZ664" s="115"/>
      <c r="BA664" s="115"/>
      <c r="BB664" s="115"/>
      <c r="BC664" s="115"/>
      <c r="BD664" s="115"/>
      <c r="BE664" s="115"/>
      <c r="BF664" s="25"/>
      <c r="BG664" s="13"/>
      <c r="BJ664" s="114"/>
    </row>
    <row r="665" spans="1:62" ht="19.5" x14ac:dyDescent="0.4">
      <c r="A665" s="117"/>
      <c r="B665" s="123"/>
      <c r="C665" s="123"/>
      <c r="D665" s="123"/>
      <c r="W665" s="26"/>
      <c r="X665" s="15"/>
      <c r="AH665" s="26"/>
      <c r="AI665" s="13"/>
      <c r="AN665" s="117"/>
      <c r="AO665" s="123"/>
      <c r="AP665" s="123"/>
      <c r="AQ665" s="123"/>
      <c r="AR665" s="115"/>
      <c r="AS665" s="115"/>
      <c r="AT665" s="115"/>
      <c r="AU665" s="115"/>
      <c r="AV665" s="115"/>
      <c r="AW665" s="115"/>
      <c r="AX665" s="115"/>
      <c r="AY665" s="115"/>
      <c r="AZ665" s="115"/>
      <c r="BA665" s="115"/>
      <c r="BB665" s="115"/>
      <c r="BC665" s="115"/>
      <c r="BD665" s="115"/>
      <c r="BE665" s="115"/>
      <c r="BF665" s="25">
        <v>45270</v>
      </c>
      <c r="BG665" s="13" t="s">
        <v>162</v>
      </c>
      <c r="BJ665" s="114"/>
    </row>
    <row r="666" spans="1:62" ht="19.5" x14ac:dyDescent="0.4">
      <c r="A666" s="117"/>
      <c r="B666" s="123"/>
      <c r="C666" s="123"/>
      <c r="D666" s="123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7"/>
      <c r="X666" s="15"/>
      <c r="AH666" s="26"/>
      <c r="AI666" s="13"/>
      <c r="AN666" s="117"/>
      <c r="AO666" s="123"/>
      <c r="AP666" s="123"/>
      <c r="AQ666" s="123"/>
      <c r="AR666" s="115"/>
      <c r="AS666" s="115"/>
      <c r="AT666" s="115"/>
      <c r="AU666" s="115"/>
      <c r="AV666" s="115"/>
      <c r="AW666" s="115"/>
      <c r="AX666" s="115"/>
      <c r="AY666" s="115"/>
      <c r="AZ666" s="115"/>
      <c r="BA666" s="115"/>
      <c r="BB666" s="115"/>
      <c r="BC666" s="115"/>
      <c r="BD666" s="115"/>
      <c r="BE666" s="115"/>
      <c r="BF666" s="25"/>
      <c r="BG666" s="13"/>
      <c r="BJ666" s="114"/>
    </row>
    <row r="667" spans="1:62" ht="19.5" x14ac:dyDescent="0.4">
      <c r="A667" s="117"/>
      <c r="B667" s="123"/>
      <c r="C667" s="123"/>
      <c r="D667" s="123"/>
      <c r="W667" s="26"/>
      <c r="X667" s="15"/>
      <c r="AC667" s="115"/>
      <c r="AD667" s="115"/>
      <c r="AE667" s="115"/>
      <c r="AF667" s="115"/>
      <c r="AG667" s="115"/>
      <c r="AH667" s="17"/>
      <c r="AI667" s="13"/>
      <c r="AN667" s="117"/>
      <c r="AO667" s="123"/>
      <c r="AP667" s="123"/>
      <c r="AQ667" s="123"/>
      <c r="AR667" s="115"/>
      <c r="AS667" s="115"/>
      <c r="AT667" s="115"/>
      <c r="AU667" s="115"/>
      <c r="AV667" s="115"/>
      <c r="AW667" s="115"/>
      <c r="AX667" s="115"/>
      <c r="AY667" s="115"/>
      <c r="AZ667" s="115"/>
      <c r="BA667" s="115"/>
      <c r="BB667" s="115"/>
      <c r="BC667" s="115"/>
      <c r="BD667" s="115"/>
      <c r="BE667" s="115"/>
      <c r="BF667" s="25"/>
      <c r="BG667" s="13"/>
      <c r="BJ667" s="114"/>
    </row>
    <row r="668" spans="1:62" ht="19.5" x14ac:dyDescent="0.4">
      <c r="A668" s="117"/>
      <c r="B668" s="123"/>
      <c r="C668" s="123"/>
      <c r="D668" s="123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9"/>
      <c r="X668" s="119"/>
      <c r="AC668" s="115"/>
      <c r="AD668" s="115"/>
      <c r="AE668" s="115"/>
      <c r="AF668" s="115"/>
      <c r="AG668" s="115"/>
      <c r="AH668" s="17"/>
      <c r="AI668" s="13"/>
      <c r="AN668" s="117"/>
      <c r="AO668" s="123"/>
      <c r="AP668" s="123"/>
      <c r="AQ668" s="123"/>
      <c r="AR668" s="115"/>
      <c r="AS668" s="115"/>
      <c r="AT668" s="115"/>
      <c r="AU668" s="115"/>
      <c r="AV668" s="115"/>
      <c r="AW668" s="115"/>
      <c r="AX668" s="115"/>
      <c r="AY668" s="115"/>
      <c r="AZ668" s="115"/>
      <c r="BA668" s="115"/>
      <c r="BB668" s="115"/>
      <c r="BC668" s="115"/>
      <c r="BD668" s="115"/>
      <c r="BE668" s="115"/>
      <c r="BF668" s="25"/>
      <c r="BG668" s="13"/>
      <c r="BJ668" s="114"/>
    </row>
    <row r="669" spans="1:62" ht="19.5" x14ac:dyDescent="0.4">
      <c r="A669" s="117"/>
      <c r="B669" s="123"/>
      <c r="C669" s="123"/>
      <c r="D669" s="123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9"/>
      <c r="X669" s="119"/>
      <c r="AC669" s="115"/>
      <c r="AD669" s="115"/>
      <c r="AE669" s="115"/>
      <c r="AF669" s="115"/>
      <c r="AG669" s="115"/>
      <c r="AH669" s="17"/>
      <c r="AI669" s="13"/>
      <c r="AN669" s="117"/>
      <c r="AO669" s="123"/>
      <c r="AP669" s="123"/>
      <c r="AQ669" s="123"/>
      <c r="AR669" s="115"/>
      <c r="AS669" s="115"/>
      <c r="AT669" s="115"/>
      <c r="AU669" s="115"/>
      <c r="AV669" s="115"/>
      <c r="AW669" s="115"/>
      <c r="AX669" s="115"/>
      <c r="AY669" s="115"/>
      <c r="AZ669" s="115"/>
      <c r="BA669" s="115"/>
      <c r="BB669" s="115"/>
      <c r="BC669" s="115"/>
      <c r="BD669" s="115"/>
      <c r="BE669" s="115"/>
      <c r="BF669" s="25"/>
      <c r="BG669" s="13"/>
      <c r="BJ669" s="114"/>
    </row>
    <row r="670" spans="1:62" ht="19.5" x14ac:dyDescent="0.4">
      <c r="A670" s="117"/>
      <c r="B670" s="123"/>
      <c r="C670" s="123"/>
      <c r="D670" s="123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26"/>
      <c r="AI670" s="13"/>
      <c r="AN670" s="117"/>
      <c r="AO670" s="123"/>
      <c r="AP670" s="123"/>
      <c r="AQ670" s="123"/>
      <c r="AR670" s="115"/>
      <c r="AS670" s="115"/>
      <c r="AT670" s="115"/>
      <c r="AU670" s="115"/>
      <c r="AV670" s="115"/>
      <c r="AW670" s="115"/>
      <c r="AX670" s="115"/>
      <c r="AY670" s="115"/>
      <c r="AZ670" s="115"/>
      <c r="BA670" s="115"/>
      <c r="BB670" s="115"/>
      <c r="BC670" s="115"/>
      <c r="BD670" s="115"/>
      <c r="BE670" s="115"/>
      <c r="BF670" s="25"/>
      <c r="BG670" s="13"/>
      <c r="BJ670" s="114"/>
    </row>
    <row r="671" spans="1:62" ht="19.5" x14ac:dyDescent="0.4">
      <c r="A671" s="117"/>
      <c r="B671" s="123"/>
      <c r="C671" s="123"/>
      <c r="D671" s="123"/>
      <c r="AH671" s="26"/>
      <c r="AI671" s="13"/>
      <c r="AN671" s="117"/>
      <c r="AO671" s="123"/>
      <c r="AP671" s="123"/>
      <c r="AQ671" s="123"/>
      <c r="AR671" s="115"/>
      <c r="AS671" s="115"/>
      <c r="AT671" s="115"/>
      <c r="AU671" s="115"/>
      <c r="AV671" s="115"/>
      <c r="AW671" s="115"/>
      <c r="AX671" s="115"/>
      <c r="AY671" s="115"/>
      <c r="AZ671" s="115"/>
      <c r="BA671" s="115"/>
      <c r="BB671" s="115"/>
      <c r="BC671" s="115"/>
      <c r="BD671" s="115"/>
      <c r="BE671" s="115"/>
      <c r="BF671" s="25"/>
      <c r="BG671" s="13"/>
      <c r="BJ671" s="114"/>
    </row>
    <row r="672" spans="1:62" ht="19.5" x14ac:dyDescent="0.4">
      <c r="A672" s="117"/>
      <c r="B672" s="123"/>
      <c r="C672" s="123"/>
      <c r="D672" s="123"/>
      <c r="AH672" s="26"/>
      <c r="AI672" s="13"/>
      <c r="AN672" s="117"/>
      <c r="AO672" s="123"/>
      <c r="AP672" s="123"/>
      <c r="AQ672" s="123"/>
      <c r="AR672" s="115"/>
      <c r="AS672" s="115"/>
      <c r="AT672" s="115"/>
      <c r="AU672" s="115"/>
      <c r="AV672" s="115"/>
      <c r="AW672" s="115"/>
      <c r="AX672" s="115"/>
      <c r="AY672" s="115"/>
      <c r="AZ672" s="115"/>
      <c r="BA672" s="115"/>
      <c r="BB672" s="115"/>
      <c r="BC672" s="115"/>
      <c r="BD672" s="115"/>
      <c r="BE672" s="115"/>
      <c r="BF672" s="25">
        <v>45270</v>
      </c>
      <c r="BG672" s="13" t="s">
        <v>163</v>
      </c>
      <c r="BJ672" s="114"/>
    </row>
    <row r="673" spans="1:62" ht="19.5" x14ac:dyDescent="0.4">
      <c r="A673" s="117"/>
      <c r="B673" s="123"/>
      <c r="C673" s="123"/>
      <c r="D673" s="123"/>
      <c r="AC673" s="115"/>
      <c r="AD673" s="115"/>
      <c r="AE673" s="115"/>
      <c r="AF673" s="115"/>
      <c r="AG673" s="115"/>
      <c r="AH673" s="17"/>
      <c r="AI673" s="13"/>
      <c r="AN673" s="117"/>
      <c r="AO673" s="123"/>
      <c r="AP673" s="123"/>
      <c r="AQ673" s="123"/>
      <c r="AR673" s="115"/>
      <c r="AS673" s="115"/>
      <c r="AT673" s="115"/>
      <c r="AU673" s="115"/>
      <c r="AV673" s="115"/>
      <c r="AW673" s="115"/>
      <c r="AX673" s="115"/>
      <c r="AY673" s="115"/>
      <c r="AZ673" s="115"/>
      <c r="BA673" s="115"/>
      <c r="BB673" s="115"/>
      <c r="BC673" s="115"/>
      <c r="BD673" s="115"/>
      <c r="BE673" s="115"/>
      <c r="BF673" s="25"/>
      <c r="BG673" s="13"/>
      <c r="BJ673" s="114"/>
    </row>
    <row r="674" spans="1:62" ht="19.5" x14ac:dyDescent="0.4">
      <c r="A674" s="117"/>
      <c r="B674" s="123"/>
      <c r="C674" s="123"/>
      <c r="D674" s="123"/>
      <c r="AH674" s="26"/>
      <c r="AI674" s="13"/>
      <c r="AN674" s="117"/>
      <c r="AO674" s="123"/>
      <c r="AP674" s="123"/>
      <c r="AQ674" s="123"/>
      <c r="AR674" s="115"/>
      <c r="AS674" s="115"/>
      <c r="AT674" s="115"/>
      <c r="AU674" s="115"/>
      <c r="AV674" s="115"/>
      <c r="AW674" s="115"/>
      <c r="AX674" s="115"/>
      <c r="AY674" s="115"/>
      <c r="AZ674" s="115"/>
      <c r="BA674" s="115"/>
      <c r="BB674" s="115"/>
      <c r="BC674" s="115"/>
      <c r="BD674" s="115"/>
      <c r="BE674" s="115" t="s">
        <v>151</v>
      </c>
      <c r="BF674" s="13">
        <f>SUBTOTAL(3,BF655:BF672)</f>
        <v>5</v>
      </c>
      <c r="BG674" s="13">
        <f>SUBTOTAL(3,BG655:BG672)</f>
        <v>5</v>
      </c>
      <c r="BJ674" s="114"/>
    </row>
    <row r="675" spans="1:62" ht="19.5" x14ac:dyDescent="0.4">
      <c r="A675" s="117"/>
      <c r="B675" s="123"/>
      <c r="C675" s="123"/>
      <c r="D675" s="123"/>
      <c r="AB675" s="115"/>
      <c r="AC675" s="115"/>
      <c r="AD675" s="115"/>
      <c r="AE675" s="115"/>
      <c r="AF675" s="115"/>
      <c r="AG675" s="115"/>
      <c r="AH675" s="26"/>
      <c r="AI675" s="13"/>
      <c r="AN675" s="117"/>
      <c r="AO675" s="123"/>
      <c r="AP675" s="123"/>
      <c r="AQ675" s="123"/>
      <c r="AR675" s="115"/>
      <c r="AS675" s="115"/>
      <c r="AT675" s="115"/>
      <c r="AU675" s="115"/>
      <c r="AV675" s="115"/>
      <c r="AW675" s="115"/>
      <c r="AX675" s="115"/>
      <c r="AY675" s="115"/>
      <c r="AZ675" s="115"/>
      <c r="BA675" s="115"/>
      <c r="BB675" s="115"/>
      <c r="BC675" s="115"/>
      <c r="BD675" s="115"/>
      <c r="BE675" s="115"/>
      <c r="BF675" s="13"/>
      <c r="BG675" s="13"/>
      <c r="BJ675" s="114"/>
    </row>
    <row r="676" spans="1:62" ht="19.5" x14ac:dyDescent="0.4">
      <c r="A676" s="117"/>
      <c r="B676" s="123"/>
      <c r="C676" s="123"/>
      <c r="D676" s="123"/>
      <c r="AH676" s="26"/>
      <c r="AI676" s="13"/>
      <c r="AN676" s="117"/>
      <c r="AO676" s="123"/>
      <c r="AP676" s="123"/>
      <c r="AQ676" s="123"/>
      <c r="AR676" s="115"/>
      <c r="AS676" s="115"/>
      <c r="AT676" s="115"/>
      <c r="AU676" s="115"/>
      <c r="AV676" s="115"/>
      <c r="AW676" s="115"/>
      <c r="AX676" s="115"/>
      <c r="AY676" s="115"/>
      <c r="AZ676" s="115"/>
      <c r="BA676" s="115"/>
      <c r="BB676" s="115"/>
      <c r="BC676" s="115"/>
      <c r="BD676" s="115"/>
      <c r="BE676" s="115"/>
      <c r="BF676" s="25">
        <v>45271</v>
      </c>
      <c r="BG676" s="13" t="s">
        <v>162</v>
      </c>
      <c r="BJ676" s="114"/>
    </row>
    <row r="677" spans="1:62" ht="19.5" x14ac:dyDescent="0.4">
      <c r="A677" s="117"/>
      <c r="B677" s="123"/>
      <c r="C677" s="123"/>
      <c r="D677" s="123"/>
      <c r="AH677" s="26"/>
      <c r="AI677" s="13"/>
      <c r="AN677" s="117"/>
      <c r="AO677" s="123"/>
      <c r="AP677" s="123"/>
      <c r="AQ677" s="123"/>
      <c r="AR677" s="115"/>
      <c r="AS677" s="115"/>
      <c r="AT677" s="115"/>
      <c r="AU677" s="115"/>
      <c r="AV677" s="115"/>
      <c r="AW677" s="115"/>
      <c r="AX677" s="115"/>
      <c r="AY677" s="115"/>
      <c r="AZ677" s="115"/>
      <c r="BA677" s="115"/>
      <c r="BB677" s="115"/>
      <c r="BC677" s="115"/>
      <c r="BD677" s="115"/>
      <c r="BE677" s="115"/>
      <c r="BF677" s="25">
        <v>45271</v>
      </c>
      <c r="BG677" s="13" t="s">
        <v>163</v>
      </c>
      <c r="BJ677" s="114"/>
    </row>
    <row r="678" spans="1:62" ht="19.5" x14ac:dyDescent="0.4">
      <c r="A678" s="117"/>
      <c r="B678" s="123"/>
      <c r="C678" s="123"/>
      <c r="D678" s="123"/>
      <c r="AB678" s="115"/>
      <c r="AC678" s="115"/>
      <c r="AD678" s="115"/>
      <c r="AE678" s="115"/>
      <c r="AF678" s="115"/>
      <c r="AG678" s="115"/>
      <c r="AH678" s="26"/>
      <c r="AI678" s="13"/>
      <c r="AN678" s="117"/>
      <c r="AO678" s="123"/>
      <c r="AP678" s="123"/>
      <c r="AQ678" s="123"/>
      <c r="AR678" s="115"/>
      <c r="AS678" s="115"/>
      <c r="AT678" s="115"/>
      <c r="AU678" s="115"/>
      <c r="AV678" s="115"/>
      <c r="AW678" s="115"/>
      <c r="AX678" s="115"/>
      <c r="AY678" s="115"/>
      <c r="AZ678" s="115"/>
      <c r="BA678" s="115"/>
      <c r="BB678" s="115"/>
      <c r="BC678" s="115"/>
      <c r="BD678" s="115"/>
      <c r="BE678" s="115"/>
      <c r="BF678" s="25"/>
      <c r="BG678" s="13"/>
      <c r="BJ678" s="114"/>
    </row>
    <row r="679" spans="1:62" ht="19.5" x14ac:dyDescent="0.4">
      <c r="A679" s="117"/>
      <c r="B679" s="123"/>
      <c r="C679" s="123"/>
      <c r="D679" s="123"/>
      <c r="AA679" s="115"/>
      <c r="AB679" s="115"/>
      <c r="AC679" s="115"/>
      <c r="AD679" s="115"/>
      <c r="AE679" s="115"/>
      <c r="AF679" s="115"/>
      <c r="AG679" s="115"/>
      <c r="AH679" s="26"/>
      <c r="AI679" s="13"/>
      <c r="AN679" s="117"/>
      <c r="AO679" s="123"/>
      <c r="AP679" s="123"/>
      <c r="AQ679" s="123"/>
      <c r="AR679" s="115"/>
      <c r="AS679" s="115"/>
      <c r="AT679" s="115"/>
      <c r="AU679" s="115"/>
      <c r="AV679" s="115"/>
      <c r="AW679" s="115"/>
      <c r="AX679" s="115"/>
      <c r="AY679" s="115"/>
      <c r="AZ679" s="115"/>
      <c r="BA679" s="115"/>
      <c r="BB679" s="115"/>
      <c r="BC679" s="115"/>
      <c r="BD679" s="115"/>
      <c r="BE679" s="115"/>
      <c r="BF679" s="25"/>
      <c r="BG679" s="13"/>
      <c r="BJ679" s="114"/>
    </row>
    <row r="680" spans="1:62" ht="19.5" x14ac:dyDescent="0.4">
      <c r="A680" s="117"/>
      <c r="B680" s="123"/>
      <c r="C680" s="123"/>
      <c r="D680" s="123"/>
      <c r="AA680" s="115"/>
      <c r="AB680" s="115"/>
      <c r="AC680" s="115"/>
      <c r="AD680" s="115"/>
      <c r="AE680" s="115"/>
      <c r="AF680" s="115"/>
      <c r="AG680" s="115"/>
      <c r="AH680" s="17"/>
      <c r="AI680" s="13"/>
      <c r="AN680" s="117"/>
      <c r="AO680" s="123"/>
      <c r="AP680" s="123"/>
      <c r="AQ680" s="123"/>
      <c r="AR680" s="115"/>
      <c r="AS680" s="115"/>
      <c r="AT680" s="115"/>
      <c r="AU680" s="115"/>
      <c r="AV680" s="115"/>
      <c r="AW680" s="115"/>
      <c r="AX680" s="115"/>
      <c r="AY680" s="115"/>
      <c r="AZ680" s="115"/>
      <c r="BA680" s="115"/>
      <c r="BB680" s="115"/>
      <c r="BC680" s="115"/>
      <c r="BD680" s="115"/>
      <c r="BE680" s="115"/>
      <c r="BF680" s="25"/>
      <c r="BG680" s="13"/>
      <c r="BJ680" s="114"/>
    </row>
    <row r="681" spans="1:62" ht="19.5" x14ac:dyDescent="0.4">
      <c r="A681" s="117"/>
      <c r="B681" s="123"/>
      <c r="C681" s="123"/>
      <c r="D681" s="123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26"/>
      <c r="AI681" s="13"/>
      <c r="AN681" s="117"/>
      <c r="AO681" s="123"/>
      <c r="AP681" s="123"/>
      <c r="AQ681" s="123"/>
      <c r="AR681" s="115"/>
      <c r="AS681" s="115"/>
      <c r="AT681" s="115"/>
      <c r="AU681" s="115"/>
      <c r="AV681" s="115"/>
      <c r="AW681" s="115"/>
      <c r="AX681" s="115"/>
      <c r="AY681" s="115"/>
      <c r="AZ681" s="115"/>
      <c r="BA681" s="115"/>
      <c r="BB681" s="115"/>
      <c r="BC681" s="115"/>
      <c r="BD681" s="115"/>
      <c r="BE681" s="115"/>
      <c r="BF681" s="25"/>
      <c r="BG681" s="13"/>
      <c r="BJ681" s="114"/>
    </row>
    <row r="682" spans="1:62" ht="19.5" x14ac:dyDescent="0.4">
      <c r="A682" s="117"/>
      <c r="B682" s="123"/>
      <c r="C682" s="123"/>
      <c r="D682" s="123"/>
      <c r="AH682" s="26"/>
      <c r="AI682" s="13"/>
      <c r="AN682" s="117"/>
      <c r="AO682" s="123"/>
      <c r="AP682" s="123"/>
      <c r="AQ682" s="123"/>
      <c r="AR682" s="115"/>
      <c r="AS682" s="115"/>
      <c r="AT682" s="115"/>
      <c r="AU682" s="115"/>
      <c r="AV682" s="115"/>
      <c r="AW682" s="115"/>
      <c r="AX682" s="115"/>
      <c r="AY682" s="115"/>
      <c r="AZ682" s="115"/>
      <c r="BA682" s="115"/>
      <c r="BB682" s="115"/>
      <c r="BC682" s="115"/>
      <c r="BD682" s="115"/>
      <c r="BE682" s="115"/>
      <c r="BF682" s="25">
        <v>45271</v>
      </c>
      <c r="BG682" s="13" t="s">
        <v>163</v>
      </c>
      <c r="BJ682" s="114"/>
    </row>
    <row r="683" spans="1:62" ht="19.5" x14ac:dyDescent="0.4">
      <c r="A683" s="117"/>
      <c r="B683" s="123"/>
      <c r="C683" s="123"/>
      <c r="D683" s="123"/>
      <c r="AB683" s="115"/>
      <c r="AC683" s="115"/>
      <c r="AD683" s="115"/>
      <c r="AE683" s="115"/>
      <c r="AF683" s="115"/>
      <c r="AG683" s="115"/>
      <c r="AH683" s="26"/>
      <c r="AI683" s="13"/>
      <c r="AN683" s="117"/>
      <c r="AO683" s="123"/>
      <c r="AP683" s="123"/>
      <c r="AQ683" s="123"/>
      <c r="AR683" s="115"/>
      <c r="AS683" s="115"/>
      <c r="AT683" s="115"/>
      <c r="AU683" s="115"/>
      <c r="AV683" s="115"/>
      <c r="AW683" s="115"/>
      <c r="AX683" s="115"/>
      <c r="AY683" s="115"/>
      <c r="AZ683" s="115"/>
      <c r="BA683" s="115"/>
      <c r="BB683" s="115"/>
      <c r="BC683" s="115"/>
      <c r="BD683" s="115"/>
      <c r="BE683" s="115"/>
      <c r="BF683" s="25"/>
      <c r="BG683" s="13"/>
      <c r="BJ683" s="114"/>
    </row>
    <row r="684" spans="1:62" ht="19.5" x14ac:dyDescent="0.4">
      <c r="A684" s="117"/>
      <c r="B684" s="123"/>
      <c r="C684" s="123"/>
      <c r="D684" s="123"/>
      <c r="Z684" s="115"/>
      <c r="AA684" s="115"/>
      <c r="AB684" s="115"/>
      <c r="AC684" s="115"/>
      <c r="AD684" s="115"/>
      <c r="AE684" s="115"/>
      <c r="AF684" s="115"/>
      <c r="AG684" s="115"/>
      <c r="AH684" s="26"/>
      <c r="AI684" s="13"/>
      <c r="AN684" s="117"/>
      <c r="AO684" s="123"/>
      <c r="AP684" s="123"/>
      <c r="AQ684" s="123"/>
      <c r="AR684" s="115"/>
      <c r="AS684" s="115"/>
      <c r="AT684" s="115"/>
      <c r="AU684" s="115"/>
      <c r="AV684" s="115"/>
      <c r="AW684" s="115"/>
      <c r="AX684" s="115"/>
      <c r="AY684" s="115"/>
      <c r="AZ684" s="115"/>
      <c r="BA684" s="115"/>
      <c r="BB684" s="115"/>
      <c r="BC684" s="115"/>
      <c r="BD684" s="115"/>
      <c r="BE684" s="115"/>
      <c r="BF684" s="25"/>
      <c r="BG684" s="13"/>
      <c r="BJ684" s="114"/>
    </row>
    <row r="685" spans="1:62" ht="19.5" x14ac:dyDescent="0.4">
      <c r="A685" s="117"/>
      <c r="B685" s="123"/>
      <c r="C685" s="123"/>
      <c r="D685" s="123"/>
      <c r="Z685" s="115"/>
      <c r="AA685" s="115"/>
      <c r="AB685" s="115"/>
      <c r="AC685" s="115"/>
      <c r="AD685" s="115"/>
      <c r="AE685" s="115"/>
      <c r="AF685" s="115"/>
      <c r="AG685" s="115"/>
      <c r="AH685" s="17"/>
      <c r="AI685" s="13"/>
      <c r="AN685" s="117"/>
      <c r="AO685" s="123"/>
      <c r="AP685" s="123"/>
      <c r="AQ685" s="123"/>
      <c r="AR685" s="115"/>
      <c r="AS685" s="115"/>
      <c r="AT685" s="115"/>
      <c r="AU685" s="115"/>
      <c r="AV685" s="115"/>
      <c r="AW685" s="115"/>
      <c r="AX685" s="115"/>
      <c r="AY685" s="115"/>
      <c r="AZ685" s="115"/>
      <c r="BA685" s="115"/>
      <c r="BB685" s="115"/>
      <c r="BC685" s="115"/>
      <c r="BD685" s="115"/>
      <c r="BE685" s="115"/>
      <c r="BF685" s="25"/>
      <c r="BG685" s="13"/>
      <c r="BJ685" s="114"/>
    </row>
    <row r="686" spans="1:62" ht="19.5" x14ac:dyDescent="0.4">
      <c r="A686" s="117"/>
      <c r="B686" s="123"/>
      <c r="C686" s="123"/>
      <c r="D686" s="123"/>
      <c r="AH686" s="26"/>
      <c r="AI686" s="13"/>
      <c r="AN686" s="117"/>
      <c r="AO686" s="123"/>
      <c r="AP686" s="123"/>
      <c r="AQ686" s="123"/>
      <c r="AR686" s="115"/>
      <c r="AS686" s="115"/>
      <c r="AT686" s="115"/>
      <c r="AU686" s="115"/>
      <c r="AV686" s="115"/>
      <c r="AW686" s="115"/>
      <c r="AX686" s="115"/>
      <c r="AY686" s="115"/>
      <c r="AZ686" s="115"/>
      <c r="BA686" s="115"/>
      <c r="BB686" s="115"/>
      <c r="BC686" s="115"/>
      <c r="BD686" s="115"/>
      <c r="BE686" s="115" t="s">
        <v>165</v>
      </c>
      <c r="BF686" s="13">
        <f>SUBTOTAL(3,BF676:BF682)</f>
        <v>3</v>
      </c>
      <c r="BG686" s="13">
        <f>SUBTOTAL(3,BG676:BG682)</f>
        <v>3</v>
      </c>
      <c r="BJ686" s="114"/>
    </row>
    <row r="687" spans="1:62" ht="19.5" x14ac:dyDescent="0.4">
      <c r="A687" s="117"/>
      <c r="B687" s="123"/>
      <c r="C687" s="123"/>
      <c r="D687" s="123"/>
      <c r="AH687" s="26"/>
      <c r="AI687" s="13"/>
      <c r="AN687" s="117"/>
      <c r="AO687" s="123"/>
      <c r="AP687" s="123"/>
      <c r="AQ687" s="123"/>
      <c r="AR687" s="115"/>
      <c r="AS687" s="115"/>
      <c r="AT687" s="115"/>
      <c r="AU687" s="115"/>
      <c r="AV687" s="115"/>
      <c r="AW687" s="115"/>
      <c r="AX687" s="115"/>
      <c r="AY687" s="115"/>
      <c r="AZ687" s="115"/>
      <c r="BA687" s="115"/>
      <c r="BB687" s="115"/>
      <c r="BC687" s="115"/>
      <c r="BD687" s="115"/>
      <c r="BE687" s="115"/>
      <c r="BF687" s="25">
        <v>45272</v>
      </c>
      <c r="BG687" s="13" t="s">
        <v>162</v>
      </c>
      <c r="BJ687" s="114"/>
    </row>
    <row r="688" spans="1:62" ht="19.5" x14ac:dyDescent="0.4">
      <c r="A688" s="117"/>
      <c r="B688" s="123"/>
      <c r="C688" s="123"/>
      <c r="D688" s="123"/>
      <c r="AC688" s="115"/>
      <c r="AD688" s="115"/>
      <c r="AE688" s="115"/>
      <c r="AF688" s="115"/>
      <c r="AG688" s="115"/>
      <c r="AH688" s="17"/>
      <c r="AI688" s="13"/>
      <c r="AN688" s="117"/>
      <c r="AO688" s="123"/>
      <c r="AP688" s="123"/>
      <c r="AQ688" s="123"/>
      <c r="AR688" s="115"/>
      <c r="AS688" s="115"/>
      <c r="AT688" s="115"/>
      <c r="AU688" s="115"/>
      <c r="AV688" s="115"/>
      <c r="AW688" s="115"/>
      <c r="AX688" s="115"/>
      <c r="AY688" s="115"/>
      <c r="AZ688" s="115"/>
      <c r="BA688" s="115"/>
      <c r="BB688" s="115"/>
      <c r="BC688" s="115"/>
      <c r="BD688" s="115"/>
      <c r="BE688" s="115"/>
      <c r="BF688" s="25"/>
      <c r="BG688" s="13"/>
      <c r="BJ688" s="114"/>
    </row>
    <row r="689" spans="1:62" ht="19.5" x14ac:dyDescent="0.4">
      <c r="A689" s="117"/>
      <c r="B689" s="123"/>
      <c r="C689" s="123"/>
      <c r="D689" s="123"/>
      <c r="AH689" s="26"/>
      <c r="AI689" s="15"/>
      <c r="AN689" s="117"/>
      <c r="AO689" s="123"/>
      <c r="AP689" s="123"/>
      <c r="AQ689" s="123"/>
      <c r="AR689" s="115"/>
      <c r="AS689" s="115"/>
      <c r="AT689" s="115"/>
      <c r="AU689" s="115"/>
      <c r="AV689" s="115"/>
      <c r="AW689" s="115"/>
      <c r="AX689" s="115"/>
      <c r="AY689" s="115"/>
      <c r="AZ689" s="115"/>
      <c r="BA689" s="115"/>
      <c r="BB689" s="115"/>
      <c r="BC689" s="115"/>
      <c r="BD689" s="115"/>
      <c r="BE689" s="115"/>
      <c r="BF689" s="25">
        <v>45272</v>
      </c>
      <c r="BG689" s="13" t="s">
        <v>162</v>
      </c>
      <c r="BJ689" s="114"/>
    </row>
    <row r="690" spans="1:62" ht="19.5" x14ac:dyDescent="0.4">
      <c r="A690" s="117"/>
      <c r="B690" s="123"/>
      <c r="C690" s="123"/>
      <c r="D690" s="123"/>
      <c r="AC690" s="115"/>
      <c r="AD690" s="115"/>
      <c r="AE690" s="115"/>
      <c r="AF690" s="115"/>
      <c r="AG690" s="115"/>
      <c r="AH690" s="17"/>
      <c r="AI690" s="13"/>
      <c r="AN690" s="117"/>
      <c r="AO690" s="123"/>
      <c r="AP690" s="123"/>
      <c r="AQ690" s="123"/>
      <c r="AR690" s="115"/>
      <c r="AS690" s="115"/>
      <c r="AT690" s="115"/>
      <c r="AU690" s="115"/>
      <c r="AV690" s="115"/>
      <c r="AW690" s="115"/>
      <c r="AX690" s="115"/>
      <c r="AY690" s="115"/>
      <c r="AZ690" s="115"/>
      <c r="BA690" s="115"/>
      <c r="BB690" s="115"/>
      <c r="BC690" s="115"/>
      <c r="BD690" s="115"/>
      <c r="BE690" s="115"/>
      <c r="BF690" s="25"/>
      <c r="BG690" s="13"/>
      <c r="BJ690" s="114"/>
    </row>
    <row r="691" spans="1:62" ht="19.5" x14ac:dyDescent="0.4">
      <c r="A691" s="117"/>
      <c r="B691" s="123"/>
      <c r="C691" s="123"/>
      <c r="D691" s="123"/>
      <c r="AC691" s="115"/>
      <c r="AD691" s="115"/>
      <c r="AE691" s="115"/>
      <c r="AF691" s="115"/>
      <c r="AG691" s="115"/>
      <c r="AH691" s="17"/>
      <c r="AI691" s="13"/>
      <c r="AN691" s="117"/>
      <c r="AO691" s="123"/>
      <c r="AP691" s="123"/>
      <c r="AQ691" s="123"/>
      <c r="AR691" s="115"/>
      <c r="AS691" s="115"/>
      <c r="AT691" s="115"/>
      <c r="AU691" s="115"/>
      <c r="AV691" s="115"/>
      <c r="AW691" s="115"/>
      <c r="AX691" s="115"/>
      <c r="AY691" s="115"/>
      <c r="AZ691" s="115"/>
      <c r="BA691" s="115"/>
      <c r="BB691" s="115"/>
      <c r="BC691" s="115"/>
      <c r="BD691" s="115"/>
      <c r="BE691" s="115"/>
      <c r="BF691" s="25"/>
      <c r="BG691" s="13"/>
      <c r="BJ691" s="114"/>
    </row>
    <row r="692" spans="1:62" ht="19.5" x14ac:dyDescent="0.4">
      <c r="A692" s="117"/>
      <c r="B692" s="123"/>
      <c r="C692" s="123"/>
      <c r="D692" s="123"/>
      <c r="AH692" s="26"/>
      <c r="AI692" s="13"/>
      <c r="AN692" s="117"/>
      <c r="AO692" s="123"/>
      <c r="AP692" s="123"/>
      <c r="AQ692" s="123"/>
      <c r="AR692" s="115"/>
      <c r="AS692" s="115"/>
      <c r="AT692" s="115"/>
      <c r="AU692" s="115"/>
      <c r="AV692" s="115"/>
      <c r="AW692" s="115"/>
      <c r="AX692" s="115"/>
      <c r="AY692" s="115"/>
      <c r="AZ692" s="115"/>
      <c r="BA692" s="115"/>
      <c r="BB692" s="115"/>
      <c r="BC692" s="115"/>
      <c r="BD692" s="115"/>
      <c r="BE692" s="115"/>
      <c r="BF692" s="25">
        <v>45272</v>
      </c>
      <c r="BG692" s="13" t="s">
        <v>162</v>
      </c>
      <c r="BJ692" s="114"/>
    </row>
    <row r="693" spans="1:62" ht="19.5" x14ac:dyDescent="0.4">
      <c r="A693" s="125"/>
      <c r="B693" s="126"/>
      <c r="C693" s="126"/>
      <c r="D693" s="126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26"/>
      <c r="AI693" s="13"/>
      <c r="AN693" s="117"/>
      <c r="AO693" s="123"/>
      <c r="AP693" s="123"/>
      <c r="AQ693" s="123"/>
      <c r="AR693" s="115"/>
      <c r="AS693" s="115"/>
      <c r="AT693" s="115"/>
      <c r="AU693" s="115"/>
      <c r="AV693" s="115"/>
      <c r="AW693" s="115"/>
      <c r="AX693" s="115"/>
      <c r="AY693" s="115"/>
      <c r="AZ693" s="115"/>
      <c r="BA693" s="115"/>
      <c r="BB693" s="115"/>
      <c r="BC693" s="115"/>
      <c r="BD693" s="115"/>
      <c r="BE693" s="115"/>
      <c r="BF693" s="25"/>
      <c r="BG693" s="13"/>
      <c r="BJ693" s="114"/>
    </row>
    <row r="694" spans="1:62" ht="19.5" x14ac:dyDescent="0.4">
      <c r="A694" s="125"/>
      <c r="B694" s="126"/>
      <c r="C694" s="126"/>
      <c r="D694" s="126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26"/>
      <c r="AI694" s="13"/>
      <c r="AN694" s="117"/>
      <c r="AO694" s="123"/>
      <c r="AP694" s="123"/>
      <c r="AQ694" s="123"/>
      <c r="AR694" s="115"/>
      <c r="AS694" s="115"/>
      <c r="AT694" s="115"/>
      <c r="AU694" s="115"/>
      <c r="AV694" s="115"/>
      <c r="AW694" s="115"/>
      <c r="AX694" s="115"/>
      <c r="AY694" s="115"/>
      <c r="AZ694" s="115"/>
      <c r="BA694" s="115"/>
      <c r="BB694" s="115"/>
      <c r="BC694" s="115"/>
      <c r="BD694" s="115"/>
      <c r="BE694" s="115"/>
      <c r="BF694" s="25"/>
      <c r="BG694" s="13"/>
      <c r="BJ694" s="114"/>
    </row>
    <row r="695" spans="1:62" ht="19.5" x14ac:dyDescent="0.4">
      <c r="A695" s="125"/>
      <c r="B695" s="126"/>
      <c r="C695" s="126"/>
      <c r="D695" s="126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7"/>
      <c r="AI695" s="13"/>
      <c r="AN695" s="117"/>
      <c r="AO695" s="123"/>
      <c r="AP695" s="123"/>
      <c r="AQ695" s="123"/>
      <c r="AR695" s="115"/>
      <c r="AS695" s="115"/>
      <c r="AT695" s="115"/>
      <c r="AU695" s="115"/>
      <c r="AV695" s="115"/>
      <c r="AW695" s="115"/>
      <c r="AX695" s="115"/>
      <c r="AY695" s="115"/>
      <c r="AZ695" s="115"/>
      <c r="BA695" s="115"/>
      <c r="BB695" s="115"/>
      <c r="BC695" s="115"/>
      <c r="BD695" s="115"/>
      <c r="BE695" s="115"/>
      <c r="BF695" s="25"/>
      <c r="BG695" s="13"/>
      <c r="BJ695" s="114"/>
    </row>
    <row r="696" spans="1:62" ht="19.5" x14ac:dyDescent="0.4">
      <c r="A696" s="125"/>
      <c r="B696" s="126"/>
      <c r="C696" s="126"/>
      <c r="D696" s="126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26"/>
      <c r="AI696" s="13"/>
      <c r="AN696" s="117"/>
      <c r="AO696" s="123"/>
      <c r="AP696" s="123"/>
      <c r="AQ696" s="123"/>
      <c r="AR696" s="115"/>
      <c r="AS696" s="115"/>
      <c r="AT696" s="115"/>
      <c r="AU696" s="115"/>
      <c r="AV696" s="115"/>
      <c r="AW696" s="115"/>
      <c r="AX696" s="115"/>
      <c r="AY696" s="115"/>
      <c r="AZ696" s="115"/>
      <c r="BA696" s="115"/>
      <c r="BB696" s="115"/>
      <c r="BC696" s="115"/>
      <c r="BD696" s="115"/>
      <c r="BE696" s="115"/>
      <c r="BF696" s="25"/>
      <c r="BG696" s="13"/>
      <c r="BJ696" s="114"/>
    </row>
    <row r="697" spans="1:62" ht="19.5" x14ac:dyDescent="0.4">
      <c r="AH697" s="26"/>
      <c r="AI697" s="13"/>
      <c r="AN697" s="117"/>
      <c r="AO697" s="123"/>
      <c r="AP697" s="123"/>
      <c r="AQ697" s="123"/>
      <c r="AR697" s="115"/>
      <c r="AS697" s="115"/>
      <c r="AT697" s="115"/>
      <c r="AU697" s="115"/>
      <c r="AV697" s="115"/>
      <c r="AW697" s="115"/>
      <c r="AX697" s="115"/>
      <c r="AY697" s="115"/>
      <c r="AZ697" s="115"/>
      <c r="BA697" s="115"/>
      <c r="BB697" s="115"/>
      <c r="BC697" s="115"/>
      <c r="BD697" s="115"/>
      <c r="BE697" s="115"/>
      <c r="BF697" s="25">
        <v>45272</v>
      </c>
      <c r="BG697" s="13" t="s">
        <v>162</v>
      </c>
      <c r="BJ697" s="114"/>
    </row>
    <row r="698" spans="1:62" ht="19.5" x14ac:dyDescent="0.4">
      <c r="AH698" s="26"/>
      <c r="AI698" s="13"/>
      <c r="AN698" s="117"/>
      <c r="AO698" s="123"/>
      <c r="AP698" s="123"/>
      <c r="AQ698" s="123"/>
      <c r="AR698" s="115"/>
      <c r="AS698" s="115"/>
      <c r="AT698" s="115"/>
      <c r="AU698" s="115"/>
      <c r="AV698" s="115"/>
      <c r="AW698" s="115"/>
      <c r="AX698" s="115"/>
      <c r="AY698" s="115"/>
      <c r="AZ698" s="115"/>
      <c r="BA698" s="115"/>
      <c r="BB698" s="115"/>
      <c r="BC698" s="115"/>
      <c r="BD698" s="115"/>
      <c r="BE698" s="115"/>
      <c r="BF698" s="25"/>
      <c r="BG698" s="13"/>
      <c r="BJ698" s="114"/>
    </row>
    <row r="699" spans="1:62" ht="19.5" x14ac:dyDescent="0.4"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26"/>
      <c r="AI699" s="25"/>
      <c r="AN699" s="117"/>
      <c r="AO699" s="123"/>
      <c r="AP699" s="123"/>
      <c r="AQ699" s="123"/>
      <c r="AR699" s="115"/>
      <c r="AS699" s="115"/>
      <c r="AT699" s="115"/>
      <c r="AU699" s="115"/>
      <c r="AV699" s="115"/>
      <c r="AW699" s="115"/>
      <c r="AX699" s="115"/>
      <c r="AY699" s="115"/>
      <c r="AZ699" s="115"/>
      <c r="BA699" s="115"/>
      <c r="BB699" s="115"/>
      <c r="BC699" s="115"/>
      <c r="BD699" s="115"/>
      <c r="BE699" s="115"/>
      <c r="BF699" s="25"/>
      <c r="BG699" s="13"/>
      <c r="BJ699" s="114"/>
    </row>
    <row r="700" spans="1:62" ht="19.5" x14ac:dyDescent="0.4">
      <c r="AH700" s="26"/>
      <c r="AI700" s="25"/>
      <c r="AN700" s="117"/>
      <c r="AO700" s="123"/>
      <c r="AP700" s="123"/>
      <c r="AQ700" s="123"/>
      <c r="AR700" s="115"/>
      <c r="AS700" s="115"/>
      <c r="AT700" s="115"/>
      <c r="AU700" s="115"/>
      <c r="AV700" s="115"/>
      <c r="AW700" s="115"/>
      <c r="AX700" s="115"/>
      <c r="AY700" s="115"/>
      <c r="AZ700" s="115"/>
      <c r="BA700" s="115"/>
      <c r="BB700" s="115"/>
      <c r="BC700" s="115"/>
      <c r="BD700" s="115"/>
      <c r="BE700" s="115"/>
      <c r="BF700" s="25">
        <v>45272</v>
      </c>
      <c r="BG700" s="13" t="s">
        <v>162</v>
      </c>
      <c r="BJ700" s="114"/>
    </row>
    <row r="701" spans="1:62" ht="19.5" x14ac:dyDescent="0.4">
      <c r="AH701" s="26"/>
      <c r="AI701" s="13"/>
      <c r="AN701" s="117"/>
      <c r="AO701" s="123"/>
      <c r="AP701" s="123"/>
      <c r="AQ701" s="123"/>
      <c r="AR701" s="115"/>
      <c r="AS701" s="115"/>
      <c r="AT701" s="115"/>
      <c r="AU701" s="115"/>
      <c r="AV701" s="115"/>
      <c r="AW701" s="115"/>
      <c r="AX701" s="115"/>
      <c r="AY701" s="115"/>
      <c r="AZ701" s="115"/>
      <c r="BA701" s="115"/>
      <c r="BB701" s="115"/>
      <c r="BC701" s="115"/>
      <c r="BD701" s="115"/>
      <c r="BE701" s="115"/>
      <c r="BF701" s="25">
        <v>45272</v>
      </c>
      <c r="BG701" s="15" t="s">
        <v>162</v>
      </c>
      <c r="BJ701" s="114"/>
    </row>
    <row r="702" spans="1:62" ht="19.5" x14ac:dyDescent="0.4">
      <c r="AH702" s="26"/>
      <c r="AI702" s="13"/>
      <c r="AN702" s="117"/>
      <c r="AO702" s="123"/>
      <c r="AP702" s="123"/>
      <c r="AQ702" s="123"/>
      <c r="AR702" s="115"/>
      <c r="AS702" s="115"/>
      <c r="AT702" s="115"/>
      <c r="AU702" s="115"/>
      <c r="AV702" s="115"/>
      <c r="AW702" s="115"/>
      <c r="AX702" s="115"/>
      <c r="AY702" s="115"/>
      <c r="AZ702" s="115"/>
      <c r="BA702" s="115"/>
      <c r="BB702" s="115"/>
      <c r="BC702" s="115"/>
      <c r="BD702" s="115"/>
      <c r="BE702" s="115"/>
      <c r="BF702" s="25">
        <v>45272</v>
      </c>
      <c r="BG702" s="15" t="s">
        <v>162</v>
      </c>
      <c r="BJ702" s="114"/>
    </row>
    <row r="703" spans="1:62" ht="19.5" x14ac:dyDescent="0.4"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26"/>
      <c r="AI703" s="13"/>
      <c r="AN703" s="117"/>
      <c r="AO703" s="123"/>
      <c r="AP703" s="123"/>
      <c r="AQ703" s="123"/>
      <c r="AR703" s="115"/>
      <c r="AS703" s="115"/>
      <c r="AT703" s="115"/>
      <c r="AU703" s="115"/>
      <c r="AV703" s="115"/>
      <c r="AW703" s="115"/>
      <c r="AX703" s="115"/>
      <c r="AY703" s="115"/>
      <c r="AZ703" s="115"/>
      <c r="BA703" s="115"/>
      <c r="BB703" s="115"/>
      <c r="BC703" s="115"/>
      <c r="BD703" s="115"/>
      <c r="BE703" s="115"/>
      <c r="BF703" s="25"/>
      <c r="BG703" s="15"/>
      <c r="BJ703" s="114"/>
    </row>
    <row r="704" spans="1:62" ht="19.5" x14ac:dyDescent="0.4"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7"/>
      <c r="AI704" s="13"/>
      <c r="AN704" s="117"/>
      <c r="AO704" s="123"/>
      <c r="AP704" s="123"/>
      <c r="AQ704" s="123"/>
      <c r="AR704" s="115"/>
      <c r="AS704" s="115"/>
      <c r="AT704" s="115"/>
      <c r="AU704" s="115"/>
      <c r="AV704" s="115"/>
      <c r="AW704" s="115"/>
      <c r="AX704" s="115"/>
      <c r="AY704" s="115"/>
      <c r="AZ704" s="115"/>
      <c r="BA704" s="115"/>
      <c r="BB704" s="115"/>
      <c r="BC704" s="115"/>
      <c r="BD704" s="115"/>
      <c r="BE704" s="115"/>
      <c r="BF704" s="25"/>
      <c r="BG704" s="15"/>
      <c r="BJ704" s="114"/>
    </row>
    <row r="705" spans="6:62" ht="19.5" x14ac:dyDescent="0.4">
      <c r="AH705" s="26"/>
      <c r="AI705" s="13"/>
      <c r="AN705" s="117"/>
      <c r="AO705" s="123"/>
      <c r="AP705" s="123"/>
      <c r="AQ705" s="123"/>
      <c r="AR705" s="115"/>
      <c r="AS705" s="115"/>
      <c r="AT705" s="115"/>
      <c r="AU705" s="115"/>
      <c r="AV705" s="115"/>
      <c r="AW705" s="115"/>
      <c r="AX705" s="115"/>
      <c r="AY705" s="115"/>
      <c r="AZ705" s="115"/>
      <c r="BA705" s="115"/>
      <c r="BB705" s="115"/>
      <c r="BC705" s="115"/>
      <c r="BD705" s="115"/>
      <c r="BE705" s="115"/>
      <c r="BF705" s="25">
        <v>45272</v>
      </c>
      <c r="BG705" s="15" t="s">
        <v>162</v>
      </c>
      <c r="BJ705" s="114"/>
    </row>
    <row r="706" spans="6:62" ht="19.5" x14ac:dyDescent="0.4"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26"/>
      <c r="AI706" s="13"/>
      <c r="AN706" s="117"/>
      <c r="AO706" s="123"/>
      <c r="AP706" s="123"/>
      <c r="AQ706" s="123"/>
      <c r="AR706" s="115"/>
      <c r="AS706" s="115"/>
      <c r="AT706" s="115"/>
      <c r="AU706" s="115"/>
      <c r="AV706" s="115"/>
      <c r="AW706" s="115"/>
      <c r="AX706" s="115"/>
      <c r="AY706" s="115"/>
      <c r="AZ706" s="115"/>
      <c r="BA706" s="115"/>
      <c r="BB706" s="115"/>
      <c r="BC706" s="115"/>
      <c r="BD706" s="115"/>
      <c r="BE706" s="115"/>
      <c r="BF706" s="25"/>
      <c r="BG706" s="15"/>
      <c r="BJ706" s="114"/>
    </row>
    <row r="707" spans="6:62" ht="19.5" x14ac:dyDescent="0.4"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26"/>
      <c r="AI707" s="13"/>
      <c r="AN707" s="117"/>
      <c r="AO707" s="123"/>
      <c r="AP707" s="123"/>
      <c r="AQ707" s="123"/>
      <c r="AR707" s="115"/>
      <c r="AS707" s="115"/>
      <c r="AT707" s="115"/>
      <c r="AU707" s="115"/>
      <c r="AV707" s="115"/>
      <c r="AW707" s="115"/>
      <c r="AX707" s="115"/>
      <c r="AY707" s="115"/>
      <c r="AZ707" s="115"/>
      <c r="BA707" s="115"/>
      <c r="BB707" s="115"/>
      <c r="BC707" s="115"/>
      <c r="BD707" s="115"/>
      <c r="BE707" s="115"/>
      <c r="BF707" s="25"/>
      <c r="BG707" s="15"/>
      <c r="BJ707" s="114"/>
    </row>
    <row r="708" spans="6:62" ht="19.5" x14ac:dyDescent="0.4"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7"/>
      <c r="AI708" s="13"/>
      <c r="AN708" s="117"/>
      <c r="AO708" s="123"/>
      <c r="AP708" s="123"/>
      <c r="AQ708" s="123"/>
      <c r="AR708" s="115"/>
      <c r="AS708" s="115"/>
      <c r="AT708" s="115"/>
      <c r="AU708" s="115"/>
      <c r="AV708" s="115"/>
      <c r="AW708" s="115"/>
      <c r="AX708" s="115"/>
      <c r="AY708" s="115"/>
      <c r="AZ708" s="115"/>
      <c r="BA708" s="115"/>
      <c r="BB708" s="115"/>
      <c r="BC708" s="115"/>
      <c r="BD708" s="115"/>
      <c r="BE708" s="115"/>
      <c r="BF708" s="25"/>
      <c r="BG708" s="15"/>
      <c r="BJ708" s="114"/>
    </row>
    <row r="709" spans="6:62" ht="19.5" x14ac:dyDescent="0.4"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26"/>
      <c r="AI709" s="13"/>
      <c r="AN709" s="117"/>
      <c r="AO709" s="123"/>
      <c r="AP709" s="123"/>
      <c r="AQ709" s="123"/>
      <c r="AR709" s="115"/>
      <c r="AS709" s="115"/>
      <c r="AT709" s="115"/>
      <c r="AU709" s="115"/>
      <c r="AV709" s="115"/>
      <c r="AW709" s="115"/>
      <c r="AX709" s="115"/>
      <c r="AY709" s="115"/>
      <c r="AZ709" s="115"/>
      <c r="BA709" s="115"/>
      <c r="BB709" s="115"/>
      <c r="BC709" s="115"/>
      <c r="BD709" s="115"/>
      <c r="BE709" s="115"/>
      <c r="BF709" s="25"/>
      <c r="BG709" s="15"/>
      <c r="BJ709" s="114"/>
    </row>
    <row r="710" spans="6:62" ht="19.5" x14ac:dyDescent="0.4"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7"/>
      <c r="AI710" s="13"/>
      <c r="AN710" s="117"/>
      <c r="AO710" s="123"/>
      <c r="AP710" s="123"/>
      <c r="AQ710" s="123"/>
      <c r="AR710" s="115"/>
      <c r="AS710" s="115"/>
      <c r="AT710" s="115"/>
      <c r="AU710" s="115"/>
      <c r="AV710" s="115"/>
      <c r="AW710" s="115"/>
      <c r="AX710" s="115"/>
      <c r="AY710" s="115"/>
      <c r="AZ710" s="115"/>
      <c r="BA710" s="115"/>
      <c r="BB710" s="115"/>
      <c r="BC710" s="115"/>
      <c r="BD710" s="115"/>
      <c r="BE710" s="115"/>
      <c r="BF710" s="25"/>
      <c r="BG710" s="15"/>
      <c r="BJ710" s="114"/>
    </row>
    <row r="711" spans="6:62" ht="19.5" x14ac:dyDescent="0.4"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26"/>
      <c r="AI711" s="13"/>
      <c r="AN711" s="117"/>
      <c r="AO711" s="123"/>
      <c r="AP711" s="123"/>
      <c r="AQ711" s="123"/>
      <c r="AR711" s="115"/>
      <c r="AS711" s="115"/>
      <c r="AT711" s="115"/>
      <c r="AU711" s="115"/>
      <c r="AV711" s="115"/>
      <c r="AW711" s="115"/>
      <c r="AX711" s="115"/>
      <c r="AY711" s="115"/>
      <c r="AZ711" s="115"/>
      <c r="BA711" s="115"/>
      <c r="BB711" s="115"/>
      <c r="BC711" s="115"/>
      <c r="BD711" s="115"/>
      <c r="BE711" s="115"/>
      <c r="BF711" s="25"/>
      <c r="BG711" s="15"/>
      <c r="BJ711" s="114"/>
    </row>
    <row r="712" spans="6:62" ht="19.5" x14ac:dyDescent="0.4">
      <c r="AH712" s="26"/>
      <c r="AI712" s="13"/>
      <c r="AN712" s="117"/>
      <c r="AO712" s="123"/>
      <c r="AP712" s="123"/>
      <c r="AQ712" s="123"/>
      <c r="AR712" s="115"/>
      <c r="AS712" s="115"/>
      <c r="AT712" s="115"/>
      <c r="AU712" s="115"/>
      <c r="AV712" s="115"/>
      <c r="AW712" s="115"/>
      <c r="AX712" s="115"/>
      <c r="AY712" s="115"/>
      <c r="AZ712" s="115"/>
      <c r="BA712" s="115"/>
      <c r="BB712" s="115"/>
      <c r="BC712" s="115"/>
      <c r="BD712" s="115"/>
      <c r="BE712" s="115"/>
      <c r="BF712" s="25">
        <v>45272</v>
      </c>
      <c r="BG712" s="15" t="s">
        <v>162</v>
      </c>
      <c r="BJ712" s="114"/>
    </row>
    <row r="713" spans="6:62" ht="19.5" x14ac:dyDescent="0.4">
      <c r="AA713" s="115"/>
      <c r="AB713" s="115"/>
      <c r="AC713" s="115"/>
      <c r="AD713" s="115"/>
      <c r="AE713" s="115"/>
      <c r="AF713" s="115"/>
      <c r="AG713" s="115"/>
      <c r="AH713" s="26"/>
      <c r="AI713" s="13"/>
      <c r="AN713" s="117"/>
      <c r="AO713" s="123"/>
      <c r="AP713" s="123"/>
      <c r="AQ713" s="123"/>
      <c r="AR713" s="115"/>
      <c r="AS713" s="115"/>
      <c r="AT713" s="115"/>
      <c r="AU713" s="115"/>
      <c r="AV713" s="115"/>
      <c r="AW713" s="115"/>
      <c r="AX713" s="115"/>
      <c r="AY713" s="115"/>
      <c r="AZ713" s="115"/>
      <c r="BA713" s="115"/>
      <c r="BB713" s="115"/>
      <c r="BC713" s="115"/>
      <c r="BD713" s="115"/>
      <c r="BE713" s="115"/>
      <c r="BF713" s="25"/>
      <c r="BG713" s="15"/>
      <c r="BJ713" s="114"/>
    </row>
    <row r="714" spans="6:62" ht="19.5" x14ac:dyDescent="0.4">
      <c r="AA714" s="115"/>
      <c r="AB714" s="115"/>
      <c r="AC714" s="115"/>
      <c r="AD714" s="115"/>
      <c r="AE714" s="115"/>
      <c r="AF714" s="115"/>
      <c r="AG714" s="115"/>
      <c r="AH714" s="17"/>
      <c r="AI714" s="13"/>
      <c r="AN714" s="117"/>
      <c r="AO714" s="123"/>
      <c r="AP714" s="123"/>
      <c r="AQ714" s="123"/>
      <c r="AR714" s="115"/>
      <c r="AS714" s="115"/>
      <c r="AT714" s="115"/>
      <c r="AU714" s="115"/>
      <c r="AV714" s="115"/>
      <c r="AW714" s="115"/>
      <c r="AX714" s="115"/>
      <c r="AY714" s="115"/>
      <c r="AZ714" s="115"/>
      <c r="BA714" s="115"/>
      <c r="BB714" s="115"/>
      <c r="BC714" s="115"/>
      <c r="BD714" s="115"/>
      <c r="BE714" s="115"/>
      <c r="BF714" s="25"/>
      <c r="BG714" s="15"/>
      <c r="BJ714" s="114"/>
    </row>
    <row r="715" spans="6:62" ht="19.5" x14ac:dyDescent="0.4"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26"/>
      <c r="AI715" s="13"/>
      <c r="AN715" s="117"/>
      <c r="AO715" s="123"/>
      <c r="AP715" s="123"/>
      <c r="AQ715" s="123"/>
      <c r="AR715" s="115"/>
      <c r="AS715" s="115"/>
      <c r="AT715" s="115"/>
      <c r="AU715" s="115"/>
      <c r="AV715" s="115"/>
      <c r="AW715" s="115"/>
      <c r="AX715" s="115"/>
      <c r="AY715" s="115"/>
      <c r="AZ715" s="115"/>
      <c r="BA715" s="115"/>
      <c r="BB715" s="115"/>
      <c r="BC715" s="115"/>
      <c r="BD715" s="115"/>
      <c r="BE715" s="115"/>
      <c r="BF715" s="25"/>
      <c r="BG715" s="15"/>
      <c r="BJ715" s="114"/>
    </row>
    <row r="716" spans="6:62" ht="19.5" x14ac:dyDescent="0.4"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7"/>
      <c r="AI716" s="13"/>
      <c r="AN716" s="117"/>
      <c r="AO716" s="123"/>
      <c r="AP716" s="123"/>
      <c r="AQ716" s="123"/>
      <c r="AR716" s="115"/>
      <c r="AS716" s="115"/>
      <c r="AT716" s="115"/>
      <c r="AU716" s="115"/>
      <c r="AV716" s="115"/>
      <c r="AW716" s="115"/>
      <c r="AX716" s="115"/>
      <c r="AY716" s="115"/>
      <c r="AZ716" s="115"/>
      <c r="BA716" s="115"/>
      <c r="BB716" s="115"/>
      <c r="BC716" s="115"/>
      <c r="BD716" s="115"/>
      <c r="BE716" s="115"/>
      <c r="BF716" s="25"/>
      <c r="BG716" s="15"/>
      <c r="BJ716" s="114"/>
    </row>
    <row r="717" spans="6:62" ht="19.5" x14ac:dyDescent="0.4"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26"/>
      <c r="AI717" s="25"/>
      <c r="AN717" s="117"/>
      <c r="AO717" s="123"/>
      <c r="AP717" s="123"/>
      <c r="AQ717" s="123"/>
      <c r="AR717" s="115"/>
      <c r="AS717" s="115"/>
      <c r="AT717" s="115"/>
      <c r="AU717" s="115"/>
      <c r="AV717" s="115"/>
      <c r="AW717" s="115"/>
      <c r="AX717" s="115"/>
      <c r="AY717" s="115"/>
      <c r="AZ717" s="115"/>
      <c r="BA717" s="115"/>
      <c r="BB717" s="115"/>
      <c r="BC717" s="115"/>
      <c r="BD717" s="115"/>
      <c r="BE717" s="115"/>
      <c r="BF717" s="25"/>
      <c r="BG717" s="15"/>
      <c r="BJ717" s="114"/>
    </row>
    <row r="718" spans="6:62" ht="19.5" x14ac:dyDescent="0.4"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7"/>
      <c r="AI718" s="13"/>
      <c r="AN718" s="117"/>
      <c r="AO718" s="123"/>
      <c r="AP718" s="123"/>
      <c r="AQ718" s="123"/>
      <c r="AR718" s="115"/>
      <c r="AS718" s="115"/>
      <c r="AT718" s="115"/>
      <c r="AU718" s="115"/>
      <c r="AV718" s="115"/>
      <c r="AW718" s="115"/>
      <c r="AX718" s="115"/>
      <c r="AY718" s="115"/>
      <c r="AZ718" s="115"/>
      <c r="BA718" s="115"/>
      <c r="BB718" s="115"/>
      <c r="BC718" s="115"/>
      <c r="BD718" s="115"/>
      <c r="BE718" s="115"/>
      <c r="BF718" s="25"/>
      <c r="BG718" s="15"/>
      <c r="BJ718" s="114"/>
    </row>
    <row r="719" spans="6:62" ht="19.5" x14ac:dyDescent="0.4"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26"/>
      <c r="AI719" s="13"/>
      <c r="AN719" s="117"/>
      <c r="AO719" s="123"/>
      <c r="AP719" s="123"/>
      <c r="AQ719" s="123"/>
      <c r="AR719" s="115"/>
      <c r="AS719" s="115"/>
      <c r="AT719" s="115"/>
      <c r="AU719" s="115"/>
      <c r="AV719" s="115"/>
      <c r="AW719" s="115"/>
      <c r="AX719" s="115"/>
      <c r="AY719" s="115"/>
      <c r="AZ719" s="115"/>
      <c r="BA719" s="115"/>
      <c r="BB719" s="115"/>
      <c r="BC719" s="115"/>
      <c r="BD719" s="115"/>
      <c r="BE719" s="115"/>
      <c r="BF719" s="25"/>
      <c r="BG719" s="15"/>
      <c r="BJ719" s="114"/>
    </row>
    <row r="720" spans="6:62" ht="19.5" x14ac:dyDescent="0.4">
      <c r="AH720" s="26"/>
      <c r="AI720" s="13"/>
      <c r="AN720" s="117"/>
      <c r="AO720" s="123"/>
      <c r="AP720" s="123"/>
      <c r="AQ720" s="123"/>
      <c r="AR720" s="115"/>
      <c r="AS720" s="115"/>
      <c r="AT720" s="115"/>
      <c r="AU720" s="115"/>
      <c r="AV720" s="115"/>
      <c r="AW720" s="115"/>
      <c r="AX720" s="115"/>
      <c r="AY720" s="115"/>
      <c r="AZ720" s="115"/>
      <c r="BA720" s="115"/>
      <c r="BB720" s="115"/>
      <c r="BC720" s="115"/>
      <c r="BD720" s="115"/>
      <c r="BE720" s="115"/>
      <c r="BF720" s="25">
        <v>45272</v>
      </c>
      <c r="BG720" s="15" t="s">
        <v>162</v>
      </c>
      <c r="BJ720" s="114"/>
    </row>
    <row r="721" spans="6:62" ht="19.5" x14ac:dyDescent="0.4">
      <c r="AB721" s="115"/>
      <c r="AC721" s="115"/>
      <c r="AD721" s="115"/>
      <c r="AE721" s="115"/>
      <c r="AF721" s="115"/>
      <c r="AG721" s="115"/>
      <c r="AH721" s="17"/>
      <c r="AI721" s="13"/>
      <c r="AN721" s="117"/>
      <c r="AO721" s="123"/>
      <c r="AP721" s="123"/>
      <c r="AQ721" s="123"/>
      <c r="AR721" s="115"/>
      <c r="AS721" s="115"/>
      <c r="AT721" s="115"/>
      <c r="AU721" s="115"/>
      <c r="AV721" s="115"/>
      <c r="AW721" s="115"/>
      <c r="AX721" s="115"/>
      <c r="AY721" s="115"/>
      <c r="AZ721" s="115"/>
      <c r="BA721" s="115"/>
      <c r="BB721" s="115"/>
      <c r="BC721" s="115"/>
      <c r="BD721" s="115"/>
      <c r="BE721" s="115"/>
      <c r="BF721" s="25"/>
      <c r="BG721" s="15"/>
      <c r="BJ721" s="114"/>
    </row>
    <row r="722" spans="6:62" ht="19.5" x14ac:dyDescent="0.4">
      <c r="AA722" s="115"/>
      <c r="AB722" s="115"/>
      <c r="AC722" s="115"/>
      <c r="AD722" s="115"/>
      <c r="AE722" s="115"/>
      <c r="AF722" s="115"/>
      <c r="AG722" s="115"/>
      <c r="AH722" s="26"/>
      <c r="AI722" s="13"/>
      <c r="AN722" s="117"/>
      <c r="AO722" s="123"/>
      <c r="AP722" s="123"/>
      <c r="AQ722" s="123"/>
      <c r="AR722" s="115"/>
      <c r="AS722" s="115"/>
      <c r="AT722" s="115"/>
      <c r="AU722" s="115"/>
      <c r="AV722" s="115"/>
      <c r="AW722" s="115"/>
      <c r="AX722" s="115"/>
      <c r="AY722" s="115"/>
      <c r="AZ722" s="115"/>
      <c r="BA722" s="115"/>
      <c r="BB722" s="115"/>
      <c r="BC722" s="115"/>
      <c r="BD722" s="115"/>
      <c r="BE722" s="115"/>
      <c r="BF722" s="25"/>
      <c r="BG722" s="15"/>
      <c r="BJ722" s="114"/>
    </row>
    <row r="723" spans="6:62" ht="19.5" x14ac:dyDescent="0.4">
      <c r="AA723" s="115"/>
      <c r="AB723" s="115"/>
      <c r="AC723" s="115"/>
      <c r="AD723" s="115"/>
      <c r="AE723" s="115"/>
      <c r="AF723" s="115"/>
      <c r="AG723" s="115"/>
      <c r="AH723" s="17"/>
      <c r="AI723" s="13"/>
      <c r="AN723" s="117"/>
      <c r="AO723" s="123"/>
      <c r="AP723" s="123"/>
      <c r="AQ723" s="123"/>
      <c r="AR723" s="115"/>
      <c r="AS723" s="115"/>
      <c r="AT723" s="115"/>
      <c r="AU723" s="115"/>
      <c r="AV723" s="115"/>
      <c r="AW723" s="115"/>
      <c r="AX723" s="115"/>
      <c r="AY723" s="115"/>
      <c r="AZ723" s="115"/>
      <c r="BA723" s="115"/>
      <c r="BB723" s="115"/>
      <c r="BC723" s="115"/>
      <c r="BD723" s="115"/>
      <c r="BE723" s="115"/>
      <c r="BF723" s="25"/>
      <c r="BG723" s="15"/>
      <c r="BJ723" s="114"/>
    </row>
    <row r="724" spans="6:62" ht="19.5" x14ac:dyDescent="0.4">
      <c r="AA724" s="115"/>
      <c r="AB724" s="115"/>
      <c r="AC724" s="115"/>
      <c r="AD724" s="115"/>
      <c r="AE724" s="115"/>
      <c r="AF724" s="115"/>
      <c r="AG724" s="115"/>
      <c r="AH724" s="17"/>
      <c r="AI724" s="13"/>
      <c r="AN724" s="117"/>
      <c r="AO724" s="123"/>
      <c r="AP724" s="123"/>
      <c r="AQ724" s="123"/>
      <c r="AR724" s="115"/>
      <c r="AS724" s="115"/>
      <c r="AT724" s="115"/>
      <c r="AU724" s="115"/>
      <c r="AV724" s="115"/>
      <c r="AW724" s="115"/>
      <c r="AX724" s="115"/>
      <c r="AY724" s="115"/>
      <c r="AZ724" s="115"/>
      <c r="BA724" s="115"/>
      <c r="BB724" s="115"/>
      <c r="BC724" s="115"/>
      <c r="BD724" s="115"/>
      <c r="BE724" s="115"/>
      <c r="BF724" s="25"/>
      <c r="BG724" s="15"/>
      <c r="BJ724" s="114"/>
    </row>
    <row r="725" spans="6:62" ht="19.5" x14ac:dyDescent="0.4"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26"/>
      <c r="AI725" s="13"/>
      <c r="AN725" s="117"/>
      <c r="AO725" s="123"/>
      <c r="AP725" s="123"/>
      <c r="AQ725" s="123"/>
      <c r="AR725" s="115"/>
      <c r="AS725" s="115"/>
      <c r="AT725" s="115"/>
      <c r="AU725" s="115"/>
      <c r="AV725" s="115"/>
      <c r="AW725" s="115"/>
      <c r="AX725" s="115"/>
      <c r="AY725" s="115"/>
      <c r="AZ725" s="115"/>
      <c r="BA725" s="115"/>
      <c r="BB725" s="115"/>
      <c r="BC725" s="115"/>
      <c r="BD725" s="115"/>
      <c r="BE725" s="115"/>
      <c r="BF725" s="25"/>
      <c r="BG725" s="15"/>
      <c r="BJ725" s="114"/>
    </row>
    <row r="726" spans="6:62" ht="19.5" x14ac:dyDescent="0.4"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20"/>
      <c r="AI726" s="13"/>
      <c r="AN726" s="117"/>
      <c r="AO726" s="123"/>
      <c r="AP726" s="123"/>
      <c r="AQ726" s="123"/>
      <c r="AR726" s="115"/>
      <c r="AS726" s="115"/>
      <c r="AT726" s="115"/>
      <c r="AU726" s="115"/>
      <c r="AV726" s="115"/>
      <c r="AW726" s="115"/>
      <c r="AX726" s="115"/>
      <c r="AY726" s="115"/>
      <c r="AZ726" s="115"/>
      <c r="BA726" s="115"/>
      <c r="BB726" s="115"/>
      <c r="BC726" s="115"/>
      <c r="BD726" s="115"/>
      <c r="BE726" s="115"/>
      <c r="BF726" s="25"/>
      <c r="BG726" s="15"/>
      <c r="BJ726" s="114"/>
    </row>
    <row r="727" spans="6:62" ht="19.5" x14ac:dyDescent="0.4"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20"/>
      <c r="AI727" s="13"/>
      <c r="AN727" s="117"/>
      <c r="AO727" s="123"/>
      <c r="AP727" s="123"/>
      <c r="AQ727" s="123"/>
      <c r="AR727" s="115"/>
      <c r="AS727" s="115"/>
      <c r="AT727" s="115"/>
      <c r="AU727" s="115"/>
      <c r="AV727" s="115"/>
      <c r="AW727" s="115"/>
      <c r="AX727" s="115"/>
      <c r="AY727" s="115"/>
      <c r="AZ727" s="115"/>
      <c r="BA727" s="115"/>
      <c r="BB727" s="115"/>
      <c r="BC727" s="115"/>
      <c r="BD727" s="115"/>
      <c r="BE727" s="115"/>
      <c r="BF727" s="25"/>
      <c r="BG727" s="15"/>
      <c r="BJ727" s="114"/>
    </row>
    <row r="728" spans="6:62" ht="19.5" x14ac:dyDescent="0.4"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25"/>
      <c r="AI728" s="15"/>
      <c r="AN728" s="117"/>
      <c r="AO728" s="123"/>
      <c r="AP728" s="123"/>
      <c r="AQ728" s="123"/>
      <c r="AR728" s="115"/>
      <c r="AS728" s="115"/>
      <c r="AT728" s="115"/>
      <c r="AU728" s="115"/>
      <c r="AV728" s="115"/>
      <c r="AW728" s="115"/>
      <c r="AX728" s="115"/>
      <c r="AY728" s="115"/>
      <c r="AZ728" s="115"/>
      <c r="BA728" s="115"/>
      <c r="BB728" s="115"/>
      <c r="BC728" s="115"/>
      <c r="BD728" s="115"/>
      <c r="BE728" s="115"/>
      <c r="BF728" s="25"/>
      <c r="BG728" s="15"/>
      <c r="BJ728" s="114"/>
    </row>
    <row r="729" spans="6:62" ht="19.5" x14ac:dyDescent="0.4"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25"/>
      <c r="AI729" s="15"/>
      <c r="AN729" s="117"/>
      <c r="AO729" s="123"/>
      <c r="AP729" s="123"/>
      <c r="AQ729" s="123"/>
      <c r="AR729" s="115"/>
      <c r="AS729" s="115"/>
      <c r="AT729" s="115"/>
      <c r="AU729" s="115"/>
      <c r="AV729" s="115"/>
      <c r="AW729" s="115"/>
      <c r="AX729" s="115"/>
      <c r="AY729" s="115"/>
      <c r="AZ729" s="115"/>
      <c r="BA729" s="115"/>
      <c r="BB729" s="115"/>
      <c r="BC729" s="115"/>
      <c r="BD729" s="115"/>
      <c r="BE729" s="115"/>
      <c r="BF729" s="25"/>
      <c r="BG729" s="15"/>
      <c r="BJ729" s="114"/>
    </row>
    <row r="730" spans="6:62" ht="19.5" x14ac:dyDescent="0.4"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25"/>
      <c r="AI730" s="15"/>
      <c r="AN730" s="117"/>
      <c r="AO730" s="123"/>
      <c r="AP730" s="123"/>
      <c r="AQ730" s="123"/>
      <c r="AR730" s="115"/>
      <c r="AS730" s="115"/>
      <c r="AT730" s="115"/>
      <c r="AU730" s="115"/>
      <c r="AV730" s="115"/>
      <c r="AW730" s="115"/>
      <c r="AX730" s="115"/>
      <c r="AY730" s="115"/>
      <c r="AZ730" s="115"/>
      <c r="BA730" s="115"/>
      <c r="BB730" s="115"/>
      <c r="BC730" s="115"/>
      <c r="BD730" s="115"/>
      <c r="BE730" s="115"/>
      <c r="BF730" s="25"/>
      <c r="BG730" s="15"/>
      <c r="BJ730" s="114"/>
    </row>
    <row r="731" spans="6:62" ht="19.5" x14ac:dyDescent="0.4">
      <c r="AH731" s="26"/>
      <c r="AI731" s="15"/>
      <c r="AN731" s="117"/>
      <c r="AO731" s="123"/>
      <c r="AP731" s="123"/>
      <c r="AQ731" s="123"/>
      <c r="AR731" s="115"/>
      <c r="AS731" s="115"/>
      <c r="AT731" s="115"/>
      <c r="AU731" s="115"/>
      <c r="AV731" s="115"/>
      <c r="AW731" s="115"/>
      <c r="AX731" s="115"/>
      <c r="AY731" s="115"/>
      <c r="AZ731" s="115"/>
      <c r="BA731" s="115"/>
      <c r="BB731" s="115"/>
      <c r="BC731" s="115"/>
      <c r="BD731" s="115"/>
      <c r="BE731" s="115"/>
      <c r="BF731" s="25">
        <v>45272</v>
      </c>
      <c r="BG731" s="15" t="s">
        <v>162</v>
      </c>
      <c r="BJ731" s="114"/>
    </row>
    <row r="732" spans="6:62" ht="19.5" x14ac:dyDescent="0.4">
      <c r="AH732" s="26"/>
      <c r="AI732" s="13"/>
      <c r="AN732" s="117"/>
      <c r="AO732" s="123"/>
      <c r="AP732" s="123"/>
      <c r="AQ732" s="123"/>
      <c r="AR732" s="115"/>
      <c r="AS732" s="115"/>
      <c r="AT732" s="115"/>
      <c r="AU732" s="115"/>
      <c r="AV732" s="115"/>
      <c r="AW732" s="115"/>
      <c r="AX732" s="115"/>
      <c r="AY732" s="115"/>
      <c r="AZ732" s="115"/>
      <c r="BA732" s="115"/>
      <c r="BB732" s="115"/>
      <c r="BC732" s="115"/>
      <c r="BD732" s="115"/>
      <c r="BE732" s="115"/>
      <c r="BF732" s="25"/>
      <c r="BG732" s="15"/>
      <c r="BJ732" s="114"/>
    </row>
    <row r="733" spans="6:62" ht="19.5" x14ac:dyDescent="0.4"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26"/>
      <c r="AI733" s="13"/>
      <c r="AN733" s="117"/>
      <c r="AO733" s="123"/>
      <c r="AP733" s="123"/>
      <c r="AQ733" s="123"/>
      <c r="AR733" s="115"/>
      <c r="AS733" s="115"/>
      <c r="AT733" s="115"/>
      <c r="AU733" s="115"/>
      <c r="AV733" s="115"/>
      <c r="AW733" s="115"/>
      <c r="AX733" s="115"/>
      <c r="AY733" s="115"/>
      <c r="AZ733" s="115"/>
      <c r="BA733" s="115"/>
      <c r="BB733" s="115"/>
      <c r="BC733" s="115"/>
      <c r="BD733" s="115"/>
      <c r="BE733" s="115"/>
      <c r="BF733" s="25"/>
      <c r="BG733" s="15"/>
      <c r="BJ733" s="114"/>
    </row>
    <row r="734" spans="6:62" ht="19.5" x14ac:dyDescent="0.4">
      <c r="AH734" s="26"/>
      <c r="AI734" s="13"/>
      <c r="AN734" s="117"/>
      <c r="AO734" s="123"/>
      <c r="AP734" s="123"/>
      <c r="AQ734" s="123"/>
      <c r="AR734" s="115"/>
      <c r="AS734" s="115"/>
      <c r="AT734" s="115"/>
      <c r="AU734" s="115"/>
      <c r="AV734" s="115"/>
      <c r="AW734" s="115"/>
      <c r="AX734" s="115"/>
      <c r="AY734" s="115"/>
      <c r="AZ734" s="115"/>
      <c r="BA734" s="115"/>
      <c r="BB734" s="115"/>
      <c r="BC734" s="115"/>
      <c r="BD734" s="115"/>
      <c r="BE734" s="115"/>
      <c r="BF734" s="25">
        <v>45272</v>
      </c>
      <c r="BG734" s="15" t="s">
        <v>162</v>
      </c>
      <c r="BJ734" s="114"/>
    </row>
    <row r="735" spans="6:62" ht="19.5" x14ac:dyDescent="0.4">
      <c r="Z735" s="115"/>
      <c r="AA735" s="115"/>
      <c r="AB735" s="115"/>
      <c r="AC735" s="115"/>
      <c r="AD735" s="115"/>
      <c r="AE735" s="115"/>
      <c r="AF735" s="115"/>
      <c r="AG735" s="115"/>
      <c r="AH735" s="17"/>
      <c r="AI735" s="13"/>
      <c r="AN735" s="117"/>
      <c r="AO735" s="123"/>
      <c r="AP735" s="123"/>
      <c r="AQ735" s="123"/>
      <c r="AR735" s="115"/>
      <c r="AS735" s="115"/>
      <c r="AT735" s="115"/>
      <c r="AU735" s="115"/>
      <c r="AV735" s="115"/>
      <c r="AW735" s="115"/>
      <c r="AX735" s="115"/>
      <c r="AY735" s="115"/>
      <c r="AZ735" s="115"/>
      <c r="BA735" s="115"/>
      <c r="BB735" s="115"/>
      <c r="BC735" s="115"/>
      <c r="BD735" s="115"/>
      <c r="BE735" s="115"/>
      <c r="BF735" s="25"/>
      <c r="BG735" s="15"/>
      <c r="BJ735" s="114"/>
    </row>
    <row r="736" spans="6:62" ht="19.5" x14ac:dyDescent="0.4">
      <c r="AH736" s="26"/>
      <c r="AI736" s="13"/>
      <c r="AN736" s="117"/>
      <c r="AO736" s="123"/>
      <c r="AP736" s="123"/>
      <c r="AQ736" s="123"/>
      <c r="AR736" s="115"/>
      <c r="AS736" s="115"/>
      <c r="AT736" s="115"/>
      <c r="AU736" s="115"/>
      <c r="AV736" s="115"/>
      <c r="AW736" s="115"/>
      <c r="AX736" s="115"/>
      <c r="AY736" s="115"/>
      <c r="AZ736" s="115"/>
      <c r="BA736" s="115"/>
      <c r="BB736" s="115"/>
      <c r="BC736" s="115"/>
      <c r="BD736" s="115"/>
      <c r="BE736" s="115"/>
      <c r="BF736" s="25"/>
      <c r="BG736" s="15"/>
      <c r="BJ736" s="114"/>
    </row>
    <row r="737" spans="23:62" ht="19.5" x14ac:dyDescent="0.4"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26"/>
      <c r="AI737" s="13"/>
      <c r="AN737" s="117"/>
      <c r="AO737" s="123"/>
      <c r="AP737" s="123"/>
      <c r="AQ737" s="123"/>
      <c r="AR737" s="115"/>
      <c r="AS737" s="115"/>
      <c r="AT737" s="115"/>
      <c r="AU737" s="115"/>
      <c r="AV737" s="115"/>
      <c r="AW737" s="115"/>
      <c r="AX737" s="115"/>
      <c r="AY737" s="115"/>
      <c r="AZ737" s="115"/>
      <c r="BA737" s="115"/>
      <c r="BB737" s="115"/>
      <c r="BC737" s="115"/>
      <c r="BD737" s="115"/>
      <c r="BE737" s="115"/>
      <c r="BF737" s="25"/>
      <c r="BG737" s="15"/>
      <c r="BJ737" s="114"/>
    </row>
    <row r="738" spans="23:62" ht="19.5" x14ac:dyDescent="0.4">
      <c r="AH738" s="26"/>
      <c r="AI738" s="13"/>
      <c r="AN738" s="117"/>
      <c r="AO738" s="123"/>
      <c r="AP738" s="123"/>
      <c r="AQ738" s="123"/>
      <c r="AR738" s="115"/>
      <c r="AS738" s="115"/>
      <c r="AT738" s="115"/>
      <c r="AU738" s="115"/>
      <c r="AV738" s="115"/>
      <c r="AW738" s="115"/>
      <c r="AX738" s="115"/>
      <c r="AY738" s="115"/>
      <c r="AZ738" s="115"/>
      <c r="BA738" s="115"/>
      <c r="BB738" s="115"/>
      <c r="BC738" s="115"/>
      <c r="BD738" s="115"/>
      <c r="BE738" s="115"/>
      <c r="BF738" s="25">
        <v>45272</v>
      </c>
      <c r="BG738" s="15" t="s">
        <v>162</v>
      </c>
      <c r="BJ738" s="114"/>
    </row>
    <row r="739" spans="23:62" ht="19.5" x14ac:dyDescent="0.4">
      <c r="AH739" s="26"/>
      <c r="AI739" s="13"/>
      <c r="AN739" s="117"/>
      <c r="AO739" s="123"/>
      <c r="AP739" s="123"/>
      <c r="AQ739" s="123"/>
      <c r="AR739" s="115"/>
      <c r="AS739" s="115"/>
      <c r="AT739" s="115"/>
      <c r="AU739" s="115"/>
      <c r="AV739" s="115"/>
      <c r="AW739" s="115"/>
      <c r="AX739" s="115"/>
      <c r="AY739" s="115"/>
      <c r="AZ739" s="115"/>
      <c r="BA739" s="115"/>
      <c r="BB739" s="115"/>
      <c r="BC739" s="115"/>
      <c r="BD739" s="115"/>
      <c r="BE739" s="115" t="s">
        <v>166</v>
      </c>
      <c r="BF739" s="13">
        <f>SUBTOTAL(3,BF687:BF738)</f>
        <v>13</v>
      </c>
      <c r="BG739" s="15">
        <f>SUBTOTAL(3,BG687:BG738)</f>
        <v>13</v>
      </c>
      <c r="BJ739" s="114"/>
    </row>
    <row r="740" spans="23:62" ht="19.5" x14ac:dyDescent="0.4">
      <c r="Z740" s="115"/>
      <c r="AA740" s="115"/>
      <c r="AB740" s="115"/>
      <c r="AC740" s="115"/>
      <c r="AD740" s="115"/>
      <c r="AE740" s="115"/>
      <c r="AF740" s="115"/>
      <c r="AG740" s="115"/>
      <c r="AH740" s="17"/>
      <c r="AI740" s="13"/>
      <c r="AN740" s="117"/>
      <c r="AO740" s="123"/>
      <c r="AP740" s="123"/>
      <c r="AQ740" s="123"/>
      <c r="AR740" s="115"/>
      <c r="AS740" s="115"/>
      <c r="AT740" s="115"/>
      <c r="AU740" s="115"/>
      <c r="AV740" s="115"/>
      <c r="AW740" s="115"/>
      <c r="AX740" s="115"/>
      <c r="AY740" s="115"/>
      <c r="AZ740" s="115"/>
      <c r="BA740" s="115"/>
      <c r="BB740" s="115"/>
      <c r="BC740" s="115"/>
      <c r="BD740" s="115"/>
      <c r="BE740" s="115"/>
      <c r="BF740" s="13"/>
      <c r="BG740" s="15"/>
      <c r="BJ740" s="114"/>
    </row>
    <row r="741" spans="23:62" ht="19.5" x14ac:dyDescent="0.4">
      <c r="AH741" s="26"/>
      <c r="AI741" s="13"/>
      <c r="AN741" s="117"/>
      <c r="AO741" s="123"/>
      <c r="AP741" s="123"/>
      <c r="AQ741" s="123"/>
      <c r="AR741" s="115"/>
      <c r="AS741" s="115"/>
      <c r="AT741" s="115"/>
      <c r="AU741" s="115"/>
      <c r="AV741" s="115"/>
      <c r="AW741" s="115"/>
      <c r="AX741" s="115"/>
      <c r="AY741" s="115"/>
      <c r="AZ741" s="115"/>
      <c r="BA741" s="115"/>
      <c r="BB741" s="115"/>
      <c r="BC741" s="115"/>
      <c r="BD741" s="115"/>
      <c r="BE741" s="115"/>
      <c r="BF741" s="25">
        <v>45273</v>
      </c>
      <c r="BG741" s="105" t="s">
        <v>164</v>
      </c>
      <c r="BJ741" s="114"/>
    </row>
    <row r="742" spans="23:62" ht="19.5" x14ac:dyDescent="0.4">
      <c r="AH742" s="26"/>
      <c r="AI742" s="13"/>
      <c r="AN742" s="117"/>
      <c r="AO742" s="123"/>
      <c r="AP742" s="123"/>
      <c r="AQ742" s="123"/>
      <c r="AR742" s="115"/>
      <c r="AS742" s="115"/>
      <c r="AT742" s="115"/>
      <c r="AU742" s="115"/>
      <c r="AV742" s="115"/>
      <c r="AW742" s="115"/>
      <c r="AX742" s="115"/>
      <c r="AY742" s="115"/>
      <c r="AZ742" s="115"/>
      <c r="BA742" s="115"/>
      <c r="BB742" s="115"/>
      <c r="BC742" s="115"/>
      <c r="BD742" s="115"/>
      <c r="BE742" s="115"/>
      <c r="BF742" s="25">
        <v>45273</v>
      </c>
      <c r="BG742" s="15" t="s">
        <v>164</v>
      </c>
      <c r="BJ742" s="114"/>
    </row>
    <row r="743" spans="23:62" ht="19.5" x14ac:dyDescent="0.4"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26"/>
      <c r="AI743" s="13"/>
      <c r="AN743" s="117"/>
      <c r="AO743" s="123"/>
      <c r="AP743" s="123"/>
      <c r="AQ743" s="123"/>
      <c r="AR743" s="115"/>
      <c r="AS743" s="115"/>
      <c r="AT743" s="115"/>
      <c r="AU743" s="115"/>
      <c r="AV743" s="115"/>
      <c r="AW743" s="115"/>
      <c r="AX743" s="115"/>
      <c r="AY743" s="115"/>
      <c r="AZ743" s="115"/>
      <c r="BA743" s="115"/>
      <c r="BB743" s="115"/>
      <c r="BC743" s="115"/>
      <c r="BD743" s="115"/>
      <c r="BE743" s="115"/>
      <c r="BF743" s="25"/>
      <c r="BG743" s="13"/>
      <c r="BJ743" s="114"/>
    </row>
    <row r="744" spans="23:62" ht="19.5" x14ac:dyDescent="0.4">
      <c r="AH744" s="26"/>
      <c r="AI744" s="13"/>
      <c r="AN744" s="117"/>
      <c r="AO744" s="123"/>
      <c r="AP744" s="123"/>
      <c r="AQ744" s="123"/>
      <c r="AR744" s="115"/>
      <c r="AS744" s="115"/>
      <c r="AT744" s="115"/>
      <c r="AU744" s="115"/>
      <c r="AV744" s="115"/>
      <c r="AW744" s="115"/>
      <c r="AX744" s="115"/>
      <c r="AY744" s="115"/>
      <c r="AZ744" s="115"/>
      <c r="BA744" s="115"/>
      <c r="BB744" s="115"/>
      <c r="BC744" s="115"/>
      <c r="BD744" s="115"/>
      <c r="BE744" s="115"/>
      <c r="BF744" s="25">
        <v>45273</v>
      </c>
      <c r="BG744" s="13" t="s">
        <v>164</v>
      </c>
      <c r="BJ744" s="114"/>
    </row>
    <row r="745" spans="23:62" ht="19.5" x14ac:dyDescent="0.4">
      <c r="AH745" s="26"/>
      <c r="AI745" s="13"/>
      <c r="AN745" s="117"/>
      <c r="AO745" s="123"/>
      <c r="AP745" s="123"/>
      <c r="AQ745" s="123"/>
      <c r="AR745" s="115"/>
      <c r="AS745" s="115"/>
      <c r="AT745" s="115"/>
      <c r="AU745" s="115"/>
      <c r="AV745" s="115"/>
      <c r="AW745" s="115"/>
      <c r="AX745" s="115"/>
      <c r="AY745" s="115"/>
      <c r="AZ745" s="115"/>
      <c r="BA745" s="115"/>
      <c r="BB745" s="115"/>
      <c r="BC745" s="115"/>
      <c r="BD745" s="115"/>
      <c r="BE745" s="115"/>
      <c r="BF745" s="25">
        <v>45273</v>
      </c>
      <c r="BG745" s="15" t="s">
        <v>164</v>
      </c>
      <c r="BJ745" s="114"/>
    </row>
    <row r="746" spans="23:62" ht="19.5" x14ac:dyDescent="0.4">
      <c r="AH746" s="26"/>
      <c r="AI746" s="13"/>
      <c r="AN746" s="117"/>
      <c r="AO746" s="123"/>
      <c r="AP746" s="123"/>
      <c r="AQ746" s="123"/>
      <c r="AR746" s="115"/>
      <c r="AS746" s="115"/>
      <c r="AT746" s="115"/>
      <c r="AU746" s="115"/>
      <c r="AV746" s="115"/>
      <c r="AW746" s="115"/>
      <c r="AX746" s="115"/>
      <c r="AY746" s="115"/>
      <c r="AZ746" s="115"/>
      <c r="BA746" s="115"/>
      <c r="BB746" s="115"/>
      <c r="BC746" s="115"/>
      <c r="BD746" s="115"/>
      <c r="BE746" s="115"/>
      <c r="BF746" s="25">
        <v>45273</v>
      </c>
      <c r="BG746" s="15" t="s">
        <v>162</v>
      </c>
      <c r="BJ746" s="114"/>
    </row>
    <row r="747" spans="23:62" ht="19.5" x14ac:dyDescent="0.4"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26"/>
      <c r="AI747" s="13"/>
      <c r="AN747" s="117"/>
      <c r="AO747" s="123"/>
      <c r="AP747" s="123"/>
      <c r="AQ747" s="123"/>
      <c r="AR747" s="115"/>
      <c r="AS747" s="115"/>
      <c r="AT747" s="115"/>
      <c r="AU747" s="115"/>
      <c r="AV747" s="115"/>
      <c r="AW747" s="115"/>
      <c r="AX747" s="115"/>
      <c r="AY747" s="115"/>
      <c r="AZ747" s="115"/>
      <c r="BA747" s="115"/>
      <c r="BB747" s="115"/>
      <c r="BC747" s="115"/>
      <c r="BD747" s="115"/>
      <c r="BE747" s="115"/>
      <c r="BF747" s="25"/>
      <c r="BG747" s="15"/>
      <c r="BJ747" s="114"/>
    </row>
    <row r="748" spans="23:62" ht="19.5" x14ac:dyDescent="0.4">
      <c r="AH748" s="26"/>
      <c r="AI748" s="13"/>
      <c r="AN748" s="117"/>
      <c r="AO748" s="123"/>
      <c r="AP748" s="123"/>
      <c r="AQ748" s="123"/>
      <c r="AR748" s="115"/>
      <c r="AS748" s="115"/>
      <c r="AT748" s="115"/>
      <c r="AU748" s="115"/>
      <c r="AV748" s="115"/>
      <c r="AW748" s="115"/>
      <c r="AX748" s="115"/>
      <c r="AY748" s="115"/>
      <c r="AZ748" s="115"/>
      <c r="BA748" s="115"/>
      <c r="BB748" s="115"/>
      <c r="BC748" s="115"/>
      <c r="BD748" s="115"/>
      <c r="BE748" s="115"/>
      <c r="BF748" s="25">
        <v>45273</v>
      </c>
      <c r="BG748" s="15" t="s">
        <v>162</v>
      </c>
      <c r="BJ748" s="114"/>
    </row>
    <row r="749" spans="23:62" ht="19.5" x14ac:dyDescent="0.4">
      <c r="AH749" s="26"/>
      <c r="AI749" s="13"/>
      <c r="AN749" s="117"/>
      <c r="AO749" s="123"/>
      <c r="AP749" s="123"/>
      <c r="AQ749" s="123"/>
      <c r="AR749" s="115"/>
      <c r="AS749" s="115"/>
      <c r="AT749" s="115"/>
      <c r="AU749" s="115"/>
      <c r="AV749" s="115"/>
      <c r="AW749" s="115"/>
      <c r="AX749" s="115"/>
      <c r="AY749" s="115"/>
      <c r="AZ749" s="115"/>
      <c r="BA749" s="115"/>
      <c r="BB749" s="115"/>
      <c r="BC749" s="115"/>
      <c r="BD749" s="115"/>
      <c r="BE749" s="115"/>
      <c r="BF749" s="25">
        <v>45273</v>
      </c>
      <c r="BG749" s="15" t="s">
        <v>162</v>
      </c>
      <c r="BJ749" s="114"/>
    </row>
    <row r="750" spans="23:62" ht="19.5" x14ac:dyDescent="0.4">
      <c r="AH750" s="26"/>
      <c r="AI750" s="13"/>
      <c r="AN750" s="117"/>
      <c r="AO750" s="123"/>
      <c r="AP750" s="123"/>
      <c r="AQ750" s="123"/>
      <c r="AR750" s="115"/>
      <c r="AS750" s="115"/>
      <c r="AT750" s="115"/>
      <c r="AU750" s="115"/>
      <c r="AV750" s="115"/>
      <c r="AW750" s="115"/>
      <c r="AX750" s="115"/>
      <c r="AY750" s="115"/>
      <c r="AZ750" s="115"/>
      <c r="BA750" s="115"/>
      <c r="BB750" s="115"/>
      <c r="BC750" s="115"/>
      <c r="BD750" s="115"/>
      <c r="BE750" s="115"/>
      <c r="BF750" s="25">
        <v>45273</v>
      </c>
      <c r="BG750" s="15" t="s">
        <v>162</v>
      </c>
      <c r="BJ750" s="114"/>
    </row>
    <row r="751" spans="23:62" ht="19.5" x14ac:dyDescent="0.4"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26"/>
      <c r="AI751" s="13"/>
      <c r="AN751" s="117"/>
      <c r="AO751" s="123"/>
      <c r="AP751" s="123"/>
      <c r="AQ751" s="123"/>
      <c r="AR751" s="115"/>
      <c r="AS751" s="115"/>
      <c r="AT751" s="115"/>
      <c r="AU751" s="115"/>
      <c r="AV751" s="115"/>
      <c r="AW751" s="115"/>
      <c r="AX751" s="115"/>
      <c r="AY751" s="115"/>
      <c r="AZ751" s="115"/>
      <c r="BA751" s="115"/>
      <c r="BB751" s="115"/>
      <c r="BC751" s="115"/>
      <c r="BD751" s="115"/>
      <c r="BE751" s="115"/>
      <c r="BF751" s="25"/>
      <c r="BG751" s="15"/>
      <c r="BJ751" s="114"/>
    </row>
    <row r="752" spans="23:62" ht="19.5" x14ac:dyDescent="0.4">
      <c r="AH752" s="26"/>
      <c r="AI752" s="13"/>
      <c r="AN752" s="117"/>
      <c r="AO752" s="123"/>
      <c r="AP752" s="123"/>
      <c r="AQ752" s="123"/>
      <c r="AR752" s="115"/>
      <c r="AS752" s="115"/>
      <c r="AT752" s="115"/>
      <c r="AU752" s="115"/>
      <c r="AV752" s="115"/>
      <c r="AW752" s="115"/>
      <c r="AX752" s="115"/>
      <c r="AY752" s="115"/>
      <c r="AZ752" s="115"/>
      <c r="BA752" s="115"/>
      <c r="BB752" s="115"/>
      <c r="BC752" s="115"/>
      <c r="BD752" s="115"/>
      <c r="BE752" s="115"/>
      <c r="BF752" s="25">
        <v>45273</v>
      </c>
      <c r="BG752" s="15" t="s">
        <v>162</v>
      </c>
      <c r="BJ752" s="114"/>
    </row>
    <row r="753" spans="6:62" ht="19.5" x14ac:dyDescent="0.4">
      <c r="AH753" s="26"/>
      <c r="AI753" s="13"/>
      <c r="AN753" s="117"/>
      <c r="AO753" s="123"/>
      <c r="AP753" s="123"/>
      <c r="AQ753" s="123"/>
      <c r="AR753" s="115"/>
      <c r="AS753" s="115"/>
      <c r="AT753" s="115"/>
      <c r="AU753" s="115"/>
      <c r="AV753" s="115"/>
      <c r="AW753" s="115"/>
      <c r="AX753" s="115"/>
      <c r="AY753" s="115"/>
      <c r="AZ753" s="115"/>
      <c r="BA753" s="115"/>
      <c r="BB753" s="115"/>
      <c r="BC753" s="115"/>
      <c r="BD753" s="115"/>
      <c r="BE753" s="115"/>
      <c r="BF753" s="25">
        <v>45273</v>
      </c>
      <c r="BG753" s="15" t="s">
        <v>162</v>
      </c>
      <c r="BJ753" s="114"/>
    </row>
    <row r="754" spans="6:62" ht="19.5" x14ac:dyDescent="0.4">
      <c r="AH754" s="26"/>
      <c r="AI754" s="13"/>
      <c r="AN754" s="117"/>
      <c r="AO754" s="123"/>
      <c r="AP754" s="123"/>
      <c r="AQ754" s="123"/>
      <c r="AR754" s="115"/>
      <c r="AS754" s="115"/>
      <c r="AT754" s="115"/>
      <c r="AU754" s="115"/>
      <c r="AV754" s="124"/>
      <c r="AW754" s="124"/>
      <c r="AX754" s="124"/>
      <c r="AY754" s="124"/>
      <c r="AZ754" s="124"/>
      <c r="BA754" s="124"/>
      <c r="BB754" s="124"/>
      <c r="BC754" s="124"/>
      <c r="BD754" s="124"/>
      <c r="BE754" s="124"/>
      <c r="BF754" s="25">
        <v>45273</v>
      </c>
      <c r="BG754" s="15" t="s">
        <v>162</v>
      </c>
      <c r="BJ754" s="114"/>
    </row>
    <row r="755" spans="6:62" ht="19.5" x14ac:dyDescent="0.4">
      <c r="AH755" s="26"/>
      <c r="AI755" s="13"/>
      <c r="AN755" s="117"/>
      <c r="AO755" s="123"/>
      <c r="AP755" s="123"/>
      <c r="AQ755" s="123"/>
      <c r="AR755" s="115"/>
      <c r="AS755" s="115"/>
      <c r="AT755" s="115"/>
      <c r="AU755" s="115"/>
      <c r="AV755" s="124"/>
      <c r="AW755" s="124"/>
      <c r="AX755" s="124"/>
      <c r="AY755" s="124"/>
      <c r="AZ755" s="124"/>
      <c r="BA755" s="124"/>
      <c r="BB755" s="124"/>
      <c r="BC755" s="124"/>
      <c r="BD755" s="124"/>
      <c r="BE755" s="124"/>
      <c r="BF755" s="25">
        <v>45273</v>
      </c>
      <c r="BG755" s="15" t="s">
        <v>162</v>
      </c>
      <c r="BJ755" s="114"/>
    </row>
    <row r="756" spans="6:62" ht="19.5" x14ac:dyDescent="0.4">
      <c r="Z756" s="115"/>
      <c r="AA756" s="115"/>
      <c r="AB756" s="115"/>
      <c r="AC756" s="115"/>
      <c r="AD756" s="115"/>
      <c r="AE756" s="115"/>
      <c r="AF756" s="115"/>
      <c r="AG756" s="115"/>
      <c r="AH756" s="17"/>
      <c r="AI756" s="13"/>
      <c r="AN756" s="117"/>
      <c r="AO756" s="123"/>
      <c r="AP756" s="123"/>
      <c r="AQ756" s="123"/>
      <c r="AR756" s="115"/>
      <c r="AS756" s="115"/>
      <c r="AT756" s="115"/>
      <c r="AU756" s="115"/>
      <c r="AV756" s="124"/>
      <c r="AW756" s="124"/>
      <c r="AX756" s="124"/>
      <c r="AY756" s="124"/>
      <c r="AZ756" s="124"/>
      <c r="BA756" s="124"/>
      <c r="BB756" s="124"/>
      <c r="BC756" s="124"/>
      <c r="BD756" s="124"/>
      <c r="BE756" s="124"/>
      <c r="BF756" s="25"/>
      <c r="BG756" s="15"/>
      <c r="BJ756" s="114"/>
    </row>
    <row r="757" spans="6:62" ht="19.5" x14ac:dyDescent="0.4">
      <c r="AH757" s="26"/>
      <c r="AI757" s="13"/>
      <c r="AN757" s="117"/>
      <c r="AO757" s="123"/>
      <c r="AP757" s="123"/>
      <c r="AQ757" s="123"/>
      <c r="AR757" s="115"/>
      <c r="AS757" s="115"/>
      <c r="AT757" s="115"/>
      <c r="AU757" s="115"/>
      <c r="AV757" s="124"/>
      <c r="AW757" s="124"/>
      <c r="AX757" s="124"/>
      <c r="AY757" s="124"/>
      <c r="AZ757" s="124"/>
      <c r="BA757" s="124"/>
      <c r="BB757" s="124"/>
      <c r="BC757" s="124"/>
      <c r="BD757" s="124"/>
      <c r="BE757" s="124"/>
      <c r="BF757" s="25">
        <v>45273</v>
      </c>
      <c r="BG757" s="15" t="s">
        <v>162</v>
      </c>
      <c r="BJ757" s="114"/>
    </row>
    <row r="758" spans="6:62" ht="19.5" x14ac:dyDescent="0.4">
      <c r="Z758" s="115"/>
      <c r="AA758" s="115"/>
      <c r="AB758" s="115"/>
      <c r="AC758" s="115"/>
      <c r="AD758" s="115"/>
      <c r="AE758" s="115"/>
      <c r="AF758" s="115"/>
      <c r="AG758" s="115"/>
      <c r="AH758" s="17"/>
      <c r="AI758" s="13"/>
      <c r="AN758" s="117"/>
      <c r="AO758" s="123"/>
      <c r="AP758" s="123"/>
      <c r="AQ758" s="123"/>
      <c r="AR758" s="115"/>
      <c r="AS758" s="115"/>
      <c r="AT758" s="115"/>
      <c r="AU758" s="115"/>
      <c r="AV758" s="124"/>
      <c r="AW758" s="124"/>
      <c r="AX758" s="124"/>
      <c r="AY758" s="124"/>
      <c r="AZ758" s="124"/>
      <c r="BA758" s="124"/>
      <c r="BB758" s="124"/>
      <c r="BC758" s="124"/>
      <c r="BD758" s="124"/>
      <c r="BE758" s="124"/>
      <c r="BF758" s="25"/>
      <c r="BG758" s="15"/>
      <c r="BJ758" s="114"/>
    </row>
    <row r="759" spans="6:62" ht="19.5" x14ac:dyDescent="0.4">
      <c r="AH759" s="26"/>
      <c r="AI759" s="13"/>
      <c r="AN759" s="117"/>
      <c r="AO759" s="123"/>
      <c r="AP759" s="123"/>
      <c r="AQ759" s="123"/>
      <c r="AR759" s="115"/>
      <c r="AS759" s="115"/>
      <c r="AT759" s="115"/>
      <c r="AU759" s="115"/>
      <c r="AV759" s="124"/>
      <c r="AW759" s="124"/>
      <c r="AX759" s="124"/>
      <c r="AY759" s="124"/>
      <c r="AZ759" s="124"/>
      <c r="BA759" s="124"/>
      <c r="BB759" s="124"/>
      <c r="BC759" s="124"/>
      <c r="BD759" s="124"/>
      <c r="BE759" s="124"/>
      <c r="BF759" s="25">
        <v>45273</v>
      </c>
      <c r="BG759" s="15" t="s">
        <v>162</v>
      </c>
      <c r="BJ759" s="114"/>
    </row>
    <row r="760" spans="6:62" ht="19.5" x14ac:dyDescent="0.4">
      <c r="AH760" s="26"/>
      <c r="AI760" s="13"/>
      <c r="AN760" s="117"/>
      <c r="AO760" s="123"/>
      <c r="AP760" s="123"/>
      <c r="AQ760" s="123"/>
      <c r="AR760" s="115"/>
      <c r="AS760" s="115"/>
      <c r="AT760" s="115"/>
      <c r="AU760" s="115"/>
      <c r="AV760" s="115"/>
      <c r="AW760" s="115"/>
      <c r="AX760" s="115"/>
      <c r="AY760" s="115"/>
      <c r="AZ760" s="115"/>
      <c r="BA760" s="115"/>
      <c r="BB760" s="115"/>
      <c r="BC760" s="115"/>
      <c r="BD760" s="115"/>
      <c r="BE760" s="115"/>
      <c r="BF760" s="25">
        <v>45273</v>
      </c>
      <c r="BG760" s="13" t="s">
        <v>162</v>
      </c>
      <c r="BJ760" s="114"/>
    </row>
    <row r="761" spans="6:62" ht="19.5" x14ac:dyDescent="0.4">
      <c r="AH761" s="26"/>
      <c r="AI761" s="13"/>
      <c r="AN761" s="117"/>
      <c r="AO761" s="123"/>
      <c r="AP761" s="123"/>
      <c r="AQ761" s="123"/>
      <c r="AR761" s="115"/>
      <c r="AS761" s="115"/>
      <c r="AT761" s="115"/>
      <c r="AU761" s="115"/>
      <c r="AV761" s="115"/>
      <c r="AW761" s="115"/>
      <c r="AX761" s="115"/>
      <c r="AY761" s="115"/>
      <c r="AZ761" s="115"/>
      <c r="BA761" s="115"/>
      <c r="BB761" s="115"/>
      <c r="BC761" s="115"/>
      <c r="BD761" s="115"/>
      <c r="BE761" s="115"/>
      <c r="BF761" s="25">
        <v>45273</v>
      </c>
      <c r="BG761" s="15" t="s">
        <v>162</v>
      </c>
      <c r="BJ761" s="114"/>
    </row>
    <row r="762" spans="6:62" ht="19.5" x14ac:dyDescent="0.4">
      <c r="AH762" s="26"/>
      <c r="AI762" s="13"/>
      <c r="AN762" s="117"/>
      <c r="AO762" s="123"/>
      <c r="AP762" s="123"/>
      <c r="AQ762" s="123"/>
      <c r="AR762" s="115"/>
      <c r="AS762" s="115"/>
      <c r="AT762" s="115"/>
      <c r="AU762" s="115"/>
      <c r="AV762" s="115"/>
      <c r="AW762" s="115"/>
      <c r="AX762" s="115"/>
      <c r="AY762" s="115"/>
      <c r="AZ762" s="115"/>
      <c r="BA762" s="115"/>
      <c r="BB762" s="115"/>
      <c r="BC762" s="115"/>
      <c r="BD762" s="115"/>
      <c r="BE762" s="115"/>
      <c r="BF762" s="25">
        <v>45273</v>
      </c>
      <c r="BG762" s="15" t="s">
        <v>162</v>
      </c>
      <c r="BJ762" s="114"/>
    </row>
    <row r="763" spans="6:62" ht="19.5" x14ac:dyDescent="0.4"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26"/>
      <c r="AI763" s="25"/>
      <c r="AN763" s="117"/>
      <c r="AO763" s="123"/>
      <c r="AP763" s="123"/>
      <c r="AQ763" s="123"/>
      <c r="AR763" s="115"/>
      <c r="AS763" s="115"/>
      <c r="AT763" s="115"/>
      <c r="AU763" s="115"/>
      <c r="AV763" s="115"/>
      <c r="AW763" s="115"/>
      <c r="AX763" s="115"/>
      <c r="AY763" s="115"/>
      <c r="AZ763" s="115"/>
      <c r="BA763" s="115"/>
      <c r="BB763" s="115"/>
      <c r="BC763" s="115"/>
      <c r="BD763" s="115"/>
      <c r="BE763" s="115"/>
      <c r="BF763" s="25"/>
      <c r="BG763" s="15"/>
      <c r="BJ763" s="114"/>
    </row>
    <row r="764" spans="6:62" ht="19.5" x14ac:dyDescent="0.4">
      <c r="AH764" s="26"/>
      <c r="AI764" s="25"/>
      <c r="AN764" s="117"/>
      <c r="AO764" s="123"/>
      <c r="AP764" s="123"/>
      <c r="AQ764" s="123"/>
      <c r="AR764" s="115"/>
      <c r="AS764" s="115"/>
      <c r="AT764" s="115"/>
      <c r="AU764" s="115"/>
      <c r="AV764" s="115"/>
      <c r="AW764" s="115"/>
      <c r="AX764" s="115"/>
      <c r="AY764" s="115"/>
      <c r="AZ764" s="115"/>
      <c r="BA764" s="115"/>
      <c r="BB764" s="115"/>
      <c r="BC764" s="115"/>
      <c r="BD764" s="115"/>
      <c r="BE764" s="115"/>
      <c r="BF764" s="25">
        <v>45273</v>
      </c>
      <c r="BG764" s="15" t="s">
        <v>162</v>
      </c>
      <c r="BJ764" s="114"/>
    </row>
    <row r="765" spans="6:62" ht="19.5" x14ac:dyDescent="0.4">
      <c r="AH765" s="26"/>
      <c r="AI765" s="13"/>
      <c r="AN765" s="117"/>
      <c r="AO765" s="123"/>
      <c r="AP765" s="123"/>
      <c r="AQ765" s="123"/>
      <c r="AR765" s="115"/>
      <c r="AS765" s="115"/>
      <c r="AT765" s="115"/>
      <c r="AU765" s="115"/>
      <c r="AV765" s="115"/>
      <c r="AW765" s="115"/>
      <c r="AX765" s="115"/>
      <c r="AY765" s="115"/>
      <c r="AZ765" s="115"/>
      <c r="BA765" s="115"/>
      <c r="BB765" s="115"/>
      <c r="BC765" s="115"/>
      <c r="BD765" s="115"/>
      <c r="BE765" s="115"/>
      <c r="BF765" s="25">
        <v>45273</v>
      </c>
      <c r="BG765" s="15" t="s">
        <v>162</v>
      </c>
      <c r="BJ765" s="114"/>
    </row>
    <row r="766" spans="6:62" ht="19.5" x14ac:dyDescent="0.4"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26"/>
      <c r="AI766" s="13"/>
      <c r="AN766" s="117"/>
      <c r="AO766" s="123"/>
      <c r="AP766" s="123"/>
      <c r="AQ766" s="123"/>
      <c r="AR766" s="115"/>
      <c r="AS766" s="115"/>
      <c r="AT766" s="115"/>
      <c r="AU766" s="115"/>
      <c r="AV766" s="115"/>
      <c r="AW766" s="115"/>
      <c r="AX766" s="115"/>
      <c r="AY766" s="115"/>
      <c r="AZ766" s="115"/>
      <c r="BA766" s="115"/>
      <c r="BB766" s="115"/>
      <c r="BC766" s="115"/>
      <c r="BD766" s="115"/>
      <c r="BE766" s="115"/>
      <c r="BF766" s="25"/>
      <c r="BG766" s="15"/>
      <c r="BJ766" s="114"/>
    </row>
    <row r="767" spans="6:62" ht="19.5" x14ac:dyDescent="0.4"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26"/>
      <c r="AI767" s="13"/>
      <c r="AN767" s="117"/>
      <c r="AO767" s="123"/>
      <c r="AP767" s="123"/>
      <c r="AQ767" s="123"/>
      <c r="AR767" s="115"/>
      <c r="AS767" s="115"/>
      <c r="AT767" s="115"/>
      <c r="AU767" s="115"/>
      <c r="AV767" s="115"/>
      <c r="AW767" s="115"/>
      <c r="AX767" s="115"/>
      <c r="AY767" s="115"/>
      <c r="AZ767" s="115"/>
      <c r="BA767" s="115"/>
      <c r="BB767" s="115"/>
      <c r="BC767" s="115"/>
      <c r="BD767" s="115"/>
      <c r="BE767" s="115"/>
      <c r="BF767" s="25"/>
      <c r="BG767" s="15"/>
      <c r="BJ767" s="114"/>
    </row>
    <row r="768" spans="6:62" ht="19.5" x14ac:dyDescent="0.4">
      <c r="AH768" s="26"/>
      <c r="AI768" s="13"/>
      <c r="AN768" s="117"/>
      <c r="AO768" s="123"/>
      <c r="AP768" s="123"/>
      <c r="AQ768" s="123"/>
      <c r="AR768" s="115"/>
      <c r="AS768" s="115"/>
      <c r="AT768" s="115"/>
      <c r="AU768" s="115"/>
      <c r="AV768" s="115"/>
      <c r="AW768" s="115"/>
      <c r="AX768" s="115"/>
      <c r="AY768" s="115"/>
      <c r="AZ768" s="115"/>
      <c r="BA768" s="115"/>
      <c r="BB768" s="115"/>
      <c r="BC768" s="115"/>
      <c r="BD768" s="115"/>
      <c r="BE768" s="115"/>
      <c r="BF768" s="25">
        <v>45273</v>
      </c>
      <c r="BG768" s="15" t="s">
        <v>162</v>
      </c>
      <c r="BJ768" s="114"/>
    </row>
    <row r="769" spans="6:62" ht="19.5" x14ac:dyDescent="0.4">
      <c r="AH769" s="26"/>
      <c r="AI769" s="13"/>
      <c r="AN769" s="117"/>
      <c r="AO769" s="123"/>
      <c r="AP769" s="123"/>
      <c r="AQ769" s="123"/>
      <c r="AR769" s="115"/>
      <c r="AS769" s="115"/>
      <c r="AT769" s="115"/>
      <c r="AU769" s="115"/>
      <c r="AV769" s="115"/>
      <c r="AW769" s="115"/>
      <c r="AX769" s="115"/>
      <c r="AY769" s="115"/>
      <c r="AZ769" s="115"/>
      <c r="BA769" s="115"/>
      <c r="BB769" s="115"/>
      <c r="BC769" s="115"/>
      <c r="BD769" s="115"/>
      <c r="BE769" s="115"/>
      <c r="BF769" s="25">
        <v>45273</v>
      </c>
      <c r="BG769" s="15" t="s">
        <v>162</v>
      </c>
      <c r="BJ769" s="114"/>
    </row>
    <row r="770" spans="6:62" ht="19.5" x14ac:dyDescent="0.4">
      <c r="AH770" s="26"/>
      <c r="AI770" s="13"/>
      <c r="AN770" s="117"/>
      <c r="AO770" s="123"/>
      <c r="AP770" s="123"/>
      <c r="AQ770" s="123"/>
      <c r="AR770" s="115"/>
      <c r="AS770" s="115"/>
      <c r="AT770" s="115"/>
      <c r="AU770" s="115"/>
      <c r="AV770" s="115"/>
      <c r="AW770" s="115"/>
      <c r="AX770" s="115"/>
      <c r="AY770" s="115"/>
      <c r="AZ770" s="115"/>
      <c r="BA770" s="115"/>
      <c r="BB770" s="115"/>
      <c r="BC770" s="115"/>
      <c r="BD770" s="115"/>
      <c r="BE770" s="115"/>
      <c r="BF770" s="25">
        <v>45273</v>
      </c>
      <c r="BG770" s="13" t="s">
        <v>163</v>
      </c>
      <c r="BJ770" s="114"/>
    </row>
    <row r="771" spans="6:62" ht="19.5" x14ac:dyDescent="0.4">
      <c r="AH771" s="26"/>
      <c r="AI771" s="13"/>
      <c r="AN771" s="117"/>
      <c r="AO771" s="123"/>
      <c r="AP771" s="123"/>
      <c r="AQ771" s="123"/>
      <c r="AR771" s="115"/>
      <c r="AS771" s="115"/>
      <c r="AT771" s="115"/>
      <c r="AU771" s="115"/>
      <c r="AV771" s="115"/>
      <c r="AW771" s="115"/>
      <c r="AX771" s="115"/>
      <c r="AY771" s="115"/>
      <c r="AZ771" s="115"/>
      <c r="BA771" s="115"/>
      <c r="BB771" s="115"/>
      <c r="BC771" s="115"/>
      <c r="BD771" s="115"/>
      <c r="BE771" s="115"/>
      <c r="BF771" s="25"/>
      <c r="BG771" s="13"/>
      <c r="BJ771" s="114"/>
    </row>
    <row r="772" spans="6:62" ht="19.5" x14ac:dyDescent="0.4">
      <c r="AH772" s="26"/>
      <c r="AI772" s="13"/>
      <c r="AN772" s="117"/>
      <c r="AO772" s="123"/>
      <c r="AP772" s="123"/>
      <c r="AQ772" s="123"/>
      <c r="AR772" s="115"/>
      <c r="AS772" s="115"/>
      <c r="AT772" s="115"/>
      <c r="AU772" s="115"/>
      <c r="AV772" s="115"/>
      <c r="AW772" s="115"/>
      <c r="AX772" s="115"/>
      <c r="AY772" s="115"/>
      <c r="AZ772" s="115"/>
      <c r="BA772" s="115"/>
      <c r="BB772" s="115"/>
      <c r="BC772" s="115"/>
      <c r="BD772" s="115"/>
      <c r="BE772" s="115" t="s">
        <v>152</v>
      </c>
      <c r="BF772" s="13">
        <f>SUBTOTAL(3,BF741:BF770)</f>
        <v>22</v>
      </c>
      <c r="BG772" s="13">
        <f>SUBTOTAL(3,BG741:BG770)</f>
        <v>22</v>
      </c>
      <c r="BJ772" s="114"/>
    </row>
    <row r="773" spans="6:62" ht="19.5" x14ac:dyDescent="0.4">
      <c r="AH773" s="26"/>
      <c r="AI773" s="13"/>
      <c r="AN773" s="117"/>
      <c r="AO773" s="123"/>
      <c r="AP773" s="123"/>
      <c r="AQ773" s="123"/>
      <c r="AR773" s="115"/>
      <c r="AS773" s="115"/>
      <c r="AT773" s="115"/>
      <c r="AU773" s="115"/>
      <c r="AV773" s="115"/>
      <c r="AW773" s="115"/>
      <c r="AX773" s="115"/>
      <c r="AY773" s="115"/>
      <c r="AZ773" s="115"/>
      <c r="BA773" s="115"/>
      <c r="BB773" s="115"/>
      <c r="BC773" s="115"/>
      <c r="BD773" s="115"/>
      <c r="BE773" s="115"/>
      <c r="BF773" s="25">
        <v>45274</v>
      </c>
      <c r="BG773" s="15" t="s">
        <v>162</v>
      </c>
      <c r="BJ773" s="114"/>
    </row>
    <row r="774" spans="6:62" ht="19.5" x14ac:dyDescent="0.4"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26"/>
      <c r="AI774" s="13"/>
      <c r="AN774" s="117"/>
      <c r="AO774" s="123"/>
      <c r="AP774" s="123"/>
      <c r="AQ774" s="123"/>
      <c r="AR774" s="115"/>
      <c r="AS774" s="115"/>
      <c r="AT774" s="115"/>
      <c r="AU774" s="115"/>
      <c r="AV774" s="115"/>
      <c r="AW774" s="115"/>
      <c r="AX774" s="115"/>
      <c r="AY774" s="115"/>
      <c r="AZ774" s="115"/>
      <c r="BA774" s="115"/>
      <c r="BB774" s="115"/>
      <c r="BC774" s="115"/>
      <c r="BD774" s="115"/>
      <c r="BE774" s="115"/>
      <c r="BF774" s="25"/>
      <c r="BG774" s="15"/>
      <c r="BJ774" s="114"/>
    </row>
    <row r="775" spans="6:62" ht="19.5" x14ac:dyDescent="0.4"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26"/>
      <c r="AI775" s="13"/>
      <c r="AN775" s="117"/>
      <c r="AO775" s="123"/>
      <c r="AP775" s="123"/>
      <c r="AQ775" s="123"/>
      <c r="AR775" s="115"/>
      <c r="AS775" s="115"/>
      <c r="AT775" s="115"/>
      <c r="AU775" s="115"/>
      <c r="AV775" s="115"/>
      <c r="AW775" s="115"/>
      <c r="AX775" s="115"/>
      <c r="AY775" s="115"/>
      <c r="AZ775" s="115"/>
      <c r="BA775" s="115"/>
      <c r="BB775" s="115"/>
      <c r="BC775" s="115"/>
      <c r="BD775" s="115"/>
      <c r="BE775" s="115"/>
      <c r="BF775" s="25"/>
      <c r="BG775" s="15"/>
      <c r="BJ775" s="114"/>
    </row>
    <row r="776" spans="6:62" ht="19.5" x14ac:dyDescent="0.4">
      <c r="AH776" s="26"/>
      <c r="AI776" s="13"/>
      <c r="AN776" s="117"/>
      <c r="AO776" s="123"/>
      <c r="AP776" s="123"/>
      <c r="AQ776" s="123"/>
      <c r="AR776" s="115"/>
      <c r="AS776" s="115"/>
      <c r="AT776" s="115"/>
      <c r="AU776" s="115"/>
      <c r="AV776" s="115"/>
      <c r="AW776" s="115"/>
      <c r="AX776" s="115"/>
      <c r="AY776" s="115"/>
      <c r="AZ776" s="115"/>
      <c r="BA776" s="115"/>
      <c r="BB776" s="115"/>
      <c r="BC776" s="115"/>
      <c r="BD776" s="115"/>
      <c r="BE776" s="115"/>
      <c r="BF776" s="25">
        <v>45274</v>
      </c>
      <c r="BG776" s="15" t="s">
        <v>162</v>
      </c>
      <c r="BJ776" s="114"/>
    </row>
    <row r="777" spans="6:62" ht="19.5" x14ac:dyDescent="0.4"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26"/>
      <c r="AI777" s="13"/>
      <c r="AN777" s="117"/>
      <c r="AO777" s="123"/>
      <c r="AP777" s="123"/>
      <c r="AQ777" s="123"/>
      <c r="AR777" s="115"/>
      <c r="AS777" s="115"/>
      <c r="AT777" s="115"/>
      <c r="AU777" s="115"/>
      <c r="AV777" s="115"/>
      <c r="AW777" s="115"/>
      <c r="AX777" s="115"/>
      <c r="AY777" s="115"/>
      <c r="AZ777" s="115"/>
      <c r="BA777" s="115"/>
      <c r="BB777" s="115"/>
      <c r="BC777" s="115"/>
      <c r="BD777" s="115"/>
      <c r="BE777" s="115"/>
      <c r="BF777" s="25"/>
      <c r="BG777" s="15"/>
      <c r="BJ777" s="114"/>
    </row>
    <row r="778" spans="6:62" ht="19.5" x14ac:dyDescent="0.4"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26"/>
      <c r="AI778" s="13"/>
      <c r="AN778" s="117"/>
      <c r="AO778" s="123"/>
      <c r="AP778" s="123"/>
      <c r="AQ778" s="123"/>
      <c r="AR778" s="115"/>
      <c r="AS778" s="115"/>
      <c r="AT778" s="115"/>
      <c r="AU778" s="115"/>
      <c r="AV778" s="115"/>
      <c r="AW778" s="115"/>
      <c r="AX778" s="115"/>
      <c r="AY778" s="115"/>
      <c r="AZ778" s="115"/>
      <c r="BA778" s="115"/>
      <c r="BB778" s="115"/>
      <c r="BC778" s="115"/>
      <c r="BD778" s="115"/>
      <c r="BE778" s="115"/>
      <c r="BF778" s="25"/>
      <c r="BG778" s="15"/>
      <c r="BJ778" s="114"/>
    </row>
    <row r="779" spans="6:62" ht="19.5" x14ac:dyDescent="0.4"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26"/>
      <c r="AI779" s="13"/>
      <c r="AN779" s="117"/>
      <c r="AO779" s="123"/>
      <c r="AP779" s="123"/>
      <c r="AQ779" s="123"/>
      <c r="AR779" s="115"/>
      <c r="AS779" s="115"/>
      <c r="AT779" s="115"/>
      <c r="AU779" s="115"/>
      <c r="AV779" s="115"/>
      <c r="AW779" s="115"/>
      <c r="AX779" s="115"/>
      <c r="AY779" s="115"/>
      <c r="AZ779" s="115"/>
      <c r="BA779" s="115"/>
      <c r="BB779" s="115"/>
      <c r="BC779" s="115"/>
      <c r="BD779" s="115"/>
      <c r="BE779" s="115"/>
      <c r="BF779" s="25"/>
      <c r="BG779" s="15"/>
      <c r="BJ779" s="114"/>
    </row>
    <row r="780" spans="6:62" ht="19.5" x14ac:dyDescent="0.4">
      <c r="AH780" s="26"/>
      <c r="AI780" s="13"/>
      <c r="AN780" s="117"/>
      <c r="AO780" s="123"/>
      <c r="AP780" s="123"/>
      <c r="AQ780" s="123"/>
      <c r="AR780" s="115"/>
      <c r="AS780" s="115"/>
      <c r="AT780" s="115"/>
      <c r="AU780" s="115"/>
      <c r="AV780" s="115"/>
      <c r="AW780" s="115"/>
      <c r="AX780" s="115"/>
      <c r="AY780" s="115"/>
      <c r="AZ780" s="115"/>
      <c r="BA780" s="115"/>
      <c r="BB780" s="115"/>
      <c r="BC780" s="115"/>
      <c r="BD780" s="115"/>
      <c r="BE780" s="115"/>
      <c r="BF780" s="25">
        <v>45274</v>
      </c>
      <c r="BG780" s="15" t="s">
        <v>162</v>
      </c>
      <c r="BJ780" s="114"/>
    </row>
    <row r="781" spans="6:62" ht="19.5" x14ac:dyDescent="0.4"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26"/>
      <c r="AI781" s="13"/>
      <c r="AN781" s="117"/>
      <c r="AO781" s="123"/>
      <c r="AP781" s="123"/>
      <c r="AQ781" s="123"/>
      <c r="AR781" s="115"/>
      <c r="AS781" s="115"/>
      <c r="AT781" s="115"/>
      <c r="AU781" s="115"/>
      <c r="AV781" s="115"/>
      <c r="AW781" s="115"/>
      <c r="AX781" s="115"/>
      <c r="AY781" s="115"/>
      <c r="AZ781" s="115"/>
      <c r="BA781" s="115"/>
      <c r="BB781" s="115"/>
      <c r="BC781" s="115"/>
      <c r="BD781" s="115"/>
      <c r="BE781" s="115"/>
      <c r="BF781" s="25"/>
      <c r="BG781" s="15"/>
      <c r="BJ781" s="114"/>
    </row>
    <row r="782" spans="6:62" ht="19.5" x14ac:dyDescent="0.4">
      <c r="AH782" s="26"/>
      <c r="AI782" s="13"/>
      <c r="AN782" s="117"/>
      <c r="AO782" s="123"/>
      <c r="AP782" s="123"/>
      <c r="AQ782" s="123"/>
      <c r="AR782" s="115"/>
      <c r="AS782" s="115"/>
      <c r="AT782" s="115"/>
      <c r="AU782" s="115"/>
      <c r="AV782" s="115"/>
      <c r="AW782" s="115"/>
      <c r="AX782" s="115"/>
      <c r="AY782" s="115"/>
      <c r="AZ782" s="115"/>
      <c r="BA782" s="115"/>
      <c r="BB782" s="115"/>
      <c r="BC782" s="115"/>
      <c r="BD782" s="115"/>
      <c r="BE782" s="115"/>
      <c r="BF782" s="25">
        <v>45274</v>
      </c>
      <c r="BG782" s="15" t="s">
        <v>162</v>
      </c>
      <c r="BJ782" s="114"/>
    </row>
    <row r="783" spans="6:62" ht="19.5" x14ac:dyDescent="0.4">
      <c r="AH783" s="26"/>
      <c r="AI783" s="13"/>
      <c r="AN783" s="117"/>
      <c r="AO783" s="123"/>
      <c r="AP783" s="123"/>
      <c r="AQ783" s="123"/>
      <c r="AR783" s="115"/>
      <c r="AS783" s="115"/>
      <c r="AT783" s="115"/>
      <c r="AU783" s="115"/>
      <c r="AV783" s="115"/>
      <c r="AW783" s="115"/>
      <c r="AX783" s="115"/>
      <c r="AY783" s="115"/>
      <c r="AZ783" s="115"/>
      <c r="BA783" s="115"/>
      <c r="BB783" s="115"/>
      <c r="BC783" s="115"/>
      <c r="BD783" s="115"/>
      <c r="BE783" s="115"/>
      <c r="BF783" s="25">
        <v>45274</v>
      </c>
      <c r="BG783" s="15" t="s">
        <v>163</v>
      </c>
      <c r="BJ783" s="114"/>
    </row>
    <row r="784" spans="6:62" ht="19.5" x14ac:dyDescent="0.4">
      <c r="Z784" s="115"/>
      <c r="AA784" s="115"/>
      <c r="AB784" s="115"/>
      <c r="AC784" s="115"/>
      <c r="AD784" s="115"/>
      <c r="AE784" s="115"/>
      <c r="AF784" s="115"/>
      <c r="AG784" s="115"/>
      <c r="AH784" s="17"/>
      <c r="AI784" s="13"/>
      <c r="AN784" s="117"/>
      <c r="AO784" s="123"/>
      <c r="AP784" s="123"/>
      <c r="AQ784" s="123"/>
      <c r="AR784" s="115"/>
      <c r="AS784" s="115"/>
      <c r="AT784" s="115"/>
      <c r="AU784" s="115"/>
      <c r="AV784" s="115"/>
      <c r="AW784" s="115"/>
      <c r="AX784" s="115"/>
      <c r="AY784" s="115"/>
      <c r="AZ784" s="115"/>
      <c r="BA784" s="115"/>
      <c r="BB784" s="115"/>
      <c r="BC784" s="115"/>
      <c r="BD784" s="115"/>
      <c r="BE784" s="115"/>
      <c r="BF784" s="25"/>
      <c r="BG784" s="15"/>
      <c r="BJ784" s="114"/>
    </row>
    <row r="785" spans="23:62" ht="19.5" x14ac:dyDescent="0.4"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26"/>
      <c r="AI785" s="13"/>
      <c r="AN785" s="117"/>
      <c r="AO785" s="123"/>
      <c r="AP785" s="123"/>
      <c r="AQ785" s="123"/>
      <c r="AR785" s="115"/>
      <c r="AS785" s="115"/>
      <c r="AT785" s="115"/>
      <c r="AU785" s="115"/>
      <c r="AV785" s="115"/>
      <c r="AW785" s="115"/>
      <c r="AX785" s="115"/>
      <c r="AY785" s="115"/>
      <c r="AZ785" s="115"/>
      <c r="BA785" s="115"/>
      <c r="BB785" s="115"/>
      <c r="BC785" s="115"/>
      <c r="BD785" s="115"/>
      <c r="BE785" s="115"/>
      <c r="BF785" s="25"/>
      <c r="BG785" s="15"/>
      <c r="BJ785" s="114"/>
    </row>
    <row r="786" spans="23:62" ht="19.5" x14ac:dyDescent="0.4">
      <c r="AH786" s="26"/>
      <c r="AI786" s="25"/>
      <c r="AN786" s="117"/>
      <c r="AO786" s="123"/>
      <c r="AP786" s="123"/>
      <c r="AQ786" s="123"/>
      <c r="AR786" s="115"/>
      <c r="AS786" s="115"/>
      <c r="AT786" s="115"/>
      <c r="AU786" s="115"/>
      <c r="AV786" s="115"/>
      <c r="AW786" s="115"/>
      <c r="AX786" s="115"/>
      <c r="AY786" s="115"/>
      <c r="AZ786" s="115"/>
      <c r="BA786" s="115"/>
      <c r="BB786" s="115"/>
      <c r="BC786" s="115"/>
      <c r="BD786" s="115"/>
      <c r="BE786" s="115" t="s">
        <v>167</v>
      </c>
      <c r="BF786" s="13">
        <f>SUBTOTAL(3,BF773:BF783)</f>
        <v>5</v>
      </c>
      <c r="BG786" s="15">
        <f>SUBTOTAL(3,BG773:BG783)</f>
        <v>5</v>
      </c>
      <c r="BJ786" s="114"/>
    </row>
    <row r="787" spans="23:62" ht="19.5" x14ac:dyDescent="0.4"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26"/>
      <c r="AI787" s="105"/>
      <c r="AN787" s="117"/>
      <c r="AO787" s="123"/>
      <c r="AP787" s="123"/>
      <c r="AQ787" s="123"/>
      <c r="AR787" s="115"/>
      <c r="AS787" s="115"/>
      <c r="AT787" s="115"/>
      <c r="AU787" s="115"/>
      <c r="AV787" s="115"/>
      <c r="AW787" s="115"/>
      <c r="AX787" s="115"/>
      <c r="AY787" s="115"/>
      <c r="AZ787" s="115"/>
      <c r="BA787" s="115"/>
      <c r="BB787" s="115"/>
      <c r="BC787" s="115"/>
      <c r="BD787" s="115"/>
      <c r="BE787" s="115"/>
      <c r="BF787" s="13"/>
      <c r="BG787" s="15"/>
      <c r="BJ787" s="114"/>
    </row>
    <row r="788" spans="23:62" ht="19.5" x14ac:dyDescent="0.4">
      <c r="AH788" s="26"/>
      <c r="AI788" s="105"/>
      <c r="AN788" s="117"/>
      <c r="AO788" s="123"/>
      <c r="AP788" s="123"/>
      <c r="AQ788" s="123"/>
      <c r="AR788" s="115"/>
      <c r="AS788" s="115"/>
      <c r="AT788" s="115"/>
      <c r="AU788" s="115"/>
      <c r="AV788" s="115"/>
      <c r="AW788" s="115"/>
      <c r="AX788" s="115"/>
      <c r="AY788" s="115"/>
      <c r="AZ788" s="115"/>
      <c r="BA788" s="115"/>
      <c r="BB788" s="115"/>
      <c r="BC788" s="115"/>
      <c r="BD788" s="115"/>
      <c r="BE788" s="115"/>
      <c r="BF788" s="13"/>
      <c r="BG788" s="15"/>
      <c r="BJ788" s="114"/>
    </row>
    <row r="789" spans="23:62" ht="19.5" x14ac:dyDescent="0.4">
      <c r="Z789" s="115"/>
      <c r="AA789" s="115"/>
      <c r="AB789" s="115"/>
      <c r="AC789" s="115"/>
      <c r="AD789" s="115"/>
      <c r="AE789" s="115"/>
      <c r="AF789" s="115"/>
      <c r="AG789" s="115"/>
      <c r="AH789" s="17"/>
      <c r="AI789" s="15"/>
      <c r="AN789" s="117"/>
      <c r="AO789" s="123"/>
      <c r="AP789" s="123"/>
      <c r="AQ789" s="123"/>
      <c r="AR789" s="115"/>
      <c r="AS789" s="115"/>
      <c r="AT789" s="115"/>
      <c r="AU789" s="115"/>
      <c r="AV789" s="115"/>
      <c r="AW789" s="115"/>
      <c r="AX789" s="115"/>
      <c r="AY789" s="115"/>
      <c r="AZ789" s="115"/>
      <c r="BA789" s="115"/>
      <c r="BB789" s="115"/>
      <c r="BC789" s="115"/>
      <c r="BD789" s="115"/>
      <c r="BE789" s="115"/>
      <c r="BF789" s="13"/>
      <c r="BG789" s="15"/>
      <c r="BJ789" s="114"/>
    </row>
    <row r="790" spans="23:62" ht="19.5" x14ac:dyDescent="0.4"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26"/>
      <c r="AI790" s="15"/>
      <c r="AN790" s="117"/>
      <c r="AO790" s="123"/>
      <c r="AP790" s="123"/>
      <c r="AQ790" s="123"/>
      <c r="AR790" s="115"/>
      <c r="AS790" s="115"/>
      <c r="AT790" s="115"/>
      <c r="AU790" s="115"/>
      <c r="AV790" s="115"/>
      <c r="AW790" s="115"/>
      <c r="AX790" s="115"/>
      <c r="AY790" s="115"/>
      <c r="AZ790" s="115"/>
      <c r="BA790" s="115"/>
      <c r="BB790" s="115"/>
      <c r="BC790" s="115"/>
      <c r="BD790" s="115"/>
      <c r="BE790" s="115"/>
      <c r="BF790" s="13"/>
      <c r="BG790" s="15"/>
      <c r="BJ790" s="114"/>
    </row>
    <row r="791" spans="23:62" ht="19.5" x14ac:dyDescent="0.4"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26"/>
      <c r="AI791" s="15"/>
      <c r="AN791" s="117"/>
      <c r="AO791" s="123"/>
      <c r="AP791" s="123"/>
      <c r="AQ791" s="123"/>
      <c r="AR791" s="115"/>
      <c r="AS791" s="115"/>
      <c r="AT791" s="115"/>
      <c r="AU791" s="115"/>
      <c r="AV791" s="115"/>
      <c r="AW791" s="115"/>
      <c r="AX791" s="115"/>
      <c r="AY791" s="115"/>
      <c r="AZ791" s="115"/>
      <c r="BA791" s="115"/>
      <c r="BB791" s="115"/>
      <c r="BC791" s="115"/>
      <c r="BD791" s="115"/>
      <c r="BE791" s="115"/>
      <c r="BF791" s="13"/>
      <c r="BG791" s="15"/>
      <c r="BJ791" s="114"/>
    </row>
    <row r="792" spans="23:62" ht="19.5" x14ac:dyDescent="0.4"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26"/>
      <c r="AI792" s="15"/>
      <c r="AN792" s="117"/>
      <c r="AO792" s="123"/>
      <c r="AP792" s="123"/>
      <c r="AQ792" s="123"/>
      <c r="AR792" s="115"/>
      <c r="AS792" s="115"/>
      <c r="AT792" s="115"/>
      <c r="AU792" s="115"/>
      <c r="AV792" s="115"/>
      <c r="AW792" s="115"/>
      <c r="AX792" s="115"/>
      <c r="AY792" s="115"/>
      <c r="AZ792" s="115"/>
      <c r="BA792" s="115"/>
      <c r="BB792" s="115"/>
      <c r="BC792" s="115"/>
      <c r="BD792" s="115"/>
      <c r="BE792" s="115"/>
      <c r="BF792" s="13"/>
      <c r="BG792" s="15"/>
      <c r="BJ792" s="114"/>
    </row>
    <row r="793" spans="23:62" ht="19.5" x14ac:dyDescent="0.4"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26"/>
      <c r="AI793" s="15"/>
      <c r="AN793" s="117"/>
      <c r="AO793" s="123"/>
      <c r="AP793" s="123"/>
      <c r="AQ793" s="123"/>
      <c r="AR793" s="115"/>
      <c r="AS793" s="115"/>
      <c r="AT793" s="115"/>
      <c r="AU793" s="115"/>
      <c r="AV793" s="115"/>
      <c r="AW793" s="115"/>
      <c r="AX793" s="115"/>
      <c r="AY793" s="115"/>
      <c r="AZ793" s="115"/>
      <c r="BA793" s="115"/>
      <c r="BB793" s="115"/>
      <c r="BC793" s="115"/>
      <c r="BD793" s="115"/>
      <c r="BE793" s="115"/>
      <c r="BF793" s="13"/>
      <c r="BG793" s="15"/>
      <c r="BJ793" s="114"/>
    </row>
    <row r="794" spans="23:62" ht="19.5" x14ac:dyDescent="0.4">
      <c r="AH794" s="26"/>
      <c r="AI794" s="15"/>
      <c r="AN794" s="117"/>
      <c r="AO794" s="123"/>
      <c r="AP794" s="123"/>
      <c r="AQ794" s="123"/>
      <c r="AR794" s="115"/>
      <c r="AS794" s="115"/>
      <c r="AT794" s="115"/>
      <c r="AU794" s="115"/>
      <c r="AV794" s="115"/>
      <c r="AW794" s="115"/>
      <c r="AX794" s="115"/>
      <c r="AY794" s="115"/>
      <c r="AZ794" s="115"/>
      <c r="BA794" s="115"/>
      <c r="BB794" s="115"/>
      <c r="BC794" s="115"/>
      <c r="BD794" s="115"/>
      <c r="BE794" s="115"/>
      <c r="BF794" s="25">
        <v>45275</v>
      </c>
      <c r="BG794" s="15" t="s">
        <v>163</v>
      </c>
      <c r="BJ794" s="114"/>
    </row>
    <row r="795" spans="23:62" ht="19.5" x14ac:dyDescent="0.4">
      <c r="AH795" s="26"/>
      <c r="AI795" s="15"/>
      <c r="AN795" s="117"/>
      <c r="AO795" s="123"/>
      <c r="AP795" s="123"/>
      <c r="AQ795" s="123"/>
      <c r="AR795" s="115"/>
      <c r="AS795" s="115"/>
      <c r="AT795" s="115"/>
      <c r="AU795" s="115"/>
      <c r="AV795" s="115"/>
      <c r="AW795" s="115"/>
      <c r="AX795" s="115"/>
      <c r="AY795" s="115"/>
      <c r="AZ795" s="115"/>
      <c r="BA795" s="115"/>
      <c r="BB795" s="115"/>
      <c r="BC795" s="115"/>
      <c r="BD795" s="115"/>
      <c r="BE795" s="115" t="s">
        <v>168</v>
      </c>
      <c r="BF795" s="13">
        <f>SUBTOTAL(3,BF794:BF794)</f>
        <v>1</v>
      </c>
      <c r="BG795" s="15">
        <f>SUBTOTAL(3,BG794:BG794)</f>
        <v>1</v>
      </c>
      <c r="BJ795" s="114"/>
    </row>
    <row r="796" spans="23:62" ht="19.5" x14ac:dyDescent="0.4">
      <c r="AH796" s="26"/>
      <c r="AI796" s="15"/>
      <c r="AN796" s="117"/>
      <c r="AO796" s="123"/>
      <c r="AP796" s="123"/>
      <c r="AQ796" s="123"/>
      <c r="AR796" s="115"/>
      <c r="AS796" s="115"/>
      <c r="AT796" s="115"/>
      <c r="AU796" s="115"/>
      <c r="AV796" s="115"/>
      <c r="AW796" s="115"/>
      <c r="AX796" s="115"/>
      <c r="AY796" s="115"/>
      <c r="AZ796" s="115"/>
      <c r="BA796" s="115"/>
      <c r="BB796" s="115"/>
      <c r="BC796" s="115"/>
      <c r="BD796" s="115"/>
      <c r="BE796" s="115"/>
      <c r="BF796" s="25">
        <v>45276</v>
      </c>
      <c r="BG796" s="15" t="s">
        <v>164</v>
      </c>
      <c r="BJ796" s="114"/>
    </row>
    <row r="797" spans="23:62" ht="19.5" x14ac:dyDescent="0.4">
      <c r="AH797" s="26"/>
      <c r="AI797" s="15"/>
      <c r="AN797" s="117"/>
      <c r="AO797" s="123"/>
      <c r="AP797" s="123"/>
      <c r="AQ797" s="123"/>
      <c r="AR797" s="115"/>
      <c r="AS797" s="115"/>
      <c r="AT797" s="115"/>
      <c r="AU797" s="115"/>
      <c r="AV797" s="115"/>
      <c r="AW797" s="115"/>
      <c r="AX797" s="115"/>
      <c r="AY797" s="115"/>
      <c r="AZ797" s="115"/>
      <c r="BA797" s="115"/>
      <c r="BB797" s="115"/>
      <c r="BC797" s="115"/>
      <c r="BD797" s="115"/>
      <c r="BE797" s="115"/>
      <c r="BF797" s="25">
        <v>45276</v>
      </c>
      <c r="BG797" s="15" t="s">
        <v>162</v>
      </c>
      <c r="BJ797" s="114"/>
    </row>
    <row r="798" spans="23:62" ht="19.5" x14ac:dyDescent="0.4">
      <c r="AH798" s="26"/>
      <c r="AI798" s="15"/>
      <c r="AN798" s="117"/>
      <c r="AO798" s="123"/>
      <c r="AP798" s="123"/>
      <c r="AQ798" s="123"/>
      <c r="AR798" s="115"/>
      <c r="AS798" s="115"/>
      <c r="AT798" s="115"/>
      <c r="AU798" s="115"/>
      <c r="AV798" s="115"/>
      <c r="AW798" s="115"/>
      <c r="AX798" s="115"/>
      <c r="AY798" s="115"/>
      <c r="AZ798" s="115"/>
      <c r="BA798" s="115"/>
      <c r="BB798" s="115"/>
      <c r="BC798" s="115"/>
      <c r="BD798" s="115"/>
      <c r="BE798" s="115"/>
      <c r="BF798" s="25">
        <v>45276</v>
      </c>
      <c r="BG798" s="15" t="s">
        <v>162</v>
      </c>
      <c r="BJ798" s="114"/>
    </row>
    <row r="799" spans="23:62" ht="19.5" x14ac:dyDescent="0.4">
      <c r="AH799" s="26"/>
      <c r="AI799" s="15"/>
      <c r="AN799" s="117"/>
      <c r="AO799" s="123"/>
      <c r="AP799" s="123"/>
      <c r="AQ799" s="123"/>
      <c r="AR799" s="115"/>
      <c r="AS799" s="115"/>
      <c r="AT799" s="115"/>
      <c r="AU799" s="115"/>
      <c r="AV799" s="115"/>
      <c r="AW799" s="115"/>
      <c r="AX799" s="115"/>
      <c r="AY799" s="115"/>
      <c r="AZ799" s="115"/>
      <c r="BA799" s="115"/>
      <c r="BB799" s="115"/>
      <c r="BC799" s="115"/>
      <c r="BD799" s="115"/>
      <c r="BE799" s="115"/>
      <c r="BF799" s="25">
        <v>45276</v>
      </c>
      <c r="BG799" s="15" t="s">
        <v>162</v>
      </c>
      <c r="BJ799" s="114"/>
    </row>
    <row r="800" spans="23:62" ht="19.5" x14ac:dyDescent="0.4">
      <c r="AH800" s="26"/>
      <c r="AI800" s="15"/>
      <c r="AN800" s="117"/>
      <c r="AO800" s="123"/>
      <c r="AP800" s="123"/>
      <c r="AQ800" s="123"/>
      <c r="AR800" s="115"/>
      <c r="AS800" s="115"/>
      <c r="AT800" s="115"/>
      <c r="AU800" s="115"/>
      <c r="AV800" s="115"/>
      <c r="AW800" s="115"/>
      <c r="AX800" s="115"/>
      <c r="AY800" s="115"/>
      <c r="AZ800" s="115"/>
      <c r="BA800" s="115"/>
      <c r="BB800" s="115"/>
      <c r="BC800" s="115"/>
      <c r="BD800" s="115"/>
      <c r="BE800" s="115"/>
      <c r="BF800" s="25">
        <v>45276</v>
      </c>
      <c r="BG800" s="15" t="s">
        <v>162</v>
      </c>
      <c r="BJ800" s="114"/>
    </row>
    <row r="801" spans="6:62" ht="19.5" x14ac:dyDescent="0.4"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26"/>
      <c r="AI801" s="15"/>
      <c r="AN801" s="117"/>
      <c r="AO801" s="123"/>
      <c r="AP801" s="123"/>
      <c r="AQ801" s="123"/>
      <c r="AR801" s="115"/>
      <c r="AS801" s="115"/>
      <c r="AT801" s="115"/>
      <c r="AU801" s="115"/>
      <c r="AV801" s="115"/>
      <c r="AW801" s="115"/>
      <c r="AX801" s="115"/>
      <c r="AY801" s="115"/>
      <c r="AZ801" s="115"/>
      <c r="BA801" s="115"/>
      <c r="BB801" s="115"/>
      <c r="BC801" s="115"/>
      <c r="BD801" s="115"/>
      <c r="BE801" s="115"/>
      <c r="BF801" s="25"/>
      <c r="BG801" s="15"/>
      <c r="BJ801" s="114"/>
    </row>
    <row r="802" spans="6:62" ht="19.5" x14ac:dyDescent="0.4">
      <c r="AH802" s="26"/>
      <c r="AI802" s="15"/>
      <c r="AN802" s="117"/>
      <c r="AO802" s="123"/>
      <c r="AP802" s="123"/>
      <c r="AQ802" s="123"/>
      <c r="AR802" s="115"/>
      <c r="AS802" s="115"/>
      <c r="AT802" s="115"/>
      <c r="AU802" s="115"/>
      <c r="AV802" s="115"/>
      <c r="AW802" s="115"/>
      <c r="AX802" s="115"/>
      <c r="AY802" s="115"/>
      <c r="AZ802" s="115"/>
      <c r="BA802" s="115"/>
      <c r="BB802" s="115"/>
      <c r="BC802" s="115"/>
      <c r="BD802" s="115"/>
      <c r="BE802" s="115"/>
      <c r="BF802" s="25">
        <v>45276</v>
      </c>
      <c r="BG802" s="15" t="s">
        <v>162</v>
      </c>
      <c r="BJ802" s="114"/>
    </row>
    <row r="803" spans="6:62" ht="19.5" x14ac:dyDescent="0.4">
      <c r="AH803" s="26"/>
      <c r="AI803" s="15"/>
      <c r="AN803" s="117"/>
      <c r="AO803" s="123"/>
      <c r="AP803" s="123"/>
      <c r="AQ803" s="123"/>
      <c r="AR803" s="115"/>
      <c r="AS803" s="115"/>
      <c r="AT803" s="115"/>
      <c r="AU803" s="115"/>
      <c r="AV803" s="115"/>
      <c r="AW803" s="115"/>
      <c r="AX803" s="115"/>
      <c r="AY803" s="115"/>
      <c r="AZ803" s="115"/>
      <c r="BA803" s="115"/>
      <c r="BB803" s="115"/>
      <c r="BC803" s="115"/>
      <c r="BD803" s="115"/>
      <c r="BE803" s="115"/>
      <c r="BF803" s="25">
        <v>45276</v>
      </c>
      <c r="BG803" s="15" t="s">
        <v>162</v>
      </c>
      <c r="BJ803" s="114"/>
    </row>
    <row r="804" spans="6:62" ht="19.5" x14ac:dyDescent="0.4">
      <c r="Z804" s="115"/>
      <c r="AA804" s="115"/>
      <c r="AB804" s="115"/>
      <c r="AC804" s="115"/>
      <c r="AD804" s="115"/>
      <c r="AE804" s="115"/>
      <c r="AF804" s="115"/>
      <c r="AG804" s="115"/>
      <c r="AH804" s="17"/>
      <c r="AI804" s="15"/>
      <c r="AN804" s="117"/>
      <c r="AO804" s="123"/>
      <c r="AP804" s="123"/>
      <c r="AQ804" s="123"/>
      <c r="AR804" s="115"/>
      <c r="AS804" s="115"/>
      <c r="AT804" s="115"/>
      <c r="AU804" s="115"/>
      <c r="AV804" s="115"/>
      <c r="AW804" s="115"/>
      <c r="AX804" s="115"/>
      <c r="AY804" s="115"/>
      <c r="AZ804" s="115"/>
      <c r="BA804" s="115"/>
      <c r="BB804" s="115"/>
      <c r="BC804" s="115"/>
      <c r="BD804" s="115"/>
      <c r="BE804" s="115"/>
      <c r="BF804" s="25"/>
      <c r="BG804" s="15"/>
      <c r="BJ804" s="114"/>
    </row>
    <row r="805" spans="6:62" ht="19.5" x14ac:dyDescent="0.4"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26"/>
      <c r="AI805" s="15"/>
      <c r="AN805" s="117"/>
      <c r="AO805" s="123"/>
      <c r="AP805" s="123"/>
      <c r="AQ805" s="123"/>
      <c r="AR805" s="115"/>
      <c r="AS805" s="115"/>
      <c r="AT805" s="115"/>
      <c r="AU805" s="115"/>
      <c r="AV805" s="115"/>
      <c r="AW805" s="115"/>
      <c r="AX805" s="115"/>
      <c r="AY805" s="115"/>
      <c r="AZ805" s="115"/>
      <c r="BA805" s="115"/>
      <c r="BB805" s="115"/>
      <c r="BC805" s="115"/>
      <c r="BD805" s="115"/>
      <c r="BE805" s="115"/>
      <c r="BF805" s="25"/>
      <c r="BG805" s="15"/>
      <c r="BJ805" s="114"/>
    </row>
    <row r="806" spans="6:62" ht="19.5" x14ac:dyDescent="0.4"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26"/>
      <c r="AI806" s="15"/>
      <c r="AN806" s="117"/>
      <c r="AO806" s="123"/>
      <c r="AP806" s="123"/>
      <c r="AQ806" s="123"/>
      <c r="AR806" s="115"/>
      <c r="AS806" s="115"/>
      <c r="AT806" s="115"/>
      <c r="AU806" s="115"/>
      <c r="AV806" s="115"/>
      <c r="AW806" s="115"/>
      <c r="AX806" s="115"/>
      <c r="AY806" s="115"/>
      <c r="AZ806" s="115"/>
      <c r="BA806" s="115"/>
      <c r="BB806" s="115"/>
      <c r="BC806" s="115"/>
      <c r="BD806" s="115"/>
      <c r="BE806" s="115"/>
      <c r="BF806" s="25"/>
      <c r="BG806" s="15"/>
      <c r="BJ806" s="114"/>
    </row>
    <row r="807" spans="6:62" ht="19.5" x14ac:dyDescent="0.4"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26"/>
      <c r="AI807" s="15"/>
      <c r="AN807" s="117"/>
      <c r="AO807" s="123"/>
      <c r="AP807" s="123"/>
      <c r="AQ807" s="123"/>
      <c r="AR807" s="115"/>
      <c r="AS807" s="115"/>
      <c r="AT807" s="115"/>
      <c r="AU807" s="115"/>
      <c r="AV807" s="115"/>
      <c r="AW807" s="115"/>
      <c r="AX807" s="115"/>
      <c r="AY807" s="115"/>
      <c r="AZ807" s="115"/>
      <c r="BA807" s="115"/>
      <c r="BB807" s="115"/>
      <c r="BC807" s="115"/>
      <c r="BD807" s="115"/>
      <c r="BE807" s="115"/>
      <c r="BF807" s="25"/>
      <c r="BG807" s="15"/>
      <c r="BJ807" s="114"/>
    </row>
    <row r="808" spans="6:62" ht="19.5" x14ac:dyDescent="0.4">
      <c r="AH808" s="26"/>
      <c r="AI808" s="15"/>
      <c r="AM808" s="115"/>
      <c r="AN808" s="117"/>
      <c r="AO808" s="123"/>
      <c r="AP808" s="123"/>
      <c r="AQ808" s="123"/>
      <c r="AR808" s="115"/>
      <c r="AS808" s="115"/>
      <c r="AT808" s="115"/>
      <c r="AU808" s="115"/>
      <c r="AV808" s="115"/>
      <c r="AW808" s="115"/>
      <c r="AX808" s="115"/>
      <c r="AY808" s="115"/>
      <c r="AZ808" s="115"/>
      <c r="BA808" s="115"/>
      <c r="BB808" s="115"/>
      <c r="BC808" s="115"/>
      <c r="BD808" s="115"/>
      <c r="BE808" s="115"/>
      <c r="BF808" s="25">
        <v>45276</v>
      </c>
      <c r="BG808" s="15" t="s">
        <v>162</v>
      </c>
      <c r="BJ808" s="114"/>
    </row>
    <row r="809" spans="6:62" ht="19.5" x14ac:dyDescent="0.4">
      <c r="AH809" s="26"/>
      <c r="AI809" s="15"/>
      <c r="AM809" s="115"/>
      <c r="AN809" s="117"/>
      <c r="AO809" s="123"/>
      <c r="AP809" s="123"/>
      <c r="AQ809" s="123"/>
      <c r="AR809" s="115"/>
      <c r="AS809" s="115"/>
      <c r="AT809" s="115"/>
      <c r="AU809" s="115"/>
      <c r="AV809" s="115"/>
      <c r="AW809" s="115"/>
      <c r="AX809" s="115"/>
      <c r="AY809" s="115"/>
      <c r="AZ809" s="115"/>
      <c r="BA809" s="115"/>
      <c r="BB809" s="115"/>
      <c r="BC809" s="115"/>
      <c r="BD809" s="115"/>
      <c r="BE809" s="115"/>
      <c r="BF809" s="25">
        <v>45276</v>
      </c>
      <c r="BG809" s="15" t="s">
        <v>162</v>
      </c>
      <c r="BJ809" s="114"/>
    </row>
    <row r="810" spans="6:62" ht="19.5" x14ac:dyDescent="0.4">
      <c r="AH810" s="26"/>
      <c r="AI810" s="15"/>
      <c r="AM810" s="115"/>
      <c r="AN810" s="117"/>
      <c r="AO810" s="123"/>
      <c r="AP810" s="123"/>
      <c r="AQ810" s="123"/>
      <c r="AR810" s="115"/>
      <c r="AS810" s="115"/>
      <c r="AT810" s="115"/>
      <c r="AU810" s="115"/>
      <c r="AV810" s="115"/>
      <c r="AW810" s="115"/>
      <c r="AX810" s="115"/>
      <c r="AY810" s="115"/>
      <c r="AZ810" s="115"/>
      <c r="BA810" s="115"/>
      <c r="BB810" s="115"/>
      <c r="BC810" s="115"/>
      <c r="BD810" s="115"/>
      <c r="BE810" s="115"/>
      <c r="BF810" s="25">
        <v>45276</v>
      </c>
      <c r="BG810" s="15" t="s">
        <v>162</v>
      </c>
      <c r="BJ810" s="114"/>
    </row>
    <row r="811" spans="6:62" ht="19.5" x14ac:dyDescent="0.4">
      <c r="Z811" s="115"/>
      <c r="AA811" s="115"/>
      <c r="AB811" s="115"/>
      <c r="AC811" s="115"/>
      <c r="AD811" s="115"/>
      <c r="AE811" s="115"/>
      <c r="AF811" s="115"/>
      <c r="AG811" s="115"/>
      <c r="AH811" s="17"/>
      <c r="AI811" s="15"/>
      <c r="AM811" s="115"/>
      <c r="AN811" s="117"/>
      <c r="AO811" s="123"/>
      <c r="AP811" s="123"/>
      <c r="AQ811" s="123"/>
      <c r="AR811" s="115"/>
      <c r="AS811" s="115"/>
      <c r="AT811" s="115"/>
      <c r="AU811" s="115"/>
      <c r="AV811" s="115"/>
      <c r="AW811" s="115"/>
      <c r="AX811" s="115"/>
      <c r="AY811" s="115"/>
      <c r="AZ811" s="115"/>
      <c r="BA811" s="115"/>
      <c r="BB811" s="115"/>
      <c r="BC811" s="115"/>
      <c r="BD811" s="115"/>
      <c r="BE811" s="115"/>
      <c r="BF811" s="25"/>
      <c r="BG811" s="15"/>
      <c r="BJ811" s="114"/>
    </row>
    <row r="812" spans="6:62" ht="19.5" x14ac:dyDescent="0.4"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26"/>
      <c r="AI812" s="15"/>
      <c r="AM812" s="115"/>
      <c r="AN812" s="117"/>
      <c r="AO812" s="123"/>
      <c r="AP812" s="123"/>
      <c r="AQ812" s="123"/>
      <c r="AR812" s="115"/>
      <c r="AS812" s="115"/>
      <c r="AT812" s="115"/>
      <c r="AU812" s="115"/>
      <c r="AV812" s="115"/>
      <c r="AW812" s="115"/>
      <c r="AX812" s="115"/>
      <c r="AY812" s="115"/>
      <c r="AZ812" s="115"/>
      <c r="BA812" s="115"/>
      <c r="BB812" s="115"/>
      <c r="BC812" s="115"/>
      <c r="BD812" s="115"/>
      <c r="BE812" s="115"/>
      <c r="BF812" s="25"/>
      <c r="BG812" s="15"/>
      <c r="BJ812" s="114"/>
    </row>
    <row r="813" spans="6:62" ht="19.5" x14ac:dyDescent="0.4"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7"/>
      <c r="AI813" s="15"/>
      <c r="AM813" s="115"/>
      <c r="AN813" s="117"/>
      <c r="AO813" s="123"/>
      <c r="AP813" s="123"/>
      <c r="AQ813" s="123"/>
      <c r="AR813" s="115"/>
      <c r="AS813" s="115"/>
      <c r="AT813" s="115"/>
      <c r="AU813" s="115"/>
      <c r="AV813" s="115"/>
      <c r="AW813" s="115"/>
      <c r="AX813" s="115"/>
      <c r="AY813" s="115"/>
      <c r="AZ813" s="115"/>
      <c r="BA813" s="115"/>
      <c r="BB813" s="115"/>
      <c r="BC813" s="115"/>
      <c r="BD813" s="115"/>
      <c r="BE813" s="115"/>
      <c r="BF813" s="25"/>
      <c r="BG813" s="15"/>
      <c r="BJ813" s="114"/>
    </row>
    <row r="814" spans="6:62" ht="19.5" x14ac:dyDescent="0.4">
      <c r="AH814" s="26"/>
      <c r="AI814" s="15"/>
      <c r="AM814" s="115"/>
      <c r="AN814" s="117"/>
      <c r="AO814" s="123"/>
      <c r="AP814" s="123"/>
      <c r="AQ814" s="123"/>
      <c r="AR814" s="115"/>
      <c r="AS814" s="115"/>
      <c r="AT814" s="115"/>
      <c r="AU814" s="115"/>
      <c r="AV814" s="115"/>
      <c r="AW814" s="115"/>
      <c r="AX814" s="115"/>
      <c r="AY814" s="115"/>
      <c r="AZ814" s="115"/>
      <c r="BA814" s="115"/>
      <c r="BB814" s="115"/>
      <c r="BC814" s="115"/>
      <c r="BD814" s="115"/>
      <c r="BE814" s="115"/>
      <c r="BF814" s="25"/>
      <c r="BG814" s="15"/>
      <c r="BJ814" s="114"/>
    </row>
    <row r="815" spans="6:62" ht="19.5" x14ac:dyDescent="0.4"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26"/>
      <c r="AI815" s="15"/>
      <c r="AM815" s="115"/>
      <c r="AN815" s="117"/>
      <c r="AO815" s="123"/>
      <c r="AP815" s="123"/>
      <c r="AQ815" s="123"/>
      <c r="AR815" s="115"/>
      <c r="AS815" s="115"/>
      <c r="AT815" s="115"/>
      <c r="AU815" s="115"/>
      <c r="AV815" s="115"/>
      <c r="AW815" s="115"/>
      <c r="AX815" s="115"/>
      <c r="AY815" s="115"/>
      <c r="AZ815" s="115"/>
      <c r="BA815" s="115"/>
      <c r="BB815" s="115"/>
      <c r="BC815" s="115"/>
      <c r="BD815" s="115"/>
      <c r="BE815" s="115"/>
      <c r="BF815" s="25"/>
      <c r="BG815" s="15"/>
      <c r="BJ815" s="114"/>
    </row>
    <row r="816" spans="6:62" ht="19.5" x14ac:dyDescent="0.4">
      <c r="AH816" s="26"/>
      <c r="AI816" s="15"/>
      <c r="AM816" s="115"/>
      <c r="AN816" s="117"/>
      <c r="AO816" s="123"/>
      <c r="AP816" s="123"/>
      <c r="AQ816" s="123"/>
      <c r="AR816" s="115"/>
      <c r="AS816" s="115"/>
      <c r="AT816" s="115"/>
      <c r="AU816" s="115"/>
      <c r="AV816" s="115"/>
      <c r="AW816" s="115"/>
      <c r="AX816" s="115"/>
      <c r="AY816" s="115"/>
      <c r="AZ816" s="115"/>
      <c r="BA816" s="115"/>
      <c r="BB816" s="115"/>
      <c r="BC816" s="115"/>
      <c r="BD816" s="115"/>
      <c r="BE816" s="115"/>
      <c r="BF816" s="25">
        <v>45276</v>
      </c>
      <c r="BG816" s="15" t="s">
        <v>162</v>
      </c>
      <c r="BJ816" s="114"/>
    </row>
    <row r="817" spans="23:62" ht="19.5" x14ac:dyDescent="0.4">
      <c r="Z817" s="115"/>
      <c r="AA817" s="115"/>
      <c r="AB817" s="115"/>
      <c r="AC817" s="115"/>
      <c r="AD817" s="115"/>
      <c r="AE817" s="115"/>
      <c r="AF817" s="115"/>
      <c r="AG817" s="115"/>
      <c r="AH817" s="17"/>
      <c r="AI817" s="15"/>
      <c r="AM817" s="115"/>
      <c r="AN817" s="117"/>
      <c r="AO817" s="123"/>
      <c r="AP817" s="123"/>
      <c r="AQ817" s="123"/>
      <c r="AR817" s="115"/>
      <c r="AS817" s="115"/>
      <c r="AT817" s="115"/>
      <c r="AU817" s="115"/>
      <c r="AV817" s="115"/>
      <c r="AW817" s="115"/>
      <c r="AX817" s="115"/>
      <c r="AY817" s="115"/>
      <c r="AZ817" s="115"/>
      <c r="BA817" s="115"/>
      <c r="BB817" s="115"/>
      <c r="BC817" s="115"/>
      <c r="BD817" s="115"/>
      <c r="BE817" s="115"/>
      <c r="BF817" s="25"/>
      <c r="BG817" s="15"/>
      <c r="BJ817" s="114"/>
    </row>
    <row r="818" spans="23:62" ht="19.5" x14ac:dyDescent="0.4">
      <c r="AH818" s="26"/>
      <c r="AI818" s="15"/>
      <c r="AM818" s="115"/>
      <c r="AN818" s="117"/>
      <c r="AO818" s="123"/>
      <c r="AP818" s="123"/>
      <c r="AQ818" s="123"/>
      <c r="AR818" s="115"/>
      <c r="AS818" s="115"/>
      <c r="AT818" s="115"/>
      <c r="AU818" s="115"/>
      <c r="AV818" s="115"/>
      <c r="AW818" s="115"/>
      <c r="AX818" s="115"/>
      <c r="AY818" s="115"/>
      <c r="AZ818" s="115"/>
      <c r="BA818" s="115"/>
      <c r="BB818" s="115"/>
      <c r="BC818" s="115"/>
      <c r="BD818" s="115"/>
      <c r="BE818" s="115"/>
      <c r="BF818" s="25">
        <v>45276</v>
      </c>
      <c r="BG818" s="15" t="s">
        <v>162</v>
      </c>
      <c r="BJ818" s="114"/>
    </row>
    <row r="819" spans="23:62" ht="19.5" x14ac:dyDescent="0.4">
      <c r="Z819" s="115"/>
      <c r="AA819" s="115"/>
      <c r="AB819" s="115"/>
      <c r="AC819" s="115"/>
      <c r="AD819" s="115"/>
      <c r="AE819" s="115"/>
      <c r="AF819" s="115"/>
      <c r="AG819" s="115"/>
      <c r="AH819" s="17"/>
      <c r="AI819" s="15"/>
      <c r="AM819" s="115"/>
      <c r="AN819" s="117"/>
      <c r="AO819" s="123"/>
      <c r="AP819" s="123"/>
      <c r="AQ819" s="123"/>
      <c r="AR819" s="115"/>
      <c r="AS819" s="115"/>
      <c r="AT819" s="115"/>
      <c r="AU819" s="115"/>
      <c r="AV819" s="115"/>
      <c r="AW819" s="115"/>
      <c r="AX819" s="115"/>
      <c r="AY819" s="115"/>
      <c r="AZ819" s="115"/>
      <c r="BA819" s="115"/>
      <c r="BB819" s="115"/>
      <c r="BC819" s="115"/>
      <c r="BD819" s="115"/>
      <c r="BE819" s="115"/>
      <c r="BF819" s="25"/>
      <c r="BG819" s="15"/>
      <c r="BJ819" s="114"/>
    </row>
    <row r="820" spans="23:62" ht="19.5" x14ac:dyDescent="0.4"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26"/>
      <c r="AI820" s="15"/>
      <c r="AM820" s="115"/>
      <c r="AN820" s="117"/>
      <c r="AO820" s="123"/>
      <c r="AP820" s="123"/>
      <c r="AQ820" s="123"/>
      <c r="AR820" s="115"/>
      <c r="AS820" s="115"/>
      <c r="AT820" s="115"/>
      <c r="AU820" s="115"/>
      <c r="AV820" s="115"/>
      <c r="AW820" s="115"/>
      <c r="AX820" s="115"/>
      <c r="AY820" s="115"/>
      <c r="AZ820" s="115"/>
      <c r="BA820" s="115"/>
      <c r="BB820" s="115"/>
      <c r="BC820" s="115"/>
      <c r="BD820" s="115"/>
      <c r="BE820" s="115"/>
      <c r="BF820" s="25"/>
      <c r="BG820" s="15"/>
      <c r="BJ820" s="114"/>
    </row>
    <row r="821" spans="23:62" ht="19.5" x14ac:dyDescent="0.4"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7"/>
      <c r="AI821" s="15"/>
      <c r="AM821" s="115"/>
      <c r="AN821" s="117"/>
      <c r="AO821" s="123"/>
      <c r="AP821" s="123"/>
      <c r="AQ821" s="123"/>
      <c r="AR821" s="115"/>
      <c r="AS821" s="115"/>
      <c r="AT821" s="115"/>
      <c r="AU821" s="115"/>
      <c r="AV821" s="115"/>
      <c r="AW821" s="115"/>
      <c r="AX821" s="115"/>
      <c r="AY821" s="115"/>
      <c r="AZ821" s="115"/>
      <c r="BA821" s="115"/>
      <c r="BB821" s="115"/>
      <c r="BC821" s="115"/>
      <c r="BD821" s="115"/>
      <c r="BE821" s="115"/>
      <c r="BF821" s="25"/>
      <c r="BG821" s="15"/>
      <c r="BJ821" s="114"/>
    </row>
    <row r="822" spans="23:62" ht="19.5" x14ac:dyDescent="0.4">
      <c r="AH822" s="26"/>
      <c r="AI822" s="15"/>
      <c r="AM822" s="115"/>
      <c r="AN822" s="117"/>
      <c r="AO822" s="123"/>
      <c r="AP822" s="123"/>
      <c r="AQ822" s="123"/>
      <c r="AR822" s="115"/>
      <c r="AS822" s="115"/>
      <c r="AT822" s="115"/>
      <c r="AU822" s="115"/>
      <c r="AV822" s="115"/>
      <c r="AW822" s="115"/>
      <c r="AX822" s="115"/>
      <c r="AY822" s="115"/>
      <c r="AZ822" s="115"/>
      <c r="BA822" s="115"/>
      <c r="BB822" s="115"/>
      <c r="BC822" s="115"/>
      <c r="BD822" s="115"/>
      <c r="BE822" s="115"/>
      <c r="BF822" s="25">
        <v>45276</v>
      </c>
      <c r="BG822" s="15" t="s">
        <v>162</v>
      </c>
      <c r="BJ822" s="114"/>
    </row>
    <row r="823" spans="23:62" ht="19.5" x14ac:dyDescent="0.4">
      <c r="AH823" s="26"/>
      <c r="AI823" s="15"/>
      <c r="AM823" s="115"/>
      <c r="AN823" s="117"/>
      <c r="AO823" s="123"/>
      <c r="AP823" s="123"/>
      <c r="AQ823" s="123"/>
      <c r="AR823" s="115"/>
      <c r="AS823" s="115"/>
      <c r="AT823" s="115"/>
      <c r="AU823" s="115"/>
      <c r="AV823" s="115"/>
      <c r="AW823" s="115"/>
      <c r="AX823" s="115"/>
      <c r="AY823" s="115"/>
      <c r="AZ823" s="115"/>
      <c r="BA823" s="115"/>
      <c r="BB823" s="115"/>
      <c r="BC823" s="115"/>
      <c r="BD823" s="115"/>
      <c r="BE823" s="115"/>
      <c r="BF823" s="25">
        <v>45276</v>
      </c>
      <c r="BG823" s="15" t="s">
        <v>162</v>
      </c>
      <c r="BJ823" s="114"/>
    </row>
    <row r="824" spans="23:62" ht="19.5" x14ac:dyDescent="0.4">
      <c r="AH824" s="26"/>
      <c r="AI824" s="15"/>
      <c r="AM824" s="115"/>
      <c r="AN824" s="117"/>
      <c r="AO824" s="123"/>
      <c r="AP824" s="123"/>
      <c r="AQ824" s="123"/>
      <c r="AR824" s="115"/>
      <c r="AS824" s="115"/>
      <c r="AT824" s="115"/>
      <c r="AU824" s="115"/>
      <c r="AV824" s="115"/>
      <c r="AW824" s="115"/>
      <c r="AX824" s="115"/>
      <c r="AY824" s="115"/>
      <c r="AZ824" s="115"/>
      <c r="BA824" s="115"/>
      <c r="BB824" s="115"/>
      <c r="BC824" s="115"/>
      <c r="BD824" s="115"/>
      <c r="BE824" s="115"/>
      <c r="BF824" s="25">
        <v>45276</v>
      </c>
      <c r="BG824" s="15" t="s">
        <v>162</v>
      </c>
      <c r="BJ824" s="114"/>
    </row>
    <row r="825" spans="23:62" ht="19.5" x14ac:dyDescent="0.4">
      <c r="AH825" s="26"/>
      <c r="AI825" s="15"/>
      <c r="AM825" s="115"/>
      <c r="AN825" s="117"/>
      <c r="AO825" s="123"/>
      <c r="AP825" s="123"/>
      <c r="AQ825" s="123"/>
      <c r="AR825" s="115"/>
      <c r="AS825" s="115"/>
      <c r="AT825" s="115"/>
      <c r="AU825" s="115"/>
      <c r="AV825" s="115"/>
      <c r="AW825" s="115"/>
      <c r="AX825" s="115"/>
      <c r="AY825" s="115"/>
      <c r="AZ825" s="115"/>
      <c r="BA825" s="115"/>
      <c r="BB825" s="115"/>
      <c r="BC825" s="115"/>
      <c r="BD825" s="115"/>
      <c r="BE825" s="115"/>
      <c r="BF825" s="25"/>
      <c r="BG825" s="15"/>
      <c r="BJ825" s="114"/>
    </row>
    <row r="826" spans="23:62" ht="19.5" x14ac:dyDescent="0.4">
      <c r="Z826" s="115"/>
      <c r="AA826" s="115"/>
      <c r="AB826" s="115"/>
      <c r="AC826" s="115"/>
      <c r="AD826" s="115"/>
      <c r="AE826" s="115"/>
      <c r="AF826" s="115"/>
      <c r="AG826" s="115"/>
      <c r="AH826" s="17"/>
      <c r="AI826" s="15"/>
      <c r="AM826" s="115"/>
      <c r="AN826" s="117"/>
      <c r="AO826" s="123"/>
      <c r="AP826" s="123"/>
      <c r="AQ826" s="123"/>
      <c r="AR826" s="115"/>
      <c r="AS826" s="115"/>
      <c r="AT826" s="115"/>
      <c r="AU826" s="115"/>
      <c r="AV826" s="115"/>
      <c r="AW826" s="115"/>
      <c r="AX826" s="115"/>
      <c r="AY826" s="115"/>
      <c r="AZ826" s="115"/>
      <c r="BA826" s="115"/>
      <c r="BB826" s="115"/>
      <c r="BC826" s="115"/>
      <c r="BD826" s="115"/>
      <c r="BE826" s="115"/>
      <c r="BF826" s="25"/>
      <c r="BG826" s="15"/>
      <c r="BJ826" s="114"/>
    </row>
    <row r="827" spans="23:62" ht="19.5" x14ac:dyDescent="0.4">
      <c r="AH827" s="26"/>
      <c r="AI827" s="15"/>
      <c r="AM827" s="115"/>
      <c r="AN827" s="117"/>
      <c r="AO827" s="123"/>
      <c r="AP827" s="123"/>
      <c r="AQ827" s="123"/>
      <c r="AR827" s="115"/>
      <c r="AS827" s="115"/>
      <c r="AT827" s="115"/>
      <c r="AU827" s="115"/>
      <c r="AV827" s="115"/>
      <c r="AW827" s="115"/>
      <c r="AX827" s="115"/>
      <c r="AY827" s="115"/>
      <c r="AZ827" s="115"/>
      <c r="BA827" s="115"/>
      <c r="BB827" s="115"/>
      <c r="BC827" s="115"/>
      <c r="BD827" s="115"/>
      <c r="BE827" s="115"/>
      <c r="BF827" s="25">
        <v>45276</v>
      </c>
      <c r="BG827" s="15" t="s">
        <v>162</v>
      </c>
      <c r="BJ827" s="114"/>
    </row>
    <row r="828" spans="23:62" ht="19.5" x14ac:dyDescent="0.4">
      <c r="AH828" s="26"/>
      <c r="AI828" s="15"/>
      <c r="AM828" s="115"/>
      <c r="AN828" s="117"/>
      <c r="AO828" s="123"/>
      <c r="AP828" s="123"/>
      <c r="AQ828" s="123"/>
      <c r="AR828" s="115"/>
      <c r="AS828" s="115"/>
      <c r="AT828" s="115"/>
      <c r="AU828" s="115"/>
      <c r="AV828" s="115"/>
      <c r="AW828" s="115"/>
      <c r="AX828" s="115"/>
      <c r="AY828" s="115"/>
      <c r="AZ828" s="115"/>
      <c r="BA828" s="115"/>
      <c r="BB828" s="115"/>
      <c r="BC828" s="115"/>
      <c r="BD828" s="115"/>
      <c r="BE828" s="115"/>
      <c r="BF828" s="25">
        <v>45276</v>
      </c>
      <c r="BG828" s="15" t="s">
        <v>162</v>
      </c>
      <c r="BJ828" s="114"/>
    </row>
    <row r="829" spans="23:62" ht="19.5" x14ac:dyDescent="0.4">
      <c r="Z829" s="115"/>
      <c r="AA829" s="115"/>
      <c r="AB829" s="115"/>
      <c r="AC829" s="115"/>
      <c r="AD829" s="115"/>
      <c r="AE829" s="115"/>
      <c r="AF829" s="115"/>
      <c r="AG829" s="115"/>
      <c r="AH829" s="17"/>
      <c r="AI829" s="15"/>
      <c r="AM829" s="115"/>
      <c r="AN829" s="117"/>
      <c r="AO829" s="123"/>
      <c r="AP829" s="123"/>
      <c r="AQ829" s="123"/>
      <c r="AR829" s="115"/>
      <c r="AS829" s="115"/>
      <c r="AT829" s="115"/>
      <c r="AU829" s="115"/>
      <c r="AV829" s="115"/>
      <c r="AW829" s="115"/>
      <c r="AX829" s="115"/>
      <c r="AY829" s="115"/>
      <c r="AZ829" s="115"/>
      <c r="BA829" s="115"/>
      <c r="BB829" s="115"/>
      <c r="BC829" s="115"/>
      <c r="BD829" s="115"/>
      <c r="BE829" s="115"/>
      <c r="BF829" s="25"/>
      <c r="BG829" s="15"/>
      <c r="BJ829" s="114"/>
    </row>
    <row r="830" spans="23:62" ht="19.5" x14ac:dyDescent="0.4"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26"/>
      <c r="AI830" s="15"/>
      <c r="AM830" s="115"/>
      <c r="AN830" s="117"/>
      <c r="AO830" s="123"/>
      <c r="AP830" s="123"/>
      <c r="AQ830" s="123"/>
      <c r="AR830" s="115"/>
      <c r="AS830" s="115"/>
      <c r="AT830" s="115"/>
      <c r="AU830" s="115"/>
      <c r="AV830" s="115"/>
      <c r="AW830" s="115"/>
      <c r="AX830" s="115"/>
      <c r="AY830" s="115"/>
      <c r="AZ830" s="115"/>
      <c r="BA830" s="115"/>
      <c r="BB830" s="115"/>
      <c r="BC830" s="115"/>
      <c r="BD830" s="115"/>
      <c r="BE830" s="115"/>
      <c r="BF830" s="25"/>
      <c r="BG830" s="15"/>
      <c r="BJ830" s="114"/>
    </row>
    <row r="831" spans="23:62" ht="19.5" x14ac:dyDescent="0.4"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7"/>
      <c r="AI831" s="15"/>
      <c r="AM831" s="115"/>
      <c r="AN831" s="117"/>
      <c r="AO831" s="123"/>
      <c r="AP831" s="123"/>
      <c r="AQ831" s="123"/>
      <c r="AR831" s="115"/>
      <c r="AS831" s="115"/>
      <c r="AT831" s="115"/>
      <c r="AU831" s="115"/>
      <c r="AV831" s="115"/>
      <c r="AW831" s="115"/>
      <c r="AX831" s="115"/>
      <c r="AY831" s="115"/>
      <c r="AZ831" s="115"/>
      <c r="BA831" s="115"/>
      <c r="BB831" s="115"/>
      <c r="BC831" s="115"/>
      <c r="BD831" s="115"/>
      <c r="BE831" s="115"/>
      <c r="BF831" s="25"/>
      <c r="BG831" s="15"/>
      <c r="BJ831" s="114"/>
    </row>
    <row r="832" spans="23:62" ht="19.5" x14ac:dyDescent="0.4"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26"/>
      <c r="AI832" s="15"/>
      <c r="AM832" s="115"/>
      <c r="AN832" s="117"/>
      <c r="AO832" s="123"/>
      <c r="AP832" s="123"/>
      <c r="AQ832" s="123"/>
      <c r="AR832" s="115"/>
      <c r="AS832" s="115"/>
      <c r="AT832" s="115"/>
      <c r="AU832" s="115"/>
      <c r="AV832" s="115"/>
      <c r="AW832" s="115"/>
      <c r="AX832" s="115"/>
      <c r="AY832" s="115"/>
      <c r="AZ832" s="115"/>
      <c r="BA832" s="115"/>
      <c r="BB832" s="115"/>
      <c r="BC832" s="115"/>
      <c r="BD832" s="115"/>
      <c r="BE832" s="115"/>
      <c r="BF832" s="25"/>
      <c r="BG832" s="15"/>
      <c r="BJ832" s="114"/>
    </row>
    <row r="833" spans="6:62" ht="19.5" x14ac:dyDescent="0.4">
      <c r="AH833" s="26"/>
      <c r="AI833" s="15"/>
      <c r="AM833" s="115"/>
      <c r="AN833" s="117"/>
      <c r="AO833" s="123"/>
      <c r="AP833" s="123"/>
      <c r="AQ833" s="123"/>
      <c r="AR833" s="115"/>
      <c r="AS833" s="115"/>
      <c r="AT833" s="115"/>
      <c r="AU833" s="115"/>
      <c r="AV833" s="115"/>
      <c r="AW833" s="115"/>
      <c r="AX833" s="115"/>
      <c r="AY833" s="115"/>
      <c r="AZ833" s="115"/>
      <c r="BA833" s="115"/>
      <c r="BB833" s="115"/>
      <c r="BC833" s="115"/>
      <c r="BD833" s="115"/>
      <c r="BE833" s="115" t="s">
        <v>169</v>
      </c>
      <c r="BF833" s="13">
        <f>SUBTOTAL(3,BF796:BF828)</f>
        <v>17</v>
      </c>
      <c r="BG833" s="15">
        <f>SUBTOTAL(3,BG796:BG828)</f>
        <v>17</v>
      </c>
      <c r="BJ833" s="114"/>
    </row>
    <row r="834" spans="6:62" ht="19.5" x14ac:dyDescent="0.4"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26"/>
      <c r="AI834" s="15"/>
      <c r="AM834" s="115"/>
      <c r="AN834" s="117"/>
      <c r="AO834" s="123"/>
      <c r="AP834" s="123"/>
      <c r="AQ834" s="123"/>
      <c r="AR834" s="115"/>
      <c r="AS834" s="115"/>
      <c r="AT834" s="115"/>
      <c r="AU834" s="115"/>
      <c r="AV834" s="115"/>
      <c r="AW834" s="115"/>
      <c r="AX834" s="115"/>
      <c r="AY834" s="115"/>
      <c r="AZ834" s="115"/>
      <c r="BA834" s="115"/>
      <c r="BB834" s="115"/>
      <c r="BC834" s="115"/>
      <c r="BD834" s="115"/>
      <c r="BE834" s="115"/>
      <c r="BF834" s="13"/>
      <c r="BG834" s="15"/>
      <c r="BJ834" s="114"/>
    </row>
    <row r="835" spans="6:62" ht="19.5" x14ac:dyDescent="0.4">
      <c r="AH835" s="26"/>
      <c r="AI835" s="15"/>
      <c r="AM835" s="115"/>
      <c r="AN835" s="117"/>
      <c r="AO835" s="123"/>
      <c r="AP835" s="123"/>
      <c r="AQ835" s="123"/>
      <c r="AR835" s="115"/>
      <c r="AS835" s="115"/>
      <c r="AT835" s="115"/>
      <c r="AU835" s="115"/>
      <c r="AV835" s="115"/>
      <c r="AW835" s="115"/>
      <c r="AX835" s="115"/>
      <c r="AY835" s="115"/>
      <c r="AZ835" s="115"/>
      <c r="BA835" s="115"/>
      <c r="BB835" s="115"/>
      <c r="BC835" s="115"/>
      <c r="BD835" s="115"/>
      <c r="BE835" s="115"/>
      <c r="BF835" s="25">
        <v>45277</v>
      </c>
      <c r="BG835" s="15" t="s">
        <v>162</v>
      </c>
      <c r="BJ835" s="114"/>
    </row>
    <row r="836" spans="6:62" ht="19.5" x14ac:dyDescent="0.4">
      <c r="Z836" s="115"/>
      <c r="AA836" s="115"/>
      <c r="AB836" s="115"/>
      <c r="AC836" s="115"/>
      <c r="AD836" s="115"/>
      <c r="AE836" s="115"/>
      <c r="AF836" s="115"/>
      <c r="AG836" s="115"/>
      <c r="AH836" s="17"/>
      <c r="AI836" s="15"/>
      <c r="AM836" s="115"/>
      <c r="AN836" s="117"/>
      <c r="AO836" s="123"/>
      <c r="AP836" s="123"/>
      <c r="AQ836" s="123"/>
      <c r="AR836" s="115"/>
      <c r="AS836" s="115"/>
      <c r="AT836" s="115"/>
      <c r="AU836" s="115"/>
      <c r="AV836" s="115"/>
      <c r="AW836" s="115"/>
      <c r="AX836" s="115"/>
      <c r="AY836" s="115"/>
      <c r="AZ836" s="115"/>
      <c r="BA836" s="115"/>
      <c r="BB836" s="115"/>
      <c r="BC836" s="115"/>
      <c r="BD836" s="115"/>
      <c r="BE836" s="115"/>
      <c r="BF836" s="25"/>
      <c r="BG836" s="15"/>
      <c r="BJ836" s="114"/>
    </row>
    <row r="837" spans="6:62" ht="19.5" x14ac:dyDescent="0.4"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26"/>
      <c r="AI837" s="15"/>
      <c r="AM837" s="115"/>
      <c r="AN837" s="117"/>
      <c r="AO837" s="123"/>
      <c r="AP837" s="123"/>
      <c r="AQ837" s="123"/>
      <c r="AR837" s="115"/>
      <c r="AS837" s="115"/>
      <c r="AT837" s="115"/>
      <c r="AU837" s="115"/>
      <c r="AV837" s="115"/>
      <c r="AW837" s="115"/>
      <c r="AX837" s="115"/>
      <c r="AY837" s="115"/>
      <c r="AZ837" s="115"/>
      <c r="BA837" s="115"/>
      <c r="BB837" s="115"/>
      <c r="BC837" s="115"/>
      <c r="BD837" s="115"/>
      <c r="BE837" s="115"/>
      <c r="BF837" s="25"/>
      <c r="BG837" s="15"/>
      <c r="BJ837" s="114"/>
    </row>
    <row r="838" spans="6:62" ht="19.5" x14ac:dyDescent="0.4"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7"/>
      <c r="AI838" s="15"/>
      <c r="AM838" s="115"/>
      <c r="AN838" s="117"/>
      <c r="AO838" s="123"/>
      <c r="AP838" s="123"/>
      <c r="AQ838" s="123"/>
      <c r="AR838" s="115"/>
      <c r="AS838" s="115"/>
      <c r="AT838" s="115"/>
      <c r="AU838" s="115"/>
      <c r="AV838" s="115"/>
      <c r="AW838" s="115"/>
      <c r="AX838" s="115"/>
      <c r="AY838" s="115"/>
      <c r="AZ838" s="115"/>
      <c r="BA838" s="115"/>
      <c r="BB838" s="115"/>
      <c r="BC838" s="115"/>
      <c r="BD838" s="115"/>
      <c r="BE838" s="115"/>
      <c r="BF838" s="25"/>
      <c r="BG838" s="15"/>
      <c r="BJ838" s="114"/>
    </row>
    <row r="839" spans="6:62" ht="19.5" x14ac:dyDescent="0.4"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7"/>
      <c r="AI839" s="15"/>
      <c r="AM839" s="115"/>
      <c r="AN839" s="117"/>
      <c r="AO839" s="123"/>
      <c r="AP839" s="123"/>
      <c r="AQ839" s="123"/>
      <c r="AR839" s="115"/>
      <c r="AS839" s="115"/>
      <c r="AT839" s="115"/>
      <c r="AU839" s="115"/>
      <c r="AV839" s="115"/>
      <c r="AW839" s="115"/>
      <c r="AX839" s="115"/>
      <c r="AY839" s="115"/>
      <c r="AZ839" s="115"/>
      <c r="BA839" s="115"/>
      <c r="BB839" s="115"/>
      <c r="BC839" s="115"/>
      <c r="BD839" s="115"/>
      <c r="BE839" s="115"/>
      <c r="BF839" s="25"/>
      <c r="BG839" s="15"/>
      <c r="BJ839" s="114"/>
    </row>
    <row r="840" spans="6:62" ht="19.5" x14ac:dyDescent="0.4">
      <c r="AH840" s="26"/>
      <c r="AI840" s="15"/>
      <c r="AM840" s="115"/>
      <c r="AN840" s="117"/>
      <c r="AO840" s="123"/>
      <c r="AP840" s="123"/>
      <c r="AQ840" s="123"/>
      <c r="AR840" s="115"/>
      <c r="AS840" s="115"/>
      <c r="AT840" s="115"/>
      <c r="AU840" s="115"/>
      <c r="AV840" s="115"/>
      <c r="AW840" s="115"/>
      <c r="AX840" s="115"/>
      <c r="AY840" s="115"/>
      <c r="AZ840" s="115"/>
      <c r="BA840" s="115"/>
      <c r="BB840" s="115"/>
      <c r="BC840" s="115"/>
      <c r="BD840" s="115"/>
      <c r="BE840" s="115"/>
      <c r="BF840" s="25">
        <v>45277</v>
      </c>
      <c r="BG840" s="15" t="s">
        <v>162</v>
      </c>
      <c r="BJ840" s="114"/>
    </row>
    <row r="841" spans="6:62" ht="19.5" x14ac:dyDescent="0.4"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7"/>
      <c r="AI841" s="15"/>
      <c r="AM841" s="115"/>
      <c r="AN841" s="117"/>
      <c r="AO841" s="123"/>
      <c r="AP841" s="123"/>
      <c r="AQ841" s="123"/>
      <c r="AR841" s="115"/>
      <c r="AS841" s="115"/>
      <c r="AT841" s="115"/>
      <c r="AU841" s="115"/>
      <c r="AV841" s="115"/>
      <c r="AW841" s="115"/>
      <c r="AX841" s="115"/>
      <c r="AY841" s="115"/>
      <c r="AZ841" s="115"/>
      <c r="BA841" s="115"/>
      <c r="BB841" s="115"/>
      <c r="BC841" s="115"/>
      <c r="BD841" s="115"/>
      <c r="BE841" s="115"/>
      <c r="BF841" s="131"/>
      <c r="BG841" s="13"/>
      <c r="BJ841" s="114"/>
    </row>
    <row r="842" spans="6:62" ht="19.5" x14ac:dyDescent="0.4">
      <c r="AH842" s="26"/>
      <c r="AI842" s="15"/>
      <c r="AM842" s="115"/>
      <c r="AN842" s="117"/>
      <c r="AO842" s="123"/>
      <c r="AP842" s="123"/>
      <c r="AQ842" s="123"/>
      <c r="AR842" s="115"/>
      <c r="AS842" s="115"/>
      <c r="AT842" s="115"/>
      <c r="AU842" s="115"/>
      <c r="AV842" s="115"/>
      <c r="AW842" s="115"/>
      <c r="AX842" s="115"/>
      <c r="AY842" s="115"/>
      <c r="AZ842" s="115"/>
      <c r="BA842" s="115"/>
      <c r="BB842" s="115"/>
      <c r="BC842" s="115"/>
      <c r="BD842" s="115"/>
      <c r="BE842" s="115"/>
      <c r="BF842" s="26">
        <v>45277</v>
      </c>
      <c r="BG842" s="13" t="s">
        <v>162</v>
      </c>
      <c r="BJ842" s="114"/>
    </row>
    <row r="843" spans="6:62" ht="19.5" x14ac:dyDescent="0.4">
      <c r="AH843" s="26"/>
      <c r="AI843" s="15"/>
      <c r="AM843" s="115"/>
      <c r="AN843" s="117"/>
      <c r="AO843" s="123"/>
      <c r="AP843" s="123"/>
      <c r="AQ843" s="123"/>
      <c r="AR843" s="115"/>
      <c r="AS843" s="115"/>
      <c r="AT843" s="115"/>
      <c r="AU843" s="115"/>
      <c r="AV843" s="115"/>
      <c r="AW843" s="115"/>
      <c r="AX843" s="115"/>
      <c r="AY843" s="115"/>
      <c r="AZ843" s="115"/>
      <c r="BA843" s="115"/>
      <c r="BB843" s="115"/>
      <c r="BC843" s="115"/>
      <c r="BD843" s="115"/>
      <c r="BE843" s="115"/>
      <c r="BF843" s="26">
        <v>45277</v>
      </c>
      <c r="BG843" s="15" t="s">
        <v>162</v>
      </c>
      <c r="BJ843" s="114"/>
    </row>
    <row r="844" spans="6:62" ht="19.5" x14ac:dyDescent="0.4"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26"/>
      <c r="AI844" s="15"/>
      <c r="AM844" s="115"/>
      <c r="AN844" s="117"/>
      <c r="AO844" s="123"/>
      <c r="AP844" s="123"/>
      <c r="AQ844" s="123"/>
      <c r="AR844" s="115"/>
      <c r="AS844" s="115"/>
      <c r="AT844" s="115"/>
      <c r="AU844" s="115"/>
      <c r="AV844" s="115"/>
      <c r="AW844" s="115"/>
      <c r="AX844" s="115"/>
      <c r="AY844" s="115"/>
      <c r="AZ844" s="115"/>
      <c r="BA844" s="115"/>
      <c r="BB844" s="115"/>
      <c r="BC844" s="115"/>
      <c r="BD844" s="115"/>
      <c r="BE844" s="115"/>
      <c r="BF844" s="26"/>
      <c r="BG844" s="15"/>
      <c r="BJ844" s="114"/>
    </row>
    <row r="845" spans="6:62" ht="19.5" x14ac:dyDescent="0.4">
      <c r="AH845" s="26"/>
      <c r="AI845" s="15"/>
      <c r="AM845" s="115"/>
      <c r="AN845" s="117"/>
      <c r="AO845" s="123"/>
      <c r="AP845" s="123"/>
      <c r="AQ845" s="123"/>
      <c r="AR845" s="115"/>
      <c r="AS845" s="115"/>
      <c r="AT845" s="115"/>
      <c r="AU845" s="115"/>
      <c r="AV845" s="115"/>
      <c r="AW845" s="115"/>
      <c r="AX845" s="115"/>
      <c r="AY845" s="115"/>
      <c r="AZ845" s="115"/>
      <c r="BA845" s="115"/>
      <c r="BB845" s="115"/>
      <c r="BC845" s="115"/>
      <c r="BD845" s="115"/>
      <c r="BE845" s="115"/>
      <c r="BF845" s="26">
        <v>45277</v>
      </c>
      <c r="BG845" s="15" t="s">
        <v>162</v>
      </c>
      <c r="BJ845" s="114"/>
    </row>
    <row r="846" spans="6:62" ht="19.5" x14ac:dyDescent="0.4">
      <c r="AH846" s="26"/>
      <c r="AI846" s="15"/>
      <c r="AM846" s="115"/>
      <c r="AN846" s="117"/>
      <c r="AO846" s="123"/>
      <c r="AP846" s="123"/>
      <c r="AQ846" s="123"/>
      <c r="AR846" s="115"/>
      <c r="AS846" s="115"/>
      <c r="AT846" s="115"/>
      <c r="AU846" s="115"/>
      <c r="AV846" s="115"/>
      <c r="AW846" s="115"/>
      <c r="AX846" s="115"/>
      <c r="AY846" s="115"/>
      <c r="AZ846" s="115"/>
      <c r="BA846" s="115"/>
      <c r="BB846" s="115"/>
      <c r="BC846" s="115"/>
      <c r="BD846" s="115"/>
      <c r="BE846" s="115" t="s">
        <v>160</v>
      </c>
      <c r="BF846" s="17">
        <f>SUBTOTAL(3,BF835:BF845)</f>
        <v>5</v>
      </c>
      <c r="BG846" s="15">
        <f>SUBTOTAL(3,BG835:BG845)</f>
        <v>5</v>
      </c>
      <c r="BJ846" s="114"/>
    </row>
    <row r="847" spans="6:62" ht="19.5" x14ac:dyDescent="0.4"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26"/>
      <c r="AI847" s="15"/>
      <c r="AM847" s="115"/>
      <c r="AN847" s="117"/>
      <c r="AO847" s="123"/>
      <c r="AP847" s="123"/>
      <c r="AQ847" s="123"/>
      <c r="AR847" s="115"/>
      <c r="AS847" s="115"/>
      <c r="AT847" s="115"/>
      <c r="AU847" s="115"/>
      <c r="AV847" s="115"/>
      <c r="AW847" s="115"/>
      <c r="AX847" s="115"/>
      <c r="AY847" s="115"/>
      <c r="AZ847" s="115"/>
      <c r="BA847" s="115"/>
      <c r="BB847" s="115"/>
      <c r="BC847" s="115"/>
      <c r="BD847" s="115"/>
      <c r="BE847" s="115"/>
      <c r="BF847" s="17"/>
      <c r="BG847" s="15"/>
      <c r="BJ847" s="114"/>
    </row>
    <row r="848" spans="6:62" ht="19.5" x14ac:dyDescent="0.4"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26"/>
      <c r="AI848" s="15"/>
      <c r="AM848" s="115"/>
      <c r="AN848" s="117"/>
      <c r="AO848" s="123"/>
      <c r="AP848" s="123"/>
      <c r="AQ848" s="123"/>
      <c r="AR848" s="115"/>
      <c r="AS848" s="115"/>
      <c r="AT848" s="115"/>
      <c r="AU848" s="115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115"/>
      <c r="BF848" s="17"/>
      <c r="BG848" s="15"/>
      <c r="BJ848" s="114"/>
    </row>
    <row r="849" spans="6:62" ht="19.5" x14ac:dyDescent="0.4">
      <c r="AH849" s="26"/>
      <c r="AI849" s="15"/>
      <c r="AM849" s="115"/>
      <c r="AN849" s="117"/>
      <c r="AO849" s="123"/>
      <c r="AP849" s="123"/>
      <c r="AQ849" s="123"/>
      <c r="AR849" s="115"/>
      <c r="AS849" s="115"/>
      <c r="AT849" s="115"/>
      <c r="AU849" s="115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115"/>
      <c r="BF849" s="26">
        <v>45278</v>
      </c>
      <c r="BG849" s="15" t="s">
        <v>164</v>
      </c>
      <c r="BJ849" s="114"/>
    </row>
    <row r="850" spans="6:62" ht="19.5" x14ac:dyDescent="0.4">
      <c r="AH850" s="26"/>
      <c r="AI850" s="15"/>
      <c r="AM850" s="115"/>
      <c r="AN850" s="117"/>
      <c r="AO850" s="123"/>
      <c r="AP850" s="123"/>
      <c r="AQ850" s="123"/>
      <c r="AR850" s="115"/>
      <c r="AS850" s="115"/>
      <c r="AT850" s="115"/>
      <c r="AU850" s="115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115"/>
      <c r="BF850" s="26">
        <v>45278</v>
      </c>
      <c r="BG850" s="15" t="s">
        <v>164</v>
      </c>
      <c r="BJ850" s="114"/>
    </row>
    <row r="851" spans="6:62" ht="19.5" x14ac:dyDescent="0.4"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26"/>
      <c r="AI851" s="15"/>
      <c r="AM851" s="115"/>
      <c r="AN851" s="117"/>
      <c r="AO851" s="123"/>
      <c r="AP851" s="123"/>
      <c r="AQ851" s="123"/>
      <c r="AR851" s="115"/>
      <c r="AS851" s="115"/>
      <c r="AT851" s="115"/>
      <c r="AU851" s="115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115"/>
      <c r="BF851" s="26"/>
      <c r="BG851" s="15"/>
      <c r="BJ851" s="114"/>
    </row>
    <row r="852" spans="6:62" ht="19.5" x14ac:dyDescent="0.4">
      <c r="AH852" s="26"/>
      <c r="AI852" s="15"/>
      <c r="AM852" s="115"/>
      <c r="AN852" s="117"/>
      <c r="AO852" s="123"/>
      <c r="AP852" s="123"/>
      <c r="AQ852" s="123"/>
      <c r="AR852" s="115"/>
      <c r="AS852" s="115"/>
      <c r="AT852" s="115"/>
      <c r="AU852" s="115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115"/>
      <c r="BF852" s="26">
        <v>45278</v>
      </c>
      <c r="BG852" s="15" t="s">
        <v>162</v>
      </c>
      <c r="BJ852" s="114"/>
    </row>
    <row r="853" spans="6:62" ht="19.5" x14ac:dyDescent="0.4"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7"/>
      <c r="AI853" s="15"/>
      <c r="AM853" s="115"/>
      <c r="AN853" s="117"/>
      <c r="AO853" s="123"/>
      <c r="AP853" s="123"/>
      <c r="AQ853" s="123"/>
      <c r="AR853" s="115"/>
      <c r="AS853" s="115"/>
      <c r="AT853" s="115"/>
      <c r="AU853" s="115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115"/>
      <c r="BF853" s="26"/>
      <c r="BG853" s="15"/>
      <c r="BJ853" s="114"/>
    </row>
    <row r="854" spans="6:62" ht="19.5" x14ac:dyDescent="0.4"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26"/>
      <c r="AI854" s="15"/>
      <c r="AM854" s="115"/>
      <c r="AN854" s="117"/>
      <c r="AO854" s="123"/>
      <c r="AP854" s="123"/>
      <c r="AQ854" s="123"/>
      <c r="AR854" s="115"/>
      <c r="AS854" s="115"/>
      <c r="AT854" s="115"/>
      <c r="AU854" s="115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115"/>
      <c r="BF854" s="26"/>
      <c r="BG854" s="15"/>
      <c r="BJ854" s="114"/>
    </row>
    <row r="855" spans="6:62" ht="19.5" x14ac:dyDescent="0.4"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7"/>
      <c r="AI855" s="15"/>
      <c r="AM855" s="115"/>
      <c r="AN855" s="117"/>
      <c r="AO855" s="123"/>
      <c r="AP855" s="123"/>
      <c r="AQ855" s="123"/>
      <c r="AR855" s="115"/>
      <c r="AS855" s="115"/>
      <c r="AT855" s="115"/>
      <c r="AU855" s="115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115"/>
      <c r="BF855" s="26"/>
      <c r="BG855" s="15"/>
      <c r="BJ855" s="114"/>
    </row>
    <row r="856" spans="6:62" ht="19.5" x14ac:dyDescent="0.4">
      <c r="AH856" s="26"/>
      <c r="AI856" s="15"/>
      <c r="AM856" s="115"/>
      <c r="AN856" s="117"/>
      <c r="AO856" s="123"/>
      <c r="AP856" s="123"/>
      <c r="AQ856" s="123"/>
      <c r="AR856" s="115"/>
      <c r="AS856" s="115"/>
      <c r="AT856" s="115"/>
      <c r="AU856" s="115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115"/>
      <c r="BF856" s="26">
        <v>45278</v>
      </c>
      <c r="BG856" s="15" t="s">
        <v>142</v>
      </c>
      <c r="BJ856" s="114"/>
    </row>
    <row r="857" spans="6:62" ht="19.5" x14ac:dyDescent="0.4">
      <c r="AH857" s="26"/>
      <c r="AI857" s="15"/>
      <c r="AM857" s="115"/>
      <c r="AN857" s="117"/>
      <c r="AO857" s="123"/>
      <c r="AP857" s="123"/>
      <c r="AQ857" s="123"/>
      <c r="AR857" s="115"/>
      <c r="AS857" s="115"/>
      <c r="AT857" s="115"/>
      <c r="AU857" s="115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115"/>
      <c r="BF857" s="26">
        <v>45278</v>
      </c>
      <c r="BG857" s="15" t="s">
        <v>162</v>
      </c>
      <c r="BJ857" s="114"/>
    </row>
    <row r="858" spans="6:62" ht="19.5" x14ac:dyDescent="0.4">
      <c r="AH858" s="26"/>
      <c r="AI858" s="15"/>
      <c r="AM858" s="115"/>
      <c r="AN858" s="117"/>
      <c r="AO858" s="123"/>
      <c r="AP858" s="123"/>
      <c r="AQ858" s="123"/>
      <c r="AR858" s="115"/>
      <c r="AS858" s="115"/>
      <c r="AT858" s="115"/>
      <c r="AU858" s="115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115"/>
      <c r="BF858" s="26">
        <v>45278</v>
      </c>
      <c r="BG858" s="15" t="s">
        <v>162</v>
      </c>
      <c r="BJ858" s="114"/>
    </row>
    <row r="859" spans="6:62" ht="19.5" x14ac:dyDescent="0.4"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7"/>
      <c r="AI859" s="15"/>
      <c r="AM859" s="115"/>
      <c r="AN859" s="117"/>
      <c r="AO859" s="123"/>
      <c r="AP859" s="123"/>
      <c r="AQ859" s="123"/>
      <c r="AR859" s="115"/>
      <c r="AS859" s="115"/>
      <c r="AT859" s="115"/>
      <c r="AU859" s="115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115"/>
      <c r="BF859" s="26"/>
      <c r="BG859" s="15"/>
      <c r="BJ859" s="114"/>
    </row>
    <row r="860" spans="6:62" ht="19.5" x14ac:dyDescent="0.4"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26"/>
      <c r="AI860" s="15"/>
      <c r="AM860" s="115"/>
      <c r="AN860" s="117"/>
      <c r="AO860" s="123"/>
      <c r="AP860" s="123"/>
      <c r="AQ860" s="123"/>
      <c r="AR860" s="115"/>
      <c r="AS860" s="115"/>
      <c r="AT860" s="115"/>
      <c r="AU860" s="115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115"/>
      <c r="BF860" s="26"/>
      <c r="BG860" s="15"/>
      <c r="BJ860" s="114"/>
    </row>
    <row r="861" spans="6:62" ht="19.5" x14ac:dyDescent="0.4"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26"/>
      <c r="AI861" s="15"/>
      <c r="AM861" s="115"/>
      <c r="AN861" s="117"/>
      <c r="AO861" s="123"/>
      <c r="AP861" s="123"/>
      <c r="AQ861" s="123"/>
      <c r="AR861" s="115"/>
      <c r="AS861" s="115"/>
      <c r="AT861" s="115"/>
      <c r="AU861" s="115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115"/>
      <c r="BF861" s="26"/>
      <c r="BG861" s="15"/>
      <c r="BJ861" s="114"/>
    </row>
    <row r="862" spans="6:62" ht="19.5" x14ac:dyDescent="0.4"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7"/>
      <c r="AI862" s="15"/>
      <c r="AM862" s="115"/>
      <c r="AN862" s="117"/>
      <c r="AO862" s="123"/>
      <c r="AP862" s="123"/>
      <c r="AQ862" s="123"/>
      <c r="AR862" s="115"/>
      <c r="AS862" s="115"/>
      <c r="AT862" s="115"/>
      <c r="AU862" s="115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115"/>
      <c r="BF862" s="26"/>
      <c r="BG862" s="15"/>
      <c r="BJ862" s="114"/>
    </row>
    <row r="863" spans="6:62" ht="19.5" x14ac:dyDescent="0.4"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26"/>
      <c r="AI863" s="15"/>
      <c r="AM863" s="115"/>
      <c r="AN863" s="117"/>
      <c r="AO863" s="123"/>
      <c r="AP863" s="123"/>
      <c r="AQ863" s="123"/>
      <c r="AR863" s="115"/>
      <c r="AS863" s="115"/>
      <c r="AT863" s="115"/>
      <c r="AU863" s="115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115"/>
      <c r="BF863" s="26"/>
      <c r="BG863" s="15"/>
      <c r="BJ863" s="114"/>
    </row>
    <row r="864" spans="6:62" ht="19.5" x14ac:dyDescent="0.4">
      <c r="AH864" s="26"/>
      <c r="AI864" s="15"/>
      <c r="AM864" s="115"/>
      <c r="AN864" s="117"/>
      <c r="AO864" s="123"/>
      <c r="AP864" s="123"/>
      <c r="AQ864" s="123"/>
      <c r="AR864" s="115"/>
      <c r="AS864" s="115"/>
      <c r="AT864" s="115"/>
      <c r="AU864" s="115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115"/>
      <c r="BF864" s="26">
        <v>45278</v>
      </c>
      <c r="BG864" s="15" t="s">
        <v>162</v>
      </c>
      <c r="BJ864" s="114"/>
    </row>
    <row r="865" spans="6:62" ht="19.5" x14ac:dyDescent="0.4"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26"/>
      <c r="AI865" s="15"/>
      <c r="AM865" s="115"/>
      <c r="AN865" s="117"/>
      <c r="AO865" s="123"/>
      <c r="AP865" s="123"/>
      <c r="AQ865" s="123"/>
      <c r="AR865" s="115"/>
      <c r="AS865" s="115"/>
      <c r="AT865" s="115"/>
      <c r="AU865" s="115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115"/>
      <c r="BF865" s="26"/>
      <c r="BG865" s="15"/>
      <c r="BJ865" s="114"/>
    </row>
    <row r="866" spans="6:62" ht="19.5" x14ac:dyDescent="0.4">
      <c r="AH866" s="26"/>
      <c r="AI866" s="15"/>
      <c r="AM866" s="115"/>
      <c r="AN866" s="117"/>
      <c r="AO866" s="123"/>
      <c r="AP866" s="123"/>
      <c r="AQ866" s="123"/>
      <c r="AR866" s="115"/>
      <c r="AS866" s="115"/>
      <c r="AT866" s="115"/>
      <c r="AU866" s="115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115"/>
      <c r="BF866" s="26">
        <v>45278</v>
      </c>
      <c r="BG866" s="15" t="s">
        <v>163</v>
      </c>
      <c r="BJ866" s="114"/>
    </row>
    <row r="867" spans="6:62" ht="19.5" x14ac:dyDescent="0.4">
      <c r="AH867" s="26"/>
      <c r="AI867" s="15"/>
      <c r="AM867" s="115"/>
      <c r="AN867" s="117"/>
      <c r="AO867" s="123"/>
      <c r="AP867" s="123"/>
      <c r="AQ867" s="123"/>
      <c r="AR867" s="115"/>
      <c r="AS867" s="115"/>
      <c r="AT867" s="115"/>
      <c r="AU867" s="115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115"/>
      <c r="BF867" s="26">
        <v>45278</v>
      </c>
      <c r="BG867" s="105" t="s">
        <v>163</v>
      </c>
      <c r="BJ867" s="114"/>
    </row>
    <row r="868" spans="6:62" ht="19.5" x14ac:dyDescent="0.4">
      <c r="AH868" s="25"/>
      <c r="AI868" s="13"/>
      <c r="AM868" s="115"/>
      <c r="AN868" s="117"/>
      <c r="AO868" s="123"/>
      <c r="AP868" s="123"/>
      <c r="AQ868" s="123"/>
      <c r="AR868" s="115"/>
      <c r="AS868" s="115"/>
      <c r="AT868" s="115"/>
      <c r="AU868" s="115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115"/>
      <c r="BF868" s="26">
        <v>45278</v>
      </c>
      <c r="BG868" s="15" t="s">
        <v>163</v>
      </c>
      <c r="BJ868" s="114"/>
    </row>
    <row r="869" spans="6:62" ht="19.5" x14ac:dyDescent="0.4"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25"/>
      <c r="AI869" s="13"/>
      <c r="AM869" s="115"/>
      <c r="AN869" s="117"/>
      <c r="AO869" s="123"/>
      <c r="AP869" s="123"/>
      <c r="AQ869" s="123"/>
      <c r="AR869" s="115"/>
      <c r="AS869" s="115"/>
      <c r="AT869" s="115"/>
      <c r="AU869" s="115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115"/>
      <c r="BF869" s="26"/>
      <c r="BG869" s="15"/>
      <c r="BJ869" s="114"/>
    </row>
    <row r="870" spans="6:62" ht="19.5" x14ac:dyDescent="0.4"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25"/>
      <c r="AI870" s="13"/>
      <c r="AM870" s="115"/>
      <c r="AN870" s="117"/>
      <c r="AO870" s="123"/>
      <c r="AP870" s="123"/>
      <c r="AQ870" s="123"/>
      <c r="AR870" s="115"/>
      <c r="AS870" s="115"/>
      <c r="AT870" s="115"/>
      <c r="AU870" s="115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115"/>
      <c r="BF870" s="26"/>
      <c r="BG870" s="15"/>
      <c r="BJ870" s="114"/>
    </row>
    <row r="871" spans="6:62" ht="19.5" x14ac:dyDescent="0.4"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25"/>
      <c r="AI871" s="13"/>
      <c r="AM871" s="115"/>
      <c r="AN871" s="117"/>
      <c r="AO871" s="123"/>
      <c r="AP871" s="123"/>
      <c r="AQ871" s="123"/>
      <c r="AR871" s="115"/>
      <c r="AS871" s="115"/>
      <c r="AT871" s="115"/>
      <c r="AU871" s="115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115"/>
      <c r="BF871" s="26"/>
      <c r="BG871" s="15"/>
      <c r="BJ871" s="114"/>
    </row>
    <row r="872" spans="6:62" ht="19.5" x14ac:dyDescent="0.4"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25"/>
      <c r="AI872" s="13"/>
      <c r="AM872" s="115"/>
      <c r="AN872" s="117"/>
      <c r="AO872" s="123"/>
      <c r="AP872" s="123"/>
      <c r="AQ872" s="123"/>
      <c r="AR872" s="115"/>
      <c r="AS872" s="115"/>
      <c r="AT872" s="115"/>
      <c r="AU872" s="115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115"/>
      <c r="BF872" s="26"/>
      <c r="BG872" s="15"/>
      <c r="BJ872" s="114"/>
    </row>
    <row r="873" spans="6:62" ht="19.5" x14ac:dyDescent="0.4"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25"/>
      <c r="AI873" s="13"/>
      <c r="AM873" s="115"/>
      <c r="AN873" s="117"/>
      <c r="AO873" s="123"/>
      <c r="AP873" s="123"/>
      <c r="AQ873" s="123"/>
      <c r="AR873" s="115"/>
      <c r="AS873" s="115"/>
      <c r="AT873" s="115"/>
      <c r="AU873" s="115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115"/>
      <c r="BF873" s="26"/>
      <c r="BG873" s="15"/>
      <c r="BJ873" s="114"/>
    </row>
    <row r="874" spans="6:62" ht="19.5" x14ac:dyDescent="0.4"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25"/>
      <c r="AI874" s="13"/>
      <c r="AM874" s="115"/>
      <c r="AN874" s="117"/>
      <c r="AO874" s="123"/>
      <c r="AP874" s="123"/>
      <c r="AQ874" s="123"/>
      <c r="AR874" s="115"/>
      <c r="AS874" s="115"/>
      <c r="AT874" s="115"/>
      <c r="AU874" s="115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115"/>
      <c r="BF874" s="26"/>
      <c r="BG874" s="15"/>
      <c r="BJ874" s="114"/>
    </row>
    <row r="875" spans="6:62" ht="19.5" x14ac:dyDescent="0.4">
      <c r="AH875" s="25"/>
      <c r="AI875" s="13"/>
      <c r="AM875" s="115"/>
      <c r="AN875" s="117"/>
      <c r="AO875" s="123"/>
      <c r="AP875" s="123"/>
      <c r="AQ875" s="123"/>
      <c r="AR875" s="115"/>
      <c r="AS875" s="115"/>
      <c r="AT875" s="115"/>
      <c r="AU875" s="115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115"/>
      <c r="BF875" s="26">
        <v>45278</v>
      </c>
      <c r="BG875" s="15" t="s">
        <v>163</v>
      </c>
      <c r="BJ875" s="114"/>
    </row>
    <row r="876" spans="6:62" ht="19.5" x14ac:dyDescent="0.4">
      <c r="AH876" s="25"/>
      <c r="AI876" s="13"/>
      <c r="AM876" s="115"/>
      <c r="AN876" s="117"/>
      <c r="AO876" s="123"/>
      <c r="AP876" s="123"/>
      <c r="AQ876" s="123"/>
      <c r="AR876" s="115"/>
      <c r="AS876" s="115"/>
      <c r="AT876" s="115"/>
      <c r="AU876" s="115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115"/>
      <c r="BF876" s="26"/>
      <c r="BG876" s="15"/>
      <c r="BJ876" s="114"/>
    </row>
    <row r="877" spans="6:62" ht="19.5" x14ac:dyDescent="0.4"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3"/>
      <c r="AI877" s="13"/>
      <c r="AM877" s="115"/>
      <c r="AN877" s="117"/>
      <c r="AO877" s="123"/>
      <c r="AP877" s="123"/>
      <c r="AQ877" s="123"/>
      <c r="AR877" s="115"/>
      <c r="AS877" s="115"/>
      <c r="AT877" s="115"/>
      <c r="AU877" s="115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115"/>
      <c r="BF877" s="26"/>
      <c r="BG877" s="15"/>
      <c r="BJ877" s="114"/>
    </row>
    <row r="878" spans="6:62" ht="19.5" x14ac:dyDescent="0.4">
      <c r="AH878" s="25"/>
      <c r="AI878" s="13"/>
      <c r="AM878" s="115"/>
      <c r="AN878" s="117"/>
      <c r="AO878" s="123"/>
      <c r="AP878" s="123"/>
      <c r="AQ878" s="123"/>
      <c r="AR878" s="115"/>
      <c r="AS878" s="115"/>
      <c r="AT878" s="115"/>
      <c r="AU878" s="115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115"/>
      <c r="BF878" s="26">
        <v>45278</v>
      </c>
      <c r="BG878" s="15" t="s">
        <v>163</v>
      </c>
      <c r="BJ878" s="114"/>
    </row>
    <row r="879" spans="6:62" ht="19.5" x14ac:dyDescent="0.4"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3"/>
      <c r="AI879" s="13"/>
      <c r="AM879" s="115"/>
      <c r="AN879" s="117"/>
      <c r="AO879" s="123"/>
      <c r="AP879" s="123"/>
      <c r="AQ879" s="123"/>
      <c r="AR879" s="115"/>
      <c r="AS879" s="115"/>
      <c r="AT879" s="115"/>
      <c r="AU879" s="115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115"/>
      <c r="BF879" s="26"/>
      <c r="BG879" s="13"/>
      <c r="BJ879" s="114"/>
    </row>
    <row r="880" spans="6:62" ht="19.5" x14ac:dyDescent="0.4">
      <c r="AH880" s="25"/>
      <c r="AI880" s="13"/>
      <c r="AM880" s="115"/>
      <c r="AN880" s="117"/>
      <c r="AO880" s="123"/>
      <c r="AP880" s="123"/>
      <c r="AQ880" s="123"/>
      <c r="AR880" s="115"/>
      <c r="AS880" s="115"/>
      <c r="AT880" s="115"/>
      <c r="AU880" s="115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115" t="s">
        <v>153</v>
      </c>
      <c r="BF880" s="17">
        <f>SUBTOTAL(3,BF849:BF878)</f>
        <v>12</v>
      </c>
      <c r="BG880" s="13">
        <f>SUBTOTAL(3,BG849:BG878)</f>
        <v>12</v>
      </c>
      <c r="BJ880" s="114"/>
    </row>
    <row r="881" spans="25:62" ht="19.5" x14ac:dyDescent="0.4"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3"/>
      <c r="AI881" s="13"/>
      <c r="AM881" s="115"/>
      <c r="AN881" s="117"/>
      <c r="AO881" s="123"/>
      <c r="AP881" s="123"/>
      <c r="AQ881" s="123"/>
      <c r="AR881" s="115"/>
      <c r="AS881" s="115"/>
      <c r="AT881" s="115"/>
      <c r="AU881" s="115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115"/>
      <c r="BF881" s="17"/>
      <c r="BG881" s="13"/>
      <c r="BJ881" s="114"/>
    </row>
    <row r="882" spans="25:62" ht="19.5" x14ac:dyDescent="0.4">
      <c r="AH882" s="25"/>
      <c r="AI882" s="13"/>
      <c r="AM882" s="115"/>
      <c r="AN882" s="117"/>
      <c r="AO882" s="123"/>
      <c r="AP882" s="123"/>
      <c r="AQ882" s="123"/>
      <c r="AR882" s="115"/>
      <c r="AS882" s="115"/>
      <c r="AT882" s="115"/>
      <c r="AU882" s="115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115"/>
      <c r="BF882" s="26">
        <v>45279</v>
      </c>
      <c r="BG882" s="25" t="s">
        <v>162</v>
      </c>
      <c r="BJ882" s="114"/>
    </row>
    <row r="883" spans="25:62" ht="19.5" x14ac:dyDescent="0.4">
      <c r="AH883" s="25"/>
      <c r="AI883" s="13"/>
      <c r="AM883" s="115"/>
      <c r="AN883" s="117"/>
      <c r="AO883" s="123"/>
      <c r="AP883" s="123"/>
      <c r="AQ883" s="123"/>
      <c r="AR883" s="115"/>
      <c r="AS883" s="115"/>
      <c r="AT883" s="115"/>
      <c r="AU883" s="115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115"/>
      <c r="BF883" s="26">
        <v>45279</v>
      </c>
      <c r="BG883" s="13" t="s">
        <v>162</v>
      </c>
      <c r="BJ883" s="114"/>
    </row>
    <row r="884" spans="25:62" ht="19.5" x14ac:dyDescent="0.4"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20"/>
      <c r="AI884" s="13"/>
      <c r="AM884" s="115"/>
      <c r="AN884" s="117"/>
      <c r="AO884" s="123"/>
      <c r="AP884" s="123"/>
      <c r="AQ884" s="123"/>
      <c r="AR884" s="115"/>
      <c r="AS884" s="115"/>
      <c r="AT884" s="115"/>
      <c r="AU884" s="115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115"/>
      <c r="BF884" s="26"/>
      <c r="BG884" s="13"/>
      <c r="BJ884" s="114"/>
    </row>
    <row r="885" spans="25:62" ht="19.5" x14ac:dyDescent="0.4"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20"/>
      <c r="AI885" s="13"/>
      <c r="AM885" s="115"/>
      <c r="AN885" s="117"/>
      <c r="AO885" s="123"/>
      <c r="AP885" s="123"/>
      <c r="AQ885" s="123"/>
      <c r="AR885" s="115"/>
      <c r="AS885" s="115"/>
      <c r="AT885" s="115"/>
      <c r="AU885" s="115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115"/>
      <c r="BF885" s="26"/>
      <c r="BG885" s="13"/>
      <c r="BJ885" s="114"/>
    </row>
    <row r="886" spans="25:62" ht="19.5" x14ac:dyDescent="0.4">
      <c r="AH886" s="26"/>
      <c r="AI886" s="13"/>
      <c r="AM886" s="115"/>
      <c r="AN886" s="117"/>
      <c r="AO886" s="123"/>
      <c r="AP886" s="123"/>
      <c r="AQ886" s="123"/>
      <c r="AR886" s="115"/>
      <c r="AS886" s="115"/>
      <c r="AT886" s="115"/>
      <c r="AU886" s="115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115"/>
      <c r="BF886" s="26">
        <v>45279</v>
      </c>
      <c r="BG886" s="13" t="s">
        <v>162</v>
      </c>
      <c r="BJ886" s="114"/>
    </row>
    <row r="887" spans="25:62" ht="19.5" x14ac:dyDescent="0.4">
      <c r="AH887" s="26"/>
      <c r="AI887" s="13"/>
      <c r="AM887" s="115"/>
      <c r="AN887" s="117"/>
      <c r="AO887" s="123"/>
      <c r="AP887" s="123"/>
      <c r="AQ887" s="123"/>
      <c r="AR887" s="115"/>
      <c r="AS887" s="115"/>
      <c r="AT887" s="115"/>
      <c r="AU887" s="115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115"/>
      <c r="BF887" s="26">
        <v>45279</v>
      </c>
      <c r="BG887" s="13" t="s">
        <v>162</v>
      </c>
      <c r="BJ887" s="114"/>
    </row>
    <row r="888" spans="25:62" ht="19.5" x14ac:dyDescent="0.4">
      <c r="AH888" s="129"/>
      <c r="AI888" s="13"/>
      <c r="AM888" s="115"/>
      <c r="AN888" s="117"/>
      <c r="AO888" s="123"/>
      <c r="AP888" s="123"/>
      <c r="AQ888" s="123"/>
      <c r="AR888" s="115"/>
      <c r="AS888" s="115"/>
      <c r="AT888" s="115"/>
      <c r="AU888" s="115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115"/>
      <c r="BF888" s="26"/>
      <c r="BG888" s="13"/>
      <c r="BJ888" s="114"/>
    </row>
    <row r="889" spans="25:62" ht="19.5" x14ac:dyDescent="0.4">
      <c r="AH889" s="26"/>
      <c r="AI889" s="13"/>
      <c r="AM889" s="115"/>
      <c r="AN889" s="117"/>
      <c r="AO889" s="123"/>
      <c r="AP889" s="123"/>
      <c r="AQ889" s="123"/>
      <c r="AR889" s="115"/>
      <c r="AS889" s="115"/>
      <c r="AT889" s="115"/>
      <c r="AU889" s="115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115"/>
      <c r="BF889" s="26">
        <v>45279</v>
      </c>
      <c r="BG889" s="13" t="s">
        <v>162</v>
      </c>
      <c r="BJ889" s="114"/>
    </row>
    <row r="890" spans="25:62" ht="19.5" x14ac:dyDescent="0.4">
      <c r="AH890" s="26"/>
      <c r="AI890" s="13"/>
      <c r="AM890" s="115"/>
      <c r="AN890" s="117"/>
      <c r="AO890" s="123"/>
      <c r="AP890" s="123"/>
      <c r="AQ890" s="123"/>
      <c r="AR890" s="115"/>
      <c r="AS890" s="115"/>
      <c r="AT890" s="115"/>
      <c r="AU890" s="115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115"/>
      <c r="BF890" s="26">
        <v>45279</v>
      </c>
      <c r="BG890" s="13" t="s">
        <v>162</v>
      </c>
      <c r="BJ890" s="114"/>
    </row>
    <row r="891" spans="25:62" ht="19.5" x14ac:dyDescent="0.4">
      <c r="AH891" s="26"/>
      <c r="AI891" s="13"/>
      <c r="AM891" s="115"/>
      <c r="AN891" s="117"/>
      <c r="AO891" s="123"/>
      <c r="AP891" s="123"/>
      <c r="AQ891" s="123"/>
      <c r="AR891" s="115"/>
      <c r="AS891" s="115"/>
      <c r="AT891" s="115"/>
      <c r="AU891" s="115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115" t="s">
        <v>170</v>
      </c>
      <c r="BF891" s="17">
        <f>SUBTOTAL(3,BF882:BF890)</f>
        <v>6</v>
      </c>
      <c r="BG891" s="13">
        <f>SUBTOTAL(3,BG882:BG890)</f>
        <v>6</v>
      </c>
      <c r="BJ891" s="114"/>
    </row>
    <row r="892" spans="25:62" ht="19.5" x14ac:dyDescent="0.4">
      <c r="AH892" s="129"/>
      <c r="AI892" s="13"/>
      <c r="AM892" s="115"/>
      <c r="AN892" s="117"/>
      <c r="AO892" s="123"/>
      <c r="AP892" s="123"/>
      <c r="AQ892" s="123"/>
      <c r="AR892" s="115"/>
      <c r="AS892" s="115"/>
      <c r="AT892" s="115"/>
      <c r="AU892" s="115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115"/>
      <c r="BF892" s="17"/>
      <c r="BG892" s="13"/>
      <c r="BJ892" s="114"/>
    </row>
    <row r="893" spans="25:62" ht="19.5" x14ac:dyDescent="0.4">
      <c r="AH893" s="26"/>
      <c r="AI893" s="13"/>
      <c r="AM893" s="115"/>
      <c r="AN893" s="117"/>
      <c r="AO893" s="123"/>
      <c r="AP893" s="123"/>
      <c r="AQ893" s="123"/>
      <c r="AR893" s="115"/>
      <c r="AS893" s="115"/>
      <c r="AT893" s="115"/>
      <c r="AU893" s="115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115"/>
      <c r="BF893" s="26">
        <v>45280</v>
      </c>
      <c r="BG893" s="13" t="s">
        <v>162</v>
      </c>
      <c r="BJ893" s="114"/>
    </row>
    <row r="894" spans="25:62" ht="19.5" x14ac:dyDescent="0.4">
      <c r="AH894" s="26"/>
      <c r="AI894" s="13"/>
      <c r="AM894" s="115"/>
      <c r="AN894" s="116"/>
      <c r="AO894" s="123"/>
      <c r="AP894" s="123"/>
      <c r="AQ894" s="123"/>
      <c r="AR894" s="115"/>
      <c r="AS894" s="115"/>
      <c r="AT894" s="115"/>
      <c r="AU894" s="115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115"/>
      <c r="BF894" s="26">
        <v>45280</v>
      </c>
      <c r="BG894" s="13" t="s">
        <v>162</v>
      </c>
      <c r="BJ894" s="114"/>
    </row>
    <row r="895" spans="25:62" ht="19.5" x14ac:dyDescent="0.4">
      <c r="AH895" s="26"/>
      <c r="AI895" s="13"/>
      <c r="AM895" s="115"/>
      <c r="AN895" s="116"/>
      <c r="AO895" s="123"/>
      <c r="AP895" s="123"/>
      <c r="AQ895" s="123"/>
      <c r="AR895" s="115"/>
      <c r="AS895" s="115"/>
      <c r="AT895" s="115"/>
      <c r="AU895" s="115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115"/>
      <c r="BF895" s="26">
        <v>45280</v>
      </c>
      <c r="BG895" s="13" t="s">
        <v>162</v>
      </c>
      <c r="BJ895" s="114"/>
    </row>
    <row r="896" spans="25:62" ht="19.5" x14ac:dyDescent="0.4">
      <c r="AH896" s="26"/>
      <c r="AI896" s="13"/>
      <c r="AM896" s="115"/>
      <c r="AN896" s="116"/>
      <c r="AO896" s="123"/>
      <c r="AP896" s="123"/>
      <c r="AQ896" s="123"/>
      <c r="AR896" s="115"/>
      <c r="AS896" s="115"/>
      <c r="AT896" s="115"/>
      <c r="AU896" s="115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115"/>
      <c r="BF896" s="26">
        <v>45280</v>
      </c>
      <c r="BG896" s="13" t="s">
        <v>162</v>
      </c>
      <c r="BJ896" s="114"/>
    </row>
    <row r="897" spans="34:62" ht="19.5" x14ac:dyDescent="0.4">
      <c r="AH897" s="129"/>
      <c r="AI897" s="13"/>
      <c r="AM897" s="115"/>
      <c r="AN897" s="116"/>
      <c r="AO897" s="123"/>
      <c r="AP897" s="123"/>
      <c r="AQ897" s="123"/>
      <c r="AR897" s="115"/>
      <c r="AS897" s="115"/>
      <c r="AT897" s="115"/>
      <c r="AU897" s="115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115"/>
      <c r="BF897" s="26"/>
      <c r="BG897" s="13"/>
      <c r="BJ897" s="114"/>
    </row>
    <row r="898" spans="34:62" ht="19.5" x14ac:dyDescent="0.4">
      <c r="AH898" s="26"/>
      <c r="AI898" s="13"/>
      <c r="AM898" s="115"/>
      <c r="AN898" s="116"/>
      <c r="AO898" s="123"/>
      <c r="AP898" s="123"/>
      <c r="AQ898" s="123"/>
      <c r="AR898" s="115"/>
      <c r="AS898" s="115"/>
      <c r="AT898" s="115"/>
      <c r="AU898" s="115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115"/>
      <c r="BF898" s="26">
        <v>45280</v>
      </c>
      <c r="BG898" s="13" t="s">
        <v>162</v>
      </c>
      <c r="BJ898" s="114"/>
    </row>
    <row r="899" spans="34:62" ht="19.5" x14ac:dyDescent="0.4">
      <c r="AH899" s="130"/>
      <c r="AI899" s="119"/>
      <c r="AM899" s="115"/>
      <c r="AN899" s="116"/>
      <c r="AO899" s="123"/>
      <c r="AP899" s="123"/>
      <c r="AQ899" s="123"/>
      <c r="AR899" s="115"/>
      <c r="AS899" s="115"/>
      <c r="AT899" s="115"/>
      <c r="AU899" s="115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115"/>
      <c r="BF899" s="26"/>
      <c r="BG899" s="13"/>
      <c r="BJ899" s="114"/>
    </row>
    <row r="900" spans="34:62" ht="19.5" x14ac:dyDescent="0.4">
      <c r="AH900" s="130"/>
      <c r="AI900" s="119"/>
      <c r="AM900" s="115"/>
      <c r="AN900" s="116"/>
      <c r="AO900" s="123"/>
      <c r="AP900" s="123"/>
      <c r="AQ900" s="123"/>
      <c r="AR900" s="115"/>
      <c r="AS900" s="115"/>
      <c r="AT900" s="115"/>
      <c r="AU900" s="115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115"/>
      <c r="BF900" s="26"/>
      <c r="BG900" s="13"/>
      <c r="BJ900" s="114"/>
    </row>
    <row r="901" spans="34:62" ht="19.5" x14ac:dyDescent="0.4">
      <c r="AM901" s="115"/>
      <c r="AN901" s="116"/>
      <c r="AO901" s="123"/>
      <c r="AP901" s="123"/>
      <c r="AQ901" s="123"/>
      <c r="AR901" s="115"/>
      <c r="AS901" s="115"/>
      <c r="AT901" s="115"/>
      <c r="AU901" s="115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115"/>
      <c r="BF901" s="26">
        <v>45280</v>
      </c>
      <c r="BG901" s="13" t="s">
        <v>162</v>
      </c>
      <c r="BJ901" s="114"/>
    </row>
    <row r="902" spans="34:62" ht="19.5" x14ac:dyDescent="0.4">
      <c r="AM902" s="115"/>
      <c r="AN902" s="116"/>
      <c r="AO902" s="123"/>
      <c r="AP902" s="123"/>
      <c r="AQ902" s="123"/>
      <c r="AR902" s="115"/>
      <c r="AS902" s="115"/>
      <c r="AT902" s="115"/>
      <c r="AU902" s="115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115"/>
      <c r="BF902" s="26">
        <v>45280</v>
      </c>
      <c r="BG902" s="13" t="s">
        <v>162</v>
      </c>
      <c r="BJ902" s="114"/>
    </row>
    <row r="903" spans="34:62" ht="19.5" x14ac:dyDescent="0.4">
      <c r="AM903" s="115"/>
      <c r="AN903" s="116"/>
      <c r="AO903" s="123"/>
      <c r="AP903" s="123"/>
      <c r="AQ903" s="123"/>
      <c r="AR903" s="115"/>
      <c r="AS903" s="115"/>
      <c r="AT903" s="115"/>
      <c r="AU903" s="115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115"/>
      <c r="BF903" s="26">
        <v>45280</v>
      </c>
      <c r="BG903" s="13" t="s">
        <v>162</v>
      </c>
      <c r="BJ903" s="114"/>
    </row>
    <row r="904" spans="34:62" ht="19.5" x14ac:dyDescent="0.4">
      <c r="AL904" s="115"/>
      <c r="AM904" s="115"/>
      <c r="AN904" s="116"/>
      <c r="AO904" s="123"/>
      <c r="AP904" s="123"/>
      <c r="AQ904" s="123"/>
      <c r="AR904" s="115"/>
      <c r="AS904" s="115"/>
      <c r="AT904" s="115"/>
      <c r="AU904" s="115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115"/>
      <c r="BF904" s="26">
        <v>45280</v>
      </c>
      <c r="BG904" s="13" t="s">
        <v>162</v>
      </c>
      <c r="BJ904" s="114"/>
    </row>
    <row r="905" spans="34:62" ht="19.5" x14ac:dyDescent="0.4">
      <c r="AL905" s="115"/>
      <c r="AM905" s="115"/>
      <c r="AN905" s="116"/>
      <c r="AO905" s="123"/>
      <c r="AP905" s="123"/>
      <c r="AQ905" s="123"/>
      <c r="AR905" s="115"/>
      <c r="AS905" s="115"/>
      <c r="AT905" s="115"/>
      <c r="AU905" s="115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115"/>
      <c r="BF905" s="26">
        <v>45280</v>
      </c>
      <c r="BG905" s="13" t="s">
        <v>162</v>
      </c>
      <c r="BJ905" s="114"/>
    </row>
    <row r="906" spans="34:62" ht="19.5" x14ac:dyDescent="0.4">
      <c r="AJ906" s="115"/>
      <c r="AK906" s="115"/>
      <c r="AL906" s="115"/>
      <c r="AM906" s="115"/>
      <c r="AN906" s="116"/>
      <c r="AO906" s="123"/>
      <c r="AP906" s="123"/>
      <c r="AQ906" s="123"/>
      <c r="AR906" s="115"/>
      <c r="AS906" s="115"/>
      <c r="AT906" s="115"/>
      <c r="AU906" s="115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115"/>
      <c r="BF906" s="26">
        <v>45280</v>
      </c>
      <c r="BG906" s="13" t="s">
        <v>162</v>
      </c>
      <c r="BJ906" s="114"/>
    </row>
    <row r="907" spans="34:62" x14ac:dyDescent="0.4">
      <c r="AJ907" s="115"/>
      <c r="AK907" s="115"/>
      <c r="AL907" s="115"/>
      <c r="AM907" s="115"/>
      <c r="AN907" s="115"/>
      <c r="AO907" s="122"/>
      <c r="AP907" s="122"/>
      <c r="AQ907" s="122"/>
      <c r="AR907" s="115"/>
      <c r="AS907" s="115"/>
      <c r="AT907" s="115"/>
      <c r="AU907" s="115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115"/>
      <c r="BF907" s="26">
        <v>45280</v>
      </c>
      <c r="BG907" s="13" t="s">
        <v>162</v>
      </c>
      <c r="BJ907" s="114"/>
    </row>
    <row r="908" spans="34:62" x14ac:dyDescent="0.4">
      <c r="AJ908" s="115"/>
      <c r="AK908" s="115"/>
      <c r="AL908" s="115"/>
      <c r="AM908" s="115"/>
      <c r="AN908" s="115"/>
      <c r="AO908" s="122"/>
      <c r="AP908" s="122"/>
      <c r="AQ908" s="122"/>
      <c r="AR908" s="115"/>
      <c r="AS908" s="115"/>
      <c r="AT908" s="115"/>
      <c r="AU908" s="115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115"/>
      <c r="BF908" s="26">
        <v>45280</v>
      </c>
      <c r="BG908" s="13" t="s">
        <v>162</v>
      </c>
      <c r="BJ908" s="114"/>
    </row>
    <row r="909" spans="34:62" x14ac:dyDescent="0.4">
      <c r="AJ909" s="115"/>
      <c r="AK909" s="115"/>
      <c r="AL909" s="115"/>
      <c r="AM909" s="115"/>
      <c r="AN909" s="115"/>
      <c r="AO909" s="122"/>
      <c r="AP909" s="122"/>
      <c r="AQ909" s="122"/>
      <c r="AR909" s="115"/>
      <c r="AS909" s="115"/>
      <c r="AT909" s="115"/>
      <c r="AU909" s="115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115" t="s">
        <v>171</v>
      </c>
      <c r="BF909" s="17">
        <f>SUBTOTAL(3,BF893:BF908)</f>
        <v>13</v>
      </c>
      <c r="BG909" s="13">
        <f>SUBTOTAL(3,BG893:BG908)</f>
        <v>13</v>
      </c>
      <c r="BJ909" s="114"/>
    </row>
    <row r="910" spans="34:62" x14ac:dyDescent="0.4">
      <c r="AJ910" s="115"/>
      <c r="AK910" s="115"/>
      <c r="AL910" s="115"/>
      <c r="AM910" s="115"/>
      <c r="AN910" s="115"/>
      <c r="AO910" s="122"/>
      <c r="AP910" s="122"/>
      <c r="AQ910" s="122"/>
      <c r="AR910" s="115"/>
      <c r="AS910" s="115"/>
      <c r="AT910" s="115"/>
      <c r="AU910" s="115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115"/>
      <c r="BF910" s="26">
        <v>45283</v>
      </c>
      <c r="BG910" s="13" t="s">
        <v>162</v>
      </c>
      <c r="BJ910" s="114"/>
    </row>
    <row r="911" spans="34:62" x14ac:dyDescent="0.4">
      <c r="AJ911" s="115"/>
      <c r="AK911" s="115"/>
      <c r="AL911" s="115"/>
      <c r="AM911" s="115"/>
      <c r="AN911" s="115"/>
      <c r="AO911" s="122"/>
      <c r="AP911" s="122"/>
      <c r="AQ911" s="122"/>
      <c r="AR911" s="115"/>
      <c r="AS911" s="115"/>
      <c r="AT911" s="115"/>
      <c r="AU911" s="115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115"/>
      <c r="BF911" s="26">
        <v>45283</v>
      </c>
      <c r="BG911" s="13" t="s">
        <v>162</v>
      </c>
      <c r="BJ911" s="114"/>
    </row>
    <row r="912" spans="34:62" x14ac:dyDescent="0.4">
      <c r="AJ912" s="115"/>
      <c r="AK912" s="115"/>
      <c r="AL912" s="115"/>
      <c r="AM912" s="115"/>
      <c r="AN912" s="115"/>
      <c r="AO912" s="122"/>
      <c r="AP912" s="122"/>
      <c r="AQ912" s="122"/>
      <c r="AR912" s="115"/>
      <c r="AS912" s="115"/>
      <c r="AT912" s="115"/>
      <c r="AU912" s="115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115"/>
      <c r="BF912" s="26">
        <v>45283</v>
      </c>
      <c r="BG912" s="13" t="s">
        <v>162</v>
      </c>
      <c r="BJ912" s="114"/>
    </row>
    <row r="913" spans="36:62" x14ac:dyDescent="0.4">
      <c r="AJ913" s="115"/>
      <c r="AK913" s="115"/>
      <c r="AL913" s="115"/>
      <c r="AM913" s="115"/>
      <c r="AN913" s="115"/>
      <c r="AO913" s="122"/>
      <c r="AP913" s="122"/>
      <c r="AQ913" s="122"/>
      <c r="AR913" s="115"/>
      <c r="AS913" s="115"/>
      <c r="AT913" s="115"/>
      <c r="AU913" s="115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115"/>
      <c r="BF913" s="26">
        <v>45283</v>
      </c>
      <c r="BG913" s="13" t="s">
        <v>162</v>
      </c>
      <c r="BJ913" s="114"/>
    </row>
    <row r="914" spans="36:62" x14ac:dyDescent="0.4">
      <c r="AJ914" s="115"/>
      <c r="AK914" s="115"/>
      <c r="AL914" s="115"/>
      <c r="AM914" s="115"/>
      <c r="AN914" s="115"/>
      <c r="AO914" s="122"/>
      <c r="AP914" s="122"/>
      <c r="AQ914" s="122"/>
      <c r="AR914" s="115"/>
      <c r="AS914" s="115"/>
      <c r="AT914" s="115"/>
      <c r="AU914" s="115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115"/>
      <c r="BF914" s="26">
        <v>45283</v>
      </c>
      <c r="BG914" s="13" t="s">
        <v>162</v>
      </c>
      <c r="BJ914" s="114"/>
    </row>
    <row r="915" spans="36:62" x14ac:dyDescent="0.4">
      <c r="AJ915" s="115"/>
      <c r="AK915" s="115"/>
      <c r="AL915" s="115"/>
      <c r="AM915" s="115"/>
      <c r="AN915" s="115"/>
      <c r="AO915" s="122"/>
      <c r="AP915" s="122"/>
      <c r="AQ915" s="122"/>
      <c r="AR915" s="115"/>
      <c r="AS915" s="115"/>
      <c r="AT915" s="115"/>
      <c r="AU915" s="115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115"/>
      <c r="BF915" s="26">
        <v>45283</v>
      </c>
      <c r="BG915" s="13" t="s">
        <v>162</v>
      </c>
      <c r="BJ915" s="114"/>
    </row>
    <row r="916" spans="36:62" x14ac:dyDescent="0.4">
      <c r="AJ916" s="115"/>
      <c r="AK916" s="115"/>
      <c r="AL916" s="115"/>
      <c r="AM916" s="115"/>
      <c r="AN916" s="115"/>
      <c r="AO916" s="122"/>
      <c r="AP916" s="122"/>
      <c r="AQ916" s="122"/>
      <c r="AR916" s="115"/>
      <c r="AS916" s="115"/>
      <c r="AT916" s="115"/>
      <c r="AU916" s="115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115"/>
      <c r="BF916" s="26">
        <v>45283</v>
      </c>
      <c r="BG916" s="13" t="s">
        <v>162</v>
      </c>
      <c r="BJ916" s="114"/>
    </row>
    <row r="917" spans="36:62" x14ac:dyDescent="0.4">
      <c r="AJ917" s="115"/>
      <c r="AK917" s="115"/>
      <c r="AL917" s="115"/>
      <c r="AM917" s="115"/>
      <c r="AN917" s="115"/>
      <c r="AO917" s="122"/>
      <c r="AP917" s="122"/>
      <c r="AQ917" s="122"/>
      <c r="AR917" s="115"/>
      <c r="AS917" s="115"/>
      <c r="AT917" s="115"/>
      <c r="AU917" s="115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115"/>
      <c r="BF917" s="26">
        <v>45283</v>
      </c>
      <c r="BG917" s="13" t="s">
        <v>162</v>
      </c>
      <c r="BJ917" s="114"/>
    </row>
    <row r="918" spans="36:62" x14ac:dyDescent="0.4">
      <c r="AJ918" s="115"/>
      <c r="AK918" s="115"/>
      <c r="AL918" s="115"/>
      <c r="AM918" s="115"/>
      <c r="AN918" s="115"/>
      <c r="AO918" s="122"/>
      <c r="AP918" s="122"/>
      <c r="AQ918" s="122"/>
      <c r="AR918" s="115"/>
      <c r="AS918" s="115"/>
      <c r="AT918" s="115"/>
      <c r="AU918" s="115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115"/>
      <c r="BF918" s="26">
        <v>45283</v>
      </c>
      <c r="BG918" s="13" t="s">
        <v>162</v>
      </c>
      <c r="BJ918" s="114"/>
    </row>
    <row r="919" spans="36:62" x14ac:dyDescent="0.4">
      <c r="AJ919" s="115"/>
      <c r="AK919" s="115"/>
      <c r="AL919" s="115"/>
      <c r="AM919" s="115"/>
      <c r="AN919" s="115"/>
      <c r="AO919" s="122"/>
      <c r="AP919" s="122"/>
      <c r="AQ919" s="122"/>
      <c r="AR919" s="115"/>
      <c r="AS919" s="115"/>
      <c r="AT919" s="115"/>
      <c r="AU919" s="115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115"/>
      <c r="BF919" s="26">
        <v>45283</v>
      </c>
      <c r="BG919" s="13" t="s">
        <v>162</v>
      </c>
      <c r="BJ919" s="114"/>
    </row>
    <row r="920" spans="36:62" x14ac:dyDescent="0.4">
      <c r="AJ920" s="115"/>
      <c r="AK920" s="115"/>
      <c r="AL920" s="115"/>
      <c r="AM920" s="115"/>
      <c r="AN920" s="115"/>
      <c r="AO920" s="122"/>
      <c r="AP920" s="122"/>
      <c r="AQ920" s="122"/>
      <c r="AR920" s="115"/>
      <c r="AS920" s="115"/>
      <c r="AT920" s="115"/>
      <c r="AU920" s="115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115"/>
      <c r="BF920" s="26">
        <v>45283</v>
      </c>
      <c r="BG920" s="13" t="s">
        <v>163</v>
      </c>
      <c r="BJ920" s="114"/>
    </row>
    <row r="921" spans="36:62" x14ac:dyDescent="0.4">
      <c r="AJ921" s="115"/>
      <c r="AK921" s="115"/>
      <c r="AL921" s="115"/>
      <c r="AM921" s="115"/>
      <c r="AN921" s="115"/>
      <c r="AO921" s="122"/>
      <c r="AP921" s="122"/>
      <c r="AQ921" s="122"/>
      <c r="AR921" s="115"/>
      <c r="AS921" s="115"/>
      <c r="AT921" s="115"/>
      <c r="AU921" s="115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115"/>
      <c r="BF921" s="26">
        <v>45283</v>
      </c>
      <c r="BG921" s="13" t="s">
        <v>163</v>
      </c>
      <c r="BJ921" s="114"/>
    </row>
    <row r="922" spans="36:62" x14ac:dyDescent="0.4">
      <c r="AJ922" s="115"/>
      <c r="AK922" s="115"/>
      <c r="AL922" s="115"/>
      <c r="AM922" s="115"/>
      <c r="AN922" s="115"/>
      <c r="AO922" s="122"/>
      <c r="AP922" s="122"/>
      <c r="AQ922" s="122"/>
      <c r="AR922" s="115"/>
      <c r="AS922" s="115"/>
      <c r="AT922" s="115"/>
      <c r="AU922" s="115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115"/>
      <c r="BF922" s="26">
        <v>45283</v>
      </c>
      <c r="BG922" s="13" t="s">
        <v>163</v>
      </c>
      <c r="BJ922" s="114"/>
    </row>
    <row r="923" spans="36:62" x14ac:dyDescent="0.4">
      <c r="AJ923" s="115"/>
      <c r="AK923" s="115"/>
      <c r="AL923" s="115"/>
      <c r="AM923" s="115"/>
      <c r="AN923" s="115"/>
      <c r="AO923" s="122"/>
      <c r="AP923" s="122"/>
      <c r="AQ923" s="122"/>
      <c r="AR923" s="115"/>
      <c r="AS923" s="115"/>
      <c r="AT923" s="115"/>
      <c r="AU923" s="115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115" t="s">
        <v>161</v>
      </c>
      <c r="BF923" s="17">
        <f>SUBTOTAL(3,BF910:BF922)</f>
        <v>13</v>
      </c>
      <c r="BG923" s="13">
        <f>SUBTOTAL(3,BG910:BG922)</f>
        <v>13</v>
      </c>
      <c r="BJ923" s="114"/>
    </row>
    <row r="924" spans="36:62" x14ac:dyDescent="0.4">
      <c r="AJ924" s="115"/>
      <c r="AK924" s="115"/>
      <c r="AL924" s="115"/>
      <c r="AM924" s="115"/>
      <c r="AN924" s="115"/>
      <c r="AO924" s="122"/>
      <c r="AP924" s="122"/>
      <c r="AQ924" s="122"/>
      <c r="AR924" s="115"/>
      <c r="AS924" s="115"/>
      <c r="AT924" s="115"/>
      <c r="AU924" s="115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115"/>
      <c r="BF924" s="26">
        <v>45285</v>
      </c>
      <c r="BG924" s="13" t="s">
        <v>163</v>
      </c>
      <c r="BJ924" s="114"/>
    </row>
    <row r="925" spans="36:62" x14ac:dyDescent="0.4">
      <c r="AJ925" s="115"/>
      <c r="AK925" s="115"/>
      <c r="AL925" s="115"/>
      <c r="AM925" s="115"/>
      <c r="AN925" s="115"/>
      <c r="AO925" s="122"/>
      <c r="AP925" s="122"/>
      <c r="AQ925" s="122"/>
      <c r="AR925" s="115"/>
      <c r="AS925" s="115"/>
      <c r="AT925" s="115"/>
      <c r="AU925" s="115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115" t="s">
        <v>172</v>
      </c>
      <c r="BF925" s="17">
        <f>SUBTOTAL(3,BF924:BF924)</f>
        <v>1</v>
      </c>
      <c r="BG925" s="13">
        <f>SUBTOTAL(3,BG924:BG924)</f>
        <v>1</v>
      </c>
      <c r="BJ925" s="114"/>
    </row>
    <row r="926" spans="36:62" x14ac:dyDescent="0.4">
      <c r="AJ926" s="115"/>
      <c r="AK926" s="115"/>
      <c r="AL926" s="115"/>
      <c r="AM926" s="115"/>
      <c r="AN926" s="115"/>
      <c r="AO926" s="122"/>
      <c r="AP926" s="122"/>
      <c r="AQ926" s="122"/>
      <c r="AR926" s="115"/>
      <c r="AS926" s="115"/>
      <c r="AT926" s="115"/>
      <c r="AU926" s="115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115"/>
      <c r="BF926" s="26">
        <v>45299</v>
      </c>
      <c r="BG926" s="13" t="s">
        <v>164</v>
      </c>
      <c r="BJ926" s="114"/>
    </row>
    <row r="927" spans="36:62" x14ac:dyDescent="0.4">
      <c r="AJ927" s="115"/>
      <c r="AK927" s="115"/>
      <c r="AL927" s="115"/>
      <c r="AM927" s="115"/>
      <c r="AN927" s="115"/>
      <c r="AO927" s="122"/>
      <c r="AP927" s="122"/>
      <c r="AQ927" s="122"/>
      <c r="AR927" s="115"/>
      <c r="AS927" s="115"/>
      <c r="AT927" s="115"/>
      <c r="AU927" s="115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115"/>
      <c r="BF927" s="26">
        <v>45299</v>
      </c>
      <c r="BG927" s="13" t="s">
        <v>162</v>
      </c>
      <c r="BJ927" s="114"/>
    </row>
    <row r="928" spans="36:62" x14ac:dyDescent="0.4">
      <c r="AJ928" s="115"/>
      <c r="AK928" s="115"/>
      <c r="AL928" s="115"/>
      <c r="AM928" s="115"/>
      <c r="AN928" s="115"/>
      <c r="AO928" s="122"/>
      <c r="AP928" s="122"/>
      <c r="AQ928" s="122"/>
      <c r="AR928" s="115"/>
      <c r="AS928" s="115"/>
      <c r="AT928" s="115"/>
      <c r="AU928" s="115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115"/>
      <c r="BF928" s="26">
        <v>45299</v>
      </c>
      <c r="BG928" s="13" t="s">
        <v>162</v>
      </c>
      <c r="BJ928" s="114"/>
    </row>
    <row r="929" spans="36:62" x14ac:dyDescent="0.4">
      <c r="AJ929" s="115"/>
      <c r="AK929" s="115"/>
      <c r="AL929" s="115"/>
      <c r="AM929" s="115"/>
      <c r="AN929" s="115"/>
      <c r="AO929" s="122"/>
      <c r="AP929" s="122"/>
      <c r="AQ929" s="122"/>
      <c r="AR929" s="115"/>
      <c r="AS929" s="115"/>
      <c r="AT929" s="115"/>
      <c r="AU929" s="115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115"/>
      <c r="BF929" s="26">
        <v>45299</v>
      </c>
      <c r="BG929" s="15" t="s">
        <v>162</v>
      </c>
      <c r="BJ929" s="114"/>
    </row>
    <row r="930" spans="36:62" x14ac:dyDescent="0.4">
      <c r="AJ930" s="115"/>
      <c r="AK930" s="115"/>
      <c r="AL930" s="115"/>
      <c r="AM930" s="115"/>
      <c r="AN930" s="115"/>
      <c r="AO930" s="122"/>
      <c r="AP930" s="122"/>
      <c r="AQ930" s="122"/>
      <c r="AR930" s="115"/>
      <c r="AS930" s="115"/>
      <c r="AT930" s="115"/>
      <c r="AU930" s="115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115" t="s">
        <v>173</v>
      </c>
      <c r="BF930" s="17">
        <f>SUBTOTAL(3,BF926:BF929)</f>
        <v>4</v>
      </c>
      <c r="BG930" s="13">
        <f>SUBTOTAL(3,BG926:BG929)</f>
        <v>4</v>
      </c>
      <c r="BJ930" s="114"/>
    </row>
    <row r="931" spans="36:62" x14ac:dyDescent="0.4">
      <c r="AJ931" s="115"/>
      <c r="AK931" s="115"/>
      <c r="AL931" s="115"/>
      <c r="AM931" s="115"/>
      <c r="AN931" s="115"/>
      <c r="AO931" s="122"/>
      <c r="AP931" s="122"/>
      <c r="AQ931" s="122"/>
      <c r="AR931" s="115"/>
      <c r="AS931" s="115"/>
      <c r="AT931" s="115"/>
      <c r="AU931" s="115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115" t="s">
        <v>145</v>
      </c>
      <c r="BF931" s="17">
        <f>SUBTOTAL(3,BF2:BF929)</f>
        <v>136</v>
      </c>
      <c r="BG931" s="13">
        <f>SUBTOTAL(3,BG2:BG929)</f>
        <v>136</v>
      </c>
      <c r="BJ931" s="114"/>
    </row>
    <row r="932" spans="36:62" x14ac:dyDescent="0.4">
      <c r="AJ932" s="115"/>
      <c r="AK932" s="115"/>
      <c r="AL932" s="115"/>
      <c r="AM932" s="115"/>
      <c r="AN932" s="115"/>
      <c r="AO932" s="122"/>
      <c r="AP932" s="122"/>
      <c r="AQ932" s="122"/>
      <c r="AR932" s="115"/>
      <c r="AS932" s="115"/>
      <c r="AT932" s="115"/>
      <c r="AU932" s="115"/>
      <c r="AV932" s="115"/>
      <c r="AW932" s="115"/>
      <c r="AX932" s="115"/>
      <c r="AY932" s="115"/>
      <c r="AZ932" s="115"/>
      <c r="BA932" s="115"/>
      <c r="BB932" s="115"/>
      <c r="BC932" s="115" t="s">
        <v>145</v>
      </c>
      <c r="BD932" s="115"/>
      <c r="BE932" s="115"/>
      <c r="BF932" s="26"/>
      <c r="BG932" s="13"/>
      <c r="BJ932" s="114"/>
    </row>
    <row r="933" spans="36:62" x14ac:dyDescent="0.4">
      <c r="AJ933" s="115"/>
      <c r="AK933" s="115"/>
      <c r="AL933" s="115"/>
      <c r="AM933" s="115"/>
      <c r="AN933" s="115"/>
      <c r="AO933" s="122"/>
      <c r="AP933" s="122"/>
      <c r="AQ933" s="122"/>
      <c r="AR933" s="115"/>
      <c r="AS933" s="115"/>
      <c r="AT933" s="115"/>
      <c r="AU933" s="115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115"/>
      <c r="BF933" s="17"/>
      <c r="BG933" s="13"/>
      <c r="BJ933" s="114"/>
    </row>
    <row r="934" spans="36:62" x14ac:dyDescent="0.4">
      <c r="AJ934" s="115"/>
      <c r="AK934" s="115"/>
      <c r="AL934" s="115"/>
      <c r="AM934" s="115"/>
      <c r="AN934" s="115"/>
      <c r="AO934" s="122"/>
      <c r="AP934" s="122"/>
      <c r="AQ934" s="122"/>
      <c r="AR934" s="115"/>
      <c r="AS934" s="115"/>
      <c r="AT934" s="115"/>
      <c r="AU934" s="115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115"/>
      <c r="BF934" s="26"/>
      <c r="BG934" s="13"/>
      <c r="BJ934" s="114"/>
    </row>
    <row r="935" spans="36:62" x14ac:dyDescent="0.4">
      <c r="AJ935" s="115"/>
      <c r="AK935" s="115"/>
      <c r="AL935" s="115"/>
      <c r="AM935" s="115"/>
      <c r="AN935" s="115"/>
      <c r="AO935" s="122"/>
      <c r="AP935" s="122"/>
      <c r="AQ935" s="122"/>
      <c r="AR935" s="115"/>
      <c r="AS935" s="115"/>
      <c r="AT935" s="115"/>
      <c r="AU935" s="115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115"/>
      <c r="BF935" s="17"/>
      <c r="BG935" s="13"/>
      <c r="BJ935" s="114"/>
    </row>
    <row r="936" spans="36:62" x14ac:dyDescent="0.4">
      <c r="AJ936" s="115"/>
      <c r="AK936" s="115"/>
      <c r="AL936" s="115"/>
      <c r="AM936" s="115"/>
      <c r="AN936" s="115"/>
      <c r="AO936" s="122"/>
      <c r="AP936" s="122"/>
      <c r="AQ936" s="122"/>
      <c r="AR936" s="115"/>
      <c r="AS936" s="115"/>
      <c r="AT936" s="115"/>
      <c r="AU936" s="115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115"/>
      <c r="BF936" s="26"/>
      <c r="BG936" s="13"/>
      <c r="BJ936" s="114"/>
    </row>
    <row r="937" spans="36:62" x14ac:dyDescent="0.4">
      <c r="AJ937" s="115"/>
      <c r="AK937" s="115"/>
      <c r="AL937" s="115"/>
      <c r="AM937" s="115"/>
      <c r="AN937" s="115"/>
      <c r="AO937" s="122"/>
      <c r="AP937" s="122"/>
      <c r="AQ937" s="122"/>
      <c r="AR937" s="115"/>
      <c r="AS937" s="115"/>
      <c r="AT937" s="115"/>
      <c r="AU937" s="115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115"/>
      <c r="BF937" s="26"/>
      <c r="BG937" s="13"/>
      <c r="BJ937" s="114"/>
    </row>
    <row r="938" spans="36:62" x14ac:dyDescent="0.4">
      <c r="AJ938" s="115"/>
      <c r="AK938" s="115"/>
      <c r="AL938" s="115"/>
      <c r="AM938" s="115"/>
      <c r="AN938" s="115"/>
      <c r="AO938" s="122"/>
      <c r="AP938" s="122"/>
      <c r="AQ938" s="122"/>
      <c r="AR938" s="115"/>
      <c r="AS938" s="115"/>
      <c r="AT938" s="115"/>
      <c r="AU938" s="115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115"/>
      <c r="BF938" s="26"/>
      <c r="BG938" s="13"/>
      <c r="BJ938" s="114"/>
    </row>
    <row r="939" spans="36:62" x14ac:dyDescent="0.4">
      <c r="AJ939" s="115"/>
      <c r="AK939" s="115"/>
      <c r="AL939" s="115"/>
      <c r="AM939" s="115"/>
      <c r="AN939" s="115"/>
      <c r="AO939" s="122"/>
      <c r="AP939" s="122"/>
      <c r="AQ939" s="122"/>
      <c r="AR939" s="115"/>
      <c r="AS939" s="115"/>
      <c r="AT939" s="115"/>
      <c r="AU939" s="115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115"/>
      <c r="BF939" s="17"/>
      <c r="BG939" s="13"/>
      <c r="BJ939" s="114"/>
    </row>
    <row r="940" spans="36:62" x14ac:dyDescent="0.4">
      <c r="AJ940" s="115"/>
      <c r="AK940" s="115"/>
      <c r="AL940" s="115"/>
      <c r="AM940" s="115"/>
      <c r="AN940" s="115"/>
      <c r="AO940" s="122"/>
      <c r="AP940" s="122"/>
      <c r="AQ940" s="122"/>
      <c r="AR940" s="115"/>
      <c r="AS940" s="115"/>
      <c r="AT940" s="115"/>
      <c r="AU940" s="115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115"/>
      <c r="BF940" s="26"/>
      <c r="BG940" s="13"/>
      <c r="BJ940" s="114"/>
    </row>
    <row r="941" spans="36:62" x14ac:dyDescent="0.4">
      <c r="AJ941" s="115"/>
      <c r="AK941" s="115"/>
      <c r="AL941" s="115"/>
      <c r="AM941" s="115"/>
      <c r="AN941" s="115"/>
      <c r="AO941" s="122"/>
      <c r="AP941" s="122"/>
      <c r="AQ941" s="122"/>
      <c r="AR941" s="115"/>
      <c r="AS941" s="115"/>
      <c r="AT941" s="115"/>
      <c r="AU941" s="115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115"/>
      <c r="BF941" s="17"/>
      <c r="BG941" s="13"/>
      <c r="BJ941" s="114"/>
    </row>
    <row r="942" spans="36:62" x14ac:dyDescent="0.4">
      <c r="AJ942" s="115"/>
      <c r="AK942" s="115"/>
      <c r="AL942" s="115"/>
      <c r="AM942" s="115"/>
      <c r="AN942" s="115"/>
      <c r="AO942" s="122"/>
      <c r="AP942" s="122"/>
      <c r="AQ942" s="122"/>
      <c r="AR942" s="115"/>
      <c r="AS942" s="115"/>
      <c r="AT942" s="115"/>
      <c r="AU942" s="115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115"/>
      <c r="BF942" s="26"/>
      <c r="BG942" s="13"/>
      <c r="BJ942" s="114"/>
    </row>
    <row r="943" spans="36:62" x14ac:dyDescent="0.4">
      <c r="AJ943" s="115"/>
      <c r="AK943" s="115"/>
      <c r="AL943" s="115"/>
      <c r="AM943" s="115"/>
      <c r="AN943" s="115"/>
      <c r="AO943" s="122"/>
      <c r="AP943" s="122"/>
      <c r="AQ943" s="122"/>
      <c r="AR943" s="115"/>
      <c r="AS943" s="115"/>
      <c r="AT943" s="115"/>
      <c r="AU943" s="115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115"/>
      <c r="BF943" s="17"/>
      <c r="BG943" s="13"/>
      <c r="BJ943" s="114"/>
    </row>
    <row r="944" spans="36:62" x14ac:dyDescent="0.4">
      <c r="AJ944" s="115"/>
      <c r="AK944" s="115"/>
      <c r="AL944" s="115"/>
      <c r="AM944" s="115"/>
      <c r="AN944" s="115"/>
      <c r="AO944" s="122"/>
      <c r="AP944" s="122"/>
      <c r="AQ944" s="122"/>
      <c r="AR944" s="115"/>
      <c r="AS944" s="115"/>
      <c r="AT944" s="115"/>
      <c r="AU944" s="115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115"/>
      <c r="BF944" s="17"/>
      <c r="BG944" s="13"/>
      <c r="BJ944" s="114"/>
    </row>
    <row r="945" spans="36:62" x14ac:dyDescent="0.4">
      <c r="AJ945" s="115"/>
      <c r="AK945" s="115"/>
      <c r="AL945" s="115"/>
      <c r="AM945" s="115"/>
      <c r="AN945" s="115"/>
      <c r="AO945" s="122"/>
      <c r="AP945" s="122"/>
      <c r="AQ945" s="122"/>
      <c r="AR945" s="115"/>
      <c r="AS945" s="115"/>
      <c r="AT945" s="115"/>
      <c r="AU945" s="115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115"/>
      <c r="BF945" s="17"/>
      <c r="BG945" s="13"/>
      <c r="BJ945" s="114"/>
    </row>
    <row r="946" spans="36:62" x14ac:dyDescent="0.4">
      <c r="AJ946" s="115"/>
      <c r="AK946" s="115"/>
      <c r="AL946" s="115"/>
      <c r="AM946" s="115"/>
      <c r="AN946" s="115"/>
      <c r="AO946" s="122"/>
      <c r="AP946" s="122"/>
      <c r="AQ946" s="122"/>
      <c r="AR946" s="115"/>
      <c r="AS946" s="115"/>
      <c r="AT946" s="115"/>
      <c r="AU946" s="115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115"/>
      <c r="BF946" s="26"/>
      <c r="BG946" s="13"/>
      <c r="BJ946" s="114"/>
    </row>
    <row r="947" spans="36:62" x14ac:dyDescent="0.4">
      <c r="AJ947" s="115"/>
      <c r="AK947" s="115"/>
      <c r="AL947" s="115"/>
      <c r="AM947" s="115"/>
      <c r="AN947" s="115"/>
      <c r="AO947" s="122"/>
      <c r="AP947" s="122"/>
      <c r="AQ947" s="122"/>
      <c r="AR947" s="115"/>
      <c r="AS947" s="115"/>
      <c r="AT947" s="115"/>
      <c r="AU947" s="115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115"/>
      <c r="BF947" s="17"/>
      <c r="BG947" s="13"/>
      <c r="BJ947" s="114"/>
    </row>
    <row r="948" spans="36:62" x14ac:dyDescent="0.4">
      <c r="AJ948" s="115"/>
      <c r="AK948" s="115"/>
      <c r="AL948" s="115"/>
      <c r="AM948" s="115"/>
      <c r="AN948" s="115"/>
      <c r="AO948" s="122"/>
      <c r="AP948" s="122"/>
      <c r="AQ948" s="122"/>
      <c r="AR948" s="115"/>
      <c r="AS948" s="115"/>
      <c r="AT948" s="115"/>
      <c r="AU948" s="115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115"/>
      <c r="BF948" s="26"/>
      <c r="BG948" s="13"/>
      <c r="BJ948" s="114"/>
    </row>
    <row r="949" spans="36:62" x14ac:dyDescent="0.4">
      <c r="AJ949" s="115"/>
      <c r="AK949" s="115"/>
      <c r="AL949" s="115"/>
      <c r="AM949" s="115"/>
      <c r="AN949" s="115"/>
      <c r="AO949" s="122"/>
      <c r="AP949" s="122"/>
      <c r="AQ949" s="122"/>
      <c r="AR949" s="115"/>
      <c r="AS949" s="115"/>
      <c r="AT949" s="115"/>
      <c r="AU949" s="115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115"/>
      <c r="BF949" s="17"/>
      <c r="BG949" s="13"/>
      <c r="BJ949" s="114"/>
    </row>
    <row r="950" spans="36:62" x14ac:dyDescent="0.4">
      <c r="AJ950" s="115"/>
      <c r="AK950" s="115"/>
      <c r="AL950" s="115"/>
      <c r="AM950" s="115"/>
      <c r="AN950" s="115"/>
      <c r="AO950" s="122"/>
      <c r="AP950" s="122"/>
      <c r="AQ950" s="122"/>
      <c r="AR950" s="115"/>
      <c r="AS950" s="115"/>
      <c r="AT950" s="115"/>
      <c r="AU950" s="115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115"/>
      <c r="BF950" s="26"/>
      <c r="BG950" s="25"/>
      <c r="BJ950" s="114"/>
    </row>
    <row r="951" spans="36:62" x14ac:dyDescent="0.4">
      <c r="AJ951" s="115"/>
      <c r="AK951" s="115"/>
      <c r="AL951" s="115"/>
      <c r="AM951" s="115"/>
      <c r="AN951" s="115"/>
      <c r="AO951" s="122"/>
      <c r="AP951" s="122"/>
      <c r="AQ951" s="122"/>
      <c r="AR951" s="115"/>
      <c r="AS951" s="115"/>
      <c r="AT951" s="115"/>
      <c r="AU951" s="115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115"/>
      <c r="BF951" s="17"/>
      <c r="BG951" s="13"/>
      <c r="BJ951" s="114"/>
    </row>
    <row r="952" spans="36:62" x14ac:dyDescent="0.4">
      <c r="AJ952" s="115"/>
      <c r="AK952" s="115"/>
      <c r="AL952" s="115"/>
      <c r="AM952" s="115"/>
      <c r="AN952" s="115"/>
      <c r="AO952" s="122"/>
      <c r="AP952" s="122"/>
      <c r="AQ952" s="122"/>
      <c r="AR952" s="115"/>
      <c r="AS952" s="115"/>
      <c r="AT952" s="115"/>
      <c r="AU952" s="115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115"/>
      <c r="BF952" s="17"/>
      <c r="BG952" s="13"/>
      <c r="BJ952" s="114"/>
    </row>
    <row r="953" spans="36:62" x14ac:dyDescent="0.4">
      <c r="AJ953" s="115"/>
      <c r="AK953" s="115"/>
      <c r="AL953" s="115"/>
      <c r="AM953" s="115"/>
      <c r="AN953" s="115"/>
      <c r="AO953" s="122"/>
      <c r="AP953" s="122"/>
      <c r="AQ953" s="122"/>
      <c r="AR953" s="115"/>
      <c r="AS953" s="115"/>
      <c r="AT953" s="115"/>
      <c r="AU953" s="115"/>
      <c r="AV953" s="115"/>
      <c r="AW953" s="115"/>
      <c r="AX953" s="115"/>
      <c r="AY953" s="115"/>
      <c r="AZ953" s="115"/>
      <c r="BA953" s="115"/>
      <c r="BB953" s="115"/>
      <c r="BC953" s="115"/>
      <c r="BD953" s="115"/>
      <c r="BE953" s="115"/>
      <c r="BF953" s="26"/>
      <c r="BG953" s="15"/>
      <c r="BJ953" s="114"/>
    </row>
    <row r="954" spans="36:62" x14ac:dyDescent="0.4">
      <c r="AJ954" s="115"/>
      <c r="AK954" s="115"/>
      <c r="AL954" s="115"/>
      <c r="AM954" s="115"/>
      <c r="AN954" s="115"/>
      <c r="AO954" s="122"/>
      <c r="AP954" s="122"/>
      <c r="AQ954" s="122"/>
      <c r="AR954" s="115"/>
      <c r="AS954" s="115"/>
      <c r="AT954" s="115"/>
      <c r="AU954" s="115"/>
      <c r="AV954" s="115"/>
      <c r="AW954" s="115"/>
      <c r="AX954" s="115"/>
      <c r="AY954" s="115"/>
      <c r="AZ954" s="115"/>
      <c r="BA954" s="115"/>
      <c r="BB954" s="115"/>
      <c r="BC954" s="115"/>
      <c r="BD954" s="115"/>
      <c r="BE954" s="115"/>
      <c r="BF954" s="26"/>
      <c r="BG954" s="15"/>
      <c r="BJ954" s="114"/>
    </row>
    <row r="955" spans="36:62" x14ac:dyDescent="0.4">
      <c r="AJ955" s="115"/>
      <c r="AK955" s="115"/>
      <c r="AL955" s="115"/>
      <c r="AM955" s="115"/>
      <c r="AN955" s="115"/>
      <c r="AO955" s="122"/>
      <c r="AP955" s="122"/>
      <c r="AQ955" s="122"/>
      <c r="AR955" s="115"/>
      <c r="AS955" s="115"/>
      <c r="AT955" s="115"/>
      <c r="AU955" s="115"/>
      <c r="AV955" s="115"/>
      <c r="AW955" s="115"/>
      <c r="AX955" s="115"/>
      <c r="AY955" s="115"/>
      <c r="AZ955" s="115"/>
      <c r="BA955" s="115"/>
      <c r="BB955" s="115"/>
      <c r="BC955" s="115"/>
      <c r="BD955" s="115"/>
      <c r="BE955" s="115"/>
      <c r="BF955" s="26"/>
      <c r="BG955" s="15"/>
      <c r="BJ955" s="114"/>
    </row>
    <row r="956" spans="36:62" x14ac:dyDescent="0.4">
      <c r="AJ956" s="115"/>
      <c r="AK956" s="115"/>
      <c r="AL956" s="115"/>
      <c r="AM956" s="115"/>
      <c r="AN956" s="115"/>
      <c r="AO956" s="122"/>
      <c r="AP956" s="122"/>
      <c r="AQ956" s="122"/>
      <c r="AR956" s="115"/>
      <c r="AS956" s="115"/>
      <c r="AT956" s="115"/>
      <c r="AU956" s="115"/>
      <c r="AV956" s="115"/>
      <c r="AW956" s="115"/>
      <c r="AX956" s="115"/>
      <c r="AY956" s="115"/>
      <c r="AZ956" s="115"/>
      <c r="BA956" s="115"/>
      <c r="BB956" s="115"/>
      <c r="BC956" s="115"/>
      <c r="BD956" s="115"/>
      <c r="BE956" s="115"/>
      <c r="BF956" s="26"/>
      <c r="BG956" s="15"/>
      <c r="BJ956" s="114"/>
    </row>
    <row r="957" spans="36:62" x14ac:dyDescent="0.4">
      <c r="AJ957" s="115"/>
      <c r="AK957" s="115"/>
      <c r="AL957" s="115"/>
      <c r="AM957" s="115"/>
      <c r="AN957" s="115"/>
      <c r="AO957" s="122"/>
      <c r="AP957" s="122"/>
      <c r="AQ957" s="122"/>
      <c r="AR957" s="115"/>
      <c r="AS957" s="115"/>
      <c r="AT957" s="115"/>
      <c r="AU957" s="115"/>
      <c r="AV957" s="115"/>
      <c r="AW957" s="115"/>
      <c r="AX957" s="115"/>
      <c r="AY957" s="115"/>
      <c r="AZ957" s="115"/>
      <c r="BA957" s="115"/>
      <c r="BB957" s="115"/>
      <c r="BC957" s="115"/>
      <c r="BD957" s="115"/>
      <c r="BE957" s="115"/>
      <c r="BF957" s="26"/>
      <c r="BG957" s="15"/>
      <c r="BJ957" s="114"/>
    </row>
    <row r="958" spans="36:62" x14ac:dyDescent="0.4">
      <c r="AJ958" s="115"/>
      <c r="AK958" s="115"/>
      <c r="AL958" s="115"/>
      <c r="AM958" s="115"/>
      <c r="AN958" s="115"/>
      <c r="AO958" s="122"/>
      <c r="AP958" s="122"/>
      <c r="AQ958" s="122"/>
      <c r="AR958" s="115"/>
      <c r="AS958" s="115"/>
      <c r="AT958" s="115"/>
      <c r="AU958" s="115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115"/>
      <c r="BF958" s="26"/>
      <c r="BG958" s="15"/>
      <c r="BJ958" s="114"/>
    </row>
    <row r="959" spans="36:62" x14ac:dyDescent="0.4">
      <c r="AJ959" s="115"/>
      <c r="AK959" s="115"/>
      <c r="AL959" s="115"/>
      <c r="AM959" s="115"/>
      <c r="AN959" s="115"/>
      <c r="AO959" s="122"/>
      <c r="AP959" s="122"/>
      <c r="AQ959" s="122"/>
      <c r="AR959" s="115"/>
      <c r="AS959" s="115"/>
      <c r="AT959" s="115"/>
      <c r="AU959" s="115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115"/>
      <c r="BF959" s="26"/>
      <c r="BG959" s="15"/>
      <c r="BJ959" s="114"/>
    </row>
    <row r="960" spans="36:62" x14ac:dyDescent="0.4">
      <c r="AJ960" s="115"/>
      <c r="AK960" s="115"/>
      <c r="AL960" s="115"/>
      <c r="AM960" s="115"/>
      <c r="AN960" s="115"/>
      <c r="AO960" s="122"/>
      <c r="AP960" s="122"/>
      <c r="AQ960" s="122"/>
      <c r="AR960" s="115"/>
      <c r="AS960" s="115"/>
      <c r="AT960" s="115"/>
      <c r="AU960" s="115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115"/>
      <c r="BF960" s="26"/>
      <c r="BG960" s="15"/>
      <c r="BJ960" s="114"/>
    </row>
    <row r="961" spans="36:62" x14ac:dyDescent="0.4">
      <c r="AJ961" s="115"/>
      <c r="AK961" s="115"/>
      <c r="AL961" s="115"/>
      <c r="AM961" s="115"/>
      <c r="AN961" s="115"/>
      <c r="AO961" s="122"/>
      <c r="AP961" s="122"/>
      <c r="AQ961" s="122"/>
      <c r="AR961" s="115"/>
      <c r="AS961" s="115"/>
      <c r="AT961" s="115"/>
      <c r="AU961" s="115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115"/>
      <c r="BF961" s="17"/>
      <c r="BG961" s="15"/>
      <c r="BJ961" s="114"/>
    </row>
    <row r="962" spans="36:62" x14ac:dyDescent="0.4">
      <c r="AJ962" s="115"/>
      <c r="AK962" s="115"/>
      <c r="AL962" s="115"/>
      <c r="AM962" s="115"/>
      <c r="AN962" s="115"/>
      <c r="AO962" s="122"/>
      <c r="AP962" s="122"/>
      <c r="AQ962" s="122"/>
      <c r="AR962" s="115"/>
      <c r="AS962" s="115"/>
      <c r="AT962" s="115"/>
      <c r="AU962" s="115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115"/>
      <c r="BF962" s="26"/>
      <c r="BG962" s="15"/>
      <c r="BJ962" s="114"/>
    </row>
    <row r="963" spans="36:62" x14ac:dyDescent="0.4">
      <c r="AJ963" s="115"/>
      <c r="AK963" s="115"/>
      <c r="AL963" s="115"/>
      <c r="AM963" s="115"/>
      <c r="AN963" s="115"/>
      <c r="AO963" s="122"/>
      <c r="AP963" s="122"/>
      <c r="AQ963" s="122"/>
      <c r="AR963" s="115"/>
      <c r="AS963" s="115"/>
      <c r="AT963" s="115"/>
      <c r="AU963" s="115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115"/>
      <c r="BF963" s="26"/>
      <c r="BG963" s="13"/>
      <c r="BJ963" s="114"/>
    </row>
    <row r="964" spans="36:62" x14ac:dyDescent="0.4">
      <c r="AJ964" s="115"/>
      <c r="AK964" s="115"/>
      <c r="AL964" s="115"/>
      <c r="AM964" s="115"/>
      <c r="AN964" s="115"/>
      <c r="AO964" s="122"/>
      <c r="AP964" s="122"/>
      <c r="AQ964" s="122"/>
      <c r="AR964" s="115"/>
      <c r="AS964" s="115"/>
      <c r="AT964" s="115"/>
      <c r="AU964" s="115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115"/>
      <c r="BF964" s="26"/>
      <c r="BG964" s="13"/>
      <c r="BJ964" s="114"/>
    </row>
    <row r="965" spans="36:62" x14ac:dyDescent="0.4">
      <c r="AJ965" s="115"/>
      <c r="AK965" s="115"/>
      <c r="AL965" s="115"/>
      <c r="AM965" s="115"/>
      <c r="AN965" s="115"/>
      <c r="AO965" s="122"/>
      <c r="AP965" s="122"/>
      <c r="AQ965" s="122"/>
      <c r="AR965" s="115"/>
      <c r="AS965" s="115"/>
      <c r="AT965" s="115"/>
      <c r="AU965" s="115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115"/>
      <c r="BF965" s="26"/>
      <c r="BG965" s="13"/>
      <c r="BJ965" s="114"/>
    </row>
    <row r="966" spans="36:62" x14ac:dyDescent="0.4">
      <c r="AJ966" s="115"/>
      <c r="AK966" s="115"/>
      <c r="AL966" s="115"/>
      <c r="AM966" s="115"/>
      <c r="AN966" s="115"/>
      <c r="AO966" s="122"/>
      <c r="AP966" s="122"/>
      <c r="AQ966" s="122"/>
      <c r="AR966" s="115"/>
      <c r="AS966" s="115"/>
      <c r="AT966" s="115"/>
      <c r="AU966" s="115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115"/>
      <c r="BF966" s="26"/>
      <c r="BG966" s="13"/>
      <c r="BJ966" s="114"/>
    </row>
    <row r="967" spans="36:62" x14ac:dyDescent="0.4">
      <c r="AJ967" s="115"/>
      <c r="AK967" s="115"/>
      <c r="AL967" s="115"/>
      <c r="AM967" s="115"/>
      <c r="AN967" s="115"/>
      <c r="AO967" s="122"/>
      <c r="AP967" s="122"/>
      <c r="AQ967" s="122"/>
      <c r="AR967" s="115"/>
      <c r="AS967" s="115"/>
      <c r="AT967" s="115"/>
      <c r="AU967" s="115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115"/>
      <c r="BF967" s="26"/>
      <c r="BG967" s="13"/>
      <c r="BJ967" s="114"/>
    </row>
    <row r="968" spans="36:62" x14ac:dyDescent="0.4">
      <c r="AJ968" s="115"/>
      <c r="AK968" s="115"/>
      <c r="AL968" s="115"/>
      <c r="AM968" s="115"/>
      <c r="AN968" s="115"/>
      <c r="AO968" s="122"/>
      <c r="AP968" s="122"/>
      <c r="AQ968" s="122"/>
      <c r="AR968" s="115"/>
      <c r="AS968" s="115"/>
      <c r="AT968" s="115"/>
      <c r="AU968" s="115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115"/>
      <c r="BF968" s="26"/>
      <c r="BG968" s="13"/>
      <c r="BJ968" s="114"/>
    </row>
    <row r="969" spans="36:62" x14ac:dyDescent="0.4">
      <c r="AJ969" s="115"/>
      <c r="AK969" s="115"/>
      <c r="AL969" s="115"/>
      <c r="AM969" s="115"/>
      <c r="AN969" s="115"/>
      <c r="AO969" s="122"/>
      <c r="AP969" s="122"/>
      <c r="AQ969" s="122"/>
      <c r="AR969" s="115"/>
      <c r="AS969" s="115"/>
      <c r="AT969" s="115"/>
      <c r="AU969" s="115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115"/>
      <c r="BF969" s="26"/>
      <c r="BG969" s="13"/>
      <c r="BJ969" s="114"/>
    </row>
    <row r="970" spans="36:62" x14ac:dyDescent="0.4">
      <c r="AJ970" s="115"/>
      <c r="AK970" s="115"/>
      <c r="AL970" s="115"/>
      <c r="AM970" s="115"/>
      <c r="AN970" s="115"/>
      <c r="AO970" s="122"/>
      <c r="AP970" s="122"/>
      <c r="AQ970" s="122"/>
      <c r="AR970" s="115"/>
      <c r="AS970" s="115"/>
      <c r="AT970" s="115"/>
      <c r="AU970" s="115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115"/>
      <c r="BF970" s="26"/>
      <c r="BG970" s="13"/>
      <c r="BJ970" s="114"/>
    </row>
    <row r="971" spans="36:62" x14ac:dyDescent="0.4">
      <c r="AJ971" s="115"/>
      <c r="AK971" s="115"/>
      <c r="AL971" s="115"/>
      <c r="AM971" s="115"/>
      <c r="AN971" s="115"/>
      <c r="AO971" s="122"/>
      <c r="AP971" s="122"/>
      <c r="AQ971" s="122"/>
      <c r="AR971" s="115"/>
      <c r="AS971" s="115"/>
      <c r="AT971" s="115"/>
      <c r="AU971" s="115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115"/>
      <c r="BF971" s="26"/>
      <c r="BG971" s="13"/>
      <c r="BJ971" s="114"/>
    </row>
    <row r="972" spans="36:62" x14ac:dyDescent="0.4">
      <c r="AJ972" s="115"/>
      <c r="AK972" s="115"/>
      <c r="AL972" s="115"/>
      <c r="AM972" s="115"/>
      <c r="AN972" s="115"/>
      <c r="AO972" s="122"/>
      <c r="AP972" s="122"/>
      <c r="AQ972" s="122"/>
      <c r="AR972" s="115"/>
      <c r="AS972" s="115"/>
      <c r="AT972" s="115"/>
      <c r="AU972" s="115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115"/>
      <c r="BF972" s="26"/>
      <c r="BG972" s="13"/>
      <c r="BJ972" s="114"/>
    </row>
    <row r="973" spans="36:62" x14ac:dyDescent="0.4">
      <c r="AJ973" s="115"/>
      <c r="AK973" s="115"/>
      <c r="AL973" s="115"/>
      <c r="AM973" s="115"/>
      <c r="AN973" s="115"/>
      <c r="AO973" s="122"/>
      <c r="AP973" s="122"/>
      <c r="AQ973" s="122"/>
      <c r="AR973" s="115"/>
      <c r="AS973" s="115"/>
      <c r="AT973" s="115"/>
      <c r="AU973" s="115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115"/>
      <c r="BF973" s="26"/>
      <c r="BG973" s="13"/>
      <c r="BJ973" s="114"/>
    </row>
    <row r="974" spans="36:62" x14ac:dyDescent="0.4">
      <c r="AJ974" s="115"/>
      <c r="AK974" s="115"/>
      <c r="AL974" s="115"/>
      <c r="AM974" s="115"/>
      <c r="AN974" s="115"/>
      <c r="AO974" s="122"/>
      <c r="AP974" s="122"/>
      <c r="AQ974" s="122"/>
      <c r="AR974" s="115"/>
      <c r="AS974" s="115"/>
      <c r="AT974" s="115"/>
      <c r="AU974" s="115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115"/>
      <c r="BF974" s="17"/>
      <c r="BG974" s="13"/>
      <c r="BJ974" s="114"/>
    </row>
    <row r="975" spans="36:62" x14ac:dyDescent="0.4">
      <c r="AJ975" s="115"/>
      <c r="AK975" s="115"/>
      <c r="AL975" s="115"/>
      <c r="AM975" s="115"/>
      <c r="AN975" s="115"/>
      <c r="AO975" s="122"/>
      <c r="AP975" s="122"/>
      <c r="AQ975" s="122"/>
      <c r="AR975" s="115"/>
      <c r="AS975" s="115"/>
      <c r="AT975" s="115"/>
      <c r="AU975" s="115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115"/>
      <c r="BF975" s="26"/>
      <c r="BG975" s="13"/>
      <c r="BJ975" s="114"/>
    </row>
    <row r="976" spans="36:62" x14ac:dyDescent="0.4">
      <c r="AJ976" s="115"/>
      <c r="AK976" s="115"/>
      <c r="AL976" s="115"/>
      <c r="AM976" s="115"/>
      <c r="AN976" s="115"/>
      <c r="AO976" s="122"/>
      <c r="AP976" s="122"/>
      <c r="AQ976" s="122"/>
      <c r="AR976" s="115"/>
      <c r="AS976" s="115"/>
      <c r="AT976" s="115"/>
      <c r="AU976" s="115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115"/>
      <c r="BF976" s="26"/>
      <c r="BG976" s="13"/>
      <c r="BJ976" s="114"/>
    </row>
    <row r="977" spans="35:62" x14ac:dyDescent="0.4">
      <c r="AJ977" s="115"/>
      <c r="AK977" s="115"/>
      <c r="AL977" s="115"/>
      <c r="AM977" s="115"/>
      <c r="AN977" s="115"/>
      <c r="AO977" s="122"/>
      <c r="AP977" s="122"/>
      <c r="AQ977" s="122"/>
      <c r="AR977" s="115"/>
      <c r="AS977" s="115"/>
      <c r="AT977" s="115"/>
      <c r="AU977" s="115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115"/>
      <c r="BF977" s="26"/>
      <c r="BG977" s="13"/>
      <c r="BJ977" s="114"/>
    </row>
    <row r="978" spans="35:62" x14ac:dyDescent="0.4">
      <c r="AJ978" s="115"/>
      <c r="AK978" s="115"/>
      <c r="AL978" s="115"/>
      <c r="AM978" s="115"/>
      <c r="AN978" s="115"/>
      <c r="AO978" s="122"/>
      <c r="AP978" s="122"/>
      <c r="AQ978" s="122"/>
      <c r="AR978" s="115"/>
      <c r="AS978" s="115"/>
      <c r="AT978" s="115"/>
      <c r="AU978" s="115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115"/>
      <c r="BF978" s="17"/>
      <c r="BG978" s="13"/>
      <c r="BJ978" s="114"/>
    </row>
    <row r="979" spans="35:62" x14ac:dyDescent="0.4">
      <c r="AJ979" s="115"/>
      <c r="AK979" s="115"/>
      <c r="AL979" s="115"/>
      <c r="AM979" s="115"/>
      <c r="AN979" s="115"/>
      <c r="AO979" s="122"/>
      <c r="AP979" s="122"/>
      <c r="AQ979" s="122"/>
      <c r="AR979" s="115"/>
      <c r="AS979" s="115"/>
      <c r="AT979" s="115"/>
      <c r="AU979" s="115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115"/>
      <c r="BF979" s="26"/>
      <c r="BG979" s="13"/>
      <c r="BJ979" s="114"/>
    </row>
    <row r="980" spans="35:62" x14ac:dyDescent="0.4">
      <c r="AJ980" s="115"/>
      <c r="AK980" s="115"/>
      <c r="AL980" s="115"/>
      <c r="AM980" s="115"/>
      <c r="AN980" s="115"/>
      <c r="AO980" s="122"/>
      <c r="AP980" s="122"/>
      <c r="AQ980" s="122"/>
      <c r="AR980" s="115"/>
      <c r="AS980" s="115"/>
      <c r="AT980" s="115"/>
      <c r="AU980" s="115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115"/>
      <c r="BF980" s="17"/>
      <c r="BG980" s="13"/>
      <c r="BJ980" s="114"/>
    </row>
    <row r="981" spans="35:62" x14ac:dyDescent="0.4">
      <c r="AJ981" s="115"/>
      <c r="AK981" s="115"/>
      <c r="AL981" s="115"/>
      <c r="AM981" s="115"/>
      <c r="AN981" s="115"/>
      <c r="AO981" s="122"/>
      <c r="AP981" s="122"/>
      <c r="AQ981" s="122"/>
      <c r="AR981" s="115"/>
      <c r="AS981" s="115"/>
      <c r="AT981" s="115"/>
      <c r="AU981" s="115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115"/>
      <c r="BF981" s="26"/>
      <c r="BG981" s="13"/>
      <c r="BJ981" s="114"/>
    </row>
    <row r="982" spans="35:62" x14ac:dyDescent="0.4">
      <c r="AJ982" s="115"/>
      <c r="AK982" s="115"/>
      <c r="AL982" s="115"/>
      <c r="AM982" s="115"/>
      <c r="AN982" s="115"/>
      <c r="AO982" s="122"/>
      <c r="AP982" s="122"/>
      <c r="AQ982" s="122"/>
      <c r="AR982" s="115"/>
      <c r="AS982" s="115"/>
      <c r="AT982" s="115"/>
      <c r="AU982" s="115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115"/>
      <c r="BF982" s="26"/>
      <c r="BG982" s="15"/>
      <c r="BJ982" s="114"/>
    </row>
    <row r="983" spans="35:62" x14ac:dyDescent="0.4">
      <c r="AJ983" s="115"/>
      <c r="AK983" s="115"/>
      <c r="AL983" s="115"/>
      <c r="AM983" s="115"/>
      <c r="AN983" s="115"/>
      <c r="AO983" s="122"/>
      <c r="AP983" s="122"/>
      <c r="AQ983" s="122"/>
      <c r="AR983" s="115"/>
      <c r="AS983" s="115"/>
      <c r="AT983" s="115"/>
      <c r="AU983" s="115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115"/>
      <c r="BF983" s="17"/>
      <c r="BG983" s="15"/>
      <c r="BJ983" s="114"/>
    </row>
    <row r="984" spans="35:62" x14ac:dyDescent="0.4">
      <c r="AJ984" s="115"/>
      <c r="AK984" s="115"/>
      <c r="AL984" s="115"/>
      <c r="AM984" s="115"/>
      <c r="AN984" s="115"/>
      <c r="AO984" s="122"/>
      <c r="AP984" s="122"/>
      <c r="AQ984" s="122"/>
      <c r="AR984" s="115"/>
      <c r="AS984" s="115"/>
      <c r="AT984" s="115"/>
      <c r="AU984" s="115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115"/>
      <c r="BF984" s="17"/>
      <c r="BG984" s="15"/>
      <c r="BJ984" s="114"/>
    </row>
    <row r="985" spans="35:62" x14ac:dyDescent="0.4">
      <c r="AI985" s="115"/>
      <c r="AJ985" s="115"/>
      <c r="AK985" s="115"/>
      <c r="AL985" s="115"/>
      <c r="AM985" s="115"/>
      <c r="AN985" s="115"/>
      <c r="AO985" s="122"/>
      <c r="AP985" s="122"/>
      <c r="AQ985" s="122"/>
      <c r="AR985" s="115"/>
      <c r="AS985" s="115"/>
      <c r="AT985" s="115"/>
      <c r="AU985" s="115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115"/>
      <c r="BF985" s="26"/>
      <c r="BG985" s="15"/>
      <c r="BJ985" s="114"/>
    </row>
    <row r="986" spans="35:62" x14ac:dyDescent="0.4">
      <c r="AI986" s="115"/>
      <c r="AJ986" s="115"/>
      <c r="AK986" s="115"/>
      <c r="AL986" s="115"/>
      <c r="AM986" s="115"/>
      <c r="AN986" s="115"/>
      <c r="AO986" s="122"/>
      <c r="AP986" s="122"/>
      <c r="AQ986" s="122"/>
      <c r="AR986" s="115"/>
      <c r="AS986" s="115"/>
      <c r="AT986" s="115"/>
      <c r="AU986" s="115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115"/>
      <c r="BF986" s="17"/>
      <c r="BG986" s="15"/>
      <c r="BJ986" s="114"/>
    </row>
    <row r="987" spans="35:62" x14ac:dyDescent="0.4">
      <c r="AI987" s="115"/>
      <c r="AJ987" s="115"/>
      <c r="AK987" s="115"/>
      <c r="AL987" s="115"/>
      <c r="AM987" s="115"/>
      <c r="AN987" s="115"/>
      <c r="AO987" s="122"/>
      <c r="AP987" s="122"/>
      <c r="AQ987" s="122"/>
      <c r="AR987" s="115"/>
      <c r="AS987" s="115"/>
      <c r="AT987" s="115"/>
      <c r="AU987" s="115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115"/>
      <c r="BF987" s="26"/>
      <c r="BG987" s="15"/>
      <c r="BJ987" s="114"/>
    </row>
    <row r="988" spans="35:62" x14ac:dyDescent="0.4">
      <c r="AI988" s="115"/>
      <c r="AJ988" s="115"/>
      <c r="AK988" s="115"/>
      <c r="AL988" s="115"/>
      <c r="AM988" s="115"/>
      <c r="AN988" s="115"/>
      <c r="AO988" s="122"/>
      <c r="AP988" s="122"/>
      <c r="AQ988" s="122"/>
      <c r="AR988" s="115"/>
      <c r="AS988" s="115"/>
      <c r="AT988" s="115"/>
      <c r="AU988" s="115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115"/>
      <c r="BF988" s="26"/>
      <c r="BG988" s="15"/>
      <c r="BJ988" s="114"/>
    </row>
    <row r="989" spans="35:62" x14ac:dyDescent="0.4">
      <c r="AI989" s="115"/>
      <c r="AJ989" s="115"/>
      <c r="AK989" s="115"/>
      <c r="AL989" s="115"/>
      <c r="AM989" s="115"/>
      <c r="AN989" s="115"/>
      <c r="AO989" s="122"/>
      <c r="AP989" s="122"/>
      <c r="AQ989" s="122"/>
      <c r="AR989" s="115"/>
      <c r="AS989" s="115"/>
      <c r="AT989" s="115"/>
      <c r="AU989" s="115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115"/>
      <c r="BF989" s="17"/>
      <c r="BG989" s="15"/>
      <c r="BJ989" s="114"/>
    </row>
    <row r="990" spans="35:62" x14ac:dyDescent="0.4">
      <c r="AI990" s="115"/>
      <c r="AJ990" s="115"/>
      <c r="AK990" s="115"/>
      <c r="AL990" s="115"/>
      <c r="AM990" s="115"/>
      <c r="AN990" s="115"/>
      <c r="AO990" s="122"/>
      <c r="AP990" s="122"/>
      <c r="AQ990" s="122"/>
      <c r="AR990" s="115"/>
      <c r="AS990" s="115"/>
      <c r="AT990" s="115"/>
      <c r="AU990" s="115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115"/>
      <c r="BF990" s="26"/>
      <c r="BG990" s="15"/>
      <c r="BJ990" s="114"/>
    </row>
    <row r="991" spans="35:62" x14ac:dyDescent="0.4">
      <c r="AI991" s="115"/>
      <c r="AJ991" s="115"/>
      <c r="AK991" s="115"/>
      <c r="AL991" s="115"/>
      <c r="AM991" s="115"/>
      <c r="AN991" s="115"/>
      <c r="AO991" s="122"/>
      <c r="AP991" s="122"/>
      <c r="AQ991" s="122"/>
      <c r="AR991" s="115"/>
      <c r="AS991" s="115"/>
      <c r="AT991" s="115"/>
      <c r="AU991" s="115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115"/>
      <c r="BF991" s="17"/>
      <c r="BG991" s="15"/>
      <c r="BJ991" s="114"/>
    </row>
    <row r="992" spans="35:62" x14ac:dyDescent="0.4">
      <c r="AI992" s="115"/>
      <c r="AJ992" s="115"/>
      <c r="AK992" s="115"/>
      <c r="AL992" s="115"/>
      <c r="AM992" s="115"/>
      <c r="AN992" s="115"/>
      <c r="AO992" s="122"/>
      <c r="AP992" s="122"/>
      <c r="AQ992" s="122"/>
      <c r="AR992" s="115"/>
      <c r="AS992" s="115"/>
      <c r="AT992" s="115"/>
      <c r="AU992" s="115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115"/>
      <c r="BF992" s="17"/>
      <c r="BG992" s="15"/>
      <c r="BJ992" s="114"/>
    </row>
    <row r="993" spans="35:62" x14ac:dyDescent="0.4">
      <c r="AI993" s="115"/>
      <c r="AJ993" s="115"/>
      <c r="AK993" s="115"/>
      <c r="AL993" s="115"/>
      <c r="AM993" s="115"/>
      <c r="AN993" s="115"/>
      <c r="AO993" s="122"/>
      <c r="AP993" s="122"/>
      <c r="AQ993" s="122"/>
      <c r="AR993" s="115"/>
      <c r="AS993" s="115"/>
      <c r="AT993" s="115"/>
      <c r="AU993" s="115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115"/>
      <c r="BF993" s="26"/>
      <c r="BG993" s="15"/>
      <c r="BJ993" s="114"/>
    </row>
    <row r="994" spans="35:62" x14ac:dyDescent="0.4">
      <c r="AI994" s="115"/>
      <c r="AJ994" s="115"/>
      <c r="AK994" s="115"/>
      <c r="AL994" s="115"/>
      <c r="AM994" s="115"/>
      <c r="AN994" s="115"/>
      <c r="AO994" s="122"/>
      <c r="AP994" s="122"/>
      <c r="AQ994" s="122"/>
      <c r="AR994" s="115"/>
      <c r="AS994" s="115"/>
      <c r="AT994" s="115"/>
      <c r="AU994" s="115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115"/>
      <c r="BF994" s="26"/>
      <c r="BG994" s="15"/>
      <c r="BJ994" s="114"/>
    </row>
    <row r="995" spans="35:62" x14ac:dyDescent="0.4">
      <c r="AI995" s="115"/>
      <c r="AJ995" s="115"/>
      <c r="AK995" s="115"/>
      <c r="AL995" s="115"/>
      <c r="AM995" s="115"/>
      <c r="AN995" s="115"/>
      <c r="AO995" s="122"/>
      <c r="AP995" s="122"/>
      <c r="AQ995" s="122"/>
      <c r="AR995" s="115"/>
      <c r="AS995" s="115"/>
      <c r="AT995" s="115"/>
      <c r="AU995" s="115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115"/>
      <c r="BF995" s="26"/>
      <c r="BG995" s="15"/>
      <c r="BJ995" s="114"/>
    </row>
    <row r="996" spans="35:62" x14ac:dyDescent="0.4">
      <c r="AI996" s="115"/>
      <c r="AJ996" s="115"/>
      <c r="AK996" s="115"/>
      <c r="AL996" s="115"/>
      <c r="AM996" s="115"/>
      <c r="AN996" s="115"/>
      <c r="AO996" s="122"/>
      <c r="AP996" s="122"/>
      <c r="AQ996" s="122"/>
      <c r="AR996" s="115"/>
      <c r="AS996" s="115"/>
      <c r="AT996" s="115"/>
      <c r="AU996" s="115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115"/>
      <c r="BF996" s="26"/>
      <c r="BG996" s="15"/>
      <c r="BJ996" s="114"/>
    </row>
    <row r="997" spans="35:62" x14ac:dyDescent="0.4">
      <c r="AI997" s="115"/>
      <c r="AJ997" s="115"/>
      <c r="AK997" s="115"/>
      <c r="AL997" s="115"/>
      <c r="AM997" s="115"/>
      <c r="AN997" s="115"/>
      <c r="AO997" s="122"/>
      <c r="AP997" s="122"/>
      <c r="AQ997" s="122"/>
      <c r="AR997" s="115"/>
      <c r="AS997" s="115"/>
      <c r="AT997" s="115"/>
      <c r="AU997" s="115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115"/>
      <c r="BF997" s="26"/>
      <c r="BG997" s="15"/>
      <c r="BJ997" s="114"/>
    </row>
    <row r="998" spans="35:62" x14ac:dyDescent="0.4">
      <c r="AI998" s="115"/>
      <c r="AJ998" s="115"/>
      <c r="AK998" s="115"/>
      <c r="AL998" s="115"/>
      <c r="AM998" s="115"/>
      <c r="AN998" s="115"/>
      <c r="AO998" s="122"/>
      <c r="AP998" s="122"/>
      <c r="AQ998" s="122"/>
      <c r="AR998" s="115"/>
      <c r="AS998" s="115"/>
      <c r="AT998" s="115"/>
      <c r="AU998" s="115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115"/>
      <c r="BF998" s="26"/>
      <c r="BG998" s="15"/>
      <c r="BJ998" s="114"/>
    </row>
    <row r="999" spans="35:62" x14ac:dyDescent="0.4">
      <c r="AI999" s="115"/>
      <c r="AJ999" s="115"/>
      <c r="AK999" s="115"/>
      <c r="AL999" s="115"/>
      <c r="AM999" s="115"/>
      <c r="AN999" s="115"/>
      <c r="AO999" s="122"/>
      <c r="AP999" s="122"/>
      <c r="AQ999" s="122"/>
      <c r="AR999" s="115"/>
      <c r="AS999" s="115"/>
      <c r="AT999" s="115"/>
      <c r="AU999" s="115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115"/>
      <c r="BF999" s="26"/>
      <c r="BG999" s="15"/>
      <c r="BJ999" s="114"/>
    </row>
    <row r="1000" spans="35:62" x14ac:dyDescent="0.4">
      <c r="AI1000" s="115"/>
      <c r="AJ1000" s="115"/>
      <c r="AK1000" s="115"/>
      <c r="AL1000" s="115"/>
      <c r="AM1000" s="115"/>
      <c r="AN1000" s="115"/>
      <c r="AO1000" s="122"/>
      <c r="AP1000" s="122"/>
      <c r="AQ1000" s="122"/>
      <c r="AR1000" s="115"/>
      <c r="AS1000" s="115"/>
      <c r="AT1000" s="115"/>
      <c r="AU1000" s="115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115"/>
      <c r="BF1000" s="17"/>
      <c r="BG1000" s="15"/>
      <c r="BJ1000" s="114"/>
    </row>
    <row r="1001" spans="35:62" x14ac:dyDescent="0.4">
      <c r="AI1001" s="115"/>
      <c r="AJ1001" s="115"/>
      <c r="AK1001" s="115"/>
      <c r="AL1001" s="115"/>
      <c r="AM1001" s="115"/>
      <c r="AN1001" s="115"/>
      <c r="AO1001" s="122"/>
      <c r="AP1001" s="122"/>
      <c r="AQ1001" s="122"/>
      <c r="AR1001" s="115"/>
      <c r="AS1001" s="115"/>
      <c r="AT1001" s="115"/>
      <c r="AU1001" s="115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115"/>
      <c r="BF1001" s="26"/>
      <c r="BG1001" s="15"/>
      <c r="BJ1001" s="114"/>
    </row>
    <row r="1002" spans="35:62" x14ac:dyDescent="0.4">
      <c r="AI1002" s="115"/>
      <c r="AJ1002" s="115"/>
      <c r="AK1002" s="115"/>
      <c r="AL1002" s="115"/>
      <c r="AM1002" s="115"/>
      <c r="AN1002" s="115"/>
      <c r="AO1002" s="122"/>
      <c r="AP1002" s="122"/>
      <c r="AQ1002" s="122"/>
      <c r="AR1002" s="115"/>
      <c r="AS1002" s="115"/>
      <c r="AT1002" s="115"/>
      <c r="AU1002" s="115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115"/>
      <c r="BF1002" s="26"/>
      <c r="BG1002" s="15"/>
      <c r="BJ1002" s="114"/>
    </row>
    <row r="1003" spans="35:62" x14ac:dyDescent="0.4">
      <c r="AI1003" s="115"/>
      <c r="AJ1003" s="115"/>
      <c r="AK1003" s="115"/>
      <c r="AL1003" s="115"/>
      <c r="AM1003" s="115"/>
      <c r="AN1003" s="115"/>
      <c r="AO1003" s="122"/>
      <c r="AP1003" s="122"/>
      <c r="AQ1003" s="122"/>
      <c r="AR1003" s="115"/>
      <c r="AS1003" s="115"/>
      <c r="AT1003" s="115"/>
      <c r="AU1003" s="115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115"/>
      <c r="BF1003" s="26"/>
      <c r="BG1003" s="15"/>
      <c r="BJ1003" s="114"/>
    </row>
    <row r="1004" spans="35:62" x14ac:dyDescent="0.4">
      <c r="AI1004" s="115"/>
      <c r="AJ1004" s="115"/>
      <c r="AK1004" s="115"/>
      <c r="AL1004" s="115"/>
      <c r="AM1004" s="115"/>
      <c r="AN1004" s="115"/>
      <c r="AO1004" s="122"/>
      <c r="AP1004" s="122"/>
      <c r="AQ1004" s="122"/>
      <c r="AR1004" s="115"/>
      <c r="AS1004" s="115"/>
      <c r="AT1004" s="115"/>
      <c r="AU1004" s="115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115"/>
      <c r="BF1004" s="26"/>
      <c r="BG1004" s="13"/>
      <c r="BJ1004" s="114"/>
    </row>
    <row r="1005" spans="35:62" x14ac:dyDescent="0.4">
      <c r="AI1005" s="115"/>
      <c r="AJ1005" s="115"/>
      <c r="AK1005" s="115"/>
      <c r="AL1005" s="115"/>
      <c r="AM1005" s="115"/>
      <c r="AN1005" s="115"/>
      <c r="AO1005" s="122"/>
      <c r="AP1005" s="122"/>
      <c r="AQ1005" s="122"/>
      <c r="AR1005" s="115"/>
      <c r="AS1005" s="115"/>
      <c r="AT1005" s="115"/>
      <c r="AU1005" s="115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115"/>
      <c r="BF1005" s="17"/>
      <c r="BG1005" s="13"/>
      <c r="BJ1005" s="114"/>
    </row>
    <row r="1006" spans="35:62" x14ac:dyDescent="0.4">
      <c r="AI1006" s="115"/>
      <c r="AJ1006" s="115"/>
      <c r="AK1006" s="115"/>
      <c r="AL1006" s="115"/>
      <c r="AM1006" s="115"/>
      <c r="AN1006" s="115"/>
      <c r="AO1006" s="122"/>
      <c r="AP1006" s="122"/>
      <c r="AQ1006" s="122"/>
      <c r="AR1006" s="115"/>
      <c r="AS1006" s="115"/>
      <c r="AT1006" s="115"/>
      <c r="AU1006" s="115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115"/>
      <c r="BF1006" s="26"/>
      <c r="BG1006" s="13"/>
      <c r="BJ1006" s="114"/>
    </row>
    <row r="1007" spans="35:62" x14ac:dyDescent="0.4">
      <c r="AI1007" s="115"/>
      <c r="AJ1007" s="115"/>
      <c r="AK1007" s="115"/>
      <c r="AL1007" s="115"/>
      <c r="AM1007" s="115"/>
      <c r="AN1007" s="115"/>
      <c r="AO1007" s="122"/>
      <c r="AP1007" s="122"/>
      <c r="AQ1007" s="122"/>
      <c r="AR1007" s="115"/>
      <c r="AS1007" s="115"/>
      <c r="AT1007" s="115"/>
      <c r="AU1007" s="115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115"/>
      <c r="BF1007" s="26"/>
      <c r="BG1007" s="13"/>
      <c r="BJ1007" s="114"/>
    </row>
    <row r="1008" spans="35:62" x14ac:dyDescent="0.4">
      <c r="AI1008" s="115"/>
      <c r="AJ1008" s="115"/>
      <c r="AK1008" s="115"/>
      <c r="AL1008" s="115"/>
      <c r="AM1008" s="115"/>
      <c r="AN1008" s="115"/>
      <c r="AO1008" s="122"/>
      <c r="AP1008" s="122"/>
      <c r="AQ1008" s="122"/>
      <c r="AR1008" s="115"/>
      <c r="AS1008" s="115"/>
      <c r="AT1008" s="115"/>
      <c r="AU1008" s="115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115"/>
      <c r="BF1008" s="26"/>
      <c r="BG1008" s="13"/>
      <c r="BJ1008" s="114"/>
    </row>
    <row r="1009" spans="5:62" x14ac:dyDescent="0.4">
      <c r="AI1009" s="115"/>
      <c r="AJ1009" s="115"/>
      <c r="AK1009" s="115"/>
      <c r="AL1009" s="115"/>
      <c r="AM1009" s="115"/>
      <c r="AN1009" s="115"/>
      <c r="AO1009" s="122"/>
      <c r="AP1009" s="122"/>
      <c r="AQ1009" s="122"/>
      <c r="AR1009" s="115"/>
      <c r="AS1009" s="115"/>
      <c r="AT1009" s="115"/>
      <c r="AU1009" s="115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115"/>
      <c r="BF1009" s="26"/>
      <c r="BG1009" s="13"/>
      <c r="BJ1009" s="114"/>
    </row>
    <row r="1010" spans="5:62" x14ac:dyDescent="0.4">
      <c r="AI1010" s="115"/>
      <c r="AJ1010" s="115"/>
      <c r="AK1010" s="115"/>
      <c r="AL1010" s="115"/>
      <c r="AM1010" s="115"/>
      <c r="AN1010" s="115"/>
      <c r="AO1010" s="122"/>
      <c r="AP1010" s="122"/>
      <c r="AQ1010" s="122"/>
      <c r="AR1010" s="115"/>
      <c r="AS1010" s="115"/>
      <c r="AT1010" s="115"/>
      <c r="AU1010" s="115"/>
      <c r="AV1010" s="115"/>
      <c r="AW1010" s="115"/>
      <c r="AX1010" s="115"/>
      <c r="AY1010" s="115"/>
      <c r="AZ1010" s="115"/>
      <c r="BA1010" s="115"/>
      <c r="BB1010" s="115"/>
      <c r="BC1010" s="115"/>
      <c r="BD1010" s="115"/>
      <c r="BE1010" s="115"/>
      <c r="BF1010" s="26"/>
      <c r="BG1010" s="13"/>
      <c r="BJ1010" s="114"/>
    </row>
    <row r="1011" spans="5:62" x14ac:dyDescent="0.4">
      <c r="AI1011" s="115"/>
      <c r="AJ1011" s="115"/>
      <c r="AK1011" s="115"/>
      <c r="AL1011" s="115"/>
      <c r="AM1011" s="115"/>
      <c r="AN1011" s="115"/>
      <c r="AO1011" s="122"/>
      <c r="AP1011" s="122"/>
      <c r="AQ1011" s="122"/>
      <c r="AR1011" s="115"/>
      <c r="AS1011" s="115"/>
      <c r="AT1011" s="115"/>
      <c r="AU1011" s="115"/>
      <c r="AV1011" s="115"/>
      <c r="AW1011" s="115"/>
      <c r="AX1011" s="115"/>
      <c r="AY1011" s="115"/>
      <c r="AZ1011" s="115"/>
      <c r="BA1011" s="115"/>
      <c r="BB1011" s="115"/>
      <c r="BC1011" s="115"/>
      <c r="BD1011" s="115"/>
      <c r="BE1011" s="115"/>
      <c r="BF1011" s="26"/>
      <c r="BG1011" s="13"/>
      <c r="BJ1011" s="114"/>
    </row>
    <row r="1012" spans="5:62" x14ac:dyDescent="0.4">
      <c r="AI1012" s="115"/>
      <c r="AJ1012" s="115"/>
      <c r="AK1012" s="115"/>
      <c r="AL1012" s="115"/>
      <c r="AM1012" s="115"/>
      <c r="AN1012" s="115"/>
      <c r="AO1012" s="122"/>
      <c r="AP1012" s="122"/>
      <c r="AQ1012" s="122"/>
      <c r="AR1012" s="115"/>
      <c r="AS1012" s="115"/>
      <c r="AT1012" s="115"/>
      <c r="AU1012" s="115"/>
      <c r="AV1012" s="115"/>
      <c r="AW1012" s="115"/>
      <c r="AX1012" s="115"/>
      <c r="AY1012" s="115"/>
      <c r="AZ1012" s="115"/>
      <c r="BA1012" s="115"/>
      <c r="BB1012" s="115"/>
      <c r="BC1012" s="115"/>
      <c r="BD1012" s="115"/>
      <c r="BE1012" s="115"/>
      <c r="BF1012" s="17"/>
      <c r="BG1012" s="13"/>
      <c r="BJ1012" s="114"/>
    </row>
    <row r="1013" spans="5:62" x14ac:dyDescent="0.4">
      <c r="AI1013" s="115"/>
      <c r="AJ1013" s="115"/>
      <c r="AK1013" s="115"/>
      <c r="AL1013" s="115"/>
      <c r="AM1013" s="115"/>
      <c r="AN1013" s="115"/>
      <c r="AO1013" s="122"/>
      <c r="AP1013" s="122"/>
      <c r="AQ1013" s="122"/>
      <c r="AR1013" s="115"/>
      <c r="AS1013" s="115"/>
      <c r="AT1013" s="115"/>
      <c r="AU1013" s="115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115"/>
      <c r="BF1013" s="26"/>
      <c r="BG1013" s="13"/>
      <c r="BJ1013" s="114"/>
    </row>
    <row r="1014" spans="5:62" x14ac:dyDescent="0.4">
      <c r="AI1014" s="115"/>
      <c r="AJ1014" s="115"/>
      <c r="AK1014" s="115"/>
      <c r="AL1014" s="115"/>
      <c r="AM1014" s="115"/>
      <c r="AN1014" s="115"/>
      <c r="AO1014" s="122"/>
      <c r="AP1014" s="122"/>
      <c r="AQ1014" s="122"/>
      <c r="AR1014" s="115"/>
      <c r="AS1014" s="115"/>
      <c r="AT1014" s="115"/>
      <c r="AU1014" s="115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115"/>
      <c r="BF1014" s="26"/>
      <c r="BG1014" s="13"/>
      <c r="BJ1014" s="114"/>
    </row>
    <row r="1015" spans="5:62" x14ac:dyDescent="0.4"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22"/>
      <c r="AP1015" s="122"/>
      <c r="AQ1015" s="122"/>
      <c r="AR1015" s="115"/>
      <c r="AS1015" s="115"/>
      <c r="AT1015" s="115"/>
      <c r="AU1015" s="115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115"/>
      <c r="BF1015" s="26"/>
      <c r="BG1015" s="13"/>
      <c r="BJ1015" s="114"/>
    </row>
    <row r="1016" spans="5:62" x14ac:dyDescent="0.4"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22"/>
      <c r="AP1016" s="122"/>
      <c r="AQ1016" s="122"/>
      <c r="AR1016" s="115"/>
      <c r="AS1016" s="115"/>
      <c r="AT1016" s="115"/>
      <c r="AU1016" s="115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115"/>
      <c r="BF1016" s="26"/>
      <c r="BG1016" s="13"/>
      <c r="BJ1016" s="114"/>
    </row>
    <row r="1017" spans="5:62" x14ac:dyDescent="0.4"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22"/>
      <c r="AP1017" s="122"/>
      <c r="AQ1017" s="122"/>
      <c r="AR1017" s="115"/>
      <c r="AS1017" s="115"/>
      <c r="AT1017" s="115"/>
      <c r="AU1017" s="115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115"/>
      <c r="BF1017" s="26"/>
      <c r="BG1017" s="13"/>
      <c r="BJ1017" s="114"/>
    </row>
    <row r="1018" spans="5:62" x14ac:dyDescent="0.4"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22"/>
      <c r="AP1018" s="122"/>
      <c r="AQ1018" s="122"/>
      <c r="AR1018" s="115"/>
      <c r="AS1018" s="115"/>
      <c r="AT1018" s="115"/>
      <c r="AU1018" s="115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115"/>
      <c r="BF1018" s="26"/>
      <c r="BG1018" s="13"/>
      <c r="BJ1018" s="114"/>
    </row>
    <row r="1019" spans="5:62" x14ac:dyDescent="0.4"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22"/>
      <c r="AP1019" s="122"/>
      <c r="AQ1019" s="122"/>
      <c r="AR1019" s="115"/>
      <c r="AS1019" s="115"/>
      <c r="AT1019" s="115"/>
      <c r="AU1019" s="115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115"/>
      <c r="BF1019" s="26"/>
      <c r="BG1019" s="13"/>
      <c r="BJ1019" s="114"/>
    </row>
    <row r="1020" spans="5:62" x14ac:dyDescent="0.4"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22"/>
      <c r="AP1020" s="122"/>
      <c r="AQ1020" s="122"/>
      <c r="AR1020" s="115"/>
      <c r="AS1020" s="115"/>
      <c r="AT1020" s="115"/>
      <c r="AU1020" s="115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115"/>
      <c r="BF1020" s="26"/>
      <c r="BG1020" s="13"/>
      <c r="BJ1020" s="114"/>
    </row>
    <row r="1021" spans="5:62" x14ac:dyDescent="0.4"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22"/>
      <c r="AP1021" s="122"/>
      <c r="AQ1021" s="122"/>
      <c r="AR1021" s="115"/>
      <c r="AS1021" s="115"/>
      <c r="AT1021" s="115"/>
      <c r="AU1021" s="115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115"/>
      <c r="BF1021" s="26"/>
      <c r="BG1021" s="13"/>
      <c r="BJ1021" s="114"/>
    </row>
    <row r="1022" spans="5:62" x14ac:dyDescent="0.4"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22"/>
      <c r="AP1022" s="122"/>
      <c r="AQ1022" s="122"/>
      <c r="AR1022" s="115"/>
      <c r="AS1022" s="115"/>
      <c r="AT1022" s="115"/>
      <c r="AU1022" s="115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115"/>
      <c r="BF1022" s="26"/>
      <c r="BG1022" s="13"/>
      <c r="BJ1022" s="114"/>
    </row>
    <row r="1023" spans="5:62" x14ac:dyDescent="0.4"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115"/>
      <c r="AM1023" s="115"/>
      <c r="AN1023" s="115"/>
      <c r="AO1023" s="122"/>
      <c r="AP1023" s="122"/>
      <c r="AQ1023" s="122"/>
      <c r="AR1023" s="115"/>
      <c r="AS1023" s="115"/>
      <c r="AT1023" s="115"/>
      <c r="AU1023" s="115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115"/>
      <c r="BF1023" s="26"/>
      <c r="BG1023" s="13"/>
      <c r="BJ1023" s="114"/>
    </row>
    <row r="1024" spans="5:62" x14ac:dyDescent="0.4"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22"/>
      <c r="AP1024" s="122"/>
      <c r="AQ1024" s="122"/>
      <c r="AR1024" s="115"/>
      <c r="AS1024" s="115"/>
      <c r="AT1024" s="115"/>
      <c r="AU1024" s="115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115"/>
      <c r="BF1024" s="26"/>
      <c r="BG1024" s="13"/>
      <c r="BJ1024" s="114"/>
    </row>
    <row r="1025" spans="3:62" x14ac:dyDescent="0.4"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22"/>
      <c r="AP1025" s="122"/>
      <c r="AQ1025" s="122"/>
      <c r="AR1025" s="115"/>
      <c r="AS1025" s="115"/>
      <c r="AT1025" s="115"/>
      <c r="AU1025" s="115"/>
      <c r="AV1025" s="115"/>
      <c r="AW1025" s="115"/>
      <c r="AX1025" s="115"/>
      <c r="AY1025" s="115"/>
      <c r="AZ1025" s="115"/>
      <c r="BA1025" s="115"/>
      <c r="BB1025" s="115"/>
      <c r="BC1025" s="115"/>
      <c r="BD1025" s="115"/>
      <c r="BE1025" s="115"/>
      <c r="BF1025" s="26"/>
      <c r="BG1025" s="13"/>
      <c r="BJ1025" s="114"/>
    </row>
    <row r="1026" spans="3:62" x14ac:dyDescent="0.4"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122"/>
      <c r="AP1026" s="122"/>
      <c r="AQ1026" s="122"/>
      <c r="AR1026" s="115"/>
      <c r="AS1026" s="115"/>
      <c r="AT1026" s="115"/>
      <c r="AU1026" s="115"/>
      <c r="AV1026" s="115"/>
      <c r="AW1026" s="115"/>
      <c r="AX1026" s="115"/>
      <c r="AY1026" s="115"/>
      <c r="AZ1026" s="115"/>
      <c r="BA1026" s="115"/>
      <c r="BB1026" s="115"/>
      <c r="BC1026" s="115"/>
      <c r="BD1026" s="115"/>
      <c r="BE1026" s="115"/>
      <c r="BF1026" s="26"/>
      <c r="BG1026" s="13"/>
      <c r="BJ1026" s="114"/>
    </row>
    <row r="1027" spans="3:62" x14ac:dyDescent="0.4"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22"/>
      <c r="AP1027" s="122"/>
      <c r="AQ1027" s="122"/>
      <c r="AR1027" s="115"/>
      <c r="AS1027" s="115"/>
      <c r="AT1027" s="115"/>
      <c r="AU1027" s="115"/>
      <c r="AV1027" s="115"/>
      <c r="AW1027" s="115"/>
      <c r="AX1027" s="115"/>
      <c r="AY1027" s="115"/>
      <c r="AZ1027" s="115"/>
      <c r="BA1027" s="115"/>
      <c r="BB1027" s="115"/>
      <c r="BC1027" s="115"/>
      <c r="BD1027" s="115"/>
      <c r="BE1027" s="115"/>
      <c r="BF1027" s="26"/>
      <c r="BG1027" s="13"/>
      <c r="BJ1027" s="114"/>
    </row>
    <row r="1028" spans="3:62" x14ac:dyDescent="0.4"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22"/>
      <c r="AP1028" s="122"/>
      <c r="AQ1028" s="122"/>
      <c r="AR1028" s="115"/>
      <c r="AS1028" s="115"/>
      <c r="AT1028" s="115"/>
      <c r="AU1028" s="115"/>
      <c r="AV1028" s="115"/>
      <c r="AW1028" s="115"/>
      <c r="AX1028" s="115"/>
      <c r="AY1028" s="115"/>
      <c r="AZ1028" s="115"/>
      <c r="BA1028" s="115"/>
      <c r="BB1028" s="115"/>
      <c r="BC1028" s="115"/>
      <c r="BD1028" s="115"/>
      <c r="BE1028" s="115"/>
      <c r="BF1028" s="26"/>
      <c r="BG1028" s="13"/>
      <c r="BJ1028" s="114"/>
    </row>
    <row r="1029" spans="3:62" x14ac:dyDescent="0.4"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22"/>
      <c r="AP1029" s="122"/>
      <c r="AQ1029" s="122"/>
      <c r="AR1029" s="115"/>
      <c r="AS1029" s="115"/>
      <c r="AT1029" s="115"/>
      <c r="AU1029" s="115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115"/>
      <c r="BF1029" s="26"/>
      <c r="BG1029" s="13"/>
      <c r="BJ1029" s="114"/>
    </row>
    <row r="1030" spans="3:62" x14ac:dyDescent="0.4"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  <c r="AK1030" s="115"/>
      <c r="AL1030" s="115"/>
      <c r="AM1030" s="115"/>
      <c r="AN1030" s="115"/>
      <c r="AO1030" s="122"/>
      <c r="AP1030" s="122"/>
      <c r="AQ1030" s="122"/>
      <c r="AR1030" s="115"/>
      <c r="AS1030" s="115"/>
      <c r="AT1030" s="115"/>
      <c r="AU1030" s="115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115"/>
      <c r="BF1030" s="26"/>
      <c r="BG1030" s="13"/>
      <c r="BJ1030" s="114"/>
    </row>
    <row r="1031" spans="3:62" x14ac:dyDescent="0.4"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15"/>
      <c r="AO1031" s="122"/>
      <c r="AP1031" s="122"/>
      <c r="AQ1031" s="122"/>
      <c r="AR1031" s="115"/>
      <c r="AS1031" s="115"/>
      <c r="AT1031" s="115"/>
      <c r="AU1031" s="115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115"/>
      <c r="BF1031" s="17"/>
      <c r="BG1031" s="13"/>
      <c r="BJ1031" s="114"/>
    </row>
    <row r="1032" spans="3:62" x14ac:dyDescent="0.4"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  <c r="AK1032" s="115"/>
      <c r="AL1032" s="115"/>
      <c r="AM1032" s="115"/>
      <c r="AN1032" s="115"/>
      <c r="AO1032" s="122"/>
      <c r="AP1032" s="122"/>
      <c r="AQ1032" s="122"/>
      <c r="AR1032" s="115"/>
      <c r="AS1032" s="115"/>
      <c r="AT1032" s="115"/>
      <c r="AU1032" s="115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115"/>
      <c r="BF1032" s="26"/>
      <c r="BG1032" s="13"/>
      <c r="BJ1032" s="114"/>
    </row>
    <row r="1033" spans="3:62" x14ac:dyDescent="0.4"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  <c r="AK1033" s="115"/>
      <c r="AL1033" s="115"/>
      <c r="AM1033" s="115"/>
      <c r="AN1033" s="115"/>
      <c r="AO1033" s="122"/>
      <c r="AP1033" s="122"/>
      <c r="AQ1033" s="122"/>
      <c r="AR1033" s="115"/>
      <c r="AS1033" s="115"/>
      <c r="AT1033" s="115"/>
      <c r="AU1033" s="115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115"/>
      <c r="BF1033" s="26"/>
      <c r="BG1033" s="13"/>
      <c r="BJ1033" s="114"/>
    </row>
    <row r="1034" spans="3:62" x14ac:dyDescent="0.4"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22"/>
      <c r="AP1034" s="122"/>
      <c r="AQ1034" s="122"/>
      <c r="AR1034" s="115"/>
      <c r="AS1034" s="115"/>
      <c r="AT1034" s="115"/>
      <c r="AU1034" s="115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115"/>
      <c r="BF1034" s="26"/>
      <c r="BG1034" s="13"/>
      <c r="BJ1034" s="114"/>
    </row>
    <row r="1035" spans="3:62" x14ac:dyDescent="0.4"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22"/>
      <c r="AP1035" s="122"/>
      <c r="AQ1035" s="122"/>
      <c r="AR1035" s="115"/>
      <c r="AS1035" s="115"/>
      <c r="AT1035" s="115"/>
      <c r="AU1035" s="115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115"/>
      <c r="BF1035" s="26"/>
      <c r="BG1035" s="15"/>
      <c r="BJ1035" s="114"/>
    </row>
    <row r="1036" spans="3:62" x14ac:dyDescent="0.4"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22"/>
      <c r="AP1036" s="122"/>
      <c r="AQ1036" s="122"/>
      <c r="AR1036" s="115"/>
      <c r="AS1036" s="115"/>
      <c r="AT1036" s="115"/>
      <c r="AU1036" s="115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115"/>
      <c r="BF1036" s="26"/>
      <c r="BG1036" s="15"/>
      <c r="BJ1036" s="114"/>
    </row>
    <row r="1037" spans="3:62" x14ac:dyDescent="0.4"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122"/>
      <c r="AP1037" s="122"/>
      <c r="AQ1037" s="122"/>
      <c r="AR1037" s="115"/>
      <c r="AS1037" s="115"/>
      <c r="AT1037" s="115"/>
      <c r="AU1037" s="115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115"/>
      <c r="BF1037" s="26"/>
      <c r="BG1037" s="15"/>
      <c r="BJ1037" s="114"/>
    </row>
    <row r="1038" spans="3:62" x14ac:dyDescent="0.4"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22"/>
      <c r="AP1038" s="122"/>
      <c r="AQ1038" s="122"/>
      <c r="AR1038" s="115"/>
      <c r="AS1038" s="115"/>
      <c r="AT1038" s="115"/>
      <c r="AU1038" s="115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115"/>
      <c r="BF1038" s="26"/>
      <c r="BG1038" s="13"/>
      <c r="BJ1038" s="114"/>
    </row>
    <row r="1039" spans="3:62" x14ac:dyDescent="0.4"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22"/>
      <c r="AP1039" s="122"/>
      <c r="AQ1039" s="122"/>
      <c r="AR1039" s="115"/>
      <c r="AS1039" s="115"/>
      <c r="AT1039" s="115"/>
      <c r="AU1039" s="115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115"/>
      <c r="BF1039" s="26"/>
      <c r="BG1039" s="13"/>
      <c r="BJ1039" s="114"/>
    </row>
    <row r="1040" spans="3:62" x14ac:dyDescent="0.4"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22"/>
      <c r="AP1040" s="122"/>
      <c r="AQ1040" s="122"/>
      <c r="AR1040" s="115"/>
      <c r="AS1040" s="115"/>
      <c r="AT1040" s="115"/>
      <c r="AU1040" s="115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115"/>
      <c r="BF1040" s="26"/>
      <c r="BG1040" s="13"/>
      <c r="BJ1040" s="114"/>
    </row>
    <row r="1041" spans="1:62" x14ac:dyDescent="0.4"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22"/>
      <c r="AP1041" s="122"/>
      <c r="AQ1041" s="122"/>
      <c r="AR1041" s="115"/>
      <c r="AS1041" s="115"/>
      <c r="AT1041" s="115"/>
      <c r="AU1041" s="115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115"/>
      <c r="BF1041" s="17"/>
      <c r="BG1041" s="13"/>
      <c r="BJ1041" s="114"/>
    </row>
    <row r="1042" spans="1:62" x14ac:dyDescent="0.4"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22"/>
      <c r="AP1042" s="122"/>
      <c r="AQ1042" s="122"/>
      <c r="AR1042" s="115"/>
      <c r="AS1042" s="115"/>
      <c r="AT1042" s="115"/>
      <c r="AU1042" s="115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115"/>
      <c r="BF1042" s="26"/>
      <c r="BG1042" s="13"/>
      <c r="BJ1042" s="114"/>
    </row>
    <row r="1043" spans="1:62" x14ac:dyDescent="0.4"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22"/>
      <c r="AP1043" s="122"/>
      <c r="AQ1043" s="122"/>
      <c r="AR1043" s="115"/>
      <c r="AS1043" s="115"/>
      <c r="AT1043" s="115"/>
      <c r="AU1043" s="115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115"/>
      <c r="BF1043" s="26"/>
      <c r="BG1043" s="25"/>
      <c r="BJ1043" s="114"/>
    </row>
    <row r="1044" spans="1:62" x14ac:dyDescent="0.4"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22"/>
      <c r="AP1044" s="122"/>
      <c r="AQ1044" s="122"/>
      <c r="AR1044" s="115"/>
      <c r="AS1044" s="115"/>
      <c r="AT1044" s="115"/>
      <c r="AU1044" s="115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115"/>
      <c r="BF1044" s="26"/>
      <c r="BG1044" s="13"/>
      <c r="BJ1044" s="114"/>
    </row>
    <row r="1045" spans="1:62" x14ac:dyDescent="0.4"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22"/>
      <c r="AP1045" s="122"/>
      <c r="AQ1045" s="122"/>
      <c r="AR1045" s="115"/>
      <c r="AS1045" s="115"/>
      <c r="AT1045" s="115"/>
      <c r="AU1045" s="115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115"/>
      <c r="BF1045" s="26"/>
      <c r="BG1045" s="13"/>
      <c r="BJ1045" s="114"/>
    </row>
    <row r="1046" spans="1:62" x14ac:dyDescent="0.4"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22"/>
      <c r="AP1046" s="122"/>
      <c r="AQ1046" s="122"/>
      <c r="AR1046" s="115"/>
      <c r="AS1046" s="115"/>
      <c r="AT1046" s="115"/>
      <c r="AU1046" s="115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115"/>
      <c r="BF1046" s="26"/>
      <c r="BG1046" s="13"/>
      <c r="BJ1046" s="114"/>
    </row>
    <row r="1047" spans="1:62" x14ac:dyDescent="0.4"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22"/>
      <c r="AP1047" s="122"/>
      <c r="AQ1047" s="122"/>
      <c r="AR1047" s="115"/>
      <c r="AS1047" s="115"/>
      <c r="AT1047" s="115"/>
      <c r="AU1047" s="115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115"/>
      <c r="BF1047" s="26"/>
      <c r="BG1047" s="13"/>
      <c r="BJ1047" s="114"/>
    </row>
    <row r="1048" spans="1:62" x14ac:dyDescent="0.4"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22"/>
      <c r="AP1048" s="122"/>
      <c r="AQ1048" s="122"/>
      <c r="AR1048" s="115"/>
      <c r="AS1048" s="115"/>
      <c r="AT1048" s="115"/>
      <c r="AU1048" s="115"/>
      <c r="BF1048" s="26"/>
      <c r="BG1048" s="13"/>
      <c r="BJ1048" s="114"/>
    </row>
    <row r="1049" spans="1:62" x14ac:dyDescent="0.4"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22"/>
      <c r="AP1049" s="122"/>
      <c r="AQ1049" s="122"/>
      <c r="AR1049" s="115"/>
      <c r="AS1049" s="115"/>
      <c r="AT1049" s="115"/>
      <c r="AU1049" s="115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115"/>
      <c r="BF1049" s="26"/>
      <c r="BG1049" s="13"/>
      <c r="BJ1049" s="114"/>
    </row>
    <row r="1050" spans="1:62" x14ac:dyDescent="0.4"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22"/>
      <c r="AP1050" s="122"/>
      <c r="AQ1050" s="122"/>
      <c r="AR1050" s="115"/>
      <c r="AS1050" s="115"/>
      <c r="AT1050" s="115"/>
      <c r="AU1050" s="115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115"/>
      <c r="BF1050" s="17"/>
      <c r="BG1050" s="13"/>
      <c r="BJ1050" s="114"/>
    </row>
    <row r="1051" spans="1:62" x14ac:dyDescent="0.4"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22"/>
      <c r="AP1051" s="122"/>
      <c r="AQ1051" s="122"/>
      <c r="AR1051" s="115"/>
      <c r="AS1051" s="115"/>
      <c r="AT1051" s="115"/>
      <c r="AU1051" s="115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115"/>
      <c r="BF1051" s="26"/>
      <c r="BG1051" s="13"/>
      <c r="BJ1051" s="114"/>
    </row>
    <row r="1052" spans="1:62" x14ac:dyDescent="0.4"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22"/>
      <c r="AP1052" s="122"/>
      <c r="AQ1052" s="122"/>
      <c r="AR1052" s="115"/>
      <c r="AS1052" s="115"/>
      <c r="AT1052" s="115"/>
      <c r="AU1052" s="115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115"/>
      <c r="BF1052" s="26"/>
      <c r="BG1052" s="15"/>
      <c r="BJ1052" s="114"/>
    </row>
    <row r="1053" spans="1:62" x14ac:dyDescent="0.4"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22"/>
      <c r="AP1053" s="122"/>
      <c r="AQ1053" s="122"/>
      <c r="AR1053" s="115"/>
      <c r="AS1053" s="115"/>
      <c r="AT1053" s="115"/>
      <c r="AU1053" s="115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115"/>
      <c r="BF1053" s="17"/>
      <c r="BG1053" s="15"/>
      <c r="BJ1053" s="114"/>
    </row>
    <row r="1054" spans="1:62" x14ac:dyDescent="0.4"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22"/>
      <c r="AP1054" s="122"/>
      <c r="AQ1054" s="122"/>
      <c r="AR1054" s="115"/>
      <c r="AS1054" s="115"/>
      <c r="AT1054" s="115"/>
      <c r="AU1054" s="115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115"/>
      <c r="BF1054" s="26"/>
      <c r="BG1054" s="15"/>
      <c r="BJ1054" s="114"/>
    </row>
    <row r="1055" spans="1:62" x14ac:dyDescent="0.4">
      <c r="A1055" s="115"/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22"/>
      <c r="AP1055" s="122"/>
      <c r="AQ1055" s="122"/>
      <c r="AR1055" s="115"/>
      <c r="AS1055" s="115"/>
      <c r="AT1055" s="115"/>
      <c r="AU1055" s="115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115"/>
      <c r="BF1055" s="26"/>
      <c r="BG1055" s="15"/>
      <c r="BJ1055" s="114"/>
    </row>
    <row r="1056" spans="1:62" x14ac:dyDescent="0.4">
      <c r="A1056" s="115"/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22"/>
      <c r="AP1056" s="122"/>
      <c r="AQ1056" s="122"/>
      <c r="AR1056" s="115"/>
      <c r="AS1056" s="115"/>
      <c r="AT1056" s="115"/>
      <c r="AU1056" s="115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115"/>
      <c r="BF1056" s="17"/>
      <c r="BG1056" s="13"/>
      <c r="BJ1056" s="114"/>
    </row>
    <row r="1057" spans="1:62" x14ac:dyDescent="0.4">
      <c r="A1057" s="115"/>
      <c r="B1057" s="115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22"/>
      <c r="AP1057" s="122"/>
      <c r="AQ1057" s="122"/>
      <c r="AR1057" s="115"/>
      <c r="AS1057" s="115"/>
      <c r="AT1057" s="115"/>
      <c r="AU1057" s="115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115"/>
      <c r="BF1057" s="17"/>
      <c r="BG1057" s="13"/>
      <c r="BJ1057" s="114"/>
    </row>
    <row r="1058" spans="1:62" x14ac:dyDescent="0.4">
      <c r="A1058" s="115"/>
      <c r="B1058" s="115"/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22"/>
      <c r="AP1058" s="122"/>
      <c r="AQ1058" s="122"/>
      <c r="AR1058" s="115"/>
      <c r="AS1058" s="115"/>
      <c r="AT1058" s="115"/>
      <c r="AU1058" s="115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115"/>
      <c r="BF1058" s="26"/>
      <c r="BG1058" s="13"/>
      <c r="BJ1058" s="114"/>
    </row>
    <row r="1059" spans="1:62" x14ac:dyDescent="0.4">
      <c r="A1059" s="115"/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22"/>
      <c r="AP1059" s="122"/>
      <c r="AQ1059" s="122"/>
      <c r="AR1059" s="115"/>
      <c r="AS1059" s="115"/>
      <c r="AT1059" s="115"/>
      <c r="AU1059" s="115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115"/>
      <c r="BF1059" s="26"/>
      <c r="BG1059" s="13"/>
      <c r="BJ1059" s="114"/>
    </row>
    <row r="1060" spans="1:62" x14ac:dyDescent="0.4">
      <c r="A1060" s="115"/>
      <c r="B1060" s="115"/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22"/>
      <c r="AP1060" s="122"/>
      <c r="AQ1060" s="122"/>
      <c r="AR1060" s="115"/>
      <c r="AS1060" s="115"/>
      <c r="AT1060" s="115"/>
      <c r="AU1060" s="115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115"/>
      <c r="BF1060" s="17"/>
      <c r="BG1060" s="13"/>
      <c r="BJ1060" s="114"/>
    </row>
    <row r="1061" spans="1:62" x14ac:dyDescent="0.4">
      <c r="A1061" s="115"/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22"/>
      <c r="AP1061" s="122"/>
      <c r="AQ1061" s="122"/>
      <c r="AR1061" s="115"/>
      <c r="AS1061" s="115"/>
      <c r="AT1061" s="115"/>
      <c r="AU1061" s="115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115"/>
      <c r="BF1061" s="26"/>
      <c r="BG1061" s="15"/>
      <c r="BJ1061" s="114"/>
    </row>
    <row r="1062" spans="1:62" x14ac:dyDescent="0.4">
      <c r="A1062" s="115"/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22"/>
      <c r="AP1062" s="122"/>
      <c r="AQ1062" s="122"/>
      <c r="AR1062" s="115"/>
      <c r="AS1062" s="115"/>
      <c r="AT1062" s="115"/>
      <c r="AU1062" s="115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115"/>
      <c r="BF1062" s="26"/>
      <c r="BG1062" s="15"/>
      <c r="BJ1062" s="114"/>
    </row>
    <row r="1063" spans="1:62" x14ac:dyDescent="0.4">
      <c r="A1063" s="115"/>
      <c r="B1063" s="115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22"/>
      <c r="AP1063" s="122"/>
      <c r="AQ1063" s="122"/>
      <c r="AR1063" s="115"/>
      <c r="AS1063" s="115"/>
      <c r="AT1063" s="115"/>
      <c r="AU1063" s="115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115"/>
      <c r="BF1063" s="26"/>
      <c r="BG1063" s="15"/>
      <c r="BJ1063" s="114"/>
    </row>
    <row r="1064" spans="1:62" x14ac:dyDescent="0.4">
      <c r="A1064" s="115"/>
      <c r="B1064" s="115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22"/>
      <c r="AP1064" s="122"/>
      <c r="AQ1064" s="122"/>
      <c r="AR1064" s="115"/>
      <c r="AS1064" s="115"/>
      <c r="AT1064" s="115"/>
      <c r="AU1064" s="115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115"/>
      <c r="BF1064" s="26"/>
      <c r="BG1064" s="13"/>
      <c r="BJ1064" s="114"/>
    </row>
    <row r="1065" spans="1:62" x14ac:dyDescent="0.4">
      <c r="A1065" s="115"/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22"/>
      <c r="AP1065" s="122"/>
      <c r="AQ1065" s="122"/>
      <c r="AR1065" s="115"/>
      <c r="AS1065" s="115"/>
      <c r="AT1065" s="115"/>
      <c r="AU1065" s="115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115"/>
      <c r="BF1065" s="26"/>
      <c r="BG1065" s="25"/>
      <c r="BJ1065" s="114"/>
    </row>
    <row r="1066" spans="1:62" x14ac:dyDescent="0.4">
      <c r="A1066" s="115"/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22"/>
      <c r="AP1066" s="122"/>
      <c r="AQ1066" s="122"/>
      <c r="AR1066" s="115"/>
      <c r="AS1066" s="115"/>
      <c r="AT1066" s="115"/>
      <c r="AU1066" s="115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115"/>
      <c r="BF1066" s="26"/>
      <c r="BG1066" s="13"/>
      <c r="BJ1066" s="114"/>
    </row>
    <row r="1067" spans="1:62" x14ac:dyDescent="0.4">
      <c r="A1067" s="115"/>
      <c r="B1067" s="115"/>
      <c r="C1067" s="115"/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22"/>
      <c r="AP1067" s="122"/>
      <c r="AQ1067" s="122"/>
      <c r="AR1067" s="115"/>
      <c r="AS1067" s="115"/>
      <c r="AT1067" s="115"/>
      <c r="AU1067" s="115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115"/>
      <c r="BF1067" s="26"/>
      <c r="BG1067" s="13"/>
      <c r="BJ1067" s="114"/>
    </row>
    <row r="1068" spans="1:62" x14ac:dyDescent="0.4">
      <c r="A1068" s="115"/>
      <c r="B1068" s="115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22"/>
      <c r="AP1068" s="122"/>
      <c r="AQ1068" s="122"/>
      <c r="AR1068" s="115"/>
      <c r="AS1068" s="115"/>
      <c r="AT1068" s="115"/>
      <c r="AU1068" s="115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115"/>
      <c r="BF1068" s="26"/>
      <c r="BG1068" s="13"/>
      <c r="BJ1068" s="114"/>
    </row>
    <row r="1069" spans="1:62" x14ac:dyDescent="0.4">
      <c r="A1069" s="115"/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22"/>
      <c r="AP1069" s="122"/>
      <c r="AQ1069" s="122"/>
      <c r="AR1069" s="115"/>
      <c r="AS1069" s="115"/>
      <c r="AT1069" s="115"/>
      <c r="AU1069" s="115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115"/>
      <c r="BF1069" s="26"/>
      <c r="BG1069" s="13"/>
      <c r="BJ1069" s="114"/>
    </row>
    <row r="1070" spans="1:62" x14ac:dyDescent="0.4">
      <c r="A1070" s="115"/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22"/>
      <c r="AP1070" s="122"/>
      <c r="AQ1070" s="122"/>
      <c r="AR1070" s="115"/>
      <c r="AS1070" s="115"/>
      <c r="AT1070" s="115"/>
      <c r="AU1070" s="115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115"/>
      <c r="BF1070" s="26"/>
      <c r="BG1070" s="13"/>
      <c r="BJ1070" s="114"/>
    </row>
    <row r="1071" spans="1:62" x14ac:dyDescent="0.4">
      <c r="A1071" s="115"/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115"/>
      <c r="AO1071" s="122"/>
      <c r="AP1071" s="122"/>
      <c r="AQ1071" s="122"/>
      <c r="AR1071" s="115"/>
      <c r="AS1071" s="115"/>
      <c r="AT1071" s="115"/>
      <c r="AU1071" s="115"/>
      <c r="AV1071" s="115"/>
      <c r="AW1071" s="115"/>
      <c r="AX1071" s="115"/>
      <c r="AY1071" s="115"/>
      <c r="AZ1071" s="115"/>
      <c r="BA1071" s="115"/>
      <c r="BB1071" s="115"/>
      <c r="BC1071" s="115"/>
      <c r="BD1071" s="115"/>
      <c r="BE1071" s="115"/>
      <c r="BF1071" s="26"/>
      <c r="BG1071" s="13"/>
      <c r="BJ1071" s="114"/>
    </row>
    <row r="1072" spans="1:62" x14ac:dyDescent="0.4">
      <c r="A1072" s="115"/>
      <c r="B1072" s="115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15"/>
      <c r="AN1072" s="115"/>
      <c r="AO1072" s="122"/>
      <c r="AP1072" s="122"/>
      <c r="AQ1072" s="122"/>
      <c r="AR1072" s="115"/>
      <c r="AS1072" s="115"/>
      <c r="AT1072" s="115"/>
      <c r="AU1072" s="115"/>
      <c r="AV1072" s="115"/>
      <c r="AW1072" s="115"/>
      <c r="AX1072" s="115"/>
      <c r="AY1072" s="115"/>
      <c r="AZ1072" s="115"/>
      <c r="BA1072" s="115"/>
      <c r="BB1072" s="115"/>
      <c r="BC1072" s="115"/>
      <c r="BD1072" s="115"/>
      <c r="BE1072" s="115"/>
      <c r="BF1072" s="26"/>
      <c r="BG1072" s="13"/>
      <c r="BJ1072" s="114"/>
    </row>
    <row r="1073" spans="1:62" x14ac:dyDescent="0.4">
      <c r="A1073" s="115"/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22"/>
      <c r="AP1073" s="122"/>
      <c r="AQ1073" s="122"/>
      <c r="AR1073" s="115"/>
      <c r="AS1073" s="115"/>
      <c r="AT1073" s="115"/>
      <c r="AU1073" s="115"/>
      <c r="AV1073" s="115"/>
      <c r="AW1073" s="115"/>
      <c r="AX1073" s="115"/>
      <c r="AY1073" s="115"/>
      <c r="AZ1073" s="115"/>
      <c r="BA1073" s="115"/>
      <c r="BB1073" s="115"/>
      <c r="BC1073" s="115"/>
      <c r="BD1073" s="115"/>
      <c r="BE1073" s="115"/>
      <c r="BF1073" s="26"/>
      <c r="BG1073" s="13"/>
      <c r="BJ1073" s="114"/>
    </row>
    <row r="1074" spans="1:62" x14ac:dyDescent="0.4">
      <c r="A1074" s="115"/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22"/>
      <c r="AP1074" s="122"/>
      <c r="AQ1074" s="122"/>
      <c r="AR1074" s="115"/>
      <c r="AS1074" s="115"/>
      <c r="AT1074" s="115"/>
      <c r="AU1074" s="115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115"/>
      <c r="BF1074" s="26"/>
      <c r="BG1074" s="13"/>
      <c r="BJ1074" s="114"/>
    </row>
    <row r="1075" spans="1:62" x14ac:dyDescent="0.4">
      <c r="A1075" s="115"/>
      <c r="B1075" s="115"/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22"/>
      <c r="AP1075" s="122"/>
      <c r="AQ1075" s="122"/>
      <c r="AR1075" s="115"/>
      <c r="AS1075" s="115"/>
      <c r="AT1075" s="115"/>
      <c r="AU1075" s="115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115"/>
      <c r="BF1075" s="26"/>
      <c r="BG1075" s="13"/>
      <c r="BJ1075" s="114"/>
    </row>
    <row r="1076" spans="1:62" x14ac:dyDescent="0.4">
      <c r="A1076" s="115"/>
      <c r="B1076" s="115"/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22"/>
      <c r="AP1076" s="122"/>
      <c r="AQ1076" s="122"/>
      <c r="AR1076" s="115"/>
      <c r="AS1076" s="115"/>
      <c r="AT1076" s="115"/>
      <c r="AU1076" s="115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115"/>
      <c r="BF1076" s="26"/>
      <c r="BG1076" s="15"/>
      <c r="BJ1076" s="114"/>
    </row>
    <row r="1077" spans="1:62" x14ac:dyDescent="0.4">
      <c r="A1077" s="115"/>
      <c r="B1077" s="115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22"/>
      <c r="AP1077" s="122"/>
      <c r="AQ1077" s="122"/>
      <c r="AR1077" s="115"/>
      <c r="AS1077" s="115"/>
      <c r="AT1077" s="115"/>
      <c r="AU1077" s="115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115"/>
      <c r="BF1077" s="26"/>
      <c r="BG1077" s="15"/>
      <c r="BJ1077" s="114"/>
    </row>
    <row r="1078" spans="1:62" x14ac:dyDescent="0.4">
      <c r="A1078" s="115"/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22"/>
      <c r="AP1078" s="122"/>
      <c r="AQ1078" s="122"/>
      <c r="AR1078" s="115"/>
      <c r="AS1078" s="115"/>
      <c r="AT1078" s="115"/>
      <c r="AU1078" s="115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115"/>
      <c r="BF1078" s="26"/>
      <c r="BG1078" s="15"/>
      <c r="BJ1078" s="114"/>
    </row>
    <row r="1079" spans="1:62" x14ac:dyDescent="0.4">
      <c r="A1079" s="115"/>
      <c r="B1079" s="115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22"/>
      <c r="AP1079" s="122"/>
      <c r="AQ1079" s="122"/>
      <c r="AR1079" s="115"/>
      <c r="AS1079" s="115"/>
      <c r="AT1079" s="115"/>
      <c r="AU1079" s="115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115"/>
      <c r="BF1079" s="26"/>
      <c r="BG1079" s="15"/>
      <c r="BJ1079" s="114"/>
    </row>
    <row r="1080" spans="1:62" x14ac:dyDescent="0.4">
      <c r="A1080" s="115"/>
      <c r="B1080" s="115"/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  <c r="AI1080" s="115"/>
      <c r="AJ1080" s="115"/>
      <c r="AK1080" s="115"/>
      <c r="AL1080" s="115"/>
      <c r="AM1080" s="115"/>
      <c r="AN1080" s="115"/>
      <c r="AO1080" s="122"/>
      <c r="AP1080" s="122"/>
      <c r="AQ1080" s="122"/>
      <c r="AR1080" s="115"/>
      <c r="AS1080" s="115"/>
      <c r="AT1080" s="115"/>
      <c r="AU1080" s="115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115"/>
      <c r="BF1080" s="26"/>
      <c r="BG1080" s="13"/>
      <c r="BJ1080" s="114"/>
    </row>
    <row r="1081" spans="1:62" x14ac:dyDescent="0.4">
      <c r="A1081" s="115"/>
      <c r="B1081" s="115"/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  <c r="AI1081" s="115"/>
      <c r="AJ1081" s="115"/>
      <c r="AK1081" s="115"/>
      <c r="AL1081" s="115"/>
      <c r="AM1081" s="115"/>
      <c r="AN1081" s="115"/>
      <c r="AO1081" s="122"/>
      <c r="AP1081" s="122"/>
      <c r="AQ1081" s="122"/>
      <c r="AR1081" s="115"/>
      <c r="AS1081" s="115"/>
      <c r="AT1081" s="115"/>
      <c r="AU1081" s="115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115"/>
      <c r="BF1081" s="26"/>
      <c r="BG1081" s="15"/>
      <c r="BJ1081" s="114"/>
    </row>
    <row r="1082" spans="1:62" x14ac:dyDescent="0.4">
      <c r="A1082" s="115"/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  <c r="AJ1082" s="115"/>
      <c r="AK1082" s="115"/>
      <c r="AL1082" s="115"/>
      <c r="AM1082" s="115"/>
      <c r="AN1082" s="115"/>
      <c r="AO1082" s="122"/>
      <c r="AP1082" s="122"/>
      <c r="AQ1082" s="122"/>
      <c r="AR1082" s="115"/>
      <c r="AS1082" s="115"/>
      <c r="AT1082" s="115"/>
      <c r="AU1082" s="115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115"/>
      <c r="BF1082" s="26"/>
      <c r="BG1082" s="15"/>
      <c r="BJ1082" s="114"/>
    </row>
    <row r="1083" spans="1:62" x14ac:dyDescent="0.4">
      <c r="A1083" s="115"/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22"/>
      <c r="AP1083" s="122"/>
      <c r="AQ1083" s="122"/>
      <c r="AR1083" s="115"/>
      <c r="AS1083" s="115"/>
      <c r="AT1083" s="115"/>
      <c r="AU1083" s="115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115"/>
      <c r="BF1083" s="26"/>
      <c r="BG1083" s="15"/>
      <c r="BJ1083" s="114"/>
    </row>
    <row r="1084" spans="1:62" x14ac:dyDescent="0.4">
      <c r="A1084" s="115"/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22"/>
      <c r="AP1084" s="122"/>
      <c r="AQ1084" s="122"/>
      <c r="AR1084" s="115"/>
      <c r="AS1084" s="115"/>
      <c r="AT1084" s="115"/>
      <c r="AU1084" s="115"/>
      <c r="AV1084" s="115"/>
      <c r="AW1084" s="115"/>
      <c r="AX1084" s="115"/>
      <c r="AY1084" s="115"/>
      <c r="AZ1084" s="115"/>
      <c r="BA1084" s="115"/>
      <c r="BB1084" s="115"/>
      <c r="BC1084" s="115"/>
      <c r="BD1084" s="115"/>
      <c r="BE1084" s="115"/>
      <c r="BF1084" s="26"/>
      <c r="BG1084" s="15"/>
      <c r="BJ1084" s="114"/>
    </row>
    <row r="1085" spans="1:62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22"/>
      <c r="AP1085" s="122"/>
      <c r="AQ1085" s="122"/>
      <c r="AR1085" s="115"/>
      <c r="AS1085" s="115"/>
      <c r="AT1085" s="115"/>
      <c r="AU1085" s="115"/>
      <c r="AV1085" s="115"/>
      <c r="AW1085" s="115"/>
      <c r="AX1085" s="115"/>
      <c r="AY1085" s="115"/>
      <c r="AZ1085" s="115"/>
      <c r="BA1085" s="115"/>
      <c r="BB1085" s="115"/>
      <c r="BC1085" s="115"/>
      <c r="BD1085" s="115"/>
      <c r="BE1085" s="115"/>
      <c r="BF1085" s="26"/>
      <c r="BG1085" s="15"/>
      <c r="BJ1085" s="114"/>
    </row>
    <row r="1086" spans="1:62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22"/>
      <c r="AP1086" s="122"/>
      <c r="AQ1086" s="122"/>
      <c r="AR1086" s="115"/>
      <c r="AS1086" s="115"/>
      <c r="AT1086" s="115"/>
      <c r="AU1086" s="115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115"/>
      <c r="BF1086" s="26"/>
      <c r="BG1086" s="105"/>
      <c r="BJ1086" s="114"/>
    </row>
    <row r="1087" spans="1:62" x14ac:dyDescent="0.4">
      <c r="A1087" s="115"/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22"/>
      <c r="AP1087" s="122"/>
      <c r="AQ1087" s="122"/>
      <c r="AR1087" s="115"/>
      <c r="AS1087" s="115"/>
      <c r="AT1087" s="115"/>
      <c r="AU1087" s="115"/>
      <c r="AV1087" s="115"/>
      <c r="AW1087" s="115"/>
      <c r="AX1087" s="115"/>
      <c r="AY1087" s="115"/>
      <c r="AZ1087" s="115"/>
      <c r="BA1087" s="115"/>
      <c r="BB1087" s="115"/>
      <c r="BC1087" s="115"/>
      <c r="BD1087" s="115"/>
      <c r="BE1087" s="115"/>
      <c r="BF1087" s="17"/>
      <c r="BG1087" s="15"/>
      <c r="BJ1087" s="114"/>
    </row>
    <row r="1088" spans="1:62" x14ac:dyDescent="0.4">
      <c r="A1088" s="115"/>
      <c r="B1088" s="115"/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22"/>
      <c r="AP1088" s="122"/>
      <c r="AQ1088" s="122"/>
      <c r="AR1088" s="115"/>
      <c r="AS1088" s="115"/>
      <c r="AT1088" s="115"/>
      <c r="AU1088" s="115"/>
      <c r="AV1088" s="115"/>
      <c r="AW1088" s="115"/>
      <c r="AX1088" s="115"/>
      <c r="AY1088" s="115"/>
      <c r="AZ1088" s="115"/>
      <c r="BA1088" s="115"/>
      <c r="BB1088" s="115"/>
      <c r="BC1088" s="115"/>
      <c r="BD1088" s="115"/>
      <c r="BE1088" s="115"/>
      <c r="BF1088" s="26"/>
      <c r="BG1088" s="15"/>
      <c r="BJ1088" s="114"/>
    </row>
    <row r="1089" spans="1:62" x14ac:dyDescent="0.4">
      <c r="A1089" s="115"/>
      <c r="B1089" s="115"/>
      <c r="C1089" s="115"/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15"/>
      <c r="AO1089" s="122"/>
      <c r="AP1089" s="122"/>
      <c r="AQ1089" s="122"/>
      <c r="AR1089" s="115"/>
      <c r="AS1089" s="115"/>
      <c r="AT1089" s="115"/>
      <c r="AU1089" s="115"/>
      <c r="AV1089" s="115"/>
      <c r="AW1089" s="115"/>
      <c r="AX1089" s="115"/>
      <c r="AY1089" s="115"/>
      <c r="AZ1089" s="115"/>
      <c r="BA1089" s="115"/>
      <c r="BB1089" s="115"/>
      <c r="BC1089" s="115"/>
      <c r="BD1089" s="115"/>
      <c r="BE1089" s="115"/>
      <c r="BF1089" s="26"/>
      <c r="BG1089" s="15"/>
      <c r="BJ1089" s="114"/>
    </row>
    <row r="1090" spans="1:62" x14ac:dyDescent="0.4">
      <c r="A1090" s="115"/>
      <c r="B1090" s="115"/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22"/>
      <c r="AP1090" s="122"/>
      <c r="AQ1090" s="122"/>
      <c r="AR1090" s="115"/>
      <c r="AS1090" s="115"/>
      <c r="AT1090" s="115"/>
      <c r="AU1090" s="115"/>
      <c r="AV1090" s="115"/>
      <c r="AW1090" s="115"/>
      <c r="AX1090" s="115"/>
      <c r="AY1090" s="115"/>
      <c r="AZ1090" s="115"/>
      <c r="BA1090" s="115"/>
      <c r="BB1090" s="115"/>
      <c r="BC1090" s="115"/>
      <c r="BD1090" s="115"/>
      <c r="BE1090" s="115"/>
      <c r="BF1090" s="26"/>
      <c r="BG1090" s="105"/>
      <c r="BJ1090" s="114"/>
    </row>
    <row r="1091" spans="1:62" x14ac:dyDescent="0.4">
      <c r="BF1091" s="26"/>
      <c r="BG1091" s="15"/>
      <c r="BJ1091" s="114"/>
    </row>
    <row r="1092" spans="1:62" x14ac:dyDescent="0.4">
      <c r="AP1092" s="122"/>
      <c r="AQ1092" s="122"/>
      <c r="AR1092" s="115"/>
      <c r="AS1092" s="115"/>
      <c r="AT1092" s="115"/>
      <c r="AU1092" s="115"/>
      <c r="AV1092" s="115"/>
      <c r="AW1092" s="115"/>
      <c r="AX1092" s="115"/>
      <c r="AY1092" s="115"/>
      <c r="AZ1092" s="115"/>
      <c r="BA1092" s="115"/>
      <c r="BB1092" s="115"/>
      <c r="BC1092" s="115"/>
      <c r="BD1092" s="115"/>
      <c r="BE1092" s="115"/>
      <c r="BF1092" s="26"/>
      <c r="BG1092" s="15"/>
      <c r="BJ1092" s="114"/>
    </row>
    <row r="1093" spans="1:62" x14ac:dyDescent="0.4">
      <c r="AL1093" s="115"/>
      <c r="AM1093" s="115"/>
      <c r="AN1093" s="115"/>
      <c r="AO1093" s="122"/>
      <c r="AP1093" s="122"/>
      <c r="AQ1093" s="122"/>
      <c r="AR1093" s="115"/>
      <c r="AS1093" s="115"/>
      <c r="AT1093" s="115"/>
      <c r="AU1093" s="115"/>
      <c r="AV1093" s="115"/>
      <c r="AW1093" s="115"/>
      <c r="AX1093" s="115"/>
      <c r="AY1093" s="115"/>
      <c r="AZ1093" s="115"/>
      <c r="BA1093" s="115"/>
      <c r="BB1093" s="115"/>
      <c r="BC1093" s="115"/>
      <c r="BD1093" s="115"/>
      <c r="BE1093" s="115"/>
      <c r="BF1093" s="26"/>
      <c r="BG1093" s="15"/>
      <c r="BJ1093" s="114"/>
    </row>
    <row r="1094" spans="1:62" x14ac:dyDescent="0.4">
      <c r="B1094" s="115"/>
      <c r="C1094" s="115"/>
      <c r="D1094" s="115"/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22"/>
      <c r="AP1094" s="122"/>
      <c r="AQ1094" s="122"/>
      <c r="AR1094" s="115"/>
      <c r="AS1094" s="115"/>
      <c r="AT1094" s="115"/>
      <c r="AU1094" s="115"/>
      <c r="AV1094" s="115"/>
      <c r="AW1094" s="115"/>
      <c r="AX1094" s="115"/>
      <c r="AY1094" s="115"/>
      <c r="AZ1094" s="115"/>
      <c r="BA1094" s="115"/>
      <c r="BB1094" s="115"/>
      <c r="BC1094" s="115"/>
      <c r="BD1094" s="115"/>
      <c r="BE1094" s="115"/>
      <c r="BF1094" s="26"/>
      <c r="BG1094" s="15"/>
      <c r="BJ1094" s="114"/>
    </row>
    <row r="1095" spans="1:62" x14ac:dyDescent="0.4">
      <c r="B1095" s="115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22"/>
      <c r="AP1095" s="122"/>
      <c r="AQ1095" s="122"/>
      <c r="AR1095" s="115"/>
      <c r="AS1095" s="115"/>
      <c r="AT1095" s="115"/>
      <c r="AU1095" s="115"/>
      <c r="AV1095" s="115"/>
      <c r="AW1095" s="115"/>
      <c r="AX1095" s="115"/>
      <c r="AY1095" s="115"/>
      <c r="AZ1095" s="115"/>
      <c r="BA1095" s="115"/>
      <c r="BB1095" s="115"/>
      <c r="BC1095" s="115"/>
      <c r="BD1095" s="115"/>
      <c r="BE1095" s="115"/>
      <c r="BF1095" s="17"/>
      <c r="BG1095" s="15"/>
      <c r="BJ1095" s="114"/>
    </row>
    <row r="1096" spans="1:62" x14ac:dyDescent="0.4">
      <c r="B1096" s="115"/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22"/>
      <c r="AP1096" s="122"/>
      <c r="AQ1096" s="122"/>
      <c r="AR1096" s="115"/>
      <c r="AS1096" s="115"/>
      <c r="AT1096" s="115"/>
      <c r="AU1096" s="115"/>
      <c r="AV1096" s="115"/>
      <c r="AW1096" s="115"/>
      <c r="AX1096" s="115"/>
      <c r="AY1096" s="115"/>
      <c r="AZ1096" s="115"/>
      <c r="BA1096" s="115"/>
      <c r="BB1096" s="115"/>
      <c r="BC1096" s="115"/>
      <c r="BD1096" s="115"/>
      <c r="BE1096" s="115"/>
      <c r="BF1096" s="26"/>
      <c r="BG1096" s="15"/>
      <c r="BJ1096" s="114"/>
    </row>
    <row r="1097" spans="1:62" x14ac:dyDescent="0.4">
      <c r="B1097" s="115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22"/>
      <c r="AP1097" s="122"/>
      <c r="AQ1097" s="122"/>
      <c r="AR1097" s="115"/>
      <c r="AS1097" s="115"/>
      <c r="AT1097" s="115"/>
      <c r="AU1097" s="115"/>
      <c r="AV1097" s="115"/>
      <c r="AW1097" s="115"/>
      <c r="AX1097" s="115"/>
      <c r="AY1097" s="115"/>
      <c r="AZ1097" s="115"/>
      <c r="BA1097" s="115"/>
      <c r="BB1097" s="115"/>
      <c r="BC1097" s="115"/>
      <c r="BD1097" s="115"/>
      <c r="BE1097" s="115"/>
      <c r="BF1097" s="26"/>
      <c r="BG1097" s="15"/>
      <c r="BJ1097" s="114"/>
    </row>
    <row r="1098" spans="1:62" x14ac:dyDescent="0.4"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22"/>
      <c r="AP1098" s="122"/>
      <c r="AQ1098" s="122"/>
      <c r="AR1098" s="115"/>
      <c r="AS1098" s="115"/>
      <c r="AT1098" s="115"/>
      <c r="AU1098" s="115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115"/>
      <c r="BF1098" s="26"/>
      <c r="BG1098" s="15"/>
      <c r="BJ1098" s="114"/>
    </row>
    <row r="1099" spans="1:62" x14ac:dyDescent="0.4">
      <c r="B1099" s="115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22"/>
      <c r="AP1099" s="122"/>
      <c r="AQ1099" s="122"/>
      <c r="AR1099" s="115"/>
      <c r="AS1099" s="115"/>
      <c r="AT1099" s="115"/>
      <c r="AU1099" s="115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115"/>
      <c r="BF1099" s="26"/>
      <c r="BG1099" s="15"/>
      <c r="BJ1099" s="114"/>
    </row>
    <row r="1100" spans="1:62" x14ac:dyDescent="0.4"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15"/>
      <c r="AI1100" s="115"/>
      <c r="AJ1100" s="115"/>
      <c r="AK1100" s="115"/>
      <c r="AL1100" s="115"/>
      <c r="AM1100" s="115"/>
      <c r="AN1100" s="115"/>
      <c r="AO1100" s="122"/>
      <c r="AP1100" s="122"/>
      <c r="AQ1100" s="122"/>
      <c r="AR1100" s="115"/>
      <c r="AS1100" s="115"/>
      <c r="AT1100" s="115"/>
      <c r="AU1100" s="115"/>
      <c r="AV1100" s="115"/>
      <c r="AW1100" s="115"/>
      <c r="AX1100" s="115"/>
      <c r="AY1100" s="115"/>
      <c r="AZ1100" s="115"/>
      <c r="BA1100" s="115"/>
      <c r="BB1100" s="115"/>
      <c r="BC1100" s="115"/>
      <c r="BD1100" s="115"/>
      <c r="BE1100" s="115"/>
      <c r="BF1100" s="26"/>
      <c r="BG1100" s="15"/>
      <c r="BJ1100" s="114"/>
    </row>
    <row r="1101" spans="1:62" x14ac:dyDescent="0.4"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22"/>
      <c r="AP1101" s="122"/>
      <c r="AQ1101" s="122"/>
      <c r="AR1101" s="115"/>
      <c r="AS1101" s="115"/>
      <c r="AT1101" s="115"/>
      <c r="AU1101" s="115"/>
      <c r="AV1101" s="115"/>
      <c r="AW1101" s="115"/>
      <c r="AX1101" s="115"/>
      <c r="AY1101" s="115"/>
      <c r="AZ1101" s="115"/>
      <c r="BA1101" s="115"/>
      <c r="BB1101" s="115"/>
      <c r="BC1101" s="115"/>
      <c r="BD1101" s="115"/>
      <c r="BE1101" s="115"/>
      <c r="BF1101" s="26"/>
      <c r="BG1101" s="15"/>
      <c r="BJ1101" s="114"/>
    </row>
    <row r="1102" spans="1:62" x14ac:dyDescent="0.4">
      <c r="B1102" s="115"/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22"/>
      <c r="AP1102" s="122"/>
      <c r="AQ1102" s="122"/>
      <c r="AR1102" s="115"/>
      <c r="AS1102" s="115"/>
      <c r="AT1102" s="115"/>
      <c r="AU1102" s="115"/>
      <c r="AV1102" s="115"/>
      <c r="AW1102" s="115"/>
      <c r="AX1102" s="115"/>
      <c r="AY1102" s="115"/>
      <c r="AZ1102" s="115"/>
      <c r="BA1102" s="115"/>
      <c r="BB1102" s="115"/>
      <c r="BC1102" s="115"/>
      <c r="BD1102" s="115"/>
      <c r="BE1102" s="115"/>
      <c r="BF1102" s="26"/>
      <c r="BG1102" s="15"/>
      <c r="BJ1102" s="114"/>
    </row>
    <row r="1103" spans="1:62" x14ac:dyDescent="0.4">
      <c r="B1103" s="115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22"/>
      <c r="AP1103" s="122"/>
      <c r="AQ1103" s="122"/>
      <c r="AR1103" s="115"/>
      <c r="AS1103" s="115"/>
      <c r="AT1103" s="115"/>
      <c r="AU1103" s="115"/>
      <c r="AV1103" s="115"/>
      <c r="AW1103" s="115"/>
      <c r="AX1103" s="115"/>
      <c r="AY1103" s="115"/>
      <c r="AZ1103" s="115"/>
      <c r="BA1103" s="115"/>
      <c r="BB1103" s="115"/>
      <c r="BC1103" s="115"/>
      <c r="BD1103" s="115"/>
      <c r="BE1103" s="115"/>
      <c r="BF1103" s="17"/>
      <c r="BG1103" s="15"/>
      <c r="BJ1103" s="114"/>
    </row>
    <row r="1104" spans="1:62" x14ac:dyDescent="0.4">
      <c r="B1104" s="115"/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15"/>
      <c r="AM1104" s="115"/>
      <c r="AN1104" s="115"/>
      <c r="AO1104" s="122"/>
      <c r="AP1104" s="122"/>
      <c r="AQ1104" s="122"/>
      <c r="AR1104" s="115"/>
      <c r="AS1104" s="115"/>
      <c r="AT1104" s="115"/>
      <c r="AU1104" s="115"/>
      <c r="AV1104" s="115"/>
      <c r="AW1104" s="115"/>
      <c r="AX1104" s="115"/>
      <c r="AY1104" s="115"/>
      <c r="AZ1104" s="115"/>
      <c r="BA1104" s="115"/>
      <c r="BB1104" s="115"/>
      <c r="BC1104" s="115"/>
      <c r="BD1104" s="115"/>
      <c r="BE1104" s="115"/>
      <c r="BF1104" s="26"/>
      <c r="BG1104" s="15"/>
      <c r="BJ1104" s="114"/>
    </row>
    <row r="1105" spans="2:62" x14ac:dyDescent="0.4"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22"/>
      <c r="AP1105" s="122"/>
      <c r="AQ1105" s="122"/>
      <c r="AR1105" s="115"/>
      <c r="AS1105" s="115"/>
      <c r="AT1105" s="115"/>
      <c r="AU1105" s="115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115"/>
      <c r="BF1105" s="26"/>
      <c r="BG1105" s="15"/>
      <c r="BJ1105" s="114"/>
    </row>
    <row r="1106" spans="2:62" x14ac:dyDescent="0.4"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22"/>
      <c r="AP1106" s="122"/>
      <c r="AQ1106" s="122"/>
      <c r="AR1106" s="115"/>
      <c r="AS1106" s="115"/>
      <c r="AT1106" s="115"/>
      <c r="AU1106" s="115"/>
      <c r="AV1106" s="115"/>
      <c r="AW1106" s="115"/>
      <c r="AX1106" s="115"/>
      <c r="AY1106" s="115"/>
      <c r="AZ1106" s="115"/>
      <c r="BA1106" s="115"/>
      <c r="BB1106" s="115"/>
      <c r="BC1106" s="115"/>
      <c r="BD1106" s="115"/>
      <c r="BE1106" s="115"/>
      <c r="BF1106" s="26"/>
      <c r="BG1106" s="15"/>
      <c r="BJ1106" s="114"/>
    </row>
    <row r="1107" spans="2:62" x14ac:dyDescent="0.4"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22"/>
      <c r="AP1107" s="122"/>
      <c r="AQ1107" s="122"/>
      <c r="AR1107" s="115"/>
      <c r="AS1107" s="115"/>
      <c r="AT1107" s="115"/>
      <c r="AU1107" s="115"/>
      <c r="AV1107" s="115"/>
      <c r="AW1107" s="115"/>
      <c r="AX1107" s="115"/>
      <c r="AY1107" s="115"/>
      <c r="AZ1107" s="115"/>
      <c r="BA1107" s="115"/>
      <c r="BB1107" s="115"/>
      <c r="BC1107" s="115"/>
      <c r="BD1107" s="115"/>
      <c r="BE1107" s="115"/>
      <c r="BF1107" s="26"/>
      <c r="BG1107" s="15"/>
      <c r="BJ1107" s="114"/>
    </row>
    <row r="1108" spans="2:62" x14ac:dyDescent="0.4"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22"/>
      <c r="AP1108" s="122"/>
      <c r="AQ1108" s="122"/>
      <c r="AR1108" s="115"/>
      <c r="AS1108" s="115"/>
      <c r="AT1108" s="115"/>
      <c r="AU1108" s="115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115"/>
      <c r="BF1108" s="26"/>
      <c r="BG1108" s="15"/>
      <c r="BJ1108" s="114"/>
    </row>
    <row r="1109" spans="2:62" x14ac:dyDescent="0.4"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22"/>
      <c r="AP1109" s="122"/>
      <c r="AQ1109" s="122"/>
      <c r="AR1109" s="115"/>
      <c r="AS1109" s="115"/>
      <c r="AT1109" s="115"/>
      <c r="AU1109" s="115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115"/>
      <c r="BF1109" s="26"/>
      <c r="BG1109" s="15"/>
      <c r="BJ1109" s="114"/>
    </row>
    <row r="1110" spans="2:62" x14ac:dyDescent="0.4">
      <c r="B1110" s="115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22"/>
      <c r="AP1110" s="122"/>
      <c r="AQ1110" s="122"/>
      <c r="AR1110" s="115"/>
      <c r="AS1110" s="115"/>
      <c r="AT1110" s="115"/>
      <c r="AU1110" s="115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115"/>
      <c r="BF1110" s="26"/>
      <c r="BG1110" s="15"/>
      <c r="BJ1110" s="114"/>
    </row>
    <row r="1111" spans="2:62" x14ac:dyDescent="0.4"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22"/>
      <c r="AP1111" s="122"/>
      <c r="AQ1111" s="122"/>
      <c r="AR1111" s="115"/>
      <c r="AS1111" s="115"/>
      <c r="AT1111" s="115"/>
      <c r="AU1111" s="115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115"/>
      <c r="BF1111" s="17"/>
      <c r="BG1111" s="15"/>
      <c r="BJ1111" s="114"/>
    </row>
    <row r="1112" spans="2:62" x14ac:dyDescent="0.4"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22"/>
      <c r="AP1112" s="122"/>
      <c r="AQ1112" s="122"/>
      <c r="AR1112" s="115"/>
      <c r="AS1112" s="115"/>
      <c r="AT1112" s="115"/>
      <c r="AU1112" s="115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115"/>
      <c r="BF1112" s="26"/>
      <c r="BG1112" s="15"/>
      <c r="BJ1112" s="114"/>
    </row>
    <row r="1113" spans="2:62" x14ac:dyDescent="0.4">
      <c r="B1113" s="115"/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22"/>
      <c r="AP1113" s="122"/>
      <c r="AQ1113" s="122"/>
      <c r="AR1113" s="115"/>
      <c r="AS1113" s="115"/>
      <c r="AT1113" s="115"/>
      <c r="AU1113" s="115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115"/>
      <c r="BF1113" s="26"/>
      <c r="BG1113" s="15"/>
      <c r="BJ1113" s="114"/>
    </row>
    <row r="1114" spans="2:62" x14ac:dyDescent="0.4">
      <c r="B1114" s="115"/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22"/>
      <c r="AP1114" s="122"/>
      <c r="AQ1114" s="122"/>
      <c r="AR1114" s="115"/>
      <c r="AS1114" s="115"/>
      <c r="AT1114" s="115"/>
      <c r="AU1114" s="115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115"/>
      <c r="BF1114" s="26"/>
      <c r="BG1114" s="15"/>
      <c r="BJ1114" s="114"/>
    </row>
    <row r="1115" spans="2:62" x14ac:dyDescent="0.4">
      <c r="B1115" s="115"/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22"/>
      <c r="AP1115" s="122"/>
      <c r="AQ1115" s="122"/>
      <c r="AR1115" s="115"/>
      <c r="AS1115" s="115"/>
      <c r="AT1115" s="115"/>
      <c r="AU1115" s="115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115"/>
      <c r="BF1115" s="26"/>
      <c r="BG1115" s="15"/>
      <c r="BJ1115" s="114"/>
    </row>
    <row r="1116" spans="2:62" x14ac:dyDescent="0.4">
      <c r="B1116" s="115"/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22"/>
      <c r="AP1116" s="122"/>
      <c r="AQ1116" s="122"/>
      <c r="AR1116" s="115"/>
      <c r="AS1116" s="115"/>
      <c r="AT1116" s="115"/>
      <c r="AU1116" s="115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115"/>
      <c r="BF1116" s="26"/>
      <c r="BG1116" s="15"/>
      <c r="BJ1116" s="114"/>
    </row>
    <row r="1117" spans="2:62" x14ac:dyDescent="0.4">
      <c r="B1117" s="115"/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22"/>
      <c r="AP1117" s="122"/>
      <c r="AQ1117" s="122"/>
      <c r="AR1117" s="115"/>
      <c r="AS1117" s="115"/>
      <c r="AT1117" s="115"/>
      <c r="AU1117" s="115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115"/>
      <c r="BF1117" s="26"/>
      <c r="BG1117" s="15"/>
      <c r="BJ1117" s="114"/>
    </row>
    <row r="1118" spans="2:62" x14ac:dyDescent="0.4">
      <c r="B1118" s="115"/>
      <c r="C1118" s="115"/>
      <c r="D1118" s="115"/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22"/>
      <c r="AP1118" s="122"/>
      <c r="AQ1118" s="122"/>
      <c r="AR1118" s="115"/>
      <c r="AS1118" s="115"/>
      <c r="AT1118" s="115"/>
      <c r="AU1118" s="115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115"/>
      <c r="BF1118" s="26"/>
      <c r="BG1118" s="15"/>
      <c r="BJ1118" s="114"/>
    </row>
    <row r="1119" spans="2:62" x14ac:dyDescent="0.4">
      <c r="B1119" s="115"/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15"/>
      <c r="AO1119" s="122"/>
      <c r="AP1119" s="122"/>
      <c r="AQ1119" s="122"/>
      <c r="AR1119" s="115"/>
      <c r="AS1119" s="115"/>
      <c r="AT1119" s="115"/>
      <c r="AU1119" s="115"/>
      <c r="AV1119" s="115"/>
      <c r="AW1119" s="115"/>
      <c r="AX1119" s="115"/>
      <c r="AY1119" s="115"/>
      <c r="AZ1119" s="115"/>
      <c r="BA1119" s="115"/>
      <c r="BB1119" s="115"/>
      <c r="BC1119" s="115"/>
      <c r="BD1119" s="115"/>
      <c r="BE1119" s="115"/>
      <c r="BF1119" s="26"/>
      <c r="BG1119" s="15"/>
      <c r="BJ1119" s="114"/>
    </row>
    <row r="1120" spans="2:62" x14ac:dyDescent="0.4">
      <c r="B1120" s="115"/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22"/>
      <c r="AP1120" s="122"/>
      <c r="AQ1120" s="122"/>
      <c r="AR1120" s="115"/>
      <c r="AS1120" s="115"/>
      <c r="AT1120" s="115"/>
      <c r="AU1120" s="115"/>
      <c r="AV1120" s="115"/>
      <c r="AW1120" s="115"/>
      <c r="AX1120" s="115"/>
      <c r="AY1120" s="115"/>
      <c r="AZ1120" s="115"/>
      <c r="BA1120" s="115"/>
      <c r="BB1120" s="115"/>
      <c r="BC1120" s="115"/>
      <c r="BD1120" s="115"/>
      <c r="BE1120" s="115"/>
      <c r="BF1120" s="17"/>
      <c r="BG1120" s="15"/>
      <c r="BJ1120" s="114"/>
    </row>
    <row r="1121" spans="1:62" x14ac:dyDescent="0.4">
      <c r="B1121" s="115"/>
      <c r="C1121" s="115"/>
      <c r="D1121" s="115"/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15"/>
      <c r="AL1121" s="115"/>
      <c r="AM1121" s="115"/>
      <c r="AN1121" s="115"/>
      <c r="AO1121" s="122"/>
      <c r="AP1121" s="122"/>
      <c r="AQ1121" s="122"/>
      <c r="AR1121" s="115"/>
      <c r="AS1121" s="115"/>
      <c r="AT1121" s="115"/>
      <c r="AU1121" s="115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115"/>
      <c r="BF1121" s="26"/>
      <c r="BG1121" s="15"/>
      <c r="BJ1121" s="114"/>
    </row>
    <row r="1122" spans="1:62" x14ac:dyDescent="0.4">
      <c r="B1122" s="115"/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22"/>
      <c r="AP1122" s="122"/>
      <c r="AQ1122" s="122"/>
      <c r="AR1122" s="115"/>
      <c r="AS1122" s="115"/>
      <c r="AT1122" s="115"/>
      <c r="AU1122" s="115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115"/>
      <c r="BF1122" s="17"/>
      <c r="BG1122" s="15"/>
      <c r="BJ1122" s="114"/>
    </row>
    <row r="1123" spans="1:62" x14ac:dyDescent="0.4">
      <c r="B1123" s="115"/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22"/>
      <c r="AP1123" s="122"/>
      <c r="AQ1123" s="122"/>
      <c r="AR1123" s="115"/>
      <c r="AS1123" s="115"/>
      <c r="AT1123" s="115"/>
      <c r="AU1123" s="115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115"/>
      <c r="BF1123" s="26"/>
      <c r="BG1123" s="15"/>
      <c r="BJ1123" s="114"/>
    </row>
    <row r="1124" spans="1:62" x14ac:dyDescent="0.4">
      <c r="B1124" s="115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22"/>
      <c r="AP1124" s="122"/>
      <c r="AQ1124" s="122"/>
      <c r="AR1124" s="115"/>
      <c r="AS1124" s="115"/>
      <c r="AT1124" s="115"/>
      <c r="AU1124" s="115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115"/>
      <c r="BF1124" s="17"/>
      <c r="BG1124" s="15"/>
      <c r="BJ1124" s="114"/>
    </row>
    <row r="1125" spans="1:62" x14ac:dyDescent="0.4"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22"/>
      <c r="AP1125" s="122"/>
      <c r="AQ1125" s="122"/>
      <c r="AR1125" s="115"/>
      <c r="AS1125" s="115"/>
      <c r="AT1125" s="115"/>
      <c r="AU1125" s="115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115"/>
      <c r="BF1125" s="26"/>
      <c r="BG1125" s="15"/>
      <c r="BJ1125" s="114"/>
    </row>
    <row r="1126" spans="1:62" x14ac:dyDescent="0.4"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22"/>
      <c r="AP1126" s="122"/>
      <c r="AQ1126" s="122"/>
      <c r="AR1126" s="115"/>
      <c r="AS1126" s="115"/>
      <c r="AT1126" s="115"/>
      <c r="AU1126" s="115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115"/>
      <c r="BF1126" s="26"/>
      <c r="BG1126" s="15"/>
      <c r="BJ1126" s="114"/>
    </row>
    <row r="1127" spans="1:62" x14ac:dyDescent="0.4"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22"/>
      <c r="AP1127" s="122"/>
      <c r="AQ1127" s="122"/>
      <c r="AR1127" s="115"/>
      <c r="AS1127" s="115"/>
      <c r="AT1127" s="115"/>
      <c r="AU1127" s="115"/>
      <c r="AV1127" s="115"/>
      <c r="AW1127" s="115"/>
      <c r="AX1127" s="115"/>
      <c r="AY1127" s="115"/>
      <c r="AZ1127" s="115"/>
      <c r="BA1127" s="115"/>
      <c r="BB1127" s="115"/>
      <c r="BC1127" s="115"/>
      <c r="BD1127" s="115"/>
      <c r="BE1127" s="115"/>
      <c r="BF1127" s="17"/>
      <c r="BG1127" s="15"/>
      <c r="BJ1127" s="114"/>
    </row>
    <row r="1128" spans="1:62" x14ac:dyDescent="0.4"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22"/>
      <c r="AP1128" s="122"/>
      <c r="AQ1128" s="122"/>
      <c r="AR1128" s="115"/>
      <c r="AS1128" s="115"/>
      <c r="AT1128" s="115"/>
      <c r="AU1128" s="115"/>
      <c r="AV1128" s="115"/>
      <c r="AW1128" s="115"/>
      <c r="AX1128" s="115"/>
      <c r="AY1128" s="115"/>
      <c r="AZ1128" s="115"/>
      <c r="BA1128" s="115"/>
      <c r="BB1128" s="115"/>
      <c r="BC1128" s="115"/>
      <c r="BD1128" s="115"/>
      <c r="BE1128" s="115"/>
      <c r="BF1128" s="26"/>
      <c r="BG1128" s="15"/>
      <c r="BJ1128" s="114"/>
    </row>
    <row r="1129" spans="1:62" x14ac:dyDescent="0.4"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22"/>
      <c r="AP1129" s="122"/>
      <c r="AQ1129" s="122"/>
      <c r="AR1129" s="115"/>
      <c r="AS1129" s="115"/>
      <c r="AT1129" s="115"/>
      <c r="AU1129" s="115"/>
      <c r="AV1129" s="115"/>
      <c r="AW1129" s="115"/>
      <c r="AX1129" s="115"/>
      <c r="AY1129" s="115"/>
      <c r="AZ1129" s="115"/>
      <c r="BA1129" s="115"/>
      <c r="BB1129" s="115"/>
      <c r="BC1129" s="115"/>
      <c r="BD1129" s="115"/>
      <c r="BE1129" s="115"/>
      <c r="BF1129" s="26"/>
      <c r="BG1129" s="15"/>
      <c r="BJ1129" s="114"/>
    </row>
    <row r="1130" spans="1:62" x14ac:dyDescent="0.4">
      <c r="A1130" s="115"/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22"/>
      <c r="AP1130" s="122"/>
      <c r="AQ1130" s="122"/>
      <c r="AR1130" s="115"/>
      <c r="AS1130" s="115"/>
      <c r="AT1130" s="115"/>
      <c r="AU1130" s="115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115"/>
      <c r="BF1130" s="26"/>
      <c r="BG1130" s="105"/>
      <c r="BJ1130" s="114"/>
    </row>
    <row r="1131" spans="1:62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22"/>
      <c r="AP1131" s="122"/>
      <c r="AQ1131" s="122"/>
      <c r="AR1131" s="115"/>
      <c r="AS1131" s="115"/>
      <c r="AT1131" s="115"/>
      <c r="AU1131" s="115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115"/>
      <c r="BF1131" s="17"/>
      <c r="BG1131" s="15"/>
      <c r="BJ1131" s="114"/>
    </row>
    <row r="1132" spans="1:62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22"/>
      <c r="AP1132" s="122"/>
      <c r="AQ1132" s="122"/>
      <c r="AR1132" s="115"/>
      <c r="AS1132" s="115"/>
      <c r="AT1132" s="115"/>
      <c r="AU1132" s="115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115"/>
      <c r="BF1132" s="17"/>
      <c r="BG1132" s="15"/>
      <c r="BJ1132" s="114"/>
    </row>
    <row r="1133" spans="1:62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22"/>
      <c r="AP1133" s="122"/>
      <c r="AQ1133" s="122"/>
      <c r="AR1133" s="115"/>
      <c r="AS1133" s="115"/>
      <c r="AT1133" s="115"/>
      <c r="AU1133" s="115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115"/>
      <c r="BF1133" s="26"/>
      <c r="BG1133" s="15"/>
      <c r="BJ1133" s="114"/>
    </row>
    <row r="1134" spans="1:62" x14ac:dyDescent="0.4">
      <c r="A1134" s="115"/>
      <c r="B1134" s="115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22"/>
      <c r="AP1134" s="122"/>
      <c r="AQ1134" s="122"/>
      <c r="AR1134" s="115"/>
      <c r="AS1134" s="115"/>
      <c r="AT1134" s="115"/>
      <c r="AU1134" s="115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115"/>
      <c r="BF1134" s="26"/>
      <c r="BG1134" s="15"/>
      <c r="BJ1134" s="114"/>
    </row>
    <row r="1135" spans="1:62" x14ac:dyDescent="0.4">
      <c r="A1135" s="115"/>
      <c r="B1135" s="115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22"/>
      <c r="AP1135" s="122"/>
      <c r="AQ1135" s="122"/>
      <c r="AR1135" s="115"/>
      <c r="AS1135" s="115"/>
      <c r="AT1135" s="115"/>
      <c r="AU1135" s="115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115"/>
      <c r="BF1135" s="26"/>
      <c r="BG1135" s="15"/>
      <c r="BJ1135" s="114"/>
    </row>
    <row r="1136" spans="1:62" x14ac:dyDescent="0.4">
      <c r="A1136" s="115"/>
      <c r="B1136" s="115"/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15"/>
      <c r="AK1136" s="115"/>
      <c r="AL1136" s="115"/>
      <c r="AM1136" s="115"/>
      <c r="AN1136" s="115"/>
      <c r="AO1136" s="122"/>
      <c r="AP1136" s="122"/>
      <c r="AQ1136" s="122"/>
      <c r="AR1136" s="115"/>
      <c r="AS1136" s="115"/>
      <c r="AT1136" s="115"/>
      <c r="AU1136" s="115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115"/>
      <c r="BF1136" s="26"/>
      <c r="BG1136" s="15"/>
      <c r="BJ1136" s="114"/>
    </row>
    <row r="1137" spans="1:62" x14ac:dyDescent="0.4">
      <c r="A1137" s="115"/>
      <c r="B1137" s="115"/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22"/>
      <c r="AP1137" s="122"/>
      <c r="AQ1137" s="122"/>
      <c r="AR1137" s="115"/>
      <c r="AS1137" s="115"/>
      <c r="AT1137" s="115"/>
      <c r="AU1137" s="115"/>
      <c r="AV1137" s="115"/>
      <c r="AW1137" s="115"/>
      <c r="AX1137" s="115"/>
      <c r="AY1137" s="115"/>
      <c r="AZ1137" s="115"/>
      <c r="BA1137" s="115"/>
      <c r="BB1137" s="115"/>
      <c r="BC1137" s="115"/>
      <c r="BD1137" s="115"/>
      <c r="BE1137" s="115"/>
      <c r="BF1137" s="26"/>
      <c r="BG1137" s="15"/>
      <c r="BJ1137" s="114"/>
    </row>
    <row r="1138" spans="1:62" x14ac:dyDescent="0.4">
      <c r="A1138" s="115"/>
      <c r="B1138" s="115"/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22"/>
      <c r="AP1138" s="122"/>
      <c r="AQ1138" s="122"/>
      <c r="AR1138" s="115"/>
      <c r="AS1138" s="115"/>
      <c r="AT1138" s="115"/>
      <c r="AU1138" s="115"/>
      <c r="AV1138" s="115"/>
      <c r="AW1138" s="115"/>
      <c r="AX1138" s="115"/>
      <c r="AY1138" s="115"/>
      <c r="AZ1138" s="115"/>
      <c r="BA1138" s="115"/>
      <c r="BB1138" s="115"/>
      <c r="BC1138" s="115"/>
      <c r="BD1138" s="115"/>
      <c r="BE1138" s="115"/>
      <c r="BF1138" s="26"/>
      <c r="BG1138" s="15"/>
      <c r="BJ1138" s="114"/>
    </row>
    <row r="1139" spans="1:62" x14ac:dyDescent="0.4">
      <c r="A1139" s="115"/>
      <c r="B1139" s="115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22"/>
      <c r="AP1139" s="122"/>
      <c r="AQ1139" s="122"/>
      <c r="AR1139" s="115"/>
      <c r="AS1139" s="115"/>
      <c r="AT1139" s="115"/>
      <c r="AU1139" s="115"/>
      <c r="AV1139" s="115"/>
      <c r="AW1139" s="115"/>
      <c r="AX1139" s="115"/>
      <c r="AY1139" s="115"/>
      <c r="AZ1139" s="115"/>
      <c r="BA1139" s="115"/>
      <c r="BB1139" s="115"/>
      <c r="BC1139" s="115"/>
      <c r="BD1139" s="115"/>
      <c r="BE1139" s="115"/>
      <c r="BF1139" s="26"/>
      <c r="BG1139" s="15"/>
      <c r="BJ1139" s="114"/>
    </row>
    <row r="1140" spans="1:62" x14ac:dyDescent="0.4">
      <c r="A1140" s="115"/>
      <c r="B1140" s="115"/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22"/>
      <c r="AP1140" s="122"/>
      <c r="AQ1140" s="122"/>
      <c r="AR1140" s="115"/>
      <c r="AS1140" s="115"/>
      <c r="AT1140" s="115"/>
      <c r="AU1140" s="115"/>
      <c r="AV1140" s="115"/>
      <c r="AW1140" s="115"/>
      <c r="AX1140" s="115"/>
      <c r="AY1140" s="115"/>
      <c r="AZ1140" s="115"/>
      <c r="BA1140" s="115"/>
      <c r="BB1140" s="115"/>
      <c r="BC1140" s="115"/>
      <c r="BD1140" s="115"/>
      <c r="BE1140" s="115"/>
      <c r="BF1140" s="26"/>
      <c r="BG1140" s="15"/>
      <c r="BJ1140" s="114"/>
    </row>
    <row r="1141" spans="1:62" x14ac:dyDescent="0.4">
      <c r="A1141" s="115"/>
      <c r="B1141" s="115"/>
      <c r="C1141" s="115"/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22"/>
      <c r="AP1141" s="122"/>
      <c r="AQ1141" s="122"/>
      <c r="AR1141" s="115"/>
      <c r="AS1141" s="115"/>
      <c r="AT1141" s="115"/>
      <c r="AU1141" s="115"/>
      <c r="AV1141" s="115"/>
      <c r="AW1141" s="115"/>
      <c r="AX1141" s="115"/>
      <c r="AY1141" s="115"/>
      <c r="AZ1141" s="115"/>
      <c r="BA1141" s="115"/>
      <c r="BB1141" s="115"/>
      <c r="BC1141" s="115"/>
      <c r="BD1141" s="115"/>
      <c r="BE1141" s="115"/>
      <c r="BF1141" s="26"/>
      <c r="BG1141" s="105"/>
      <c r="BJ1141" s="114"/>
    </row>
    <row r="1142" spans="1:62" x14ac:dyDescent="0.4">
      <c r="A1142" s="115"/>
      <c r="B1142" s="115"/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15"/>
      <c r="AF1142" s="115"/>
      <c r="AG1142" s="115"/>
      <c r="AH1142" s="115"/>
      <c r="AI1142" s="115"/>
      <c r="AJ1142" s="115"/>
      <c r="AK1142" s="115"/>
      <c r="AL1142" s="115"/>
      <c r="AM1142" s="115"/>
      <c r="AN1142" s="115"/>
      <c r="AO1142" s="122"/>
      <c r="AP1142" s="122"/>
      <c r="AQ1142" s="122"/>
      <c r="AR1142" s="115"/>
      <c r="AS1142" s="115"/>
      <c r="AT1142" s="115"/>
      <c r="AU1142" s="115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115"/>
      <c r="BF1142" s="26"/>
      <c r="BG1142" s="15"/>
      <c r="BJ1142" s="114"/>
    </row>
    <row r="1143" spans="1:62" x14ac:dyDescent="0.4">
      <c r="A1143" s="115"/>
      <c r="B1143" s="115"/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15"/>
      <c r="AL1143" s="115"/>
      <c r="AM1143" s="115"/>
      <c r="AN1143" s="115"/>
      <c r="AO1143" s="122"/>
      <c r="AP1143" s="122"/>
      <c r="AQ1143" s="122"/>
      <c r="AR1143" s="115"/>
      <c r="AS1143" s="115"/>
      <c r="AT1143" s="115"/>
      <c r="AU1143" s="115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115"/>
      <c r="BF1143" s="26"/>
      <c r="BG1143" s="15"/>
      <c r="BJ1143" s="114"/>
    </row>
    <row r="1144" spans="1:62" x14ac:dyDescent="0.4">
      <c r="A1144" s="115"/>
      <c r="B1144" s="115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22"/>
      <c r="AP1144" s="122"/>
      <c r="AQ1144" s="122"/>
      <c r="AR1144" s="115"/>
      <c r="AS1144" s="115"/>
      <c r="AT1144" s="115"/>
      <c r="AU1144" s="115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115"/>
      <c r="BF1144" s="26"/>
      <c r="BG1144" s="13"/>
      <c r="BJ1144" s="114"/>
    </row>
    <row r="1145" spans="1:62" x14ac:dyDescent="0.4">
      <c r="A1145" s="115"/>
      <c r="B1145" s="115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22"/>
      <c r="AP1145" s="122"/>
      <c r="AQ1145" s="122"/>
      <c r="AR1145" s="115"/>
      <c r="AS1145" s="115"/>
      <c r="AT1145" s="115"/>
      <c r="AU1145" s="115"/>
      <c r="AV1145" s="115"/>
      <c r="AW1145" s="115"/>
      <c r="AX1145" s="115"/>
      <c r="AY1145" s="115"/>
      <c r="AZ1145" s="115"/>
      <c r="BA1145" s="115"/>
      <c r="BB1145" s="115"/>
      <c r="BC1145" s="115"/>
      <c r="BD1145" s="115"/>
      <c r="BE1145" s="115"/>
      <c r="BF1145" s="17"/>
      <c r="BG1145" s="13"/>
      <c r="BJ1145" s="114"/>
    </row>
    <row r="1146" spans="1:62" x14ac:dyDescent="0.4">
      <c r="A1146" s="115"/>
      <c r="B1146" s="115"/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22"/>
      <c r="AP1146" s="122"/>
      <c r="AQ1146" s="122"/>
      <c r="AR1146" s="115"/>
      <c r="AS1146" s="115"/>
      <c r="AT1146" s="115"/>
      <c r="AU1146" s="115"/>
      <c r="AV1146" s="115"/>
      <c r="AW1146" s="115"/>
      <c r="AX1146" s="115"/>
      <c r="AY1146" s="115"/>
      <c r="AZ1146" s="115"/>
      <c r="BA1146" s="115"/>
      <c r="BB1146" s="115"/>
      <c r="BC1146" s="115"/>
      <c r="BD1146" s="115"/>
      <c r="BE1146" s="115"/>
      <c r="BF1146" s="26"/>
      <c r="BG1146" s="13"/>
      <c r="BJ1146" s="114"/>
    </row>
    <row r="1147" spans="1:62" x14ac:dyDescent="0.4">
      <c r="A1147" s="115"/>
      <c r="B1147" s="115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15"/>
      <c r="AO1147" s="122"/>
      <c r="AP1147" s="122"/>
      <c r="AQ1147" s="122"/>
      <c r="AR1147" s="115"/>
      <c r="AS1147" s="115"/>
      <c r="AT1147" s="115"/>
      <c r="AU1147" s="115"/>
      <c r="AV1147" s="115"/>
      <c r="AW1147" s="115"/>
      <c r="AX1147" s="115"/>
      <c r="AY1147" s="115"/>
      <c r="AZ1147" s="115"/>
      <c r="BA1147" s="115"/>
      <c r="BB1147" s="115"/>
      <c r="BC1147" s="115"/>
      <c r="BD1147" s="115"/>
      <c r="BE1147" s="115"/>
      <c r="BF1147" s="26"/>
      <c r="BG1147" s="13"/>
      <c r="BJ1147" s="114"/>
    </row>
    <row r="1148" spans="1:62" x14ac:dyDescent="0.4">
      <c r="A1148" s="115"/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22"/>
      <c r="AP1148" s="122"/>
      <c r="AQ1148" s="122"/>
      <c r="AR1148" s="115"/>
      <c r="AS1148" s="115"/>
      <c r="AT1148" s="115"/>
      <c r="AU1148" s="115"/>
      <c r="AV1148" s="115"/>
      <c r="AW1148" s="115"/>
      <c r="AX1148" s="115"/>
      <c r="AY1148" s="115"/>
      <c r="AZ1148" s="115"/>
      <c r="BA1148" s="115"/>
      <c r="BB1148" s="115"/>
      <c r="BC1148" s="115"/>
      <c r="BD1148" s="115"/>
      <c r="BE1148" s="115"/>
      <c r="BF1148" s="26"/>
      <c r="BG1148" s="13"/>
      <c r="BJ1148" s="114"/>
    </row>
    <row r="1149" spans="1:62" x14ac:dyDescent="0.4">
      <c r="A1149" s="115"/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22"/>
      <c r="AP1149" s="122"/>
      <c r="AQ1149" s="122"/>
      <c r="AR1149" s="115"/>
      <c r="AS1149" s="115"/>
      <c r="AT1149" s="115"/>
      <c r="AU1149" s="115"/>
      <c r="AV1149" s="115"/>
      <c r="AW1149" s="115"/>
      <c r="AX1149" s="115"/>
      <c r="AY1149" s="115"/>
      <c r="AZ1149" s="115"/>
      <c r="BA1149" s="115"/>
      <c r="BB1149" s="115"/>
      <c r="BC1149" s="115"/>
      <c r="BD1149" s="115"/>
      <c r="BE1149" s="115"/>
      <c r="BF1149" s="26"/>
      <c r="BG1149" s="13"/>
      <c r="BJ1149" s="114"/>
    </row>
    <row r="1150" spans="1:62" x14ac:dyDescent="0.4">
      <c r="A1150" s="115"/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22"/>
      <c r="AP1150" s="122"/>
      <c r="AQ1150" s="122"/>
      <c r="AR1150" s="115"/>
      <c r="AS1150" s="115"/>
      <c r="AT1150" s="115"/>
      <c r="AU1150" s="115"/>
      <c r="AV1150" s="115"/>
      <c r="AW1150" s="115"/>
      <c r="AX1150" s="115"/>
      <c r="AY1150" s="115"/>
      <c r="AZ1150" s="115"/>
      <c r="BA1150" s="115"/>
      <c r="BB1150" s="115"/>
      <c r="BC1150" s="115"/>
      <c r="BD1150" s="115"/>
      <c r="BE1150" s="115"/>
      <c r="BF1150" s="26"/>
      <c r="BG1150" s="13"/>
      <c r="BJ1150" s="114"/>
    </row>
    <row r="1151" spans="1:62" x14ac:dyDescent="0.4">
      <c r="A1151" s="115"/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22"/>
      <c r="AP1151" s="122"/>
      <c r="AQ1151" s="122"/>
      <c r="AR1151" s="115"/>
      <c r="AS1151" s="115"/>
      <c r="AT1151" s="115"/>
      <c r="AU1151" s="115"/>
      <c r="AV1151" s="115"/>
      <c r="AW1151" s="115"/>
      <c r="AX1151" s="115"/>
      <c r="AY1151" s="115"/>
      <c r="AZ1151" s="115"/>
      <c r="BA1151" s="115"/>
      <c r="BB1151" s="115"/>
      <c r="BC1151" s="115"/>
      <c r="BD1151" s="115"/>
      <c r="BE1151" s="115"/>
      <c r="BF1151" s="26"/>
      <c r="BG1151" s="13"/>
      <c r="BJ1151" s="114"/>
    </row>
    <row r="1152" spans="1:62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22"/>
      <c r="AP1152" s="122"/>
      <c r="AQ1152" s="122"/>
      <c r="AR1152" s="115"/>
      <c r="AS1152" s="115"/>
      <c r="AT1152" s="115"/>
      <c r="AU1152" s="115"/>
      <c r="AV1152" s="115"/>
      <c r="AW1152" s="115"/>
      <c r="AX1152" s="115"/>
      <c r="AY1152" s="115"/>
      <c r="AZ1152" s="115"/>
      <c r="BA1152" s="115"/>
      <c r="BB1152" s="115"/>
      <c r="BC1152" s="115"/>
      <c r="BD1152" s="115"/>
      <c r="BE1152" s="115"/>
      <c r="BF1152" s="17"/>
      <c r="BG1152" s="13"/>
      <c r="BJ1152" s="114"/>
    </row>
    <row r="1153" spans="1:62" x14ac:dyDescent="0.4">
      <c r="A1153" s="115"/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22"/>
      <c r="AP1153" s="122"/>
      <c r="AQ1153" s="122"/>
      <c r="AR1153" s="115"/>
      <c r="AS1153" s="115"/>
      <c r="AT1153" s="115"/>
      <c r="AU1153" s="115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115"/>
      <c r="BF1153" s="26"/>
      <c r="BG1153" s="13"/>
      <c r="BJ1153" s="114"/>
    </row>
    <row r="1154" spans="1:62" x14ac:dyDescent="0.4">
      <c r="A1154" s="115"/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22"/>
      <c r="AP1154" s="122"/>
      <c r="AQ1154" s="122"/>
      <c r="AR1154" s="115"/>
      <c r="AS1154" s="115"/>
      <c r="AT1154" s="115"/>
      <c r="AU1154" s="115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115"/>
      <c r="BF1154" s="26"/>
      <c r="BG1154" s="13"/>
      <c r="BJ1154" s="114"/>
    </row>
    <row r="1155" spans="1:62" x14ac:dyDescent="0.4">
      <c r="A1155" s="115"/>
      <c r="B1155" s="115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15"/>
      <c r="AN1155" s="115"/>
      <c r="AO1155" s="122"/>
      <c r="AP1155" s="122"/>
      <c r="AQ1155" s="122"/>
      <c r="AR1155" s="115"/>
      <c r="AS1155" s="115"/>
      <c r="AT1155" s="115"/>
      <c r="AU1155" s="115"/>
      <c r="AV1155" s="115"/>
      <c r="AW1155" s="115"/>
      <c r="AX1155" s="115"/>
      <c r="AY1155" s="115"/>
      <c r="AZ1155" s="115"/>
      <c r="BA1155" s="115"/>
      <c r="BB1155" s="115"/>
      <c r="BC1155" s="115"/>
      <c r="BD1155" s="115"/>
      <c r="BE1155" s="115"/>
      <c r="BF1155" s="26"/>
      <c r="BG1155" s="13"/>
      <c r="BJ1155" s="114"/>
    </row>
    <row r="1156" spans="1:62" x14ac:dyDescent="0.4">
      <c r="A1156" s="115"/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22"/>
      <c r="AP1156" s="122"/>
      <c r="AQ1156" s="122"/>
      <c r="AR1156" s="115"/>
      <c r="AS1156" s="115"/>
      <c r="AT1156" s="115"/>
      <c r="AU1156" s="115"/>
      <c r="AV1156" s="115"/>
      <c r="AW1156" s="115"/>
      <c r="AX1156" s="115"/>
      <c r="AY1156" s="115"/>
      <c r="AZ1156" s="115"/>
      <c r="BA1156" s="115"/>
      <c r="BB1156" s="115"/>
      <c r="BC1156" s="115"/>
      <c r="BD1156" s="115"/>
      <c r="BE1156" s="115"/>
      <c r="BF1156" s="26"/>
      <c r="BG1156" s="13"/>
      <c r="BJ1156" s="114"/>
    </row>
    <row r="1157" spans="1:62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22"/>
      <c r="AP1157" s="122"/>
      <c r="AQ1157" s="122"/>
      <c r="AR1157" s="115"/>
      <c r="AS1157" s="115"/>
      <c r="AT1157" s="115"/>
      <c r="AU1157" s="115"/>
      <c r="AV1157" s="115"/>
      <c r="AW1157" s="115"/>
      <c r="AX1157" s="115"/>
      <c r="AY1157" s="115"/>
      <c r="AZ1157" s="115"/>
      <c r="BA1157" s="115"/>
      <c r="BB1157" s="115"/>
      <c r="BC1157" s="115"/>
      <c r="BD1157" s="115"/>
      <c r="BE1157" s="115"/>
      <c r="BF1157" s="26"/>
      <c r="BG1157" s="25"/>
      <c r="BJ1157" s="114"/>
    </row>
    <row r="1158" spans="1:62" x14ac:dyDescent="0.4">
      <c r="A1158" s="115"/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22"/>
      <c r="AP1158" s="122"/>
      <c r="AQ1158" s="122"/>
      <c r="AR1158" s="115"/>
      <c r="AS1158" s="115"/>
      <c r="AT1158" s="115"/>
      <c r="AU1158" s="115"/>
      <c r="AV1158" s="115"/>
      <c r="AW1158" s="115"/>
      <c r="AX1158" s="115"/>
      <c r="AY1158" s="115"/>
      <c r="AZ1158" s="115"/>
      <c r="BA1158" s="115"/>
      <c r="BB1158" s="115"/>
      <c r="BC1158" s="115"/>
      <c r="BD1158" s="115"/>
      <c r="BE1158" s="115"/>
      <c r="BF1158" s="17"/>
      <c r="BG1158" s="13"/>
      <c r="BJ1158" s="114"/>
    </row>
    <row r="1159" spans="1:62" x14ac:dyDescent="0.4">
      <c r="A1159" s="115"/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22"/>
      <c r="AP1159" s="122"/>
      <c r="AQ1159" s="122"/>
      <c r="AR1159" s="115"/>
      <c r="AS1159" s="115"/>
      <c r="AT1159" s="115"/>
      <c r="AU1159" s="115"/>
      <c r="AV1159" s="115"/>
      <c r="AW1159" s="115"/>
      <c r="AX1159" s="115"/>
      <c r="AY1159" s="115"/>
      <c r="AZ1159" s="115"/>
      <c r="BA1159" s="115"/>
      <c r="BB1159" s="115"/>
      <c r="BC1159" s="115"/>
      <c r="BD1159" s="115"/>
      <c r="BE1159" s="115"/>
      <c r="BF1159" s="26"/>
      <c r="BG1159" s="15"/>
      <c r="BJ1159" s="114"/>
    </row>
    <row r="1160" spans="1:62" x14ac:dyDescent="0.4">
      <c r="A1160" s="115"/>
      <c r="B1160" s="115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22"/>
      <c r="AP1160" s="122"/>
      <c r="AQ1160" s="122"/>
      <c r="AR1160" s="115"/>
      <c r="AS1160" s="115"/>
      <c r="AT1160" s="115"/>
      <c r="AU1160" s="115"/>
      <c r="AV1160" s="115"/>
      <c r="AW1160" s="115"/>
      <c r="AX1160" s="115"/>
      <c r="AY1160" s="115"/>
      <c r="AZ1160" s="115"/>
      <c r="BA1160" s="115"/>
      <c r="BB1160" s="115"/>
      <c r="BC1160" s="115"/>
      <c r="BD1160" s="115"/>
      <c r="BE1160" s="115"/>
      <c r="BF1160" s="26"/>
      <c r="BG1160" s="15"/>
      <c r="BJ1160" s="114"/>
    </row>
    <row r="1161" spans="1:62" x14ac:dyDescent="0.4">
      <c r="A1161" s="115"/>
      <c r="B1161" s="115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22"/>
      <c r="AP1161" s="122"/>
      <c r="AQ1161" s="122"/>
      <c r="AR1161" s="115"/>
      <c r="AS1161" s="115"/>
      <c r="AT1161" s="115"/>
      <c r="AU1161" s="115"/>
      <c r="AV1161" s="115"/>
      <c r="AW1161" s="115"/>
      <c r="AX1161" s="115"/>
      <c r="AY1161" s="115"/>
      <c r="AZ1161" s="115"/>
      <c r="BA1161" s="115"/>
      <c r="BB1161" s="115"/>
      <c r="BC1161" s="115"/>
      <c r="BD1161" s="115"/>
      <c r="BE1161" s="115"/>
      <c r="BF1161" s="17"/>
      <c r="BG1161" s="15"/>
      <c r="BJ1161" s="114"/>
    </row>
    <row r="1162" spans="1:62" x14ac:dyDescent="0.4">
      <c r="A1162" s="115"/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22"/>
      <c r="AP1162" s="122"/>
      <c r="AQ1162" s="122"/>
      <c r="AR1162" s="115"/>
      <c r="AS1162" s="115"/>
      <c r="AT1162" s="115"/>
      <c r="AU1162" s="115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115"/>
      <c r="BF1162" s="26"/>
      <c r="BG1162" s="15"/>
      <c r="BJ1162" s="114"/>
    </row>
    <row r="1163" spans="1:62" x14ac:dyDescent="0.4">
      <c r="A1163" s="115"/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22"/>
      <c r="AP1163" s="122"/>
      <c r="AQ1163" s="122"/>
      <c r="AR1163" s="115"/>
      <c r="AS1163" s="115"/>
      <c r="AT1163" s="115"/>
      <c r="AU1163" s="115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115"/>
      <c r="BF1163" s="26"/>
      <c r="BG1163" s="15"/>
      <c r="BJ1163" s="114"/>
    </row>
    <row r="1164" spans="1:62" x14ac:dyDescent="0.4">
      <c r="A1164" s="115"/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22"/>
      <c r="AP1164" s="122"/>
      <c r="AQ1164" s="122"/>
      <c r="AR1164" s="115"/>
      <c r="AS1164" s="115"/>
      <c r="AT1164" s="115"/>
      <c r="AU1164" s="115"/>
      <c r="AV1164" s="115"/>
      <c r="AW1164" s="115"/>
      <c r="AX1164" s="115"/>
      <c r="AY1164" s="115"/>
      <c r="AZ1164" s="115"/>
      <c r="BA1164" s="115"/>
      <c r="BB1164" s="115"/>
      <c r="BC1164" s="115"/>
      <c r="BD1164" s="115"/>
      <c r="BE1164" s="115"/>
      <c r="BF1164" s="26"/>
      <c r="BG1164" s="13"/>
      <c r="BJ1164" s="114"/>
    </row>
    <row r="1165" spans="1:62" x14ac:dyDescent="0.4">
      <c r="A1165" s="115"/>
      <c r="B1165" s="115"/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22"/>
      <c r="AP1165" s="122"/>
      <c r="AQ1165" s="122"/>
      <c r="AR1165" s="115"/>
      <c r="AS1165" s="115"/>
      <c r="AT1165" s="115"/>
      <c r="AU1165" s="115"/>
      <c r="AV1165" s="115"/>
      <c r="AW1165" s="115"/>
      <c r="AX1165" s="115"/>
      <c r="AY1165" s="115"/>
      <c r="AZ1165" s="115"/>
      <c r="BA1165" s="115"/>
      <c r="BB1165" s="115"/>
      <c r="BC1165" s="115"/>
      <c r="BD1165" s="115"/>
      <c r="BE1165" s="115"/>
      <c r="BF1165" s="26"/>
      <c r="BG1165" s="13"/>
      <c r="BJ1165" s="114"/>
    </row>
    <row r="1166" spans="1:62" x14ac:dyDescent="0.4">
      <c r="A1166" s="115"/>
      <c r="B1166" s="115"/>
      <c r="C1166" s="115"/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22"/>
      <c r="AP1166" s="122"/>
      <c r="AQ1166" s="122"/>
      <c r="AR1166" s="115"/>
      <c r="AS1166" s="115"/>
      <c r="AT1166" s="115"/>
      <c r="AU1166" s="115"/>
      <c r="AV1166" s="115"/>
      <c r="AW1166" s="115"/>
      <c r="AX1166" s="115"/>
      <c r="AY1166" s="115"/>
      <c r="AZ1166" s="115"/>
      <c r="BA1166" s="115"/>
      <c r="BB1166" s="115"/>
      <c r="BC1166" s="115"/>
      <c r="BD1166" s="115"/>
      <c r="BE1166" s="115"/>
      <c r="BF1166" s="26"/>
      <c r="BG1166" s="13"/>
      <c r="BJ1166" s="114"/>
    </row>
    <row r="1167" spans="1:62" x14ac:dyDescent="0.4">
      <c r="A1167" s="115"/>
      <c r="B1167" s="115"/>
      <c r="C1167" s="115"/>
      <c r="D1167" s="115"/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22"/>
      <c r="AP1167" s="122"/>
      <c r="AQ1167" s="122"/>
      <c r="AR1167" s="115"/>
      <c r="AS1167" s="115"/>
      <c r="AT1167" s="115"/>
      <c r="AU1167" s="115"/>
      <c r="AV1167" s="115"/>
      <c r="AW1167" s="115"/>
      <c r="AX1167" s="115"/>
      <c r="AY1167" s="115"/>
      <c r="AZ1167" s="115"/>
      <c r="BA1167" s="115"/>
      <c r="BB1167" s="115"/>
      <c r="BC1167" s="115"/>
      <c r="BD1167" s="115"/>
      <c r="BE1167" s="115"/>
      <c r="BF1167" s="26"/>
      <c r="BG1167" s="13"/>
      <c r="BJ1167" s="114"/>
    </row>
    <row r="1168" spans="1:62" x14ac:dyDescent="0.4">
      <c r="A1168" s="115"/>
      <c r="B1168" s="115"/>
      <c r="C1168" s="115"/>
      <c r="D1168" s="115"/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22"/>
      <c r="AP1168" s="122"/>
      <c r="AQ1168" s="122"/>
      <c r="AR1168" s="115"/>
      <c r="AS1168" s="115"/>
      <c r="AT1168" s="115"/>
      <c r="AU1168" s="115"/>
      <c r="AV1168" s="115"/>
      <c r="AW1168" s="115"/>
      <c r="AX1168" s="115"/>
      <c r="AY1168" s="115"/>
      <c r="AZ1168" s="115"/>
      <c r="BA1168" s="115"/>
      <c r="BB1168" s="115"/>
      <c r="BC1168" s="115"/>
      <c r="BD1168" s="115"/>
      <c r="BE1168" s="115"/>
      <c r="BF1168" s="26"/>
      <c r="BG1168" s="13"/>
      <c r="BJ1168" s="114"/>
    </row>
    <row r="1169" spans="1:63" x14ac:dyDescent="0.4">
      <c r="A1169" s="115"/>
      <c r="B1169" s="115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15"/>
      <c r="AJ1169" s="115"/>
      <c r="AK1169" s="115"/>
      <c r="AL1169" s="115"/>
      <c r="AM1169" s="115"/>
      <c r="AN1169" s="115"/>
      <c r="AO1169" s="122"/>
      <c r="AP1169" s="122"/>
      <c r="AQ1169" s="122"/>
      <c r="AR1169" s="115"/>
      <c r="AS1169" s="115"/>
      <c r="AT1169" s="115"/>
      <c r="AU1169" s="115"/>
      <c r="AV1169" s="115"/>
      <c r="AW1169" s="115"/>
      <c r="AX1169" s="115"/>
      <c r="AY1169" s="115"/>
      <c r="AZ1169" s="115"/>
      <c r="BA1169" s="115"/>
      <c r="BB1169" s="115"/>
      <c r="BC1169" s="115"/>
      <c r="BD1169" s="115"/>
      <c r="BE1169" s="115"/>
      <c r="BF1169" s="26"/>
      <c r="BG1169" s="13"/>
      <c r="BJ1169" s="114"/>
    </row>
    <row r="1170" spans="1:63" x14ac:dyDescent="0.4">
      <c r="A1170" s="115"/>
      <c r="B1170" s="115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22"/>
      <c r="AP1170" s="122"/>
      <c r="AQ1170" s="122"/>
      <c r="AR1170" s="115"/>
      <c r="AS1170" s="115"/>
      <c r="AT1170" s="115"/>
      <c r="AU1170" s="115"/>
      <c r="AV1170" s="115"/>
      <c r="AW1170" s="115"/>
      <c r="AX1170" s="115"/>
      <c r="AY1170" s="115"/>
      <c r="AZ1170" s="115"/>
      <c r="BA1170" s="115"/>
      <c r="BB1170" s="115"/>
      <c r="BC1170" s="115"/>
      <c r="BD1170" s="115"/>
      <c r="BE1170" s="115"/>
      <c r="BF1170" s="26"/>
      <c r="BG1170" s="13"/>
      <c r="BJ1170" s="114"/>
    </row>
    <row r="1171" spans="1:63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22"/>
      <c r="AP1171" s="122"/>
      <c r="AQ1171" s="122"/>
      <c r="AR1171" s="115"/>
      <c r="AS1171" s="115"/>
      <c r="AT1171" s="115"/>
      <c r="AU1171" s="115"/>
      <c r="AV1171" s="115"/>
      <c r="AW1171" s="115"/>
      <c r="AX1171" s="115"/>
      <c r="AY1171" s="115"/>
      <c r="AZ1171" s="115"/>
      <c r="BA1171" s="115"/>
      <c r="BB1171" s="115"/>
      <c r="BC1171" s="115"/>
      <c r="BD1171" s="115"/>
      <c r="BE1171" s="115"/>
      <c r="BF1171" s="26"/>
      <c r="BG1171" s="13"/>
      <c r="BJ1171" s="114"/>
    </row>
    <row r="1172" spans="1:63" x14ac:dyDescent="0.4">
      <c r="A1172" s="115"/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22"/>
      <c r="AP1172" s="122"/>
      <c r="AQ1172" s="122"/>
      <c r="AR1172" s="115"/>
      <c r="AS1172" s="115"/>
      <c r="AT1172" s="115"/>
      <c r="AU1172" s="115"/>
      <c r="AV1172" s="115"/>
      <c r="AW1172" s="115"/>
      <c r="AX1172" s="115"/>
      <c r="AY1172" s="115"/>
      <c r="AZ1172" s="115"/>
      <c r="BA1172" s="115"/>
      <c r="BB1172" s="115"/>
      <c r="BC1172" s="115"/>
      <c r="BD1172" s="115"/>
      <c r="BE1172" s="115"/>
      <c r="BF1172" s="17"/>
      <c r="BG1172" s="13"/>
      <c r="BJ1172" s="114"/>
    </row>
    <row r="1173" spans="1:63" x14ac:dyDescent="0.4">
      <c r="A1173" s="115"/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22"/>
      <c r="AP1173" s="122"/>
      <c r="AQ1173" s="122"/>
      <c r="AR1173" s="115"/>
      <c r="AS1173" s="115"/>
      <c r="AT1173" s="115"/>
      <c r="AU1173" s="115"/>
      <c r="AV1173" s="115"/>
      <c r="AW1173" s="115"/>
      <c r="AX1173" s="115"/>
      <c r="AY1173" s="115"/>
      <c r="AZ1173" s="115"/>
      <c r="BA1173" s="115"/>
      <c r="BB1173" s="115"/>
      <c r="BC1173" s="115"/>
      <c r="BD1173" s="115"/>
      <c r="BE1173" s="115"/>
      <c r="BF1173" s="26"/>
      <c r="BG1173" s="13"/>
      <c r="BJ1173" s="114"/>
    </row>
    <row r="1174" spans="1:63" x14ac:dyDescent="0.4">
      <c r="A1174" s="115"/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22"/>
      <c r="AP1174" s="122"/>
      <c r="AQ1174" s="122"/>
      <c r="AR1174" s="115"/>
      <c r="AS1174" s="115"/>
      <c r="AT1174" s="115"/>
      <c r="AU1174" s="115"/>
      <c r="AV1174" s="115"/>
      <c r="AW1174" s="115"/>
      <c r="AX1174" s="115"/>
      <c r="AY1174" s="115"/>
      <c r="AZ1174" s="115"/>
      <c r="BA1174" s="115"/>
      <c r="BB1174" s="115"/>
      <c r="BC1174" s="115"/>
      <c r="BD1174" s="115"/>
      <c r="BE1174" s="115"/>
      <c r="BF1174" s="17"/>
      <c r="BG1174" s="13"/>
      <c r="BJ1174" s="114"/>
    </row>
    <row r="1175" spans="1:63" x14ac:dyDescent="0.4">
      <c r="A1175" s="115"/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22"/>
      <c r="AP1175" s="122"/>
      <c r="AQ1175" s="122"/>
      <c r="AR1175" s="115"/>
      <c r="AS1175" s="115"/>
      <c r="AT1175" s="115"/>
      <c r="AU1175" s="115"/>
      <c r="AV1175" s="115"/>
      <c r="AW1175" s="115"/>
      <c r="AX1175" s="115"/>
      <c r="AY1175" s="115"/>
      <c r="AZ1175" s="115"/>
      <c r="BA1175" s="115"/>
      <c r="BB1175" s="115"/>
      <c r="BC1175" s="115"/>
      <c r="BD1175" s="115"/>
      <c r="BE1175" s="115"/>
      <c r="BF1175" s="26"/>
      <c r="BG1175" s="13"/>
      <c r="BJ1175" s="114"/>
    </row>
    <row r="1176" spans="1:63" x14ac:dyDescent="0.4">
      <c r="A1176" s="115"/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22"/>
      <c r="AP1176" s="122"/>
      <c r="AQ1176" s="122"/>
      <c r="AR1176" s="115"/>
      <c r="AS1176" s="115"/>
      <c r="AT1176" s="115"/>
      <c r="AU1176" s="115"/>
      <c r="AV1176" s="115"/>
      <c r="AW1176" s="115"/>
      <c r="AX1176" s="115"/>
      <c r="AY1176" s="115"/>
      <c r="AZ1176" s="115"/>
      <c r="BA1176" s="115"/>
      <c r="BB1176" s="115"/>
      <c r="BC1176" s="115"/>
      <c r="BD1176" s="115"/>
      <c r="BE1176" s="115"/>
      <c r="BF1176" s="26"/>
      <c r="BG1176" s="13"/>
      <c r="BJ1176" s="114"/>
    </row>
    <row r="1177" spans="1:63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22"/>
      <c r="AP1177" s="122"/>
      <c r="AQ1177" s="122"/>
      <c r="AR1177" s="115"/>
      <c r="AS1177" s="115"/>
      <c r="AT1177" s="115"/>
      <c r="AU1177" s="115"/>
      <c r="AV1177" s="115"/>
      <c r="AW1177" s="115"/>
      <c r="AX1177" s="115"/>
      <c r="AY1177" s="115"/>
      <c r="AZ1177" s="115"/>
      <c r="BA1177" s="115"/>
      <c r="BB1177" s="115"/>
      <c r="BC1177" s="115"/>
      <c r="BD1177" s="115"/>
      <c r="BE1177" s="115"/>
      <c r="BF1177" s="26"/>
      <c r="BG1177" s="13"/>
      <c r="BJ1177" s="114"/>
    </row>
    <row r="1178" spans="1:63" x14ac:dyDescent="0.4">
      <c r="A1178" s="115"/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22"/>
      <c r="AP1178" s="122"/>
      <c r="AQ1178" s="122"/>
      <c r="AR1178" s="115"/>
      <c r="AS1178" s="115"/>
      <c r="AT1178" s="115"/>
      <c r="AU1178" s="115"/>
      <c r="AV1178" s="115"/>
      <c r="AW1178" s="115"/>
      <c r="AX1178" s="115"/>
      <c r="AY1178" s="115"/>
      <c r="AZ1178" s="115"/>
      <c r="BA1178" s="115"/>
      <c r="BB1178" s="115"/>
      <c r="BC1178" s="115"/>
      <c r="BD1178" s="115"/>
      <c r="BE1178" s="115"/>
      <c r="BF1178" s="26"/>
      <c r="BG1178" s="15"/>
      <c r="BJ1178" s="114"/>
    </row>
    <row r="1179" spans="1:63" x14ac:dyDescent="0.4">
      <c r="A1179" s="115"/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22"/>
      <c r="AP1179" s="122"/>
      <c r="AQ1179" s="122"/>
      <c r="AR1179" s="115"/>
      <c r="AS1179" s="115"/>
      <c r="AT1179" s="115"/>
      <c r="AU1179" s="115"/>
      <c r="AV1179" s="115"/>
      <c r="AW1179" s="115"/>
      <c r="AX1179" s="115"/>
      <c r="AY1179" s="115"/>
      <c r="AZ1179" s="115"/>
      <c r="BA1179" s="115"/>
      <c r="BB1179" s="115"/>
      <c r="BC1179" s="115"/>
      <c r="BD1179" s="115"/>
      <c r="BE1179" s="115"/>
      <c r="BF1179" s="26"/>
      <c r="BG1179" s="15"/>
      <c r="BJ1179" s="114"/>
    </row>
    <row r="1180" spans="1:63" x14ac:dyDescent="0.4">
      <c r="A1180" s="115"/>
      <c r="B1180" s="115"/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22"/>
      <c r="AP1180" s="122"/>
      <c r="AQ1180" s="122"/>
      <c r="AR1180" s="115"/>
      <c r="AS1180" s="115"/>
      <c r="AT1180" s="115"/>
      <c r="AU1180" s="115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115"/>
      <c r="BF1180" s="26"/>
      <c r="BG1180" s="15"/>
      <c r="BJ1180" s="114"/>
    </row>
    <row r="1181" spans="1:63" x14ac:dyDescent="0.4">
      <c r="A1181" s="115"/>
      <c r="B1181" s="115"/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22"/>
      <c r="AP1181" s="122"/>
      <c r="AQ1181" s="122"/>
      <c r="AR1181" s="115"/>
      <c r="AS1181" s="115"/>
      <c r="AT1181" s="115"/>
      <c r="AU1181" s="115"/>
      <c r="AV1181" s="115"/>
      <c r="AW1181" s="115"/>
      <c r="AX1181" s="115"/>
      <c r="AY1181" s="115"/>
      <c r="AZ1181" s="115"/>
      <c r="BA1181" s="115"/>
      <c r="BB1181" s="115"/>
      <c r="BC1181" s="115"/>
      <c r="BD1181" s="115"/>
      <c r="BE1181" s="115"/>
      <c r="BF1181" s="26"/>
      <c r="BG1181" s="13"/>
      <c r="BJ1181" s="114"/>
    </row>
    <row r="1182" spans="1:63" x14ac:dyDescent="0.4">
      <c r="A1182" s="115"/>
      <c r="B1182" s="115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22"/>
      <c r="AP1182" s="122"/>
      <c r="AQ1182" s="122"/>
      <c r="AR1182" s="115"/>
      <c r="AS1182" s="115"/>
      <c r="AT1182" s="115"/>
      <c r="AU1182" s="115"/>
      <c r="AV1182" s="115"/>
      <c r="AW1182" s="115"/>
      <c r="AX1182" s="115"/>
      <c r="AY1182" s="115"/>
      <c r="AZ1182" s="115"/>
      <c r="BA1182" s="115"/>
      <c r="BB1182" s="115"/>
      <c r="BC1182" s="115"/>
      <c r="BD1182" s="115"/>
      <c r="BE1182" s="115"/>
      <c r="BF1182" s="26"/>
      <c r="BG1182" s="15"/>
      <c r="BJ1182" s="114"/>
    </row>
    <row r="1183" spans="1:63" x14ac:dyDescent="0.4">
      <c r="A1183" s="115"/>
      <c r="B1183" s="115"/>
      <c r="C1183" s="115"/>
      <c r="D1183" s="115"/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15"/>
      <c r="AK1183" s="115"/>
      <c r="AL1183" s="115"/>
      <c r="AM1183" s="115"/>
      <c r="AN1183" s="115"/>
      <c r="AO1183" s="122"/>
      <c r="AP1183" s="122"/>
      <c r="AQ1183" s="122"/>
      <c r="AR1183" s="115"/>
      <c r="AS1183" s="115"/>
      <c r="AT1183" s="115"/>
      <c r="AU1183" s="115"/>
      <c r="AV1183" s="115"/>
      <c r="AW1183" s="115"/>
      <c r="AX1183" s="115"/>
      <c r="AY1183" s="115"/>
      <c r="AZ1183" s="115"/>
      <c r="BA1183" s="115"/>
      <c r="BB1183" s="115"/>
      <c r="BC1183" s="115"/>
      <c r="BD1183" s="115"/>
      <c r="BE1183" s="115"/>
      <c r="BF1183" s="26"/>
      <c r="BG1183" s="15"/>
      <c r="BJ1183" s="114"/>
      <c r="BK1183" s="120"/>
    </row>
    <row r="1184" spans="1:63" x14ac:dyDescent="0.4">
      <c r="A1184" s="115"/>
      <c r="B1184" s="115"/>
      <c r="C1184" s="115"/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15"/>
      <c r="AN1184" s="115"/>
      <c r="AO1184" s="122"/>
      <c r="AP1184" s="122"/>
      <c r="AQ1184" s="122"/>
      <c r="AR1184" s="115"/>
      <c r="AS1184" s="115"/>
      <c r="AT1184" s="115"/>
      <c r="AU1184" s="115"/>
      <c r="AV1184" s="115"/>
      <c r="AW1184" s="115"/>
      <c r="AX1184" s="115"/>
      <c r="AY1184" s="115"/>
      <c r="AZ1184" s="115"/>
      <c r="BA1184" s="115"/>
      <c r="BB1184" s="115"/>
      <c r="BC1184" s="115"/>
      <c r="BD1184" s="115"/>
      <c r="BE1184" s="115"/>
      <c r="BF1184" s="26"/>
      <c r="BG1184" s="15"/>
      <c r="BJ1184" s="114"/>
      <c r="BK1184" s="120"/>
    </row>
    <row r="1185" spans="1:63" x14ac:dyDescent="0.4">
      <c r="A1185" s="115"/>
      <c r="B1185" s="115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22"/>
      <c r="AP1185" s="122"/>
      <c r="AQ1185" s="122"/>
      <c r="AR1185" s="115"/>
      <c r="AS1185" s="115"/>
      <c r="AT1185" s="115"/>
      <c r="AU1185" s="115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115"/>
      <c r="BF1185" s="26"/>
      <c r="BG1185" s="15"/>
      <c r="BJ1185" s="114"/>
      <c r="BK1185" s="120"/>
    </row>
    <row r="1186" spans="1:63" x14ac:dyDescent="0.4">
      <c r="A1186" s="115"/>
      <c r="B1186" s="115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22"/>
      <c r="AP1186" s="122"/>
      <c r="AQ1186" s="122"/>
      <c r="AR1186" s="115"/>
      <c r="AS1186" s="115"/>
      <c r="AT1186" s="115"/>
      <c r="AU1186" s="115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115"/>
      <c r="BF1186" s="26"/>
      <c r="BG1186" s="15"/>
      <c r="BJ1186" s="114"/>
      <c r="BK1186" s="120"/>
    </row>
    <row r="1187" spans="1:63" x14ac:dyDescent="0.4">
      <c r="A1187" s="115"/>
      <c r="B1187" s="115"/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22"/>
      <c r="AP1187" s="122"/>
      <c r="AQ1187" s="122"/>
      <c r="AR1187" s="115"/>
      <c r="AS1187" s="115"/>
      <c r="AT1187" s="115"/>
      <c r="AU1187" s="115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115"/>
      <c r="BF1187" s="26"/>
      <c r="BG1187" s="15"/>
      <c r="BJ1187" s="114"/>
      <c r="BK1187" s="120"/>
    </row>
    <row r="1188" spans="1:63" x14ac:dyDescent="0.4">
      <c r="A1188" s="115"/>
      <c r="B1188" s="115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22"/>
      <c r="AP1188" s="122"/>
      <c r="AQ1188" s="122"/>
      <c r="AR1188" s="115"/>
      <c r="AS1188" s="115"/>
      <c r="AT1188" s="115"/>
      <c r="AU1188" s="115"/>
      <c r="AV1188" s="115"/>
      <c r="AW1188" s="115"/>
      <c r="AX1188" s="115"/>
      <c r="AY1188" s="115"/>
      <c r="AZ1188" s="115"/>
      <c r="BA1188" s="115"/>
      <c r="BB1188" s="115"/>
      <c r="BC1188" s="115"/>
      <c r="BD1188" s="115"/>
      <c r="BE1188" s="115"/>
      <c r="BF1188" s="26"/>
      <c r="BG1188" s="15"/>
      <c r="BJ1188" s="114"/>
      <c r="BK1188" s="120"/>
    </row>
    <row r="1189" spans="1:63" x14ac:dyDescent="0.4">
      <c r="A1189" s="115"/>
      <c r="B1189" s="115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15"/>
      <c r="AN1189" s="115"/>
      <c r="AO1189" s="122"/>
      <c r="AP1189" s="122"/>
      <c r="AQ1189" s="122"/>
      <c r="AR1189" s="115"/>
      <c r="AS1189" s="115"/>
      <c r="AT1189" s="115"/>
      <c r="AU1189" s="115"/>
      <c r="AV1189" s="115"/>
      <c r="AW1189" s="115"/>
      <c r="AX1189" s="115"/>
      <c r="AY1189" s="115"/>
      <c r="AZ1189" s="115"/>
      <c r="BA1189" s="115"/>
      <c r="BB1189" s="115"/>
      <c r="BC1189" s="115"/>
      <c r="BD1189" s="115"/>
      <c r="BE1189" s="115"/>
      <c r="BF1189" s="26"/>
      <c r="BG1189" s="15"/>
      <c r="BJ1189" s="114"/>
      <c r="BK1189" s="120"/>
    </row>
    <row r="1190" spans="1:63" x14ac:dyDescent="0.4">
      <c r="A1190" s="115"/>
      <c r="B1190" s="115"/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15"/>
      <c r="AL1190" s="115"/>
      <c r="AM1190" s="115"/>
      <c r="AN1190" s="115"/>
      <c r="AO1190" s="122"/>
      <c r="AP1190" s="122"/>
      <c r="AQ1190" s="122"/>
      <c r="AR1190" s="115"/>
      <c r="AS1190" s="115"/>
      <c r="AT1190" s="115"/>
      <c r="AU1190" s="115"/>
      <c r="AV1190" s="115"/>
      <c r="AW1190" s="115"/>
      <c r="AX1190" s="115"/>
      <c r="AY1190" s="115"/>
      <c r="AZ1190" s="115"/>
      <c r="BA1190" s="115"/>
      <c r="BB1190" s="115"/>
      <c r="BC1190" s="115"/>
      <c r="BD1190" s="115"/>
      <c r="BE1190" s="115"/>
      <c r="BF1190" s="17"/>
      <c r="BG1190" s="15"/>
      <c r="BJ1190" s="114"/>
      <c r="BK1190" s="120"/>
    </row>
    <row r="1191" spans="1:63" x14ac:dyDescent="0.4">
      <c r="A1191" s="115"/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15"/>
      <c r="AO1191" s="122"/>
      <c r="AP1191" s="122"/>
      <c r="AQ1191" s="122"/>
      <c r="AR1191" s="115"/>
      <c r="AS1191" s="115"/>
      <c r="AT1191" s="115"/>
      <c r="AU1191" s="115"/>
      <c r="AV1191" s="115"/>
      <c r="AW1191" s="115"/>
      <c r="AX1191" s="115"/>
      <c r="AY1191" s="115"/>
      <c r="AZ1191" s="115"/>
      <c r="BA1191" s="115"/>
      <c r="BB1191" s="115"/>
      <c r="BC1191" s="115"/>
      <c r="BD1191" s="115"/>
      <c r="BE1191" s="115"/>
      <c r="BF1191" s="26"/>
      <c r="BG1191" s="15"/>
      <c r="BJ1191" s="114"/>
      <c r="BK1191" s="120"/>
    </row>
    <row r="1192" spans="1:63" x14ac:dyDescent="0.4">
      <c r="A1192" s="115"/>
      <c r="B1192" s="115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22"/>
      <c r="AP1192" s="122"/>
      <c r="AQ1192" s="122"/>
      <c r="AR1192" s="115"/>
      <c r="AS1192" s="115"/>
      <c r="AT1192" s="115"/>
      <c r="AU1192" s="115"/>
      <c r="AV1192" s="115"/>
      <c r="AW1192" s="115"/>
      <c r="AX1192" s="115"/>
      <c r="AY1192" s="115"/>
      <c r="AZ1192" s="115"/>
      <c r="BA1192" s="115"/>
      <c r="BB1192" s="115"/>
      <c r="BC1192" s="115"/>
      <c r="BD1192" s="115"/>
      <c r="BE1192" s="115"/>
      <c r="BF1192" s="26"/>
      <c r="BG1192" s="15"/>
      <c r="BJ1192" s="114"/>
    </row>
    <row r="1193" spans="1:63" x14ac:dyDescent="0.4">
      <c r="BF1193" s="26"/>
      <c r="BG1193" s="15"/>
      <c r="BJ1193" s="114"/>
    </row>
    <row r="1194" spans="1:63" x14ac:dyDescent="0.4">
      <c r="AS1194" s="115"/>
      <c r="AT1194" s="115"/>
      <c r="AU1194" s="115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115"/>
      <c r="BF1194" s="17"/>
      <c r="BG1194" s="15"/>
      <c r="BJ1194" s="114"/>
    </row>
    <row r="1195" spans="1:63" x14ac:dyDescent="0.4">
      <c r="AS1195" s="115"/>
      <c r="AT1195" s="115"/>
      <c r="AU1195" s="115"/>
      <c r="AV1195" s="115"/>
      <c r="AW1195" s="115"/>
      <c r="AX1195" s="115"/>
      <c r="AY1195" s="115"/>
      <c r="AZ1195" s="115"/>
      <c r="BA1195" s="115"/>
      <c r="BB1195" s="115"/>
      <c r="BC1195" s="115"/>
      <c r="BD1195" s="115"/>
      <c r="BE1195" s="115"/>
      <c r="BF1195" s="17"/>
      <c r="BG1195" s="15"/>
      <c r="BJ1195" s="114"/>
    </row>
    <row r="1196" spans="1:63" x14ac:dyDescent="0.4">
      <c r="AQ1196" s="122"/>
      <c r="AR1196" s="115"/>
      <c r="AS1196" s="115"/>
      <c r="AT1196" s="115"/>
      <c r="AU1196" s="115"/>
      <c r="AV1196" s="115"/>
      <c r="AW1196" s="115"/>
      <c r="AX1196" s="115"/>
      <c r="AY1196" s="115"/>
      <c r="AZ1196" s="115"/>
      <c r="BA1196" s="115"/>
      <c r="BB1196" s="115"/>
      <c r="BC1196" s="115"/>
      <c r="BD1196" s="115"/>
      <c r="BE1196" s="115"/>
      <c r="BF1196" s="17"/>
      <c r="BG1196" s="15"/>
      <c r="BJ1196" s="114"/>
    </row>
    <row r="1197" spans="1:63" x14ac:dyDescent="0.4">
      <c r="AL1197" s="115"/>
      <c r="AM1197" s="115"/>
      <c r="AN1197" s="115"/>
      <c r="AO1197" s="122"/>
      <c r="AP1197" s="122"/>
      <c r="AQ1197" s="122"/>
      <c r="AR1197" s="115"/>
      <c r="AS1197" s="115"/>
      <c r="AT1197" s="115"/>
      <c r="AU1197" s="115"/>
      <c r="AV1197" s="115"/>
      <c r="AW1197" s="115"/>
      <c r="AX1197" s="115"/>
      <c r="AY1197" s="115"/>
      <c r="AZ1197" s="115"/>
      <c r="BA1197" s="115"/>
      <c r="BB1197" s="115"/>
      <c r="BC1197" s="115"/>
      <c r="BD1197" s="115"/>
      <c r="BE1197" s="115"/>
      <c r="BF1197" s="26"/>
      <c r="BG1197" s="15"/>
      <c r="BJ1197" s="114"/>
    </row>
    <row r="1198" spans="1:63" x14ac:dyDescent="0.4">
      <c r="AL1198" s="115"/>
      <c r="AM1198" s="115"/>
      <c r="AN1198" s="115"/>
      <c r="AO1198" s="122"/>
      <c r="AP1198" s="122"/>
      <c r="AQ1198" s="122"/>
      <c r="AR1198" s="115"/>
      <c r="AS1198" s="115"/>
      <c r="AT1198" s="115"/>
      <c r="AU1198" s="115"/>
      <c r="AV1198" s="115"/>
      <c r="AW1198" s="115"/>
      <c r="AX1198" s="115"/>
      <c r="AY1198" s="115"/>
      <c r="AZ1198" s="115"/>
      <c r="BA1198" s="115"/>
      <c r="BB1198" s="115"/>
      <c r="BC1198" s="115"/>
      <c r="BD1198" s="115"/>
      <c r="BE1198" s="115"/>
      <c r="BF1198" s="17"/>
      <c r="BG1198" s="15"/>
      <c r="BJ1198" s="114"/>
    </row>
    <row r="1199" spans="1:63" x14ac:dyDescent="0.4">
      <c r="AK1199" s="115"/>
      <c r="AL1199" s="115"/>
      <c r="AM1199" s="115"/>
      <c r="AN1199" s="115"/>
      <c r="AO1199" s="122"/>
      <c r="AP1199" s="122"/>
      <c r="AQ1199" s="122"/>
      <c r="AR1199" s="115"/>
      <c r="AS1199" s="115"/>
      <c r="AT1199" s="115"/>
      <c r="AU1199" s="115"/>
      <c r="AV1199" s="115"/>
      <c r="AW1199" s="115"/>
      <c r="AX1199" s="115"/>
      <c r="AY1199" s="115"/>
      <c r="AZ1199" s="115"/>
      <c r="BA1199" s="115"/>
      <c r="BB1199" s="115"/>
      <c r="BC1199" s="115"/>
      <c r="BD1199" s="115"/>
      <c r="BE1199" s="115"/>
      <c r="BF1199" s="26"/>
      <c r="BG1199" s="15"/>
      <c r="BJ1199" s="114"/>
    </row>
    <row r="1200" spans="1:63" x14ac:dyDescent="0.4">
      <c r="AK1200" s="115"/>
      <c r="AL1200" s="115"/>
      <c r="AM1200" s="115"/>
      <c r="AN1200" s="115"/>
      <c r="AO1200" s="122"/>
      <c r="AP1200" s="122"/>
      <c r="AQ1200" s="122"/>
      <c r="AR1200" s="115"/>
      <c r="AS1200" s="115"/>
      <c r="AT1200" s="115"/>
      <c r="AU1200" s="115"/>
      <c r="AV1200" s="115"/>
      <c r="AW1200" s="115"/>
      <c r="AX1200" s="115"/>
      <c r="AY1200" s="115"/>
      <c r="AZ1200" s="115"/>
      <c r="BA1200" s="115"/>
      <c r="BB1200" s="115"/>
      <c r="BC1200" s="115"/>
      <c r="BD1200" s="115"/>
      <c r="BE1200" s="115"/>
      <c r="BF1200" s="17"/>
      <c r="BG1200" s="15"/>
      <c r="BJ1200" s="114"/>
    </row>
    <row r="1201" spans="4:66" x14ac:dyDescent="0.4">
      <c r="AK1201" s="115"/>
      <c r="AL1201" s="115"/>
      <c r="AM1201" s="115"/>
      <c r="AN1201" s="115"/>
      <c r="AO1201" s="122"/>
      <c r="AP1201" s="122"/>
      <c r="AQ1201" s="122"/>
      <c r="AR1201" s="115"/>
      <c r="AS1201" s="115"/>
      <c r="AT1201" s="115"/>
      <c r="AU1201" s="115"/>
      <c r="AV1201" s="115"/>
      <c r="AW1201" s="115"/>
      <c r="AX1201" s="115"/>
      <c r="AY1201" s="115"/>
      <c r="AZ1201" s="115"/>
      <c r="BA1201" s="115"/>
      <c r="BB1201" s="115"/>
      <c r="BC1201" s="115"/>
      <c r="BD1201" s="115"/>
      <c r="BE1201" s="115"/>
      <c r="BF1201" s="17"/>
      <c r="BG1201" s="15"/>
      <c r="BJ1201" s="114"/>
    </row>
    <row r="1202" spans="4:66" x14ac:dyDescent="0.4">
      <c r="AK1202" s="115"/>
      <c r="AL1202" s="115"/>
      <c r="AM1202" s="115"/>
      <c r="AN1202" s="115"/>
      <c r="AO1202" s="122"/>
      <c r="AP1202" s="122"/>
      <c r="AQ1202" s="122"/>
      <c r="AR1202" s="115"/>
      <c r="AS1202" s="115"/>
      <c r="AT1202" s="115"/>
      <c r="AU1202" s="115"/>
      <c r="AV1202" s="115"/>
      <c r="AW1202" s="115"/>
      <c r="AX1202" s="115"/>
      <c r="AY1202" s="115"/>
      <c r="AZ1202" s="115"/>
      <c r="BA1202" s="115"/>
      <c r="BB1202" s="115"/>
      <c r="BC1202" s="115"/>
      <c r="BD1202" s="115"/>
      <c r="BE1202" s="115"/>
      <c r="BF1202" s="17"/>
      <c r="BG1202" s="15"/>
      <c r="BJ1202" s="114"/>
    </row>
    <row r="1203" spans="4:66" x14ac:dyDescent="0.4">
      <c r="AK1203" s="115"/>
      <c r="AL1203" s="115"/>
      <c r="AM1203" s="115"/>
      <c r="AN1203" s="115"/>
      <c r="AO1203" s="122"/>
      <c r="AP1203" s="122"/>
      <c r="AQ1203" s="122"/>
      <c r="AR1203" s="115"/>
      <c r="AS1203" s="115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115"/>
      <c r="BF1203" s="26"/>
      <c r="BG1203" s="15"/>
      <c r="BJ1203" s="114"/>
    </row>
    <row r="1204" spans="4:66" x14ac:dyDescent="0.4">
      <c r="AK1204" s="115"/>
      <c r="AL1204" s="115"/>
      <c r="AM1204" s="115"/>
      <c r="AN1204" s="115"/>
      <c r="AO1204" s="122"/>
      <c r="AP1204" s="122"/>
      <c r="AQ1204" s="122"/>
      <c r="AR1204" s="115"/>
      <c r="AS1204" s="115"/>
      <c r="AT1204" s="115"/>
      <c r="AU1204" s="115"/>
      <c r="AV1204" s="115"/>
      <c r="AW1204" s="115"/>
      <c r="AX1204" s="115"/>
      <c r="AY1204" s="115"/>
      <c r="AZ1204" s="115"/>
      <c r="BA1204" s="115"/>
      <c r="BB1204" s="115"/>
      <c r="BC1204" s="115"/>
      <c r="BD1204" s="115"/>
      <c r="BE1204" s="115"/>
      <c r="BF1204" s="17"/>
      <c r="BG1204" s="15"/>
      <c r="BJ1204" s="114"/>
    </row>
    <row r="1205" spans="4:66" ht="19.5" x14ac:dyDescent="0.4">
      <c r="BF1205" s="26"/>
      <c r="BG1205" s="15"/>
      <c r="BK1205" s="116"/>
      <c r="BL1205" s="116"/>
      <c r="BM1205" s="116"/>
      <c r="BN1205" s="116"/>
    </row>
    <row r="1206" spans="4:66" ht="19.5" x14ac:dyDescent="0.4">
      <c r="AP1206" s="122"/>
      <c r="AQ1206" s="122"/>
      <c r="AR1206" s="115"/>
      <c r="AS1206" s="115"/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115"/>
      <c r="BD1206" s="115"/>
      <c r="BE1206" s="115"/>
      <c r="BF1206" s="17"/>
      <c r="BG1206" s="15"/>
      <c r="BK1206" s="117"/>
      <c r="BL1206" s="116"/>
      <c r="BM1206" s="116"/>
      <c r="BN1206" s="116"/>
    </row>
    <row r="1207" spans="4:66" ht="19.5" x14ac:dyDescent="0.4">
      <c r="AH1207" s="115"/>
      <c r="AI1207" s="115"/>
      <c r="AJ1207" s="115"/>
      <c r="AK1207" s="115"/>
      <c r="AL1207" s="115"/>
      <c r="AM1207" s="115"/>
      <c r="AN1207" s="115"/>
      <c r="AO1207" s="122"/>
      <c r="AP1207" s="122"/>
      <c r="AQ1207" s="122"/>
      <c r="AR1207" s="115"/>
      <c r="AS1207" s="115"/>
      <c r="AT1207" s="115"/>
      <c r="AU1207" s="115"/>
      <c r="AV1207" s="115"/>
      <c r="AW1207" s="115"/>
      <c r="AX1207" s="115"/>
      <c r="AY1207" s="115"/>
      <c r="AZ1207" s="115"/>
      <c r="BA1207" s="115"/>
      <c r="BB1207" s="115"/>
      <c r="BC1207" s="115"/>
      <c r="BD1207" s="115"/>
      <c r="BE1207" s="115"/>
      <c r="BF1207" s="26"/>
      <c r="BG1207" s="15"/>
      <c r="BK1207" s="117"/>
      <c r="BL1207" s="116"/>
      <c r="BM1207" s="116"/>
      <c r="BN1207" s="116"/>
    </row>
    <row r="1208" spans="4:66" ht="19.5" x14ac:dyDescent="0.4"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22"/>
      <c r="AP1208" s="122"/>
      <c r="AQ1208" s="122"/>
      <c r="AR1208" s="115"/>
      <c r="AS1208" s="115"/>
      <c r="AT1208" s="115"/>
      <c r="AU1208" s="115"/>
      <c r="AV1208" s="115"/>
      <c r="AW1208" s="115"/>
      <c r="AX1208" s="115"/>
      <c r="AY1208" s="115"/>
      <c r="AZ1208" s="115"/>
      <c r="BA1208" s="115"/>
      <c r="BB1208" s="115"/>
      <c r="BC1208" s="115"/>
      <c r="BD1208" s="115"/>
      <c r="BE1208" s="115"/>
      <c r="BF1208" s="26"/>
      <c r="BG1208" s="13"/>
      <c r="BK1208" s="117"/>
      <c r="BL1208" s="116"/>
      <c r="BM1208" s="116"/>
      <c r="BN1208" s="116"/>
    </row>
    <row r="1209" spans="4:66" ht="19.5" x14ac:dyDescent="0.4"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15"/>
      <c r="AO1209" s="122"/>
      <c r="AP1209" s="122"/>
      <c r="AQ1209" s="122"/>
      <c r="AR1209" s="115"/>
      <c r="AS1209" s="115"/>
      <c r="AT1209" s="115"/>
      <c r="AU1209" s="115"/>
      <c r="AV1209" s="115"/>
      <c r="AW1209" s="115"/>
      <c r="AX1209" s="115"/>
      <c r="AY1209" s="115"/>
      <c r="AZ1209" s="115"/>
      <c r="BA1209" s="115"/>
      <c r="BB1209" s="115"/>
      <c r="BC1209" s="115"/>
      <c r="BD1209" s="115"/>
      <c r="BE1209" s="115"/>
      <c r="BF1209" s="26"/>
      <c r="BG1209" s="15"/>
      <c r="BK1209" s="117"/>
      <c r="BL1209" s="116"/>
      <c r="BM1209" s="116"/>
      <c r="BN1209" s="116"/>
    </row>
    <row r="1210" spans="4:66" ht="19.5" x14ac:dyDescent="0.4"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/>
      <c r="AO1210" s="122"/>
      <c r="AP1210" s="122"/>
      <c r="AQ1210" s="122"/>
      <c r="AR1210" s="115"/>
      <c r="AS1210" s="115"/>
      <c r="AT1210" s="115"/>
      <c r="AU1210" s="115"/>
      <c r="AV1210" s="115"/>
      <c r="AW1210" s="115"/>
      <c r="AX1210" s="115"/>
      <c r="AY1210" s="115"/>
      <c r="AZ1210" s="115"/>
      <c r="BA1210" s="115"/>
      <c r="BB1210" s="115"/>
      <c r="BC1210" s="115"/>
      <c r="BD1210" s="115"/>
      <c r="BE1210" s="115"/>
      <c r="BF1210" s="17"/>
      <c r="BG1210" s="15"/>
      <c r="BK1210" s="117"/>
      <c r="BL1210" s="116"/>
      <c r="BM1210" s="116"/>
      <c r="BN1210" s="116"/>
    </row>
    <row r="1211" spans="4:66" ht="19.5" x14ac:dyDescent="0.4"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15"/>
      <c r="AM1211" s="115"/>
      <c r="AN1211" s="115"/>
      <c r="AO1211" s="122"/>
      <c r="AP1211" s="122"/>
      <c r="AQ1211" s="122"/>
      <c r="AR1211" s="115"/>
      <c r="AS1211" s="115"/>
      <c r="AT1211" s="115"/>
      <c r="AU1211" s="115"/>
      <c r="AV1211" s="115"/>
      <c r="AW1211" s="115"/>
      <c r="AX1211" s="115"/>
      <c r="AY1211" s="115"/>
      <c r="AZ1211" s="115"/>
      <c r="BA1211" s="115"/>
      <c r="BB1211" s="115"/>
      <c r="BC1211" s="115"/>
      <c r="BD1211" s="115"/>
      <c r="BE1211" s="115"/>
      <c r="BF1211" s="26"/>
      <c r="BG1211" s="15"/>
      <c r="BK1211" s="117"/>
      <c r="BL1211" s="116"/>
      <c r="BM1211" s="116"/>
      <c r="BN1211" s="116"/>
    </row>
    <row r="1212" spans="4:66" ht="19.5" x14ac:dyDescent="0.4"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/>
      <c r="AO1212" s="122"/>
      <c r="AP1212" s="122"/>
      <c r="AQ1212" s="122"/>
      <c r="AR1212" s="115"/>
      <c r="AS1212" s="115"/>
      <c r="AT1212" s="115"/>
      <c r="AU1212" s="115"/>
      <c r="AV1212" s="115"/>
      <c r="AW1212" s="115"/>
      <c r="AX1212" s="115"/>
      <c r="AY1212" s="115"/>
      <c r="AZ1212" s="115"/>
      <c r="BA1212" s="115"/>
      <c r="BB1212" s="115"/>
      <c r="BC1212" s="115"/>
      <c r="BD1212" s="115"/>
      <c r="BE1212" s="115"/>
      <c r="BF1212" s="26"/>
      <c r="BG1212" s="15"/>
      <c r="BK1212" s="117"/>
      <c r="BL1212" s="116"/>
      <c r="BM1212" s="116"/>
      <c r="BN1212" s="116"/>
    </row>
    <row r="1213" spans="4:66" ht="19.5" x14ac:dyDescent="0.4"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22"/>
      <c r="AP1213" s="122"/>
      <c r="AQ1213" s="122"/>
      <c r="AR1213" s="115"/>
      <c r="AS1213" s="115"/>
      <c r="AT1213" s="115"/>
      <c r="AU1213" s="115"/>
      <c r="AV1213" s="115"/>
      <c r="AW1213" s="115"/>
      <c r="AX1213" s="115"/>
      <c r="AY1213" s="115"/>
      <c r="AZ1213" s="115"/>
      <c r="BA1213" s="115"/>
      <c r="BB1213" s="115"/>
      <c r="BC1213" s="115"/>
      <c r="BD1213" s="115"/>
      <c r="BE1213" s="115"/>
      <c r="BF1213" s="17"/>
      <c r="BG1213" s="15"/>
      <c r="BK1213" s="117"/>
      <c r="BL1213" s="116"/>
      <c r="BM1213" s="116"/>
      <c r="BN1213" s="116"/>
    </row>
    <row r="1214" spans="4:66" ht="19.5" x14ac:dyDescent="0.4"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22"/>
      <c r="AP1214" s="122"/>
      <c r="AQ1214" s="122"/>
      <c r="AR1214" s="115"/>
      <c r="AS1214" s="115"/>
      <c r="AT1214" s="115"/>
      <c r="AU1214" s="115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115"/>
      <c r="BF1214" s="26"/>
      <c r="BG1214" s="15"/>
      <c r="BK1214" s="117"/>
      <c r="BL1214" s="116"/>
      <c r="BM1214" s="116"/>
      <c r="BN1214" s="116"/>
    </row>
    <row r="1215" spans="4:66" ht="19.5" x14ac:dyDescent="0.4">
      <c r="BF1215" s="26"/>
      <c r="BG1215" s="15"/>
      <c r="BK1215" s="117"/>
      <c r="BL1215" s="116"/>
      <c r="BM1215" s="116"/>
      <c r="BN1215" s="116"/>
    </row>
    <row r="1216" spans="4:66" ht="19.5" x14ac:dyDescent="0.4">
      <c r="AP1216" s="122"/>
      <c r="AQ1216" s="122"/>
      <c r="AR1216" s="115"/>
      <c r="AS1216" s="115"/>
      <c r="AT1216" s="115"/>
      <c r="AU1216" s="115"/>
      <c r="AV1216" s="115"/>
      <c r="AW1216" s="115"/>
      <c r="AX1216" s="115"/>
      <c r="AY1216" s="115"/>
      <c r="AZ1216" s="115"/>
      <c r="BA1216" s="115"/>
      <c r="BB1216" s="115"/>
      <c r="BC1216" s="115"/>
      <c r="BD1216" s="115"/>
      <c r="BE1216" s="115"/>
      <c r="BF1216" s="17"/>
      <c r="BG1216" s="15"/>
      <c r="BK1216" s="117"/>
      <c r="BL1216" s="116"/>
      <c r="BM1216" s="116"/>
      <c r="BN1216" s="116"/>
    </row>
    <row r="1217" spans="1:66" ht="19.5" x14ac:dyDescent="0.4">
      <c r="AM1217" s="115"/>
      <c r="AN1217" s="115"/>
      <c r="AO1217" s="122"/>
      <c r="AP1217" s="122"/>
      <c r="AQ1217" s="122"/>
      <c r="AR1217" s="115"/>
      <c r="AS1217" s="115"/>
      <c r="AT1217" s="115"/>
      <c r="AU1217" s="115"/>
      <c r="AV1217" s="115"/>
      <c r="AW1217" s="115"/>
      <c r="AX1217" s="115"/>
      <c r="AY1217" s="115"/>
      <c r="AZ1217" s="115"/>
      <c r="BA1217" s="115"/>
      <c r="BB1217" s="115"/>
      <c r="BC1217" s="115"/>
      <c r="BD1217" s="115"/>
      <c r="BE1217" s="115"/>
      <c r="BF1217" s="26"/>
      <c r="BG1217" s="15"/>
      <c r="BK1217" s="117"/>
      <c r="BL1217" s="116"/>
      <c r="BM1217" s="116"/>
      <c r="BN1217" s="116"/>
    </row>
    <row r="1218" spans="1:66" ht="19.5" x14ac:dyDescent="0.4">
      <c r="AM1218" s="115"/>
      <c r="AN1218" s="115"/>
      <c r="AO1218" s="122"/>
      <c r="AP1218" s="122"/>
      <c r="AQ1218" s="122"/>
      <c r="AR1218" s="115"/>
      <c r="AS1218" s="115"/>
      <c r="AT1218" s="115"/>
      <c r="AU1218" s="115"/>
      <c r="AV1218" s="115"/>
      <c r="AW1218" s="115"/>
      <c r="AX1218" s="115"/>
      <c r="AY1218" s="115"/>
      <c r="AZ1218" s="115"/>
      <c r="BA1218" s="115"/>
      <c r="BB1218" s="115"/>
      <c r="BC1218" s="115"/>
      <c r="BD1218" s="115"/>
      <c r="BE1218" s="115"/>
      <c r="BF1218" s="17"/>
      <c r="BG1218" s="15"/>
      <c r="BK1218" s="117"/>
      <c r="BL1218" s="116"/>
      <c r="BM1218" s="116"/>
      <c r="BN1218" s="116"/>
    </row>
    <row r="1219" spans="1:66" ht="19.5" x14ac:dyDescent="0.4">
      <c r="AL1219" s="115"/>
      <c r="AM1219" s="115"/>
      <c r="AN1219" s="115"/>
      <c r="AO1219" s="122"/>
      <c r="AP1219" s="122"/>
      <c r="AQ1219" s="122"/>
      <c r="AR1219" s="115"/>
      <c r="AS1219" s="115"/>
      <c r="AT1219" s="115"/>
      <c r="AU1219" s="115"/>
      <c r="AV1219" s="115"/>
      <c r="AW1219" s="115"/>
      <c r="AX1219" s="115"/>
      <c r="AY1219" s="115"/>
      <c r="AZ1219" s="115"/>
      <c r="BA1219" s="115"/>
      <c r="BB1219" s="115"/>
      <c r="BC1219" s="115"/>
      <c r="BD1219" s="115"/>
      <c r="BE1219" s="115"/>
      <c r="BF1219" s="26"/>
      <c r="BG1219" s="15"/>
      <c r="BK1219" s="117"/>
      <c r="BL1219" s="116"/>
      <c r="BM1219" s="116"/>
      <c r="BN1219" s="116"/>
    </row>
    <row r="1220" spans="1:66" ht="19.5" x14ac:dyDescent="0.4">
      <c r="A1220" s="115"/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15"/>
      <c r="AO1220" s="122"/>
      <c r="AP1220" s="122"/>
      <c r="AQ1220" s="122"/>
      <c r="AR1220" s="115"/>
      <c r="AS1220" s="115"/>
      <c r="AT1220" s="115"/>
      <c r="AU1220" s="115"/>
      <c r="AV1220" s="115"/>
      <c r="AW1220" s="115"/>
      <c r="AX1220" s="115"/>
      <c r="AY1220" s="115"/>
      <c r="AZ1220" s="115"/>
      <c r="BA1220" s="115"/>
      <c r="BB1220" s="115"/>
      <c r="BC1220" s="115"/>
      <c r="BD1220" s="115"/>
      <c r="BE1220" s="115"/>
      <c r="BF1220" s="26"/>
      <c r="BG1220" s="15"/>
      <c r="BK1220" s="117"/>
      <c r="BL1220" s="116"/>
      <c r="BM1220" s="116"/>
      <c r="BN1220" s="116"/>
    </row>
    <row r="1221" spans="1:66" ht="19.5" x14ac:dyDescent="0.4">
      <c r="A1221" s="115"/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22"/>
      <c r="AP1221" s="122"/>
      <c r="AQ1221" s="122"/>
      <c r="AR1221" s="115"/>
      <c r="AS1221" s="115"/>
      <c r="AT1221" s="115"/>
      <c r="AU1221" s="115"/>
      <c r="AV1221" s="115"/>
      <c r="AW1221" s="115"/>
      <c r="AX1221" s="115"/>
      <c r="AY1221" s="115"/>
      <c r="AZ1221" s="115"/>
      <c r="BA1221" s="115"/>
      <c r="BB1221" s="115"/>
      <c r="BC1221" s="115"/>
      <c r="BD1221" s="115"/>
      <c r="BE1221" s="115"/>
      <c r="BF1221" s="26"/>
      <c r="BG1221" s="15"/>
      <c r="BK1221" s="117"/>
      <c r="BL1221" s="116"/>
      <c r="BM1221" s="116"/>
      <c r="BN1221" s="116"/>
    </row>
    <row r="1222" spans="1:66" ht="19.5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22"/>
      <c r="AP1222" s="122"/>
      <c r="AQ1222" s="122"/>
      <c r="AR1222" s="115"/>
      <c r="AS1222" s="115"/>
      <c r="AT1222" s="115"/>
      <c r="AU1222" s="115"/>
      <c r="AV1222" s="115"/>
      <c r="AW1222" s="115"/>
      <c r="AX1222" s="115"/>
      <c r="AY1222" s="115"/>
      <c r="AZ1222" s="115"/>
      <c r="BA1222" s="115"/>
      <c r="BB1222" s="115"/>
      <c r="BC1222" s="115"/>
      <c r="BD1222" s="115"/>
      <c r="BE1222" s="115"/>
      <c r="BF1222" s="26"/>
      <c r="BG1222" s="15"/>
      <c r="BK1222" s="117"/>
      <c r="BL1222" s="116"/>
      <c r="BM1222" s="116"/>
      <c r="BN1222" s="116"/>
    </row>
    <row r="1223" spans="1:66" ht="19.5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22"/>
      <c r="AP1223" s="122"/>
      <c r="AQ1223" s="122"/>
      <c r="AR1223" s="115"/>
      <c r="AS1223" s="115"/>
      <c r="AT1223" s="115"/>
      <c r="AU1223" s="115"/>
      <c r="AV1223" s="115"/>
      <c r="AW1223" s="115"/>
      <c r="AX1223" s="115"/>
      <c r="AY1223" s="115"/>
      <c r="AZ1223" s="115"/>
      <c r="BA1223" s="115"/>
      <c r="BB1223" s="115"/>
      <c r="BC1223" s="115"/>
      <c r="BD1223" s="115"/>
      <c r="BE1223" s="115"/>
      <c r="BF1223" s="26"/>
      <c r="BG1223" s="105"/>
      <c r="BK1223" s="117"/>
      <c r="BL1223" s="116"/>
      <c r="BM1223" s="116"/>
      <c r="BN1223" s="116"/>
    </row>
    <row r="1224" spans="1:66" ht="19.5" x14ac:dyDescent="0.4">
      <c r="A1224" s="115"/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22"/>
      <c r="AP1224" s="122"/>
      <c r="AQ1224" s="122"/>
      <c r="AR1224" s="115"/>
      <c r="AS1224" s="115"/>
      <c r="AT1224" s="115"/>
      <c r="AU1224" s="115"/>
      <c r="AV1224" s="115"/>
      <c r="AW1224" s="115"/>
      <c r="AX1224" s="115"/>
      <c r="AY1224" s="115"/>
      <c r="AZ1224" s="115"/>
      <c r="BA1224" s="115"/>
      <c r="BB1224" s="115"/>
      <c r="BC1224" s="115"/>
      <c r="BD1224" s="115"/>
      <c r="BE1224" s="115"/>
      <c r="BF1224" s="26"/>
      <c r="BG1224" s="105"/>
      <c r="BK1224" s="117"/>
      <c r="BL1224" s="116"/>
      <c r="BM1224" s="116"/>
      <c r="BN1224" s="116"/>
    </row>
    <row r="1225" spans="1:66" ht="19.5" x14ac:dyDescent="0.4">
      <c r="BF1225" s="26"/>
      <c r="BG1225" s="13"/>
      <c r="BK1225" s="117"/>
      <c r="BL1225" s="116"/>
      <c r="BM1225" s="116"/>
      <c r="BN1225" s="116"/>
    </row>
    <row r="1226" spans="1:66" ht="19.5" x14ac:dyDescent="0.4">
      <c r="AM1226" s="115"/>
      <c r="AN1226" s="115"/>
      <c r="AO1226" s="122"/>
      <c r="AP1226" s="122"/>
      <c r="AQ1226" s="122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115"/>
      <c r="BF1226" s="26"/>
      <c r="BG1226" s="13"/>
      <c r="BK1226" s="117"/>
      <c r="BL1226" s="116"/>
      <c r="BM1226" s="116"/>
      <c r="BN1226" s="116"/>
    </row>
    <row r="1227" spans="1:66" ht="19.5" x14ac:dyDescent="0.4">
      <c r="AH1227" s="115"/>
      <c r="AI1227" s="115"/>
      <c r="AJ1227" s="115"/>
      <c r="AK1227" s="115"/>
      <c r="AL1227" s="115"/>
      <c r="AM1227" s="115"/>
      <c r="AN1227" s="115"/>
      <c r="AO1227" s="122"/>
      <c r="AP1227" s="122"/>
      <c r="AQ1227" s="122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115"/>
      <c r="BF1227" s="26"/>
      <c r="BG1227" s="13"/>
      <c r="BK1227" s="117"/>
      <c r="BL1227" s="116"/>
      <c r="BM1227" s="116"/>
      <c r="BN1227" s="116"/>
    </row>
    <row r="1228" spans="1:66" ht="19.5" x14ac:dyDescent="0.4">
      <c r="BF1228" s="26"/>
      <c r="BG1228" s="13"/>
      <c r="BK1228" s="117"/>
      <c r="BL1228" s="116"/>
      <c r="BM1228" s="116"/>
      <c r="BN1228" s="116"/>
    </row>
    <row r="1229" spans="1:66" ht="19.5" x14ac:dyDescent="0.4"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22"/>
      <c r="AP1229" s="122"/>
      <c r="AQ1229" s="122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115"/>
      <c r="BF1229" s="26"/>
      <c r="BG1229" s="13"/>
      <c r="BK1229" s="117"/>
      <c r="BL1229" s="116"/>
      <c r="BM1229" s="116"/>
      <c r="BN1229" s="116"/>
    </row>
    <row r="1230" spans="1:66" ht="19.5" x14ac:dyDescent="0.4"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22"/>
      <c r="AP1230" s="122"/>
      <c r="AQ1230" s="122"/>
      <c r="AR1230" s="115"/>
      <c r="AS1230" s="115"/>
      <c r="AT1230" s="115"/>
      <c r="AU1230" s="115"/>
      <c r="AV1230" s="115"/>
      <c r="AW1230" s="115"/>
      <c r="AX1230" s="115"/>
      <c r="AY1230" s="115"/>
      <c r="AZ1230" s="115"/>
      <c r="BA1230" s="115"/>
      <c r="BB1230" s="115"/>
      <c r="BC1230" s="115"/>
      <c r="BD1230" s="115"/>
      <c r="BE1230" s="115"/>
      <c r="BF1230" s="26"/>
      <c r="BG1230" s="13"/>
      <c r="BK1230" s="117"/>
      <c r="BL1230" s="116"/>
      <c r="BM1230" s="116"/>
      <c r="BN1230" s="116"/>
    </row>
    <row r="1231" spans="1:66" ht="19.5" x14ac:dyDescent="0.4"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22"/>
      <c r="AP1231" s="122"/>
      <c r="AQ1231" s="122"/>
      <c r="AR1231" s="115"/>
      <c r="AS1231" s="115"/>
      <c r="AT1231" s="115"/>
      <c r="AU1231" s="115"/>
      <c r="AV1231" s="115"/>
      <c r="AW1231" s="115"/>
      <c r="AX1231" s="115"/>
      <c r="AY1231" s="115"/>
      <c r="AZ1231" s="115"/>
      <c r="BA1231" s="115"/>
      <c r="BB1231" s="115"/>
      <c r="BC1231" s="115"/>
      <c r="BD1231" s="115"/>
      <c r="BE1231" s="115"/>
      <c r="BF1231" s="26"/>
      <c r="BG1231" s="13"/>
      <c r="BK1231" s="117"/>
      <c r="BL1231" s="116"/>
      <c r="BM1231" s="116"/>
      <c r="BN1231" s="116"/>
    </row>
    <row r="1232" spans="1:66" ht="19.5" x14ac:dyDescent="0.4"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15"/>
      <c r="AN1232" s="115"/>
      <c r="AO1232" s="122"/>
      <c r="AP1232" s="122"/>
      <c r="AQ1232" s="122"/>
      <c r="AR1232" s="115"/>
      <c r="AS1232" s="115"/>
      <c r="AT1232" s="115"/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115"/>
      <c r="BF1232" s="26"/>
      <c r="BG1232" s="13"/>
      <c r="BK1232" s="117"/>
      <c r="BL1232" s="116"/>
      <c r="BM1232" s="116"/>
      <c r="BN1232" s="116"/>
    </row>
    <row r="1233" spans="1:66" ht="19.5" x14ac:dyDescent="0.4"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22"/>
      <c r="AP1233" s="122"/>
      <c r="AQ1233" s="122"/>
      <c r="AR1233" s="115"/>
      <c r="AS1233" s="115"/>
      <c r="AT1233" s="115"/>
      <c r="AU1233" s="115"/>
      <c r="AV1233" s="115"/>
      <c r="AW1233" s="115"/>
      <c r="AX1233" s="115"/>
      <c r="AY1233" s="115"/>
      <c r="AZ1233" s="115"/>
      <c r="BA1233" s="115"/>
      <c r="BB1233" s="115"/>
      <c r="BC1233" s="115"/>
      <c r="BD1233" s="115"/>
      <c r="BE1233" s="115"/>
      <c r="BF1233" s="26"/>
      <c r="BG1233" s="13"/>
      <c r="BK1233" s="117"/>
      <c r="BL1233" s="116"/>
      <c r="BM1233" s="116"/>
      <c r="BN1233" s="116"/>
    </row>
    <row r="1234" spans="1:66" ht="19.5" x14ac:dyDescent="0.4"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22"/>
      <c r="AP1234" s="122"/>
      <c r="AQ1234" s="122"/>
      <c r="AR1234" s="115"/>
      <c r="AS1234" s="115"/>
      <c r="AT1234" s="115"/>
      <c r="AU1234" s="115"/>
      <c r="AV1234" s="115"/>
      <c r="AW1234" s="115"/>
      <c r="AX1234" s="115"/>
      <c r="AY1234" s="115"/>
      <c r="AZ1234" s="115"/>
      <c r="BA1234" s="115"/>
      <c r="BB1234" s="115"/>
      <c r="BC1234" s="115"/>
      <c r="BD1234" s="115"/>
      <c r="BE1234" s="115"/>
      <c r="BF1234" s="26"/>
      <c r="BG1234" s="13"/>
      <c r="BK1234" s="117"/>
      <c r="BL1234" s="116"/>
      <c r="BM1234" s="116"/>
      <c r="BN1234" s="116"/>
    </row>
    <row r="1235" spans="1:66" ht="19.5" x14ac:dyDescent="0.4"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22"/>
      <c r="AP1235" s="122"/>
      <c r="AQ1235" s="122"/>
      <c r="AR1235" s="115"/>
      <c r="AS1235" s="115"/>
      <c r="AT1235" s="115"/>
      <c r="AU1235" s="115"/>
      <c r="AV1235" s="115"/>
      <c r="AW1235" s="115"/>
      <c r="AX1235" s="115"/>
      <c r="AY1235" s="115"/>
      <c r="AZ1235" s="115"/>
      <c r="BA1235" s="115"/>
      <c r="BB1235" s="115"/>
      <c r="BC1235" s="115"/>
      <c r="BD1235" s="115"/>
      <c r="BE1235" s="115"/>
      <c r="BF1235" s="26"/>
      <c r="BG1235" s="13"/>
      <c r="BK1235" s="117"/>
      <c r="BL1235" s="116"/>
      <c r="BM1235" s="116"/>
      <c r="BN1235" s="116"/>
    </row>
    <row r="1236" spans="1:66" ht="19.5" x14ac:dyDescent="0.4"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22"/>
      <c r="AP1236" s="122"/>
      <c r="AQ1236" s="122"/>
      <c r="AR1236" s="115"/>
      <c r="AS1236" s="115"/>
      <c r="AT1236" s="115"/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115"/>
      <c r="BF1236" s="26"/>
      <c r="BG1236" s="13"/>
      <c r="BK1236" s="117"/>
      <c r="BL1236" s="116"/>
      <c r="BM1236" s="116"/>
      <c r="BN1236" s="116"/>
    </row>
    <row r="1237" spans="1:66" ht="19.5" x14ac:dyDescent="0.4">
      <c r="BF1237" s="26"/>
      <c r="BG1237" s="15"/>
      <c r="BK1237" s="117"/>
      <c r="BL1237" s="116"/>
      <c r="BM1237" s="116"/>
      <c r="BN1237" s="116"/>
    </row>
    <row r="1238" spans="1:66" ht="19.5" x14ac:dyDescent="0.4"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22"/>
      <c r="AP1238" s="122"/>
      <c r="AQ1238" s="122"/>
      <c r="AR1238" s="115"/>
      <c r="AS1238" s="115"/>
      <c r="AT1238" s="115"/>
      <c r="AU1238" s="115"/>
      <c r="AV1238" s="115"/>
      <c r="AW1238" s="115"/>
      <c r="AX1238" s="115"/>
      <c r="AY1238" s="115"/>
      <c r="AZ1238" s="115"/>
      <c r="BA1238" s="115"/>
      <c r="BB1238" s="115"/>
      <c r="BC1238" s="115"/>
      <c r="BD1238" s="115"/>
      <c r="BE1238" s="115"/>
      <c r="BF1238" s="26"/>
      <c r="BG1238" s="15"/>
      <c r="BK1238" s="117"/>
      <c r="BL1238" s="116"/>
      <c r="BM1238" s="116"/>
      <c r="BN1238" s="116"/>
    </row>
    <row r="1239" spans="1:66" ht="19.5" x14ac:dyDescent="0.4"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22"/>
      <c r="AP1239" s="122"/>
      <c r="AQ1239" s="122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115"/>
      <c r="BF1239" s="17"/>
      <c r="BG1239" s="15"/>
      <c r="BK1239" s="117"/>
      <c r="BL1239" s="116"/>
      <c r="BM1239" s="116"/>
      <c r="BN1239" s="116"/>
    </row>
    <row r="1240" spans="1:66" ht="19.5" x14ac:dyDescent="0.4">
      <c r="BF1240" s="26"/>
      <c r="BG1240" s="15"/>
      <c r="BK1240" s="117"/>
      <c r="BL1240" s="116"/>
      <c r="BM1240" s="116"/>
      <c r="BN1240" s="116"/>
    </row>
    <row r="1241" spans="1:66" ht="19.5" x14ac:dyDescent="0.4">
      <c r="BF1241" s="26"/>
      <c r="BG1241" s="13"/>
      <c r="BK1241" s="117"/>
      <c r="BL1241" s="116"/>
      <c r="BM1241" s="116"/>
      <c r="BN1241" s="116"/>
    </row>
    <row r="1242" spans="1:66" ht="19.5" x14ac:dyDescent="0.4">
      <c r="AL1242" s="115"/>
      <c r="AM1242" s="115"/>
      <c r="AN1242" s="115"/>
      <c r="AO1242" s="122"/>
      <c r="AP1242" s="122"/>
      <c r="AQ1242" s="122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115"/>
      <c r="BF1242" s="26"/>
      <c r="BG1242" s="13"/>
      <c r="BK1242" s="117"/>
      <c r="BL1242" s="116"/>
      <c r="BM1242" s="116"/>
      <c r="BN1242" s="116"/>
    </row>
    <row r="1243" spans="1:66" ht="19.5" x14ac:dyDescent="0.4"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22"/>
      <c r="AP1243" s="122"/>
      <c r="AQ1243" s="122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15"/>
      <c r="BF1243" s="26"/>
      <c r="BG1243" s="13"/>
      <c r="BK1243" s="117"/>
      <c r="BL1243" s="116"/>
      <c r="BM1243" s="116"/>
      <c r="BN1243" s="116"/>
    </row>
    <row r="1244" spans="1:66" ht="19.5" x14ac:dyDescent="0.4"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22"/>
      <c r="AP1244" s="122"/>
      <c r="AQ1244" s="122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115"/>
      <c r="BF1244" s="17"/>
      <c r="BG1244" s="13"/>
      <c r="BK1244" s="117"/>
      <c r="BL1244" s="116"/>
      <c r="BM1244" s="116"/>
      <c r="BN1244" s="116"/>
    </row>
    <row r="1245" spans="1:66" ht="19.5" x14ac:dyDescent="0.4"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15"/>
      <c r="AO1245" s="122"/>
      <c r="AP1245" s="122"/>
      <c r="AQ1245" s="122"/>
      <c r="AR1245" s="115"/>
      <c r="AS1245" s="115"/>
      <c r="AT1245" s="115"/>
      <c r="AU1245" s="115"/>
      <c r="AV1245" s="115"/>
      <c r="AW1245" s="115"/>
      <c r="AX1245" s="115"/>
      <c r="AY1245" s="115"/>
      <c r="AZ1245" s="115"/>
      <c r="BA1245" s="115"/>
      <c r="BB1245" s="115"/>
      <c r="BC1245" s="115"/>
      <c r="BD1245" s="115"/>
      <c r="BE1245" s="115"/>
      <c r="BF1245" s="26"/>
      <c r="BG1245" s="25"/>
      <c r="BK1245" s="117"/>
      <c r="BL1245" s="116"/>
      <c r="BM1245" s="116"/>
      <c r="BN1245" s="116"/>
    </row>
    <row r="1246" spans="1:66" ht="19.5" x14ac:dyDescent="0.4"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22"/>
      <c r="AP1246" s="122"/>
      <c r="AQ1246" s="122"/>
      <c r="AR1246" s="115"/>
      <c r="AS1246" s="115"/>
      <c r="AT1246" s="115"/>
      <c r="AU1246" s="115"/>
      <c r="AV1246" s="115"/>
      <c r="AW1246" s="115"/>
      <c r="AX1246" s="115"/>
      <c r="AY1246" s="115"/>
      <c r="AZ1246" s="115"/>
      <c r="BA1246" s="115"/>
      <c r="BB1246" s="115"/>
      <c r="BC1246" s="115"/>
      <c r="BD1246" s="115"/>
      <c r="BE1246" s="115"/>
      <c r="BF1246" s="17"/>
      <c r="BG1246" s="13"/>
      <c r="BK1246" s="117"/>
      <c r="BL1246" s="116"/>
      <c r="BM1246" s="116"/>
      <c r="BN1246" s="116"/>
    </row>
    <row r="1247" spans="1:66" ht="19.5" x14ac:dyDescent="0.4"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22"/>
      <c r="AP1247" s="122"/>
      <c r="AQ1247" s="122"/>
      <c r="AR1247" s="115"/>
      <c r="AS1247" s="115"/>
      <c r="AT1247" s="115"/>
      <c r="AU1247" s="115"/>
      <c r="AV1247" s="115"/>
      <c r="AW1247" s="115"/>
      <c r="AX1247" s="115"/>
      <c r="AY1247" s="115"/>
      <c r="AZ1247" s="115"/>
      <c r="BA1247" s="115"/>
      <c r="BB1247" s="115"/>
      <c r="BC1247" s="115"/>
      <c r="BD1247" s="115"/>
      <c r="BE1247" s="115"/>
      <c r="BF1247" s="26"/>
      <c r="BG1247" s="13"/>
      <c r="BK1247" s="117"/>
      <c r="BL1247" s="116"/>
      <c r="BM1247" s="116"/>
      <c r="BN1247" s="116"/>
    </row>
    <row r="1248" spans="1:66" ht="19.5" x14ac:dyDescent="0.4">
      <c r="A1248" s="115"/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22"/>
      <c r="AP1248" s="122"/>
      <c r="AQ1248" s="122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115"/>
      <c r="BF1248" s="26"/>
      <c r="BG1248" s="13"/>
      <c r="BK1248" s="117"/>
      <c r="BL1248" s="116"/>
      <c r="BM1248" s="116"/>
      <c r="BN1248" s="116"/>
    </row>
    <row r="1249" spans="1:66" ht="19.5" x14ac:dyDescent="0.4">
      <c r="A1249" s="115"/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22"/>
      <c r="AP1249" s="122"/>
      <c r="AQ1249" s="122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15"/>
      <c r="BF1249" s="26"/>
      <c r="BG1249" s="13"/>
      <c r="BK1249" s="117"/>
      <c r="BL1249" s="116"/>
      <c r="BM1249" s="116"/>
      <c r="BN1249" s="116"/>
    </row>
    <row r="1250" spans="1:66" ht="19.5" x14ac:dyDescent="0.4">
      <c r="A1250" s="115"/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22"/>
      <c r="AP1250" s="122"/>
      <c r="AQ1250" s="122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115"/>
      <c r="BF1250" s="26"/>
      <c r="BG1250" s="13"/>
      <c r="BK1250" s="117"/>
      <c r="BL1250" s="116"/>
      <c r="BM1250" s="116"/>
      <c r="BN1250" s="116"/>
    </row>
    <row r="1251" spans="1:66" ht="19.5" x14ac:dyDescent="0.4">
      <c r="A1251" s="115"/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22"/>
      <c r="AP1251" s="122"/>
      <c r="AQ1251" s="122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15"/>
      <c r="BF1251" s="26"/>
      <c r="BG1251" s="13"/>
      <c r="BK1251" s="117"/>
      <c r="BL1251" s="116"/>
      <c r="BM1251" s="116"/>
      <c r="BN1251" s="116"/>
    </row>
    <row r="1252" spans="1:66" ht="19.5" x14ac:dyDescent="0.4">
      <c r="A1252" s="115"/>
      <c r="B1252" s="115"/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22"/>
      <c r="AP1252" s="122"/>
      <c r="AQ1252" s="122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115"/>
      <c r="BF1252" s="26"/>
      <c r="BG1252" s="13"/>
      <c r="BK1252" s="117"/>
      <c r="BL1252" s="116"/>
      <c r="BM1252" s="116"/>
      <c r="BN1252" s="116"/>
    </row>
    <row r="1253" spans="1:66" ht="19.5" x14ac:dyDescent="0.4">
      <c r="A1253" s="115"/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22"/>
      <c r="AP1253" s="122"/>
      <c r="AQ1253" s="122"/>
      <c r="AR1253" s="115"/>
      <c r="AS1253" s="115"/>
      <c r="AT1253" s="115"/>
      <c r="AU1253" s="115"/>
      <c r="AV1253" s="115"/>
      <c r="AW1253" s="115"/>
      <c r="AX1253" s="115"/>
      <c r="AY1253" s="115"/>
      <c r="AZ1253" s="115"/>
      <c r="BA1253" s="115"/>
      <c r="BB1253" s="115"/>
      <c r="BC1253" s="115"/>
      <c r="BD1253" s="115"/>
      <c r="BE1253" s="115"/>
      <c r="BF1253" s="26"/>
      <c r="BG1253" s="13"/>
      <c r="BK1253" s="117"/>
      <c r="BL1253" s="116"/>
      <c r="BM1253" s="116"/>
      <c r="BN1253" s="116"/>
    </row>
    <row r="1254" spans="1:66" ht="19.5" x14ac:dyDescent="0.4">
      <c r="A1254" s="115"/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22"/>
      <c r="AP1254" s="122"/>
      <c r="AQ1254" s="122"/>
      <c r="AR1254" s="115"/>
      <c r="AS1254" s="115"/>
      <c r="AT1254" s="115"/>
      <c r="AU1254" s="115"/>
      <c r="AV1254" s="115"/>
      <c r="AW1254" s="115"/>
      <c r="AX1254" s="115"/>
      <c r="AY1254" s="115"/>
      <c r="AZ1254" s="115"/>
      <c r="BA1254" s="115"/>
      <c r="BB1254" s="115"/>
      <c r="BC1254" s="115"/>
      <c r="BD1254" s="115"/>
      <c r="BE1254" s="115"/>
      <c r="BF1254" s="26"/>
      <c r="BG1254" s="13"/>
      <c r="BK1254" s="117"/>
      <c r="BL1254" s="116"/>
      <c r="BM1254" s="116"/>
      <c r="BN1254" s="116"/>
    </row>
    <row r="1255" spans="1:66" ht="19.5" x14ac:dyDescent="0.4">
      <c r="A1255" s="115"/>
      <c r="B1255" s="115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15"/>
      <c r="AN1255" s="115"/>
      <c r="AO1255" s="122"/>
      <c r="AP1255" s="122"/>
      <c r="AQ1255" s="122"/>
      <c r="AR1255" s="115"/>
      <c r="AS1255" s="115"/>
      <c r="AT1255" s="115"/>
      <c r="AU1255" s="115"/>
      <c r="AV1255" s="115"/>
      <c r="AW1255" s="115"/>
      <c r="AX1255" s="115"/>
      <c r="AY1255" s="115"/>
      <c r="AZ1255" s="115"/>
      <c r="BA1255" s="115"/>
      <c r="BB1255" s="115"/>
      <c r="BC1255" s="115"/>
      <c r="BD1255" s="115"/>
      <c r="BE1255" s="115"/>
      <c r="BF1255" s="26"/>
      <c r="BG1255" s="15"/>
      <c r="BK1255" s="117"/>
      <c r="BL1255" s="116"/>
      <c r="BM1255" s="116"/>
      <c r="BN1255" s="116"/>
    </row>
    <row r="1256" spans="1:66" ht="19.5" x14ac:dyDescent="0.4">
      <c r="A1256" s="115"/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22"/>
      <c r="AP1256" s="122"/>
      <c r="AQ1256" s="122"/>
      <c r="AR1256" s="115"/>
      <c r="AS1256" s="115"/>
      <c r="AT1256" s="115"/>
      <c r="AU1256" s="115"/>
      <c r="AV1256" s="115"/>
      <c r="AW1256" s="115"/>
      <c r="AX1256" s="115"/>
      <c r="AY1256" s="115"/>
      <c r="AZ1256" s="115"/>
      <c r="BA1256" s="115"/>
      <c r="BB1256" s="115"/>
      <c r="BC1256" s="115"/>
      <c r="BD1256" s="115"/>
      <c r="BE1256" s="115"/>
      <c r="BF1256" s="26"/>
      <c r="BG1256" s="15"/>
      <c r="BK1256" s="117"/>
      <c r="BL1256" s="116"/>
      <c r="BM1256" s="116"/>
      <c r="BN1256" s="116"/>
    </row>
    <row r="1257" spans="1:66" ht="19.5" x14ac:dyDescent="0.4">
      <c r="A1257" s="115"/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22"/>
      <c r="AP1257" s="122"/>
      <c r="AQ1257" s="122"/>
      <c r="AR1257" s="115"/>
      <c r="AS1257" s="115"/>
      <c r="AT1257" s="115"/>
      <c r="AU1257" s="115"/>
      <c r="AV1257" s="115"/>
      <c r="AW1257" s="115"/>
      <c r="AX1257" s="115"/>
      <c r="AY1257" s="115"/>
      <c r="AZ1257" s="115"/>
      <c r="BA1257" s="115"/>
      <c r="BB1257" s="115"/>
      <c r="BC1257" s="115"/>
      <c r="BD1257" s="115"/>
      <c r="BE1257" s="115"/>
      <c r="BF1257" s="26"/>
      <c r="BG1257" s="15"/>
      <c r="BK1257" s="117"/>
      <c r="BL1257" s="116"/>
      <c r="BM1257" s="116"/>
      <c r="BN1257" s="116"/>
    </row>
    <row r="1258" spans="1:66" ht="19.5" x14ac:dyDescent="0.4">
      <c r="A1258" s="115"/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22"/>
      <c r="AP1258" s="122"/>
      <c r="AQ1258" s="122"/>
      <c r="AR1258" s="115"/>
      <c r="AS1258" s="115"/>
      <c r="AT1258" s="115"/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115"/>
      <c r="BF1258" s="26"/>
      <c r="BG1258" s="15"/>
      <c r="BK1258" s="117"/>
      <c r="BL1258" s="116"/>
      <c r="BM1258" s="116"/>
      <c r="BN1258" s="116"/>
    </row>
    <row r="1259" spans="1:66" ht="19.5" x14ac:dyDescent="0.4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22"/>
      <c r="AP1259" s="122"/>
      <c r="AQ1259" s="122"/>
      <c r="AR1259" s="115"/>
      <c r="AS1259" s="115"/>
      <c r="AT1259" s="115"/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115"/>
      <c r="BF1259" s="26"/>
      <c r="BG1259" s="25"/>
      <c r="BK1259" s="117"/>
      <c r="BL1259" s="116"/>
      <c r="BM1259" s="116"/>
      <c r="BN1259" s="116"/>
    </row>
    <row r="1260" spans="1:66" ht="19.5" x14ac:dyDescent="0.4">
      <c r="BF1260" s="26"/>
      <c r="BG1260" s="15"/>
      <c r="BK1260" s="117"/>
      <c r="BL1260" s="116"/>
      <c r="BM1260" s="116"/>
      <c r="BN1260" s="116"/>
    </row>
    <row r="1261" spans="1:66" ht="19.5" x14ac:dyDescent="0.4">
      <c r="AN1261" s="115"/>
      <c r="AO1261" s="122"/>
      <c r="AP1261" s="122"/>
      <c r="AQ1261" s="122"/>
      <c r="AR1261" s="115"/>
      <c r="AS1261" s="115"/>
      <c r="AT1261" s="115"/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115"/>
      <c r="BF1261" s="26"/>
      <c r="BG1261" s="15"/>
      <c r="BK1261" s="117"/>
      <c r="BL1261" s="116"/>
      <c r="BM1261" s="116"/>
      <c r="BN1261" s="116"/>
    </row>
    <row r="1262" spans="1:66" ht="19.5" x14ac:dyDescent="0.4">
      <c r="AL1262" s="115"/>
      <c r="AM1262" s="115"/>
      <c r="AN1262" s="115"/>
      <c r="AO1262" s="122"/>
      <c r="AP1262" s="122"/>
      <c r="AQ1262" s="122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115"/>
      <c r="BF1262" s="26"/>
      <c r="BG1262" s="15"/>
      <c r="BK1262" s="117"/>
      <c r="BL1262" s="116"/>
      <c r="BM1262" s="116"/>
      <c r="BN1262" s="116"/>
    </row>
    <row r="1263" spans="1:66" ht="19.5" x14ac:dyDescent="0.4">
      <c r="AL1263" s="115"/>
      <c r="AM1263" s="115"/>
      <c r="AN1263" s="115"/>
      <c r="AO1263" s="122"/>
      <c r="AP1263" s="122"/>
      <c r="AQ1263" s="122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115"/>
      <c r="BF1263" s="17"/>
      <c r="BG1263" s="15"/>
      <c r="BK1263" s="117"/>
      <c r="BL1263" s="116"/>
      <c r="BM1263" s="116"/>
      <c r="BN1263" s="116"/>
    </row>
    <row r="1264" spans="1:66" ht="19.5" x14ac:dyDescent="0.4">
      <c r="AI1264" s="115"/>
      <c r="AJ1264" s="115"/>
      <c r="AK1264" s="115"/>
      <c r="AL1264" s="115"/>
      <c r="AM1264" s="115"/>
      <c r="AN1264" s="115"/>
      <c r="AO1264" s="122"/>
      <c r="AP1264" s="122"/>
      <c r="AQ1264" s="122"/>
      <c r="AR1264" s="115"/>
      <c r="AS1264" s="115"/>
      <c r="AT1264" s="115"/>
      <c r="AU1264" s="115"/>
      <c r="AV1264" s="115"/>
      <c r="AW1264" s="115"/>
      <c r="AX1264" s="115"/>
      <c r="AY1264" s="115"/>
      <c r="AZ1264" s="115"/>
      <c r="BA1264" s="115"/>
      <c r="BB1264" s="115"/>
      <c r="BC1264" s="115"/>
      <c r="BD1264" s="115"/>
      <c r="BE1264" s="115"/>
      <c r="BF1264" s="26"/>
      <c r="BG1264" s="15"/>
      <c r="BK1264" s="117"/>
      <c r="BL1264" s="116"/>
      <c r="BM1264" s="116"/>
      <c r="BN1264" s="116"/>
    </row>
    <row r="1265" spans="1:66" ht="19.5" x14ac:dyDescent="0.4">
      <c r="AI1265" s="115"/>
      <c r="AJ1265" s="115"/>
      <c r="AK1265" s="115"/>
      <c r="AL1265" s="115"/>
      <c r="AM1265" s="115"/>
      <c r="AN1265" s="115"/>
      <c r="AO1265" s="122"/>
      <c r="AP1265" s="122"/>
      <c r="AQ1265" s="122"/>
      <c r="AR1265" s="115"/>
      <c r="AS1265" s="115"/>
      <c r="AT1265" s="115"/>
      <c r="AU1265" s="115"/>
      <c r="AV1265" s="115"/>
      <c r="AW1265" s="115"/>
      <c r="AX1265" s="115"/>
      <c r="AY1265" s="115"/>
      <c r="AZ1265" s="115"/>
      <c r="BA1265" s="115"/>
      <c r="BB1265" s="115"/>
      <c r="BC1265" s="115"/>
      <c r="BD1265" s="115"/>
      <c r="BE1265" s="115"/>
      <c r="BF1265" s="17"/>
      <c r="BG1265" s="15"/>
      <c r="BK1265" s="117"/>
      <c r="BL1265" s="116"/>
      <c r="BM1265" s="116"/>
      <c r="BN1265" s="116"/>
    </row>
    <row r="1266" spans="1:66" ht="19.5" x14ac:dyDescent="0.4">
      <c r="AI1266" s="115"/>
      <c r="AJ1266" s="115"/>
      <c r="AK1266" s="115"/>
      <c r="AL1266" s="115"/>
      <c r="AM1266" s="115"/>
      <c r="AN1266" s="115"/>
      <c r="AO1266" s="122"/>
      <c r="AP1266" s="122"/>
      <c r="AQ1266" s="122"/>
      <c r="AR1266" s="115"/>
      <c r="AS1266" s="115"/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115"/>
      <c r="BF1266" s="26"/>
      <c r="BG1266" s="15"/>
      <c r="BK1266" s="117"/>
      <c r="BL1266" s="116"/>
      <c r="BM1266" s="116"/>
      <c r="BN1266" s="116"/>
    </row>
    <row r="1267" spans="1:66" ht="19.5" x14ac:dyDescent="0.4">
      <c r="AI1267" s="115"/>
      <c r="AJ1267" s="115"/>
      <c r="AK1267" s="115"/>
      <c r="AL1267" s="115"/>
      <c r="AM1267" s="115"/>
      <c r="AN1267" s="115"/>
      <c r="AO1267" s="122"/>
      <c r="AP1267" s="122"/>
      <c r="AQ1267" s="122"/>
      <c r="AR1267" s="115"/>
      <c r="AS1267" s="115"/>
      <c r="AT1267" s="115"/>
      <c r="AU1267" s="115"/>
      <c r="AV1267" s="115"/>
      <c r="AW1267" s="115"/>
      <c r="AX1267" s="115"/>
      <c r="AY1267" s="115"/>
      <c r="AZ1267" s="115"/>
      <c r="BA1267" s="115"/>
      <c r="BB1267" s="115"/>
      <c r="BC1267" s="115"/>
      <c r="BD1267" s="115"/>
      <c r="BE1267" s="115"/>
      <c r="BF1267" s="17"/>
      <c r="BG1267" s="13"/>
      <c r="BK1267" s="117"/>
      <c r="BL1267" s="116"/>
      <c r="BM1267" s="116"/>
      <c r="BN1267" s="116"/>
    </row>
    <row r="1268" spans="1:66" ht="19.5" x14ac:dyDescent="0.4">
      <c r="AI1268" s="115"/>
      <c r="AJ1268" s="115"/>
      <c r="AK1268" s="115"/>
      <c r="AL1268" s="115"/>
      <c r="AM1268" s="115"/>
      <c r="AN1268" s="115"/>
      <c r="AO1268" s="122"/>
      <c r="AP1268" s="122"/>
      <c r="AQ1268" s="122"/>
      <c r="AR1268" s="115"/>
      <c r="AS1268" s="115"/>
      <c r="AT1268" s="115"/>
      <c r="AU1268" s="115"/>
      <c r="AV1268" s="115"/>
      <c r="AW1268" s="115"/>
      <c r="AX1268" s="115"/>
      <c r="AY1268" s="115"/>
      <c r="AZ1268" s="115"/>
      <c r="BA1268" s="115"/>
      <c r="BB1268" s="115"/>
      <c r="BC1268" s="115"/>
      <c r="BD1268" s="115"/>
      <c r="BE1268" s="115"/>
      <c r="BF1268" s="17"/>
      <c r="BG1268" s="13"/>
      <c r="BK1268" s="117"/>
      <c r="BL1268" s="116"/>
      <c r="BM1268" s="116"/>
      <c r="BN1268" s="116"/>
    </row>
    <row r="1269" spans="1:66" ht="19.5" x14ac:dyDescent="0.4">
      <c r="BF1269" s="26"/>
      <c r="BG1269" s="13"/>
      <c r="BK1269" s="117"/>
      <c r="BL1269" s="116"/>
      <c r="BM1269" s="116"/>
      <c r="BN1269" s="116"/>
    </row>
    <row r="1270" spans="1:66" ht="19.5" x14ac:dyDescent="0.4">
      <c r="AN1270" s="115"/>
      <c r="AO1270" s="122"/>
      <c r="AP1270" s="122"/>
      <c r="AQ1270" s="122"/>
      <c r="AR1270" s="115"/>
      <c r="AS1270" s="115"/>
      <c r="AT1270" s="115"/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115"/>
      <c r="BF1270" s="17"/>
      <c r="BG1270" s="13"/>
      <c r="BK1270" s="117"/>
      <c r="BL1270" s="116"/>
      <c r="BM1270" s="116"/>
      <c r="BN1270" s="116"/>
    </row>
    <row r="1271" spans="1:66" ht="19.5" x14ac:dyDescent="0.4">
      <c r="A1271" s="115"/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22"/>
      <c r="AP1271" s="122"/>
      <c r="AQ1271" s="122"/>
      <c r="AR1271" s="115"/>
      <c r="AS1271" s="115"/>
      <c r="AT1271" s="115"/>
      <c r="AU1271" s="115"/>
      <c r="AV1271" s="115"/>
      <c r="AW1271" s="115"/>
      <c r="AX1271" s="115"/>
      <c r="AY1271" s="115"/>
      <c r="AZ1271" s="115"/>
      <c r="BA1271" s="115"/>
      <c r="BB1271" s="115"/>
      <c r="BC1271" s="115"/>
      <c r="BD1271" s="115"/>
      <c r="BE1271" s="115"/>
      <c r="BF1271" s="26"/>
      <c r="BG1271" s="13"/>
      <c r="BK1271" s="117"/>
      <c r="BL1271" s="116"/>
      <c r="BM1271" s="116"/>
      <c r="BN1271" s="116"/>
    </row>
    <row r="1272" spans="1:66" ht="19.5" x14ac:dyDescent="0.4">
      <c r="A1272" s="115"/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22"/>
      <c r="AP1272" s="122"/>
      <c r="AQ1272" s="122"/>
      <c r="AR1272" s="115"/>
      <c r="AS1272" s="115"/>
      <c r="AT1272" s="115"/>
      <c r="AU1272" s="115"/>
      <c r="AV1272" s="115"/>
      <c r="AW1272" s="115"/>
      <c r="AX1272" s="115"/>
      <c r="AY1272" s="115"/>
      <c r="AZ1272" s="115"/>
      <c r="BA1272" s="115"/>
      <c r="BB1272" s="115"/>
      <c r="BC1272" s="115"/>
      <c r="BD1272" s="115"/>
      <c r="BE1272" s="115"/>
      <c r="BF1272" s="26"/>
      <c r="BG1272" s="13"/>
      <c r="BK1272" s="117"/>
      <c r="BL1272" s="116"/>
      <c r="BM1272" s="116"/>
      <c r="BN1272" s="116"/>
    </row>
    <row r="1273" spans="1:66" ht="19.5" x14ac:dyDescent="0.4">
      <c r="A1273" s="115"/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22"/>
      <c r="AP1273" s="122"/>
      <c r="AQ1273" s="122"/>
      <c r="AR1273" s="115"/>
      <c r="AS1273" s="115"/>
      <c r="AT1273" s="115"/>
      <c r="AU1273" s="115"/>
      <c r="AV1273" s="115"/>
      <c r="AW1273" s="115"/>
      <c r="AX1273" s="115"/>
      <c r="AY1273" s="115"/>
      <c r="AZ1273" s="115"/>
      <c r="BA1273" s="115"/>
      <c r="BB1273" s="115"/>
      <c r="BC1273" s="115"/>
      <c r="BD1273" s="115"/>
      <c r="BE1273" s="115"/>
      <c r="BF1273" s="26"/>
      <c r="BG1273" s="13"/>
      <c r="BK1273" s="117"/>
      <c r="BL1273" s="116"/>
      <c r="BM1273" s="116"/>
      <c r="BN1273" s="116"/>
    </row>
    <row r="1274" spans="1:66" ht="19.5" x14ac:dyDescent="0.4">
      <c r="A1274" s="115"/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22"/>
      <c r="AP1274" s="122"/>
      <c r="AQ1274" s="122"/>
      <c r="AR1274" s="115"/>
      <c r="AS1274" s="115"/>
      <c r="AT1274" s="115"/>
      <c r="AU1274" s="115"/>
      <c r="AV1274" s="115"/>
      <c r="AW1274" s="115"/>
      <c r="AX1274" s="115"/>
      <c r="AY1274" s="115"/>
      <c r="AZ1274" s="115"/>
      <c r="BA1274" s="115"/>
      <c r="BB1274" s="115"/>
      <c r="BC1274" s="115"/>
      <c r="BD1274" s="115"/>
      <c r="BE1274" s="115"/>
      <c r="BF1274" s="26"/>
      <c r="BG1274" s="13"/>
      <c r="BK1274" s="117"/>
      <c r="BL1274" s="116"/>
      <c r="BM1274" s="116"/>
      <c r="BN1274" s="116"/>
    </row>
    <row r="1275" spans="1:66" ht="19.5" x14ac:dyDescent="0.4">
      <c r="A1275" s="115"/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22"/>
      <c r="AP1275" s="122"/>
      <c r="AQ1275" s="122"/>
      <c r="AR1275" s="115"/>
      <c r="AS1275" s="115"/>
      <c r="AT1275" s="115"/>
      <c r="AU1275" s="115"/>
      <c r="AV1275" s="115"/>
      <c r="AW1275" s="115"/>
      <c r="AX1275" s="115"/>
      <c r="AY1275" s="115"/>
      <c r="AZ1275" s="115"/>
      <c r="BA1275" s="115"/>
      <c r="BB1275" s="115"/>
      <c r="BC1275" s="115"/>
      <c r="BD1275" s="115"/>
      <c r="BE1275" s="115"/>
      <c r="BF1275" s="17"/>
      <c r="BG1275" s="13"/>
      <c r="BK1275" s="117"/>
      <c r="BL1275" s="116"/>
      <c r="BM1275" s="116"/>
      <c r="BN1275" s="116"/>
    </row>
    <row r="1276" spans="1:66" ht="19.5" x14ac:dyDescent="0.4">
      <c r="A1276" s="115"/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22"/>
      <c r="AP1276" s="122"/>
      <c r="AQ1276" s="122"/>
      <c r="AR1276" s="115"/>
      <c r="AS1276" s="115"/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115"/>
      <c r="BF1276" s="26"/>
      <c r="BG1276" s="13"/>
      <c r="BK1276" s="117"/>
      <c r="BL1276" s="116"/>
      <c r="BM1276" s="116"/>
      <c r="BN1276" s="116"/>
    </row>
    <row r="1277" spans="1:66" ht="19.5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22"/>
      <c r="AP1277" s="122"/>
      <c r="AQ1277" s="122"/>
      <c r="AR1277" s="115"/>
      <c r="AS1277" s="115"/>
      <c r="AT1277" s="115"/>
      <c r="AU1277" s="115"/>
      <c r="AV1277" s="115"/>
      <c r="AW1277" s="115"/>
      <c r="AX1277" s="115"/>
      <c r="AY1277" s="115"/>
      <c r="AZ1277" s="115"/>
      <c r="BA1277" s="115"/>
      <c r="BB1277" s="115"/>
      <c r="BC1277" s="115"/>
      <c r="BD1277" s="115"/>
      <c r="BE1277" s="115"/>
      <c r="BF1277" s="26"/>
      <c r="BG1277" s="15"/>
      <c r="BK1277" s="117"/>
      <c r="BL1277" s="116"/>
      <c r="BM1277" s="116"/>
      <c r="BN1277" s="116"/>
    </row>
    <row r="1278" spans="1:66" ht="19.5" x14ac:dyDescent="0.4">
      <c r="BF1278" s="26"/>
      <c r="BG1278" s="15"/>
      <c r="BK1278" s="117"/>
      <c r="BL1278" s="116"/>
      <c r="BM1278" s="116"/>
      <c r="BN1278" s="116"/>
    </row>
    <row r="1279" spans="1:66" ht="19.5" x14ac:dyDescent="0.4">
      <c r="AM1279" s="115"/>
      <c r="AN1279" s="115"/>
      <c r="AO1279" s="122"/>
      <c r="AP1279" s="122"/>
      <c r="AQ1279" s="122"/>
      <c r="AR1279" s="115"/>
      <c r="AS1279" s="115"/>
      <c r="AT1279" s="115"/>
      <c r="AU1279" s="115"/>
      <c r="AV1279" s="115"/>
      <c r="AW1279" s="115"/>
      <c r="AX1279" s="115"/>
      <c r="AY1279" s="115"/>
      <c r="AZ1279" s="115"/>
      <c r="BA1279" s="115"/>
      <c r="BB1279" s="115"/>
      <c r="BC1279" s="115"/>
      <c r="BD1279" s="115"/>
      <c r="BE1279" s="115"/>
      <c r="BF1279" s="26"/>
      <c r="BG1279" s="13"/>
      <c r="BK1279" s="117"/>
      <c r="BL1279" s="116"/>
      <c r="BM1279" s="116"/>
      <c r="BN1279" s="116"/>
    </row>
    <row r="1280" spans="1:66" ht="19.5" x14ac:dyDescent="0.4">
      <c r="AK1280" s="115"/>
      <c r="AL1280" s="115"/>
      <c r="AM1280" s="115"/>
      <c r="AN1280" s="115"/>
      <c r="AO1280" s="122"/>
      <c r="AP1280" s="122"/>
      <c r="AQ1280" s="122"/>
      <c r="AR1280" s="115"/>
      <c r="AS1280" s="115"/>
      <c r="AT1280" s="115"/>
      <c r="AU1280" s="115"/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115"/>
      <c r="BF1280" s="26"/>
      <c r="BG1280" s="15"/>
      <c r="BK1280" s="117"/>
      <c r="BL1280" s="116"/>
      <c r="BM1280" s="116"/>
      <c r="BN1280" s="116"/>
    </row>
    <row r="1281" spans="1:66" ht="19.5" x14ac:dyDescent="0.4">
      <c r="AK1281" s="115"/>
      <c r="AL1281" s="115"/>
      <c r="AM1281" s="115"/>
      <c r="AN1281" s="115"/>
      <c r="AO1281" s="122"/>
      <c r="AP1281" s="122"/>
      <c r="AQ1281" s="122"/>
      <c r="AR1281" s="115"/>
      <c r="AS1281" s="115"/>
      <c r="AT1281" s="115"/>
      <c r="AU1281" s="115"/>
      <c r="AV1281" s="115"/>
      <c r="AW1281" s="115"/>
      <c r="AX1281" s="115"/>
      <c r="AY1281" s="115"/>
      <c r="AZ1281" s="115"/>
      <c r="BA1281" s="115"/>
      <c r="BB1281" s="115"/>
      <c r="BC1281" s="115"/>
      <c r="BD1281" s="115"/>
      <c r="BE1281" s="115"/>
      <c r="BF1281" s="26"/>
      <c r="BG1281" s="15"/>
      <c r="BK1281" s="117"/>
      <c r="BL1281" s="116"/>
      <c r="BM1281" s="116"/>
      <c r="BN1281" s="116"/>
    </row>
    <row r="1282" spans="1:66" ht="19.5" x14ac:dyDescent="0.4">
      <c r="AK1282" s="115"/>
      <c r="AL1282" s="115"/>
      <c r="AM1282" s="115"/>
      <c r="AN1282" s="115"/>
      <c r="AO1282" s="122"/>
      <c r="AP1282" s="122"/>
      <c r="AQ1282" s="122"/>
      <c r="AR1282" s="115"/>
      <c r="AS1282" s="115"/>
      <c r="AT1282" s="115"/>
      <c r="AU1282" s="115"/>
      <c r="AV1282" s="115"/>
      <c r="AW1282" s="115"/>
      <c r="AX1282" s="115"/>
      <c r="AY1282" s="115"/>
      <c r="AZ1282" s="115"/>
      <c r="BA1282" s="115"/>
      <c r="BB1282" s="115"/>
      <c r="BC1282" s="115"/>
      <c r="BD1282" s="115"/>
      <c r="BE1282" s="115"/>
      <c r="BF1282" s="17"/>
      <c r="BG1282" s="15"/>
      <c r="BK1282" s="117"/>
      <c r="BL1282" s="116"/>
      <c r="BM1282" s="116"/>
      <c r="BN1282" s="116"/>
    </row>
    <row r="1283" spans="1:66" ht="19.5" x14ac:dyDescent="0.4">
      <c r="AJ1283" s="115"/>
      <c r="AK1283" s="115"/>
      <c r="AL1283" s="115"/>
      <c r="AM1283" s="115"/>
      <c r="AN1283" s="115"/>
      <c r="AO1283" s="122"/>
      <c r="AP1283" s="122"/>
      <c r="AQ1283" s="122"/>
      <c r="AR1283" s="115"/>
      <c r="AS1283" s="115"/>
      <c r="AT1283" s="115"/>
      <c r="AU1283" s="115"/>
      <c r="AV1283" s="115"/>
      <c r="AW1283" s="115"/>
      <c r="AX1283" s="115"/>
      <c r="AY1283" s="115"/>
      <c r="AZ1283" s="115"/>
      <c r="BA1283" s="115"/>
      <c r="BB1283" s="115"/>
      <c r="BC1283" s="115"/>
      <c r="BD1283" s="115"/>
      <c r="BE1283" s="115"/>
      <c r="BF1283" s="26"/>
      <c r="BG1283" s="15"/>
      <c r="BK1283" s="117"/>
      <c r="BL1283" s="116"/>
      <c r="BM1283" s="116"/>
      <c r="BN1283" s="116"/>
    </row>
    <row r="1284" spans="1:66" ht="19.5" x14ac:dyDescent="0.4">
      <c r="AJ1284" s="115"/>
      <c r="AK1284" s="115"/>
      <c r="AL1284" s="115"/>
      <c r="AM1284" s="115"/>
      <c r="AN1284" s="115"/>
      <c r="AO1284" s="122"/>
      <c r="AP1284" s="122"/>
      <c r="AQ1284" s="122"/>
      <c r="AR1284" s="115"/>
      <c r="AS1284" s="115"/>
      <c r="AT1284" s="115"/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115"/>
      <c r="BF1284" s="26"/>
      <c r="BG1284" s="15"/>
      <c r="BK1284" s="117"/>
      <c r="BL1284" s="116"/>
      <c r="BM1284" s="116"/>
      <c r="BN1284" s="116"/>
    </row>
    <row r="1285" spans="1:66" ht="19.5" x14ac:dyDescent="0.4">
      <c r="AJ1285" s="115"/>
      <c r="AK1285" s="115"/>
      <c r="AL1285" s="115"/>
      <c r="AM1285" s="115"/>
      <c r="AN1285" s="115"/>
      <c r="AO1285" s="122"/>
      <c r="AP1285" s="122"/>
      <c r="AQ1285" s="122"/>
      <c r="AR1285" s="115"/>
      <c r="AS1285" s="115"/>
      <c r="AT1285" s="115"/>
      <c r="AU1285" s="115"/>
      <c r="AV1285" s="115"/>
      <c r="AW1285" s="115"/>
      <c r="AX1285" s="115"/>
      <c r="AY1285" s="115"/>
      <c r="AZ1285" s="115"/>
      <c r="BA1285" s="115"/>
      <c r="BB1285" s="115"/>
      <c r="BC1285" s="115"/>
      <c r="BD1285" s="115"/>
      <c r="BE1285" s="115"/>
      <c r="BF1285" s="26"/>
      <c r="BG1285" s="105"/>
      <c r="BK1285" s="117"/>
      <c r="BL1285" s="116"/>
      <c r="BM1285" s="116"/>
      <c r="BN1285" s="116"/>
    </row>
    <row r="1286" spans="1:66" ht="19.5" x14ac:dyDescent="0.4">
      <c r="AJ1286" s="115"/>
      <c r="AK1286" s="115"/>
      <c r="AL1286" s="115"/>
      <c r="AM1286" s="115"/>
      <c r="AN1286" s="115"/>
      <c r="AO1286" s="122"/>
      <c r="AP1286" s="122"/>
      <c r="AQ1286" s="122"/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115"/>
      <c r="BB1286" s="115"/>
      <c r="BC1286" s="115"/>
      <c r="BD1286" s="115"/>
      <c r="BE1286" s="115"/>
      <c r="BF1286" s="17"/>
      <c r="BG1286" s="15"/>
      <c r="BK1286" s="117"/>
      <c r="BL1286" s="116"/>
      <c r="BM1286" s="116"/>
      <c r="BN1286" s="116"/>
    </row>
    <row r="1287" spans="1:66" ht="19.5" x14ac:dyDescent="0.4">
      <c r="AJ1287" s="115"/>
      <c r="AK1287" s="115"/>
      <c r="AL1287" s="115"/>
      <c r="AM1287" s="115"/>
      <c r="AN1287" s="115"/>
      <c r="AO1287" s="122"/>
      <c r="AP1287" s="122"/>
      <c r="AQ1287" s="122"/>
      <c r="AR1287" s="115"/>
      <c r="AS1287" s="115"/>
      <c r="AT1287" s="115"/>
      <c r="AU1287" s="115"/>
      <c r="AV1287" s="115"/>
      <c r="AW1287" s="115"/>
      <c r="AX1287" s="115"/>
      <c r="AY1287" s="115"/>
      <c r="AZ1287" s="115"/>
      <c r="BA1287" s="115"/>
      <c r="BB1287" s="115"/>
      <c r="BC1287" s="115"/>
      <c r="BD1287" s="115"/>
      <c r="BE1287" s="115"/>
      <c r="BF1287" s="26"/>
      <c r="BG1287" s="15"/>
      <c r="BK1287" s="117"/>
      <c r="BL1287" s="116"/>
      <c r="BM1287" s="116"/>
      <c r="BN1287" s="116"/>
    </row>
    <row r="1288" spans="1:66" ht="19.5" x14ac:dyDescent="0.4">
      <c r="AJ1288" s="115"/>
      <c r="AK1288" s="115"/>
      <c r="AL1288" s="115"/>
      <c r="AM1288" s="115"/>
      <c r="AN1288" s="115"/>
      <c r="AO1288" s="122"/>
      <c r="AP1288" s="122"/>
      <c r="AQ1288" s="122"/>
      <c r="AR1288" s="115"/>
      <c r="AS1288" s="115"/>
      <c r="AT1288" s="115"/>
      <c r="AU1288" s="115"/>
      <c r="AV1288" s="115"/>
      <c r="AW1288" s="115"/>
      <c r="AX1288" s="115"/>
      <c r="AY1288" s="115"/>
      <c r="AZ1288" s="115"/>
      <c r="BA1288" s="115"/>
      <c r="BB1288" s="115"/>
      <c r="BC1288" s="115"/>
      <c r="BD1288" s="115"/>
      <c r="BE1288" s="115"/>
      <c r="BF1288" s="17"/>
      <c r="BG1288" s="15"/>
      <c r="BK1288" s="117"/>
      <c r="BL1288" s="116"/>
      <c r="BM1288" s="116"/>
      <c r="BN1288" s="116"/>
    </row>
    <row r="1289" spans="1:66" ht="19.5" x14ac:dyDescent="0.4"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22"/>
      <c r="AP1289" s="122"/>
      <c r="AQ1289" s="122"/>
      <c r="AR1289" s="115"/>
      <c r="AS1289" s="115"/>
      <c r="AT1289" s="115"/>
      <c r="AU1289" s="115"/>
      <c r="AV1289" s="115"/>
      <c r="AW1289" s="115"/>
      <c r="AX1289" s="115"/>
      <c r="AY1289" s="115"/>
      <c r="AZ1289" s="115"/>
      <c r="BA1289" s="115"/>
      <c r="BB1289" s="115"/>
      <c r="BC1289" s="115"/>
      <c r="BD1289" s="115"/>
      <c r="BE1289" s="115"/>
      <c r="BF1289" s="26"/>
      <c r="BG1289" s="15"/>
      <c r="BK1289" s="117"/>
      <c r="BL1289" s="116"/>
      <c r="BM1289" s="116"/>
      <c r="BN1289" s="116"/>
    </row>
    <row r="1290" spans="1:66" ht="19.5" x14ac:dyDescent="0.4"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15"/>
      <c r="AN1290" s="115"/>
      <c r="AO1290" s="122"/>
      <c r="AP1290" s="122"/>
      <c r="AQ1290" s="122"/>
      <c r="AR1290" s="115"/>
      <c r="AS1290" s="115"/>
      <c r="AT1290" s="115"/>
      <c r="AU1290" s="115"/>
      <c r="AV1290" s="115"/>
      <c r="AW1290" s="115"/>
      <c r="AX1290" s="115"/>
      <c r="AY1290" s="115"/>
      <c r="AZ1290" s="115"/>
      <c r="BA1290" s="115"/>
      <c r="BB1290" s="115"/>
      <c r="BC1290" s="115"/>
      <c r="BD1290" s="115"/>
      <c r="BE1290" s="115"/>
      <c r="BF1290" s="17"/>
      <c r="BG1290" s="15"/>
      <c r="BK1290" s="117"/>
      <c r="BL1290" s="116"/>
      <c r="BM1290" s="116"/>
      <c r="BN1290" s="116"/>
    </row>
    <row r="1291" spans="1:66" ht="19.5" x14ac:dyDescent="0.4"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15"/>
      <c r="AN1291" s="115"/>
      <c r="AO1291" s="122"/>
      <c r="AP1291" s="122"/>
      <c r="AQ1291" s="122"/>
      <c r="AR1291" s="115"/>
      <c r="AS1291" s="115"/>
      <c r="AT1291" s="115"/>
      <c r="AU1291" s="115"/>
      <c r="AV1291" s="115"/>
      <c r="AW1291" s="115"/>
      <c r="AX1291" s="115"/>
      <c r="AY1291" s="115"/>
      <c r="AZ1291" s="115"/>
      <c r="BA1291" s="115"/>
      <c r="BB1291" s="115"/>
      <c r="BC1291" s="115"/>
      <c r="BD1291" s="115"/>
      <c r="BE1291" s="115"/>
      <c r="BF1291" s="26"/>
      <c r="BG1291" s="15"/>
      <c r="BK1291" s="117"/>
      <c r="BL1291" s="116"/>
      <c r="BM1291" s="116"/>
      <c r="BN1291" s="116"/>
    </row>
    <row r="1292" spans="1:66" ht="19.5" x14ac:dyDescent="0.4"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15"/>
      <c r="AO1292" s="122"/>
      <c r="AP1292" s="122"/>
      <c r="AQ1292" s="122"/>
      <c r="AR1292" s="115"/>
      <c r="AS1292" s="115"/>
      <c r="AT1292" s="115"/>
      <c r="AU1292" s="115"/>
      <c r="AV1292" s="115"/>
      <c r="AW1292" s="115"/>
      <c r="AX1292" s="115"/>
      <c r="AY1292" s="115"/>
      <c r="AZ1292" s="115"/>
      <c r="BA1292" s="115"/>
      <c r="BB1292" s="115"/>
      <c r="BC1292" s="115"/>
      <c r="BD1292" s="115"/>
      <c r="BE1292" s="115"/>
      <c r="BF1292" s="17"/>
      <c r="BG1292" s="15"/>
      <c r="BK1292" s="117"/>
      <c r="BL1292" s="116"/>
      <c r="BM1292" s="116"/>
      <c r="BN1292" s="116"/>
    </row>
    <row r="1293" spans="1:66" ht="19.5" x14ac:dyDescent="0.4">
      <c r="A1293" s="115"/>
      <c r="B1293" s="115"/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15"/>
      <c r="AO1293" s="122"/>
      <c r="AP1293" s="122"/>
      <c r="AQ1293" s="122"/>
      <c r="AR1293" s="115"/>
      <c r="AS1293" s="115"/>
      <c r="AT1293" s="115"/>
      <c r="AU1293" s="115"/>
      <c r="AV1293" s="115"/>
      <c r="AW1293" s="115"/>
      <c r="AX1293" s="115"/>
      <c r="AY1293" s="115"/>
      <c r="AZ1293" s="115"/>
      <c r="BA1293" s="115"/>
      <c r="BB1293" s="115"/>
      <c r="BC1293" s="115"/>
      <c r="BD1293" s="115"/>
      <c r="BE1293" s="115"/>
      <c r="BF1293" s="26"/>
      <c r="BG1293" s="15"/>
      <c r="BK1293" s="117"/>
      <c r="BL1293" s="116"/>
      <c r="BM1293" s="116"/>
      <c r="BN1293" s="116"/>
    </row>
    <row r="1294" spans="1:66" ht="19.5" x14ac:dyDescent="0.4">
      <c r="A1294" s="115"/>
      <c r="B1294" s="115"/>
      <c r="C1294" s="115"/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22"/>
      <c r="AP1294" s="122"/>
      <c r="AQ1294" s="122"/>
      <c r="AR1294" s="115"/>
      <c r="AS1294" s="115"/>
      <c r="AT1294" s="115"/>
      <c r="AU1294" s="115"/>
      <c r="AV1294" s="115"/>
      <c r="AW1294" s="115"/>
      <c r="AX1294" s="115"/>
      <c r="AY1294" s="115"/>
      <c r="AZ1294" s="115"/>
      <c r="BA1294" s="115"/>
      <c r="BB1294" s="115"/>
      <c r="BC1294" s="115"/>
      <c r="BD1294" s="115"/>
      <c r="BE1294" s="115"/>
      <c r="BF1294" s="26"/>
      <c r="BG1294" s="15"/>
      <c r="BK1294" s="117"/>
      <c r="BL1294" s="116"/>
      <c r="BM1294" s="116"/>
      <c r="BN1294" s="116"/>
    </row>
    <row r="1295" spans="1:66" ht="19.5" x14ac:dyDescent="0.4">
      <c r="A1295" s="115"/>
      <c r="B1295" s="115"/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22"/>
      <c r="AP1295" s="122"/>
      <c r="AQ1295" s="122"/>
      <c r="AR1295" s="115"/>
      <c r="AS1295" s="115"/>
      <c r="AT1295" s="115"/>
      <c r="AU1295" s="115"/>
      <c r="AV1295" s="115"/>
      <c r="AW1295" s="115"/>
      <c r="AX1295" s="115"/>
      <c r="AY1295" s="115"/>
      <c r="AZ1295" s="115"/>
      <c r="BA1295" s="115"/>
      <c r="BB1295" s="115"/>
      <c r="BC1295" s="115"/>
      <c r="BD1295" s="115"/>
      <c r="BE1295" s="115"/>
      <c r="BF1295" s="26"/>
      <c r="BG1295" s="15"/>
      <c r="BK1295" s="117"/>
      <c r="BL1295" s="116"/>
      <c r="BM1295" s="116"/>
      <c r="BN1295" s="116"/>
    </row>
    <row r="1296" spans="1:66" ht="19.5" x14ac:dyDescent="0.4">
      <c r="A1296" s="115"/>
      <c r="B1296" s="115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22"/>
      <c r="AP1296" s="122"/>
      <c r="AQ1296" s="122"/>
      <c r="AR1296" s="115"/>
      <c r="AS1296" s="115"/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115"/>
      <c r="BF1296" s="26"/>
      <c r="BG1296" s="15"/>
      <c r="BK1296" s="117"/>
      <c r="BL1296" s="116"/>
      <c r="BM1296" s="116"/>
      <c r="BN1296" s="116"/>
    </row>
    <row r="1297" spans="1:66" ht="19.5" x14ac:dyDescent="0.4">
      <c r="A1297" s="115"/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15"/>
      <c r="AM1297" s="115"/>
      <c r="AN1297" s="115"/>
      <c r="AO1297" s="122"/>
      <c r="AP1297" s="122"/>
      <c r="AQ1297" s="122"/>
      <c r="AR1297" s="115"/>
      <c r="AS1297" s="115"/>
      <c r="AT1297" s="115"/>
      <c r="AU1297" s="115"/>
      <c r="AV1297" s="115"/>
      <c r="AW1297" s="115"/>
      <c r="AX1297" s="115"/>
      <c r="AY1297" s="115"/>
      <c r="AZ1297" s="115"/>
      <c r="BA1297" s="115"/>
      <c r="BB1297" s="115"/>
      <c r="BC1297" s="115"/>
      <c r="BD1297" s="115"/>
      <c r="BE1297" s="115"/>
      <c r="BF1297" s="26"/>
      <c r="BG1297" s="15"/>
      <c r="BK1297" s="117"/>
      <c r="BL1297" s="116"/>
      <c r="BM1297" s="116"/>
      <c r="BN1297" s="116"/>
    </row>
    <row r="1298" spans="1:66" ht="19.5" x14ac:dyDescent="0.4">
      <c r="A1298" s="115"/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22"/>
      <c r="AP1298" s="122"/>
      <c r="AQ1298" s="122"/>
      <c r="AR1298" s="115"/>
      <c r="AS1298" s="115"/>
      <c r="AT1298" s="115"/>
      <c r="AU1298" s="115"/>
      <c r="AV1298" s="115"/>
      <c r="AW1298" s="115"/>
      <c r="AX1298" s="115"/>
      <c r="AY1298" s="115"/>
      <c r="AZ1298" s="115"/>
      <c r="BA1298" s="115"/>
      <c r="BB1298" s="115"/>
      <c r="BC1298" s="115"/>
      <c r="BD1298" s="115"/>
      <c r="BE1298" s="115"/>
      <c r="BF1298" s="26"/>
      <c r="BG1298" s="15"/>
      <c r="BK1298" s="117"/>
      <c r="BL1298" s="116"/>
      <c r="BM1298" s="116"/>
      <c r="BN1298" s="116"/>
    </row>
    <row r="1299" spans="1:66" ht="19.5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22"/>
      <c r="AP1299" s="122"/>
      <c r="AQ1299" s="122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115"/>
      <c r="BF1299" s="17"/>
      <c r="BG1299" s="15"/>
      <c r="BK1299" s="117"/>
      <c r="BL1299" s="116"/>
      <c r="BM1299" s="116"/>
      <c r="BN1299" s="116"/>
    </row>
    <row r="1300" spans="1:66" ht="19.5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22"/>
      <c r="AP1300" s="122"/>
      <c r="AQ1300" s="122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115"/>
      <c r="BF1300" s="26"/>
      <c r="BG1300" s="15"/>
      <c r="BK1300" s="117"/>
      <c r="BL1300" s="116"/>
      <c r="BM1300" s="116"/>
      <c r="BN1300" s="116"/>
    </row>
    <row r="1301" spans="1:66" ht="19.5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22"/>
      <c r="AP1301" s="122"/>
      <c r="AQ1301" s="122"/>
      <c r="AR1301" s="115"/>
      <c r="AS1301" s="115"/>
      <c r="AT1301" s="115"/>
      <c r="AU1301" s="115"/>
      <c r="AV1301" s="115"/>
      <c r="AW1301" s="115"/>
      <c r="AX1301" s="115"/>
      <c r="AY1301" s="115"/>
      <c r="AZ1301" s="115"/>
      <c r="BA1301" s="115"/>
      <c r="BB1301" s="115"/>
      <c r="BC1301" s="115"/>
      <c r="BD1301" s="115"/>
      <c r="BE1301" s="115"/>
      <c r="BF1301" s="17"/>
      <c r="BG1301" s="15"/>
      <c r="BK1301" s="117"/>
      <c r="BL1301" s="116"/>
      <c r="BM1301" s="116"/>
      <c r="BN1301" s="116"/>
    </row>
    <row r="1302" spans="1:66" ht="19.5" x14ac:dyDescent="0.4">
      <c r="A1302" s="115"/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22"/>
      <c r="AP1302" s="122"/>
      <c r="AQ1302" s="122"/>
      <c r="AR1302" s="115"/>
      <c r="AS1302" s="115"/>
      <c r="AT1302" s="115"/>
      <c r="AU1302" s="115"/>
      <c r="AV1302" s="115"/>
      <c r="AW1302" s="115"/>
      <c r="AX1302" s="115"/>
      <c r="AY1302" s="115"/>
      <c r="AZ1302" s="115"/>
      <c r="BA1302" s="115"/>
      <c r="BB1302" s="115"/>
      <c r="BC1302" s="115"/>
      <c r="BD1302" s="115"/>
      <c r="BE1302" s="115"/>
      <c r="BF1302" s="26"/>
      <c r="BG1302" s="15"/>
      <c r="BK1302" s="117"/>
      <c r="BL1302" s="116"/>
      <c r="BM1302" s="116"/>
      <c r="BN1302" s="116"/>
    </row>
    <row r="1303" spans="1:66" ht="19.5" x14ac:dyDescent="0.4">
      <c r="A1303" s="115"/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22"/>
      <c r="AP1303" s="122"/>
      <c r="AQ1303" s="122"/>
      <c r="AR1303" s="115"/>
      <c r="AS1303" s="115"/>
      <c r="AT1303" s="115"/>
      <c r="AU1303" s="115"/>
      <c r="AV1303" s="115"/>
      <c r="AW1303" s="115"/>
      <c r="AX1303" s="115"/>
      <c r="AY1303" s="115"/>
      <c r="AZ1303" s="115"/>
      <c r="BA1303" s="115"/>
      <c r="BB1303" s="115"/>
      <c r="BC1303" s="115"/>
      <c r="BD1303" s="115"/>
      <c r="BE1303" s="115"/>
      <c r="BF1303" s="20"/>
      <c r="BG1303" s="15"/>
      <c r="BK1303" s="117"/>
      <c r="BL1303" s="116"/>
      <c r="BM1303" s="116"/>
      <c r="BN1303" s="116"/>
    </row>
    <row r="1304" spans="1:66" ht="19.5" x14ac:dyDescent="0.4">
      <c r="A1304" s="115"/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22"/>
      <c r="AP1304" s="122"/>
      <c r="AQ1304" s="122"/>
      <c r="AR1304" s="115"/>
      <c r="AS1304" s="115"/>
      <c r="AT1304" s="115"/>
      <c r="AU1304" s="115"/>
      <c r="AV1304" s="115"/>
      <c r="AW1304" s="115"/>
      <c r="AX1304" s="115"/>
      <c r="AY1304" s="115"/>
      <c r="AZ1304" s="115"/>
      <c r="BA1304" s="115"/>
      <c r="BB1304" s="115"/>
      <c r="BC1304" s="115"/>
      <c r="BD1304" s="115"/>
      <c r="BE1304" s="115"/>
      <c r="BF1304" s="20"/>
      <c r="BG1304" s="15"/>
      <c r="BK1304" s="117"/>
      <c r="BL1304" s="116"/>
      <c r="BM1304" s="116"/>
      <c r="BN1304" s="116"/>
    </row>
    <row r="1305" spans="1:66" ht="19.5" x14ac:dyDescent="0.4">
      <c r="A1305" s="115"/>
      <c r="B1305" s="115"/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22"/>
      <c r="AP1305" s="122"/>
      <c r="AQ1305" s="122"/>
      <c r="AR1305" s="115"/>
      <c r="AS1305" s="115"/>
      <c r="AT1305" s="115"/>
      <c r="AU1305" s="115"/>
      <c r="AV1305" s="115"/>
      <c r="AW1305" s="115"/>
      <c r="AX1305" s="115"/>
      <c r="AY1305" s="115"/>
      <c r="AZ1305" s="115"/>
      <c r="BA1305" s="115"/>
      <c r="BB1305" s="115"/>
      <c r="BC1305" s="115"/>
      <c r="BD1305" s="115"/>
      <c r="BE1305" s="115"/>
      <c r="BF1305" s="20"/>
      <c r="BG1305" s="15"/>
      <c r="BK1305" s="117"/>
      <c r="BL1305" s="116"/>
      <c r="BM1305" s="116"/>
      <c r="BN1305" s="116"/>
    </row>
    <row r="1306" spans="1:66" ht="19.5" x14ac:dyDescent="0.4">
      <c r="A1306" s="115"/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22"/>
      <c r="AP1306" s="122"/>
      <c r="AQ1306" s="122"/>
      <c r="AR1306" s="115"/>
      <c r="AS1306" s="115"/>
      <c r="AT1306" s="115"/>
      <c r="AU1306" s="115"/>
      <c r="AV1306" s="115"/>
      <c r="AW1306" s="115"/>
      <c r="AX1306" s="115"/>
      <c r="AY1306" s="115"/>
      <c r="AZ1306" s="115"/>
      <c r="BA1306" s="115"/>
      <c r="BB1306" s="115"/>
      <c r="BC1306" s="115"/>
      <c r="BD1306" s="115"/>
      <c r="BE1306" s="115"/>
      <c r="BF1306" s="20"/>
      <c r="BG1306" s="15"/>
      <c r="BK1306" s="117"/>
      <c r="BL1306" s="116"/>
      <c r="BM1306" s="116"/>
      <c r="BN1306" s="116"/>
    </row>
    <row r="1307" spans="1:66" ht="19.5" x14ac:dyDescent="0.4">
      <c r="A1307" s="115"/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22"/>
      <c r="AP1307" s="122"/>
      <c r="AQ1307" s="122"/>
      <c r="AR1307" s="115"/>
      <c r="AS1307" s="115"/>
      <c r="AT1307" s="115"/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115"/>
      <c r="BF1307" s="25"/>
      <c r="BG1307" s="15"/>
      <c r="BK1307" s="117"/>
      <c r="BL1307" s="116"/>
      <c r="BM1307" s="116"/>
      <c r="BN1307" s="116"/>
    </row>
    <row r="1308" spans="1:66" ht="19.5" x14ac:dyDescent="0.4">
      <c r="A1308" s="115"/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22"/>
      <c r="AP1308" s="122"/>
      <c r="AQ1308" s="122"/>
      <c r="AR1308" s="115"/>
      <c r="AS1308" s="115"/>
      <c r="AT1308" s="115"/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115"/>
      <c r="BF1308" s="13"/>
      <c r="BG1308" s="15"/>
      <c r="BK1308" s="117"/>
      <c r="BL1308" s="116"/>
      <c r="BM1308" s="116"/>
      <c r="BN1308" s="116"/>
    </row>
    <row r="1309" spans="1:66" ht="19.5" x14ac:dyDescent="0.4">
      <c r="BF1309" s="25"/>
      <c r="BG1309" s="15"/>
      <c r="BK1309" s="117"/>
      <c r="BL1309" s="116"/>
      <c r="BM1309" s="116"/>
      <c r="BN1309" s="116"/>
    </row>
    <row r="1310" spans="1:66" ht="19.5" x14ac:dyDescent="0.4">
      <c r="AL1310" s="115"/>
      <c r="AM1310" s="115"/>
      <c r="AN1310" s="115"/>
      <c r="AO1310" s="122"/>
      <c r="AP1310" s="122"/>
      <c r="AQ1310" s="122"/>
      <c r="AR1310" s="115"/>
      <c r="AS1310" s="115"/>
      <c r="AT1310" s="115"/>
      <c r="AU1310" s="115"/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115"/>
      <c r="BF1310" s="13"/>
      <c r="BG1310" s="15"/>
      <c r="BK1310" s="117"/>
      <c r="BL1310" s="116"/>
      <c r="BM1310" s="116"/>
      <c r="BN1310" s="116"/>
    </row>
    <row r="1311" spans="1:66" ht="19.5" x14ac:dyDescent="0.4"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22"/>
      <c r="AP1311" s="122"/>
      <c r="AQ1311" s="122"/>
      <c r="AR1311" s="115"/>
      <c r="AS1311" s="115"/>
      <c r="AT1311" s="115"/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115"/>
      <c r="BF1311" s="25"/>
      <c r="BG1311" s="15"/>
      <c r="BK1311" s="117"/>
      <c r="BL1311" s="116"/>
      <c r="BM1311" s="116"/>
      <c r="BN1311" s="116"/>
    </row>
    <row r="1312" spans="1:66" ht="19.5" x14ac:dyDescent="0.4">
      <c r="A1312" s="115"/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22"/>
      <c r="AP1312" s="122"/>
      <c r="AQ1312" s="122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115"/>
      <c r="BF1312" s="25"/>
      <c r="BG1312" s="15"/>
      <c r="BK1312" s="117"/>
      <c r="BL1312" s="116"/>
      <c r="BM1312" s="116"/>
      <c r="BN1312" s="116"/>
    </row>
    <row r="1313" spans="1:66" ht="19.5" x14ac:dyDescent="0.4">
      <c r="A1313" s="115"/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22"/>
      <c r="AP1313" s="122"/>
      <c r="AQ1313" s="122"/>
      <c r="AR1313" s="115"/>
      <c r="AS1313" s="115"/>
      <c r="AT1313" s="115"/>
      <c r="AU1313" s="115"/>
      <c r="AV1313" s="115"/>
      <c r="AW1313" s="115"/>
      <c r="AX1313" s="115"/>
      <c r="AY1313" s="115"/>
      <c r="AZ1313" s="115"/>
      <c r="BA1313" s="115"/>
      <c r="BB1313" s="115"/>
      <c r="BC1313" s="115"/>
      <c r="BD1313" s="115"/>
      <c r="BE1313" s="115"/>
      <c r="BF1313" s="13"/>
      <c r="BG1313" s="15"/>
      <c r="BK1313" s="117"/>
      <c r="BL1313" s="116"/>
      <c r="BM1313" s="116"/>
      <c r="BN1313" s="116"/>
    </row>
    <row r="1314" spans="1:66" ht="19.5" x14ac:dyDescent="0.4">
      <c r="A1314" s="115"/>
      <c r="B1314" s="115"/>
      <c r="C1314" s="115"/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22"/>
      <c r="AP1314" s="122"/>
      <c r="AQ1314" s="122"/>
      <c r="AR1314" s="115"/>
      <c r="AS1314" s="115"/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115"/>
      <c r="BF1314" s="25"/>
      <c r="BG1314" s="15"/>
      <c r="BK1314" s="117"/>
      <c r="BL1314" s="116"/>
      <c r="BM1314" s="116"/>
      <c r="BN1314" s="116"/>
    </row>
    <row r="1315" spans="1:66" ht="19.5" x14ac:dyDescent="0.4">
      <c r="A1315" s="115"/>
      <c r="B1315" s="115"/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15"/>
      <c r="AN1315" s="115"/>
      <c r="AO1315" s="122"/>
      <c r="AP1315" s="122"/>
      <c r="AQ1315" s="122"/>
      <c r="AR1315" s="115"/>
      <c r="AS1315" s="115"/>
      <c r="AT1315" s="115"/>
      <c r="AU1315" s="115"/>
      <c r="AV1315" s="115"/>
      <c r="AW1315" s="115"/>
      <c r="AX1315" s="115"/>
      <c r="AY1315" s="115"/>
      <c r="AZ1315" s="115"/>
      <c r="BA1315" s="115"/>
      <c r="BB1315" s="115"/>
      <c r="BC1315" s="115"/>
      <c r="BD1315" s="115"/>
      <c r="BE1315" s="115"/>
      <c r="BF1315" s="13"/>
      <c r="BG1315" s="15"/>
      <c r="BK1315" s="117"/>
      <c r="BL1315" s="116"/>
      <c r="BM1315" s="116"/>
      <c r="BN1315" s="116"/>
    </row>
    <row r="1316" spans="1:66" ht="19.5" x14ac:dyDescent="0.4">
      <c r="A1316" s="115"/>
      <c r="B1316" s="115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22"/>
      <c r="AP1316" s="122"/>
      <c r="AQ1316" s="122"/>
      <c r="AR1316" s="115"/>
      <c r="AS1316" s="115"/>
      <c r="AT1316" s="115"/>
      <c r="AU1316" s="115"/>
      <c r="AV1316" s="115"/>
      <c r="AW1316" s="115"/>
      <c r="AX1316" s="115"/>
      <c r="AY1316" s="115"/>
      <c r="AZ1316" s="115"/>
      <c r="BA1316" s="115"/>
      <c r="BB1316" s="115"/>
      <c r="BC1316" s="115"/>
      <c r="BD1316" s="115"/>
      <c r="BE1316" s="115"/>
      <c r="BF1316" s="25"/>
      <c r="BG1316" s="15"/>
      <c r="BK1316" s="117"/>
      <c r="BL1316" s="116"/>
      <c r="BM1316" s="116"/>
      <c r="BN1316" s="116"/>
    </row>
    <row r="1317" spans="1:66" ht="19.5" x14ac:dyDescent="0.4">
      <c r="A1317" s="115"/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22"/>
      <c r="AP1317" s="122"/>
      <c r="AQ1317" s="122"/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115"/>
      <c r="BB1317" s="115"/>
      <c r="BC1317" s="115"/>
      <c r="BD1317" s="115"/>
      <c r="BE1317" s="115"/>
      <c r="BF1317" s="26"/>
      <c r="BG1317" s="15"/>
      <c r="BK1317" s="117"/>
      <c r="BL1317" s="116"/>
      <c r="BM1317" s="116"/>
      <c r="BN1317" s="116"/>
    </row>
    <row r="1318" spans="1:66" ht="19.5" x14ac:dyDescent="0.4">
      <c r="A1318" s="115"/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22"/>
      <c r="AP1318" s="122"/>
      <c r="AQ1318" s="122"/>
      <c r="AR1318" s="115"/>
      <c r="AS1318" s="115"/>
      <c r="AT1318" s="115"/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115"/>
      <c r="BF1318" s="17"/>
      <c r="BG1318" s="13"/>
      <c r="BK1318" s="117"/>
      <c r="BL1318" s="116"/>
      <c r="BM1318" s="116"/>
      <c r="BN1318" s="116"/>
    </row>
    <row r="1319" spans="1:66" ht="19.5" x14ac:dyDescent="0.4">
      <c r="A1319" s="115"/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22"/>
      <c r="AP1319" s="122"/>
      <c r="AQ1319" s="122"/>
      <c r="AR1319" s="115"/>
      <c r="AS1319" s="115"/>
      <c r="AT1319" s="115"/>
      <c r="AU1319" s="115"/>
      <c r="AV1319" s="115"/>
      <c r="AW1319" s="115"/>
      <c r="AX1319" s="115"/>
      <c r="AY1319" s="115"/>
      <c r="AZ1319" s="115"/>
      <c r="BA1319" s="115"/>
      <c r="BB1319" s="115"/>
      <c r="BC1319" s="115"/>
      <c r="BD1319" s="115"/>
      <c r="BE1319" s="115"/>
      <c r="BF1319" s="26"/>
      <c r="BG1319" s="13"/>
      <c r="BK1319" s="117"/>
      <c r="BL1319" s="116"/>
      <c r="BM1319" s="116"/>
      <c r="BN1319" s="116"/>
    </row>
    <row r="1320" spans="1:66" ht="19.5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22"/>
      <c r="AP1320" s="122"/>
      <c r="AQ1320" s="122"/>
      <c r="AR1320" s="115"/>
      <c r="AS1320" s="115"/>
      <c r="AT1320" s="115"/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115"/>
      <c r="BF1320" s="17"/>
      <c r="BG1320" s="13"/>
      <c r="BK1320" s="117"/>
      <c r="BL1320" s="116"/>
      <c r="BM1320" s="116"/>
      <c r="BN1320" s="116"/>
    </row>
    <row r="1321" spans="1:66" ht="19.5" x14ac:dyDescent="0.4">
      <c r="A1321" s="115"/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22"/>
      <c r="AP1321" s="122"/>
      <c r="AQ1321" s="122"/>
      <c r="AR1321" s="115"/>
      <c r="AS1321" s="115"/>
      <c r="AT1321" s="115"/>
      <c r="AU1321" s="115"/>
      <c r="AV1321" s="115"/>
      <c r="AW1321" s="115"/>
      <c r="AX1321" s="115"/>
      <c r="AY1321" s="115"/>
      <c r="AZ1321" s="115"/>
      <c r="BA1321" s="115"/>
      <c r="BB1321" s="115"/>
      <c r="BC1321" s="115"/>
      <c r="BD1321" s="115"/>
      <c r="BE1321" s="115"/>
      <c r="BF1321" s="26"/>
      <c r="BG1321" s="15"/>
      <c r="BK1321" s="117"/>
      <c r="BL1321" s="116"/>
      <c r="BM1321" s="116"/>
      <c r="BN1321" s="116"/>
    </row>
    <row r="1322" spans="1:66" ht="19.5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22"/>
      <c r="AP1322" s="122"/>
      <c r="AQ1322" s="122"/>
      <c r="AR1322" s="115"/>
      <c r="AS1322" s="115"/>
      <c r="AT1322" s="115"/>
      <c r="AU1322" s="115"/>
      <c r="AV1322" s="115"/>
      <c r="AW1322" s="115"/>
      <c r="AX1322" s="115"/>
      <c r="AY1322" s="115"/>
      <c r="AZ1322" s="115"/>
      <c r="BA1322" s="115"/>
      <c r="BB1322" s="115"/>
      <c r="BC1322" s="115"/>
      <c r="BD1322" s="115"/>
      <c r="BE1322" s="115"/>
      <c r="BF1322" s="17"/>
      <c r="BG1322" s="15"/>
      <c r="BK1322" s="117"/>
      <c r="BL1322" s="116"/>
      <c r="BM1322" s="116"/>
      <c r="BN1322" s="116"/>
    </row>
    <row r="1323" spans="1:66" ht="19.5" x14ac:dyDescent="0.4">
      <c r="BF1323" s="26"/>
      <c r="BG1323" s="105"/>
      <c r="BK1323" s="117"/>
      <c r="BL1323" s="116"/>
      <c r="BM1323" s="116"/>
      <c r="BN1323" s="116"/>
    </row>
    <row r="1324" spans="1:66" ht="19.5" x14ac:dyDescent="0.4">
      <c r="AL1324" s="115"/>
      <c r="AM1324" s="115"/>
      <c r="AN1324" s="115"/>
      <c r="AO1324" s="122"/>
      <c r="AP1324" s="122"/>
      <c r="AQ1324" s="122"/>
      <c r="AR1324" s="115"/>
      <c r="AS1324" s="115"/>
      <c r="AT1324" s="115"/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115"/>
      <c r="BF1324" s="17"/>
      <c r="BG1324" s="15"/>
      <c r="BK1324" s="117"/>
      <c r="BL1324" s="116"/>
      <c r="BM1324" s="116"/>
      <c r="BN1324" s="116"/>
    </row>
    <row r="1325" spans="1:66" ht="19.5" x14ac:dyDescent="0.4">
      <c r="AI1325" s="115"/>
      <c r="AJ1325" s="115"/>
      <c r="AK1325" s="115"/>
      <c r="AL1325" s="115"/>
      <c r="AM1325" s="115"/>
      <c r="AN1325" s="115"/>
      <c r="AO1325" s="122"/>
      <c r="AP1325" s="122"/>
      <c r="AQ1325" s="122"/>
      <c r="AR1325" s="115"/>
      <c r="AS1325" s="115"/>
      <c r="AT1325" s="115"/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115"/>
      <c r="BF1325" s="26"/>
      <c r="BG1325" s="15"/>
      <c r="BK1325" s="117"/>
      <c r="BL1325" s="116"/>
      <c r="BM1325" s="116"/>
      <c r="BN1325" s="116"/>
    </row>
    <row r="1326" spans="1:66" ht="19.5" x14ac:dyDescent="0.4">
      <c r="AI1326" s="115"/>
      <c r="AJ1326" s="115"/>
      <c r="AK1326" s="115"/>
      <c r="AL1326" s="115"/>
      <c r="AM1326" s="115"/>
      <c r="AN1326" s="115"/>
      <c r="AO1326" s="122"/>
      <c r="AP1326" s="122"/>
      <c r="AQ1326" s="122"/>
      <c r="AR1326" s="115"/>
      <c r="AS1326" s="115"/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115"/>
      <c r="BF1326" s="17"/>
      <c r="BG1326" s="15"/>
      <c r="BK1326" s="117"/>
      <c r="BL1326" s="116"/>
      <c r="BM1326" s="116"/>
      <c r="BN1326" s="116"/>
    </row>
    <row r="1327" spans="1:66" ht="19.5" x14ac:dyDescent="0.4"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22"/>
      <c r="AP1327" s="122"/>
      <c r="AQ1327" s="122"/>
      <c r="AR1327" s="115"/>
      <c r="AS1327" s="115"/>
      <c r="AT1327" s="115"/>
      <c r="AU1327" s="115"/>
      <c r="AV1327" s="115"/>
      <c r="AW1327" s="115"/>
      <c r="AX1327" s="115"/>
      <c r="AY1327" s="115"/>
      <c r="AZ1327" s="115"/>
      <c r="BA1327" s="115"/>
      <c r="BB1327" s="115"/>
      <c r="BC1327" s="115"/>
      <c r="BD1327" s="115"/>
      <c r="BE1327" s="115"/>
      <c r="BF1327" s="26"/>
      <c r="BG1327" s="15"/>
      <c r="BK1327" s="117"/>
      <c r="BL1327" s="116"/>
      <c r="BM1327" s="116"/>
      <c r="BN1327" s="116"/>
    </row>
    <row r="1328" spans="1:66" ht="19.5" x14ac:dyDescent="0.4"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22"/>
      <c r="AP1328" s="122"/>
      <c r="AQ1328" s="122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115"/>
      <c r="BC1328" s="115"/>
      <c r="BD1328" s="115"/>
      <c r="BE1328" s="115"/>
      <c r="BF1328" s="17"/>
      <c r="BG1328" s="15"/>
      <c r="BK1328" s="117"/>
      <c r="BL1328" s="116"/>
      <c r="BM1328" s="116"/>
      <c r="BN1328" s="116"/>
    </row>
    <row r="1329" spans="1:66" ht="19.5" x14ac:dyDescent="0.4">
      <c r="A1329" s="115"/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22"/>
      <c r="AP1329" s="122"/>
      <c r="AQ1329" s="122"/>
      <c r="AR1329" s="115"/>
      <c r="AS1329" s="115"/>
      <c r="AT1329" s="115"/>
      <c r="AU1329" s="115"/>
      <c r="AV1329" s="115"/>
      <c r="AW1329" s="115"/>
      <c r="AX1329" s="115"/>
      <c r="AY1329" s="115"/>
      <c r="AZ1329" s="115"/>
      <c r="BA1329" s="115"/>
      <c r="BB1329" s="115"/>
      <c r="BC1329" s="115"/>
      <c r="BD1329" s="115"/>
      <c r="BE1329" s="115"/>
      <c r="BF1329" s="26"/>
      <c r="BG1329" s="15"/>
      <c r="BK1329" s="117"/>
      <c r="BL1329" s="116"/>
      <c r="BM1329" s="116"/>
      <c r="BN1329" s="116"/>
    </row>
    <row r="1330" spans="1:66" ht="19.5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22"/>
      <c r="AP1330" s="122"/>
      <c r="AQ1330" s="122"/>
      <c r="AR1330" s="115"/>
      <c r="AS1330" s="115"/>
      <c r="AT1330" s="115"/>
      <c r="AU1330" s="115"/>
      <c r="AV1330" s="115"/>
      <c r="AW1330" s="115"/>
      <c r="AX1330" s="115"/>
      <c r="AY1330" s="115"/>
      <c r="AZ1330" s="115"/>
      <c r="BA1330" s="115"/>
      <c r="BB1330" s="115"/>
      <c r="BC1330" s="115"/>
      <c r="BD1330" s="115"/>
      <c r="BE1330" s="115"/>
      <c r="BF1330" s="26"/>
      <c r="BG1330" s="15"/>
      <c r="BK1330" s="117"/>
      <c r="BL1330" s="116"/>
      <c r="BM1330" s="116"/>
      <c r="BN1330" s="116"/>
    </row>
    <row r="1331" spans="1:66" ht="19.5" x14ac:dyDescent="0.4">
      <c r="A1331" s="115"/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22"/>
      <c r="AP1331" s="122"/>
      <c r="AQ1331" s="122"/>
      <c r="AR1331" s="115"/>
      <c r="AS1331" s="115"/>
      <c r="AT1331" s="115"/>
      <c r="AU1331" s="115"/>
      <c r="AV1331" s="115"/>
      <c r="AW1331" s="115"/>
      <c r="AX1331" s="115"/>
      <c r="AY1331" s="115"/>
      <c r="AZ1331" s="115"/>
      <c r="BA1331" s="115"/>
      <c r="BB1331" s="115"/>
      <c r="BC1331" s="115"/>
      <c r="BD1331" s="115"/>
      <c r="BE1331" s="115"/>
      <c r="BF1331" s="17"/>
      <c r="BG1331" s="15"/>
      <c r="BK1331" s="117"/>
      <c r="BL1331" s="116"/>
      <c r="BM1331" s="116"/>
      <c r="BN1331" s="116"/>
    </row>
    <row r="1332" spans="1:66" ht="19.5" x14ac:dyDescent="0.4">
      <c r="A1332" s="115"/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22"/>
      <c r="AP1332" s="122"/>
      <c r="AQ1332" s="122"/>
      <c r="AR1332" s="115"/>
      <c r="AS1332" s="115"/>
      <c r="AT1332" s="115"/>
      <c r="AU1332" s="115"/>
      <c r="AV1332" s="115"/>
      <c r="AW1332" s="115"/>
      <c r="AX1332" s="115"/>
      <c r="AY1332" s="115"/>
      <c r="AZ1332" s="115"/>
      <c r="BA1332" s="115"/>
      <c r="BB1332" s="115"/>
      <c r="BC1332" s="115"/>
      <c r="BD1332" s="115"/>
      <c r="BE1332" s="115"/>
      <c r="BF1332" s="26"/>
      <c r="BG1332" s="15"/>
      <c r="BK1332" s="117"/>
      <c r="BL1332" s="116"/>
      <c r="BM1332" s="116"/>
      <c r="BN1332" s="116"/>
    </row>
    <row r="1333" spans="1:66" ht="19.5" x14ac:dyDescent="0.4">
      <c r="A1333" s="115"/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22"/>
      <c r="AP1333" s="122"/>
      <c r="AQ1333" s="122"/>
      <c r="AR1333" s="115"/>
      <c r="AS1333" s="115"/>
      <c r="AT1333" s="115"/>
      <c r="AU1333" s="115"/>
      <c r="AV1333" s="115"/>
      <c r="AW1333" s="115"/>
      <c r="AX1333" s="115"/>
      <c r="AY1333" s="115"/>
      <c r="AZ1333" s="115"/>
      <c r="BA1333" s="115"/>
      <c r="BB1333" s="115"/>
      <c r="BC1333" s="115"/>
      <c r="BD1333" s="115"/>
      <c r="BE1333" s="115"/>
      <c r="BF1333" s="17"/>
      <c r="BG1333" s="15"/>
      <c r="BK1333" s="117"/>
      <c r="BL1333" s="116"/>
      <c r="BM1333" s="116"/>
      <c r="BN1333" s="116"/>
    </row>
    <row r="1334" spans="1:66" ht="19.5" x14ac:dyDescent="0.4">
      <c r="BF1334" s="26"/>
      <c r="BG1334" s="15"/>
      <c r="BK1334" s="117"/>
      <c r="BL1334" s="116"/>
      <c r="BM1334" s="116"/>
      <c r="BN1334" s="116"/>
    </row>
    <row r="1335" spans="1:66" ht="19.5" x14ac:dyDescent="0.4">
      <c r="AL1335" s="115"/>
      <c r="AM1335" s="115"/>
      <c r="AN1335" s="115"/>
      <c r="AO1335" s="122"/>
      <c r="AP1335" s="122"/>
      <c r="AQ1335" s="122"/>
      <c r="AR1335" s="115"/>
      <c r="AS1335" s="115"/>
      <c r="AT1335" s="115"/>
      <c r="AU1335" s="115"/>
      <c r="AV1335" s="115"/>
      <c r="AW1335" s="115"/>
      <c r="AX1335" s="115"/>
      <c r="AY1335" s="115"/>
      <c r="AZ1335" s="115"/>
      <c r="BA1335" s="115"/>
      <c r="BB1335" s="115"/>
      <c r="BC1335" s="115"/>
      <c r="BD1335" s="115"/>
      <c r="BE1335" s="115"/>
      <c r="BF1335" s="17"/>
      <c r="BG1335" s="15"/>
      <c r="BK1335" s="117"/>
      <c r="BL1335" s="116"/>
      <c r="BM1335" s="116"/>
      <c r="BN1335" s="116"/>
    </row>
    <row r="1336" spans="1:66" ht="19.5" x14ac:dyDescent="0.4">
      <c r="BF1336" s="26"/>
      <c r="BG1336" s="15"/>
      <c r="BK1336" s="117"/>
      <c r="BL1336" s="116"/>
      <c r="BM1336" s="116"/>
      <c r="BN1336" s="116"/>
    </row>
    <row r="1337" spans="1:66" ht="19.5" x14ac:dyDescent="0.4">
      <c r="AL1337" s="115"/>
      <c r="AM1337" s="115"/>
      <c r="AN1337" s="115"/>
      <c r="AO1337" s="122"/>
      <c r="AP1337" s="122"/>
      <c r="AQ1337" s="122"/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15"/>
      <c r="BC1337" s="115"/>
      <c r="BD1337" s="115"/>
      <c r="BE1337" s="115"/>
      <c r="BF1337" s="17"/>
      <c r="BG1337" s="15"/>
      <c r="BK1337" s="117"/>
      <c r="BL1337" s="116"/>
      <c r="BM1337" s="116"/>
      <c r="BN1337" s="116"/>
    </row>
    <row r="1338" spans="1:66" ht="19.5" x14ac:dyDescent="0.4">
      <c r="BF1338" s="26"/>
      <c r="BG1338" s="15"/>
      <c r="BK1338" s="117"/>
      <c r="BL1338" s="116"/>
      <c r="BM1338" s="116"/>
      <c r="BN1338" s="116"/>
    </row>
    <row r="1339" spans="1:66" ht="19.5" x14ac:dyDescent="0.4">
      <c r="AL1339" s="115"/>
      <c r="AM1339" s="115"/>
      <c r="AN1339" s="115"/>
      <c r="AO1339" s="122"/>
      <c r="AP1339" s="122"/>
      <c r="AQ1339" s="122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115"/>
      <c r="BF1339" s="17"/>
      <c r="BG1339" s="15"/>
      <c r="BK1339" s="117"/>
      <c r="BL1339" s="116"/>
      <c r="BM1339" s="116"/>
      <c r="BN1339" s="116"/>
    </row>
    <row r="1340" spans="1:66" ht="19.5" x14ac:dyDescent="0.4"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22"/>
      <c r="AP1340" s="122"/>
      <c r="AQ1340" s="122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115"/>
      <c r="BF1340" s="26"/>
      <c r="BG1340" s="15"/>
      <c r="BK1340" s="117"/>
      <c r="BL1340" s="116"/>
      <c r="BM1340" s="116"/>
      <c r="BN1340" s="116"/>
    </row>
    <row r="1341" spans="1:66" ht="19.5" x14ac:dyDescent="0.4"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22"/>
      <c r="AP1341" s="122"/>
      <c r="AQ1341" s="122"/>
      <c r="AR1341" s="115"/>
      <c r="AS1341" s="115"/>
      <c r="AT1341" s="115"/>
      <c r="AU1341" s="115"/>
      <c r="AV1341" s="115"/>
      <c r="AW1341" s="115"/>
      <c r="AX1341" s="115"/>
      <c r="AY1341" s="115"/>
      <c r="AZ1341" s="115"/>
      <c r="BA1341" s="115"/>
      <c r="BB1341" s="115"/>
      <c r="BC1341" s="115"/>
      <c r="BD1341" s="115"/>
      <c r="BE1341" s="115"/>
      <c r="BF1341" s="17"/>
      <c r="BG1341" s="15"/>
      <c r="BK1341" s="117"/>
      <c r="BL1341" s="116"/>
      <c r="BM1341" s="116"/>
      <c r="BN1341" s="116"/>
    </row>
    <row r="1342" spans="1:66" ht="19.5" x14ac:dyDescent="0.4"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22"/>
      <c r="AP1342" s="122"/>
      <c r="AQ1342" s="122"/>
      <c r="AR1342" s="115"/>
      <c r="AS1342" s="115"/>
      <c r="AT1342" s="115"/>
      <c r="AU1342" s="115"/>
      <c r="AV1342" s="115"/>
      <c r="AW1342" s="115"/>
      <c r="AX1342" s="115"/>
      <c r="AY1342" s="115"/>
      <c r="AZ1342" s="115"/>
      <c r="BA1342" s="115"/>
      <c r="BB1342" s="115"/>
      <c r="BC1342" s="115"/>
      <c r="BD1342" s="115"/>
      <c r="BE1342" s="115"/>
      <c r="BF1342" s="26"/>
      <c r="BG1342" s="15"/>
      <c r="BK1342" s="117"/>
      <c r="BL1342" s="116"/>
      <c r="BM1342" s="116"/>
      <c r="BN1342" s="116"/>
    </row>
    <row r="1343" spans="1:66" ht="19.5" x14ac:dyDescent="0.4">
      <c r="BF1343" s="26"/>
      <c r="BG1343" s="15"/>
      <c r="BK1343" s="117"/>
      <c r="BL1343" s="116"/>
      <c r="BM1343" s="116"/>
      <c r="BN1343" s="116"/>
    </row>
    <row r="1344" spans="1:66" ht="19.5" x14ac:dyDescent="0.4">
      <c r="AL1344" s="115"/>
      <c r="AM1344" s="115"/>
      <c r="AN1344" s="115"/>
      <c r="AO1344" s="122"/>
      <c r="AP1344" s="122"/>
      <c r="AQ1344" s="122"/>
      <c r="AR1344" s="115"/>
      <c r="AS1344" s="115"/>
      <c r="AT1344" s="115"/>
      <c r="AU1344" s="115"/>
      <c r="AV1344" s="115"/>
      <c r="AW1344" s="115"/>
      <c r="AX1344" s="115"/>
      <c r="AY1344" s="115"/>
      <c r="AZ1344" s="115"/>
      <c r="BA1344" s="115"/>
      <c r="BB1344" s="115"/>
      <c r="BC1344" s="115"/>
      <c r="BD1344" s="115"/>
      <c r="BE1344" s="115"/>
      <c r="BF1344" s="17"/>
      <c r="BG1344" s="15"/>
      <c r="BK1344" s="117"/>
      <c r="BL1344" s="116"/>
      <c r="BM1344" s="116"/>
      <c r="BN1344" s="116"/>
    </row>
    <row r="1345" spans="1:66" ht="19.5" x14ac:dyDescent="0.4">
      <c r="AJ1345" s="115"/>
      <c r="AK1345" s="115"/>
      <c r="AL1345" s="115"/>
      <c r="AM1345" s="115"/>
      <c r="AN1345" s="115"/>
      <c r="AO1345" s="122"/>
      <c r="AP1345" s="122"/>
      <c r="AQ1345" s="122"/>
      <c r="AR1345" s="115"/>
      <c r="AS1345" s="115"/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115"/>
      <c r="BF1345" s="26"/>
      <c r="BG1345" s="15"/>
      <c r="BK1345" s="117"/>
      <c r="BL1345" s="116"/>
      <c r="BM1345" s="116"/>
      <c r="BN1345" s="116"/>
    </row>
    <row r="1346" spans="1:66" ht="19.5" x14ac:dyDescent="0.4">
      <c r="AJ1346" s="115"/>
      <c r="AK1346" s="115"/>
      <c r="AL1346" s="115"/>
      <c r="AM1346" s="115"/>
      <c r="AN1346" s="115"/>
      <c r="AO1346" s="122"/>
      <c r="AP1346" s="122"/>
      <c r="AQ1346" s="122"/>
      <c r="AR1346" s="115"/>
      <c r="AS1346" s="115"/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15"/>
      <c r="BF1346" s="17"/>
      <c r="BG1346" s="13"/>
      <c r="BK1346" s="117"/>
      <c r="BL1346" s="116"/>
      <c r="BM1346" s="116"/>
      <c r="BN1346" s="116"/>
    </row>
    <row r="1347" spans="1:66" ht="19.5" x14ac:dyDescent="0.4">
      <c r="AI1347" s="115"/>
      <c r="AJ1347" s="115"/>
      <c r="AK1347" s="115"/>
      <c r="AL1347" s="115"/>
      <c r="AM1347" s="115"/>
      <c r="AN1347" s="115"/>
      <c r="AO1347" s="122"/>
      <c r="AP1347" s="122"/>
      <c r="AQ1347" s="122"/>
      <c r="AR1347" s="115"/>
      <c r="AS1347" s="115"/>
      <c r="AT1347" s="115"/>
      <c r="AU1347" s="115"/>
      <c r="AV1347" s="115"/>
      <c r="AW1347" s="115"/>
      <c r="AX1347" s="115"/>
      <c r="AY1347" s="115"/>
      <c r="AZ1347" s="115"/>
      <c r="BA1347" s="115"/>
      <c r="BB1347" s="115"/>
      <c r="BC1347" s="115"/>
      <c r="BD1347" s="115"/>
      <c r="BE1347" s="115"/>
      <c r="BF1347" s="26"/>
      <c r="BG1347" s="13"/>
      <c r="BK1347" s="117"/>
      <c r="BL1347" s="116"/>
      <c r="BM1347" s="116"/>
      <c r="BN1347" s="116"/>
    </row>
    <row r="1348" spans="1:66" ht="19.5" x14ac:dyDescent="0.4">
      <c r="AI1348" s="115"/>
      <c r="AJ1348" s="115"/>
      <c r="AK1348" s="115"/>
      <c r="AL1348" s="115"/>
      <c r="AM1348" s="115"/>
      <c r="AN1348" s="115"/>
      <c r="AO1348" s="122"/>
      <c r="AP1348" s="122"/>
      <c r="AQ1348" s="122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115"/>
      <c r="BF1348" s="17"/>
      <c r="BG1348" s="13"/>
      <c r="BK1348" s="117"/>
      <c r="BL1348" s="116"/>
      <c r="BM1348" s="116"/>
      <c r="BN1348" s="116"/>
    </row>
    <row r="1349" spans="1:66" ht="19.5" x14ac:dyDescent="0.4"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22"/>
      <c r="AP1349" s="122"/>
      <c r="AQ1349" s="122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15"/>
      <c r="BC1349" s="115"/>
      <c r="BD1349" s="115"/>
      <c r="BE1349" s="115"/>
      <c r="BF1349" s="26"/>
      <c r="BG1349" s="15"/>
      <c r="BK1349" s="117"/>
      <c r="BL1349" s="116"/>
      <c r="BM1349" s="116"/>
      <c r="BN1349" s="116"/>
    </row>
    <row r="1350" spans="1:66" ht="19.5" x14ac:dyDescent="0.4"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22"/>
      <c r="AP1350" s="122"/>
      <c r="AQ1350" s="122"/>
      <c r="AR1350" s="115"/>
      <c r="AS1350" s="115"/>
      <c r="AT1350" s="115"/>
      <c r="AU1350" s="115"/>
      <c r="AV1350" s="115"/>
      <c r="AW1350" s="115"/>
      <c r="AX1350" s="115"/>
      <c r="AY1350" s="115"/>
      <c r="AZ1350" s="115"/>
      <c r="BA1350" s="115"/>
      <c r="BB1350" s="115"/>
      <c r="BC1350" s="115"/>
      <c r="BD1350" s="115"/>
      <c r="BE1350" s="115"/>
      <c r="BF1350" s="17"/>
      <c r="BG1350" s="15"/>
      <c r="BK1350" s="117"/>
      <c r="BL1350" s="116"/>
      <c r="BM1350" s="116"/>
      <c r="BN1350" s="116"/>
    </row>
    <row r="1351" spans="1:66" ht="19.5" x14ac:dyDescent="0.4"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22"/>
      <c r="AP1351" s="122"/>
      <c r="AQ1351" s="122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115"/>
      <c r="BD1351" s="115"/>
      <c r="BE1351" s="115"/>
      <c r="BF1351" s="26"/>
      <c r="BG1351" s="105"/>
      <c r="BK1351" s="117"/>
      <c r="BL1351" s="116"/>
      <c r="BM1351" s="116"/>
      <c r="BN1351" s="116"/>
    </row>
    <row r="1352" spans="1:66" ht="19.5" x14ac:dyDescent="0.4"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22"/>
      <c r="AP1352" s="122"/>
      <c r="AQ1352" s="122"/>
      <c r="AR1352" s="115"/>
      <c r="AS1352" s="115"/>
      <c r="AT1352" s="115"/>
      <c r="AU1352" s="115"/>
      <c r="AV1352" s="115"/>
      <c r="AW1352" s="115"/>
      <c r="AX1352" s="115"/>
      <c r="AY1352" s="115"/>
      <c r="AZ1352" s="115"/>
      <c r="BA1352" s="115"/>
      <c r="BB1352" s="115"/>
      <c r="BC1352" s="115"/>
      <c r="BD1352" s="115"/>
      <c r="BE1352" s="115"/>
      <c r="BF1352" s="17"/>
      <c r="BG1352" s="15"/>
      <c r="BK1352" s="117"/>
      <c r="BL1352" s="116"/>
      <c r="BM1352" s="116"/>
      <c r="BN1352" s="116"/>
    </row>
    <row r="1353" spans="1:66" ht="19.5" x14ac:dyDescent="0.4"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22"/>
      <c r="AP1353" s="122"/>
      <c r="AQ1353" s="122"/>
      <c r="AR1353" s="115"/>
      <c r="AS1353" s="115"/>
      <c r="AT1353" s="115"/>
      <c r="AU1353" s="115"/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115"/>
      <c r="BF1353" s="26"/>
      <c r="BG1353" s="15"/>
      <c r="BK1353" s="117"/>
      <c r="BL1353" s="116"/>
      <c r="BM1353" s="116"/>
      <c r="BN1353" s="116"/>
    </row>
    <row r="1354" spans="1:66" ht="19.5" x14ac:dyDescent="0.4"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22"/>
      <c r="AP1354" s="122"/>
      <c r="AQ1354" s="122"/>
      <c r="AR1354" s="115"/>
      <c r="AS1354" s="115"/>
      <c r="AT1354" s="115"/>
      <c r="AU1354" s="115"/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15"/>
      <c r="BF1354" s="26"/>
      <c r="BG1354" s="15"/>
      <c r="BK1354" s="117"/>
      <c r="BL1354" s="116"/>
      <c r="BM1354" s="116"/>
      <c r="BN1354" s="116"/>
    </row>
    <row r="1355" spans="1:66" ht="19.5" x14ac:dyDescent="0.4">
      <c r="BF1355" s="26"/>
      <c r="BG1355" s="15"/>
      <c r="BK1355" s="117"/>
      <c r="BL1355" s="116"/>
      <c r="BM1355" s="116"/>
      <c r="BN1355" s="116"/>
    </row>
    <row r="1356" spans="1:66" ht="19.5" x14ac:dyDescent="0.4">
      <c r="AK1356" s="115"/>
      <c r="AL1356" s="115"/>
      <c r="AM1356" s="115"/>
      <c r="AN1356" s="115"/>
      <c r="AO1356" s="122"/>
      <c r="AP1356" s="122"/>
      <c r="AQ1356" s="122"/>
      <c r="AR1356" s="115"/>
      <c r="AS1356" s="115"/>
      <c r="AT1356" s="115"/>
      <c r="AU1356" s="115"/>
      <c r="AV1356" s="115"/>
      <c r="AW1356" s="115"/>
      <c r="AX1356" s="115"/>
      <c r="AY1356" s="115"/>
      <c r="AZ1356" s="115"/>
      <c r="BA1356" s="115"/>
      <c r="BB1356" s="115"/>
      <c r="BC1356" s="115"/>
      <c r="BD1356" s="115"/>
      <c r="BE1356" s="115"/>
      <c r="BF1356" s="26"/>
      <c r="BG1356" s="15"/>
      <c r="BK1356" s="117"/>
      <c r="BL1356" s="116"/>
      <c r="BM1356" s="116"/>
      <c r="BN1356" s="116"/>
    </row>
    <row r="1357" spans="1:66" ht="19.5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22"/>
      <c r="AP1357" s="122"/>
      <c r="AQ1357" s="122"/>
      <c r="AR1357" s="115"/>
      <c r="AS1357" s="115"/>
      <c r="AT1357" s="115"/>
      <c r="AU1357" s="115"/>
      <c r="AV1357" s="115"/>
      <c r="AW1357" s="115"/>
      <c r="AX1357" s="115"/>
      <c r="AY1357" s="115"/>
      <c r="AZ1357" s="115"/>
      <c r="BA1357" s="115"/>
      <c r="BB1357" s="115"/>
      <c r="BC1357" s="115"/>
      <c r="BD1357" s="115"/>
      <c r="BE1357" s="115"/>
      <c r="BF1357" s="26"/>
      <c r="BG1357" s="15"/>
      <c r="BK1357" s="117"/>
      <c r="BL1357" s="116"/>
      <c r="BM1357" s="116"/>
      <c r="BN1357" s="116"/>
    </row>
    <row r="1358" spans="1:66" ht="19.5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22"/>
      <c r="AP1358" s="122"/>
      <c r="AQ1358" s="122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115"/>
      <c r="BD1358" s="115"/>
      <c r="BE1358" s="115"/>
      <c r="BF1358" s="26"/>
      <c r="BG1358" s="15"/>
      <c r="BK1358" s="117"/>
      <c r="BL1358" s="116"/>
      <c r="BM1358" s="116"/>
      <c r="BN1358" s="116"/>
    </row>
    <row r="1359" spans="1:66" ht="19.5" x14ac:dyDescent="0.4">
      <c r="A1359" s="115"/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22"/>
      <c r="AP1359" s="122"/>
      <c r="AQ1359" s="122"/>
      <c r="AR1359" s="115"/>
      <c r="AS1359" s="115"/>
      <c r="AT1359" s="115"/>
      <c r="AU1359" s="115"/>
      <c r="AV1359" s="115"/>
      <c r="AW1359" s="115"/>
      <c r="AX1359" s="115"/>
      <c r="AY1359" s="115"/>
      <c r="AZ1359" s="115"/>
      <c r="BA1359" s="115"/>
      <c r="BB1359" s="115"/>
      <c r="BC1359" s="115"/>
      <c r="BD1359" s="115"/>
      <c r="BE1359" s="115"/>
      <c r="BF1359" s="17"/>
      <c r="BG1359" s="15"/>
      <c r="BK1359" s="117"/>
      <c r="BL1359" s="116"/>
      <c r="BM1359" s="116"/>
      <c r="BN1359" s="116"/>
    </row>
    <row r="1360" spans="1:66" ht="19.5" x14ac:dyDescent="0.4">
      <c r="BF1360" s="26"/>
      <c r="BG1360" s="15"/>
      <c r="BK1360" s="117"/>
      <c r="BL1360" s="116"/>
      <c r="BM1360" s="116"/>
      <c r="BN1360" s="116"/>
    </row>
    <row r="1361" spans="1:66" ht="19.5" x14ac:dyDescent="0.4">
      <c r="AL1361" s="115"/>
      <c r="AM1361" s="115"/>
      <c r="AN1361" s="115"/>
      <c r="AO1361" s="122"/>
      <c r="AP1361" s="122"/>
      <c r="AQ1361" s="122"/>
      <c r="AR1361" s="115"/>
      <c r="AS1361" s="115"/>
      <c r="AT1361" s="115"/>
      <c r="AU1361" s="115"/>
      <c r="AV1361" s="115"/>
      <c r="AW1361" s="115"/>
      <c r="AX1361" s="115"/>
      <c r="AY1361" s="115"/>
      <c r="AZ1361" s="115"/>
      <c r="BA1361" s="115"/>
      <c r="BB1361" s="115"/>
      <c r="BC1361" s="115"/>
      <c r="BD1361" s="115"/>
      <c r="BE1361" s="115"/>
      <c r="BF1361" s="17"/>
      <c r="BG1361" s="15"/>
      <c r="BK1361" s="117"/>
      <c r="BL1361" s="116"/>
      <c r="BM1361" s="116"/>
      <c r="BN1361" s="116"/>
    </row>
    <row r="1362" spans="1:66" ht="19.5" x14ac:dyDescent="0.4">
      <c r="AK1362" s="115"/>
      <c r="AL1362" s="115"/>
      <c r="AM1362" s="115"/>
      <c r="AN1362" s="115"/>
      <c r="AO1362" s="122"/>
      <c r="AP1362" s="122"/>
      <c r="AQ1362" s="122"/>
      <c r="AR1362" s="115"/>
      <c r="AS1362" s="115"/>
      <c r="AT1362" s="115"/>
      <c r="AU1362" s="115"/>
      <c r="AV1362" s="115"/>
      <c r="AW1362" s="115"/>
      <c r="AX1362" s="115"/>
      <c r="AY1362" s="115"/>
      <c r="AZ1362" s="115"/>
      <c r="BA1362" s="115"/>
      <c r="BB1362" s="115"/>
      <c r="BC1362" s="115"/>
      <c r="BD1362" s="115"/>
      <c r="BE1362" s="115"/>
      <c r="BF1362" s="26"/>
      <c r="BG1362" s="15"/>
      <c r="BK1362" s="117"/>
      <c r="BL1362" s="116"/>
      <c r="BM1362" s="116"/>
      <c r="BN1362" s="116"/>
    </row>
    <row r="1363" spans="1:66" ht="19.5" x14ac:dyDescent="0.4"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22"/>
      <c r="AP1363" s="122"/>
      <c r="AQ1363" s="122"/>
      <c r="AR1363" s="115"/>
      <c r="AS1363" s="115"/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115"/>
      <c r="BF1363" s="26"/>
      <c r="BG1363" s="15"/>
      <c r="BK1363" s="117"/>
      <c r="BL1363" s="116"/>
      <c r="BM1363" s="116"/>
      <c r="BN1363" s="116"/>
    </row>
    <row r="1364" spans="1:66" ht="19.5" x14ac:dyDescent="0.4"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22"/>
      <c r="AP1364" s="122"/>
      <c r="AQ1364" s="122"/>
      <c r="AR1364" s="115"/>
      <c r="AS1364" s="115"/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15"/>
      <c r="BF1364" s="26"/>
      <c r="BG1364" s="15"/>
      <c r="BK1364" s="117"/>
      <c r="BL1364" s="116"/>
      <c r="BM1364" s="116"/>
      <c r="BN1364" s="116"/>
    </row>
    <row r="1365" spans="1:66" ht="19.5" x14ac:dyDescent="0.4"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22"/>
      <c r="AP1365" s="122"/>
      <c r="AQ1365" s="122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115"/>
      <c r="BF1365" s="26"/>
      <c r="BG1365" s="15"/>
      <c r="BK1365" s="117"/>
      <c r="BL1365" s="116"/>
      <c r="BM1365" s="116"/>
      <c r="BN1365" s="116"/>
    </row>
    <row r="1366" spans="1:66" ht="19.5" x14ac:dyDescent="0.4">
      <c r="A1366" s="115"/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22"/>
      <c r="AP1366" s="122"/>
      <c r="AQ1366" s="122"/>
      <c r="AR1366" s="115"/>
      <c r="AS1366" s="115"/>
      <c r="AT1366" s="115"/>
      <c r="AU1366" s="115"/>
      <c r="AV1366" s="115"/>
      <c r="AW1366" s="115"/>
      <c r="AX1366" s="115"/>
      <c r="AY1366" s="115"/>
      <c r="AZ1366" s="115"/>
      <c r="BA1366" s="115"/>
      <c r="BB1366" s="115"/>
      <c r="BC1366" s="115"/>
      <c r="BD1366" s="115"/>
      <c r="BE1366" s="115"/>
      <c r="BF1366" s="26"/>
      <c r="BG1366" s="15"/>
      <c r="BK1366" s="117"/>
      <c r="BL1366" s="116"/>
      <c r="BM1366" s="116"/>
      <c r="BN1366" s="116"/>
    </row>
    <row r="1367" spans="1:66" ht="19.5" x14ac:dyDescent="0.4">
      <c r="A1367" s="115"/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22"/>
      <c r="AP1367" s="122"/>
      <c r="AQ1367" s="122"/>
      <c r="AR1367" s="115"/>
      <c r="AS1367" s="115"/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115"/>
      <c r="BF1367" s="26"/>
      <c r="BG1367" s="15"/>
      <c r="BK1367" s="117"/>
      <c r="BL1367" s="116"/>
      <c r="BM1367" s="116"/>
      <c r="BN1367" s="116"/>
    </row>
    <row r="1368" spans="1:66" ht="19.5" x14ac:dyDescent="0.4">
      <c r="A1368" s="115"/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22"/>
      <c r="AP1368" s="122"/>
      <c r="AQ1368" s="122"/>
      <c r="AR1368" s="115"/>
      <c r="AS1368" s="115"/>
      <c r="AT1368" s="115"/>
      <c r="AU1368" s="115"/>
      <c r="AV1368" s="115"/>
      <c r="AW1368" s="115"/>
      <c r="AX1368" s="115"/>
      <c r="AY1368" s="115"/>
      <c r="AZ1368" s="115"/>
      <c r="BA1368" s="115"/>
      <c r="BB1368" s="115"/>
      <c r="BC1368" s="115"/>
      <c r="BD1368" s="115"/>
      <c r="BE1368" s="115"/>
      <c r="BF1368" s="17"/>
      <c r="BG1368" s="15"/>
      <c r="BK1368" s="117"/>
      <c r="BL1368" s="116"/>
      <c r="BM1368" s="116"/>
      <c r="BN1368" s="116"/>
    </row>
    <row r="1369" spans="1:66" ht="19.5" x14ac:dyDescent="0.4">
      <c r="BF1369" s="26"/>
      <c r="BG1369" s="15"/>
      <c r="BK1369" s="117"/>
      <c r="BL1369" s="116"/>
      <c r="BM1369" s="116"/>
      <c r="BN1369" s="116"/>
    </row>
    <row r="1370" spans="1:66" ht="19.5" x14ac:dyDescent="0.4">
      <c r="AL1370" s="115"/>
      <c r="AM1370" s="115"/>
      <c r="AN1370" s="115"/>
      <c r="AO1370" s="122"/>
      <c r="AP1370" s="122"/>
      <c r="AQ1370" s="122"/>
      <c r="AR1370" s="115"/>
      <c r="AS1370" s="115"/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115"/>
      <c r="BF1370" s="17"/>
      <c r="BG1370" s="13"/>
      <c r="BK1370" s="117"/>
      <c r="BL1370" s="116"/>
      <c r="BM1370" s="116"/>
      <c r="BN1370" s="116"/>
    </row>
    <row r="1371" spans="1:66" ht="19.5" x14ac:dyDescent="0.4">
      <c r="AL1371" s="115"/>
      <c r="AM1371" s="115"/>
      <c r="AN1371" s="115"/>
      <c r="AO1371" s="122"/>
      <c r="AP1371" s="122"/>
      <c r="AQ1371" s="122"/>
      <c r="AR1371" s="115"/>
      <c r="AS1371" s="115"/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15"/>
      <c r="BF1371" s="17"/>
      <c r="BG1371" s="13"/>
      <c r="BK1371" s="117"/>
      <c r="BL1371" s="116"/>
      <c r="BM1371" s="116"/>
      <c r="BN1371" s="116"/>
    </row>
    <row r="1372" spans="1:66" ht="19.5" x14ac:dyDescent="0.4">
      <c r="BF1372" s="26"/>
      <c r="BG1372" s="13"/>
      <c r="BK1372" s="117"/>
      <c r="BL1372" s="116"/>
      <c r="BM1372" s="116"/>
      <c r="BN1372" s="116"/>
    </row>
    <row r="1373" spans="1:66" ht="19.5" x14ac:dyDescent="0.4">
      <c r="BF1373" s="26"/>
      <c r="BG1373" s="13"/>
      <c r="BK1373" s="116"/>
      <c r="BL1373" s="116"/>
      <c r="BM1373" s="116"/>
      <c r="BN1373" s="116"/>
    </row>
    <row r="1374" spans="1:66" ht="19.5" x14ac:dyDescent="0.4"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22"/>
      <c r="AP1374" s="122"/>
      <c r="AQ1374" s="122"/>
      <c r="AR1374" s="115"/>
      <c r="AS1374" s="115"/>
      <c r="AT1374" s="115"/>
      <c r="AU1374" s="115"/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15"/>
      <c r="BF1374" s="26"/>
      <c r="BG1374" s="13"/>
      <c r="BK1374" s="118"/>
      <c r="BL1374" s="118"/>
      <c r="BM1374" s="118"/>
      <c r="BN1374" s="118"/>
    </row>
    <row r="1375" spans="1:66" ht="19.5" x14ac:dyDescent="0.4"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22"/>
      <c r="AP1375" s="122"/>
      <c r="AQ1375" s="122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115"/>
      <c r="BB1375" s="115"/>
      <c r="BC1375" s="115"/>
      <c r="BD1375" s="115"/>
      <c r="BE1375" s="115"/>
      <c r="BF1375" s="26"/>
      <c r="BG1375" s="13"/>
      <c r="BK1375" s="118"/>
      <c r="BL1375" s="118"/>
      <c r="BM1375" s="118"/>
      <c r="BN1375" s="118"/>
    </row>
    <row r="1376" spans="1:66" ht="19.5" x14ac:dyDescent="0.4"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22"/>
      <c r="AP1376" s="122"/>
      <c r="AQ1376" s="122"/>
      <c r="AR1376" s="115"/>
      <c r="AS1376" s="115"/>
      <c r="AT1376" s="115"/>
      <c r="AU1376" s="115"/>
      <c r="AV1376" s="115"/>
      <c r="AW1376" s="115"/>
      <c r="AX1376" s="115"/>
      <c r="AY1376" s="115"/>
      <c r="AZ1376" s="115"/>
      <c r="BA1376" s="115"/>
      <c r="BB1376" s="115"/>
      <c r="BC1376" s="115"/>
      <c r="BD1376" s="115"/>
      <c r="BE1376" s="115"/>
      <c r="BF1376" s="26"/>
      <c r="BG1376" s="13"/>
      <c r="BK1376" s="118"/>
      <c r="BL1376" s="118"/>
      <c r="BM1376" s="118"/>
      <c r="BN1376" s="118"/>
    </row>
    <row r="1377" spans="1:66" ht="19.5" x14ac:dyDescent="0.4">
      <c r="B1377" s="115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22"/>
      <c r="AP1377" s="122"/>
      <c r="AQ1377" s="122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115"/>
      <c r="BF1377" s="26"/>
      <c r="BG1377" s="15"/>
      <c r="BK1377" s="118"/>
      <c r="BL1377" s="118"/>
      <c r="BM1377" s="118"/>
      <c r="BN1377" s="118"/>
    </row>
    <row r="1378" spans="1:66" ht="19.5" x14ac:dyDescent="0.4"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22"/>
      <c r="AP1378" s="122"/>
      <c r="AQ1378" s="122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15"/>
      <c r="BD1378" s="115"/>
      <c r="BE1378" s="115"/>
      <c r="BF1378" s="26"/>
      <c r="BG1378" s="15"/>
      <c r="BK1378" s="118"/>
      <c r="BL1378" s="118"/>
      <c r="BM1378" s="118"/>
      <c r="BN1378" s="118"/>
    </row>
    <row r="1379" spans="1:66" ht="19.5" x14ac:dyDescent="0.4">
      <c r="A1379" s="115"/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22"/>
      <c r="AP1379" s="122"/>
      <c r="AQ1379" s="122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15"/>
      <c r="BB1379" s="115"/>
      <c r="BC1379" s="115"/>
      <c r="BD1379" s="115"/>
      <c r="BE1379" s="115"/>
      <c r="BF1379" s="26"/>
      <c r="BG1379" s="15"/>
      <c r="BK1379" s="118"/>
      <c r="BL1379" s="118"/>
      <c r="BM1379" s="118"/>
      <c r="BN1379" s="118"/>
    </row>
    <row r="1380" spans="1:66" ht="19.5" x14ac:dyDescent="0.4">
      <c r="A1380" s="115"/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22"/>
      <c r="AP1380" s="122"/>
      <c r="AQ1380" s="122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115"/>
      <c r="BF1380" s="26"/>
      <c r="BG1380" s="15"/>
      <c r="BK1380" s="118"/>
      <c r="BL1380" s="118"/>
      <c r="BM1380" s="118"/>
      <c r="BN1380" s="118"/>
    </row>
    <row r="1381" spans="1:66" ht="20.25" customHeight="1" x14ac:dyDescent="0.4">
      <c r="A1381" s="115"/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22"/>
      <c r="AP1381" s="122"/>
      <c r="AQ1381" s="122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115"/>
      <c r="BF1381" s="26"/>
      <c r="BG1381" s="15"/>
      <c r="BK1381" s="118"/>
      <c r="BL1381" s="118"/>
      <c r="BM1381" s="118"/>
      <c r="BN1381" s="118"/>
    </row>
    <row r="1382" spans="1:66" x14ac:dyDescent="0.4">
      <c r="BF1382" s="26"/>
      <c r="BG1382" s="15"/>
    </row>
    <row r="1383" spans="1:66" x14ac:dyDescent="0.4">
      <c r="BF1383" s="26"/>
      <c r="BG1383" s="13"/>
    </row>
    <row r="1384" spans="1:66" x14ac:dyDescent="0.4">
      <c r="AJ1384" s="115"/>
      <c r="AK1384" s="115"/>
      <c r="AL1384" s="115"/>
      <c r="AM1384" s="115"/>
      <c r="AN1384" s="115"/>
      <c r="AO1384" s="122"/>
      <c r="AP1384" s="122"/>
      <c r="AQ1384" s="122"/>
      <c r="AR1384" s="115"/>
      <c r="AS1384" s="115"/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115"/>
      <c r="BF1384" s="26"/>
      <c r="BG1384" s="13"/>
    </row>
    <row r="1385" spans="1:66" x14ac:dyDescent="0.4">
      <c r="AJ1385" s="115"/>
      <c r="AK1385" s="115"/>
      <c r="AL1385" s="115"/>
      <c r="AM1385" s="115"/>
      <c r="AN1385" s="115"/>
      <c r="AO1385" s="122"/>
      <c r="AP1385" s="122"/>
      <c r="AQ1385" s="122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115"/>
      <c r="BC1385" s="115"/>
      <c r="BD1385" s="115"/>
      <c r="BE1385" s="115"/>
      <c r="BF1385" s="17"/>
      <c r="BG1385" s="13"/>
    </row>
    <row r="1386" spans="1:66" x14ac:dyDescent="0.4"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22"/>
      <c r="AP1386" s="122"/>
      <c r="AQ1386" s="122"/>
      <c r="AR1386" s="115"/>
      <c r="AS1386" s="115"/>
      <c r="AT1386" s="115"/>
      <c r="AU1386" s="115"/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15"/>
      <c r="BF1386" s="26"/>
      <c r="BG1386" s="13"/>
    </row>
    <row r="1387" spans="1:66" x14ac:dyDescent="0.4"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22"/>
      <c r="AP1387" s="122"/>
      <c r="AQ1387" s="122"/>
      <c r="AR1387" s="115"/>
      <c r="AS1387" s="115"/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115"/>
      <c r="BF1387" s="26"/>
      <c r="BG1387" s="13"/>
    </row>
    <row r="1388" spans="1:66" x14ac:dyDescent="0.4">
      <c r="BF1388" s="26"/>
      <c r="BG1388" s="13"/>
    </row>
    <row r="1389" spans="1:66" x14ac:dyDescent="0.4"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22"/>
      <c r="AP1389" s="122"/>
      <c r="AQ1389" s="122"/>
      <c r="AR1389" s="115"/>
      <c r="AS1389" s="115"/>
      <c r="AT1389" s="115"/>
      <c r="AU1389" s="115"/>
      <c r="AV1389" s="115"/>
      <c r="AW1389" s="115"/>
      <c r="AX1389" s="115"/>
      <c r="AY1389" s="115"/>
      <c r="AZ1389" s="115"/>
      <c r="BA1389" s="115"/>
      <c r="BB1389" s="115"/>
      <c r="BC1389" s="115"/>
      <c r="BD1389" s="115"/>
      <c r="BE1389" s="115"/>
      <c r="BF1389" s="26"/>
      <c r="BG1389" s="13"/>
    </row>
    <row r="1390" spans="1:66" x14ac:dyDescent="0.4"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22"/>
      <c r="AP1390" s="122"/>
      <c r="AQ1390" s="122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115"/>
      <c r="BB1390" s="115"/>
      <c r="BC1390" s="115"/>
      <c r="BD1390" s="115"/>
      <c r="BE1390" s="115"/>
      <c r="BF1390" s="26"/>
      <c r="BG1390" s="13"/>
    </row>
    <row r="1391" spans="1:66" x14ac:dyDescent="0.4">
      <c r="BF1391" s="26"/>
      <c r="BG1391" s="13"/>
    </row>
    <row r="1392" spans="1:66" x14ac:dyDescent="0.4"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22"/>
      <c r="AP1392" s="122"/>
      <c r="AQ1392" s="122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15"/>
      <c r="BF1392" s="26"/>
      <c r="BG1392" s="13"/>
    </row>
    <row r="1393" spans="1:59" x14ac:dyDescent="0.4">
      <c r="BF1393" s="26"/>
      <c r="BG1393" s="13"/>
    </row>
    <row r="1394" spans="1:59" x14ac:dyDescent="0.4">
      <c r="AI1394" s="115"/>
      <c r="AJ1394" s="115"/>
      <c r="AK1394" s="115"/>
      <c r="AL1394" s="115"/>
      <c r="AM1394" s="115"/>
      <c r="AN1394" s="115"/>
      <c r="AO1394" s="122"/>
      <c r="AP1394" s="122"/>
      <c r="AQ1394" s="122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115"/>
      <c r="BF1394" s="26"/>
      <c r="BG1394" s="13"/>
    </row>
    <row r="1395" spans="1:59" x14ac:dyDescent="0.4">
      <c r="BF1395" s="26"/>
      <c r="BG1395" s="13"/>
    </row>
    <row r="1396" spans="1:59" x14ac:dyDescent="0.4"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22"/>
      <c r="AP1396" s="122"/>
      <c r="AQ1396" s="122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115"/>
      <c r="BF1396" s="26"/>
      <c r="BG1396" s="15"/>
    </row>
    <row r="1397" spans="1:59" x14ac:dyDescent="0.4"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22"/>
      <c r="AP1397" s="122"/>
      <c r="AQ1397" s="122"/>
      <c r="AR1397" s="115"/>
      <c r="AS1397" s="115"/>
      <c r="AT1397" s="115"/>
      <c r="AU1397" s="115"/>
      <c r="AV1397" s="115"/>
      <c r="AW1397" s="115"/>
      <c r="AX1397" s="115"/>
      <c r="AY1397" s="115"/>
      <c r="AZ1397" s="115"/>
      <c r="BA1397" s="115"/>
      <c r="BB1397" s="115"/>
      <c r="BC1397" s="115"/>
      <c r="BD1397" s="115"/>
      <c r="BE1397" s="115"/>
      <c r="BF1397" s="26"/>
      <c r="BG1397" s="15"/>
    </row>
    <row r="1398" spans="1:59" x14ac:dyDescent="0.4"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22"/>
      <c r="AP1398" s="122"/>
      <c r="AQ1398" s="122"/>
      <c r="AR1398" s="115"/>
      <c r="AS1398" s="115"/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115"/>
      <c r="BF1398" s="26"/>
      <c r="BG1398" s="15"/>
    </row>
    <row r="1399" spans="1:59" x14ac:dyDescent="0.4">
      <c r="BF1399" s="26"/>
      <c r="BG1399" s="13"/>
    </row>
    <row r="1400" spans="1:59" x14ac:dyDescent="0.4">
      <c r="A1400" s="115"/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22"/>
      <c r="AP1400" s="122"/>
      <c r="AQ1400" s="122"/>
      <c r="AR1400" s="115"/>
      <c r="AS1400" s="115"/>
      <c r="AT1400" s="115"/>
      <c r="AU1400" s="115"/>
      <c r="AV1400" s="115"/>
      <c r="AW1400" s="115"/>
      <c r="AX1400" s="115"/>
      <c r="AY1400" s="115"/>
      <c r="AZ1400" s="115"/>
      <c r="BA1400" s="115"/>
      <c r="BB1400" s="115"/>
      <c r="BC1400" s="115"/>
      <c r="BD1400" s="115"/>
      <c r="BE1400" s="115"/>
      <c r="BF1400" s="26"/>
      <c r="BG1400" s="15"/>
    </row>
    <row r="1401" spans="1:59" x14ac:dyDescent="0.4">
      <c r="BF1401" s="26"/>
      <c r="BG1401" s="15"/>
    </row>
    <row r="1402" spans="1:59" x14ac:dyDescent="0.4">
      <c r="BF1402" s="26"/>
      <c r="BG1402" s="15"/>
    </row>
    <row r="1403" spans="1:59" x14ac:dyDescent="0.4"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22"/>
      <c r="AP1403" s="122"/>
      <c r="AQ1403" s="122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115"/>
      <c r="BF1403" s="26"/>
      <c r="BG1403" s="15"/>
    </row>
    <row r="1404" spans="1:59" x14ac:dyDescent="0.4"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22"/>
      <c r="AP1404" s="122"/>
      <c r="AQ1404" s="122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115"/>
      <c r="BF1404" s="26"/>
      <c r="BG1404" s="15"/>
    </row>
    <row r="1405" spans="1:59" x14ac:dyDescent="0.4">
      <c r="BF1405" s="26"/>
      <c r="BG1405" s="15"/>
    </row>
    <row r="1406" spans="1:59" x14ac:dyDescent="0.4">
      <c r="AH1406" s="115"/>
      <c r="AI1406" s="115"/>
      <c r="AJ1406" s="115"/>
      <c r="AK1406" s="115"/>
      <c r="AL1406" s="115"/>
      <c r="AM1406" s="115"/>
      <c r="AN1406" s="115"/>
      <c r="AO1406" s="122"/>
      <c r="AP1406" s="122"/>
      <c r="AQ1406" s="122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115"/>
      <c r="BF1406" s="26"/>
      <c r="BG1406" s="15"/>
    </row>
    <row r="1407" spans="1:59" x14ac:dyDescent="0.4"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22"/>
      <c r="AP1407" s="122"/>
      <c r="AQ1407" s="122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115"/>
      <c r="BF1407" s="26"/>
      <c r="BG1407" s="15"/>
    </row>
    <row r="1408" spans="1:59" x14ac:dyDescent="0.4"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22"/>
      <c r="AP1408" s="122"/>
      <c r="AQ1408" s="122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115"/>
      <c r="BC1408" s="115"/>
      <c r="BD1408" s="115"/>
      <c r="BE1408" s="115"/>
      <c r="BF1408" s="26"/>
      <c r="BG1408" s="15"/>
    </row>
    <row r="1409" spans="1:59" x14ac:dyDescent="0.4"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22"/>
      <c r="AP1409" s="122"/>
      <c r="AQ1409" s="122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15"/>
      <c r="BB1409" s="115"/>
      <c r="BC1409" s="115"/>
      <c r="BD1409" s="115"/>
      <c r="BE1409" s="115"/>
      <c r="BF1409" s="26"/>
      <c r="BG1409" s="15"/>
    </row>
    <row r="1410" spans="1:59" x14ac:dyDescent="0.4"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22"/>
      <c r="AP1410" s="122"/>
      <c r="AQ1410" s="122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15"/>
      <c r="BF1410" s="26"/>
      <c r="BG1410" s="15"/>
    </row>
    <row r="1411" spans="1:59" x14ac:dyDescent="0.4">
      <c r="BF1411" s="26"/>
      <c r="BG1411" s="15"/>
    </row>
    <row r="1412" spans="1:59" x14ac:dyDescent="0.4">
      <c r="AK1412" s="115"/>
      <c r="AL1412" s="115"/>
      <c r="AM1412" s="115"/>
      <c r="AN1412" s="115"/>
      <c r="AO1412" s="122"/>
      <c r="AP1412" s="122"/>
      <c r="AQ1412" s="122"/>
      <c r="AR1412" s="115"/>
      <c r="AS1412" s="115"/>
      <c r="AT1412" s="115"/>
      <c r="AU1412" s="115"/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15"/>
      <c r="BF1412" s="17"/>
      <c r="BG1412" s="15"/>
    </row>
    <row r="1413" spans="1:59" x14ac:dyDescent="0.4">
      <c r="BF1413" s="26"/>
      <c r="BG1413" s="15"/>
    </row>
    <row r="1414" spans="1:59" x14ac:dyDescent="0.4">
      <c r="AI1414" s="115"/>
      <c r="AJ1414" s="115"/>
      <c r="AK1414" s="115"/>
      <c r="AL1414" s="115"/>
      <c r="AM1414" s="115"/>
      <c r="AN1414" s="115"/>
      <c r="AO1414" s="122"/>
      <c r="AP1414" s="122"/>
      <c r="AQ1414" s="122"/>
      <c r="AR1414" s="115"/>
      <c r="AS1414" s="115"/>
      <c r="AT1414" s="115"/>
      <c r="AU1414" s="115"/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15"/>
      <c r="BF1414" s="26"/>
      <c r="BG1414" s="15"/>
    </row>
    <row r="1415" spans="1:59" x14ac:dyDescent="0.4">
      <c r="BF1415" s="26"/>
      <c r="BG1415" s="15"/>
    </row>
    <row r="1416" spans="1:59" x14ac:dyDescent="0.4">
      <c r="BF1416" s="26"/>
      <c r="BG1416" s="15"/>
    </row>
    <row r="1417" spans="1:59" x14ac:dyDescent="0.4"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22"/>
      <c r="AP1417" s="122"/>
      <c r="AQ1417" s="122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115"/>
      <c r="BF1417" s="26"/>
      <c r="BG1417" s="15"/>
    </row>
    <row r="1418" spans="1:59" x14ac:dyDescent="0.4"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22"/>
      <c r="AP1418" s="122"/>
      <c r="AQ1418" s="122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115"/>
      <c r="BF1418" s="26"/>
      <c r="BG1418" s="15"/>
    </row>
    <row r="1419" spans="1:59" x14ac:dyDescent="0.4">
      <c r="A1419" s="115"/>
      <c r="B1419" s="115"/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22"/>
      <c r="AP1419" s="122"/>
      <c r="AQ1419" s="122"/>
      <c r="AR1419" s="115"/>
      <c r="AS1419" s="115"/>
      <c r="AT1419" s="115"/>
      <c r="AU1419" s="115"/>
      <c r="AV1419" s="115"/>
      <c r="AW1419" s="115"/>
      <c r="AX1419" s="115"/>
      <c r="AY1419" s="115"/>
      <c r="AZ1419" s="115"/>
      <c r="BA1419" s="115"/>
      <c r="BB1419" s="115"/>
      <c r="BC1419" s="115"/>
      <c r="BD1419" s="115"/>
      <c r="BE1419" s="115"/>
      <c r="BF1419" s="26"/>
      <c r="BG1419" s="15"/>
    </row>
    <row r="1420" spans="1:59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22"/>
      <c r="AP1420" s="122"/>
      <c r="AQ1420" s="122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115"/>
      <c r="BC1420" s="115"/>
      <c r="BD1420" s="115"/>
      <c r="BE1420" s="115"/>
      <c r="BF1420" s="26"/>
      <c r="BG1420" s="15"/>
    </row>
    <row r="1421" spans="1:59" x14ac:dyDescent="0.4">
      <c r="BF1421" s="26"/>
      <c r="BG1421" s="15"/>
    </row>
    <row r="1422" spans="1:59" x14ac:dyDescent="0.4">
      <c r="AK1422" s="115"/>
      <c r="AL1422" s="115"/>
      <c r="AM1422" s="115"/>
      <c r="AN1422" s="115"/>
      <c r="AO1422" s="122"/>
      <c r="AP1422" s="122"/>
      <c r="AQ1422" s="122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15"/>
      <c r="BB1422" s="115"/>
      <c r="BC1422" s="115"/>
      <c r="BD1422" s="115"/>
      <c r="BE1422" s="115"/>
      <c r="BF1422" s="17"/>
      <c r="BG1422" s="15"/>
    </row>
    <row r="1423" spans="1:59" x14ac:dyDescent="0.4">
      <c r="BF1423" s="26"/>
      <c r="BG1423" s="15"/>
    </row>
    <row r="1424" spans="1:59" x14ac:dyDescent="0.4"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22"/>
      <c r="AP1424" s="122"/>
      <c r="AQ1424" s="122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115"/>
      <c r="BB1424" s="115"/>
      <c r="BC1424" s="115"/>
      <c r="BD1424" s="115"/>
      <c r="BE1424" s="115"/>
      <c r="BF1424" s="26"/>
      <c r="BG1424" s="15"/>
    </row>
    <row r="1425" spans="3:59" x14ac:dyDescent="0.4"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22"/>
      <c r="AP1425" s="122"/>
      <c r="AQ1425" s="122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115"/>
      <c r="BD1425" s="115"/>
      <c r="BE1425" s="115"/>
      <c r="BF1425" s="26"/>
      <c r="BG1425" s="15"/>
    </row>
    <row r="1426" spans="3:59" x14ac:dyDescent="0.4"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22"/>
      <c r="AP1426" s="122"/>
      <c r="AQ1426" s="122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115"/>
      <c r="BD1426" s="115"/>
      <c r="BE1426" s="115"/>
      <c r="BF1426" s="17"/>
      <c r="BG1426" s="15"/>
    </row>
    <row r="1427" spans="3:59" x14ac:dyDescent="0.4">
      <c r="BF1427" s="26"/>
      <c r="BG1427" s="15"/>
    </row>
    <row r="1428" spans="3:59" x14ac:dyDescent="0.4"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22"/>
      <c r="AP1428" s="122"/>
      <c r="AQ1428" s="122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115"/>
      <c r="BD1428" s="115"/>
      <c r="BE1428" s="115"/>
      <c r="BF1428" s="26"/>
      <c r="BG1428" s="15"/>
    </row>
    <row r="1429" spans="3:59" x14ac:dyDescent="0.4"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22"/>
      <c r="AP1429" s="122"/>
      <c r="AQ1429" s="122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115"/>
      <c r="BD1429" s="115"/>
      <c r="BE1429" s="115"/>
      <c r="BF1429" s="17"/>
      <c r="BG1429" s="15"/>
    </row>
    <row r="1430" spans="3:59" x14ac:dyDescent="0.4">
      <c r="BF1430" s="26"/>
      <c r="BG1430" s="15"/>
    </row>
    <row r="1431" spans="3:59" x14ac:dyDescent="0.4">
      <c r="AK1431" s="115"/>
      <c r="AL1431" s="115"/>
      <c r="AM1431" s="115"/>
      <c r="AN1431" s="115"/>
      <c r="AO1431" s="122"/>
      <c r="AP1431" s="122"/>
      <c r="AQ1431" s="122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115"/>
      <c r="BE1431" s="115"/>
      <c r="BF1431" s="17"/>
      <c r="BG1431" s="15"/>
    </row>
    <row r="1432" spans="3:59" x14ac:dyDescent="0.4"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22"/>
      <c r="AP1432" s="122"/>
      <c r="AQ1432" s="122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15"/>
      <c r="BB1432" s="115"/>
      <c r="BC1432" s="115"/>
      <c r="BD1432" s="115"/>
      <c r="BE1432" s="115"/>
      <c r="BF1432" s="26"/>
      <c r="BG1432" s="15"/>
    </row>
    <row r="1433" spans="3:59" x14ac:dyDescent="0.4"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22"/>
      <c r="AP1433" s="122"/>
      <c r="AQ1433" s="122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115"/>
      <c r="BD1433" s="115"/>
      <c r="BE1433" s="115"/>
      <c r="BF1433" s="17"/>
      <c r="BG1433" s="15"/>
    </row>
    <row r="1434" spans="3:59" x14ac:dyDescent="0.4">
      <c r="BF1434" s="26"/>
      <c r="BG1434" s="15"/>
    </row>
    <row r="1435" spans="3:59" x14ac:dyDescent="0.4">
      <c r="BF1435" s="26"/>
      <c r="BG1435" s="15"/>
    </row>
    <row r="1436" spans="3:59" x14ac:dyDescent="0.4">
      <c r="AJ1436" s="115"/>
      <c r="AK1436" s="115"/>
      <c r="AL1436" s="115"/>
      <c r="AM1436" s="115"/>
      <c r="AN1436" s="115"/>
      <c r="AO1436" s="122"/>
      <c r="AP1436" s="122"/>
      <c r="AQ1436" s="122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115"/>
      <c r="BE1436" s="115"/>
      <c r="BF1436" s="26"/>
      <c r="BG1436" s="15"/>
    </row>
    <row r="1437" spans="3:59" x14ac:dyDescent="0.4">
      <c r="AH1437" s="115"/>
      <c r="AI1437" s="115"/>
      <c r="AJ1437" s="115"/>
      <c r="AK1437" s="115"/>
      <c r="AL1437" s="115"/>
      <c r="AM1437" s="115"/>
      <c r="AN1437" s="115"/>
      <c r="AO1437" s="122"/>
      <c r="AP1437" s="122"/>
      <c r="AQ1437" s="122"/>
      <c r="AR1437" s="115"/>
      <c r="AS1437" s="115"/>
      <c r="AT1437" s="115"/>
      <c r="AU1437" s="115"/>
      <c r="AV1437" s="115"/>
      <c r="AW1437" s="115"/>
      <c r="AX1437" s="115"/>
      <c r="AY1437" s="115"/>
      <c r="AZ1437" s="115"/>
      <c r="BA1437" s="115"/>
      <c r="BB1437" s="115"/>
      <c r="BC1437" s="115"/>
      <c r="BD1437" s="115"/>
      <c r="BE1437" s="115"/>
      <c r="BF1437" s="26"/>
      <c r="BG1437" s="15"/>
    </row>
    <row r="1438" spans="3:59" x14ac:dyDescent="0.4">
      <c r="AH1438" s="115"/>
      <c r="AI1438" s="115"/>
      <c r="AJ1438" s="115"/>
      <c r="AK1438" s="115"/>
      <c r="AL1438" s="115"/>
      <c r="AM1438" s="115"/>
      <c r="AN1438" s="115"/>
      <c r="AO1438" s="122"/>
      <c r="AP1438" s="122"/>
      <c r="AQ1438" s="122"/>
      <c r="AR1438" s="115"/>
      <c r="AS1438" s="115"/>
      <c r="AT1438" s="115"/>
      <c r="AU1438" s="115"/>
      <c r="AV1438" s="115"/>
      <c r="AW1438" s="115"/>
      <c r="AX1438" s="115"/>
      <c r="AY1438" s="115"/>
      <c r="AZ1438" s="115"/>
      <c r="BA1438" s="115"/>
      <c r="BB1438" s="115"/>
      <c r="BC1438" s="115"/>
      <c r="BD1438" s="115"/>
      <c r="BE1438" s="115"/>
      <c r="BF1438" s="26"/>
      <c r="BG1438" s="15"/>
    </row>
    <row r="1439" spans="3:59" x14ac:dyDescent="0.4"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22"/>
      <c r="AP1439" s="122"/>
      <c r="AQ1439" s="122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115"/>
      <c r="BE1439" s="115"/>
      <c r="BF1439" s="26"/>
      <c r="BG1439" s="15"/>
    </row>
    <row r="1440" spans="3:59" x14ac:dyDescent="0.4"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22"/>
      <c r="AP1440" s="122"/>
      <c r="AQ1440" s="122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115"/>
      <c r="BC1440" s="115"/>
      <c r="BD1440" s="115"/>
      <c r="BE1440" s="115"/>
      <c r="BF1440" s="26"/>
      <c r="BG1440" s="15"/>
    </row>
    <row r="1441" spans="3:59" x14ac:dyDescent="0.4">
      <c r="BF1441" s="26"/>
      <c r="BG1441" s="15"/>
    </row>
    <row r="1442" spans="3:59" x14ac:dyDescent="0.4">
      <c r="AJ1442" s="115"/>
      <c r="AK1442" s="115"/>
      <c r="AL1442" s="115"/>
      <c r="AM1442" s="115"/>
      <c r="AN1442" s="115"/>
      <c r="AO1442" s="122"/>
      <c r="AP1442" s="122"/>
      <c r="AQ1442" s="122"/>
      <c r="AR1442" s="115"/>
      <c r="AS1442" s="115"/>
      <c r="AT1442" s="115"/>
      <c r="AU1442" s="115"/>
      <c r="AV1442" s="115"/>
      <c r="AW1442" s="115"/>
      <c r="AX1442" s="115"/>
      <c r="AY1442" s="115"/>
      <c r="AZ1442" s="115"/>
      <c r="BA1442" s="115"/>
      <c r="BB1442" s="115"/>
      <c r="BC1442" s="115"/>
      <c r="BD1442" s="115"/>
      <c r="BE1442" s="115"/>
      <c r="BF1442" s="26"/>
      <c r="BG1442" s="15"/>
    </row>
    <row r="1443" spans="3:59" x14ac:dyDescent="0.4">
      <c r="BF1443" s="26"/>
      <c r="BG1443" s="15"/>
    </row>
    <row r="1444" spans="3:59" x14ac:dyDescent="0.4">
      <c r="AK1444" s="115"/>
      <c r="AL1444" s="115"/>
      <c r="AM1444" s="115"/>
      <c r="AN1444" s="115"/>
      <c r="AO1444" s="122"/>
      <c r="AP1444" s="122"/>
      <c r="AQ1444" s="122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115"/>
      <c r="BC1444" s="115"/>
      <c r="BD1444" s="115"/>
      <c r="BE1444" s="115"/>
      <c r="BF1444" s="17"/>
      <c r="BG1444" s="15"/>
    </row>
    <row r="1445" spans="3:59" x14ac:dyDescent="0.4">
      <c r="AJ1445" s="115"/>
      <c r="AK1445" s="115"/>
      <c r="AL1445" s="115"/>
      <c r="AM1445" s="115"/>
      <c r="AN1445" s="115"/>
      <c r="AO1445" s="122"/>
      <c r="AP1445" s="122"/>
      <c r="AQ1445" s="122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15"/>
      <c r="BC1445" s="115"/>
      <c r="BD1445" s="115"/>
      <c r="BE1445" s="115"/>
      <c r="BF1445" s="26"/>
      <c r="BG1445" s="15"/>
    </row>
    <row r="1446" spans="3:59" x14ac:dyDescent="0.4"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22"/>
      <c r="AP1446" s="122"/>
      <c r="AQ1446" s="122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115"/>
      <c r="BE1446" s="115"/>
      <c r="BF1446" s="26"/>
      <c r="BG1446" s="15"/>
    </row>
    <row r="1447" spans="3:59" x14ac:dyDescent="0.4"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22"/>
      <c r="AP1447" s="122"/>
      <c r="AQ1447" s="122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115"/>
      <c r="BD1447" s="115"/>
      <c r="BE1447" s="115"/>
      <c r="BF1447" s="17"/>
      <c r="BG1447" s="15"/>
    </row>
    <row r="1448" spans="3:59" x14ac:dyDescent="0.4">
      <c r="BF1448" s="26"/>
      <c r="BG1448" s="15"/>
    </row>
    <row r="1449" spans="3:59" x14ac:dyDescent="0.4">
      <c r="AK1449" s="115"/>
      <c r="AL1449" s="115"/>
      <c r="AM1449" s="115"/>
      <c r="AN1449" s="115"/>
      <c r="AO1449" s="122"/>
      <c r="AP1449" s="122"/>
      <c r="AQ1449" s="122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115"/>
      <c r="BE1449" s="115"/>
      <c r="BF1449" s="17"/>
      <c r="BG1449" s="15"/>
    </row>
    <row r="1450" spans="3:59" x14ac:dyDescent="0.4">
      <c r="AJ1450" s="115"/>
      <c r="AK1450" s="115"/>
      <c r="AL1450" s="115"/>
      <c r="AM1450" s="115"/>
      <c r="AN1450" s="115"/>
      <c r="AO1450" s="122"/>
      <c r="AP1450" s="122"/>
      <c r="AQ1450" s="122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115"/>
      <c r="BE1450" s="115"/>
      <c r="BF1450" s="26"/>
      <c r="BG1450" s="15"/>
    </row>
    <row r="1451" spans="3:59" x14ac:dyDescent="0.4">
      <c r="AJ1451" s="115"/>
      <c r="AK1451" s="115"/>
      <c r="AL1451" s="115"/>
      <c r="AM1451" s="115"/>
      <c r="AN1451" s="115"/>
      <c r="AO1451" s="122"/>
      <c r="AP1451" s="122"/>
      <c r="AQ1451" s="122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115"/>
      <c r="BC1451" s="115"/>
      <c r="BD1451" s="115"/>
      <c r="BE1451" s="115"/>
      <c r="BF1451" s="17"/>
      <c r="BG1451" s="15"/>
    </row>
    <row r="1452" spans="3:59" x14ac:dyDescent="0.4">
      <c r="AJ1452" s="115"/>
      <c r="AK1452" s="115"/>
      <c r="AL1452" s="115"/>
      <c r="AM1452" s="115"/>
      <c r="AN1452" s="115"/>
      <c r="AO1452" s="122"/>
      <c r="AP1452" s="122"/>
      <c r="AQ1452" s="122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15"/>
      <c r="BC1452" s="115"/>
      <c r="BD1452" s="115"/>
      <c r="BE1452" s="115"/>
      <c r="BF1452" s="17"/>
      <c r="BG1452" s="15"/>
    </row>
    <row r="1453" spans="3:59" x14ac:dyDescent="0.4"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22"/>
      <c r="AP1453" s="122"/>
      <c r="AQ1453" s="122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115"/>
      <c r="BC1453" s="115"/>
      <c r="BD1453" s="115"/>
      <c r="BE1453" s="115"/>
      <c r="BF1453" s="26"/>
      <c r="BG1453" s="15"/>
    </row>
    <row r="1454" spans="3:59" x14ac:dyDescent="0.4"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22"/>
      <c r="AP1454" s="122"/>
      <c r="AQ1454" s="122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115"/>
      <c r="BE1454" s="115"/>
      <c r="BF1454" s="26"/>
      <c r="BG1454" s="15"/>
    </row>
    <row r="1455" spans="3:59" x14ac:dyDescent="0.4"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22"/>
      <c r="AP1455" s="122"/>
      <c r="AQ1455" s="122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115"/>
      <c r="BD1455" s="115"/>
      <c r="BE1455" s="115"/>
      <c r="BF1455" s="26"/>
      <c r="BG1455" s="15"/>
    </row>
    <row r="1456" spans="3:59" x14ac:dyDescent="0.4"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22"/>
      <c r="AP1456" s="122"/>
      <c r="AQ1456" s="122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115"/>
      <c r="BF1456" s="26"/>
      <c r="BG1456" s="15"/>
    </row>
    <row r="1457" spans="3:59" x14ac:dyDescent="0.4"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22"/>
      <c r="AP1457" s="122"/>
      <c r="AQ1457" s="122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15"/>
      <c r="BD1457" s="115"/>
      <c r="BE1457" s="115"/>
      <c r="BF1457" s="26"/>
      <c r="BG1457" s="15"/>
    </row>
    <row r="1458" spans="3:59" x14ac:dyDescent="0.4"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22"/>
      <c r="AP1458" s="122"/>
      <c r="AQ1458" s="122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15"/>
      <c r="BE1458" s="115"/>
      <c r="BF1458" s="17"/>
      <c r="BG1458" s="15"/>
    </row>
    <row r="1459" spans="3:59" x14ac:dyDescent="0.4">
      <c r="BF1459" s="26"/>
      <c r="BG1459" s="15"/>
    </row>
    <row r="1460" spans="3:59" x14ac:dyDescent="0.4">
      <c r="AJ1460" s="115"/>
      <c r="AK1460" s="115"/>
      <c r="AL1460" s="115"/>
      <c r="AM1460" s="115"/>
      <c r="AN1460" s="115"/>
      <c r="AO1460" s="122"/>
      <c r="AP1460" s="122"/>
      <c r="AQ1460" s="122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115"/>
      <c r="BD1460" s="115"/>
      <c r="BE1460" s="115"/>
      <c r="BF1460" s="17"/>
      <c r="BG1460" s="13"/>
    </row>
    <row r="1461" spans="3:59" x14ac:dyDescent="0.4">
      <c r="AJ1461" s="115"/>
      <c r="AK1461" s="115"/>
      <c r="AL1461" s="115"/>
      <c r="AM1461" s="115"/>
      <c r="AN1461" s="115"/>
      <c r="AO1461" s="122"/>
      <c r="AP1461" s="122"/>
      <c r="AQ1461" s="122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15"/>
      <c r="BC1461" s="115"/>
      <c r="BD1461" s="115"/>
      <c r="BE1461" s="115"/>
      <c r="BF1461" s="17"/>
      <c r="BG1461" s="13"/>
    </row>
    <row r="1462" spans="3:59" x14ac:dyDescent="0.4">
      <c r="AH1462" s="115"/>
      <c r="AI1462" s="115"/>
      <c r="AJ1462" s="115"/>
      <c r="AK1462" s="115"/>
      <c r="AL1462" s="115"/>
      <c r="AM1462" s="115"/>
      <c r="AN1462" s="115"/>
      <c r="AO1462" s="122"/>
      <c r="AP1462" s="122"/>
      <c r="AQ1462" s="122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15"/>
      <c r="BE1462" s="115"/>
      <c r="BF1462" s="26"/>
      <c r="BG1462" s="13"/>
    </row>
    <row r="1463" spans="3:59" x14ac:dyDescent="0.4">
      <c r="AH1463" s="115"/>
      <c r="AI1463" s="115"/>
      <c r="AJ1463" s="115"/>
      <c r="AK1463" s="115"/>
      <c r="AL1463" s="115"/>
      <c r="AM1463" s="115"/>
      <c r="AN1463" s="115"/>
      <c r="AO1463" s="122"/>
      <c r="AP1463" s="122"/>
      <c r="AQ1463" s="122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115"/>
      <c r="BD1463" s="115"/>
      <c r="BE1463" s="115"/>
      <c r="BF1463" s="17"/>
      <c r="BG1463" s="13"/>
    </row>
    <row r="1464" spans="3:59" x14ac:dyDescent="0.4">
      <c r="BF1464" s="26"/>
      <c r="BG1464" s="13"/>
    </row>
    <row r="1465" spans="3:59" x14ac:dyDescent="0.4">
      <c r="AI1465" s="115"/>
      <c r="AJ1465" s="115"/>
      <c r="AK1465" s="115"/>
      <c r="AL1465" s="115"/>
      <c r="AM1465" s="115"/>
      <c r="AN1465" s="115"/>
      <c r="AO1465" s="122"/>
      <c r="AP1465" s="122"/>
      <c r="AQ1465" s="122"/>
      <c r="AR1465" s="115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15"/>
      <c r="BC1465" s="115"/>
      <c r="BD1465" s="115"/>
      <c r="BE1465" s="115"/>
      <c r="BF1465" s="17"/>
      <c r="BG1465" s="13"/>
    </row>
    <row r="1466" spans="3:59" x14ac:dyDescent="0.4">
      <c r="BF1466" s="26"/>
      <c r="BG1466" s="13"/>
    </row>
    <row r="1467" spans="3:59" x14ac:dyDescent="0.4">
      <c r="BF1467" s="26"/>
      <c r="BG1467" s="13"/>
    </row>
    <row r="1468" spans="3:59" x14ac:dyDescent="0.4"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22"/>
      <c r="AP1468" s="122"/>
      <c r="AQ1468" s="122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115"/>
      <c r="BB1468" s="115"/>
      <c r="BC1468" s="115"/>
      <c r="BD1468" s="115"/>
      <c r="BE1468" s="115"/>
      <c r="BF1468" s="26"/>
      <c r="BG1468" s="13"/>
    </row>
    <row r="1469" spans="3:59" x14ac:dyDescent="0.4"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22"/>
      <c r="AP1469" s="122"/>
      <c r="AQ1469" s="122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115"/>
      <c r="BF1469" s="26"/>
      <c r="BG1469" s="13"/>
    </row>
    <row r="1470" spans="3:59" x14ac:dyDescent="0.4">
      <c r="BF1470" s="26"/>
      <c r="BG1470" s="13"/>
    </row>
    <row r="1471" spans="3:59" x14ac:dyDescent="0.4">
      <c r="BF1471" s="26"/>
      <c r="BG1471" s="13"/>
    </row>
    <row r="1472" spans="3:59" x14ac:dyDescent="0.4"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22"/>
      <c r="AP1472" s="122"/>
      <c r="AQ1472" s="122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15"/>
      <c r="BF1472" s="26"/>
      <c r="BG1472" s="13"/>
    </row>
    <row r="1473" spans="2:59" x14ac:dyDescent="0.4">
      <c r="BF1473" s="26"/>
      <c r="BG1473" s="105"/>
    </row>
    <row r="1474" spans="2:59" x14ac:dyDescent="0.4"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22"/>
      <c r="AP1474" s="122"/>
      <c r="AQ1474" s="122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15"/>
      <c r="BF1474" s="26"/>
      <c r="BG1474" s="15"/>
    </row>
    <row r="1475" spans="2:59" x14ac:dyDescent="0.4"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22"/>
      <c r="AP1475" s="122"/>
      <c r="AQ1475" s="122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15"/>
      <c r="BE1475" s="115"/>
      <c r="BF1475" s="17"/>
      <c r="BG1475" s="15"/>
    </row>
    <row r="1476" spans="2:59" x14ac:dyDescent="0.4">
      <c r="BF1476" s="26"/>
      <c r="BG1476" s="15"/>
    </row>
    <row r="1477" spans="2:59" x14ac:dyDescent="0.4"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22"/>
      <c r="AP1477" s="122"/>
      <c r="AQ1477" s="122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115"/>
      <c r="BF1477" s="26"/>
      <c r="BG1477" s="15"/>
    </row>
    <row r="1478" spans="2:59" x14ac:dyDescent="0.4"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22"/>
      <c r="AP1478" s="122"/>
      <c r="AQ1478" s="122"/>
      <c r="AR1478" s="115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15"/>
      <c r="BF1478" s="26"/>
      <c r="BG1478" s="15"/>
    </row>
    <row r="1479" spans="2:59" x14ac:dyDescent="0.4"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22"/>
      <c r="AP1479" s="122"/>
      <c r="AQ1479" s="122"/>
      <c r="AR1479" s="115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15"/>
      <c r="BF1479" s="26"/>
      <c r="BG1479" s="13"/>
    </row>
    <row r="1480" spans="2:59" x14ac:dyDescent="0.4">
      <c r="BF1480" s="26"/>
      <c r="BG1480" s="15"/>
    </row>
    <row r="1481" spans="2:59" x14ac:dyDescent="0.4"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22"/>
      <c r="AP1481" s="122"/>
      <c r="AQ1481" s="122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26"/>
      <c r="BG1481" s="15"/>
    </row>
    <row r="1482" spans="2:59" x14ac:dyDescent="0.4"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22"/>
      <c r="AP1482" s="122"/>
      <c r="AQ1482" s="122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26"/>
      <c r="BG1482" s="15"/>
    </row>
    <row r="1483" spans="2:59" x14ac:dyDescent="0.4"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22"/>
      <c r="AP1483" s="122"/>
      <c r="AQ1483" s="122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15"/>
      <c r="BE1483" s="115"/>
      <c r="BF1483" s="26"/>
      <c r="BG1483" s="15"/>
    </row>
    <row r="1484" spans="2:59" x14ac:dyDescent="0.4"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22"/>
      <c r="AP1484" s="122"/>
      <c r="AQ1484" s="122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115"/>
      <c r="BF1484" s="26"/>
      <c r="BG1484" s="15"/>
    </row>
    <row r="1485" spans="2:59" x14ac:dyDescent="0.4"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22"/>
      <c r="AP1485" s="122"/>
      <c r="AQ1485" s="122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115"/>
      <c r="BE1485" s="115"/>
      <c r="BF1485" s="26"/>
      <c r="BG1485" s="15"/>
    </row>
    <row r="1486" spans="2:59" x14ac:dyDescent="0.4"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22"/>
      <c r="AP1486" s="122"/>
      <c r="AQ1486" s="122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15"/>
      <c r="BD1486" s="115"/>
      <c r="BE1486" s="115"/>
      <c r="BF1486" s="26"/>
      <c r="BG1486" s="15"/>
    </row>
    <row r="1487" spans="2:59" ht="19.5" customHeight="1" x14ac:dyDescent="0.4">
      <c r="B1487" s="115"/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22"/>
      <c r="AP1487" s="122"/>
      <c r="AQ1487" s="122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115"/>
      <c r="BF1487" s="26"/>
      <c r="BG1487" s="15"/>
    </row>
    <row r="1488" spans="2:59" ht="19.5" customHeight="1" x14ac:dyDescent="0.4"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22"/>
      <c r="AP1488" s="122"/>
      <c r="AQ1488" s="122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15"/>
      <c r="BF1488" s="26"/>
      <c r="BG1488" s="15"/>
    </row>
    <row r="1489" spans="1:59" x14ac:dyDescent="0.4">
      <c r="BF1489" s="26"/>
      <c r="BG1489" s="15"/>
    </row>
    <row r="1490" spans="1:59" x14ac:dyDescent="0.4"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22"/>
      <c r="AP1490" s="122"/>
      <c r="AQ1490" s="122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15"/>
      <c r="BE1490" s="115"/>
      <c r="BF1490" s="26"/>
      <c r="BG1490" s="15"/>
    </row>
    <row r="1491" spans="1:59" x14ac:dyDescent="0.4"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22"/>
      <c r="AP1491" s="122"/>
      <c r="AQ1491" s="122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15"/>
      <c r="BD1491" s="115"/>
      <c r="BE1491" s="115"/>
      <c r="BF1491" s="26"/>
      <c r="BG1491" s="15"/>
    </row>
    <row r="1492" spans="1:59" x14ac:dyDescent="0.4"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22"/>
      <c r="AP1492" s="122"/>
      <c r="AQ1492" s="122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7"/>
      <c r="BG1492" s="15"/>
    </row>
    <row r="1493" spans="1:59" x14ac:dyDescent="0.4">
      <c r="BF1493" s="26"/>
      <c r="BG1493" s="15"/>
    </row>
    <row r="1494" spans="1:59" x14ac:dyDescent="0.4">
      <c r="AI1494" s="115"/>
      <c r="AJ1494" s="115"/>
      <c r="AK1494" s="115"/>
      <c r="AL1494" s="115"/>
      <c r="AM1494" s="115"/>
      <c r="AN1494" s="115"/>
      <c r="AO1494" s="122"/>
      <c r="AP1494" s="122"/>
      <c r="AQ1494" s="122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115"/>
      <c r="BF1494" s="17"/>
      <c r="BG1494" s="15"/>
    </row>
    <row r="1495" spans="1:59" x14ac:dyDescent="0.4"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22"/>
      <c r="AP1495" s="122"/>
      <c r="AQ1495" s="122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26"/>
      <c r="BG1495" s="15"/>
    </row>
    <row r="1496" spans="1:59" x14ac:dyDescent="0.4">
      <c r="BF1496" s="26"/>
      <c r="BG1496" s="15"/>
    </row>
    <row r="1497" spans="1:59" x14ac:dyDescent="0.4">
      <c r="BF1497" s="26"/>
      <c r="BG1497" s="15"/>
    </row>
    <row r="1498" spans="1:59" x14ac:dyDescent="0.4">
      <c r="AH1498" s="115"/>
      <c r="AI1498" s="115"/>
      <c r="AJ1498" s="115"/>
      <c r="AK1498" s="115"/>
      <c r="AL1498" s="115"/>
      <c r="AM1498" s="115"/>
      <c r="AN1498" s="115"/>
      <c r="AO1498" s="122"/>
      <c r="AP1498" s="122"/>
      <c r="AQ1498" s="122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115"/>
      <c r="BE1498" s="115"/>
      <c r="BF1498" s="26"/>
      <c r="BG1498" s="15"/>
    </row>
    <row r="1499" spans="1:59" x14ac:dyDescent="0.4">
      <c r="BF1499" s="26"/>
      <c r="BG1499" s="15"/>
    </row>
    <row r="1500" spans="1:59" x14ac:dyDescent="0.4">
      <c r="AI1500" s="115"/>
      <c r="AJ1500" s="115"/>
      <c r="AK1500" s="115"/>
      <c r="AL1500" s="115"/>
      <c r="AM1500" s="115"/>
      <c r="AN1500" s="115"/>
      <c r="AO1500" s="122"/>
      <c r="AP1500" s="122"/>
      <c r="AQ1500" s="122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15"/>
      <c r="BC1500" s="115"/>
      <c r="BD1500" s="115"/>
      <c r="BE1500" s="115"/>
      <c r="BF1500" s="17"/>
      <c r="BG1500" s="15"/>
    </row>
    <row r="1501" spans="1:59" x14ac:dyDescent="0.4">
      <c r="A1501" s="115"/>
      <c r="B1501" s="115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22"/>
      <c r="AP1501" s="122"/>
      <c r="AQ1501" s="122"/>
      <c r="AR1501" s="115"/>
      <c r="AS1501" s="115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15"/>
      <c r="BF1501" s="26"/>
      <c r="BG1501" s="15"/>
    </row>
    <row r="1502" spans="1:59" x14ac:dyDescent="0.4">
      <c r="A1502" s="115"/>
      <c r="B1502" s="115"/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22"/>
      <c r="AP1502" s="122"/>
      <c r="AQ1502" s="122"/>
      <c r="AR1502" s="115"/>
      <c r="AS1502" s="115"/>
      <c r="AT1502" s="115"/>
      <c r="AU1502" s="115"/>
      <c r="AV1502" s="115"/>
      <c r="AW1502" s="115"/>
      <c r="AX1502" s="115"/>
      <c r="AY1502" s="115"/>
      <c r="AZ1502" s="115"/>
      <c r="BA1502" s="115"/>
      <c r="BB1502" s="115"/>
      <c r="BC1502" s="115"/>
      <c r="BD1502" s="115"/>
      <c r="BE1502" s="115"/>
      <c r="BF1502" s="17"/>
      <c r="BG1502" s="13"/>
    </row>
    <row r="1503" spans="1:59" x14ac:dyDescent="0.4">
      <c r="A1503" s="115"/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22"/>
      <c r="AP1503" s="122"/>
      <c r="AQ1503" s="122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15"/>
      <c r="BE1503" s="115"/>
      <c r="BF1503" s="17"/>
      <c r="BG1503" s="13"/>
    </row>
    <row r="1504" spans="1:59" x14ac:dyDescent="0.4">
      <c r="BF1504" s="26"/>
      <c r="BG1504" s="13"/>
    </row>
    <row r="1505" spans="1:59" x14ac:dyDescent="0.4"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22"/>
      <c r="AP1505" s="122"/>
      <c r="AQ1505" s="122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15"/>
      <c r="BF1505" s="26"/>
      <c r="BG1505" s="15"/>
    </row>
    <row r="1506" spans="1:59" x14ac:dyDescent="0.4"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22"/>
      <c r="AP1506" s="122"/>
      <c r="AQ1506" s="122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26"/>
      <c r="BG1506" s="15"/>
    </row>
    <row r="1507" spans="1:59" x14ac:dyDescent="0.4">
      <c r="BF1507" s="26"/>
      <c r="BG1507" s="15"/>
    </row>
    <row r="1508" spans="1:59" x14ac:dyDescent="0.4"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22"/>
      <c r="AP1508" s="122"/>
      <c r="AQ1508" s="122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15"/>
      <c r="BF1508" s="26"/>
      <c r="BG1508" s="15"/>
    </row>
    <row r="1509" spans="1:59" x14ac:dyDescent="0.4"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22"/>
      <c r="AP1509" s="122"/>
      <c r="AQ1509" s="122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115"/>
      <c r="BD1509" s="115"/>
      <c r="BE1509" s="115"/>
      <c r="BF1509" s="26"/>
      <c r="BG1509" s="15"/>
    </row>
    <row r="1510" spans="1:59" x14ac:dyDescent="0.4"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22"/>
      <c r="AP1510" s="122"/>
      <c r="AQ1510" s="122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15"/>
      <c r="BF1510" s="26"/>
      <c r="BG1510" s="15"/>
    </row>
    <row r="1511" spans="1:59" x14ac:dyDescent="0.4"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22"/>
      <c r="AP1511" s="122"/>
      <c r="AQ1511" s="122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26"/>
      <c r="BG1511" s="15"/>
    </row>
    <row r="1512" spans="1:59" x14ac:dyDescent="0.4">
      <c r="BF1512" s="26"/>
      <c r="BG1512" s="15"/>
    </row>
    <row r="1513" spans="1:59" x14ac:dyDescent="0.4"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22"/>
      <c r="AP1513" s="122"/>
      <c r="AQ1513" s="122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15"/>
      <c r="BF1513" s="26"/>
      <c r="BG1513" s="15"/>
    </row>
    <row r="1514" spans="1:59" x14ac:dyDescent="0.4">
      <c r="BF1514" s="26"/>
      <c r="BG1514" s="15"/>
    </row>
    <row r="1515" spans="1:59" x14ac:dyDescent="0.4"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22"/>
      <c r="AP1515" s="122"/>
      <c r="AQ1515" s="122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15"/>
      <c r="BF1515" s="26"/>
      <c r="BG1515" s="15"/>
    </row>
    <row r="1516" spans="1:59" x14ac:dyDescent="0.4"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22"/>
      <c r="AP1516" s="122"/>
      <c r="AQ1516" s="122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15"/>
      <c r="BD1516" s="115"/>
      <c r="BE1516" s="115"/>
      <c r="BF1516" s="26"/>
      <c r="BG1516" s="15"/>
    </row>
    <row r="1517" spans="1:59" x14ac:dyDescent="0.4"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22"/>
      <c r="AP1517" s="122"/>
      <c r="AQ1517" s="122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15"/>
      <c r="BF1517" s="17"/>
      <c r="BG1517" s="15"/>
    </row>
    <row r="1518" spans="1:59" x14ac:dyDescent="0.4">
      <c r="BF1518" s="26"/>
      <c r="BG1518" s="15"/>
    </row>
    <row r="1519" spans="1:59" x14ac:dyDescent="0.4">
      <c r="BF1519" s="26"/>
      <c r="BG1519" s="15"/>
    </row>
    <row r="1520" spans="1:59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22"/>
      <c r="AP1520" s="122"/>
      <c r="AQ1520" s="122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15"/>
      <c r="BF1520" s="26"/>
      <c r="BG1520" s="15"/>
    </row>
    <row r="1521" spans="1:59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22"/>
      <c r="AP1521" s="122"/>
      <c r="AQ1521" s="122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15"/>
      <c r="BF1521" s="17"/>
      <c r="BG1521" s="15"/>
    </row>
    <row r="1522" spans="1:59" x14ac:dyDescent="0.4">
      <c r="BF1522" s="26"/>
      <c r="BG1522" s="15"/>
    </row>
    <row r="1523" spans="1:59" ht="17.25" customHeight="1" x14ac:dyDescent="0.4"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22"/>
      <c r="AP1523" s="122"/>
      <c r="AQ1523" s="122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115"/>
      <c r="BF1523" s="26"/>
      <c r="BG1523" s="15"/>
    </row>
    <row r="1524" spans="1:59" x14ac:dyDescent="0.4">
      <c r="BF1524" s="26"/>
      <c r="BG1524" s="15"/>
    </row>
    <row r="1525" spans="1:59" x14ac:dyDescent="0.4">
      <c r="AH1525" s="115"/>
      <c r="AI1525" s="115"/>
      <c r="AJ1525" s="115"/>
      <c r="AK1525" s="115"/>
      <c r="AL1525" s="115"/>
      <c r="AM1525" s="115"/>
      <c r="AN1525" s="115"/>
      <c r="AO1525" s="122"/>
      <c r="AP1525" s="122"/>
      <c r="AQ1525" s="122"/>
      <c r="AR1525" s="115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7"/>
      <c r="BG1525" s="15"/>
    </row>
    <row r="1526" spans="1:59" ht="16.5" customHeight="1" x14ac:dyDescent="0.4">
      <c r="A1526" s="115"/>
      <c r="B1526" s="115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22"/>
      <c r="AP1526" s="122"/>
      <c r="AQ1526" s="122"/>
      <c r="AR1526" s="115"/>
      <c r="AS1526" s="115"/>
      <c r="AT1526" s="115"/>
      <c r="AU1526" s="115"/>
      <c r="AV1526" s="115"/>
      <c r="AW1526" s="115"/>
      <c r="AX1526" s="115"/>
      <c r="AY1526" s="115"/>
      <c r="AZ1526" s="115"/>
      <c r="BA1526" s="115"/>
      <c r="BB1526" s="115"/>
      <c r="BC1526" s="115"/>
      <c r="BD1526" s="115"/>
      <c r="BE1526" s="115"/>
      <c r="BF1526" s="26"/>
      <c r="BG1526" s="15"/>
    </row>
    <row r="1527" spans="1:59" ht="22.5" customHeight="1" x14ac:dyDescent="0.4">
      <c r="A1527" s="115"/>
      <c r="B1527" s="115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22"/>
      <c r="AP1527" s="122"/>
      <c r="AQ1527" s="122"/>
      <c r="AR1527" s="115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26"/>
      <c r="BG1527" s="15"/>
    </row>
    <row r="1528" spans="1:59" x14ac:dyDescent="0.4">
      <c r="BF1528" s="26"/>
      <c r="BG1528" s="15"/>
    </row>
    <row r="1529" spans="1:59" x14ac:dyDescent="0.4">
      <c r="BF1529" s="26"/>
      <c r="BG1529" s="105"/>
    </row>
    <row r="1530" spans="1:59" x14ac:dyDescent="0.4">
      <c r="A1530" s="115"/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22"/>
      <c r="AP1530" s="122"/>
      <c r="AQ1530" s="122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26"/>
      <c r="BG1530" s="15"/>
    </row>
    <row r="1531" spans="1:59" x14ac:dyDescent="0.4">
      <c r="BF1531" s="26"/>
      <c r="BG1531" s="15"/>
    </row>
    <row r="1532" spans="1:59" x14ac:dyDescent="0.4">
      <c r="BF1532" s="26"/>
      <c r="BG1532" s="15"/>
    </row>
    <row r="1533" spans="1:59" x14ac:dyDescent="0.4">
      <c r="BF1533" s="26"/>
      <c r="BG1533" s="15"/>
    </row>
    <row r="1534" spans="1:59" x14ac:dyDescent="0.4">
      <c r="BF1534" s="26"/>
      <c r="BG1534" s="15"/>
    </row>
    <row r="1535" spans="1:59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22"/>
      <c r="AP1535" s="122"/>
      <c r="AQ1535" s="122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26"/>
      <c r="BG1535" s="15"/>
    </row>
    <row r="1536" spans="1:59" x14ac:dyDescent="0.4">
      <c r="BF1536" s="26"/>
      <c r="BG1536" s="15"/>
    </row>
    <row r="1537" spans="1:59" x14ac:dyDescent="0.4">
      <c r="BF1537" s="26"/>
      <c r="BG1537" s="15"/>
    </row>
    <row r="1538" spans="1:59" x14ac:dyDescent="0.4">
      <c r="BF1538" s="26"/>
      <c r="BG1538" s="15"/>
    </row>
    <row r="1539" spans="1:59" x14ac:dyDescent="0.4">
      <c r="BF1539" s="26"/>
      <c r="BG1539" s="15"/>
    </row>
    <row r="1540" spans="1:59" ht="18.75" customHeight="1" x14ac:dyDescent="0.4"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22"/>
      <c r="AP1540" s="122"/>
      <c r="AQ1540" s="122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26"/>
      <c r="BG1540" s="15"/>
    </row>
    <row r="1541" spans="1:59" x14ac:dyDescent="0.4">
      <c r="BF1541" s="26"/>
      <c r="BG1541" s="15"/>
    </row>
    <row r="1542" spans="1:59" x14ac:dyDescent="0.4">
      <c r="BF1542" s="26"/>
      <c r="BG1542" s="15"/>
    </row>
    <row r="1543" spans="1:59" x14ac:dyDescent="0.4"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22"/>
      <c r="AP1543" s="122"/>
      <c r="AQ1543" s="122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26"/>
      <c r="BG1543" s="15"/>
    </row>
    <row r="1544" spans="1:59" x14ac:dyDescent="0.4">
      <c r="A1544" s="115"/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22"/>
      <c r="AP1544" s="122"/>
      <c r="AQ1544" s="122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26"/>
      <c r="BG1544" s="15"/>
    </row>
    <row r="1545" spans="1:59" x14ac:dyDescent="0.4">
      <c r="BF1545" s="26"/>
      <c r="BG1545" s="15"/>
    </row>
    <row r="1546" spans="1:59" x14ac:dyDescent="0.4">
      <c r="AH1546" s="115"/>
      <c r="AI1546" s="115"/>
      <c r="AJ1546" s="115"/>
      <c r="AK1546" s="115"/>
      <c r="AL1546" s="115"/>
      <c r="AM1546" s="115"/>
      <c r="AN1546" s="115"/>
      <c r="AO1546" s="122"/>
      <c r="AP1546" s="122"/>
      <c r="AQ1546" s="122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115"/>
      <c r="BF1546" s="17"/>
      <c r="BG1546" s="15"/>
    </row>
    <row r="1547" spans="1:59" x14ac:dyDescent="0.4">
      <c r="A1547" s="115"/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22"/>
      <c r="AP1547" s="122"/>
      <c r="AQ1547" s="122"/>
      <c r="AR1547" s="115"/>
      <c r="AS1547" s="115"/>
      <c r="AT1547" s="115"/>
      <c r="AU1547" s="115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15"/>
      <c r="BF1547" s="26"/>
      <c r="BG1547" s="15"/>
    </row>
    <row r="1548" spans="1:59" x14ac:dyDescent="0.4">
      <c r="BF1548" s="26"/>
      <c r="BG1548" s="15"/>
    </row>
    <row r="1549" spans="1:59" x14ac:dyDescent="0.4">
      <c r="AH1549" s="115"/>
      <c r="AI1549" s="115"/>
      <c r="AJ1549" s="115"/>
      <c r="AK1549" s="115"/>
      <c r="AL1549" s="115"/>
      <c r="AM1549" s="115"/>
      <c r="AN1549" s="115"/>
      <c r="AO1549" s="122"/>
      <c r="AP1549" s="122"/>
      <c r="AQ1549" s="122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7"/>
      <c r="BG1549" s="15"/>
    </row>
    <row r="1550" spans="1:59" x14ac:dyDescent="0.4">
      <c r="BF1550" s="26"/>
      <c r="BG1550" s="15"/>
    </row>
    <row r="1551" spans="1:59" x14ac:dyDescent="0.4"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22"/>
      <c r="AP1551" s="122"/>
      <c r="AQ1551" s="122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26"/>
      <c r="BG1551" s="15"/>
    </row>
    <row r="1552" spans="1:59" x14ac:dyDescent="0.4">
      <c r="A1552" s="115"/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22"/>
      <c r="AP1552" s="122"/>
      <c r="AQ1552" s="122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26"/>
      <c r="BG1552" s="15"/>
    </row>
    <row r="1553" spans="1:59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22"/>
      <c r="AP1553" s="122"/>
      <c r="AQ1553" s="122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26"/>
      <c r="BG1553" s="15"/>
    </row>
    <row r="1554" spans="1:59" x14ac:dyDescent="0.4">
      <c r="BF1554" s="26"/>
      <c r="BG1554" s="15"/>
    </row>
    <row r="1555" spans="1:59" x14ac:dyDescent="0.4"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22"/>
      <c r="AP1555" s="122"/>
      <c r="AQ1555" s="122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26"/>
      <c r="BG1555" s="15"/>
    </row>
    <row r="1556" spans="1:59" x14ac:dyDescent="0.4">
      <c r="BF1556" s="26"/>
      <c r="BG1556" s="15"/>
    </row>
    <row r="1557" spans="1:59" x14ac:dyDescent="0.4"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22"/>
      <c r="AP1557" s="122"/>
      <c r="AQ1557" s="122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26"/>
      <c r="BG1557" s="15"/>
    </row>
    <row r="1558" spans="1:59" x14ac:dyDescent="0.4">
      <c r="BF1558" s="26"/>
      <c r="BG1558" s="15"/>
    </row>
    <row r="1559" spans="1:59" x14ac:dyDescent="0.4">
      <c r="BF1559" s="26"/>
      <c r="BG1559" s="15"/>
    </row>
    <row r="1560" spans="1:59" x14ac:dyDescent="0.4">
      <c r="BF1560" s="26"/>
      <c r="BG1560" s="15"/>
    </row>
    <row r="1561" spans="1:59" x14ac:dyDescent="0.4">
      <c r="BF1561" s="26"/>
      <c r="BG1561" s="15"/>
    </row>
    <row r="1562" spans="1:59" x14ac:dyDescent="0.4">
      <c r="BF1562" s="26"/>
      <c r="BG1562" s="15"/>
    </row>
    <row r="1563" spans="1:59" x14ac:dyDescent="0.4">
      <c r="BF1563" s="26"/>
      <c r="BG1563" s="15"/>
    </row>
    <row r="1564" spans="1:59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22"/>
      <c r="AP1564" s="122"/>
      <c r="AQ1564" s="122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26"/>
      <c r="BG1564" s="15"/>
    </row>
    <row r="1565" spans="1:59" x14ac:dyDescent="0.4">
      <c r="BF1565" s="26"/>
      <c r="BG1565" s="15"/>
    </row>
    <row r="1566" spans="1:59" x14ac:dyDescent="0.4">
      <c r="BF1566" s="26"/>
      <c r="BG1566" s="15"/>
    </row>
    <row r="1567" spans="1:59" x14ac:dyDescent="0.4">
      <c r="BF1567" s="26"/>
      <c r="BG1567" s="15"/>
    </row>
    <row r="1568" spans="1:59" x14ac:dyDescent="0.4">
      <c r="BF1568" s="26"/>
      <c r="BG1568" s="15"/>
    </row>
    <row r="1569" spans="1:59" x14ac:dyDescent="0.4">
      <c r="BF1569" s="26"/>
      <c r="BG1569" s="15"/>
    </row>
    <row r="1570" spans="1:59" x14ac:dyDescent="0.4">
      <c r="AH1570" s="115"/>
      <c r="AI1570" s="115"/>
      <c r="AJ1570" s="115"/>
      <c r="AK1570" s="115"/>
      <c r="AL1570" s="115"/>
      <c r="AM1570" s="115"/>
      <c r="AN1570" s="115"/>
      <c r="AO1570" s="122"/>
      <c r="AP1570" s="122"/>
      <c r="AQ1570" s="122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7"/>
      <c r="BG1570" s="15"/>
    </row>
    <row r="1571" spans="1:59" x14ac:dyDescent="0.4">
      <c r="AH1571" s="115"/>
      <c r="AI1571" s="115"/>
      <c r="AJ1571" s="115"/>
      <c r="AK1571" s="115"/>
      <c r="AL1571" s="115"/>
      <c r="AM1571" s="115"/>
      <c r="AN1571" s="115"/>
      <c r="AO1571" s="122"/>
      <c r="AP1571" s="122"/>
      <c r="AQ1571" s="122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7"/>
      <c r="BG1571" s="15"/>
    </row>
    <row r="1572" spans="1:59" x14ac:dyDescent="0.4">
      <c r="BF1572" s="26"/>
      <c r="BG1572" s="15"/>
    </row>
    <row r="1573" spans="1:59" x14ac:dyDescent="0.4">
      <c r="BF1573" s="26"/>
      <c r="BG1573" s="15"/>
    </row>
    <row r="1574" spans="1:59" x14ac:dyDescent="0.4">
      <c r="A1574" s="115"/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22"/>
      <c r="AP1574" s="122"/>
      <c r="AQ1574" s="122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26"/>
      <c r="BG1574" s="15"/>
    </row>
    <row r="1575" spans="1:59" x14ac:dyDescent="0.4">
      <c r="A1575" s="115"/>
      <c r="B1575" s="115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22"/>
      <c r="AP1575" s="122"/>
      <c r="AQ1575" s="122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26"/>
      <c r="BG1575" s="13"/>
    </row>
    <row r="1576" spans="1:59" x14ac:dyDescent="0.4">
      <c r="BF1576" s="26"/>
      <c r="BG1576" s="15"/>
    </row>
    <row r="1577" spans="1:59" x14ac:dyDescent="0.4"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22"/>
      <c r="AP1577" s="122"/>
      <c r="AQ1577" s="122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26"/>
      <c r="BG1577" s="15"/>
    </row>
    <row r="1578" spans="1:59" x14ac:dyDescent="0.4">
      <c r="BF1578" s="26"/>
      <c r="BG1578" s="15"/>
    </row>
    <row r="1579" spans="1:59" x14ac:dyDescent="0.4">
      <c r="BF1579" s="26"/>
      <c r="BG1579" s="15"/>
    </row>
    <row r="1580" spans="1:59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22"/>
      <c r="AP1580" s="122"/>
      <c r="AQ1580" s="122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26"/>
      <c r="BG1580" s="15"/>
    </row>
    <row r="1581" spans="1:59" x14ac:dyDescent="0.4">
      <c r="BF1581" s="26"/>
      <c r="BG1581" s="13"/>
    </row>
    <row r="1582" spans="1:59" x14ac:dyDescent="0.4">
      <c r="BF1582" s="26"/>
      <c r="BG1582" s="13"/>
    </row>
    <row r="1583" spans="1:59" x14ac:dyDescent="0.4">
      <c r="A1583" s="115"/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22"/>
      <c r="AP1583" s="122"/>
      <c r="AQ1583" s="122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26"/>
      <c r="BG1583" s="13"/>
    </row>
    <row r="1584" spans="1:59" x14ac:dyDescent="0.4">
      <c r="BF1584" s="26"/>
      <c r="BG1584" s="13"/>
    </row>
    <row r="1585" spans="1:59" x14ac:dyDescent="0.4">
      <c r="BF1585" s="26"/>
      <c r="BG1585" s="13"/>
    </row>
    <row r="1586" spans="1:59" x14ac:dyDescent="0.4">
      <c r="BF1586" s="26"/>
      <c r="BG1586" s="13"/>
    </row>
    <row r="1587" spans="1:59" x14ac:dyDescent="0.4">
      <c r="BF1587" s="26"/>
      <c r="BG1587" s="13"/>
    </row>
    <row r="1588" spans="1:59" x14ac:dyDescent="0.4">
      <c r="BF1588" s="26"/>
      <c r="BG1588" s="13"/>
    </row>
    <row r="1589" spans="1:59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22"/>
      <c r="AP1589" s="122"/>
      <c r="AQ1589" s="122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26"/>
      <c r="BG1589" s="25"/>
    </row>
    <row r="1590" spans="1:59" x14ac:dyDescent="0.4">
      <c r="BF1590" s="26"/>
      <c r="BG1590" s="13"/>
    </row>
    <row r="1591" spans="1:59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22"/>
      <c r="AP1591" s="122"/>
      <c r="AQ1591" s="122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26"/>
      <c r="BG1591" s="13"/>
    </row>
    <row r="1592" spans="1:59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22"/>
      <c r="AP1592" s="122"/>
      <c r="AQ1592" s="122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26"/>
      <c r="BG1592" s="13"/>
    </row>
    <row r="1593" spans="1:59" x14ac:dyDescent="0.4">
      <c r="BF1593" s="26"/>
      <c r="BG1593" s="15"/>
    </row>
    <row r="1594" spans="1:59" x14ac:dyDescent="0.4">
      <c r="BF1594" s="26"/>
      <c r="BG1594" s="15"/>
    </row>
    <row r="1595" spans="1:59" x14ac:dyDescent="0.4">
      <c r="BF1595" s="26"/>
      <c r="BG1595" s="15"/>
    </row>
    <row r="1596" spans="1:59" x14ac:dyDescent="0.4">
      <c r="BF1596" s="26"/>
      <c r="BG1596" s="13"/>
    </row>
    <row r="1597" spans="1:59" x14ac:dyDescent="0.4">
      <c r="BF1597" s="26"/>
      <c r="BG1597" s="15"/>
    </row>
    <row r="1598" spans="1:59" x14ac:dyDescent="0.4"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22"/>
      <c r="AP1598" s="122"/>
      <c r="AQ1598" s="122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7"/>
      <c r="BG1598" s="15"/>
    </row>
    <row r="1599" spans="1:59" x14ac:dyDescent="0.4">
      <c r="BF1599" s="26"/>
      <c r="BG1599" s="15"/>
    </row>
    <row r="1600" spans="1:59" x14ac:dyDescent="0.4"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22"/>
      <c r="AP1600" s="122"/>
      <c r="AQ1600" s="122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7"/>
      <c r="BG1600" s="15"/>
    </row>
    <row r="1601" spans="2:59" x14ac:dyDescent="0.4">
      <c r="BF1601" s="26"/>
      <c r="BG1601" s="15"/>
    </row>
    <row r="1602" spans="2:59" x14ac:dyDescent="0.4">
      <c r="BF1602" s="26"/>
      <c r="BG1602" s="15"/>
    </row>
    <row r="1603" spans="2:59" x14ac:dyDescent="0.4"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22"/>
      <c r="AP1603" s="122"/>
      <c r="AQ1603" s="122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7"/>
      <c r="BG1603" s="15"/>
    </row>
    <row r="1604" spans="2:59" x14ac:dyDescent="0.4">
      <c r="BF1604" s="26"/>
      <c r="BG1604" s="15"/>
    </row>
    <row r="1605" spans="2:59" x14ac:dyDescent="0.4">
      <c r="BF1605" s="26"/>
      <c r="BG1605" s="15"/>
    </row>
    <row r="1606" spans="2:59" x14ac:dyDescent="0.4">
      <c r="BF1606" s="26"/>
      <c r="BG1606" s="105"/>
    </row>
    <row r="1607" spans="2:59" x14ac:dyDescent="0.4">
      <c r="BF1607" s="26"/>
      <c r="BG1607" s="15"/>
    </row>
    <row r="1608" spans="2:59" x14ac:dyDescent="0.4">
      <c r="BF1608" s="26"/>
      <c r="BG1608" s="15"/>
    </row>
    <row r="1609" spans="2:59" x14ac:dyDescent="0.4">
      <c r="BF1609" s="26"/>
      <c r="BG1609" s="15"/>
    </row>
    <row r="1610" spans="2:59" x14ac:dyDescent="0.4">
      <c r="BF1610" s="26"/>
      <c r="BG1610" s="15"/>
    </row>
    <row r="1611" spans="2:59" x14ac:dyDescent="0.4">
      <c r="BF1611" s="26"/>
      <c r="BG1611" s="15"/>
    </row>
    <row r="1612" spans="2:59" x14ac:dyDescent="0.4"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22"/>
      <c r="AP1612" s="122"/>
      <c r="AQ1612" s="122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9"/>
      <c r="BG1612" s="119"/>
    </row>
    <row r="1613" spans="2:59" x14ac:dyDescent="0.4"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22"/>
      <c r="AP1613" s="122"/>
      <c r="AQ1613" s="122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9"/>
      <c r="BG1613" s="119"/>
    </row>
  </sheetData>
  <sortState xmlns:xlrd2="http://schemas.microsoft.com/office/spreadsheetml/2017/richdata2" ref="W2:X115">
    <sortCondition ref="W2:W115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2025-07-24T04:48:32Z</cp:lastPrinted>
  <dcterms:created xsi:type="dcterms:W3CDTF">2020-05-08T06:29:04Z</dcterms:created>
  <dcterms:modified xsi:type="dcterms:W3CDTF">2025-07-25T00:58:33Z</dcterms:modified>
</cp:coreProperties>
</file>