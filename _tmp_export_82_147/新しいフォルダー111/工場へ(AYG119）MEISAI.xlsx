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60159FDC-166E-4DA0-9DA3-BE0B7064C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27" i="3"/>
  <c r="C27" i="3"/>
  <c r="B27" i="3"/>
  <c r="K152" i="3"/>
  <c r="J152" i="3"/>
  <c r="K146" i="3"/>
  <c r="J146" i="3"/>
  <c r="K142" i="3"/>
  <c r="J142" i="3"/>
  <c r="K140" i="3"/>
  <c r="J140" i="3"/>
  <c r="K134" i="3"/>
  <c r="J134" i="3"/>
  <c r="K127" i="3"/>
  <c r="J127" i="3"/>
  <c r="K123" i="3"/>
  <c r="J123" i="3"/>
  <c r="K116" i="3"/>
  <c r="J116" i="3"/>
  <c r="K101" i="3"/>
  <c r="J101" i="3"/>
  <c r="K92" i="3"/>
  <c r="J92" i="3"/>
  <c r="K84" i="3"/>
  <c r="J84" i="3"/>
  <c r="K82" i="3"/>
  <c r="J82" i="3"/>
  <c r="K80" i="3"/>
  <c r="J80" i="3"/>
  <c r="K60" i="3"/>
  <c r="J60" i="3"/>
  <c r="K48" i="3"/>
  <c r="J48" i="3"/>
  <c r="K39" i="3"/>
  <c r="J39" i="3"/>
  <c r="K20" i="3"/>
  <c r="J20" i="3"/>
  <c r="K16" i="3"/>
  <c r="J16" i="3"/>
  <c r="K13" i="3"/>
  <c r="J13" i="3"/>
  <c r="K11" i="3"/>
  <c r="J11" i="3"/>
  <c r="K9" i="3"/>
  <c r="J9" i="3"/>
  <c r="K7" i="3"/>
  <c r="J7" i="3"/>
  <c r="K5" i="3"/>
  <c r="J5" i="3"/>
  <c r="K3" i="3"/>
  <c r="K153" i="3" s="1"/>
  <c r="J3" i="3"/>
  <c r="J153" i="3" s="1"/>
  <c r="A241" i="1"/>
  <c r="AL723" i="3"/>
  <c r="AJ72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J1005" i="3"/>
  <c r="BI1005" i="3"/>
  <c r="BJ1000" i="3"/>
  <c r="BI1000" i="3"/>
  <c r="BJ998" i="3"/>
  <c r="BI998" i="3"/>
  <c r="BJ984" i="3"/>
  <c r="BI984" i="3"/>
  <c r="BJ966" i="3"/>
  <c r="BI966" i="3"/>
  <c r="BJ955" i="3"/>
  <c r="BI955" i="3"/>
  <c r="BJ921" i="3"/>
  <c r="BI921" i="3"/>
  <c r="BJ908" i="3"/>
  <c r="BI908" i="3"/>
  <c r="BJ870" i="3"/>
  <c r="BI870" i="3"/>
  <c r="BJ861" i="3"/>
  <c r="BI861" i="3"/>
  <c r="BJ847" i="3"/>
  <c r="BI847" i="3"/>
  <c r="BJ814" i="3"/>
  <c r="BI814" i="3"/>
  <c r="BJ761" i="3"/>
  <c r="BI761" i="3"/>
  <c r="BJ749" i="3"/>
  <c r="BI749" i="3"/>
  <c r="BJ726" i="3"/>
  <c r="BI726" i="3"/>
  <c r="BJ711" i="3"/>
  <c r="BI711" i="3"/>
  <c r="BJ687" i="3"/>
  <c r="BI687" i="3"/>
  <c r="BJ669" i="3"/>
  <c r="BI669" i="3"/>
  <c r="BJ649" i="3"/>
  <c r="BI649" i="3"/>
  <c r="BJ635" i="3"/>
  <c r="BI635" i="3"/>
  <c r="BJ626" i="3"/>
  <c r="BI626" i="3"/>
  <c r="BJ552" i="3"/>
  <c r="BI552" i="3"/>
  <c r="B61" i="1"/>
  <c r="A151" i="1"/>
  <c r="AB43" i="1"/>
  <c r="BI1006" i="3" l="1"/>
  <c r="BJ1006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<sst xmlns="http://schemas.openxmlformats.org/spreadsheetml/2006/main" count="2530" uniqueCount="366">
  <si>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</si>
  <si>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</si>
  <si>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</si>
  <si>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</si>
  <si>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</si>
  <si>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</si>
  <si>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</si>
  <si>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</si>
  <si>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</si>
  <si>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</si>
  <si>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</si>
  <si>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</si>
  <si>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</si>
  <si>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</si>
  <si>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</si>
  <si>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</si>
  <si>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</si>
  <si>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</si>
  <si>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</si>
  <si>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</si>
  <si>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</si>
  <si>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</si>
  <si>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</si>
  <si>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</si>
  <si>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</si>
  <si>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</si>
  <si>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</si>
  <si>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</si>
  <si>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</si>
  <si>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</si>
  <si>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</si>
  <si>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</si>
  <si>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</si>
  <si>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</si>
  <si>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</si>
  <si>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</si>
  <si>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</si>
  <si>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</si>
  <si>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</si>
  <si>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</si>
  <si>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</si>
  <si>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</si>
  <si>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</si>
  <si>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</si>
  <si>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</si>
  <si>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</si>
  <si>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</si>
  <si>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</si>
  <si>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</si>
  <si>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</si>
  <si>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</si>
  <si>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</si>
  <si>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</si>
  <si>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</si>
  <si>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</si>
  <si>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</si>
  <si>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</si>
  <si>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</si>
  <si>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</si>
  <si>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</si>
  <si>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</si>
  <si>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</si>
  <si>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</si>
  <si>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</si>
  <si>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</si>
  <si>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</si>
  <si>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</si>
  <si>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</si>
  <si>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</si>
  <si>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</si>
  <si>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</si>
  <si>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</si>
  <si>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</si>
  <si>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</si>
  <si>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</si>
  <si>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</si>
  <si>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</si>
  <si>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</si>
  <si>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</si>
  <si>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</si>
  <si>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</si>
  <si>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</si>
  <si>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</si>
  <si>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</si>
  <si>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</si>
  <si>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</si>
  <si>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</si>
  <si>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</si>
  <si>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</si>
  <si>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</si>
  <si>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</si>
  <si>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</si>
  <si>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</si>
  <si>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</si>
  <si>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</si>
  <si>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</si>
  <si>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</si>
  <si>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</si>
  <si>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</si>
  <si>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</si>
  <si>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</si>
  <si>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</si>
  <si>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</si>
  <si>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</si>
  <si>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</si>
  <si>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</si>
  <si>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</si>
  <si>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</si>
  <si>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</si>
  <si>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</si>
  <si>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</si>
  <si>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</si>
  <si>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</si>
  <si>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</si>
  <si>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</si>
  <si>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</si>
  <si>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</si>
  <si>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</si>
  <si>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</si>
  <si>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</si>
  <si>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</si>
  <si>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</si>
  <si>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</si>
  <si>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</si>
  <si>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</si>
  <si>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</si>
  <si>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</si>
  <si>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</si>
  <si>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</si>
  <si>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</si>
  <si>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</si>
  <si>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</si>
  <si>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</si>
  <si>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</si>
  <si>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</si>
  <si>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</si>
  <si>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</si>
  <si>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</si>
  <si>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</si>
  <si>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</si>
  <si>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</si>
  <si>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</si>
  <si>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</si>
  <si>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</si>
  <si>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</si>
  <si>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</si>
  <si>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</si>
  <si>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</si>
  <si>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</si>
  <si>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</si>
  <si>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</si>
  <si>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</si>
  <si>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</si>
  <si>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</si>
  <si>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</si>
  <si>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</si>
  <si>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</si>
  <si>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</si>
  <si>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</si>
  <si>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</si>
  <si>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</si>
  <si>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</si>
  <si>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</si>
  <si>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</si>
  <si>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</si>
  <si>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</si>
  <si>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</si>
  <si>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</si>
  <si>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</si>
  <si>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</si>
  <si>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</si>
  <si>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</si>
  <si>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</si>
  <si>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</si>
  <si>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</si>
  <si>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</si>
  <si>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</si>
  <si>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</si>
  <si>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</si>
  <si>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</si>
  <si>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</si>
  <si>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A700</t>
    <phoneticPr fontId="1"/>
  </si>
  <si>
    <t>M078</t>
    <phoneticPr fontId="1"/>
  </si>
  <si>
    <t>A335</t>
    <phoneticPr fontId="1"/>
  </si>
  <si>
    <t>A545</t>
    <phoneticPr fontId="1"/>
  </si>
  <si>
    <t>M037</t>
    <phoneticPr fontId="1"/>
  </si>
  <si>
    <t>M079</t>
    <phoneticPr fontId="1"/>
  </si>
  <si>
    <t>A328</t>
    <phoneticPr fontId="1"/>
  </si>
  <si>
    <t>A550</t>
    <phoneticPr fontId="1"/>
  </si>
  <si>
    <t>M074</t>
    <phoneticPr fontId="1"/>
  </si>
  <si>
    <t>A611</t>
    <phoneticPr fontId="1"/>
  </si>
  <si>
    <t>2025/9/26 個数</t>
  </si>
  <si>
    <t>2025/9/27 個数</t>
  </si>
  <si>
    <t>2025/9/28 個数</t>
  </si>
  <si>
    <t>2025/9/30 個数</t>
  </si>
  <si>
    <t>2025/10/6 個数</t>
  </si>
  <si>
    <t>2025/10/16 個数</t>
  </si>
  <si>
    <t>A997</t>
    <phoneticPr fontId="1"/>
  </si>
  <si>
    <t>A156</t>
    <phoneticPr fontId="1"/>
  </si>
  <si>
    <t>P</t>
    <phoneticPr fontId="1"/>
  </si>
  <si>
    <t>2025/9/29 個数</t>
  </si>
  <si>
    <t>2025/10/1 個数</t>
  </si>
  <si>
    <t>2025/10/5 個数</t>
  </si>
  <si>
    <t>2025/10/7 個数</t>
  </si>
  <si>
    <t>2025/10/8 個数</t>
  </si>
  <si>
    <t>2025/10/10 個数</t>
  </si>
  <si>
    <t>2025/10/13 個数</t>
  </si>
  <si>
    <t>07090055</t>
    <phoneticPr fontId="1"/>
  </si>
  <si>
    <t>07080110</t>
    <phoneticPr fontId="1"/>
  </si>
  <si>
    <t>07080208</t>
    <phoneticPr fontId="1"/>
  </si>
  <si>
    <t>M302</t>
    <phoneticPr fontId="1"/>
  </si>
  <si>
    <t>07080425</t>
    <phoneticPr fontId="1"/>
  </si>
  <si>
    <t>M076</t>
    <phoneticPr fontId="1"/>
  </si>
  <si>
    <t>07080439</t>
    <phoneticPr fontId="1"/>
  </si>
  <si>
    <t>07080476</t>
    <phoneticPr fontId="1"/>
  </si>
  <si>
    <t>A605</t>
    <phoneticPr fontId="1"/>
  </si>
  <si>
    <t>A623</t>
    <phoneticPr fontId="1"/>
  </si>
  <si>
    <t>07090026</t>
    <phoneticPr fontId="1"/>
  </si>
  <si>
    <t>07090025</t>
    <phoneticPr fontId="1"/>
  </si>
  <si>
    <t>07090027</t>
    <phoneticPr fontId="1"/>
  </si>
  <si>
    <t>07090035</t>
    <phoneticPr fontId="1"/>
  </si>
  <si>
    <t>07090046</t>
    <phoneticPr fontId="1"/>
  </si>
  <si>
    <t>A653</t>
    <phoneticPr fontId="1"/>
  </si>
  <si>
    <t>07090052</t>
    <phoneticPr fontId="1"/>
  </si>
  <si>
    <t>07090061</t>
    <phoneticPr fontId="1"/>
  </si>
  <si>
    <t>07090062</t>
    <phoneticPr fontId="1"/>
  </si>
  <si>
    <t>07090080</t>
    <phoneticPr fontId="1"/>
  </si>
  <si>
    <t>07080152</t>
    <phoneticPr fontId="1"/>
  </si>
  <si>
    <t>07080437</t>
    <phoneticPr fontId="1"/>
  </si>
  <si>
    <t>07080452</t>
    <phoneticPr fontId="1"/>
  </si>
  <si>
    <t>07080453</t>
    <phoneticPr fontId="1"/>
  </si>
  <si>
    <t>07090002</t>
    <phoneticPr fontId="1"/>
  </si>
  <si>
    <t>07090011</t>
    <phoneticPr fontId="1"/>
  </si>
  <si>
    <t>07090013</t>
    <phoneticPr fontId="1"/>
  </si>
  <si>
    <t>07090031</t>
    <phoneticPr fontId="1"/>
  </si>
  <si>
    <t>07090044</t>
    <phoneticPr fontId="1"/>
  </si>
  <si>
    <t>M070</t>
    <phoneticPr fontId="1"/>
  </si>
  <si>
    <t>07090045</t>
    <phoneticPr fontId="1"/>
  </si>
  <si>
    <t>07090071</t>
    <phoneticPr fontId="1"/>
  </si>
  <si>
    <t>07090072</t>
    <phoneticPr fontId="1"/>
  </si>
  <si>
    <t>A119</t>
    <phoneticPr fontId="1"/>
  </si>
  <si>
    <t>07090073</t>
    <phoneticPr fontId="1"/>
  </si>
  <si>
    <t>A732</t>
    <phoneticPr fontId="1"/>
  </si>
  <si>
    <t>07090076</t>
    <phoneticPr fontId="1"/>
  </si>
  <si>
    <t>A120</t>
    <phoneticPr fontId="1"/>
  </si>
  <si>
    <t>0709077</t>
    <phoneticPr fontId="1"/>
  </si>
  <si>
    <t>07090049</t>
    <phoneticPr fontId="1"/>
  </si>
  <si>
    <t>A640</t>
    <phoneticPr fontId="1"/>
  </si>
  <si>
    <t>07090050</t>
    <phoneticPr fontId="1"/>
  </si>
  <si>
    <t>C</t>
    <phoneticPr fontId="1"/>
  </si>
  <si>
    <t>07080469</t>
    <phoneticPr fontId="1"/>
  </si>
  <si>
    <t>07090047</t>
    <phoneticPr fontId="1"/>
  </si>
  <si>
    <t>07090048</t>
    <phoneticPr fontId="1"/>
  </si>
  <si>
    <t>07090051</t>
    <phoneticPr fontId="1"/>
  </si>
  <si>
    <t>07090083</t>
    <phoneticPr fontId="1"/>
  </si>
  <si>
    <t>A913</t>
    <phoneticPr fontId="1"/>
  </si>
  <si>
    <t>07090082</t>
    <phoneticPr fontId="1"/>
  </si>
  <si>
    <t>07090088</t>
    <phoneticPr fontId="1"/>
  </si>
  <si>
    <t>07090070</t>
    <phoneticPr fontId="1"/>
  </si>
  <si>
    <t>07090028</t>
    <phoneticPr fontId="1"/>
  </si>
  <si>
    <t>07090037</t>
    <phoneticPr fontId="1"/>
  </si>
  <si>
    <t>M307</t>
    <phoneticPr fontId="1"/>
  </si>
  <si>
    <t>07090038</t>
    <phoneticPr fontId="1"/>
  </si>
  <si>
    <t>07090075</t>
    <phoneticPr fontId="1"/>
  </si>
  <si>
    <t>A552</t>
    <phoneticPr fontId="1"/>
  </si>
  <si>
    <t>07080445</t>
    <phoneticPr fontId="1"/>
  </si>
  <si>
    <t>07080261</t>
    <phoneticPr fontId="1"/>
  </si>
  <si>
    <t>07080369</t>
    <phoneticPr fontId="1"/>
  </si>
  <si>
    <t>07080370</t>
    <phoneticPr fontId="1"/>
  </si>
  <si>
    <t>07080371</t>
    <phoneticPr fontId="1"/>
  </si>
  <si>
    <t>07080372</t>
    <phoneticPr fontId="1"/>
  </si>
  <si>
    <t>07080373</t>
    <phoneticPr fontId="1"/>
  </si>
  <si>
    <t>07080374</t>
    <phoneticPr fontId="1"/>
  </si>
  <si>
    <t>07090029</t>
    <phoneticPr fontId="1"/>
  </si>
  <si>
    <t>07090030</t>
    <phoneticPr fontId="1"/>
  </si>
  <si>
    <t>07090036</t>
    <phoneticPr fontId="1"/>
  </si>
  <si>
    <t>07090043</t>
    <phoneticPr fontId="1"/>
  </si>
  <si>
    <t>07090068</t>
    <phoneticPr fontId="1"/>
  </si>
  <si>
    <t>07090069</t>
    <phoneticPr fontId="1"/>
  </si>
  <si>
    <t>07090099</t>
    <phoneticPr fontId="1"/>
  </si>
  <si>
    <t>07090100</t>
    <phoneticPr fontId="1"/>
  </si>
  <si>
    <t>07080061</t>
    <phoneticPr fontId="1"/>
  </si>
  <si>
    <t>07080304</t>
    <phoneticPr fontId="1"/>
  </si>
  <si>
    <t>07080363</t>
    <phoneticPr fontId="1"/>
  </si>
  <si>
    <t>07080412</t>
    <phoneticPr fontId="1"/>
  </si>
  <si>
    <t>07080413</t>
    <phoneticPr fontId="1"/>
  </si>
  <si>
    <t>07080414</t>
    <phoneticPr fontId="1"/>
  </si>
  <si>
    <t>07080415</t>
    <phoneticPr fontId="1"/>
  </si>
  <si>
    <t>07080416</t>
    <phoneticPr fontId="1"/>
  </si>
  <si>
    <t>07080417</t>
    <phoneticPr fontId="1"/>
  </si>
  <si>
    <t>07090005</t>
    <phoneticPr fontId="1"/>
  </si>
  <si>
    <t>07090039</t>
    <phoneticPr fontId="1"/>
  </si>
  <si>
    <t>07090084</t>
    <phoneticPr fontId="1"/>
  </si>
  <si>
    <t>A505</t>
    <phoneticPr fontId="1"/>
  </si>
  <si>
    <t>07090081</t>
    <phoneticPr fontId="1"/>
  </si>
  <si>
    <t>07090086</t>
    <phoneticPr fontId="1"/>
  </si>
  <si>
    <t>07090092</t>
    <phoneticPr fontId="1"/>
  </si>
  <si>
    <t>07090120</t>
    <phoneticPr fontId="1"/>
  </si>
  <si>
    <t>07090121</t>
    <phoneticPr fontId="1"/>
  </si>
  <si>
    <t>07090154</t>
    <phoneticPr fontId="1"/>
  </si>
  <si>
    <t>07090155</t>
    <phoneticPr fontId="1"/>
  </si>
  <si>
    <t>07090156</t>
    <phoneticPr fontId="1"/>
  </si>
  <si>
    <t>07090157</t>
    <phoneticPr fontId="1"/>
  </si>
  <si>
    <t>07090159</t>
    <phoneticPr fontId="1"/>
  </si>
  <si>
    <t>07090160</t>
    <phoneticPr fontId="1"/>
  </si>
  <si>
    <t>07080050</t>
    <phoneticPr fontId="1"/>
  </si>
  <si>
    <t>AYG119</t>
    <phoneticPr fontId="1"/>
  </si>
  <si>
    <t>Ｊ</t>
    <phoneticPr fontId="1"/>
  </si>
  <si>
    <t>07090057</t>
    <phoneticPr fontId="1"/>
  </si>
  <si>
    <t>07090161</t>
    <phoneticPr fontId="1"/>
  </si>
  <si>
    <t>A529</t>
    <phoneticPr fontId="1"/>
  </si>
  <si>
    <t>07090162</t>
    <phoneticPr fontId="1"/>
  </si>
  <si>
    <t>07090163</t>
    <phoneticPr fontId="1"/>
  </si>
  <si>
    <t>07090164</t>
    <phoneticPr fontId="1"/>
  </si>
  <si>
    <t>07090165</t>
    <phoneticPr fontId="1"/>
  </si>
  <si>
    <t>07090166</t>
    <phoneticPr fontId="1"/>
  </si>
  <si>
    <t>07090167</t>
    <phoneticPr fontId="1"/>
  </si>
  <si>
    <t>07090183</t>
    <phoneticPr fontId="1"/>
  </si>
  <si>
    <t>07090184</t>
    <phoneticPr fontId="1"/>
  </si>
  <si>
    <t>07090185</t>
    <phoneticPr fontId="1"/>
  </si>
  <si>
    <t>07090122</t>
    <phoneticPr fontId="1"/>
  </si>
  <si>
    <t>A675</t>
    <phoneticPr fontId="1"/>
  </si>
  <si>
    <t>07090202</t>
    <phoneticPr fontId="1"/>
  </si>
  <si>
    <t>07090203</t>
  </si>
  <si>
    <t>07090204</t>
  </si>
  <si>
    <t>07090205</t>
  </si>
  <si>
    <t>07090206</t>
  </si>
  <si>
    <t>07090207</t>
  </si>
  <si>
    <t>07090208</t>
  </si>
  <si>
    <t>07090209</t>
  </si>
  <si>
    <t>07090210</t>
  </si>
  <si>
    <t>07090211</t>
  </si>
  <si>
    <t>07090212</t>
  </si>
  <si>
    <t>07090213</t>
  </si>
  <si>
    <t>07090214</t>
  </si>
  <si>
    <t>07090215</t>
  </si>
  <si>
    <t>07090222</t>
    <phoneticPr fontId="1"/>
  </si>
  <si>
    <t>07090113</t>
    <phoneticPr fontId="1"/>
  </si>
  <si>
    <t>07090118</t>
    <phoneticPr fontId="1"/>
  </si>
  <si>
    <t>07090171</t>
    <phoneticPr fontId="1"/>
  </si>
  <si>
    <t>07090172</t>
    <phoneticPr fontId="1"/>
  </si>
  <si>
    <t>07090176</t>
    <phoneticPr fontId="1"/>
  </si>
  <si>
    <t>A318</t>
    <phoneticPr fontId="1"/>
  </si>
  <si>
    <t>07090178</t>
    <phoneticPr fontId="1"/>
  </si>
  <si>
    <t>07090179</t>
    <phoneticPr fontId="1"/>
  </si>
  <si>
    <t>07090180</t>
    <phoneticPr fontId="1"/>
  </si>
  <si>
    <t>07090219</t>
    <phoneticPr fontId="1"/>
  </si>
  <si>
    <t>07090220</t>
    <phoneticPr fontId="1"/>
  </si>
  <si>
    <t>07080477</t>
    <phoneticPr fontId="1"/>
  </si>
  <si>
    <t>A650</t>
    <phoneticPr fontId="1"/>
  </si>
  <si>
    <t>07090085</t>
    <phoneticPr fontId="1"/>
  </si>
  <si>
    <t>07090087</t>
    <phoneticPr fontId="1"/>
  </si>
  <si>
    <t>07090116</t>
    <phoneticPr fontId="1"/>
  </si>
  <si>
    <t>07090117</t>
    <phoneticPr fontId="1"/>
  </si>
  <si>
    <t>07090170</t>
    <phoneticPr fontId="1"/>
  </si>
  <si>
    <t>2025/9/18 個数</t>
  </si>
  <si>
    <t>2025/10/4 個数</t>
  </si>
  <si>
    <t>2025/10/9 個数</t>
  </si>
  <si>
    <t>2025/10/11 個数</t>
  </si>
  <si>
    <t>2025/10/12 個数</t>
  </si>
  <si>
    <t>2025/10/14 個数</t>
  </si>
  <si>
    <t>2025/10/15 個数</t>
  </si>
  <si>
    <t>2025/10/18 個数</t>
  </si>
  <si>
    <t>2025/10/19 個数</t>
  </si>
  <si>
    <t>2025/10/21 個数</t>
  </si>
  <si>
    <t>2025/10/29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</si>
</sst>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D9" sqref="D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306</v>
      </c>
      <c r="B1" s="24">
        <v>45911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0" t="s">
        <v>105</v>
      </c>
      <c r="Y2" s="14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2">
        <v>1</v>
      </c>
      <c r="B3" s="145">
        <v>22</v>
      </c>
      <c r="C3" s="85" t="s">
        <v>207</v>
      </c>
      <c r="D3" s="109" t="s">
        <v>188</v>
      </c>
      <c r="E3" s="15" t="s">
        <v>39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45937</v>
      </c>
      <c r="U3" s="13" t="s">
        <v>142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3"/>
      <c r="B4" s="146"/>
      <c r="C4" s="85" t="s">
        <v>208</v>
      </c>
      <c r="D4" s="109" t="s">
        <v>179</v>
      </c>
      <c r="E4" s="15" t="s">
        <v>37</v>
      </c>
      <c r="F4" s="16"/>
      <c r="G4" s="12" t="s">
        <v>180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45937</v>
      </c>
      <c r="U4" s="13" t="s">
        <v>146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3"/>
      <c r="B5" s="146"/>
      <c r="C5" s="85" t="s">
        <v>209</v>
      </c>
      <c r="D5" s="109" t="s">
        <v>210</v>
      </c>
      <c r="E5" s="15" t="s">
        <v>75</v>
      </c>
      <c r="F5" s="16"/>
      <c r="G5" s="12" t="s">
        <v>180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/>
      <c r="T5" s="25">
        <v>45929</v>
      </c>
      <c r="U5" s="13" t="s">
        <v>147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3"/>
      <c r="B6" s="146"/>
      <c r="C6" s="85" t="s">
        <v>211</v>
      </c>
      <c r="D6" s="109" t="s">
        <v>212</v>
      </c>
      <c r="E6" s="15" t="s">
        <v>40</v>
      </c>
      <c r="F6" s="16"/>
      <c r="G6" s="12" t="s">
        <v>199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/>
      <c r="R6" s="17"/>
      <c r="S6" s="15"/>
      <c r="T6" s="25">
        <v>45936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3"/>
      <c r="B7" s="146"/>
      <c r="C7" s="85" t="s">
        <v>213</v>
      </c>
      <c r="D7" s="109" t="s">
        <v>210</v>
      </c>
      <c r="E7" s="15" t="s">
        <v>37</v>
      </c>
      <c r="F7" s="16"/>
      <c r="G7" s="12" t="s">
        <v>180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45931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3"/>
      <c r="B8" s="146"/>
      <c r="C8" s="85" t="s">
        <v>214</v>
      </c>
      <c r="D8" s="109" t="s">
        <v>215</v>
      </c>
      <c r="E8" s="15" t="s">
        <v>37</v>
      </c>
      <c r="F8" s="16"/>
      <c r="G8" s="12" t="s">
        <v>180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45959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3"/>
      <c r="B9" s="146"/>
      <c r="C9" s="85" t="s">
        <v>218</v>
      </c>
      <c r="D9" s="109" t="s">
        <v>216</v>
      </c>
      <c r="E9" s="15" t="s">
        <v>36</v>
      </c>
      <c r="F9" s="16"/>
      <c r="G9" s="12" t="s">
        <v>180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45936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3"/>
      <c r="B10" s="146"/>
      <c r="C10" s="85" t="s">
        <v>217</v>
      </c>
      <c r="D10" s="109" t="s">
        <v>216</v>
      </c>
      <c r="E10" s="15" t="s">
        <v>39</v>
      </c>
      <c r="F10" s="16"/>
      <c r="G10" s="12" t="s">
        <v>180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45936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3"/>
      <c r="B11" s="146"/>
      <c r="C11" s="85" t="s">
        <v>219</v>
      </c>
      <c r="D11" s="109" t="s">
        <v>216</v>
      </c>
      <c r="E11" s="15" t="s">
        <v>133</v>
      </c>
      <c r="F11" s="16"/>
      <c r="G11" s="12" t="s">
        <v>180</v>
      </c>
      <c r="H11" s="15"/>
      <c r="I11" s="13"/>
      <c r="J11" s="15"/>
      <c r="K11" s="15"/>
      <c r="L11" s="17"/>
      <c r="M11" s="17"/>
      <c r="N11" s="13"/>
      <c r="O11" s="17">
        <v>1</v>
      </c>
      <c r="P11" s="17">
        <v>1</v>
      </c>
      <c r="Q11" s="17">
        <v>1</v>
      </c>
      <c r="R11" s="17">
        <v>1</v>
      </c>
      <c r="S11" s="15"/>
      <c r="T11" s="25">
        <v>45936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3"/>
      <c r="B12" s="146"/>
      <c r="C12" s="85" t="s">
        <v>220</v>
      </c>
      <c r="D12" s="109" t="s">
        <v>210</v>
      </c>
      <c r="E12" s="15" t="s">
        <v>37</v>
      </c>
      <c r="F12" s="16"/>
      <c r="G12" s="12" t="s">
        <v>180</v>
      </c>
      <c r="H12" s="15"/>
      <c r="I12" s="15"/>
      <c r="J12" s="15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45943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3"/>
      <c r="B13" s="146"/>
      <c r="C13" s="85" t="s">
        <v>221</v>
      </c>
      <c r="D13" s="109" t="s">
        <v>222</v>
      </c>
      <c r="E13" s="15" t="s">
        <v>60</v>
      </c>
      <c r="F13" s="16"/>
      <c r="G13" s="12" t="s">
        <v>180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45936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3"/>
      <c r="B14" s="146"/>
      <c r="C14" s="85" t="s">
        <v>223</v>
      </c>
      <c r="D14" s="109" t="s">
        <v>187</v>
      </c>
      <c r="E14" s="15" t="s">
        <v>75</v>
      </c>
      <c r="F14" s="16"/>
      <c r="G14" s="12" t="s">
        <v>180</v>
      </c>
      <c r="H14" s="15"/>
      <c r="I14" s="15"/>
      <c r="J14" s="15"/>
      <c r="K14" s="15"/>
      <c r="L14" s="17"/>
      <c r="M14" s="17"/>
      <c r="N14" s="17"/>
      <c r="O14" s="17"/>
      <c r="P14" s="17"/>
      <c r="Q14" s="17"/>
      <c r="R14" s="17"/>
      <c r="S14" s="15"/>
      <c r="T14" s="25">
        <v>45937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3"/>
      <c r="B15" s="146"/>
      <c r="C15" s="85" t="s">
        <v>224</v>
      </c>
      <c r="D15" s="109" t="s">
        <v>182</v>
      </c>
      <c r="E15" s="15" t="s">
        <v>40</v>
      </c>
      <c r="F15" s="16"/>
      <c r="G15" s="12" t="s">
        <v>180</v>
      </c>
      <c r="H15" s="15"/>
      <c r="I15" s="15"/>
      <c r="J15" s="15"/>
      <c r="K15" s="15"/>
      <c r="L15" s="17"/>
      <c r="M15" s="17"/>
      <c r="N15" s="17"/>
      <c r="O15" s="17">
        <v>1</v>
      </c>
      <c r="P15" s="17">
        <v>1</v>
      </c>
      <c r="Q15" s="17"/>
      <c r="R15" s="17"/>
      <c r="S15" s="15"/>
      <c r="T15" s="25">
        <v>45946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3"/>
      <c r="B16" s="146"/>
      <c r="C16" s="85" t="s">
        <v>225</v>
      </c>
      <c r="D16" s="109" t="s">
        <v>182</v>
      </c>
      <c r="E16" s="15" t="s">
        <v>40</v>
      </c>
      <c r="F16" s="16"/>
      <c r="G16" s="12" t="s">
        <v>180</v>
      </c>
      <c r="H16" s="15"/>
      <c r="I16" s="15"/>
      <c r="J16" s="15"/>
      <c r="K16" s="15"/>
      <c r="L16" s="17"/>
      <c r="M16" s="17"/>
      <c r="N16" s="17"/>
      <c r="O16" s="17">
        <v>1</v>
      </c>
      <c r="P16" s="17">
        <v>1</v>
      </c>
      <c r="Q16" s="17"/>
      <c r="R16" s="17"/>
      <c r="S16" s="15"/>
      <c r="T16" s="25">
        <v>45946</v>
      </c>
      <c r="U16" s="13" t="s">
        <v>148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3"/>
      <c r="B17" s="146"/>
      <c r="C17" s="85" t="s">
        <v>226</v>
      </c>
      <c r="D17" s="106" t="s">
        <v>210</v>
      </c>
      <c r="E17" s="15" t="s">
        <v>40</v>
      </c>
      <c r="F17" s="16"/>
      <c r="G17" s="15" t="s">
        <v>199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/>
      <c r="R17" s="17">
        <v>1</v>
      </c>
      <c r="S17" s="15"/>
      <c r="T17" s="25">
        <v>45935</v>
      </c>
      <c r="U17" s="132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3"/>
      <c r="B18" s="14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3"/>
      <c r="B19" s="14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3"/>
      <c r="B20" s="14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3"/>
      <c r="B21" s="14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3"/>
      <c r="B22" s="14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3"/>
      <c r="B23" s="14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3"/>
      <c r="B24" s="14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3"/>
      <c r="B25" s="14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254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3"/>
      <c r="B26" s="14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4"/>
      <c r="B27" s="14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5</v>
      </c>
      <c r="L28" s="29">
        <f t="shared" si="0"/>
        <v>0</v>
      </c>
      <c r="M28" s="29">
        <f t="shared" si="0"/>
        <v>3</v>
      </c>
      <c r="N28" s="29">
        <f t="shared" si="0"/>
        <v>3</v>
      </c>
      <c r="O28" s="29">
        <f t="shared" si="0"/>
        <v>5</v>
      </c>
      <c r="P28" s="29">
        <f t="shared" si="0"/>
        <v>5</v>
      </c>
      <c r="Q28" s="29">
        <f t="shared" si="0"/>
        <v>3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56" t="s">
        <v>104</v>
      </c>
      <c r="AB28" s="157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2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31</v>
      </c>
      <c r="T29" s="29"/>
      <c r="U29" s="29"/>
      <c r="X29" t="s">
        <v>136</v>
      </c>
      <c r="AA29" s="158"/>
      <c r="AB29" s="159"/>
      <c r="AC29" s="151">
        <f>SUM(AC28:AE28)</f>
        <v>0</v>
      </c>
      <c r="AD29" s="152"/>
      <c r="AE29" s="15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AYG119</v>
      </c>
      <c r="B31" s="24">
        <f>B1</f>
        <v>45911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0" t="s">
        <v>119</v>
      </c>
      <c r="Y32" s="141"/>
      <c r="AA32" s="160" t="s">
        <v>47</v>
      </c>
      <c r="AB32" s="161"/>
    </row>
    <row r="33" spans="1:29" ht="19.5" thickTop="1" x14ac:dyDescent="0.4">
      <c r="A33" s="142">
        <v>2</v>
      </c>
      <c r="B33" s="145">
        <v>20.8</v>
      </c>
      <c r="C33" s="85" t="s">
        <v>227</v>
      </c>
      <c r="D33" s="109" t="s">
        <v>186</v>
      </c>
      <c r="E33" s="15" t="s">
        <v>75</v>
      </c>
      <c r="F33" s="14"/>
      <c r="G33" s="12" t="s">
        <v>180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45926</v>
      </c>
      <c r="U33" s="13" t="s">
        <v>147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49</v>
      </c>
    </row>
    <row r="34" spans="1:29" x14ac:dyDescent="0.4">
      <c r="A34" s="143"/>
      <c r="B34" s="146"/>
      <c r="C34" s="85" t="s">
        <v>228</v>
      </c>
      <c r="D34" s="109" t="s">
        <v>210</v>
      </c>
      <c r="E34" s="15" t="s">
        <v>36</v>
      </c>
      <c r="F34" s="16"/>
      <c r="G34" s="12" t="s">
        <v>180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>
        <v>1</v>
      </c>
      <c r="R34" s="17"/>
      <c r="S34" s="15"/>
      <c r="T34" s="25">
        <v>45927</v>
      </c>
      <c r="U34" s="13" t="s">
        <v>147</v>
      </c>
      <c r="V34">
        <v>2</v>
      </c>
      <c r="X34" s="51" t="s">
        <v>107</v>
      </c>
      <c r="Y34" s="52">
        <f>COUNTIF(U33:U57,"R")</f>
        <v>11</v>
      </c>
      <c r="AA34" s="31" t="s">
        <v>48</v>
      </c>
      <c r="AB34" s="32">
        <f>K28+K178+K148+K118+K208+K238+K268+K298+K328+K358</f>
        <v>39</v>
      </c>
    </row>
    <row r="35" spans="1:29" ht="19.5" thickBot="1" x14ac:dyDescent="0.45">
      <c r="A35" s="143"/>
      <c r="B35" s="146"/>
      <c r="C35" s="85" t="s">
        <v>229</v>
      </c>
      <c r="D35" s="109" t="s">
        <v>186</v>
      </c>
      <c r="E35" s="15" t="s">
        <v>36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/>
      <c r="R35" s="17"/>
      <c r="S35" s="15"/>
      <c r="T35" s="25">
        <v>45946</v>
      </c>
      <c r="U35" s="13" t="s">
        <v>147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14</v>
      </c>
    </row>
    <row r="36" spans="1:29" x14ac:dyDescent="0.4">
      <c r="A36" s="143"/>
      <c r="B36" s="146"/>
      <c r="C36" s="85" t="s">
        <v>230</v>
      </c>
      <c r="D36" s="109" t="s">
        <v>186</v>
      </c>
      <c r="E36" s="15" t="s">
        <v>37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>
        <v>1</v>
      </c>
      <c r="R36" s="17"/>
      <c r="S36" s="15"/>
      <c r="T36" s="25">
        <v>45936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43"/>
      <c r="B37" s="146"/>
      <c r="C37" s="85" t="s">
        <v>231</v>
      </c>
      <c r="D37" s="109" t="s">
        <v>210</v>
      </c>
      <c r="E37" s="15" t="s">
        <v>37</v>
      </c>
      <c r="F37" s="16"/>
      <c r="G37" s="12" t="s">
        <v>180</v>
      </c>
      <c r="H37" s="15"/>
      <c r="I37" s="13"/>
      <c r="J37" s="15"/>
      <c r="K37" s="15"/>
      <c r="L37" s="17"/>
      <c r="M37" s="17">
        <v>1</v>
      </c>
      <c r="N37" s="13">
        <v>1</v>
      </c>
      <c r="O37" s="17"/>
      <c r="P37" s="17"/>
      <c r="Q37" s="17">
        <v>1</v>
      </c>
      <c r="R37" s="17"/>
      <c r="S37" s="15"/>
      <c r="T37" s="25">
        <v>45937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20</v>
      </c>
    </row>
    <row r="38" spans="1:29" x14ac:dyDescent="0.4">
      <c r="A38" s="143"/>
      <c r="B38" s="146"/>
      <c r="C38" s="85" t="s">
        <v>232</v>
      </c>
      <c r="D38" s="109" t="s">
        <v>189</v>
      </c>
      <c r="E38" s="15" t="s">
        <v>74</v>
      </c>
      <c r="F38" s="16"/>
      <c r="G38" s="12" t="s">
        <v>180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>
        <v>1</v>
      </c>
      <c r="R38" s="17"/>
      <c r="S38" s="15"/>
      <c r="T38" s="25">
        <v>45951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13</v>
      </c>
    </row>
    <row r="39" spans="1:29" x14ac:dyDescent="0.4">
      <c r="A39" s="143"/>
      <c r="B39" s="146"/>
      <c r="C39" s="85" t="s">
        <v>233</v>
      </c>
      <c r="D39" s="109" t="s">
        <v>189</v>
      </c>
      <c r="E39" s="15" t="s">
        <v>75</v>
      </c>
      <c r="F39" s="16"/>
      <c r="G39" s="12" t="s">
        <v>180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/>
      <c r="T39" s="25">
        <v>45951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43"/>
      <c r="B40" s="146"/>
      <c r="C40" s="85" t="s">
        <v>234</v>
      </c>
      <c r="D40" s="109" t="s">
        <v>179</v>
      </c>
      <c r="E40" s="15" t="s">
        <v>75</v>
      </c>
      <c r="F40" s="16"/>
      <c r="G40" s="12" t="s">
        <v>180</v>
      </c>
      <c r="H40" s="15"/>
      <c r="I40" s="13"/>
      <c r="J40" s="15"/>
      <c r="K40" s="15"/>
      <c r="L40" s="17"/>
      <c r="M40" s="17"/>
      <c r="N40" s="13"/>
      <c r="O40" s="17"/>
      <c r="P40" s="17"/>
      <c r="Q40" s="17"/>
      <c r="R40" s="17"/>
      <c r="S40" s="15"/>
      <c r="T40" s="25">
        <v>45937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20</v>
      </c>
    </row>
    <row r="41" spans="1:29" x14ac:dyDescent="0.4">
      <c r="A41" s="143"/>
      <c r="B41" s="146"/>
      <c r="C41" s="85" t="s">
        <v>235</v>
      </c>
      <c r="D41" s="109" t="s">
        <v>236</v>
      </c>
      <c r="E41" s="15" t="s">
        <v>75</v>
      </c>
      <c r="F41" s="16"/>
      <c r="G41" s="12" t="s">
        <v>180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/>
      <c r="T41" s="25">
        <v>45936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43"/>
      <c r="B42" s="146"/>
      <c r="C42" s="85" t="s">
        <v>237</v>
      </c>
      <c r="D42" s="109" t="s">
        <v>222</v>
      </c>
      <c r="E42" s="15" t="s">
        <v>60</v>
      </c>
      <c r="F42" s="16"/>
      <c r="G42" s="12" t="s">
        <v>180</v>
      </c>
      <c r="H42" s="15"/>
      <c r="I42" s="15"/>
      <c r="J42" s="15">
        <v>1</v>
      </c>
      <c r="K42" s="15">
        <v>1</v>
      </c>
      <c r="L42" s="17">
        <v>1</v>
      </c>
      <c r="M42" s="17"/>
      <c r="N42" s="17"/>
      <c r="O42" s="17"/>
      <c r="P42" s="17"/>
      <c r="Q42" s="17"/>
      <c r="R42" s="17"/>
      <c r="S42" s="15"/>
      <c r="T42" s="25">
        <v>45936</v>
      </c>
      <c r="U42" s="13" t="s">
        <v>142</v>
      </c>
      <c r="V42">
        <v>10</v>
      </c>
      <c r="AA42" s="33" t="s">
        <v>56</v>
      </c>
      <c r="AB42" s="34">
        <f>S28+S178+S148+S118+S208+S238+S268+S298+S328+S358</f>
        <v>4</v>
      </c>
      <c r="AC42" s="73">
        <f>SUM(AB33:AB42)</f>
        <v>201</v>
      </c>
    </row>
    <row r="43" spans="1:29" ht="19.5" thickBot="1" x14ac:dyDescent="0.45">
      <c r="A43" s="143"/>
      <c r="B43" s="146"/>
      <c r="C43" s="85" t="s">
        <v>238</v>
      </c>
      <c r="D43" s="109" t="s">
        <v>190</v>
      </c>
      <c r="E43" s="15" t="s">
        <v>37</v>
      </c>
      <c r="F43" s="16"/>
      <c r="G43" s="12" t="s">
        <v>180</v>
      </c>
      <c r="H43" s="15"/>
      <c r="I43" s="15"/>
      <c r="J43" s="15"/>
      <c r="K43" s="15"/>
      <c r="L43" s="17"/>
      <c r="M43" s="17">
        <v>1</v>
      </c>
      <c r="N43" s="17">
        <v>1</v>
      </c>
      <c r="O43" s="17"/>
      <c r="P43" s="17"/>
      <c r="Q43" s="17"/>
      <c r="R43" s="17"/>
      <c r="S43" s="15"/>
      <c r="T43" s="25">
        <v>45937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3"/>
      <c r="B44" s="146"/>
      <c r="C44" s="85" t="s">
        <v>239</v>
      </c>
      <c r="D44" s="109" t="s">
        <v>240</v>
      </c>
      <c r="E44" s="15" t="s">
        <v>37</v>
      </c>
      <c r="F44" s="16"/>
      <c r="G44" s="12" t="s">
        <v>180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45937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3"/>
      <c r="B45" s="146"/>
      <c r="C45" s="85" t="s">
        <v>241</v>
      </c>
      <c r="D45" s="109" t="s">
        <v>242</v>
      </c>
      <c r="E45" s="15" t="s">
        <v>74</v>
      </c>
      <c r="F45" s="16"/>
      <c r="G45" s="12" t="s">
        <v>180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45938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3"/>
      <c r="B46" s="146"/>
      <c r="C46" s="85" t="s">
        <v>243</v>
      </c>
      <c r="D46" s="109" t="s">
        <v>244</v>
      </c>
      <c r="E46" s="15" t="s">
        <v>36</v>
      </c>
      <c r="F46" s="16"/>
      <c r="G46" s="12" t="s">
        <v>180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45938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3"/>
      <c r="B47" s="146"/>
      <c r="C47" s="85" t="s">
        <v>245</v>
      </c>
      <c r="D47" s="106" t="s">
        <v>244</v>
      </c>
      <c r="E47" s="15" t="s">
        <v>38</v>
      </c>
      <c r="F47" s="16"/>
      <c r="G47" s="15" t="s">
        <v>180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45938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3"/>
      <c r="B48" s="14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3"/>
      <c r="B49" s="14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119</v>
      </c>
    </row>
    <row r="50" spans="1:28" ht="19.5" thickBot="1" x14ac:dyDescent="0.45">
      <c r="A50" s="143"/>
      <c r="B50" s="14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3"/>
      <c r="B51" s="14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3"/>
      <c r="B52" s="14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2">
        <v>76</v>
      </c>
    </row>
    <row r="53" spans="1:28" ht="19.5" thickBot="1" x14ac:dyDescent="0.45">
      <c r="A53" s="143"/>
      <c r="B53" s="14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3"/>
    </row>
    <row r="54" spans="1:28" ht="19.5" thickBot="1" x14ac:dyDescent="0.45">
      <c r="A54" s="143"/>
      <c r="B54" s="14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3"/>
      <c r="B55" s="14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0" t="s">
        <v>73</v>
      </c>
      <c r="AB55" s="45"/>
    </row>
    <row r="56" spans="1:28" ht="19.5" thickBot="1" x14ac:dyDescent="0.45">
      <c r="A56" s="143"/>
      <c r="B56" s="14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5"/>
      <c r="AB56" s="46"/>
    </row>
    <row r="57" spans="1:28" ht="19.5" thickBot="1" x14ac:dyDescent="0.45">
      <c r="A57" s="144"/>
      <c r="B57" s="14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0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>
        <f t="shared" si="1"/>
        <v>4</v>
      </c>
      <c r="L58" s="29">
        <f t="shared" si="1"/>
        <v>1</v>
      </c>
      <c r="M58" s="29">
        <f t="shared" si="1"/>
        <v>7</v>
      </c>
      <c r="N58" s="29">
        <f t="shared" si="1"/>
        <v>7</v>
      </c>
      <c r="O58" s="29">
        <f t="shared" si="1"/>
        <v>0</v>
      </c>
      <c r="P58" s="29">
        <f t="shared" si="1"/>
        <v>0</v>
      </c>
      <c r="Q58" s="29">
        <f t="shared" si="1"/>
        <v>5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55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AYG119</v>
      </c>
      <c r="B61" s="24">
        <f>B1</f>
        <v>45911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0" t="s">
        <v>118</v>
      </c>
      <c r="Y62" s="141"/>
    </row>
    <row r="63" spans="1:28" ht="20.25" thickTop="1" thickBot="1" x14ac:dyDescent="0.45">
      <c r="A63" s="142">
        <v>3</v>
      </c>
      <c r="B63" s="148">
        <v>23</v>
      </c>
      <c r="C63" s="85" t="s">
        <v>250</v>
      </c>
      <c r="D63" s="109" t="s">
        <v>186</v>
      </c>
      <c r="E63" s="15" t="s">
        <v>37</v>
      </c>
      <c r="F63" s="14"/>
      <c r="G63" s="12" t="s">
        <v>180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45946</v>
      </c>
      <c r="U63" s="133" t="s">
        <v>142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3"/>
      <c r="B64" s="149"/>
      <c r="C64" s="85" t="s">
        <v>251</v>
      </c>
      <c r="D64" s="109" t="s">
        <v>247</v>
      </c>
      <c r="E64" s="15" t="s">
        <v>57</v>
      </c>
      <c r="F64" s="16"/>
      <c r="G64" s="12" t="s">
        <v>249</v>
      </c>
      <c r="H64" s="15"/>
      <c r="I64" s="15"/>
      <c r="J64" s="13"/>
      <c r="K64" s="15"/>
      <c r="L64" s="13"/>
      <c r="M64" s="17"/>
      <c r="N64" s="17"/>
      <c r="O64" s="17"/>
      <c r="P64" s="17"/>
      <c r="Q64" s="17"/>
      <c r="R64" s="17"/>
      <c r="S64" s="15"/>
      <c r="T64" s="25">
        <v>45941</v>
      </c>
      <c r="U64" s="13" t="s">
        <v>147</v>
      </c>
      <c r="V64">
        <v>2</v>
      </c>
      <c r="X64" s="51" t="s">
        <v>107</v>
      </c>
      <c r="Y64" s="52">
        <f>COUNTIF(U63:U87,"R")</f>
        <v>10</v>
      </c>
      <c r="AA64" s="47" t="s">
        <v>81</v>
      </c>
      <c r="AB64" s="48" t="s">
        <v>60</v>
      </c>
    </row>
    <row r="65" spans="1:28" ht="19.5" thickBot="1" x14ac:dyDescent="0.45">
      <c r="A65" s="143"/>
      <c r="B65" s="149"/>
      <c r="C65" s="85" t="s">
        <v>252</v>
      </c>
      <c r="D65" s="109" t="s">
        <v>247</v>
      </c>
      <c r="E65" s="15" t="s">
        <v>57</v>
      </c>
      <c r="F65" s="16"/>
      <c r="G65" s="12" t="s">
        <v>249</v>
      </c>
      <c r="H65" s="15"/>
      <c r="I65" s="15"/>
      <c r="J65" s="13"/>
      <c r="K65" s="15"/>
      <c r="L65" s="13"/>
      <c r="M65" s="17"/>
      <c r="N65" s="17"/>
      <c r="O65" s="17"/>
      <c r="P65" s="17"/>
      <c r="Q65" s="17">
        <v>1</v>
      </c>
      <c r="R65" s="17"/>
      <c r="S65" s="15"/>
      <c r="T65" s="25">
        <v>45941</v>
      </c>
      <c r="U65" s="13" t="s">
        <v>147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3"/>
      <c r="B66" s="149"/>
      <c r="C66" s="85" t="s">
        <v>246</v>
      </c>
      <c r="D66" s="109" t="s">
        <v>247</v>
      </c>
      <c r="E66" s="15" t="s">
        <v>37</v>
      </c>
      <c r="F66" s="16"/>
      <c r="G66" s="12" t="s">
        <v>180</v>
      </c>
      <c r="H66" s="13"/>
      <c r="I66" s="15"/>
      <c r="J66" s="13"/>
      <c r="K66" s="15"/>
      <c r="L66" s="13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45941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3"/>
      <c r="B67" s="149"/>
      <c r="C67" s="85" t="s">
        <v>248</v>
      </c>
      <c r="D67" s="109" t="s">
        <v>247</v>
      </c>
      <c r="E67" s="15" t="s">
        <v>57</v>
      </c>
      <c r="F67" s="16"/>
      <c r="G67" s="12" t="s">
        <v>249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>
        <v>45941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3"/>
      <c r="B68" s="149"/>
      <c r="C68" s="85" t="s">
        <v>253</v>
      </c>
      <c r="D68" s="109" t="s">
        <v>247</v>
      </c>
      <c r="E68" s="15" t="s">
        <v>57</v>
      </c>
      <c r="F68" s="16"/>
      <c r="G68" s="12" t="s">
        <v>249</v>
      </c>
      <c r="H68" s="15"/>
      <c r="I68" s="15"/>
      <c r="J68" s="13"/>
      <c r="K68" s="15"/>
      <c r="L68" s="13"/>
      <c r="M68" s="17"/>
      <c r="N68" s="17"/>
      <c r="O68" s="17"/>
      <c r="P68" s="17"/>
      <c r="Q68" s="17">
        <v>1</v>
      </c>
      <c r="R68" s="17"/>
      <c r="S68" s="15"/>
      <c r="T68" s="25">
        <v>45941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3"/>
      <c r="B69" s="149"/>
      <c r="C69" s="85" t="s">
        <v>256</v>
      </c>
      <c r="D69" s="109" t="s">
        <v>255</v>
      </c>
      <c r="E69" s="15" t="s">
        <v>36</v>
      </c>
      <c r="F69" s="16"/>
      <c r="G69" s="12" t="s">
        <v>180</v>
      </c>
      <c r="H69" s="15"/>
      <c r="I69" s="15"/>
      <c r="J69" s="13">
        <v>1</v>
      </c>
      <c r="K69" s="15">
        <v>1</v>
      </c>
      <c r="L69" s="13"/>
      <c r="M69" s="17"/>
      <c r="N69" s="17"/>
      <c r="O69" s="17"/>
      <c r="P69" s="17"/>
      <c r="Q69" s="17"/>
      <c r="R69" s="17"/>
      <c r="S69" s="15"/>
      <c r="T69" s="25">
        <v>45943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3"/>
      <c r="B70" s="149"/>
      <c r="C70" s="85" t="s">
        <v>254</v>
      </c>
      <c r="D70" s="109" t="s">
        <v>255</v>
      </c>
      <c r="E70" s="15" t="s">
        <v>75</v>
      </c>
      <c r="F70" s="16"/>
      <c r="G70" s="12" t="s">
        <v>180</v>
      </c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>
        <v>1</v>
      </c>
      <c r="T70" s="25">
        <v>45943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3"/>
      <c r="B71" s="149"/>
      <c r="C71" s="85" t="s">
        <v>257</v>
      </c>
      <c r="D71" s="109" t="s">
        <v>197</v>
      </c>
      <c r="E71" s="15" t="s">
        <v>37</v>
      </c>
      <c r="F71" s="16"/>
      <c r="G71" s="12" t="s">
        <v>180</v>
      </c>
      <c r="H71" s="15"/>
      <c r="I71" s="15"/>
      <c r="J71" s="13"/>
      <c r="K71" s="15"/>
      <c r="L71" s="13"/>
      <c r="M71" s="17">
        <v>1</v>
      </c>
      <c r="N71" s="17">
        <v>1</v>
      </c>
      <c r="O71" s="17"/>
      <c r="P71" s="17"/>
      <c r="Q71" s="17">
        <v>1</v>
      </c>
      <c r="R71" s="17"/>
      <c r="S71" s="15"/>
      <c r="T71" s="25">
        <v>45942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3"/>
      <c r="B72" s="149"/>
      <c r="C72" s="85" t="s">
        <v>259</v>
      </c>
      <c r="D72" s="109" t="s">
        <v>210</v>
      </c>
      <c r="E72" s="15" t="s">
        <v>36</v>
      </c>
      <c r="F72" s="16"/>
      <c r="G72" s="12" t="s">
        <v>180</v>
      </c>
      <c r="H72" s="15"/>
      <c r="I72" s="15"/>
      <c r="J72" s="13"/>
      <c r="K72" s="15"/>
      <c r="L72" s="13"/>
      <c r="M72" s="17">
        <v>1</v>
      </c>
      <c r="N72" s="17">
        <v>1</v>
      </c>
      <c r="O72" s="17"/>
      <c r="P72" s="17"/>
      <c r="Q72" s="17">
        <v>1</v>
      </c>
      <c r="R72" s="17"/>
      <c r="S72" s="15"/>
      <c r="T72" s="25">
        <v>45934</v>
      </c>
      <c r="U72" s="13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3"/>
      <c r="B73" s="149"/>
      <c r="C73" s="85" t="s">
        <v>260</v>
      </c>
      <c r="D73" s="109" t="s">
        <v>261</v>
      </c>
      <c r="E73" s="15" t="s">
        <v>36</v>
      </c>
      <c r="F73" s="16"/>
      <c r="G73" s="15" t="s">
        <v>180</v>
      </c>
      <c r="H73" s="15"/>
      <c r="I73" s="15"/>
      <c r="J73" s="15"/>
      <c r="K73" s="15"/>
      <c r="L73" s="17"/>
      <c r="M73" s="17">
        <v>1</v>
      </c>
      <c r="N73" s="17">
        <v>1</v>
      </c>
      <c r="O73" s="17"/>
      <c r="P73" s="17"/>
      <c r="Q73" s="17">
        <v>1</v>
      </c>
      <c r="R73" s="17"/>
      <c r="S73" s="15"/>
      <c r="T73" s="25">
        <v>45943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3"/>
      <c r="B74" s="149"/>
      <c r="C74" s="85" t="s">
        <v>262</v>
      </c>
      <c r="D74" s="109" t="s">
        <v>185</v>
      </c>
      <c r="E74" s="15" t="s">
        <v>40</v>
      </c>
      <c r="F74" s="16"/>
      <c r="G74" s="15" t="s">
        <v>180</v>
      </c>
      <c r="H74" s="15"/>
      <c r="I74" s="15"/>
      <c r="J74" s="15"/>
      <c r="K74" s="15"/>
      <c r="L74" s="17"/>
      <c r="M74" s="17"/>
      <c r="N74" s="17"/>
      <c r="O74" s="17">
        <v>1</v>
      </c>
      <c r="P74" s="17">
        <v>1</v>
      </c>
      <c r="Q74" s="17"/>
      <c r="R74" s="17"/>
      <c r="S74" s="15"/>
      <c r="T74" s="25">
        <v>45943</v>
      </c>
      <c r="U74" s="15" t="s">
        <v>307</v>
      </c>
      <c r="V74">
        <v>12</v>
      </c>
      <c r="AA74" s="49" t="s">
        <v>91</v>
      </c>
      <c r="AB74" s="50" t="s">
        <v>75</v>
      </c>
    </row>
    <row r="75" spans="1:28" x14ac:dyDescent="0.4">
      <c r="A75" s="143"/>
      <c r="B75" s="149"/>
      <c r="C75" s="85" t="s">
        <v>258</v>
      </c>
      <c r="D75" s="109" t="s">
        <v>190</v>
      </c>
      <c r="E75" s="15" t="s">
        <v>36</v>
      </c>
      <c r="F75" s="16"/>
      <c r="G75" s="15" t="s">
        <v>180</v>
      </c>
      <c r="H75" s="15"/>
      <c r="I75" s="15"/>
      <c r="J75" s="15"/>
      <c r="K75" s="15"/>
      <c r="L75" s="17"/>
      <c r="M75" s="17">
        <v>1</v>
      </c>
      <c r="N75" s="17">
        <v>1</v>
      </c>
      <c r="O75" s="17"/>
      <c r="P75" s="17"/>
      <c r="Q75" s="17"/>
      <c r="R75" s="17"/>
      <c r="S75" s="15"/>
      <c r="T75" s="25">
        <v>45937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3"/>
      <c r="B76" s="149"/>
      <c r="C76" s="85" t="s">
        <v>263</v>
      </c>
      <c r="D76" s="109" t="s">
        <v>264</v>
      </c>
      <c r="E76" s="15" t="s">
        <v>36</v>
      </c>
      <c r="F76" s="16"/>
      <c r="G76" s="15" t="s">
        <v>180</v>
      </c>
      <c r="H76" s="15"/>
      <c r="I76" s="15"/>
      <c r="J76" s="15"/>
      <c r="K76" s="15"/>
      <c r="L76" s="17"/>
      <c r="M76" s="17">
        <v>1</v>
      </c>
      <c r="N76" s="17">
        <v>1</v>
      </c>
      <c r="O76" s="17"/>
      <c r="P76" s="17"/>
      <c r="Q76" s="17">
        <v>1</v>
      </c>
      <c r="R76" s="17"/>
      <c r="S76" s="15"/>
      <c r="T76" s="25">
        <v>45939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3"/>
      <c r="B77" s="149"/>
      <c r="C77" s="85" t="s">
        <v>265</v>
      </c>
      <c r="D77" s="109" t="s">
        <v>255</v>
      </c>
      <c r="E77" s="15" t="s">
        <v>36</v>
      </c>
      <c r="F77" s="16"/>
      <c r="G77" s="15" t="s">
        <v>180</v>
      </c>
      <c r="H77" s="15"/>
      <c r="I77" s="15"/>
      <c r="J77" s="15">
        <v>1</v>
      </c>
      <c r="K77" s="15">
        <v>1</v>
      </c>
      <c r="L77" s="17"/>
      <c r="M77" s="17"/>
      <c r="N77" s="17"/>
      <c r="O77" s="17"/>
      <c r="P77" s="17"/>
      <c r="Q77" s="17"/>
      <c r="R77" s="17"/>
      <c r="S77" s="15"/>
      <c r="T77" s="25">
        <v>45934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43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3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3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3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3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3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3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3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3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4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11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3</v>
      </c>
      <c r="L88" s="29">
        <f t="shared" si="2"/>
        <v>0</v>
      </c>
      <c r="M88" s="29">
        <f t="shared" si="2"/>
        <v>6</v>
      </c>
      <c r="N88" s="29">
        <f t="shared" si="2"/>
        <v>6</v>
      </c>
      <c r="O88" s="29">
        <f t="shared" si="2"/>
        <v>1</v>
      </c>
      <c r="P88" s="29">
        <f t="shared" si="2"/>
        <v>1</v>
      </c>
      <c r="Q88" s="29">
        <f t="shared" si="2"/>
        <v>7</v>
      </c>
      <c r="R88" s="29">
        <f t="shared" si="2"/>
        <v>0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25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AYG119</v>
      </c>
      <c r="B91" s="24">
        <f>B1</f>
        <v>45911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0" t="s">
        <v>117</v>
      </c>
      <c r="Y92" s="141"/>
    </row>
    <row r="93" spans="1:28" ht="20.25" thickTop="1" thickBot="1" x14ac:dyDescent="0.45">
      <c r="A93" s="142">
        <v>4</v>
      </c>
      <c r="B93" s="145">
        <v>27.2</v>
      </c>
      <c r="C93" s="85" t="s">
        <v>266</v>
      </c>
      <c r="D93" s="109" t="s">
        <v>181</v>
      </c>
      <c r="E93" s="15" t="s">
        <v>60</v>
      </c>
      <c r="F93" s="14"/>
      <c r="G93" s="12" t="s">
        <v>180</v>
      </c>
      <c r="H93" s="13"/>
      <c r="I93" s="13"/>
      <c r="J93" s="13">
        <v>1</v>
      </c>
      <c r="K93" s="13">
        <v>1</v>
      </c>
      <c r="L93" s="13">
        <v>1</v>
      </c>
      <c r="M93" s="13"/>
      <c r="N93" s="13"/>
      <c r="O93" s="13"/>
      <c r="P93" s="13"/>
      <c r="Q93" s="13"/>
      <c r="R93" s="13"/>
      <c r="S93" s="13"/>
      <c r="T93" s="25">
        <v>45938</v>
      </c>
      <c r="U93" s="13" t="s">
        <v>142</v>
      </c>
      <c r="V93">
        <v>1</v>
      </c>
      <c r="X93" s="51" t="s">
        <v>106</v>
      </c>
      <c r="Y93" s="52">
        <f>COUNTIF(U93:U117,"K")</f>
        <v>9</v>
      </c>
      <c r="AA93" s="59" t="s">
        <v>120</v>
      </c>
      <c r="AB93" s="60" t="s">
        <v>121</v>
      </c>
    </row>
    <row r="94" spans="1:28" x14ac:dyDescent="0.4">
      <c r="A94" s="143"/>
      <c r="B94" s="146"/>
      <c r="C94" s="85" t="s">
        <v>267</v>
      </c>
      <c r="D94" s="109" t="s">
        <v>181</v>
      </c>
      <c r="E94" s="15" t="s">
        <v>60</v>
      </c>
      <c r="F94" s="16"/>
      <c r="G94" s="12" t="s">
        <v>180</v>
      </c>
      <c r="H94" s="15"/>
      <c r="I94" s="15"/>
      <c r="J94" s="15">
        <v>1</v>
      </c>
      <c r="K94" s="15">
        <v>1</v>
      </c>
      <c r="L94" s="17">
        <v>1</v>
      </c>
      <c r="M94" s="17"/>
      <c r="N94" s="17"/>
      <c r="O94" s="17"/>
      <c r="P94" s="17"/>
      <c r="Q94" s="17"/>
      <c r="R94" s="17"/>
      <c r="S94" s="15"/>
      <c r="T94" s="25">
        <v>45938</v>
      </c>
      <c r="U94" s="13" t="s">
        <v>146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43"/>
      <c r="B95" s="146"/>
      <c r="C95" s="85" t="s">
        <v>268</v>
      </c>
      <c r="D95" s="109" t="s">
        <v>181</v>
      </c>
      <c r="E95" s="15" t="s">
        <v>60</v>
      </c>
      <c r="F95" s="16"/>
      <c r="G95" s="12" t="s">
        <v>180</v>
      </c>
      <c r="H95" s="15"/>
      <c r="I95" s="15"/>
      <c r="J95" s="15">
        <v>1</v>
      </c>
      <c r="K95" s="15">
        <v>1</v>
      </c>
      <c r="L95" s="17">
        <v>1</v>
      </c>
      <c r="M95" s="17"/>
      <c r="N95" s="17"/>
      <c r="O95" s="17"/>
      <c r="P95" s="17"/>
      <c r="Q95" s="17"/>
      <c r="R95" s="17"/>
      <c r="S95" s="15"/>
      <c r="T95" s="25">
        <v>45938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3"/>
      <c r="B96" s="146"/>
      <c r="C96" s="85" t="s">
        <v>269</v>
      </c>
      <c r="D96" s="109" t="s">
        <v>181</v>
      </c>
      <c r="E96" s="15" t="s">
        <v>60</v>
      </c>
      <c r="F96" s="16"/>
      <c r="G96" s="12" t="s">
        <v>180</v>
      </c>
      <c r="H96" s="15"/>
      <c r="I96" s="15"/>
      <c r="J96" s="15">
        <v>1</v>
      </c>
      <c r="K96" s="15">
        <v>1</v>
      </c>
      <c r="L96" s="17">
        <v>1</v>
      </c>
      <c r="M96" s="17"/>
      <c r="N96" s="17"/>
      <c r="O96" s="17"/>
      <c r="P96" s="17"/>
      <c r="Q96" s="17"/>
      <c r="R96" s="17"/>
      <c r="S96" s="15"/>
      <c r="T96" s="25">
        <v>45938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3"/>
      <c r="B97" s="146"/>
      <c r="C97" s="85" t="s">
        <v>270</v>
      </c>
      <c r="D97" s="109" t="s">
        <v>181</v>
      </c>
      <c r="E97" s="15" t="s">
        <v>60</v>
      </c>
      <c r="F97" s="16"/>
      <c r="G97" s="12" t="s">
        <v>180</v>
      </c>
      <c r="H97" s="15"/>
      <c r="I97" s="15"/>
      <c r="J97" s="15">
        <v>1</v>
      </c>
      <c r="K97" s="15">
        <v>1</v>
      </c>
      <c r="L97" s="17">
        <v>1</v>
      </c>
      <c r="M97" s="17"/>
      <c r="N97" s="17"/>
      <c r="O97" s="17"/>
      <c r="P97" s="17"/>
      <c r="Q97" s="17"/>
      <c r="R97" s="17"/>
      <c r="S97" s="15"/>
      <c r="T97" s="25">
        <v>45938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3"/>
      <c r="B98" s="146"/>
      <c r="C98" s="85" t="s">
        <v>271</v>
      </c>
      <c r="D98" s="109" t="s">
        <v>181</v>
      </c>
      <c r="E98" s="15" t="s">
        <v>60</v>
      </c>
      <c r="F98" s="16"/>
      <c r="G98" s="12" t="s">
        <v>180</v>
      </c>
      <c r="H98" s="13"/>
      <c r="I98" s="15"/>
      <c r="J98" s="15">
        <v>1</v>
      </c>
      <c r="K98" s="15">
        <v>1</v>
      </c>
      <c r="L98" s="17">
        <v>1</v>
      </c>
      <c r="M98" s="17"/>
      <c r="N98" s="17"/>
      <c r="O98" s="17"/>
      <c r="P98" s="17"/>
      <c r="Q98" s="17"/>
      <c r="R98" s="17"/>
      <c r="S98" s="15"/>
      <c r="T98" s="25">
        <v>45938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3"/>
      <c r="B99" s="146"/>
      <c r="C99" s="85" t="s">
        <v>272</v>
      </c>
      <c r="D99" s="109" t="s">
        <v>181</v>
      </c>
      <c r="E99" s="15" t="s">
        <v>60</v>
      </c>
      <c r="F99" s="16"/>
      <c r="G99" s="12" t="s">
        <v>180</v>
      </c>
      <c r="H99" s="15"/>
      <c r="I99" s="15"/>
      <c r="J99" s="15">
        <v>1</v>
      </c>
      <c r="K99" s="15">
        <v>1</v>
      </c>
      <c r="L99" s="17">
        <v>1</v>
      </c>
      <c r="M99" s="17"/>
      <c r="N99" s="17"/>
      <c r="O99" s="17"/>
      <c r="P99" s="17"/>
      <c r="Q99" s="17"/>
      <c r="R99" s="17"/>
      <c r="S99" s="15"/>
      <c r="T99" s="25">
        <v>45938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3"/>
      <c r="B100" s="146"/>
      <c r="C100" s="85" t="s">
        <v>273</v>
      </c>
      <c r="D100" s="109" t="s">
        <v>210</v>
      </c>
      <c r="E100" s="15" t="s">
        <v>36</v>
      </c>
      <c r="F100" s="16"/>
      <c r="G100" s="12" t="s">
        <v>180</v>
      </c>
      <c r="H100" s="15"/>
      <c r="I100" s="15"/>
      <c r="J100" s="15"/>
      <c r="K100" s="15"/>
      <c r="L100" s="17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45931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3"/>
      <c r="B101" s="146"/>
      <c r="C101" s="85" t="s">
        <v>274</v>
      </c>
      <c r="D101" s="109" t="s">
        <v>210</v>
      </c>
      <c r="E101" s="15" t="s">
        <v>36</v>
      </c>
      <c r="F101" s="16"/>
      <c r="G101" s="12" t="s">
        <v>180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45934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3"/>
      <c r="B102" s="146"/>
      <c r="C102" s="85" t="s">
        <v>275</v>
      </c>
      <c r="D102" s="109" t="s">
        <v>179</v>
      </c>
      <c r="E102" s="15" t="s">
        <v>75</v>
      </c>
      <c r="F102" s="16"/>
      <c r="G102" s="12" t="s">
        <v>180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45938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3"/>
      <c r="B103" s="146"/>
      <c r="C103" s="85" t="s">
        <v>276</v>
      </c>
      <c r="D103" s="109" t="s">
        <v>189</v>
      </c>
      <c r="E103" s="15" t="s">
        <v>40</v>
      </c>
      <c r="F103" s="16"/>
      <c r="G103" s="12" t="s">
        <v>180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/>
      <c r="R103" s="17"/>
      <c r="S103" s="15"/>
      <c r="T103" s="25">
        <v>45935</v>
      </c>
      <c r="U103" s="15" t="s">
        <v>307</v>
      </c>
      <c r="V103">
        <v>11</v>
      </c>
      <c r="AA103" s="49" t="s">
        <v>90</v>
      </c>
      <c r="AB103" s="50" t="s">
        <v>58</v>
      </c>
    </row>
    <row r="104" spans="1:28" x14ac:dyDescent="0.4">
      <c r="A104" s="143"/>
      <c r="B104" s="146"/>
      <c r="C104" s="85" t="s">
        <v>277</v>
      </c>
      <c r="D104" s="109" t="s">
        <v>190</v>
      </c>
      <c r="E104" s="15" t="s">
        <v>39</v>
      </c>
      <c r="F104" s="16"/>
      <c r="G104" s="12" t="s">
        <v>180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45941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3"/>
      <c r="B105" s="146"/>
      <c r="C105" s="85" t="s">
        <v>278</v>
      </c>
      <c r="D105" s="109" t="s">
        <v>190</v>
      </c>
      <c r="E105" s="15" t="s">
        <v>133</v>
      </c>
      <c r="F105" s="16"/>
      <c r="G105" s="12" t="s">
        <v>180</v>
      </c>
      <c r="H105" s="15"/>
      <c r="I105" s="15"/>
      <c r="J105" s="15"/>
      <c r="K105" s="15"/>
      <c r="L105" s="17"/>
      <c r="M105" s="17"/>
      <c r="N105" s="17">
        <v>1</v>
      </c>
      <c r="O105" s="17">
        <v>1</v>
      </c>
      <c r="P105" s="17">
        <v>1</v>
      </c>
      <c r="Q105" s="17"/>
      <c r="R105" s="17"/>
      <c r="S105" s="15"/>
      <c r="T105" s="25">
        <v>45941</v>
      </c>
      <c r="U105" s="132" t="s">
        <v>307</v>
      </c>
      <c r="V105">
        <v>13</v>
      </c>
      <c r="AA105" s="49" t="s">
        <v>92</v>
      </c>
      <c r="AB105" s="50" t="s">
        <v>40</v>
      </c>
    </row>
    <row r="106" spans="1:28" x14ac:dyDescent="0.4">
      <c r="A106" s="143"/>
      <c r="B106" s="146"/>
      <c r="C106" s="85" t="s">
        <v>279</v>
      </c>
      <c r="D106" s="109">
        <v>1183</v>
      </c>
      <c r="E106" s="15" t="s">
        <v>40</v>
      </c>
      <c r="F106" s="16"/>
      <c r="G106" s="12" t="s">
        <v>180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>
        <v>1</v>
      </c>
      <c r="R106" s="17">
        <v>1</v>
      </c>
      <c r="S106" s="15"/>
      <c r="T106" s="25">
        <v>45928</v>
      </c>
      <c r="U106" s="15" t="s">
        <v>307</v>
      </c>
      <c r="V106">
        <v>14</v>
      </c>
      <c r="AA106" s="49" t="s">
        <v>93</v>
      </c>
      <c r="AB106" s="50" t="s">
        <v>57</v>
      </c>
    </row>
    <row r="107" spans="1:28" x14ac:dyDescent="0.4">
      <c r="A107" s="143"/>
      <c r="B107" s="146"/>
      <c r="C107" s="85" t="s">
        <v>280</v>
      </c>
      <c r="D107" s="109" t="s">
        <v>184</v>
      </c>
      <c r="E107" s="15" t="s">
        <v>38</v>
      </c>
      <c r="F107" s="16"/>
      <c r="G107" s="15" t="s">
        <v>180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45943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3"/>
      <c r="B108" s="14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3"/>
      <c r="B109" s="14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3"/>
      <c r="B110" s="14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3"/>
      <c r="B111" s="14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3"/>
      <c r="B112" s="14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3"/>
      <c r="B113" s="14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3"/>
      <c r="B114" s="14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3"/>
      <c r="B115" s="14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3"/>
      <c r="B116" s="14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4"/>
      <c r="B117" s="14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9</v>
      </c>
      <c r="K118" s="29">
        <f t="shared" ref="K118" si="4">SUM(K93:K117)</f>
        <v>9</v>
      </c>
      <c r="L118" s="29">
        <f t="shared" ref="L118" si="5">SUM(L93:L117)</f>
        <v>7</v>
      </c>
      <c r="M118" s="29">
        <f t="shared" ref="M118" si="6">SUM(M93:M117)</f>
        <v>2</v>
      </c>
      <c r="N118" s="29">
        <f t="shared" ref="N118" si="7">SUM(N93:N117)</f>
        <v>3</v>
      </c>
      <c r="O118" s="29">
        <f t="shared" ref="O118" si="8">SUM(O93:O117)</f>
        <v>3</v>
      </c>
      <c r="P118" s="29">
        <f t="shared" ref="P118" si="9">SUM(P93:P117)</f>
        <v>3</v>
      </c>
      <c r="Q118" s="29">
        <f t="shared" ref="Q118" si="10">SUM(Q93:Q117)</f>
        <v>3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40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AYG119</v>
      </c>
      <c r="B121" s="24">
        <f>B1</f>
        <v>45911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0" t="s">
        <v>116</v>
      </c>
      <c r="Y122" s="141"/>
    </row>
    <row r="123" spans="1:28" ht="20.25" thickTop="1" thickBot="1" x14ac:dyDescent="0.45">
      <c r="A123" s="142">
        <v>5</v>
      </c>
      <c r="B123" s="145">
        <v>19.8</v>
      </c>
      <c r="C123" s="85" t="s">
        <v>281</v>
      </c>
      <c r="D123" s="109" t="s">
        <v>187</v>
      </c>
      <c r="E123" s="15" t="s">
        <v>38</v>
      </c>
      <c r="F123" s="14"/>
      <c r="G123" s="12" t="s">
        <v>180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/>
      <c r="R123" s="13"/>
      <c r="S123" s="13"/>
      <c r="T123" s="25">
        <v>45946</v>
      </c>
      <c r="U123" s="13" t="s">
        <v>147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43"/>
      <c r="B124" s="146"/>
      <c r="C124" s="85" t="s">
        <v>282</v>
      </c>
      <c r="D124" s="109" t="s">
        <v>187</v>
      </c>
      <c r="E124" s="15" t="s">
        <v>57</v>
      </c>
      <c r="F124" s="16"/>
      <c r="G124" s="12" t="s">
        <v>249</v>
      </c>
      <c r="H124" s="15"/>
      <c r="I124" s="15"/>
      <c r="J124" s="15"/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45944</v>
      </c>
      <c r="U124" s="13" t="s">
        <v>147</v>
      </c>
      <c r="V124">
        <v>2</v>
      </c>
      <c r="X124" s="51" t="s">
        <v>107</v>
      </c>
      <c r="Y124" s="52">
        <f>COUNTIF(U123:U147,"R")</f>
        <v>8</v>
      </c>
      <c r="AA124" s="47" t="s">
        <v>81</v>
      </c>
      <c r="AB124" s="48" t="s">
        <v>60</v>
      </c>
    </row>
    <row r="125" spans="1:28" ht="19.5" thickBot="1" x14ac:dyDescent="0.45">
      <c r="A125" s="143"/>
      <c r="B125" s="146"/>
      <c r="C125" s="85" t="s">
        <v>283</v>
      </c>
      <c r="D125" s="109" t="s">
        <v>198</v>
      </c>
      <c r="E125" s="15" t="s">
        <v>37</v>
      </c>
      <c r="F125" s="16"/>
      <c r="G125" s="12" t="s">
        <v>180</v>
      </c>
      <c r="H125" s="15"/>
      <c r="I125" s="15"/>
      <c r="J125" s="15">
        <v>1</v>
      </c>
      <c r="K125" s="15">
        <v>1</v>
      </c>
      <c r="L125" s="17"/>
      <c r="M125" s="17"/>
      <c r="N125" s="17"/>
      <c r="O125" s="17"/>
      <c r="P125" s="17"/>
      <c r="Q125" s="17"/>
      <c r="R125" s="17"/>
      <c r="S125" s="15"/>
      <c r="T125" s="25">
        <v>45938</v>
      </c>
      <c r="U125" s="13" t="s">
        <v>147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3"/>
      <c r="B126" s="146"/>
      <c r="C126" s="85" t="s">
        <v>284</v>
      </c>
      <c r="D126" s="109" t="s">
        <v>181</v>
      </c>
      <c r="E126" s="15" t="s">
        <v>60</v>
      </c>
      <c r="F126" s="16"/>
      <c r="G126" s="12" t="s">
        <v>180</v>
      </c>
      <c r="H126" s="15"/>
      <c r="I126" s="15"/>
      <c r="J126" s="15">
        <v>1</v>
      </c>
      <c r="K126" s="15">
        <v>1</v>
      </c>
      <c r="L126" s="17">
        <v>1</v>
      </c>
      <c r="M126" s="17"/>
      <c r="N126" s="17"/>
      <c r="O126" s="17"/>
      <c r="P126" s="17"/>
      <c r="Q126" s="17"/>
      <c r="R126" s="17"/>
      <c r="S126" s="15"/>
      <c r="T126" s="25">
        <v>45948</v>
      </c>
      <c r="U126" s="13" t="s">
        <v>142</v>
      </c>
      <c r="V126">
        <v>4</v>
      </c>
      <c r="AA126" s="49" t="s">
        <v>83</v>
      </c>
      <c r="AB126" s="50" t="s">
        <v>38</v>
      </c>
    </row>
    <row r="127" spans="1:28" x14ac:dyDescent="0.4">
      <c r="A127" s="143"/>
      <c r="B127" s="146"/>
      <c r="C127" s="85" t="s">
        <v>285</v>
      </c>
      <c r="D127" s="109" t="s">
        <v>181</v>
      </c>
      <c r="E127" s="15" t="s">
        <v>60</v>
      </c>
      <c r="F127" s="16"/>
      <c r="G127" s="12" t="s">
        <v>180</v>
      </c>
      <c r="H127" s="15"/>
      <c r="I127" s="15"/>
      <c r="J127" s="15">
        <v>1</v>
      </c>
      <c r="K127" s="15">
        <v>1</v>
      </c>
      <c r="L127" s="17">
        <v>1</v>
      </c>
      <c r="M127" s="17"/>
      <c r="N127" s="17"/>
      <c r="O127" s="17"/>
      <c r="P127" s="17"/>
      <c r="Q127" s="17"/>
      <c r="R127" s="17"/>
      <c r="S127" s="15"/>
      <c r="T127" s="25">
        <v>45948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3"/>
      <c r="B128" s="146"/>
      <c r="C128" s="85" t="s">
        <v>286</v>
      </c>
      <c r="D128" s="109" t="s">
        <v>181</v>
      </c>
      <c r="E128" s="15" t="s">
        <v>60</v>
      </c>
      <c r="F128" s="16"/>
      <c r="G128" s="12" t="s">
        <v>180</v>
      </c>
      <c r="H128" s="13"/>
      <c r="I128" s="15"/>
      <c r="J128" s="15">
        <v>1</v>
      </c>
      <c r="K128" s="15">
        <v>1</v>
      </c>
      <c r="L128" s="17">
        <v>1</v>
      </c>
      <c r="M128" s="17"/>
      <c r="N128" s="17"/>
      <c r="O128" s="17"/>
      <c r="P128" s="17"/>
      <c r="Q128" s="17"/>
      <c r="R128" s="17"/>
      <c r="S128" s="15"/>
      <c r="T128" s="25">
        <v>45948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3"/>
      <c r="B129" s="146"/>
      <c r="C129" s="85" t="s">
        <v>287</v>
      </c>
      <c r="D129" s="109" t="s">
        <v>181</v>
      </c>
      <c r="E129" s="15" t="s">
        <v>60</v>
      </c>
      <c r="F129" s="16"/>
      <c r="G129" s="12" t="s">
        <v>180</v>
      </c>
      <c r="H129" s="15"/>
      <c r="I129" s="15"/>
      <c r="J129" s="15">
        <v>1</v>
      </c>
      <c r="K129" s="15">
        <v>1</v>
      </c>
      <c r="L129" s="17">
        <v>1</v>
      </c>
      <c r="M129" s="17"/>
      <c r="N129" s="17"/>
      <c r="O129" s="17"/>
      <c r="P129" s="17"/>
      <c r="Q129" s="17"/>
      <c r="R129" s="17"/>
      <c r="S129" s="15"/>
      <c r="T129" s="25">
        <v>45948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3"/>
      <c r="B130" s="146"/>
      <c r="C130" s="85" t="s">
        <v>288</v>
      </c>
      <c r="D130" s="109" t="s">
        <v>181</v>
      </c>
      <c r="E130" s="15" t="s">
        <v>60</v>
      </c>
      <c r="F130" s="16"/>
      <c r="G130" s="12" t="s">
        <v>180</v>
      </c>
      <c r="H130" s="15"/>
      <c r="I130" s="15"/>
      <c r="J130" s="15">
        <v>1</v>
      </c>
      <c r="K130" s="15">
        <v>1</v>
      </c>
      <c r="L130" s="17">
        <v>1</v>
      </c>
      <c r="M130" s="17"/>
      <c r="N130" s="17"/>
      <c r="O130" s="17"/>
      <c r="P130" s="17"/>
      <c r="Q130" s="17"/>
      <c r="R130" s="17"/>
      <c r="S130" s="15"/>
      <c r="T130" s="25">
        <v>45938</v>
      </c>
      <c r="U130" s="15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3"/>
      <c r="B131" s="146"/>
      <c r="C131" s="85" t="s">
        <v>289</v>
      </c>
      <c r="D131" s="109" t="s">
        <v>181</v>
      </c>
      <c r="E131" s="15" t="s">
        <v>60</v>
      </c>
      <c r="F131" s="16"/>
      <c r="G131" s="12" t="s">
        <v>180</v>
      </c>
      <c r="H131" s="15"/>
      <c r="I131" s="15"/>
      <c r="J131" s="15">
        <v>1</v>
      </c>
      <c r="K131" s="15">
        <v>1</v>
      </c>
      <c r="L131" s="17">
        <v>1</v>
      </c>
      <c r="M131" s="17"/>
      <c r="N131" s="17"/>
      <c r="O131" s="17"/>
      <c r="P131" s="17"/>
      <c r="Q131" s="17"/>
      <c r="R131" s="17"/>
      <c r="S131" s="15"/>
      <c r="T131" s="25">
        <v>45938</v>
      </c>
      <c r="U131" s="15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3"/>
      <c r="B132" s="146"/>
      <c r="C132" s="85" t="s">
        <v>290</v>
      </c>
      <c r="D132" s="109" t="s">
        <v>189</v>
      </c>
      <c r="E132" s="15" t="s">
        <v>37</v>
      </c>
      <c r="F132" s="16"/>
      <c r="G132" s="12" t="s">
        <v>180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45951</v>
      </c>
      <c r="U132" s="15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3"/>
      <c r="B133" s="146"/>
      <c r="C133" s="85" t="s">
        <v>291</v>
      </c>
      <c r="D133" s="109" t="s">
        <v>179</v>
      </c>
      <c r="E133" s="15" t="s">
        <v>37</v>
      </c>
      <c r="F133" s="16"/>
      <c r="G133" s="12" t="s">
        <v>180</v>
      </c>
      <c r="H133" s="15"/>
      <c r="I133" s="15"/>
      <c r="J133" s="15"/>
      <c r="K133" s="15"/>
      <c r="L133" s="17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45938</v>
      </c>
      <c r="U133" s="15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3"/>
      <c r="B134" s="146"/>
      <c r="C134" s="85" t="s">
        <v>294</v>
      </c>
      <c r="D134" s="109" t="s">
        <v>179</v>
      </c>
      <c r="E134" s="15" t="s">
        <v>37</v>
      </c>
      <c r="F134" s="16"/>
      <c r="G134" s="12" t="s">
        <v>180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45937</v>
      </c>
      <c r="U134" s="15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3"/>
      <c r="B135" s="146"/>
      <c r="C135" s="85" t="s">
        <v>292</v>
      </c>
      <c r="D135" s="109" t="s">
        <v>293</v>
      </c>
      <c r="E135" s="15" t="s">
        <v>38</v>
      </c>
      <c r="F135" s="16"/>
      <c r="G135" s="12" t="s">
        <v>180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45938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3"/>
      <c r="B136" s="146"/>
      <c r="C136" s="85" t="s">
        <v>295</v>
      </c>
      <c r="D136" s="109" t="s">
        <v>179</v>
      </c>
      <c r="E136" s="15" t="s">
        <v>37</v>
      </c>
      <c r="F136" s="16"/>
      <c r="G136" s="12" t="s">
        <v>180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45930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3"/>
      <c r="B137" s="146"/>
      <c r="C137" s="85" t="s">
        <v>296</v>
      </c>
      <c r="D137" s="109" t="s">
        <v>179</v>
      </c>
      <c r="E137" s="15" t="s">
        <v>37</v>
      </c>
      <c r="F137" s="16"/>
      <c r="G137" s="15" t="s">
        <v>180</v>
      </c>
      <c r="H137" s="15"/>
      <c r="I137" s="15"/>
      <c r="J137" s="15"/>
      <c r="K137" s="15"/>
      <c r="L137" s="17"/>
      <c r="M137" s="17">
        <v>1</v>
      </c>
      <c r="N137" s="17">
        <v>1</v>
      </c>
      <c r="O137" s="17"/>
      <c r="P137" s="17"/>
      <c r="Q137" s="17"/>
      <c r="R137" s="17"/>
      <c r="S137" s="15"/>
      <c r="T137" s="25">
        <v>45942</v>
      </c>
      <c r="U137" s="15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3"/>
      <c r="B138" s="146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3"/>
      <c r="B139" s="146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3"/>
      <c r="B140" s="14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3"/>
      <c r="B141" s="14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3"/>
      <c r="B142" s="14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3"/>
      <c r="B143" s="14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3"/>
      <c r="B144" s="14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3"/>
      <c r="B145" s="14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3"/>
      <c r="B146" s="14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4"/>
      <c r="B147" s="14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9</v>
      </c>
      <c r="K148" s="29">
        <f t="shared" ref="K148" si="14">SUM(K123:K147)</f>
        <v>9</v>
      </c>
      <c r="L148" s="29">
        <f t="shared" ref="L148" si="15">SUM(L123:L147)</f>
        <v>6</v>
      </c>
      <c r="M148" s="29">
        <f t="shared" ref="M148" si="16">SUM(M123:M147)</f>
        <v>5</v>
      </c>
      <c r="N148" s="29">
        <f t="shared" ref="N148" si="17">SUM(N123:N147)</f>
        <v>5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AYG119</v>
      </c>
      <c r="B151" s="24">
        <f>B1</f>
        <v>45911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0" t="s">
        <v>115</v>
      </c>
      <c r="Y152" s="141"/>
    </row>
    <row r="153" spans="1:28" ht="20.25" thickTop="1" thickBot="1" x14ac:dyDescent="0.45">
      <c r="A153" s="142">
        <v>6</v>
      </c>
      <c r="B153" s="148">
        <v>22.4</v>
      </c>
      <c r="C153" s="85" t="s">
        <v>297</v>
      </c>
      <c r="D153" s="109" t="s">
        <v>183</v>
      </c>
      <c r="E153" s="13" t="s">
        <v>44</v>
      </c>
      <c r="F153" s="14"/>
      <c r="G153" s="12" t="s">
        <v>180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45935</v>
      </c>
      <c r="U153" s="13" t="s">
        <v>142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43"/>
      <c r="B154" s="149"/>
      <c r="C154" s="85" t="s">
        <v>298</v>
      </c>
      <c r="D154" s="109" t="s">
        <v>183</v>
      </c>
      <c r="E154" s="13" t="s">
        <v>44</v>
      </c>
      <c r="F154" s="16"/>
      <c r="G154" s="12" t="s">
        <v>180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45935</v>
      </c>
      <c r="U154" s="13" t="s">
        <v>146</v>
      </c>
      <c r="V154">
        <v>2</v>
      </c>
      <c r="X154" s="51" t="s">
        <v>107</v>
      </c>
      <c r="Y154" s="52">
        <f>COUNTIF(U153:U177,"R")</f>
        <v>1</v>
      </c>
      <c r="AA154" s="47" t="s">
        <v>81</v>
      </c>
      <c r="AB154" s="48" t="s">
        <v>60</v>
      </c>
    </row>
    <row r="155" spans="1:28" ht="19.5" thickBot="1" x14ac:dyDescent="0.45">
      <c r="A155" s="143"/>
      <c r="B155" s="149"/>
      <c r="C155" s="85" t="s">
        <v>299</v>
      </c>
      <c r="D155" s="109" t="s">
        <v>181</v>
      </c>
      <c r="E155" s="13" t="s">
        <v>42</v>
      </c>
      <c r="F155" s="16"/>
      <c r="G155" s="12" t="s">
        <v>180</v>
      </c>
      <c r="H155" s="13"/>
      <c r="I155" s="15"/>
      <c r="J155" s="13"/>
      <c r="K155" s="15"/>
      <c r="L155" s="13"/>
      <c r="M155" s="17"/>
      <c r="N155" s="17"/>
      <c r="O155" s="17"/>
      <c r="P155" s="17"/>
      <c r="Q155" s="17"/>
      <c r="R155" s="17"/>
      <c r="S155" s="15">
        <v>1</v>
      </c>
      <c r="T155" s="26">
        <v>45942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3"/>
      <c r="B156" s="149"/>
      <c r="C156" s="85" t="s">
        <v>300</v>
      </c>
      <c r="D156" s="109" t="s">
        <v>181</v>
      </c>
      <c r="E156" s="13" t="s">
        <v>41</v>
      </c>
      <c r="F156" s="16"/>
      <c r="G156" s="12" t="s">
        <v>180</v>
      </c>
      <c r="H156" s="15"/>
      <c r="I156" s="15"/>
      <c r="J156" s="13">
        <v>1</v>
      </c>
      <c r="K156" s="15"/>
      <c r="L156" s="13"/>
      <c r="M156" s="17"/>
      <c r="N156" s="17"/>
      <c r="O156" s="17"/>
      <c r="P156" s="17"/>
      <c r="Q156" s="17"/>
      <c r="R156" s="17"/>
      <c r="S156" s="15"/>
      <c r="T156" s="26">
        <v>45942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3"/>
      <c r="B157" s="149"/>
      <c r="C157" s="85" t="s">
        <v>301</v>
      </c>
      <c r="D157" s="109" t="s">
        <v>181</v>
      </c>
      <c r="E157" s="13" t="s">
        <v>42</v>
      </c>
      <c r="F157" s="16"/>
      <c r="G157" s="12" t="s">
        <v>180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>
        <v>1</v>
      </c>
      <c r="T157" s="26">
        <v>45942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3"/>
      <c r="B158" s="149"/>
      <c r="C158" s="85" t="s">
        <v>302</v>
      </c>
      <c r="D158" s="109" t="s">
        <v>181</v>
      </c>
      <c r="E158" s="13" t="s">
        <v>41</v>
      </c>
      <c r="F158" s="16"/>
      <c r="G158" s="12" t="s">
        <v>180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45942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3"/>
      <c r="B159" s="149"/>
      <c r="C159" s="85" t="s">
        <v>303</v>
      </c>
      <c r="D159" s="109" t="s">
        <v>181</v>
      </c>
      <c r="E159" s="13" t="s">
        <v>59</v>
      </c>
      <c r="F159" s="16"/>
      <c r="G159" s="12" t="s">
        <v>180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45938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3"/>
      <c r="B160" s="149"/>
      <c r="C160" s="85" t="s">
        <v>304</v>
      </c>
      <c r="D160" s="109" t="s">
        <v>181</v>
      </c>
      <c r="E160" s="13" t="s">
        <v>59</v>
      </c>
      <c r="F160" s="16"/>
      <c r="G160" s="12" t="s">
        <v>180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45938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3"/>
      <c r="B161" s="149"/>
      <c r="C161" s="85" t="s">
        <v>305</v>
      </c>
      <c r="D161" s="109" t="s">
        <v>179</v>
      </c>
      <c r="E161" s="13" t="s">
        <v>36</v>
      </c>
      <c r="F161" s="16"/>
      <c r="G161" s="12" t="s">
        <v>180</v>
      </c>
      <c r="H161" s="15"/>
      <c r="I161" s="15"/>
      <c r="J161" s="13"/>
      <c r="K161" s="15"/>
      <c r="L161" s="13"/>
      <c r="M161" s="17">
        <v>1</v>
      </c>
      <c r="N161" s="17">
        <v>1</v>
      </c>
      <c r="O161" s="17"/>
      <c r="P161" s="17"/>
      <c r="Q161" s="17">
        <v>1</v>
      </c>
      <c r="R161" s="17"/>
      <c r="S161" s="15"/>
      <c r="T161" s="26">
        <v>45918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43"/>
      <c r="B162" s="149"/>
      <c r="C162" s="85"/>
      <c r="D162" s="109"/>
      <c r="E162" s="13"/>
      <c r="F162" s="138"/>
      <c r="G162" s="137"/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/>
      <c r="U162" s="13"/>
      <c r="V162">
        <v>10</v>
      </c>
      <c r="AA162" s="49" t="s">
        <v>89</v>
      </c>
      <c r="AB162" s="50" t="s">
        <v>36</v>
      </c>
    </row>
    <row r="163" spans="1:28" x14ac:dyDescent="0.4">
      <c r="A163" s="143"/>
      <c r="B163" s="149"/>
      <c r="C163" s="85"/>
      <c r="D163" s="109"/>
      <c r="E163" s="13"/>
      <c r="F163" s="16"/>
      <c r="G163" s="12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/>
      <c r="U163" s="13"/>
      <c r="V163">
        <v>11</v>
      </c>
      <c r="AA163" s="49" t="s">
        <v>90</v>
      </c>
      <c r="AB163" s="50" t="s">
        <v>58</v>
      </c>
    </row>
    <row r="164" spans="1:28" x14ac:dyDescent="0.4">
      <c r="A164" s="143"/>
      <c r="B164" s="149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43"/>
      <c r="B165" s="149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43"/>
      <c r="B166" s="149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43"/>
      <c r="B167" s="149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3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3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3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3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3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3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3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3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3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4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9</v>
      </c>
      <c r="D178" s="112"/>
      <c r="E178" s="29"/>
      <c r="F178" s="29" t="s">
        <v>34</v>
      </c>
      <c r="G178" s="29">
        <f>COUNTIF(G153:G177,"S")</f>
        <v>9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2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1</v>
      </c>
      <c r="R178" s="29">
        <f t="shared" ref="R178" si="31">SUM(R153:R177)</f>
        <v>0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306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0" t="s">
        <v>114</v>
      </c>
      <c r="Y182" s="141"/>
    </row>
    <row r="183" spans="1:28" ht="20.25" thickTop="1" thickBot="1" x14ac:dyDescent="0.45">
      <c r="A183" s="142">
        <v>7</v>
      </c>
      <c r="B183" s="148">
        <v>23.4</v>
      </c>
      <c r="C183" s="85" t="s">
        <v>308</v>
      </c>
      <c r="D183" s="110" t="s">
        <v>182</v>
      </c>
      <c r="E183" s="18" t="s">
        <v>37</v>
      </c>
      <c r="F183" s="16"/>
      <c r="G183" s="18" t="s">
        <v>180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>
        <v>1</v>
      </c>
      <c r="R183" s="19"/>
      <c r="S183" s="15"/>
      <c r="T183" s="25">
        <v>45946</v>
      </c>
      <c r="U183" s="15" t="s">
        <v>147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43"/>
      <c r="B184" s="149"/>
      <c r="C184" s="85" t="s">
        <v>309</v>
      </c>
      <c r="D184" s="110" t="s">
        <v>310</v>
      </c>
      <c r="E184" s="18" t="s">
        <v>39</v>
      </c>
      <c r="F184" s="16"/>
      <c r="G184" s="18" t="s">
        <v>180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32"/>
      <c r="T184" s="25">
        <v>45943</v>
      </c>
      <c r="U184" s="15" t="s">
        <v>142</v>
      </c>
      <c r="V184">
        <v>2</v>
      </c>
      <c r="X184" s="51" t="s">
        <v>107</v>
      </c>
      <c r="Y184" s="52">
        <f>COUNTIF(U183:U207,"R")</f>
        <v>1</v>
      </c>
      <c r="AA184" s="47" t="s">
        <v>81</v>
      </c>
      <c r="AB184" s="48" t="s">
        <v>60</v>
      </c>
    </row>
    <row r="185" spans="1:28" ht="19.5" thickBot="1" x14ac:dyDescent="0.45">
      <c r="A185" s="143"/>
      <c r="B185" s="149"/>
      <c r="C185" s="85" t="s">
        <v>311</v>
      </c>
      <c r="D185" s="110" t="s">
        <v>310</v>
      </c>
      <c r="E185" s="18" t="s">
        <v>39</v>
      </c>
      <c r="F185" s="16"/>
      <c r="G185" s="18" t="s">
        <v>180</v>
      </c>
      <c r="H185" s="15"/>
      <c r="I185" s="15"/>
      <c r="J185" s="18">
        <v>1</v>
      </c>
      <c r="K185" s="15">
        <v>1</v>
      </c>
      <c r="L185" s="19"/>
      <c r="M185" s="17"/>
      <c r="N185" s="17"/>
      <c r="O185" s="17"/>
      <c r="P185" s="17"/>
      <c r="Q185" s="17"/>
      <c r="R185" s="17"/>
      <c r="S185" s="15"/>
      <c r="T185" s="25">
        <v>45943</v>
      </c>
      <c r="U185" s="15" t="s">
        <v>146</v>
      </c>
      <c r="V185">
        <v>3</v>
      </c>
      <c r="X185" s="53" t="s">
        <v>108</v>
      </c>
      <c r="Y185" s="54">
        <f>COUNTIF(U183:U207,"J")</f>
        <v>3</v>
      </c>
      <c r="AA185" s="49" t="s">
        <v>82</v>
      </c>
      <c r="AB185" s="50" t="s">
        <v>39</v>
      </c>
    </row>
    <row r="186" spans="1:28" x14ac:dyDescent="0.4">
      <c r="A186" s="143"/>
      <c r="B186" s="149"/>
      <c r="C186" s="85" t="s">
        <v>312</v>
      </c>
      <c r="D186" s="110" t="s">
        <v>310</v>
      </c>
      <c r="E186" s="18" t="s">
        <v>39</v>
      </c>
      <c r="F186" s="16"/>
      <c r="G186" s="18" t="s">
        <v>180</v>
      </c>
      <c r="H186" s="15"/>
      <c r="I186" s="15"/>
      <c r="J186" s="18">
        <v>1</v>
      </c>
      <c r="K186" s="15">
        <v>1</v>
      </c>
      <c r="L186" s="19"/>
      <c r="M186" s="17"/>
      <c r="N186" s="17"/>
      <c r="O186" s="17"/>
      <c r="P186" s="17"/>
      <c r="Q186" s="17"/>
      <c r="R186" s="17"/>
      <c r="S186" s="15"/>
      <c r="T186" s="25">
        <v>45943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3"/>
      <c r="B187" s="149"/>
      <c r="C187" s="85" t="s">
        <v>313</v>
      </c>
      <c r="D187" s="110" t="s">
        <v>179</v>
      </c>
      <c r="E187" s="18" t="s">
        <v>40</v>
      </c>
      <c r="F187" s="16"/>
      <c r="G187" s="18" t="s">
        <v>180</v>
      </c>
      <c r="H187" s="15"/>
      <c r="I187" s="15"/>
      <c r="J187" s="18"/>
      <c r="K187" s="15"/>
      <c r="L187" s="19"/>
      <c r="M187" s="17"/>
      <c r="N187" s="17"/>
      <c r="O187" s="17">
        <v>1</v>
      </c>
      <c r="P187" s="17">
        <v>1</v>
      </c>
      <c r="Q187" s="17">
        <v>1</v>
      </c>
      <c r="R187" s="17">
        <v>1</v>
      </c>
      <c r="S187" s="15"/>
      <c r="T187" s="25">
        <v>45944</v>
      </c>
      <c r="U187" s="1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43"/>
      <c r="B188" s="149"/>
      <c r="C188" s="85" t="s">
        <v>314</v>
      </c>
      <c r="D188" s="110" t="s">
        <v>255</v>
      </c>
      <c r="E188" s="18" t="s">
        <v>40</v>
      </c>
      <c r="F188" s="16"/>
      <c r="G188" s="18" t="s">
        <v>199</v>
      </c>
      <c r="H188" s="13"/>
      <c r="I188" s="15"/>
      <c r="J188" s="18"/>
      <c r="K188" s="15"/>
      <c r="L188" s="19"/>
      <c r="M188" s="17"/>
      <c r="N188" s="17"/>
      <c r="O188" s="17">
        <v>1</v>
      </c>
      <c r="P188" s="17">
        <v>1</v>
      </c>
      <c r="Q188" s="17"/>
      <c r="R188" s="17">
        <v>1</v>
      </c>
      <c r="S188" s="15"/>
      <c r="T188" s="25">
        <v>45944</v>
      </c>
      <c r="U188" s="1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43"/>
      <c r="B189" s="149"/>
      <c r="C189" s="85" t="s">
        <v>315</v>
      </c>
      <c r="D189" s="110" t="s">
        <v>255</v>
      </c>
      <c r="E189" s="18" t="s">
        <v>60</v>
      </c>
      <c r="F189" s="16"/>
      <c r="G189" s="18" t="s">
        <v>180</v>
      </c>
      <c r="H189" s="15"/>
      <c r="I189" s="15"/>
      <c r="J189" s="18">
        <v>1</v>
      </c>
      <c r="K189" s="15">
        <v>1</v>
      </c>
      <c r="L189" s="19">
        <v>1</v>
      </c>
      <c r="M189" s="17"/>
      <c r="N189" s="17"/>
      <c r="O189" s="17"/>
      <c r="P189" s="17"/>
      <c r="Q189" s="17"/>
      <c r="R189" s="17"/>
      <c r="S189" s="15"/>
      <c r="T189" s="25">
        <v>45943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3"/>
      <c r="B190" s="149"/>
      <c r="C190" s="85" t="s">
        <v>316</v>
      </c>
      <c r="D190" s="110" t="s">
        <v>255</v>
      </c>
      <c r="E190" s="18" t="s">
        <v>40</v>
      </c>
      <c r="F190" s="16"/>
      <c r="G190" s="18" t="s">
        <v>180</v>
      </c>
      <c r="H190" s="15"/>
      <c r="I190" s="15"/>
      <c r="J190" s="18"/>
      <c r="K190" s="15"/>
      <c r="L190" s="19"/>
      <c r="M190" s="17"/>
      <c r="N190" s="17"/>
      <c r="O190" s="17">
        <v>1</v>
      </c>
      <c r="P190" s="17">
        <v>1</v>
      </c>
      <c r="Q190" s="17"/>
      <c r="R190" s="17">
        <v>1</v>
      </c>
      <c r="S190" s="15"/>
      <c r="T190" s="25">
        <v>45943</v>
      </c>
      <c r="U190" s="15" t="s">
        <v>148</v>
      </c>
      <c r="V190">
        <v>8</v>
      </c>
      <c r="AA190" s="49" t="s">
        <v>87</v>
      </c>
      <c r="AB190" s="50" t="s">
        <v>37</v>
      </c>
    </row>
    <row r="191" spans="1:28" x14ac:dyDescent="0.4">
      <c r="A191" s="143"/>
      <c r="B191" s="149"/>
      <c r="C191" s="85" t="s">
        <v>317</v>
      </c>
      <c r="D191" s="110" t="s">
        <v>181</v>
      </c>
      <c r="E191" s="15" t="s">
        <v>59</v>
      </c>
      <c r="F191" s="16"/>
      <c r="G191" s="18" t="s">
        <v>180</v>
      </c>
      <c r="H191" s="15"/>
      <c r="I191" s="15"/>
      <c r="J191" s="18">
        <v>1</v>
      </c>
      <c r="K191" s="15"/>
      <c r="L191" s="19"/>
      <c r="M191" s="17"/>
      <c r="N191" s="17"/>
      <c r="O191" s="17"/>
      <c r="P191" s="17"/>
      <c r="Q191" s="17"/>
      <c r="R191" s="17"/>
      <c r="S191" s="15"/>
      <c r="T191" s="25">
        <v>45943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3"/>
      <c r="B192" s="149"/>
      <c r="C192" s="85" t="s">
        <v>318</v>
      </c>
      <c r="D192" s="106" t="s">
        <v>181</v>
      </c>
      <c r="E192" s="13" t="s">
        <v>59</v>
      </c>
      <c r="F192" s="16"/>
      <c r="G192" s="18" t="s">
        <v>180</v>
      </c>
      <c r="H192" s="15"/>
      <c r="I192" s="15"/>
      <c r="J192" s="15">
        <v>1</v>
      </c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45943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3"/>
      <c r="B193" s="149"/>
      <c r="C193" s="85" t="s">
        <v>319</v>
      </c>
      <c r="D193" s="106" t="s">
        <v>181</v>
      </c>
      <c r="E193" s="13" t="s">
        <v>59</v>
      </c>
      <c r="F193" s="16"/>
      <c r="G193" s="18" t="s">
        <v>180</v>
      </c>
      <c r="H193" s="15"/>
      <c r="I193" s="15"/>
      <c r="J193" s="15">
        <v>1</v>
      </c>
      <c r="K193" s="15"/>
      <c r="L193" s="17"/>
      <c r="M193" s="17"/>
      <c r="N193" s="17"/>
      <c r="O193" s="17"/>
      <c r="P193" s="17"/>
      <c r="Q193" s="17"/>
      <c r="R193" s="17"/>
      <c r="S193" s="15"/>
      <c r="T193" s="25">
        <v>45943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3"/>
      <c r="B194" s="149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3"/>
      <c r="B195" s="149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3"/>
      <c r="B196" s="149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3"/>
      <c r="B197" s="149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3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3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3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3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3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3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3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3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3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4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11</v>
      </c>
      <c r="D208" s="112"/>
      <c r="E208" s="29"/>
      <c r="F208" s="29" t="s">
        <v>34</v>
      </c>
      <c r="G208" s="29">
        <f>COUNTIF(G183:G207,"S")</f>
        <v>10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4</v>
      </c>
      <c r="L208" s="29">
        <f t="shared" ref="L208" si="35">SUM(L183:L207)</f>
        <v>1</v>
      </c>
      <c r="M208" s="29">
        <f t="shared" ref="M208" si="36">SUM(M183:M207)</f>
        <v>1</v>
      </c>
      <c r="N208" s="29">
        <f t="shared" ref="N208" si="37">SUM(N183:N207)</f>
        <v>1</v>
      </c>
      <c r="O208" s="29">
        <f t="shared" ref="O208" si="38">SUM(O183:O207)</f>
        <v>3</v>
      </c>
      <c r="P208" s="29">
        <f t="shared" ref="P208" si="39">SUM(P183:P207)</f>
        <v>3</v>
      </c>
      <c r="Q208" s="29">
        <f t="shared" ref="Q208" si="40">SUM(Q183:Q207)</f>
        <v>2</v>
      </c>
      <c r="R208" s="29">
        <f t="shared" ref="R208" si="41">SUM(R183:R207)</f>
        <v>3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25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AYG119</v>
      </c>
      <c r="B211" s="24">
        <f>B1</f>
        <v>45911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0" t="s">
        <v>113</v>
      </c>
      <c r="Y212" s="141"/>
    </row>
    <row r="213" spans="1:28" ht="20.25" thickTop="1" thickBot="1" x14ac:dyDescent="0.45">
      <c r="A213" s="142">
        <v>8</v>
      </c>
      <c r="B213" s="148">
        <v>24.2</v>
      </c>
      <c r="C213" s="85" t="s">
        <v>320</v>
      </c>
      <c r="D213" s="106" t="s">
        <v>321</v>
      </c>
      <c r="E213" s="15" t="s">
        <v>39</v>
      </c>
      <c r="F213" s="16"/>
      <c r="G213" s="15" t="s">
        <v>180</v>
      </c>
      <c r="H213" s="15"/>
      <c r="I213" s="15"/>
      <c r="J213" s="15">
        <v>1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45940</v>
      </c>
      <c r="U213" s="15" t="s">
        <v>146</v>
      </c>
      <c r="V213">
        <v>1</v>
      </c>
      <c r="X213" s="51" t="s">
        <v>106</v>
      </c>
      <c r="Y213" s="52">
        <f>COUNTIF(U213:U237,"K")</f>
        <v>11</v>
      </c>
      <c r="AA213" s="59" t="s">
        <v>120</v>
      </c>
      <c r="AB213" s="60" t="s">
        <v>121</v>
      </c>
    </row>
    <row r="214" spans="1:28" x14ac:dyDescent="0.4">
      <c r="A214" s="143"/>
      <c r="B214" s="149"/>
      <c r="C214" s="85" t="s">
        <v>322</v>
      </c>
      <c r="D214" s="106" t="s">
        <v>183</v>
      </c>
      <c r="E214" s="15" t="s">
        <v>37</v>
      </c>
      <c r="F214" s="16"/>
      <c r="G214" s="15" t="s">
        <v>180</v>
      </c>
      <c r="H214" s="15"/>
      <c r="I214" s="15"/>
      <c r="J214" s="15">
        <v>1</v>
      </c>
      <c r="K214" s="15">
        <v>1</v>
      </c>
      <c r="L214" s="19"/>
      <c r="M214" s="19"/>
      <c r="N214" s="19"/>
      <c r="O214" s="19"/>
      <c r="P214" s="19"/>
      <c r="Q214" s="19"/>
      <c r="R214" s="19"/>
      <c r="S214" s="15"/>
      <c r="T214" s="25">
        <v>45935</v>
      </c>
      <c r="U214" s="15" t="s">
        <v>146</v>
      </c>
      <c r="V214">
        <v>2</v>
      </c>
      <c r="X214" s="51" t="s">
        <v>107</v>
      </c>
      <c r="Y214" s="52">
        <f>COUNTIF(U213:U237,"R")</f>
        <v>5</v>
      </c>
      <c r="AA214" s="47" t="s">
        <v>81</v>
      </c>
      <c r="AB214" s="48" t="s">
        <v>60</v>
      </c>
    </row>
    <row r="215" spans="1:28" ht="19.5" thickBot="1" x14ac:dyDescent="0.45">
      <c r="A215" s="143"/>
      <c r="B215" s="149"/>
      <c r="C215" s="85" t="s">
        <v>323</v>
      </c>
      <c r="D215" s="106" t="s">
        <v>183</v>
      </c>
      <c r="E215" s="15" t="s">
        <v>44</v>
      </c>
      <c r="F215" s="16"/>
      <c r="G215" s="15" t="s">
        <v>180</v>
      </c>
      <c r="H215" s="15"/>
      <c r="I215" s="15"/>
      <c r="J215" s="18">
        <v>1</v>
      </c>
      <c r="K215" s="15">
        <v>1</v>
      </c>
      <c r="L215" s="19"/>
      <c r="M215" s="19"/>
      <c r="N215" s="19"/>
      <c r="O215" s="19"/>
      <c r="P215" s="19"/>
      <c r="Q215" s="19"/>
      <c r="R215" s="19"/>
      <c r="S215" s="15"/>
      <c r="T215" s="25">
        <v>45935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3"/>
      <c r="B216" s="149"/>
      <c r="C216" s="85" t="s">
        <v>324</v>
      </c>
      <c r="D216" s="106" t="s">
        <v>183</v>
      </c>
      <c r="E216" s="15" t="s">
        <v>41</v>
      </c>
      <c r="F216" s="16"/>
      <c r="G216" s="15" t="s">
        <v>180</v>
      </c>
      <c r="H216" s="15"/>
      <c r="I216" s="15"/>
      <c r="J216" s="18">
        <v>1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45935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3"/>
      <c r="B217" s="149"/>
      <c r="C217" s="85" t="s">
        <v>325</v>
      </c>
      <c r="D217" s="106" t="s">
        <v>183</v>
      </c>
      <c r="E217" s="15" t="s">
        <v>37</v>
      </c>
      <c r="F217" s="16"/>
      <c r="G217" s="15" t="s">
        <v>180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45935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43"/>
      <c r="B218" s="149"/>
      <c r="C218" s="85" t="s">
        <v>326</v>
      </c>
      <c r="D218" s="106" t="s">
        <v>183</v>
      </c>
      <c r="E218" s="15" t="s">
        <v>58</v>
      </c>
      <c r="F218" s="16"/>
      <c r="G218" s="15" t="s">
        <v>180</v>
      </c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45935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3"/>
      <c r="B219" s="149"/>
      <c r="C219" s="85" t="s">
        <v>327</v>
      </c>
      <c r="D219" s="106" t="s">
        <v>183</v>
      </c>
      <c r="E219" s="15" t="s">
        <v>75</v>
      </c>
      <c r="F219" s="16"/>
      <c r="G219" s="15" t="s">
        <v>180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>
        <v>1</v>
      </c>
      <c r="T219" s="25">
        <v>45935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3"/>
      <c r="B220" s="149"/>
      <c r="C220" s="85" t="s">
        <v>328</v>
      </c>
      <c r="D220" s="106" t="s">
        <v>183</v>
      </c>
      <c r="E220" s="15" t="s">
        <v>37</v>
      </c>
      <c r="F220" s="16"/>
      <c r="G220" s="15" t="s">
        <v>180</v>
      </c>
      <c r="H220" s="15"/>
      <c r="I220" s="15"/>
      <c r="J220" s="13">
        <v>1</v>
      </c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45935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3"/>
      <c r="B221" s="149"/>
      <c r="C221" s="85" t="s">
        <v>329</v>
      </c>
      <c r="D221" s="106" t="s">
        <v>183</v>
      </c>
      <c r="E221" s="15" t="s">
        <v>75</v>
      </c>
      <c r="F221" s="16"/>
      <c r="G221" s="15" t="s">
        <v>180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>
        <v>1</v>
      </c>
      <c r="T221" s="25">
        <v>45935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3"/>
      <c r="B222" s="149"/>
      <c r="C222" s="85" t="s">
        <v>330</v>
      </c>
      <c r="D222" s="106" t="s">
        <v>183</v>
      </c>
      <c r="E222" s="15" t="s">
        <v>78</v>
      </c>
      <c r="F222" s="138"/>
      <c r="G222" s="15" t="s">
        <v>180</v>
      </c>
      <c r="H222" s="15"/>
      <c r="I222" s="15"/>
      <c r="J222" s="13">
        <v>1</v>
      </c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45935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3"/>
      <c r="B223" s="149"/>
      <c r="C223" s="85" t="s">
        <v>331</v>
      </c>
      <c r="D223" s="106" t="s">
        <v>183</v>
      </c>
      <c r="E223" s="15" t="s">
        <v>39</v>
      </c>
      <c r="F223" s="16"/>
      <c r="G223" s="15" t="s">
        <v>180</v>
      </c>
      <c r="H223" s="15"/>
      <c r="I223" s="15"/>
      <c r="J223" s="15">
        <v>1</v>
      </c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45935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3"/>
      <c r="B224" s="149"/>
      <c r="C224" s="85" t="s">
        <v>332</v>
      </c>
      <c r="D224" s="106" t="s">
        <v>183</v>
      </c>
      <c r="E224" s="15" t="s">
        <v>39</v>
      </c>
      <c r="F224" s="16"/>
      <c r="G224" s="15" t="s">
        <v>180</v>
      </c>
      <c r="H224" s="15"/>
      <c r="I224" s="15"/>
      <c r="J224" s="15">
        <v>1</v>
      </c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45935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3"/>
      <c r="B225" s="149"/>
      <c r="C225" s="85" t="s">
        <v>333</v>
      </c>
      <c r="D225" s="106" t="s">
        <v>183</v>
      </c>
      <c r="E225" s="15" t="s">
        <v>37</v>
      </c>
      <c r="F225" s="16"/>
      <c r="G225" s="15" t="s">
        <v>180</v>
      </c>
      <c r="H225" s="15"/>
      <c r="I225" s="15"/>
      <c r="J225" s="15"/>
      <c r="K225" s="15"/>
      <c r="L225" s="17"/>
      <c r="M225" s="17">
        <v>1</v>
      </c>
      <c r="N225" s="17"/>
      <c r="O225" s="17"/>
      <c r="P225" s="17"/>
      <c r="Q225" s="17">
        <v>1</v>
      </c>
      <c r="R225" s="17"/>
      <c r="S225" s="15"/>
      <c r="T225" s="25">
        <v>45935</v>
      </c>
      <c r="U225" s="13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43"/>
      <c r="B226" s="149"/>
      <c r="C226" s="85" t="s">
        <v>334</v>
      </c>
      <c r="D226" s="106" t="s">
        <v>183</v>
      </c>
      <c r="E226" s="106" t="s">
        <v>74</v>
      </c>
      <c r="F226" s="16"/>
      <c r="G226" s="15" t="s">
        <v>180</v>
      </c>
      <c r="H226" s="15"/>
      <c r="I226" s="15"/>
      <c r="J226" s="15"/>
      <c r="K226" s="15"/>
      <c r="L226" s="17"/>
      <c r="M226" s="17">
        <v>1</v>
      </c>
      <c r="N226" s="17">
        <v>1</v>
      </c>
      <c r="O226" s="17"/>
      <c r="P226" s="17"/>
      <c r="Q226" s="17">
        <v>1</v>
      </c>
      <c r="R226" s="17"/>
      <c r="S226" s="15"/>
      <c r="T226" s="25">
        <v>45935</v>
      </c>
      <c r="U226" s="13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3"/>
      <c r="B227" s="149"/>
      <c r="C227" s="85" t="s">
        <v>335</v>
      </c>
      <c r="D227" s="106" t="s">
        <v>183</v>
      </c>
      <c r="E227" s="106" t="s">
        <v>37</v>
      </c>
      <c r="F227" s="16"/>
      <c r="G227" s="15" t="s">
        <v>180</v>
      </c>
      <c r="H227" s="15"/>
      <c r="I227" s="15"/>
      <c r="J227" s="15"/>
      <c r="K227" s="15"/>
      <c r="L227" s="17"/>
      <c r="M227" s="17">
        <v>1</v>
      </c>
      <c r="N227" s="17">
        <v>1</v>
      </c>
      <c r="O227" s="17"/>
      <c r="P227" s="17"/>
      <c r="Q227" s="17">
        <v>1</v>
      </c>
      <c r="R227" s="17"/>
      <c r="S227" s="15"/>
      <c r="T227" s="25">
        <v>45935</v>
      </c>
      <c r="U227" s="13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43"/>
      <c r="B228" s="149"/>
      <c r="C228" s="85" t="s">
        <v>336</v>
      </c>
      <c r="D228" s="106" t="s">
        <v>188</v>
      </c>
      <c r="E228" s="106" t="s">
        <v>36</v>
      </c>
      <c r="F228" s="16"/>
      <c r="G228" s="12" t="s">
        <v>180</v>
      </c>
      <c r="H228" s="15"/>
      <c r="I228" s="15"/>
      <c r="J228" s="18">
        <v>1</v>
      </c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5">
        <v>45949</v>
      </c>
      <c r="U228" s="13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43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3"/>
      <c r="B230" s="149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3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3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3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3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3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3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4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9</v>
      </c>
      <c r="K238" s="29">
        <f t="shared" ref="K238" si="44">SUM(K213:K237)</f>
        <v>4</v>
      </c>
      <c r="L238" s="29">
        <f t="shared" ref="L238" si="45">SUM(L213:L237)</f>
        <v>0</v>
      </c>
      <c r="M238" s="29">
        <f t="shared" ref="M238" si="46">SUM(M213:M237)</f>
        <v>3</v>
      </c>
      <c r="N238" s="29">
        <f t="shared" ref="N238" si="47">SUM(N213:N237)</f>
        <v>2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3</v>
      </c>
      <c r="R238" s="29">
        <f t="shared" ref="R238" si="51">SUM(R213:R237)</f>
        <v>0</v>
      </c>
      <c r="S238" s="29">
        <f t="shared" ref="S238" si="52">SUM(S213:S237)</f>
        <v>2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AYG119</v>
      </c>
      <c r="B241" s="24">
        <f>B1</f>
        <v>45911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4" t="s">
        <v>112</v>
      </c>
      <c r="Y242" s="154"/>
    </row>
    <row r="243" spans="1:28" ht="20.25" thickTop="1" thickBot="1" x14ac:dyDescent="0.45">
      <c r="A243" s="142">
        <v>9</v>
      </c>
      <c r="B243" s="148">
        <v>24.5</v>
      </c>
      <c r="C243" s="85" t="s">
        <v>337</v>
      </c>
      <c r="D243" s="106" t="s">
        <v>185</v>
      </c>
      <c r="E243" s="106" t="s">
        <v>40</v>
      </c>
      <c r="F243" s="14"/>
      <c r="G243" s="12" t="s">
        <v>180</v>
      </c>
      <c r="H243" s="13"/>
      <c r="I243" s="13"/>
      <c r="J243" s="13"/>
      <c r="K243" s="13"/>
      <c r="L243" s="13"/>
      <c r="M243" s="13"/>
      <c r="N243" s="13"/>
      <c r="O243" s="13">
        <v>1</v>
      </c>
      <c r="P243" s="13">
        <v>1</v>
      </c>
      <c r="Q243" s="13">
        <v>1</v>
      </c>
      <c r="R243" s="13">
        <v>1</v>
      </c>
      <c r="S243" s="13"/>
      <c r="T243" s="25">
        <v>45938</v>
      </c>
      <c r="U243" s="13" t="s">
        <v>148</v>
      </c>
      <c r="V243">
        <v>1</v>
      </c>
      <c r="X243" t="s">
        <v>106</v>
      </c>
      <c r="Y243">
        <f>COUNTIF(U243:U267,"K")</f>
        <v>6</v>
      </c>
      <c r="AA243" s="59" t="s">
        <v>120</v>
      </c>
      <c r="AB243" s="60" t="s">
        <v>121</v>
      </c>
    </row>
    <row r="244" spans="1:28" x14ac:dyDescent="0.4">
      <c r="A244" s="143"/>
      <c r="B244" s="149"/>
      <c r="C244" s="85" t="s">
        <v>338</v>
      </c>
      <c r="D244" s="106" t="s">
        <v>184</v>
      </c>
      <c r="E244" s="106" t="s">
        <v>44</v>
      </c>
      <c r="F244" s="16"/>
      <c r="G244" s="12" t="s">
        <v>180</v>
      </c>
      <c r="H244" s="15"/>
      <c r="I244" s="15"/>
      <c r="J244" s="13"/>
      <c r="K244" s="15"/>
      <c r="L244" s="13"/>
      <c r="M244" s="17">
        <v>1</v>
      </c>
      <c r="N244" s="17"/>
      <c r="O244" s="17"/>
      <c r="P244" s="17"/>
      <c r="Q244" s="17">
        <v>1</v>
      </c>
      <c r="R244" s="17"/>
      <c r="S244" s="15"/>
      <c r="T244" s="25">
        <v>45944</v>
      </c>
      <c r="U244" s="13" t="s">
        <v>147</v>
      </c>
      <c r="V244">
        <v>2</v>
      </c>
      <c r="X244" t="s">
        <v>107</v>
      </c>
      <c r="Y244">
        <f>COUNTIF(U243:U267,"R")</f>
        <v>8</v>
      </c>
      <c r="AA244" s="47" t="s">
        <v>81</v>
      </c>
      <c r="AB244" s="48" t="s">
        <v>60</v>
      </c>
    </row>
    <row r="245" spans="1:28" x14ac:dyDescent="0.4">
      <c r="A245" s="143"/>
      <c r="B245" s="149"/>
      <c r="C245" s="85" t="s">
        <v>339</v>
      </c>
      <c r="D245" s="106" t="s">
        <v>244</v>
      </c>
      <c r="E245" s="106" t="s">
        <v>38</v>
      </c>
      <c r="F245" s="16"/>
      <c r="G245" s="12" t="s">
        <v>180</v>
      </c>
      <c r="H245" s="13"/>
      <c r="I245" s="15"/>
      <c r="J245" s="13">
        <v>1</v>
      </c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45945</v>
      </c>
      <c r="U245" s="13" t="s">
        <v>142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43"/>
      <c r="B246" s="149"/>
      <c r="C246" s="85" t="s">
        <v>340</v>
      </c>
      <c r="D246" s="106" t="s">
        <v>198</v>
      </c>
      <c r="E246" s="106" t="s">
        <v>38</v>
      </c>
      <c r="F246" s="16"/>
      <c r="G246" s="12" t="s">
        <v>180</v>
      </c>
      <c r="H246" s="15" t="s">
        <v>147</v>
      </c>
      <c r="I246" s="15"/>
      <c r="J246" s="13"/>
      <c r="K246" s="15"/>
      <c r="L246" s="13"/>
      <c r="M246" s="17">
        <v>1</v>
      </c>
      <c r="N246" s="17">
        <v>1</v>
      </c>
      <c r="O246" s="17"/>
      <c r="P246" s="17"/>
      <c r="Q246" s="17"/>
      <c r="R246" s="17"/>
      <c r="S246" s="15"/>
      <c r="T246" s="25">
        <v>45945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43"/>
      <c r="B247" s="149"/>
      <c r="C247" s="85" t="s">
        <v>341</v>
      </c>
      <c r="D247" s="106" t="s">
        <v>342</v>
      </c>
      <c r="E247" s="106" t="s">
        <v>37</v>
      </c>
      <c r="F247" s="16"/>
      <c r="G247" s="12" t="s">
        <v>180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45948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3"/>
      <c r="B248" s="149"/>
      <c r="C248" s="85" t="s">
        <v>343</v>
      </c>
      <c r="D248" s="106" t="s">
        <v>342</v>
      </c>
      <c r="E248" s="106" t="s">
        <v>38</v>
      </c>
      <c r="F248" s="16"/>
      <c r="G248" s="12" t="s">
        <v>180</v>
      </c>
      <c r="H248" s="13"/>
      <c r="I248" s="15"/>
      <c r="J248" s="13">
        <v>1</v>
      </c>
      <c r="K248" s="15">
        <v>1</v>
      </c>
      <c r="L248" s="13"/>
      <c r="M248" s="17"/>
      <c r="N248" s="17"/>
      <c r="O248" s="17"/>
      <c r="P248" s="17"/>
      <c r="Q248" s="17"/>
      <c r="R248" s="17"/>
      <c r="S248" s="15"/>
      <c r="T248" s="25">
        <v>45959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3"/>
      <c r="B249" s="149"/>
      <c r="C249" s="85" t="s">
        <v>344</v>
      </c>
      <c r="D249" s="106" t="s">
        <v>342</v>
      </c>
      <c r="E249" s="106" t="s">
        <v>38</v>
      </c>
      <c r="F249" s="16"/>
      <c r="G249" s="12" t="s">
        <v>180</v>
      </c>
      <c r="H249" s="15"/>
      <c r="I249" s="15"/>
      <c r="J249" s="13"/>
      <c r="K249" s="15">
        <v>1</v>
      </c>
      <c r="L249" s="13"/>
      <c r="M249" s="17"/>
      <c r="N249" s="17"/>
      <c r="O249" s="17"/>
      <c r="P249" s="17"/>
      <c r="Q249" s="17"/>
      <c r="R249" s="17"/>
      <c r="S249" s="15"/>
      <c r="T249" s="25">
        <v>45959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3"/>
      <c r="B250" s="149"/>
      <c r="C250" s="85" t="s">
        <v>345</v>
      </c>
      <c r="D250" s="106" t="s">
        <v>342</v>
      </c>
      <c r="E250" s="106" t="s">
        <v>44</v>
      </c>
      <c r="F250" s="16"/>
      <c r="G250" s="12" t="s">
        <v>180</v>
      </c>
      <c r="H250" s="15"/>
      <c r="I250" s="15"/>
      <c r="J250" s="13"/>
      <c r="K250" s="15">
        <v>1</v>
      </c>
      <c r="L250" s="13"/>
      <c r="M250" s="17"/>
      <c r="N250" s="17"/>
      <c r="O250" s="17"/>
      <c r="P250" s="17"/>
      <c r="Q250" s="17"/>
      <c r="R250" s="17"/>
      <c r="S250" s="15"/>
      <c r="T250" s="25">
        <v>45959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3"/>
      <c r="B251" s="149"/>
      <c r="C251" s="85" t="s">
        <v>346</v>
      </c>
      <c r="D251" s="106" t="s">
        <v>179</v>
      </c>
      <c r="E251" s="106" t="s">
        <v>37</v>
      </c>
      <c r="F251" s="16"/>
      <c r="G251" s="12" t="s">
        <v>180</v>
      </c>
      <c r="H251" s="15"/>
      <c r="I251" s="15"/>
      <c r="J251" s="13"/>
      <c r="K251" s="15"/>
      <c r="L251" s="13"/>
      <c r="M251" s="17">
        <v>1</v>
      </c>
      <c r="N251" s="17">
        <v>1</v>
      </c>
      <c r="O251" s="17"/>
      <c r="P251" s="17"/>
      <c r="Q251" s="17">
        <v>1</v>
      </c>
      <c r="R251" s="17"/>
      <c r="S251" s="15"/>
      <c r="T251" s="25">
        <v>45942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43"/>
      <c r="B252" s="149"/>
      <c r="C252" s="85" t="s">
        <v>347</v>
      </c>
      <c r="D252" s="106" t="s">
        <v>179</v>
      </c>
      <c r="E252" s="106" t="s">
        <v>40</v>
      </c>
      <c r="F252" s="138"/>
      <c r="G252" s="137" t="s">
        <v>180</v>
      </c>
      <c r="H252" s="15"/>
      <c r="I252" s="15"/>
      <c r="J252" s="13"/>
      <c r="K252" s="15"/>
      <c r="L252" s="13"/>
      <c r="M252" s="17"/>
      <c r="N252" s="17"/>
      <c r="O252" s="17">
        <v>1</v>
      </c>
      <c r="P252" s="17">
        <v>1</v>
      </c>
      <c r="Q252" s="17"/>
      <c r="R252" s="17">
        <v>1</v>
      </c>
      <c r="S252" s="15"/>
      <c r="T252" s="25">
        <v>45942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43"/>
      <c r="B253" s="149"/>
      <c r="C253" s="85" t="s">
        <v>348</v>
      </c>
      <c r="D253" s="106" t="s">
        <v>349</v>
      </c>
      <c r="E253" s="106" t="s">
        <v>37</v>
      </c>
      <c r="F253" s="16"/>
      <c r="G253" s="12" t="s">
        <v>180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5">
        <v>45959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3"/>
      <c r="B254" s="149"/>
      <c r="C254" s="85" t="s">
        <v>350</v>
      </c>
      <c r="D254" s="106" t="s">
        <v>179</v>
      </c>
      <c r="E254" s="106" t="s">
        <v>36</v>
      </c>
      <c r="F254" s="16"/>
      <c r="G254" s="12" t="s">
        <v>180</v>
      </c>
      <c r="H254" s="15"/>
      <c r="I254" s="15"/>
      <c r="J254" s="15"/>
      <c r="K254" s="15"/>
      <c r="L254" s="17"/>
      <c r="M254" s="17">
        <v>1</v>
      </c>
      <c r="N254" s="17">
        <v>1</v>
      </c>
      <c r="O254" s="17"/>
      <c r="P254" s="17"/>
      <c r="Q254" s="17"/>
      <c r="R254" s="17"/>
      <c r="S254" s="15"/>
      <c r="T254" s="25">
        <v>45937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3"/>
      <c r="B255" s="149"/>
      <c r="C255" s="85" t="s">
        <v>351</v>
      </c>
      <c r="D255" s="106" t="s">
        <v>179</v>
      </c>
      <c r="E255" s="106" t="s">
        <v>36</v>
      </c>
      <c r="F255" s="16"/>
      <c r="G255" s="12" t="s">
        <v>180</v>
      </c>
      <c r="H255" s="15"/>
      <c r="I255" s="15"/>
      <c r="J255" s="15"/>
      <c r="K255" s="15"/>
      <c r="L255" s="17"/>
      <c r="M255" s="17"/>
      <c r="N255" s="17">
        <v>1</v>
      </c>
      <c r="O255" s="17"/>
      <c r="P255" s="17"/>
      <c r="Q255" s="17">
        <v>1</v>
      </c>
      <c r="R255" s="17"/>
      <c r="S255" s="15"/>
      <c r="T255" s="25">
        <v>45937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43"/>
      <c r="B256" s="149"/>
      <c r="C256" s="85" t="s">
        <v>352</v>
      </c>
      <c r="D256" s="106" t="s">
        <v>179</v>
      </c>
      <c r="E256" s="106" t="s">
        <v>75</v>
      </c>
      <c r="F256" s="16"/>
      <c r="G256" s="12" t="s">
        <v>180</v>
      </c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>
        <v>45944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43"/>
      <c r="B257" s="149"/>
      <c r="C257" s="85" t="s">
        <v>353</v>
      </c>
      <c r="D257" s="106" t="s">
        <v>184</v>
      </c>
      <c r="E257" s="106" t="s">
        <v>44</v>
      </c>
      <c r="F257" s="16"/>
      <c r="G257" s="12" t="s">
        <v>180</v>
      </c>
      <c r="H257" s="15"/>
      <c r="I257" s="15"/>
      <c r="J257" s="15"/>
      <c r="K257" s="15"/>
      <c r="L257" s="17"/>
      <c r="M257" s="17">
        <v>1</v>
      </c>
      <c r="N257" s="17"/>
      <c r="O257" s="17"/>
      <c r="P257" s="17"/>
      <c r="Q257" s="17">
        <v>1</v>
      </c>
      <c r="R257" s="17"/>
      <c r="S257" s="15"/>
      <c r="T257" s="25">
        <v>45944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43"/>
      <c r="B258" s="149"/>
      <c r="C258" s="85" t="s">
        <v>354</v>
      </c>
      <c r="D258" s="106" t="s">
        <v>244</v>
      </c>
      <c r="E258" s="106" t="s">
        <v>37</v>
      </c>
      <c r="F258" s="16"/>
      <c r="G258" s="12" t="s">
        <v>180</v>
      </c>
      <c r="H258" s="15"/>
      <c r="I258" s="15"/>
      <c r="J258" s="18"/>
      <c r="K258" s="15"/>
      <c r="L258" s="19"/>
      <c r="M258" s="19">
        <v>1</v>
      </c>
      <c r="N258" s="19">
        <v>1</v>
      </c>
      <c r="O258" s="19"/>
      <c r="P258" s="19"/>
      <c r="Q258" s="19"/>
      <c r="R258" s="19"/>
      <c r="S258" s="15"/>
      <c r="T258" s="25">
        <v>45945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43"/>
      <c r="B259" s="149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3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3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3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3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3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3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3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4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6</v>
      </c>
      <c r="L268" s="29">
        <f t="shared" ref="L268" si="55">SUM(L243:L267)</f>
        <v>0</v>
      </c>
      <c r="M268" s="29">
        <f t="shared" ref="M268" si="56">SUM(M243:M267)</f>
        <v>6</v>
      </c>
      <c r="N268" s="29">
        <f t="shared" ref="N268" si="57">SUM(N243:N267)</f>
        <v>5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5</v>
      </c>
      <c r="R268" s="29">
        <f t="shared" ref="R268" si="61">SUM(R243:R267)</f>
        <v>2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1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32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AYG119</v>
      </c>
      <c r="B271" s="24">
        <f>B1</f>
        <v>45911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0" t="s">
        <v>111</v>
      </c>
      <c r="Y272" s="141"/>
    </row>
    <row r="273" spans="1:28" ht="20.25" thickTop="1" thickBot="1" x14ac:dyDescent="0.45">
      <c r="A273" s="142">
        <v>10</v>
      </c>
      <c r="B273" s="14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3"/>
      <c r="B274" s="14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3"/>
      <c r="B275" s="14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3"/>
      <c r="B276" s="14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3"/>
      <c r="B277" s="14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3"/>
      <c r="B278" s="14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3"/>
      <c r="B279" s="14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3"/>
      <c r="B280" s="14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3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3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3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3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3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3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3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3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3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3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3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3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3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3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3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3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4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AYG119</v>
      </c>
      <c r="B301" s="24">
        <f>B1</f>
        <v>45911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0" t="s">
        <v>110</v>
      </c>
      <c r="Y302" s="141"/>
    </row>
    <row r="303" spans="1:28" ht="20.25" thickTop="1" thickBot="1" x14ac:dyDescent="0.45">
      <c r="A303" s="142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3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3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3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3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3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3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3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3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3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3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3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3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3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3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3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3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3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3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3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3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3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3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3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4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AYG119</v>
      </c>
      <c r="B331" s="24">
        <f>B151</f>
        <v>45911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0" t="s">
        <v>109</v>
      </c>
      <c r="Y332" s="141"/>
    </row>
    <row r="333" spans="1:28" ht="20.25" thickTop="1" thickBot="1" x14ac:dyDescent="0.45">
      <c r="A333" s="142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3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3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3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3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3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3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3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3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3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3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3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3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3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3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3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3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3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3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3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3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3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3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3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4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0" t="s">
        <v>138</v>
      </c>
      <c r="Y362" s="141"/>
    </row>
    <row r="363" spans="1:28" ht="19.5" thickTop="1" x14ac:dyDescent="0.4">
      <c r="A363" s="142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3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3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3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3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3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3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3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3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3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3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3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3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3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3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3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3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3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3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3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3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3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3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3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4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0" t="s">
        <v>139</v>
      </c>
      <c r="Y392" s="141"/>
    </row>
    <row r="393" spans="1:25" ht="19.5" thickTop="1" x14ac:dyDescent="0.4">
      <c r="A393" s="142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3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3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3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3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3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3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3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3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3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3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3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3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3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3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3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3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3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3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3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3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3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3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3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4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0" t="s">
        <v>140</v>
      </c>
      <c r="Y422" s="141"/>
    </row>
    <row r="423" spans="1:25" ht="19.5" thickTop="1" x14ac:dyDescent="0.4">
      <c r="A423" s="142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3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3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3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3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3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3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3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3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3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3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3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3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3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3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3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3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3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3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3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3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3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3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3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4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0" t="s">
        <v>105</v>
      </c>
      <c r="Y451" s="141"/>
    </row>
    <row r="452" spans="1:25" ht="19.5" thickTop="1" x14ac:dyDescent="0.4">
      <c r="A452" s="142">
        <v>16</v>
      </c>
      <c r="B452" s="14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3"/>
      <c r="B453" s="14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3"/>
      <c r="B454" s="14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3"/>
      <c r="B455" s="14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3"/>
      <c r="B456" s="14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3"/>
      <c r="B457" s="14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3"/>
      <c r="B458" s="14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3"/>
      <c r="B459" s="14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3"/>
      <c r="B460" s="14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3"/>
      <c r="B461" s="14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3"/>
      <c r="B462" s="14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3"/>
      <c r="B463" s="14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3"/>
      <c r="B464" s="14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3"/>
      <c r="B465" s="14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3"/>
      <c r="B466" s="14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3"/>
      <c r="B467" s="14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3"/>
      <c r="B468" s="14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3"/>
      <c r="B469" s="14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3"/>
      <c r="B470" s="14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3"/>
      <c r="B471" s="14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3"/>
      <c r="B472" s="14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3"/>
      <c r="B473" s="14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3"/>
      <c r="B474" s="14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3"/>
      <c r="B475" s="14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4"/>
      <c r="B476" s="14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4" t="s">
        <v>47</v>
      </c>
      <c r="C26" s="16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5"/>
      <c r="C27" s="165"/>
      <c r="D27" s="166">
        <f>SUM(D26:F26)</f>
        <v>116</v>
      </c>
      <c r="E27" s="166"/>
      <c r="F27" s="16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Q1688"/>
  <sheetViews>
    <sheetView topLeftCell="A4" zoomScaleNormal="100" workbookViewId="0">
      <selection activeCell="F14" sqref="F1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2" width="16.625" customWidth="1"/>
    <col min="43" max="43" width="11" customWidth="1"/>
    <col min="44" max="44" width="10.5" style="121" customWidth="1"/>
    <col min="45" max="45" width="10.25" style="121" customWidth="1"/>
    <col min="46" max="46" width="10.875" style="121" customWidth="1"/>
    <col min="47" max="60" width="16.625" customWidth="1"/>
    <col min="61" max="61" width="20.5" customWidth="1"/>
    <col min="66" max="66" width="12.375" customWidth="1"/>
    <col min="67" max="67" width="11.25" customWidth="1"/>
    <col min="68" max="68" width="10.5" customWidth="1"/>
    <col min="69" max="69" width="10.25" customWidth="1"/>
  </cols>
  <sheetData>
    <row r="1" spans="1:65" x14ac:dyDescent="0.4">
      <c r="A1" s="120" t="s">
        <v>306</v>
      </c>
      <c r="B1" s="121"/>
      <c r="C1" s="121"/>
      <c r="D1" s="121"/>
      <c r="J1" t="s">
        <v>143</v>
      </c>
      <c r="K1" t="s">
        <v>144</v>
      </c>
      <c r="AK1" t="s">
        <v>143</v>
      </c>
      <c r="AL1" t="s">
        <v>144</v>
      </c>
      <c r="AQ1" s="120"/>
      <c r="BI1" t="s">
        <v>143</v>
      </c>
      <c r="BJ1" t="s">
        <v>144</v>
      </c>
    </row>
    <row r="2" spans="1:6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J2" s="25">
        <v>45918</v>
      </c>
      <c r="K2" s="13" t="s">
        <v>147</v>
      </c>
      <c r="Z2" s="127"/>
      <c r="AA2" s="29"/>
      <c r="AK2" s="25">
        <v>45669</v>
      </c>
      <c r="AL2" s="13" t="s">
        <v>147</v>
      </c>
      <c r="AQ2" s="116"/>
      <c r="AR2" s="123"/>
      <c r="AS2" s="123"/>
      <c r="AT2" s="123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25">
        <v>45258</v>
      </c>
      <c r="BJ2" s="13" t="s">
        <v>162</v>
      </c>
      <c r="BM2" s="114"/>
    </row>
    <row r="3" spans="1:65" ht="20.100000000000001" customHeight="1" x14ac:dyDescent="0.4">
      <c r="A3" s="117">
        <v>45918</v>
      </c>
      <c r="B3" s="123"/>
      <c r="C3" s="123">
        <v>1</v>
      </c>
      <c r="D3" s="123"/>
      <c r="I3" s="115" t="s">
        <v>355</v>
      </c>
      <c r="J3" s="13">
        <f>SUBTOTAL(3,J2:J2)</f>
        <v>1</v>
      </c>
      <c r="K3" s="13">
        <f>SUBTOTAL(3,K2:K2)</f>
        <v>1</v>
      </c>
      <c r="Z3" s="127"/>
      <c r="AA3" s="29"/>
      <c r="AK3" s="25"/>
      <c r="AL3" s="13"/>
      <c r="AQ3" s="116"/>
      <c r="AR3" s="123"/>
      <c r="AS3" s="123"/>
      <c r="AT3" s="123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25"/>
      <c r="BJ3" s="13"/>
      <c r="BM3" s="114"/>
    </row>
    <row r="4" spans="1:65" ht="20.100000000000001" customHeight="1" x14ac:dyDescent="0.4">
      <c r="A4" s="117">
        <v>45926</v>
      </c>
      <c r="B4" s="123"/>
      <c r="C4" s="123">
        <v>1</v>
      </c>
      <c r="D4" s="123"/>
      <c r="H4" s="115"/>
      <c r="I4" s="115"/>
      <c r="J4" s="25">
        <v>45926</v>
      </c>
      <c r="K4" s="13" t="s">
        <v>147</v>
      </c>
      <c r="Z4" s="127"/>
      <c r="AA4" s="29"/>
      <c r="AK4" s="25"/>
      <c r="AL4" s="13"/>
      <c r="AQ4" s="116"/>
      <c r="AR4" s="123"/>
      <c r="AS4" s="123"/>
      <c r="AT4" s="123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25"/>
      <c r="BJ4" s="13"/>
      <c r="BM4" s="114"/>
    </row>
    <row r="5" spans="1:65" ht="20.100000000000001" customHeight="1" x14ac:dyDescent="0.4">
      <c r="A5" s="117">
        <v>45927</v>
      </c>
      <c r="B5" s="123"/>
      <c r="C5" s="123">
        <v>1</v>
      </c>
      <c r="D5" s="123"/>
      <c r="H5" s="115"/>
      <c r="I5" s="115" t="s">
        <v>191</v>
      </c>
      <c r="J5" s="13">
        <f>SUBTOTAL(3,J4:J4)</f>
        <v>1</v>
      </c>
      <c r="K5" s="13">
        <f>SUBTOTAL(3,K4:K4)</f>
        <v>1</v>
      </c>
      <c r="Z5" s="127"/>
      <c r="AA5" s="29"/>
      <c r="AK5" s="25"/>
      <c r="AL5" s="13"/>
      <c r="AQ5" s="116"/>
      <c r="AR5" s="123"/>
      <c r="AS5" s="123"/>
      <c r="AT5" s="123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25"/>
      <c r="BJ5" s="13"/>
      <c r="BM5" s="114"/>
    </row>
    <row r="6" spans="1:65" ht="20.100000000000001" customHeight="1" x14ac:dyDescent="0.4">
      <c r="A6" s="117">
        <v>45928</v>
      </c>
      <c r="B6" s="123"/>
      <c r="C6" s="123"/>
      <c r="D6" s="123">
        <v>1</v>
      </c>
      <c r="G6" s="115"/>
      <c r="H6" s="115"/>
      <c r="I6" s="115"/>
      <c r="J6" s="25">
        <v>45927</v>
      </c>
      <c r="K6" s="13" t="s">
        <v>147</v>
      </c>
      <c r="Z6" s="127"/>
      <c r="AA6" s="29"/>
      <c r="AK6" s="25"/>
      <c r="AL6" s="13"/>
      <c r="AQ6" s="116"/>
      <c r="AR6" s="123"/>
      <c r="AS6" s="123"/>
      <c r="AT6" s="123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25"/>
      <c r="BJ6" s="13"/>
      <c r="BM6" s="114"/>
    </row>
    <row r="7" spans="1:65" ht="20.100000000000001" customHeight="1" x14ac:dyDescent="0.4">
      <c r="A7" s="117">
        <v>45929</v>
      </c>
      <c r="B7" s="123"/>
      <c r="C7" s="123">
        <v>1</v>
      </c>
      <c r="D7" s="123"/>
      <c r="G7" s="115"/>
      <c r="H7" s="115"/>
      <c r="I7" s="115" t="s">
        <v>192</v>
      </c>
      <c r="J7" s="13">
        <f>SUBTOTAL(3,J6:J6)</f>
        <v>1</v>
      </c>
      <c r="K7" s="13">
        <f>SUBTOTAL(3,K6:K6)</f>
        <v>1</v>
      </c>
      <c r="Z7" s="127"/>
      <c r="AA7" s="29"/>
      <c r="AK7" s="25"/>
      <c r="AL7" s="13"/>
      <c r="AQ7" s="116"/>
      <c r="AR7" s="123"/>
      <c r="AS7" s="123"/>
      <c r="AT7" s="123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25"/>
      <c r="BJ7" s="13"/>
      <c r="BM7" s="114"/>
    </row>
    <row r="8" spans="1:65" ht="20.100000000000001" customHeight="1" x14ac:dyDescent="0.4">
      <c r="A8" s="117">
        <v>45930</v>
      </c>
      <c r="B8" s="123"/>
      <c r="C8" s="123">
        <v>1</v>
      </c>
      <c r="D8" s="123"/>
      <c r="J8" s="25">
        <v>45928</v>
      </c>
      <c r="K8" s="13" t="s">
        <v>307</v>
      </c>
      <c r="Y8" s="115"/>
      <c r="Z8" s="29"/>
      <c r="AA8" s="29"/>
      <c r="AK8" s="25"/>
      <c r="AL8" s="13"/>
      <c r="AQ8" s="116"/>
      <c r="AR8" s="123"/>
      <c r="AS8" s="123"/>
      <c r="AT8" s="123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25"/>
      <c r="BJ8" s="13"/>
      <c r="BM8" s="114"/>
    </row>
    <row r="9" spans="1:65" ht="20.100000000000001" customHeight="1" x14ac:dyDescent="0.4">
      <c r="A9" s="117">
        <v>45931</v>
      </c>
      <c r="B9" s="123"/>
      <c r="C9" s="123">
        <v>2</v>
      </c>
      <c r="D9" s="123"/>
      <c r="I9" s="115" t="s">
        <v>193</v>
      </c>
      <c r="J9" s="13">
        <f>SUBTOTAL(3,J8:J8)</f>
        <v>1</v>
      </c>
      <c r="K9" s="13">
        <f>SUBTOTAL(3,K8:K8)</f>
        <v>1</v>
      </c>
      <c r="Y9" s="115"/>
      <c r="Z9" s="29"/>
      <c r="AA9" s="29"/>
      <c r="AK9" s="25"/>
      <c r="AL9" s="13"/>
      <c r="AQ9" s="116"/>
      <c r="AR9" s="123"/>
      <c r="AS9" s="123"/>
      <c r="AT9" s="123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25"/>
      <c r="BJ9" s="13"/>
      <c r="BM9" s="114"/>
    </row>
    <row r="10" spans="1:65" ht="20.100000000000001" customHeight="1" x14ac:dyDescent="0.4">
      <c r="A10" s="117">
        <v>45934</v>
      </c>
      <c r="B10" s="123">
        <v>1</v>
      </c>
      <c r="C10" s="123">
        <v>2</v>
      </c>
      <c r="D10" s="123"/>
      <c r="G10" s="115"/>
      <c r="H10" s="115"/>
      <c r="I10" s="115"/>
      <c r="J10" s="25">
        <v>45929</v>
      </c>
      <c r="K10" s="13" t="s">
        <v>147</v>
      </c>
      <c r="Y10" s="115"/>
      <c r="Z10" s="29"/>
      <c r="AA10" s="29"/>
      <c r="AK10" s="25"/>
      <c r="AL10" s="13"/>
      <c r="AQ10" s="116"/>
      <c r="AR10" s="123"/>
      <c r="AS10" s="123"/>
      <c r="AT10" s="123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25"/>
      <c r="BJ10" s="13"/>
      <c r="BM10" s="114"/>
    </row>
    <row r="11" spans="1:65" ht="20.100000000000001" customHeight="1" x14ac:dyDescent="0.4">
      <c r="A11" s="117">
        <v>45935</v>
      </c>
      <c r="B11" s="123">
        <v>11</v>
      </c>
      <c r="C11" s="123">
        <v>5</v>
      </c>
      <c r="D11" s="123">
        <v>2</v>
      </c>
      <c r="G11" s="115"/>
      <c r="H11" s="115"/>
      <c r="I11" s="115" t="s">
        <v>200</v>
      </c>
      <c r="J11" s="13">
        <f>SUBTOTAL(3,J10:J10)</f>
        <v>1</v>
      </c>
      <c r="K11" s="13">
        <f>SUBTOTAL(3,K10:K10)</f>
        <v>1</v>
      </c>
      <c r="Y11" s="115"/>
      <c r="Z11" s="29"/>
      <c r="AA11" s="29"/>
      <c r="AK11" s="25"/>
      <c r="AL11" s="13"/>
      <c r="AQ11" s="116"/>
      <c r="AR11" s="123"/>
      <c r="AS11" s="123"/>
      <c r="AT11" s="123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25"/>
      <c r="BJ11" s="13"/>
      <c r="BM11" s="114"/>
    </row>
    <row r="12" spans="1:65" ht="20.100000000000001" customHeight="1" x14ac:dyDescent="0.4">
      <c r="A12" s="117">
        <v>45936</v>
      </c>
      <c r="B12" s="123">
        <v>3</v>
      </c>
      <c r="C12" s="123">
        <v>4</v>
      </c>
      <c r="D12" s="123">
        <v>1</v>
      </c>
      <c r="G12" s="115"/>
      <c r="H12" s="115"/>
      <c r="I12" s="115"/>
      <c r="J12" s="25">
        <v>45930</v>
      </c>
      <c r="K12" s="13" t="s">
        <v>147</v>
      </c>
      <c r="Y12" s="115"/>
      <c r="Z12" s="29"/>
      <c r="AA12" s="29"/>
      <c r="AK12" s="25"/>
      <c r="AL12" s="13"/>
      <c r="AQ12" s="116"/>
      <c r="AR12" s="123"/>
      <c r="AS12" s="123"/>
      <c r="AT12" s="123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25"/>
      <c r="BJ12" s="13"/>
      <c r="BM12" s="114"/>
    </row>
    <row r="13" spans="1:65" ht="20.100000000000001" customHeight="1" x14ac:dyDescent="0.4">
      <c r="A13" s="117">
        <v>45937</v>
      </c>
      <c r="B13" s="123">
        <v>3</v>
      </c>
      <c r="C13" s="123">
        <v>8</v>
      </c>
      <c r="D13" s="123"/>
      <c r="G13" s="115"/>
      <c r="H13" s="115"/>
      <c r="I13" s="115" t="s">
        <v>194</v>
      </c>
      <c r="J13" s="13">
        <f>SUBTOTAL(3,J12:J12)</f>
        <v>1</v>
      </c>
      <c r="K13" s="13">
        <f>SUBTOTAL(3,K12:K12)</f>
        <v>1</v>
      </c>
      <c r="Y13" s="115"/>
      <c r="Z13" s="29"/>
      <c r="AA13" s="29"/>
      <c r="AK13" s="25"/>
      <c r="AL13" s="13"/>
      <c r="AQ13" s="116"/>
      <c r="AR13" s="123"/>
      <c r="AS13" s="123"/>
      <c r="AT13" s="123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25"/>
      <c r="BJ13" s="13"/>
      <c r="BM13" s="114"/>
    </row>
    <row r="14" spans="1:65" ht="20.100000000000001" customHeight="1" x14ac:dyDescent="0.4">
      <c r="A14" s="117">
        <v>45938</v>
      </c>
      <c r="B14" s="123"/>
      <c r="C14" s="123">
        <v>1</v>
      </c>
      <c r="D14" s="123"/>
      <c r="J14" s="25">
        <v>45931</v>
      </c>
      <c r="K14" s="13" t="s">
        <v>147</v>
      </c>
      <c r="W14" s="115"/>
      <c r="X14" s="115"/>
      <c r="Y14" s="115"/>
      <c r="Z14" s="127"/>
      <c r="AA14" s="29"/>
      <c r="AK14" s="25"/>
      <c r="AL14" s="13"/>
      <c r="AQ14" s="116"/>
      <c r="AR14" s="123"/>
      <c r="AS14" s="123"/>
      <c r="AT14" s="123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25"/>
      <c r="BJ14" s="13"/>
      <c r="BM14" s="114"/>
    </row>
    <row r="15" spans="1:65" ht="20.100000000000001" customHeight="1" x14ac:dyDescent="0.4">
      <c r="A15" s="117">
        <v>45939</v>
      </c>
      <c r="B15" s="123">
        <v>14</v>
      </c>
      <c r="C15" s="123">
        <v>4</v>
      </c>
      <c r="D15" s="123">
        <v>1</v>
      </c>
      <c r="H15" s="115"/>
      <c r="I15" s="115"/>
      <c r="J15" s="25">
        <v>45931</v>
      </c>
      <c r="K15" s="13" t="s">
        <v>147</v>
      </c>
      <c r="W15" s="115"/>
      <c r="X15" s="115"/>
      <c r="Y15" s="115"/>
      <c r="Z15" s="127"/>
      <c r="AA15" s="29"/>
      <c r="AK15" s="25"/>
      <c r="AL15" s="13"/>
      <c r="AQ15" s="116"/>
      <c r="AR15" s="123"/>
      <c r="AS15" s="123"/>
      <c r="AT15" s="123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25"/>
      <c r="BJ15" s="13"/>
      <c r="BM15" s="114"/>
    </row>
    <row r="16" spans="1:65" ht="20.100000000000001" customHeight="1" x14ac:dyDescent="0.4">
      <c r="A16" s="117">
        <v>45940</v>
      </c>
      <c r="B16" s="123"/>
      <c r="C16" s="123">
        <v>1</v>
      </c>
      <c r="D16" s="123"/>
      <c r="H16" s="115"/>
      <c r="I16" s="115" t="s">
        <v>201</v>
      </c>
      <c r="J16" s="13">
        <f>SUBTOTAL(3,J14:J15)</f>
        <v>2</v>
      </c>
      <c r="K16" s="13">
        <f>SUBTOTAL(3,K14:K15)</f>
        <v>2</v>
      </c>
      <c r="W16" s="115"/>
      <c r="X16" s="115"/>
      <c r="Y16" s="115"/>
      <c r="Z16" s="127"/>
      <c r="AA16" s="29"/>
      <c r="AK16" s="25"/>
      <c r="AL16" s="13"/>
      <c r="AQ16" s="116"/>
      <c r="AR16" s="123"/>
      <c r="AS16" s="123"/>
      <c r="AT16" s="123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25"/>
      <c r="BJ16" s="13"/>
      <c r="BM16" s="114"/>
    </row>
    <row r="17" spans="1:65" ht="20.100000000000001" customHeight="1" x14ac:dyDescent="0.4">
      <c r="A17" s="117">
        <v>45941</v>
      </c>
      <c r="B17" s="123">
        <v>1</v>
      </c>
      <c r="C17" s="123">
        <v>5</v>
      </c>
      <c r="D17" s="123">
        <v>1</v>
      </c>
      <c r="J17" s="25">
        <v>45934</v>
      </c>
      <c r="K17" s="13" t="s">
        <v>147</v>
      </c>
      <c r="W17" s="115"/>
      <c r="X17" s="115"/>
      <c r="Y17" s="115"/>
      <c r="Z17" s="29"/>
      <c r="AA17" s="29"/>
      <c r="AK17" s="25"/>
      <c r="AL17" s="13"/>
      <c r="AQ17" s="116"/>
      <c r="AR17" s="123"/>
      <c r="AS17" s="123"/>
      <c r="AT17" s="123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25"/>
      <c r="BJ17" s="13"/>
      <c r="BM17" s="114"/>
    </row>
    <row r="18" spans="1:65" ht="20.100000000000001" customHeight="1" x14ac:dyDescent="0.4">
      <c r="A18" s="117">
        <v>45942</v>
      </c>
      <c r="B18" s="123">
        <v>4</v>
      </c>
      <c r="C18" s="123">
        <v>3</v>
      </c>
      <c r="D18" s="123">
        <v>1</v>
      </c>
      <c r="J18" s="25">
        <v>45934</v>
      </c>
      <c r="K18" s="13" t="s">
        <v>146</v>
      </c>
      <c r="V18" s="115"/>
      <c r="W18" s="115"/>
      <c r="X18" s="115"/>
      <c r="Y18" s="115"/>
      <c r="Z18" s="127"/>
      <c r="AA18" s="29"/>
      <c r="AK18" s="25"/>
      <c r="AL18" s="13"/>
      <c r="AQ18" s="116"/>
      <c r="AR18" s="123"/>
      <c r="AS18" s="123"/>
      <c r="AT18" s="123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25"/>
      <c r="BJ18" s="13"/>
      <c r="BM18" s="114"/>
    </row>
    <row r="19" spans="1:65" ht="20.100000000000001" customHeight="1" x14ac:dyDescent="0.4">
      <c r="A19" s="117">
        <v>45943</v>
      </c>
      <c r="B19" s="123">
        <v>10</v>
      </c>
      <c r="C19" s="123">
        <v>2</v>
      </c>
      <c r="D19" s="123">
        <v>2</v>
      </c>
      <c r="G19" s="115"/>
      <c r="H19" s="115"/>
      <c r="I19" s="115"/>
      <c r="J19" s="25">
        <v>45934</v>
      </c>
      <c r="K19" s="13" t="s">
        <v>147</v>
      </c>
      <c r="V19" s="115"/>
      <c r="W19" s="115"/>
      <c r="X19" s="115"/>
      <c r="Y19" s="115"/>
      <c r="Z19" s="127"/>
      <c r="AA19" s="29"/>
      <c r="AK19" s="25"/>
      <c r="AL19" s="13"/>
      <c r="AQ19" s="116"/>
      <c r="AR19" s="123"/>
      <c r="AS19" s="123"/>
      <c r="AT19" s="123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25"/>
      <c r="BJ19" s="13"/>
      <c r="BM19" s="114"/>
    </row>
    <row r="20" spans="1:65" ht="20.100000000000001" customHeight="1" x14ac:dyDescent="0.4">
      <c r="A20" s="117">
        <v>45944</v>
      </c>
      <c r="B20" s="123"/>
      <c r="C20" s="123">
        <v>4</v>
      </c>
      <c r="D20" s="123">
        <v>2</v>
      </c>
      <c r="G20" s="115"/>
      <c r="H20" s="115"/>
      <c r="I20" s="115" t="s">
        <v>356</v>
      </c>
      <c r="J20" s="13">
        <f>SUBTOTAL(3,J17:J19)</f>
        <v>3</v>
      </c>
      <c r="K20" s="13">
        <f>SUBTOTAL(3,K17:K19)</f>
        <v>3</v>
      </c>
      <c r="V20" s="115"/>
      <c r="W20" s="115"/>
      <c r="X20" s="115"/>
      <c r="Y20" s="115"/>
      <c r="Z20" s="127"/>
      <c r="AA20" s="29"/>
      <c r="AK20" s="25"/>
      <c r="AL20" s="13"/>
      <c r="AQ20" s="116"/>
      <c r="AR20" s="123"/>
      <c r="AS20" s="123"/>
      <c r="AT20" s="123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25"/>
      <c r="BJ20" s="13"/>
      <c r="BM20" s="114"/>
    </row>
    <row r="21" spans="1:65" ht="20.100000000000001" customHeight="1" x14ac:dyDescent="0.4">
      <c r="A21" s="117">
        <v>45945</v>
      </c>
      <c r="B21" s="123">
        <v>1</v>
      </c>
      <c r="C21" s="123">
        <v>2</v>
      </c>
      <c r="D21" s="123"/>
      <c r="J21" s="25">
        <v>45935</v>
      </c>
      <c r="K21" s="133" t="s">
        <v>148</v>
      </c>
      <c r="V21" s="115"/>
      <c r="W21" s="115"/>
      <c r="X21" s="115"/>
      <c r="Y21" s="115"/>
      <c r="Z21" s="29"/>
      <c r="AA21" s="29"/>
      <c r="AK21" s="25"/>
      <c r="AL21" s="13"/>
      <c r="AQ21" s="116"/>
      <c r="AR21" s="123"/>
      <c r="AS21" s="123"/>
      <c r="AT21" s="123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25"/>
      <c r="BJ21" s="13"/>
      <c r="BM21" s="114"/>
    </row>
    <row r="22" spans="1:65" ht="20.100000000000001" customHeight="1" x14ac:dyDescent="0.4">
      <c r="A22" s="117">
        <v>45946</v>
      </c>
      <c r="B22" s="123">
        <v>1</v>
      </c>
      <c r="C22" s="123">
        <v>3</v>
      </c>
      <c r="D22" s="123">
        <v>2</v>
      </c>
      <c r="G22" s="115"/>
      <c r="H22" s="115"/>
      <c r="I22" s="115"/>
      <c r="J22" s="25">
        <v>45935</v>
      </c>
      <c r="K22" s="13" t="s">
        <v>307</v>
      </c>
      <c r="V22" s="115"/>
      <c r="W22" s="115"/>
      <c r="X22" s="115"/>
      <c r="Y22" s="115"/>
      <c r="Z22" s="29"/>
      <c r="AA22" s="29"/>
      <c r="AK22" s="25"/>
      <c r="AL22" s="13"/>
      <c r="AQ22" s="116"/>
      <c r="AR22" s="123"/>
      <c r="AS22" s="123"/>
      <c r="AT22" s="123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25"/>
      <c r="BJ22" s="13"/>
      <c r="BM22" s="114"/>
    </row>
    <row r="23" spans="1:65" ht="20.100000000000001" customHeight="1" x14ac:dyDescent="0.4">
      <c r="A23" s="117">
        <v>45948</v>
      </c>
      <c r="B23" s="139">
        <v>5</v>
      </c>
      <c r="C23" s="123"/>
      <c r="D23" s="123"/>
      <c r="G23" s="115"/>
      <c r="H23" s="115"/>
      <c r="I23" s="115"/>
      <c r="J23" s="25">
        <v>45935</v>
      </c>
      <c r="K23" s="13" t="s">
        <v>142</v>
      </c>
      <c r="V23" s="115"/>
      <c r="W23" s="115"/>
      <c r="X23" s="115"/>
      <c r="Y23" s="115"/>
      <c r="Z23" s="29"/>
      <c r="AA23" s="29"/>
      <c r="AK23" s="25"/>
      <c r="AL23" s="13"/>
      <c r="AQ23" s="116"/>
      <c r="AR23" s="123"/>
      <c r="AS23" s="123"/>
      <c r="AT23" s="123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25"/>
      <c r="BJ23" s="13"/>
      <c r="BM23" s="114"/>
    </row>
    <row r="24" spans="1:65" ht="20.100000000000001" customHeight="1" x14ac:dyDescent="0.4">
      <c r="A24" s="117">
        <v>45949</v>
      </c>
      <c r="B24" s="123">
        <v>1</v>
      </c>
      <c r="C24" s="123"/>
      <c r="D24" s="123"/>
      <c r="J24" s="25">
        <v>45935</v>
      </c>
      <c r="K24" s="15" t="s">
        <v>146</v>
      </c>
      <c r="V24" s="115"/>
      <c r="W24" s="115"/>
      <c r="X24" s="115"/>
      <c r="Y24" s="115"/>
      <c r="Z24" s="127"/>
      <c r="AA24" s="29"/>
      <c r="AK24" s="25"/>
      <c r="AL24" s="13"/>
      <c r="AQ24" s="116"/>
      <c r="AR24" s="123"/>
      <c r="AS24" s="123"/>
      <c r="AT24" s="123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25"/>
      <c r="BJ24" s="13"/>
      <c r="BM24" s="114"/>
    </row>
    <row r="25" spans="1:65" ht="20.100000000000001" customHeight="1" x14ac:dyDescent="0.4">
      <c r="A25" s="117">
        <v>45951</v>
      </c>
      <c r="B25" s="123"/>
      <c r="C25" s="123">
        <v>3</v>
      </c>
      <c r="D25" s="123"/>
      <c r="G25" s="115"/>
      <c r="H25" s="115"/>
      <c r="I25" s="115"/>
      <c r="J25" s="25">
        <v>45935</v>
      </c>
      <c r="K25" s="13" t="s">
        <v>146</v>
      </c>
      <c r="V25" s="115"/>
      <c r="W25" s="115"/>
      <c r="X25" s="115"/>
      <c r="Y25" s="115"/>
      <c r="Z25" s="127"/>
      <c r="AA25" s="29"/>
      <c r="AK25" s="25"/>
      <c r="AL25" s="13"/>
      <c r="AQ25" s="116"/>
      <c r="AR25" s="123"/>
      <c r="AS25" s="123"/>
      <c r="AT25" s="123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25"/>
      <c r="BJ25" s="13"/>
      <c r="BM25" s="114"/>
    </row>
    <row r="26" spans="1:65" ht="20.100000000000001" customHeight="1" x14ac:dyDescent="0.4">
      <c r="A26" s="117">
        <v>45959</v>
      </c>
      <c r="B26" s="123">
        <v>5</v>
      </c>
      <c r="C26" s="123"/>
      <c r="D26" s="123"/>
      <c r="J26" s="25">
        <v>45935</v>
      </c>
      <c r="K26" s="13" t="s">
        <v>146</v>
      </c>
      <c r="V26" s="115"/>
      <c r="W26" s="115"/>
      <c r="X26" s="115"/>
      <c r="Y26" s="115"/>
      <c r="Z26" s="29"/>
      <c r="AA26" s="29"/>
      <c r="AK26" s="25"/>
      <c r="AL26" s="13"/>
      <c r="AQ26" s="116"/>
      <c r="AR26" s="123"/>
      <c r="AS26" s="123"/>
      <c r="AT26" s="123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25"/>
      <c r="BJ26" s="13"/>
      <c r="BM26" s="114"/>
    </row>
    <row r="27" spans="1:65" ht="20.100000000000001" customHeight="1" x14ac:dyDescent="0.4">
      <c r="A27" s="117"/>
      <c r="B27" s="123">
        <f>SUM(B3:B26)</f>
        <v>60</v>
      </c>
      <c r="C27" s="123">
        <f>SUM(C3:C26)</f>
        <v>54</v>
      </c>
      <c r="D27" s="123">
        <f>SUM(D3:D26)</f>
        <v>13</v>
      </c>
      <c r="J27" s="25">
        <v>45935</v>
      </c>
      <c r="K27" s="13" t="s">
        <v>146</v>
      </c>
      <c r="U27" s="115"/>
      <c r="V27" s="115"/>
      <c r="W27" s="115"/>
      <c r="X27" s="115"/>
      <c r="Y27" s="115"/>
      <c r="Z27" s="127"/>
      <c r="AA27" s="29"/>
      <c r="AK27" s="25"/>
      <c r="AL27" s="13"/>
      <c r="AQ27" s="116"/>
      <c r="AR27" s="123"/>
      <c r="AS27" s="123"/>
      <c r="AT27" s="123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25"/>
      <c r="BJ27" s="13"/>
      <c r="BM27" s="114"/>
    </row>
    <row r="28" spans="1:65" ht="20.100000000000001" customHeight="1" x14ac:dyDescent="0.4">
      <c r="A28" s="117"/>
      <c r="B28" s="123"/>
      <c r="C28" s="123"/>
      <c r="D28" s="123">
        <f>SUM(B27:D27)</f>
        <v>127</v>
      </c>
      <c r="H28" s="115"/>
      <c r="I28" s="115"/>
      <c r="J28" s="25">
        <v>45935</v>
      </c>
      <c r="K28" s="13" t="s">
        <v>147</v>
      </c>
      <c r="U28" s="115"/>
      <c r="V28" s="115"/>
      <c r="W28" s="115"/>
      <c r="X28" s="115"/>
      <c r="Y28" s="115"/>
      <c r="Z28" s="127"/>
      <c r="AA28" s="29"/>
      <c r="AK28" s="25"/>
      <c r="AL28" s="13"/>
      <c r="AQ28" s="116"/>
      <c r="AR28" s="123"/>
      <c r="AS28" s="123"/>
      <c r="AT28" s="123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25"/>
      <c r="BJ28" s="13"/>
      <c r="BM28" s="114"/>
    </row>
    <row r="29" spans="1:65" ht="20.100000000000001" customHeight="1" x14ac:dyDescent="0.4">
      <c r="A29" s="117"/>
      <c r="B29" s="123"/>
      <c r="C29" s="123"/>
      <c r="D29" s="123"/>
      <c r="G29" s="115"/>
      <c r="H29" s="115"/>
      <c r="I29" s="115"/>
      <c r="J29" s="25">
        <v>45935</v>
      </c>
      <c r="K29" s="13" t="s">
        <v>147</v>
      </c>
      <c r="U29" s="115"/>
      <c r="V29" s="115"/>
      <c r="W29" s="115"/>
      <c r="X29" s="115"/>
      <c r="Y29" s="115"/>
      <c r="Z29" s="127"/>
      <c r="AA29" s="29"/>
      <c r="AK29" s="25"/>
      <c r="AL29" s="13"/>
      <c r="AQ29" s="116"/>
      <c r="AR29" s="123"/>
      <c r="AS29" s="123"/>
      <c r="AT29" s="123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25"/>
      <c r="BJ29" s="13"/>
      <c r="BM29" s="114"/>
    </row>
    <row r="30" spans="1:65" ht="20.100000000000001" customHeight="1" x14ac:dyDescent="0.4">
      <c r="A30" s="117"/>
      <c r="B30" s="123"/>
      <c r="C30" s="123"/>
      <c r="D30" s="123"/>
      <c r="J30" s="25">
        <v>45935</v>
      </c>
      <c r="K30" s="13" t="s">
        <v>146</v>
      </c>
      <c r="U30" s="115"/>
      <c r="V30" s="115"/>
      <c r="W30" s="115"/>
      <c r="X30" s="115"/>
      <c r="Y30" s="115"/>
      <c r="Z30" s="29"/>
      <c r="AA30" s="29"/>
      <c r="AK30" s="25"/>
      <c r="AL30" s="13"/>
      <c r="AQ30" s="116"/>
      <c r="AR30" s="123"/>
      <c r="AS30" s="123"/>
      <c r="AT30" s="123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25"/>
      <c r="BJ30" s="13"/>
      <c r="BM30" s="114"/>
    </row>
    <row r="31" spans="1:65" ht="20.100000000000001" customHeight="1" x14ac:dyDescent="0.4">
      <c r="A31" s="117"/>
      <c r="B31" s="123"/>
      <c r="C31" s="123"/>
      <c r="D31" s="123"/>
      <c r="G31" s="115"/>
      <c r="H31" s="115"/>
      <c r="I31" s="115"/>
      <c r="J31" s="25">
        <v>45935</v>
      </c>
      <c r="K31" s="13" t="s">
        <v>146</v>
      </c>
      <c r="U31" s="115"/>
      <c r="V31" s="115"/>
      <c r="W31" s="115"/>
      <c r="X31" s="115"/>
      <c r="Y31" s="115"/>
      <c r="Z31" s="29"/>
      <c r="AA31" s="29"/>
      <c r="AK31" s="25"/>
      <c r="AL31" s="13"/>
      <c r="AQ31" s="116"/>
      <c r="AR31" s="123"/>
      <c r="AS31" s="123"/>
      <c r="AT31" s="123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25"/>
      <c r="BJ31" s="13"/>
      <c r="BM31" s="114"/>
    </row>
    <row r="32" spans="1:65" ht="20.100000000000001" customHeight="1" x14ac:dyDescent="0.4">
      <c r="A32" s="117"/>
      <c r="B32" s="123"/>
      <c r="C32" s="123"/>
      <c r="D32" s="123"/>
      <c r="J32" s="25">
        <v>45935</v>
      </c>
      <c r="K32" s="13" t="s">
        <v>146</v>
      </c>
      <c r="U32" s="115"/>
      <c r="V32" s="115"/>
      <c r="W32" s="115"/>
      <c r="X32" s="115"/>
      <c r="Y32" s="115"/>
      <c r="Z32" s="127"/>
      <c r="AA32" s="29"/>
      <c r="AK32" s="25"/>
      <c r="AL32" s="13"/>
      <c r="AQ32" s="116"/>
      <c r="AR32" s="123"/>
      <c r="AS32" s="123"/>
      <c r="AT32" s="123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25"/>
      <c r="BJ32" s="13"/>
      <c r="BM32" s="114"/>
    </row>
    <row r="33" spans="1:65" ht="20.100000000000001" customHeight="1" x14ac:dyDescent="0.4">
      <c r="A33" s="117"/>
      <c r="B33" s="123"/>
      <c r="C33" s="123"/>
      <c r="D33" s="123"/>
      <c r="J33" s="25">
        <v>45935</v>
      </c>
      <c r="K33" s="13" t="s">
        <v>146</v>
      </c>
      <c r="T33" s="115"/>
      <c r="U33" s="115"/>
      <c r="V33" s="115"/>
      <c r="W33" s="115"/>
      <c r="X33" s="115"/>
      <c r="Y33" s="115"/>
      <c r="Z33" s="127"/>
      <c r="AA33" s="29"/>
      <c r="AK33" s="25"/>
      <c r="AL33" s="13"/>
      <c r="AQ33" s="116"/>
      <c r="AR33" s="123"/>
      <c r="AS33" s="123"/>
      <c r="AT33" s="123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25"/>
      <c r="BJ33" s="13"/>
      <c r="BM33" s="114"/>
    </row>
    <row r="34" spans="1:65" ht="20.100000000000001" customHeight="1" x14ac:dyDescent="0.4">
      <c r="A34" s="117"/>
      <c r="B34" s="123"/>
      <c r="C34" s="123"/>
      <c r="D34" s="123"/>
      <c r="J34" s="25">
        <v>45935</v>
      </c>
      <c r="K34" s="13" t="s">
        <v>146</v>
      </c>
      <c r="T34" s="115"/>
      <c r="U34" s="115"/>
      <c r="V34" s="115"/>
      <c r="W34" s="115"/>
      <c r="X34" s="115"/>
      <c r="Y34" s="115"/>
      <c r="Z34" s="29"/>
      <c r="AA34" s="29"/>
      <c r="AK34" s="25"/>
      <c r="AL34" s="13"/>
      <c r="AQ34" s="116"/>
      <c r="AR34" s="123"/>
      <c r="AS34" s="123"/>
      <c r="AT34" s="123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25"/>
      <c r="BJ34" s="13"/>
      <c r="BM34" s="114"/>
    </row>
    <row r="35" spans="1:65" ht="20.100000000000001" customHeight="1" x14ac:dyDescent="0.4">
      <c r="A35" s="117"/>
      <c r="B35" s="123"/>
      <c r="C35" s="123"/>
      <c r="D35" s="123"/>
      <c r="J35" s="25">
        <v>45935</v>
      </c>
      <c r="K35" s="13" t="s">
        <v>146</v>
      </c>
      <c r="T35" s="115"/>
      <c r="U35" s="115"/>
      <c r="V35" s="115"/>
      <c r="W35" s="115"/>
      <c r="X35" s="115"/>
      <c r="Y35" s="115"/>
      <c r="Z35" s="127"/>
      <c r="AA35" s="29"/>
      <c r="AK35" s="25"/>
      <c r="AL35" s="13"/>
      <c r="AQ35" s="116"/>
      <c r="AR35" s="123"/>
      <c r="AS35" s="123"/>
      <c r="AT35" s="123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25"/>
      <c r="BJ35" s="13"/>
      <c r="BM35" s="114"/>
    </row>
    <row r="36" spans="1:65" ht="20.100000000000001" customHeight="1" x14ac:dyDescent="0.4">
      <c r="A36" s="117"/>
      <c r="B36" s="123"/>
      <c r="C36" s="123"/>
      <c r="D36" s="123"/>
      <c r="J36" s="25">
        <v>45935</v>
      </c>
      <c r="K36" s="13" t="s">
        <v>147</v>
      </c>
      <c r="T36" s="115"/>
      <c r="U36" s="115"/>
      <c r="V36" s="115"/>
      <c r="W36" s="115"/>
      <c r="X36" s="115"/>
      <c r="Y36" s="115"/>
      <c r="Z36" s="127"/>
      <c r="AA36" s="29"/>
      <c r="AK36" s="25"/>
      <c r="AL36" s="13"/>
      <c r="AQ36" s="116"/>
      <c r="AR36" s="123"/>
      <c r="AS36" s="123"/>
      <c r="AT36" s="123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25"/>
      <c r="BJ36" s="13"/>
      <c r="BM36" s="114"/>
    </row>
    <row r="37" spans="1:65" ht="20.100000000000001" customHeight="1" x14ac:dyDescent="0.4">
      <c r="A37" s="117"/>
      <c r="B37" s="123"/>
      <c r="C37" s="123"/>
      <c r="D37" s="123"/>
      <c r="G37" s="115"/>
      <c r="H37" s="115"/>
      <c r="I37" s="115"/>
      <c r="J37" s="25">
        <v>45935</v>
      </c>
      <c r="K37" s="13" t="s">
        <v>147</v>
      </c>
      <c r="T37" s="115"/>
      <c r="U37" s="115"/>
      <c r="V37" s="115"/>
      <c r="W37" s="115"/>
      <c r="X37" s="115"/>
      <c r="Y37" s="115"/>
      <c r="Z37" s="127"/>
      <c r="AA37" s="29"/>
      <c r="AK37" s="25"/>
      <c r="AL37" s="13"/>
      <c r="AQ37" s="116"/>
      <c r="AR37" s="123"/>
      <c r="AS37" s="123"/>
      <c r="AT37" s="123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25"/>
      <c r="BJ37" s="13"/>
      <c r="BM37" s="114"/>
    </row>
    <row r="38" spans="1:65" ht="20.100000000000001" customHeight="1" x14ac:dyDescent="0.4">
      <c r="A38" s="117"/>
      <c r="B38" s="123"/>
      <c r="C38" s="123"/>
      <c r="D38" s="123"/>
      <c r="G38" s="115"/>
      <c r="H38" s="115"/>
      <c r="I38" s="115"/>
      <c r="J38" s="25">
        <v>45935</v>
      </c>
      <c r="K38" s="13" t="s">
        <v>147</v>
      </c>
      <c r="T38" s="115"/>
      <c r="U38" s="115"/>
      <c r="V38" s="115"/>
      <c r="W38" s="115"/>
      <c r="X38" s="115"/>
      <c r="Y38" s="115"/>
      <c r="Z38" s="127"/>
      <c r="AA38" s="29"/>
      <c r="AK38" s="25"/>
      <c r="AL38" s="13"/>
      <c r="AQ38" s="116"/>
      <c r="AR38" s="123"/>
      <c r="AS38" s="123"/>
      <c r="AT38" s="123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25"/>
      <c r="BJ38" s="13"/>
      <c r="BM38" s="114"/>
    </row>
    <row r="39" spans="1:65" ht="20.100000000000001" customHeight="1" x14ac:dyDescent="0.4">
      <c r="A39" s="117"/>
      <c r="B39" s="123"/>
      <c r="C39" s="123"/>
      <c r="D39" s="123"/>
      <c r="G39" s="115"/>
      <c r="H39" s="115"/>
      <c r="I39" s="115" t="s">
        <v>202</v>
      </c>
      <c r="J39" s="13">
        <f>SUBTOTAL(3,J21:J38)</f>
        <v>18</v>
      </c>
      <c r="K39" s="13">
        <f>SUBTOTAL(3,K21:K38)</f>
        <v>18</v>
      </c>
      <c r="T39" s="115"/>
      <c r="U39" s="115"/>
      <c r="V39" s="115"/>
      <c r="W39" s="115"/>
      <c r="X39" s="115"/>
      <c r="Y39" s="115"/>
      <c r="Z39" s="127"/>
      <c r="AA39" s="29"/>
      <c r="AK39" s="25"/>
      <c r="AL39" s="13"/>
      <c r="AQ39" s="116"/>
      <c r="AR39" s="123"/>
      <c r="AS39" s="123"/>
      <c r="AT39" s="123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25"/>
      <c r="BJ39" s="13"/>
      <c r="BM39" s="114"/>
    </row>
    <row r="40" spans="1:65" ht="20.100000000000001" customHeight="1" x14ac:dyDescent="0.4">
      <c r="A40" s="117"/>
      <c r="B40" s="123"/>
      <c r="C40" s="123"/>
      <c r="D40" s="123"/>
      <c r="J40" s="25">
        <v>45936</v>
      </c>
      <c r="K40" s="15" t="s">
        <v>148</v>
      </c>
      <c r="T40" s="115"/>
      <c r="U40" s="115"/>
      <c r="V40" s="115"/>
      <c r="W40" s="115"/>
      <c r="X40" s="115"/>
      <c r="Y40" s="115"/>
      <c r="Z40" s="127"/>
      <c r="AA40" s="29"/>
      <c r="AK40" s="25"/>
      <c r="AL40" s="13"/>
      <c r="AQ40" s="116"/>
      <c r="AR40" s="123"/>
      <c r="AS40" s="123"/>
      <c r="AT40" s="123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25"/>
      <c r="BJ40" s="13"/>
      <c r="BM40" s="114"/>
    </row>
    <row r="41" spans="1:65" ht="20.100000000000001" customHeight="1" x14ac:dyDescent="0.4">
      <c r="A41" s="117"/>
      <c r="B41" s="123"/>
      <c r="C41" s="123"/>
      <c r="D41" s="123"/>
      <c r="J41" s="25">
        <v>45936</v>
      </c>
      <c r="K41" s="13" t="s">
        <v>147</v>
      </c>
      <c r="T41" s="115"/>
      <c r="U41" s="115"/>
      <c r="V41" s="115"/>
      <c r="W41" s="115"/>
      <c r="X41" s="115"/>
      <c r="Y41" s="115"/>
      <c r="Z41" s="29"/>
      <c r="AA41" s="29"/>
      <c r="AK41" s="25"/>
      <c r="AL41" s="13"/>
      <c r="AQ41" s="116"/>
      <c r="AR41" s="123"/>
      <c r="AS41" s="123"/>
      <c r="AT41" s="123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25"/>
      <c r="BJ41" s="13"/>
      <c r="BM41" s="114"/>
    </row>
    <row r="42" spans="1:65" ht="20.100000000000001" customHeight="1" x14ac:dyDescent="0.4">
      <c r="A42" s="117"/>
      <c r="B42" s="123"/>
      <c r="C42" s="123"/>
      <c r="D42" s="123"/>
      <c r="J42" s="25">
        <v>45936</v>
      </c>
      <c r="K42" s="13" t="s">
        <v>146</v>
      </c>
      <c r="T42" s="115"/>
      <c r="U42" s="115"/>
      <c r="V42" s="115"/>
      <c r="W42" s="115"/>
      <c r="X42" s="115"/>
      <c r="Y42" s="115"/>
      <c r="Z42" s="127"/>
      <c r="AA42" s="29"/>
      <c r="AK42" s="25"/>
      <c r="AL42" s="13"/>
      <c r="AQ42" s="116"/>
      <c r="AR42" s="123"/>
      <c r="AS42" s="123"/>
      <c r="AT42" s="123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25"/>
      <c r="BJ42" s="13"/>
      <c r="BM42" s="114"/>
    </row>
    <row r="43" spans="1:65" ht="20.100000000000001" customHeight="1" x14ac:dyDescent="0.4">
      <c r="A43" s="117"/>
      <c r="B43" s="123"/>
      <c r="C43" s="123"/>
      <c r="D43" s="123"/>
      <c r="J43" s="25">
        <v>45936</v>
      </c>
      <c r="K43" s="13" t="s">
        <v>147</v>
      </c>
      <c r="T43" s="115"/>
      <c r="U43" s="115"/>
      <c r="V43" s="115"/>
      <c r="W43" s="115"/>
      <c r="X43" s="115"/>
      <c r="Y43" s="115"/>
      <c r="Z43" s="29"/>
      <c r="AA43" s="29"/>
      <c r="AK43" s="25"/>
      <c r="AL43" s="13"/>
      <c r="AQ43" s="116"/>
      <c r="AR43" s="123"/>
      <c r="AS43" s="123"/>
      <c r="AT43" s="123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25"/>
      <c r="BJ43" s="13"/>
      <c r="BM43" s="114"/>
    </row>
    <row r="44" spans="1:65" ht="20.100000000000001" customHeight="1" x14ac:dyDescent="0.4">
      <c r="A44" s="117"/>
      <c r="B44" s="123"/>
      <c r="C44" s="123"/>
      <c r="D44" s="123"/>
      <c r="H44" s="115"/>
      <c r="I44" s="115"/>
      <c r="J44" s="25">
        <v>45936</v>
      </c>
      <c r="K44" s="13" t="s">
        <v>146</v>
      </c>
      <c r="T44" s="115"/>
      <c r="U44" s="115"/>
      <c r="V44" s="115"/>
      <c r="W44" s="115"/>
      <c r="X44" s="115"/>
      <c r="Y44" s="115"/>
      <c r="Z44" s="29"/>
      <c r="AA44" s="29"/>
      <c r="AK44" s="25"/>
      <c r="AL44" s="13"/>
      <c r="AQ44" s="116"/>
      <c r="AR44" s="123"/>
      <c r="AS44" s="123"/>
      <c r="AT44" s="123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25"/>
      <c r="BJ44" s="13"/>
      <c r="BM44" s="114"/>
    </row>
    <row r="45" spans="1:65" ht="20.100000000000001" customHeight="1" x14ac:dyDescent="0.4">
      <c r="A45" s="117"/>
      <c r="B45" s="123"/>
      <c r="C45" s="123"/>
      <c r="D45" s="123"/>
      <c r="J45" s="25">
        <v>45936</v>
      </c>
      <c r="K45" s="13" t="s">
        <v>147</v>
      </c>
      <c r="T45" s="115"/>
      <c r="U45" s="115"/>
      <c r="V45" s="115"/>
      <c r="W45" s="115"/>
      <c r="X45" s="115"/>
      <c r="Y45" s="115"/>
      <c r="Z45" s="127"/>
      <c r="AA45" s="29"/>
      <c r="AK45" s="25"/>
      <c r="AL45" s="13"/>
      <c r="AQ45" s="116"/>
      <c r="AR45" s="123"/>
      <c r="AS45" s="123"/>
      <c r="AT45" s="123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25"/>
      <c r="BJ45" s="13"/>
      <c r="BM45" s="114"/>
    </row>
    <row r="46" spans="1:65" ht="20.100000000000001" customHeight="1" x14ac:dyDescent="0.4">
      <c r="A46" s="117"/>
      <c r="B46" s="123"/>
      <c r="C46" s="123"/>
      <c r="D46" s="123"/>
      <c r="G46" s="115"/>
      <c r="H46" s="115"/>
      <c r="I46" s="115"/>
      <c r="J46" s="25">
        <v>45936</v>
      </c>
      <c r="K46" s="13" t="s">
        <v>147</v>
      </c>
      <c r="T46" s="115"/>
      <c r="U46" s="115"/>
      <c r="V46" s="115"/>
      <c r="W46" s="115"/>
      <c r="X46" s="115"/>
      <c r="Y46" s="115"/>
      <c r="Z46" s="127"/>
      <c r="AA46" s="29"/>
      <c r="AK46" s="25"/>
      <c r="AL46" s="13"/>
      <c r="AQ46" s="116"/>
      <c r="AR46" s="123"/>
      <c r="AS46" s="123"/>
      <c r="AT46" s="123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25"/>
      <c r="BJ46" s="13"/>
      <c r="BM46" s="114"/>
    </row>
    <row r="47" spans="1:65" ht="20.100000000000001" customHeight="1" x14ac:dyDescent="0.4">
      <c r="A47" s="117"/>
      <c r="B47" s="123"/>
      <c r="C47" s="123"/>
      <c r="D47" s="123"/>
      <c r="J47" s="25">
        <v>45936</v>
      </c>
      <c r="K47" s="13" t="s">
        <v>142</v>
      </c>
      <c r="T47" s="115"/>
      <c r="U47" s="115"/>
      <c r="V47" s="115"/>
      <c r="W47" s="115"/>
      <c r="X47" s="115"/>
      <c r="Y47" s="115"/>
      <c r="Z47" s="127"/>
      <c r="AA47" s="29"/>
      <c r="AK47" s="25"/>
      <c r="AL47" s="13"/>
      <c r="AQ47" s="116"/>
      <c r="AR47" s="123"/>
      <c r="AS47" s="123"/>
      <c r="AT47" s="123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25"/>
      <c r="BJ47" s="13"/>
      <c r="BM47" s="114"/>
    </row>
    <row r="48" spans="1:65" ht="20.100000000000001" customHeight="1" x14ac:dyDescent="0.4">
      <c r="A48" s="117"/>
      <c r="B48" s="123"/>
      <c r="C48" s="123"/>
      <c r="D48" s="123"/>
      <c r="I48" s="115" t="s">
        <v>195</v>
      </c>
      <c r="J48" s="13">
        <f>SUBTOTAL(3,J40:J47)</f>
        <v>8</v>
      </c>
      <c r="K48" s="13">
        <f>SUBTOTAL(3,K40:K47)</f>
        <v>8</v>
      </c>
      <c r="T48" s="115"/>
      <c r="U48" s="115"/>
      <c r="V48" s="115"/>
      <c r="W48" s="115"/>
      <c r="X48" s="115"/>
      <c r="Y48" s="115"/>
      <c r="Z48" s="127"/>
      <c r="AA48" s="29"/>
      <c r="AK48" s="25"/>
      <c r="AL48" s="13"/>
      <c r="AQ48" s="116"/>
      <c r="AR48" s="123"/>
      <c r="AS48" s="123"/>
      <c r="AT48" s="123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25"/>
      <c r="BJ48" s="13"/>
      <c r="BM48" s="114"/>
    </row>
    <row r="49" spans="1:65" ht="20.100000000000001" customHeight="1" x14ac:dyDescent="0.4">
      <c r="A49" s="117"/>
      <c r="B49" s="123"/>
      <c r="C49" s="123"/>
      <c r="D49" s="123"/>
      <c r="J49" s="25">
        <v>45937</v>
      </c>
      <c r="K49" s="13" t="s">
        <v>142</v>
      </c>
      <c r="T49" s="115"/>
      <c r="U49" s="115"/>
      <c r="V49" s="115"/>
      <c r="W49" s="115"/>
      <c r="X49" s="115"/>
      <c r="Y49" s="115"/>
      <c r="Z49" s="29"/>
      <c r="AA49" s="29"/>
      <c r="AK49" s="25"/>
      <c r="AL49" s="13"/>
      <c r="AQ49" s="116"/>
      <c r="AR49" s="123"/>
      <c r="AS49" s="123"/>
      <c r="AT49" s="123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25"/>
      <c r="BJ49" s="13"/>
      <c r="BM49" s="114"/>
    </row>
    <row r="50" spans="1:65" ht="20.100000000000001" customHeight="1" x14ac:dyDescent="0.4">
      <c r="A50" s="117"/>
      <c r="B50" s="123"/>
      <c r="C50" s="123"/>
      <c r="D50" s="123"/>
      <c r="J50" s="25">
        <v>45937</v>
      </c>
      <c r="K50" s="13" t="s">
        <v>146</v>
      </c>
      <c r="S50" s="115"/>
      <c r="T50" s="115"/>
      <c r="U50" s="115"/>
      <c r="V50" s="115"/>
      <c r="W50" s="115"/>
      <c r="X50" s="115"/>
      <c r="Y50" s="115"/>
      <c r="Z50" s="127"/>
      <c r="AA50" s="29"/>
      <c r="AK50" s="25"/>
      <c r="AL50" s="13"/>
      <c r="AQ50" s="116"/>
      <c r="AR50" s="123"/>
      <c r="AS50" s="123"/>
      <c r="AT50" s="123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25"/>
      <c r="BJ50" s="13"/>
      <c r="BM50" s="114"/>
    </row>
    <row r="51" spans="1:65" ht="20.100000000000001" customHeight="1" x14ac:dyDescent="0.4">
      <c r="A51" s="117"/>
      <c r="B51" s="123"/>
      <c r="C51" s="123"/>
      <c r="D51" s="123"/>
      <c r="J51" s="25">
        <v>45937</v>
      </c>
      <c r="K51" s="13" t="s">
        <v>147</v>
      </c>
      <c r="S51" s="115"/>
      <c r="T51" s="115"/>
      <c r="U51" s="115"/>
      <c r="V51" s="115"/>
      <c r="W51" s="115"/>
      <c r="X51" s="115"/>
      <c r="Y51" s="115"/>
      <c r="Z51" s="127"/>
      <c r="AA51" s="134"/>
      <c r="AK51" s="25"/>
      <c r="AL51" s="13"/>
      <c r="AQ51" s="116"/>
      <c r="AR51" s="123"/>
      <c r="AS51" s="123"/>
      <c r="AT51" s="123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25"/>
      <c r="BJ51" s="13"/>
      <c r="BM51" s="114"/>
    </row>
    <row r="52" spans="1:65" ht="20.100000000000001" customHeight="1" x14ac:dyDescent="0.4">
      <c r="A52" s="117"/>
      <c r="B52" s="123"/>
      <c r="C52" s="123"/>
      <c r="D52" s="123"/>
      <c r="J52" s="25">
        <v>45937</v>
      </c>
      <c r="K52" s="15" t="s">
        <v>147</v>
      </c>
      <c r="Q52" s="115"/>
      <c r="R52" s="115"/>
      <c r="S52" s="115"/>
      <c r="T52" s="115"/>
      <c r="U52" s="115"/>
      <c r="V52" s="115"/>
      <c r="W52" s="115"/>
      <c r="X52" s="115"/>
      <c r="Y52" s="115"/>
      <c r="Z52" s="127"/>
      <c r="AA52" s="29"/>
      <c r="AK52" s="25"/>
      <c r="AL52" s="13"/>
      <c r="AQ52" s="116"/>
      <c r="AR52" s="123"/>
      <c r="AS52" s="123"/>
      <c r="AT52" s="123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25"/>
      <c r="BJ52" s="13"/>
      <c r="BM52" s="114"/>
    </row>
    <row r="53" spans="1:65" ht="20.100000000000001" customHeight="1" x14ac:dyDescent="0.4">
      <c r="A53" s="117"/>
      <c r="B53" s="123"/>
      <c r="C53" s="123"/>
      <c r="D53" s="123"/>
      <c r="J53" s="25">
        <v>45937</v>
      </c>
      <c r="K53" s="15" t="s">
        <v>147</v>
      </c>
      <c r="Q53" s="115"/>
      <c r="R53" s="115"/>
      <c r="S53" s="115"/>
      <c r="T53" s="115"/>
      <c r="U53" s="115"/>
      <c r="V53" s="115"/>
      <c r="W53" s="115"/>
      <c r="X53" s="115"/>
      <c r="Y53" s="115"/>
      <c r="Z53" s="127"/>
      <c r="AA53" s="29"/>
      <c r="AK53" s="25"/>
      <c r="AL53" s="13"/>
      <c r="AQ53" s="116"/>
      <c r="AR53" s="123"/>
      <c r="AS53" s="123"/>
      <c r="AT53" s="123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25"/>
      <c r="BJ53" s="13"/>
      <c r="BM53" s="114"/>
    </row>
    <row r="54" spans="1:65" ht="20.100000000000001" customHeight="1" x14ac:dyDescent="0.4">
      <c r="A54" s="117"/>
      <c r="B54" s="123"/>
      <c r="C54" s="123"/>
      <c r="D54" s="123"/>
      <c r="J54" s="25">
        <v>45937</v>
      </c>
      <c r="K54" s="15" t="s">
        <v>147</v>
      </c>
      <c r="Q54" s="115"/>
      <c r="R54" s="115"/>
      <c r="S54" s="115"/>
      <c r="T54" s="115"/>
      <c r="U54" s="115"/>
      <c r="V54" s="115"/>
      <c r="W54" s="115"/>
      <c r="X54" s="115"/>
      <c r="Y54" s="115"/>
      <c r="Z54" s="127"/>
      <c r="AA54" s="29"/>
      <c r="AK54" s="25"/>
      <c r="AL54" s="13"/>
      <c r="AQ54" s="116"/>
      <c r="AR54" s="123"/>
      <c r="AS54" s="123"/>
      <c r="AT54" s="123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25"/>
      <c r="BJ54" s="13"/>
      <c r="BM54" s="114"/>
    </row>
    <row r="55" spans="1:65" ht="20.100000000000001" customHeight="1" x14ac:dyDescent="0.4">
      <c r="A55" s="117"/>
      <c r="B55" s="123"/>
      <c r="C55" s="123"/>
      <c r="D55" s="123"/>
      <c r="J55" s="25">
        <v>45937</v>
      </c>
      <c r="K55" s="15" t="s">
        <v>146</v>
      </c>
      <c r="Q55" s="115"/>
      <c r="R55" s="115"/>
      <c r="S55" s="115"/>
      <c r="T55" s="115"/>
      <c r="U55" s="115"/>
      <c r="V55" s="115"/>
      <c r="W55" s="115"/>
      <c r="X55" s="115"/>
      <c r="Y55" s="115"/>
      <c r="Z55" s="29"/>
      <c r="AA55" s="29"/>
      <c r="AK55" s="25"/>
      <c r="AL55" s="13"/>
      <c r="AQ55" s="116"/>
      <c r="AR55" s="123"/>
      <c r="AS55" s="123"/>
      <c r="AT55" s="123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25"/>
      <c r="BJ55" s="13"/>
      <c r="BM55" s="114"/>
    </row>
    <row r="56" spans="1:65" ht="20.100000000000001" customHeight="1" x14ac:dyDescent="0.4">
      <c r="A56" s="117"/>
      <c r="B56" s="123"/>
      <c r="C56" s="123"/>
      <c r="D56" s="123"/>
      <c r="J56" s="25">
        <v>45937</v>
      </c>
      <c r="K56" s="15" t="s">
        <v>147</v>
      </c>
      <c r="Q56" s="115"/>
      <c r="R56" s="115"/>
      <c r="S56" s="115"/>
      <c r="T56" s="115"/>
      <c r="U56" s="115"/>
      <c r="V56" s="115"/>
      <c r="W56" s="115"/>
      <c r="X56" s="115"/>
      <c r="Y56" s="115"/>
      <c r="Z56" s="127"/>
      <c r="AA56" s="29"/>
      <c r="AK56" s="25"/>
      <c r="AL56" s="13"/>
      <c r="AQ56" s="116"/>
      <c r="AR56" s="123"/>
      <c r="AS56" s="123"/>
      <c r="AT56" s="123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25"/>
      <c r="BJ56" s="13"/>
      <c r="BM56" s="114"/>
    </row>
    <row r="57" spans="1:65" ht="20.100000000000001" customHeight="1" x14ac:dyDescent="0.4">
      <c r="A57" s="117"/>
      <c r="B57" s="123"/>
      <c r="C57" s="123"/>
      <c r="D57" s="123"/>
      <c r="J57" s="25">
        <v>45937</v>
      </c>
      <c r="K57" s="13" t="s">
        <v>147</v>
      </c>
      <c r="Q57" s="115"/>
      <c r="R57" s="115"/>
      <c r="S57" s="115"/>
      <c r="T57" s="115"/>
      <c r="U57" s="115"/>
      <c r="V57" s="115"/>
      <c r="W57" s="115"/>
      <c r="X57" s="115"/>
      <c r="Y57" s="115"/>
      <c r="Z57" s="127"/>
      <c r="AA57" s="29"/>
      <c r="AK57" s="25"/>
      <c r="AL57" s="13"/>
      <c r="AQ57" s="116"/>
      <c r="AR57" s="123"/>
      <c r="AS57" s="123"/>
      <c r="AT57" s="123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25"/>
      <c r="BJ57" s="13"/>
      <c r="BM57" s="114"/>
    </row>
    <row r="58" spans="1:65" ht="20.100000000000001" customHeight="1" x14ac:dyDescent="0.4">
      <c r="A58" s="117"/>
      <c r="B58" s="123"/>
      <c r="C58" s="123"/>
      <c r="D58" s="123"/>
      <c r="J58" s="25">
        <v>45937</v>
      </c>
      <c r="K58" s="13" t="s">
        <v>147</v>
      </c>
      <c r="Q58" s="115"/>
      <c r="R58" s="115"/>
      <c r="S58" s="115"/>
      <c r="T58" s="115"/>
      <c r="U58" s="115"/>
      <c r="V58" s="115"/>
      <c r="W58" s="115"/>
      <c r="X58" s="115"/>
      <c r="Y58" s="115"/>
      <c r="Z58" s="127"/>
      <c r="AA58" s="29"/>
      <c r="AK58" s="25"/>
      <c r="AL58" s="13"/>
      <c r="AQ58" s="116"/>
      <c r="AR58" s="123"/>
      <c r="AS58" s="123"/>
      <c r="AT58" s="123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25"/>
      <c r="BJ58" s="13"/>
      <c r="BM58" s="114"/>
    </row>
    <row r="59" spans="1:65" ht="20.100000000000001" customHeight="1" x14ac:dyDescent="0.4">
      <c r="A59" s="117"/>
      <c r="B59" s="123"/>
      <c r="C59" s="123"/>
      <c r="D59" s="123"/>
      <c r="J59" s="25">
        <v>45937</v>
      </c>
      <c r="K59" s="13" t="s">
        <v>147</v>
      </c>
      <c r="Q59" s="115"/>
      <c r="R59" s="115"/>
      <c r="S59" s="115"/>
      <c r="T59" s="115"/>
      <c r="U59" s="115"/>
      <c r="V59" s="115"/>
      <c r="W59" s="115"/>
      <c r="X59" s="115"/>
      <c r="Y59" s="115"/>
      <c r="Z59" s="127"/>
      <c r="AA59" s="29"/>
      <c r="AK59" s="25"/>
      <c r="AL59" s="13"/>
      <c r="AQ59" s="116"/>
      <c r="AR59" s="123"/>
      <c r="AS59" s="123"/>
      <c r="AT59" s="123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25"/>
      <c r="BJ59" s="13"/>
      <c r="BM59" s="114"/>
    </row>
    <row r="60" spans="1:65" ht="20.100000000000001" customHeight="1" x14ac:dyDescent="0.4">
      <c r="A60" s="117"/>
      <c r="B60" s="123"/>
      <c r="C60" s="123"/>
      <c r="D60" s="123"/>
      <c r="I60" s="115" t="s">
        <v>203</v>
      </c>
      <c r="J60" s="13">
        <f>SUBTOTAL(3,J49:J59)</f>
        <v>11</v>
      </c>
      <c r="K60" s="13">
        <f>SUBTOTAL(3,K49:K59)</f>
        <v>11</v>
      </c>
      <c r="Q60" s="115"/>
      <c r="R60" s="115"/>
      <c r="S60" s="115"/>
      <c r="T60" s="115"/>
      <c r="U60" s="115"/>
      <c r="V60" s="115"/>
      <c r="W60" s="115"/>
      <c r="X60" s="115"/>
      <c r="Y60" s="115"/>
      <c r="Z60" s="127"/>
      <c r="AA60" s="29"/>
      <c r="AK60" s="25"/>
      <c r="AL60" s="13"/>
      <c r="AQ60" s="116"/>
      <c r="AR60" s="123"/>
      <c r="AS60" s="123"/>
      <c r="AT60" s="123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25"/>
      <c r="BJ60" s="13"/>
      <c r="BM60" s="114"/>
    </row>
    <row r="61" spans="1:65" ht="20.100000000000001" customHeight="1" x14ac:dyDescent="0.4">
      <c r="A61" s="117"/>
      <c r="B61" s="123"/>
      <c r="C61" s="123"/>
      <c r="D61" s="123"/>
      <c r="J61" s="25">
        <v>45938</v>
      </c>
      <c r="K61" s="15" t="s">
        <v>146</v>
      </c>
      <c r="Q61" s="115"/>
      <c r="R61" s="115"/>
      <c r="S61" s="115"/>
      <c r="T61" s="115"/>
      <c r="U61" s="115"/>
      <c r="V61" s="115"/>
      <c r="W61" s="115"/>
      <c r="X61" s="115"/>
      <c r="Y61" s="115"/>
      <c r="Z61" s="127"/>
      <c r="AA61" s="29"/>
      <c r="AK61" s="25"/>
      <c r="AL61" s="13"/>
      <c r="AQ61" s="116"/>
      <c r="AR61" s="123"/>
      <c r="AS61" s="123"/>
      <c r="AT61" s="123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25"/>
      <c r="BJ61" s="13"/>
      <c r="BM61" s="114"/>
    </row>
    <row r="62" spans="1:65" ht="20.100000000000001" customHeight="1" x14ac:dyDescent="0.4">
      <c r="A62" s="117"/>
      <c r="B62" s="123"/>
      <c r="C62" s="123"/>
      <c r="D62" s="123"/>
      <c r="J62" s="25">
        <v>45938</v>
      </c>
      <c r="K62" s="13" t="s">
        <v>147</v>
      </c>
      <c r="Q62" s="115"/>
      <c r="R62" s="115"/>
      <c r="S62" s="115"/>
      <c r="T62" s="115"/>
      <c r="U62" s="115"/>
      <c r="V62" s="115"/>
      <c r="W62" s="115"/>
      <c r="X62" s="115"/>
      <c r="Y62" s="115"/>
      <c r="Z62" s="127"/>
      <c r="AA62" s="29"/>
      <c r="AK62" s="25"/>
      <c r="AL62" s="13"/>
      <c r="AQ62" s="116"/>
      <c r="AR62" s="123"/>
      <c r="AS62" s="123"/>
      <c r="AT62" s="123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25"/>
      <c r="BJ62" s="13"/>
      <c r="BM62" s="114"/>
    </row>
    <row r="63" spans="1:65" ht="20.100000000000001" customHeight="1" x14ac:dyDescent="0.4">
      <c r="A63" s="117"/>
      <c r="B63" s="123"/>
      <c r="C63" s="123"/>
      <c r="D63" s="123"/>
      <c r="J63" s="25">
        <v>45938</v>
      </c>
      <c r="K63" s="13" t="s">
        <v>146</v>
      </c>
      <c r="Q63" s="115"/>
      <c r="R63" s="115"/>
      <c r="S63" s="115"/>
      <c r="T63" s="115"/>
      <c r="U63" s="115"/>
      <c r="V63" s="115"/>
      <c r="W63" s="115"/>
      <c r="X63" s="115"/>
      <c r="Y63" s="115"/>
      <c r="Z63" s="127"/>
      <c r="AA63" s="29"/>
      <c r="AK63" s="25"/>
      <c r="AL63" s="13"/>
      <c r="AQ63" s="116"/>
      <c r="AR63" s="123"/>
      <c r="AS63" s="123"/>
      <c r="AT63" s="123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25"/>
      <c r="BJ63" s="13"/>
      <c r="BM63" s="114"/>
    </row>
    <row r="64" spans="1:65" ht="20.100000000000001" customHeight="1" x14ac:dyDescent="0.4">
      <c r="A64" s="117"/>
      <c r="B64" s="123"/>
      <c r="C64" s="123"/>
      <c r="D64" s="123"/>
      <c r="J64" s="25">
        <v>45938</v>
      </c>
      <c r="K64" s="13" t="s">
        <v>142</v>
      </c>
      <c r="Q64" s="115"/>
      <c r="R64" s="115"/>
      <c r="S64" s="115"/>
      <c r="T64" s="115"/>
      <c r="U64" s="115"/>
      <c r="V64" s="115"/>
      <c r="W64" s="115"/>
      <c r="X64" s="115"/>
      <c r="Y64" s="115"/>
      <c r="Z64" s="127"/>
      <c r="AA64" s="29"/>
      <c r="AK64" s="25"/>
      <c r="AL64" s="13"/>
      <c r="AQ64" s="116"/>
      <c r="AR64" s="123"/>
      <c r="AS64" s="123"/>
      <c r="AT64" s="123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25"/>
      <c r="BJ64" s="13"/>
      <c r="BM64" s="114"/>
    </row>
    <row r="65" spans="1:65" ht="20.100000000000001" customHeight="1" x14ac:dyDescent="0.4">
      <c r="A65" s="117"/>
      <c r="B65" s="123"/>
      <c r="C65" s="123"/>
      <c r="D65" s="123"/>
      <c r="H65" s="115"/>
      <c r="I65" s="115"/>
      <c r="J65" s="25">
        <v>45938</v>
      </c>
      <c r="K65" s="15" t="s">
        <v>146</v>
      </c>
      <c r="Q65" s="115"/>
      <c r="R65" s="115"/>
      <c r="S65" s="115"/>
      <c r="T65" s="115"/>
      <c r="U65" s="115"/>
      <c r="V65" s="115"/>
      <c r="W65" s="115"/>
      <c r="X65" s="115"/>
      <c r="Y65" s="115"/>
      <c r="Z65" s="127"/>
      <c r="AA65" s="29"/>
      <c r="AK65" s="25"/>
      <c r="AL65" s="13"/>
      <c r="AQ65" s="116"/>
      <c r="AR65" s="123"/>
      <c r="AS65" s="123"/>
      <c r="AT65" s="123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25"/>
      <c r="BJ65" s="13"/>
      <c r="BM65" s="114"/>
    </row>
    <row r="66" spans="1:65" ht="20.100000000000001" customHeight="1" x14ac:dyDescent="0.4">
      <c r="A66" s="117"/>
      <c r="B66" s="123"/>
      <c r="C66" s="123"/>
      <c r="D66" s="123"/>
      <c r="J66" s="25">
        <v>45938</v>
      </c>
      <c r="K66" s="15" t="s">
        <v>146</v>
      </c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27"/>
      <c r="AA66" s="29"/>
      <c r="AK66" s="25"/>
      <c r="AL66" s="13"/>
      <c r="AQ66" s="116"/>
      <c r="AR66" s="123"/>
      <c r="AS66" s="123"/>
      <c r="AT66" s="123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25"/>
      <c r="BJ66" s="13"/>
      <c r="BM66" s="114"/>
    </row>
    <row r="67" spans="1:65" ht="20.100000000000001" customHeight="1" x14ac:dyDescent="0.4">
      <c r="A67" s="117"/>
      <c r="B67" s="123"/>
      <c r="C67" s="123"/>
      <c r="D67" s="123"/>
      <c r="J67" s="25">
        <v>45938</v>
      </c>
      <c r="K67" s="15" t="s">
        <v>146</v>
      </c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27"/>
      <c r="AA67" s="29"/>
      <c r="AK67" s="25"/>
      <c r="AL67" s="13"/>
      <c r="AQ67" s="116"/>
      <c r="AR67" s="123"/>
      <c r="AS67" s="123"/>
      <c r="AT67" s="123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25"/>
      <c r="BJ67" s="13"/>
      <c r="BM67" s="114"/>
    </row>
    <row r="68" spans="1:65" ht="20.100000000000001" customHeight="1" x14ac:dyDescent="0.4">
      <c r="A68" s="117"/>
      <c r="B68" s="123"/>
      <c r="C68" s="123"/>
      <c r="D68" s="123"/>
      <c r="J68" s="25">
        <v>45938</v>
      </c>
      <c r="K68" s="15" t="s">
        <v>146</v>
      </c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29"/>
      <c r="AA68" s="29"/>
      <c r="AK68" s="25"/>
      <c r="AL68" s="13"/>
      <c r="AQ68" s="116"/>
      <c r="AR68" s="123"/>
      <c r="AS68" s="123"/>
      <c r="AT68" s="123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25"/>
      <c r="BJ68" s="13"/>
      <c r="BM68" s="114"/>
    </row>
    <row r="69" spans="1:65" ht="20.100000000000001" customHeight="1" x14ac:dyDescent="0.4">
      <c r="A69" s="117"/>
      <c r="B69" s="123"/>
      <c r="C69" s="123"/>
      <c r="D69" s="123"/>
      <c r="J69" s="25">
        <v>45938</v>
      </c>
      <c r="K69" s="15" t="s">
        <v>146</v>
      </c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27"/>
      <c r="AA69" s="29"/>
      <c r="AK69" s="25"/>
      <c r="AL69" s="13"/>
      <c r="AQ69" s="116"/>
      <c r="AR69" s="123"/>
      <c r="AS69" s="123"/>
      <c r="AT69" s="123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25"/>
      <c r="BJ69" s="13"/>
      <c r="BM69" s="114"/>
    </row>
    <row r="70" spans="1:65" ht="20.100000000000001" customHeight="1" x14ac:dyDescent="0.4">
      <c r="A70" s="117"/>
      <c r="B70" s="123"/>
      <c r="C70" s="123"/>
      <c r="D70" s="123"/>
      <c r="J70" s="25">
        <v>45938</v>
      </c>
      <c r="K70" s="15" t="s">
        <v>146</v>
      </c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27"/>
      <c r="AA70" s="29"/>
      <c r="AK70" s="25"/>
      <c r="AL70" s="13"/>
      <c r="AQ70" s="116"/>
      <c r="AR70" s="123"/>
      <c r="AS70" s="123"/>
      <c r="AT70" s="123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25"/>
      <c r="BJ70" s="13"/>
      <c r="BM70" s="114"/>
    </row>
    <row r="71" spans="1:65" ht="20.100000000000001" customHeight="1" x14ac:dyDescent="0.4">
      <c r="A71" s="117"/>
      <c r="B71" s="123"/>
      <c r="C71" s="123"/>
      <c r="D71" s="123"/>
      <c r="J71" s="25">
        <v>45938</v>
      </c>
      <c r="K71" s="15" t="s">
        <v>147</v>
      </c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29"/>
      <c r="AA71" s="29"/>
      <c r="AK71" s="25"/>
      <c r="AL71" s="13"/>
      <c r="AQ71" s="116"/>
      <c r="AR71" s="123"/>
      <c r="AS71" s="123"/>
      <c r="AT71" s="123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25"/>
      <c r="BJ71" s="13"/>
      <c r="BM71" s="114"/>
    </row>
    <row r="72" spans="1:65" ht="20.100000000000001" customHeight="1" x14ac:dyDescent="0.4">
      <c r="A72" s="117"/>
      <c r="B72" s="123"/>
      <c r="C72" s="123"/>
      <c r="D72" s="123"/>
      <c r="J72" s="25">
        <v>45938</v>
      </c>
      <c r="K72" s="15" t="s">
        <v>147</v>
      </c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27"/>
      <c r="AA72" s="29"/>
      <c r="AK72" s="25"/>
      <c r="AL72" s="13"/>
      <c r="AQ72" s="116"/>
      <c r="AR72" s="123"/>
      <c r="AS72" s="123"/>
      <c r="AT72" s="123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25"/>
      <c r="BJ72" s="13"/>
      <c r="BM72" s="114"/>
    </row>
    <row r="73" spans="1:65" ht="20.100000000000001" customHeight="1" x14ac:dyDescent="0.4">
      <c r="A73" s="117"/>
      <c r="B73" s="123"/>
      <c r="C73" s="123"/>
      <c r="D73" s="123"/>
      <c r="J73" s="25">
        <v>45938</v>
      </c>
      <c r="K73" s="13" t="s">
        <v>146</v>
      </c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27"/>
      <c r="AA73" s="29"/>
      <c r="AK73" s="25"/>
      <c r="AL73" s="13"/>
      <c r="AQ73" s="116"/>
      <c r="AR73" s="123"/>
      <c r="AS73" s="123"/>
      <c r="AT73" s="123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25"/>
      <c r="BJ73" s="13"/>
      <c r="BM73" s="114"/>
    </row>
    <row r="74" spans="1:65" ht="20.100000000000001" customHeight="1" x14ac:dyDescent="0.4">
      <c r="A74" s="117"/>
      <c r="B74" s="123"/>
      <c r="C74" s="123"/>
      <c r="D74" s="123"/>
      <c r="F74" s="117"/>
      <c r="G74" s="135"/>
      <c r="H74" s="135"/>
      <c r="I74" s="135"/>
      <c r="J74" s="25">
        <v>45938</v>
      </c>
      <c r="K74" s="13" t="s">
        <v>146</v>
      </c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27"/>
      <c r="AA74" s="29"/>
      <c r="AK74" s="25"/>
      <c r="AL74" s="13"/>
      <c r="AQ74" s="116"/>
      <c r="AR74" s="123"/>
      <c r="AS74" s="123"/>
      <c r="AT74" s="123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25"/>
      <c r="BJ74" s="13"/>
      <c r="BM74" s="114"/>
    </row>
    <row r="75" spans="1:65" ht="20.100000000000001" customHeight="1" x14ac:dyDescent="0.4">
      <c r="A75" s="117"/>
      <c r="B75" s="123"/>
      <c r="C75" s="123"/>
      <c r="D75" s="123"/>
      <c r="F75" s="117"/>
      <c r="G75" s="135"/>
      <c r="H75" s="135"/>
      <c r="I75" s="135"/>
      <c r="J75" s="25">
        <v>45938</v>
      </c>
      <c r="K75" s="13" t="s">
        <v>147</v>
      </c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29"/>
      <c r="AA75" s="29"/>
      <c r="AK75" s="25"/>
      <c r="AL75" s="13"/>
      <c r="AQ75" s="116"/>
      <c r="AR75" s="123"/>
      <c r="AS75" s="123"/>
      <c r="AT75" s="123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25"/>
      <c r="BJ75" s="13"/>
      <c r="BM75" s="114"/>
    </row>
    <row r="76" spans="1:65" ht="20.100000000000001" customHeight="1" x14ac:dyDescent="0.4">
      <c r="A76" s="117"/>
      <c r="B76" s="123"/>
      <c r="C76" s="123"/>
      <c r="D76" s="123"/>
      <c r="F76" s="117"/>
      <c r="G76" s="135"/>
      <c r="H76" s="135"/>
      <c r="I76" s="135"/>
      <c r="J76" s="25">
        <v>45938</v>
      </c>
      <c r="K76" s="133" t="s">
        <v>146</v>
      </c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27"/>
      <c r="AA76" s="29"/>
      <c r="AK76" s="25"/>
      <c r="AL76" s="13"/>
      <c r="AQ76" s="116"/>
      <c r="AR76" s="123"/>
      <c r="AS76" s="123"/>
      <c r="AT76" s="123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25"/>
      <c r="BJ76" s="13"/>
      <c r="BM76" s="114"/>
    </row>
    <row r="77" spans="1:65" ht="20.100000000000001" customHeight="1" x14ac:dyDescent="0.4">
      <c r="A77" s="117"/>
      <c r="B77" s="123"/>
      <c r="C77" s="123"/>
      <c r="D77" s="123"/>
      <c r="F77" s="117"/>
      <c r="G77" s="135"/>
      <c r="H77" s="135"/>
      <c r="I77" s="135"/>
      <c r="J77" s="25">
        <v>45938</v>
      </c>
      <c r="K77" s="13" t="s">
        <v>146</v>
      </c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29"/>
      <c r="AA77" s="29"/>
      <c r="AK77" s="25"/>
      <c r="AL77" s="13"/>
      <c r="AQ77" s="116"/>
      <c r="AR77" s="123"/>
      <c r="AS77" s="123"/>
      <c r="AT77" s="123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25"/>
      <c r="BJ77" s="13"/>
      <c r="BM77" s="114"/>
    </row>
    <row r="78" spans="1:65" ht="20.100000000000001" customHeight="1" x14ac:dyDescent="0.4">
      <c r="A78" s="117"/>
      <c r="B78" s="123"/>
      <c r="C78" s="123"/>
      <c r="D78" s="123"/>
      <c r="F78" s="117"/>
      <c r="G78" s="135"/>
      <c r="H78" s="135"/>
      <c r="I78" s="135"/>
      <c r="J78" s="25">
        <v>45938</v>
      </c>
      <c r="K78" s="13" t="s">
        <v>146</v>
      </c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27"/>
      <c r="AA78" s="29"/>
      <c r="AK78" s="25"/>
      <c r="AL78" s="13"/>
      <c r="AQ78" s="116"/>
      <c r="AR78" s="123"/>
      <c r="AS78" s="123"/>
      <c r="AT78" s="123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25"/>
      <c r="BJ78" s="13"/>
      <c r="BM78" s="114"/>
    </row>
    <row r="79" spans="1:65" ht="20.100000000000001" customHeight="1" x14ac:dyDescent="0.4">
      <c r="A79" s="117"/>
      <c r="B79" s="123"/>
      <c r="C79" s="123"/>
      <c r="D79" s="123"/>
      <c r="F79" s="117"/>
      <c r="G79" s="135"/>
      <c r="H79" s="136"/>
      <c r="I79" s="136"/>
      <c r="J79" s="25">
        <v>45938</v>
      </c>
      <c r="K79" s="13" t="s">
        <v>148</v>
      </c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27"/>
      <c r="AA79" s="29"/>
      <c r="AK79" s="25"/>
      <c r="AL79" s="13"/>
      <c r="AQ79" s="116"/>
      <c r="AR79" s="123"/>
      <c r="AS79" s="123"/>
      <c r="AT79" s="123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25"/>
      <c r="BJ79" s="13"/>
      <c r="BM79" s="114"/>
    </row>
    <row r="80" spans="1:65" ht="20.100000000000001" customHeight="1" x14ac:dyDescent="0.4">
      <c r="A80" s="117"/>
      <c r="B80" s="123"/>
      <c r="C80" s="123"/>
      <c r="D80" s="123"/>
      <c r="F80" s="117"/>
      <c r="G80" s="135"/>
      <c r="H80" s="136"/>
      <c r="I80" s="136" t="s">
        <v>204</v>
      </c>
      <c r="J80" s="13">
        <f>SUBTOTAL(3,J61:J79)</f>
        <v>19</v>
      </c>
      <c r="K80" s="13">
        <f>SUBTOTAL(3,K61:K79)</f>
        <v>19</v>
      </c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27"/>
      <c r="AA80" s="29"/>
      <c r="AK80" s="25"/>
      <c r="AL80" s="13"/>
      <c r="AQ80" s="116"/>
      <c r="AR80" s="123"/>
      <c r="AS80" s="123"/>
      <c r="AT80" s="123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25"/>
      <c r="BJ80" s="13"/>
      <c r="BM80" s="114"/>
    </row>
    <row r="81" spans="1:65" ht="20.100000000000001" customHeight="1" x14ac:dyDescent="0.4">
      <c r="A81" s="117"/>
      <c r="B81" s="123"/>
      <c r="C81" s="123"/>
      <c r="D81" s="123"/>
      <c r="F81" s="117"/>
      <c r="G81" s="135"/>
      <c r="H81" s="136"/>
      <c r="I81" s="136"/>
      <c r="J81" s="25">
        <v>45939</v>
      </c>
      <c r="K81" s="15" t="s">
        <v>147</v>
      </c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27"/>
      <c r="AA81" s="29"/>
      <c r="AK81" s="25"/>
      <c r="AL81" s="13"/>
      <c r="AQ81" s="116"/>
      <c r="AR81" s="123"/>
      <c r="AS81" s="123"/>
      <c r="AT81" s="123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25"/>
      <c r="BJ81" s="13"/>
      <c r="BM81" s="114"/>
    </row>
    <row r="82" spans="1:65" ht="20.100000000000001" customHeight="1" x14ac:dyDescent="0.4">
      <c r="A82" s="117"/>
      <c r="B82" s="123"/>
      <c r="C82" s="123"/>
      <c r="D82" s="123"/>
      <c r="F82" s="117"/>
      <c r="G82" s="135"/>
      <c r="H82" s="136"/>
      <c r="I82" s="136" t="s">
        <v>357</v>
      </c>
      <c r="J82" s="13">
        <f>SUBTOTAL(3,J81:J81)</f>
        <v>1</v>
      </c>
      <c r="K82" s="15">
        <f>SUBTOTAL(3,K81:K81)</f>
        <v>1</v>
      </c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27"/>
      <c r="AA82" s="29"/>
      <c r="AK82" s="25"/>
      <c r="AL82" s="13"/>
      <c r="AQ82" s="116"/>
      <c r="AR82" s="123"/>
      <c r="AS82" s="123"/>
      <c r="AT82" s="123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25"/>
      <c r="BJ82" s="13"/>
      <c r="BM82" s="114"/>
    </row>
    <row r="83" spans="1:65" ht="20.100000000000001" customHeight="1" x14ac:dyDescent="0.4">
      <c r="A83" s="117"/>
      <c r="B83" s="123"/>
      <c r="C83" s="123"/>
      <c r="D83" s="123"/>
      <c r="F83" s="117"/>
      <c r="G83" s="135"/>
      <c r="H83" s="136"/>
      <c r="I83" s="136"/>
      <c r="J83" s="25">
        <v>45940</v>
      </c>
      <c r="K83" s="15" t="s">
        <v>146</v>
      </c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27"/>
      <c r="AA83" s="29"/>
      <c r="AK83" s="25"/>
      <c r="AL83" s="13"/>
      <c r="AQ83" s="116"/>
      <c r="AR83" s="123"/>
      <c r="AS83" s="123"/>
      <c r="AT83" s="123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25"/>
      <c r="BJ83" s="13"/>
      <c r="BM83" s="114"/>
    </row>
    <row r="84" spans="1:65" ht="20.100000000000001" customHeight="1" x14ac:dyDescent="0.4">
      <c r="A84" s="117"/>
      <c r="B84" s="123"/>
      <c r="C84" s="123"/>
      <c r="D84" s="123"/>
      <c r="F84" s="117"/>
      <c r="G84" s="135"/>
      <c r="H84" s="136"/>
      <c r="I84" s="136" t="s">
        <v>205</v>
      </c>
      <c r="J84" s="13">
        <f>SUBTOTAL(3,J83:J83)</f>
        <v>1</v>
      </c>
      <c r="K84" s="15">
        <f>SUBTOTAL(3,K83:K83)</f>
        <v>1</v>
      </c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27"/>
      <c r="AA84" s="29"/>
      <c r="AK84" s="25"/>
      <c r="AL84" s="13"/>
      <c r="AQ84" s="116"/>
      <c r="AR84" s="123"/>
      <c r="AS84" s="123"/>
      <c r="AT84" s="123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25"/>
      <c r="BJ84" s="13"/>
      <c r="BM84" s="114"/>
    </row>
    <row r="85" spans="1:65" ht="20.100000000000001" customHeight="1" x14ac:dyDescent="0.4">
      <c r="A85" s="117"/>
      <c r="B85" s="123"/>
      <c r="C85" s="123"/>
      <c r="D85" s="123"/>
      <c r="F85" s="117"/>
      <c r="G85" s="135"/>
      <c r="H85" s="136"/>
      <c r="I85" s="136"/>
      <c r="J85" s="25">
        <v>45941</v>
      </c>
      <c r="K85" s="15" t="s">
        <v>147</v>
      </c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27"/>
      <c r="AA85" s="29"/>
      <c r="AK85" s="25"/>
      <c r="AL85" s="13"/>
      <c r="AQ85" s="116"/>
      <c r="AR85" s="123"/>
      <c r="AS85" s="123"/>
      <c r="AT85" s="123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25"/>
      <c r="BJ85" s="13"/>
      <c r="BM85" s="114"/>
    </row>
    <row r="86" spans="1:65" ht="20.100000000000001" customHeight="1" x14ac:dyDescent="0.4">
      <c r="A86" s="117"/>
      <c r="B86" s="123"/>
      <c r="C86" s="123"/>
      <c r="D86" s="123"/>
      <c r="F86" s="117"/>
      <c r="G86" s="135"/>
      <c r="H86" s="136"/>
      <c r="I86" s="136"/>
      <c r="J86" s="25">
        <v>45941</v>
      </c>
      <c r="K86" s="15" t="s">
        <v>147</v>
      </c>
      <c r="Z86" s="127"/>
      <c r="AA86" s="29"/>
      <c r="AK86" s="25"/>
      <c r="AL86" s="13"/>
      <c r="AQ86" s="116"/>
      <c r="AR86" s="123"/>
      <c r="AS86" s="123"/>
      <c r="AT86" s="123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25"/>
      <c r="BJ86" s="13"/>
      <c r="BM86" s="114"/>
    </row>
    <row r="87" spans="1:65" ht="20.100000000000001" customHeight="1" x14ac:dyDescent="0.4">
      <c r="A87" s="117"/>
      <c r="B87" s="123"/>
      <c r="C87" s="123"/>
      <c r="D87" s="123"/>
      <c r="F87" s="117"/>
      <c r="G87" s="135"/>
      <c r="H87" s="136"/>
      <c r="I87" s="136"/>
      <c r="J87" s="25">
        <v>45941</v>
      </c>
      <c r="K87" s="15" t="s">
        <v>147</v>
      </c>
      <c r="V87" s="115"/>
      <c r="W87" s="115"/>
      <c r="X87" s="115"/>
      <c r="Y87" s="115"/>
      <c r="Z87" s="127"/>
      <c r="AA87" s="29"/>
      <c r="AK87" s="25"/>
      <c r="AL87" s="13"/>
      <c r="AQ87" s="116"/>
      <c r="AR87" s="123"/>
      <c r="AS87" s="123"/>
      <c r="AT87" s="123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25"/>
      <c r="BJ87" s="13"/>
      <c r="BM87" s="114"/>
    </row>
    <row r="88" spans="1:65" ht="20.100000000000001" customHeight="1" x14ac:dyDescent="0.4">
      <c r="A88" s="117"/>
      <c r="B88" s="123"/>
      <c r="C88" s="123"/>
      <c r="D88" s="123"/>
      <c r="F88" s="117"/>
      <c r="G88" s="135"/>
      <c r="H88" s="136"/>
      <c r="I88" s="136"/>
      <c r="J88" s="25">
        <v>45941</v>
      </c>
      <c r="K88" s="15" t="s">
        <v>147</v>
      </c>
      <c r="V88" s="115"/>
      <c r="W88" s="115"/>
      <c r="X88" s="115"/>
      <c r="Y88" s="115"/>
      <c r="Z88" s="127"/>
      <c r="AA88" s="29"/>
      <c r="AK88" s="25"/>
      <c r="AL88" s="13"/>
      <c r="AQ88" s="116"/>
      <c r="AR88" s="123"/>
      <c r="AS88" s="123"/>
      <c r="AT88" s="123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25"/>
      <c r="BJ88" s="13"/>
      <c r="BM88" s="114"/>
    </row>
    <row r="89" spans="1:65" ht="20.100000000000001" customHeight="1" x14ac:dyDescent="0.4">
      <c r="A89" s="117"/>
      <c r="B89" s="123"/>
      <c r="C89" s="123"/>
      <c r="D89" s="123"/>
      <c r="F89" s="117"/>
      <c r="G89" s="135"/>
      <c r="H89" s="136"/>
      <c r="I89" s="136"/>
      <c r="J89" s="25">
        <v>45941</v>
      </c>
      <c r="K89" s="15" t="s">
        <v>147</v>
      </c>
      <c r="R89" s="115"/>
      <c r="S89" s="115"/>
      <c r="T89" s="115"/>
      <c r="U89" s="115"/>
      <c r="V89" s="115"/>
      <c r="W89" s="115"/>
      <c r="X89" s="115"/>
      <c r="Y89" s="115"/>
      <c r="Z89" s="127"/>
      <c r="AA89" s="29"/>
      <c r="AK89" s="25"/>
      <c r="AL89" s="13"/>
      <c r="AQ89" s="116"/>
      <c r="AR89" s="123"/>
      <c r="AS89" s="123"/>
      <c r="AT89" s="123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25"/>
      <c r="BJ89" s="13"/>
      <c r="BM89" s="114"/>
    </row>
    <row r="90" spans="1:65" ht="20.100000000000001" customHeight="1" x14ac:dyDescent="0.4">
      <c r="A90" s="117"/>
      <c r="B90" s="123"/>
      <c r="C90" s="123"/>
      <c r="D90" s="123"/>
      <c r="F90" s="117"/>
      <c r="G90" s="135"/>
      <c r="H90" s="136"/>
      <c r="I90" s="136"/>
      <c r="J90" s="25">
        <v>45941</v>
      </c>
      <c r="K90" s="15" t="s">
        <v>146</v>
      </c>
      <c r="R90" s="115"/>
      <c r="S90" s="115"/>
      <c r="T90" s="115"/>
      <c r="U90" s="115"/>
      <c r="V90" s="115"/>
      <c r="W90" s="115"/>
      <c r="X90" s="115"/>
      <c r="Y90" s="115"/>
      <c r="Z90" s="29"/>
      <c r="AA90" s="29"/>
      <c r="AK90" s="25"/>
      <c r="AL90" s="13"/>
      <c r="AQ90" s="116"/>
      <c r="AR90" s="123"/>
      <c r="AS90" s="123"/>
      <c r="AT90" s="123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25"/>
      <c r="BJ90" s="13"/>
      <c r="BM90" s="114"/>
    </row>
    <row r="91" spans="1:65" ht="20.100000000000001" customHeight="1" x14ac:dyDescent="0.4">
      <c r="A91" s="117"/>
      <c r="B91" s="123"/>
      <c r="C91" s="123"/>
      <c r="D91" s="123"/>
      <c r="F91" s="117"/>
      <c r="G91" s="135"/>
      <c r="H91" s="136"/>
      <c r="I91" s="136"/>
      <c r="J91" s="26">
        <v>45941</v>
      </c>
      <c r="K91" s="133" t="s">
        <v>307</v>
      </c>
      <c r="R91" s="115"/>
      <c r="S91" s="115"/>
      <c r="T91" s="115"/>
      <c r="U91" s="115"/>
      <c r="V91" s="115"/>
      <c r="W91" s="115"/>
      <c r="X91" s="115"/>
      <c r="Y91" s="115"/>
      <c r="Z91" s="127"/>
      <c r="AA91" s="29"/>
      <c r="AK91" s="25"/>
      <c r="AL91" s="13"/>
      <c r="AQ91" s="116"/>
      <c r="AR91" s="123"/>
      <c r="AS91" s="123"/>
      <c r="AT91" s="123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25"/>
      <c r="BJ91" s="13"/>
      <c r="BM91" s="114"/>
    </row>
    <row r="92" spans="1:65" ht="20.100000000000001" customHeight="1" x14ac:dyDescent="0.4">
      <c r="A92" s="117"/>
      <c r="B92" s="123"/>
      <c r="C92" s="123"/>
      <c r="D92" s="123"/>
      <c r="F92" s="125"/>
      <c r="G92" s="125"/>
      <c r="H92" s="125"/>
      <c r="I92" s="125" t="s">
        <v>358</v>
      </c>
      <c r="J92" s="17">
        <f>SUBTOTAL(3,J85:J91)</f>
        <v>7</v>
      </c>
      <c r="K92" s="13">
        <f>SUBTOTAL(3,K85:K91)</f>
        <v>7</v>
      </c>
      <c r="R92" s="115"/>
      <c r="S92" s="115"/>
      <c r="T92" s="115"/>
      <c r="U92" s="115"/>
      <c r="V92" s="115"/>
      <c r="W92" s="115"/>
      <c r="X92" s="115"/>
      <c r="Y92" s="115"/>
      <c r="Z92" s="127"/>
      <c r="AA92" s="29"/>
      <c r="AK92" s="25"/>
      <c r="AL92" s="13"/>
      <c r="AQ92" s="116"/>
      <c r="AR92" s="123"/>
      <c r="AS92" s="123"/>
      <c r="AT92" s="123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25"/>
      <c r="BJ92" s="13"/>
      <c r="BM92" s="114"/>
    </row>
    <row r="93" spans="1:65" ht="20.100000000000001" customHeight="1" x14ac:dyDescent="0.4">
      <c r="A93" s="117"/>
      <c r="B93" s="123"/>
      <c r="C93" s="123"/>
      <c r="D93" s="123"/>
      <c r="J93" s="26">
        <v>45942</v>
      </c>
      <c r="K93" s="13" t="s">
        <v>147</v>
      </c>
      <c r="Q93" s="115"/>
      <c r="R93" s="115"/>
      <c r="S93" s="115"/>
      <c r="T93" s="115"/>
      <c r="U93" s="115"/>
      <c r="V93" s="115"/>
      <c r="W93" s="115"/>
      <c r="X93" s="115"/>
      <c r="Y93" s="115"/>
      <c r="Z93" s="127"/>
      <c r="AA93" s="29"/>
      <c r="AK93" s="25"/>
      <c r="AL93" s="13"/>
      <c r="AQ93" s="116"/>
      <c r="AR93" s="123"/>
      <c r="AS93" s="123"/>
      <c r="AT93" s="123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25"/>
      <c r="BJ93" s="13"/>
      <c r="BM93" s="114"/>
    </row>
    <row r="94" spans="1:65" ht="20.100000000000001" customHeight="1" x14ac:dyDescent="0.4">
      <c r="A94" s="117"/>
      <c r="B94" s="123"/>
      <c r="C94" s="123"/>
      <c r="D94" s="123"/>
      <c r="J94" s="26">
        <v>45942</v>
      </c>
      <c r="K94" s="13" t="s">
        <v>147</v>
      </c>
      <c r="Q94" s="115"/>
      <c r="R94" s="115"/>
      <c r="S94" s="115"/>
      <c r="T94" s="115"/>
      <c r="U94" s="115"/>
      <c r="V94" s="115"/>
      <c r="W94" s="115"/>
      <c r="X94" s="115"/>
      <c r="Y94" s="115"/>
      <c r="Z94" s="127"/>
      <c r="AA94" s="29"/>
      <c r="AK94" s="25"/>
      <c r="AL94" s="13"/>
      <c r="AQ94" s="116"/>
      <c r="AR94" s="123"/>
      <c r="AS94" s="123"/>
      <c r="AT94" s="123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25"/>
      <c r="BJ94" s="13"/>
      <c r="BM94" s="114"/>
    </row>
    <row r="95" spans="1:65" ht="20.100000000000001" customHeight="1" x14ac:dyDescent="0.4">
      <c r="A95" s="117"/>
      <c r="B95" s="123"/>
      <c r="C95" s="123"/>
      <c r="D95" s="123"/>
      <c r="J95" s="26">
        <v>45942</v>
      </c>
      <c r="K95" s="13" t="s">
        <v>146</v>
      </c>
      <c r="Q95" s="115"/>
      <c r="R95" s="115"/>
      <c r="S95" s="115"/>
      <c r="T95" s="115"/>
      <c r="U95" s="115"/>
      <c r="V95" s="115"/>
      <c r="W95" s="115"/>
      <c r="X95" s="115"/>
      <c r="Y95" s="115"/>
      <c r="Z95" s="127"/>
      <c r="AA95" s="134"/>
      <c r="AK95" s="25"/>
      <c r="AL95" s="13"/>
      <c r="AQ95" s="116"/>
      <c r="AR95" s="123"/>
      <c r="AS95" s="123"/>
      <c r="AT95" s="123"/>
      <c r="AY95" s="115"/>
      <c r="AZ95" s="115"/>
      <c r="BA95" s="115"/>
      <c r="BB95" s="115"/>
      <c r="BC95" s="115"/>
      <c r="BD95" s="115"/>
      <c r="BE95" s="115"/>
      <c r="BF95" s="115"/>
      <c r="BG95" s="115"/>
      <c r="BH95" s="115"/>
      <c r="BI95" s="25"/>
      <c r="BJ95" s="13"/>
      <c r="BM95" s="114"/>
    </row>
    <row r="96" spans="1:65" ht="20.100000000000001" customHeight="1" x14ac:dyDescent="0.4">
      <c r="A96" s="117"/>
      <c r="B96" s="123"/>
      <c r="C96" s="123"/>
      <c r="D96" s="123"/>
      <c r="H96" s="115"/>
      <c r="I96" s="115"/>
      <c r="J96" s="26">
        <v>45942</v>
      </c>
      <c r="K96" s="13" t="s">
        <v>146</v>
      </c>
      <c r="Q96" s="115"/>
      <c r="R96" s="115"/>
      <c r="S96" s="115"/>
      <c r="T96" s="115"/>
      <c r="U96" s="115"/>
      <c r="V96" s="115"/>
      <c r="W96" s="115"/>
      <c r="X96" s="115"/>
      <c r="Y96" s="115"/>
      <c r="Z96" s="127"/>
      <c r="AA96" s="134"/>
      <c r="AK96" s="25"/>
      <c r="AL96" s="13"/>
      <c r="AQ96" s="116"/>
      <c r="AR96" s="123"/>
      <c r="AS96" s="123"/>
      <c r="AT96" s="123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25"/>
      <c r="BJ96" s="13"/>
      <c r="BM96" s="114"/>
    </row>
    <row r="97" spans="1:65" ht="20.100000000000001" customHeight="1" x14ac:dyDescent="0.4">
      <c r="A97" s="117"/>
      <c r="B97" s="123"/>
      <c r="C97" s="123"/>
      <c r="D97" s="123"/>
      <c r="J97" s="26">
        <v>45942</v>
      </c>
      <c r="K97" s="13" t="s">
        <v>146</v>
      </c>
      <c r="Q97" s="115"/>
      <c r="R97" s="115"/>
      <c r="S97" s="115"/>
      <c r="T97" s="115"/>
      <c r="U97" s="115"/>
      <c r="V97" s="115"/>
      <c r="W97" s="115"/>
      <c r="X97" s="115"/>
      <c r="Y97" s="115"/>
      <c r="Z97" s="127"/>
      <c r="AA97" s="29"/>
      <c r="AK97" s="25"/>
      <c r="AL97" s="13"/>
      <c r="AQ97" s="116"/>
      <c r="AR97" s="123"/>
      <c r="AS97" s="123"/>
      <c r="AT97" s="123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25"/>
      <c r="BJ97" s="13"/>
      <c r="BM97" s="114"/>
    </row>
    <row r="98" spans="1:65" ht="20.100000000000001" customHeight="1" x14ac:dyDescent="0.4">
      <c r="A98" s="117"/>
      <c r="B98" s="123"/>
      <c r="C98" s="123"/>
      <c r="D98" s="123"/>
      <c r="J98" s="26">
        <v>45942</v>
      </c>
      <c r="K98" s="13" t="s">
        <v>146</v>
      </c>
      <c r="Q98" s="115"/>
      <c r="R98" s="115"/>
      <c r="S98" s="115"/>
      <c r="T98" s="115"/>
      <c r="U98" s="115"/>
      <c r="V98" s="115"/>
      <c r="W98" s="115"/>
      <c r="X98" s="115"/>
      <c r="Y98" s="115"/>
      <c r="Z98" s="29"/>
      <c r="AA98" s="29"/>
      <c r="AK98" s="25"/>
      <c r="AL98" s="13"/>
      <c r="AQ98" s="116"/>
      <c r="AR98" s="123"/>
      <c r="AS98" s="123"/>
      <c r="AT98" s="123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25"/>
      <c r="BJ98" s="13"/>
      <c r="BM98" s="114"/>
    </row>
    <row r="99" spans="1:65" ht="20.100000000000001" customHeight="1" x14ac:dyDescent="0.4">
      <c r="A99" s="117"/>
      <c r="B99" s="123"/>
      <c r="C99" s="123"/>
      <c r="D99" s="123"/>
      <c r="J99" s="26">
        <v>45942</v>
      </c>
      <c r="K99" s="13" t="s">
        <v>147</v>
      </c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27"/>
      <c r="AA99" s="29"/>
      <c r="AK99" s="25"/>
      <c r="AL99" s="13"/>
      <c r="AQ99" s="116"/>
      <c r="AR99" s="123"/>
      <c r="AS99" s="123"/>
      <c r="AT99" s="123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25"/>
      <c r="BJ99" s="13"/>
      <c r="BM99" s="114"/>
    </row>
    <row r="100" spans="1:65" ht="20.100000000000001" customHeight="1" x14ac:dyDescent="0.4">
      <c r="A100" s="117"/>
      <c r="B100" s="123"/>
      <c r="C100" s="123"/>
      <c r="D100" s="123"/>
      <c r="J100" s="26">
        <v>45942</v>
      </c>
      <c r="K100" s="13" t="s">
        <v>148</v>
      </c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27"/>
      <c r="AA100" s="29"/>
      <c r="AK100" s="25"/>
      <c r="AL100" s="13"/>
      <c r="AQ100" s="116"/>
      <c r="AR100" s="123"/>
      <c r="AS100" s="123"/>
      <c r="AT100" s="123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25"/>
      <c r="BJ100" s="13"/>
      <c r="BM100" s="114"/>
    </row>
    <row r="101" spans="1:65" ht="20.100000000000001" customHeight="1" x14ac:dyDescent="0.4">
      <c r="A101" s="117"/>
      <c r="B101" s="123"/>
      <c r="C101" s="123"/>
      <c r="D101" s="123"/>
      <c r="I101" s="115" t="s">
        <v>359</v>
      </c>
      <c r="J101" s="20">
        <f>SUBTOTAL(3,J93:J100)</f>
        <v>8</v>
      </c>
      <c r="K101" s="13">
        <f>SUBTOTAL(3,K93:K100)</f>
        <v>8</v>
      </c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27"/>
      <c r="AA101" s="29"/>
      <c r="AK101" s="25"/>
      <c r="AL101" s="13"/>
      <c r="AQ101" s="116"/>
      <c r="AR101" s="123"/>
      <c r="AS101" s="123"/>
      <c r="AT101" s="123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25"/>
      <c r="BJ101" s="13"/>
      <c r="BM101" s="114"/>
    </row>
    <row r="102" spans="1:65" ht="20.100000000000001" customHeight="1" x14ac:dyDescent="0.4">
      <c r="A102" s="117"/>
      <c r="B102" s="123"/>
      <c r="C102" s="123"/>
      <c r="D102" s="123"/>
      <c r="J102" s="25">
        <v>45943</v>
      </c>
      <c r="K102" s="15" t="s">
        <v>147</v>
      </c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27"/>
      <c r="AA102" s="29"/>
      <c r="AK102" s="25"/>
      <c r="AL102" s="13"/>
      <c r="AQ102" s="116"/>
      <c r="AR102" s="123"/>
      <c r="AS102" s="123"/>
      <c r="AT102" s="123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25"/>
      <c r="BJ102" s="13"/>
      <c r="BM102" s="114"/>
    </row>
    <row r="103" spans="1:65" ht="20.100000000000001" customHeight="1" x14ac:dyDescent="0.4">
      <c r="A103" s="117"/>
      <c r="B103" s="123"/>
      <c r="C103" s="123"/>
      <c r="D103" s="123"/>
      <c r="J103" s="25">
        <v>45943</v>
      </c>
      <c r="K103" s="15" t="s">
        <v>146</v>
      </c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27"/>
      <c r="AA103" s="29"/>
      <c r="AK103" s="25"/>
      <c r="AL103" s="13"/>
      <c r="AQ103" s="116"/>
      <c r="AR103" s="123"/>
      <c r="AS103" s="123"/>
      <c r="AT103" s="123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25"/>
      <c r="BJ103" s="13"/>
      <c r="BM103" s="114"/>
    </row>
    <row r="104" spans="1:65" ht="20.100000000000001" customHeight="1" x14ac:dyDescent="0.4">
      <c r="A104" s="117"/>
      <c r="B104" s="123"/>
      <c r="C104" s="123"/>
      <c r="D104" s="123"/>
      <c r="J104" s="25">
        <v>45943</v>
      </c>
      <c r="K104" s="15" t="s">
        <v>146</v>
      </c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27"/>
      <c r="AA104" s="29"/>
      <c r="AK104" s="25"/>
      <c r="AL104" s="13"/>
      <c r="AQ104" s="116"/>
      <c r="AR104" s="123"/>
      <c r="AS104" s="123"/>
      <c r="AT104" s="123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25"/>
      <c r="BJ104" s="13"/>
      <c r="BM104" s="114"/>
    </row>
    <row r="105" spans="1:65" ht="20.100000000000001" customHeight="1" x14ac:dyDescent="0.4">
      <c r="A105" s="117"/>
      <c r="B105" s="123"/>
      <c r="C105" s="123"/>
      <c r="D105" s="123"/>
      <c r="H105" s="115"/>
      <c r="I105" s="115"/>
      <c r="J105" s="25">
        <v>45943</v>
      </c>
      <c r="K105" s="15" t="s">
        <v>147</v>
      </c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27"/>
      <c r="AA105" s="29"/>
      <c r="AK105" s="25"/>
      <c r="AL105" s="13"/>
      <c r="AQ105" s="116"/>
      <c r="AR105" s="123"/>
      <c r="AS105" s="123"/>
      <c r="AT105" s="123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25"/>
      <c r="BJ105" s="13"/>
      <c r="BM105" s="114"/>
    </row>
    <row r="106" spans="1:65" ht="20.100000000000001" customHeight="1" x14ac:dyDescent="0.4">
      <c r="A106" s="117"/>
      <c r="B106" s="123"/>
      <c r="C106" s="123"/>
      <c r="D106" s="123"/>
      <c r="J106" s="25">
        <v>45943</v>
      </c>
      <c r="K106" s="15" t="s">
        <v>307</v>
      </c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29"/>
      <c r="AA106" s="29"/>
      <c r="AK106" s="25"/>
      <c r="AL106" s="13"/>
      <c r="AQ106" s="116"/>
      <c r="AR106" s="123"/>
      <c r="AS106" s="123"/>
      <c r="AT106" s="123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25"/>
      <c r="BJ106" s="13"/>
      <c r="BM106" s="114"/>
    </row>
    <row r="107" spans="1:65" ht="20.100000000000001" customHeight="1" x14ac:dyDescent="0.4">
      <c r="A107" s="117"/>
      <c r="B107" s="123"/>
      <c r="C107" s="123"/>
      <c r="D107" s="123"/>
      <c r="J107" s="25">
        <v>45943</v>
      </c>
      <c r="K107" s="15" t="s">
        <v>146</v>
      </c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27"/>
      <c r="AA107" s="29"/>
      <c r="AK107" s="25"/>
      <c r="AL107" s="13"/>
      <c r="AQ107" s="116"/>
      <c r="AR107" s="123"/>
      <c r="AS107" s="123"/>
      <c r="AT107" s="123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25"/>
      <c r="BJ107" s="13"/>
      <c r="BM107" s="114"/>
    </row>
    <row r="108" spans="1:65" ht="20.100000000000001" customHeight="1" x14ac:dyDescent="0.4">
      <c r="A108" s="117"/>
      <c r="B108" s="123"/>
      <c r="C108" s="123"/>
      <c r="D108" s="123"/>
      <c r="J108" s="25">
        <v>45943</v>
      </c>
      <c r="K108" s="15" t="s">
        <v>142</v>
      </c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27"/>
      <c r="AA108" s="29"/>
      <c r="AK108" s="25"/>
      <c r="AL108" s="13"/>
      <c r="AQ108" s="116"/>
      <c r="AR108" s="123"/>
      <c r="AS108" s="123"/>
      <c r="AT108" s="123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25"/>
      <c r="BJ108" s="13"/>
      <c r="BM108" s="114"/>
    </row>
    <row r="109" spans="1:65" ht="20.100000000000001" customHeight="1" x14ac:dyDescent="0.4">
      <c r="A109" s="117"/>
      <c r="B109" s="123"/>
      <c r="C109" s="123"/>
      <c r="D109" s="123"/>
      <c r="H109" s="115"/>
      <c r="I109" s="115"/>
      <c r="J109" s="25">
        <v>45943</v>
      </c>
      <c r="K109" s="15" t="s">
        <v>146</v>
      </c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27"/>
      <c r="AA109" s="29"/>
      <c r="AK109" s="25"/>
      <c r="AL109" s="13"/>
      <c r="AQ109" s="116"/>
      <c r="AR109" s="123"/>
      <c r="AS109" s="123"/>
      <c r="AT109" s="123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25"/>
      <c r="BJ109" s="13"/>
      <c r="BM109" s="114"/>
    </row>
    <row r="110" spans="1:65" ht="20.100000000000001" customHeight="1" x14ac:dyDescent="0.4">
      <c r="A110" s="117"/>
      <c r="B110" s="123"/>
      <c r="C110" s="123"/>
      <c r="D110" s="123"/>
      <c r="J110" s="25">
        <v>45943</v>
      </c>
      <c r="K110" s="15" t="s">
        <v>146</v>
      </c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27"/>
      <c r="AA110" s="29"/>
      <c r="AK110" s="25"/>
      <c r="AL110" s="13"/>
      <c r="AQ110" s="116"/>
      <c r="AR110" s="123"/>
      <c r="AS110" s="123"/>
      <c r="AT110" s="123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25"/>
      <c r="BJ110" s="13"/>
      <c r="BM110" s="114"/>
    </row>
    <row r="111" spans="1:65" ht="20.100000000000001" customHeight="1" x14ac:dyDescent="0.4">
      <c r="A111" s="117"/>
      <c r="B111" s="123"/>
      <c r="C111" s="123"/>
      <c r="D111" s="123"/>
      <c r="J111" s="25">
        <v>45943</v>
      </c>
      <c r="K111" s="15" t="s">
        <v>146</v>
      </c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27"/>
      <c r="AA111" s="29"/>
      <c r="AK111" s="25"/>
      <c r="AL111" s="13"/>
      <c r="AQ111" s="116"/>
      <c r="AR111" s="123"/>
      <c r="AS111" s="123"/>
      <c r="AT111" s="123"/>
      <c r="AY111" s="115"/>
      <c r="AZ111" s="115"/>
      <c r="BA111" s="115"/>
      <c r="BB111" s="115"/>
      <c r="BC111" s="115"/>
      <c r="BD111" s="115"/>
      <c r="BE111" s="115"/>
      <c r="BF111" s="115"/>
      <c r="BG111" s="115"/>
      <c r="BH111" s="115"/>
      <c r="BI111" s="25"/>
      <c r="BJ111" s="13"/>
      <c r="BM111" s="114"/>
    </row>
    <row r="112" spans="1:65" ht="20.100000000000001" customHeight="1" x14ac:dyDescent="0.4">
      <c r="A112" s="117"/>
      <c r="B112" s="123"/>
      <c r="C112" s="123"/>
      <c r="D112" s="123"/>
      <c r="H112" s="115"/>
      <c r="I112" s="115"/>
      <c r="J112" s="25">
        <v>45943</v>
      </c>
      <c r="K112" s="15" t="s">
        <v>148</v>
      </c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27"/>
      <c r="AA112" s="29"/>
      <c r="AK112" s="25"/>
      <c r="AL112" s="13"/>
      <c r="AQ112" s="116"/>
      <c r="AR112" s="123"/>
      <c r="AS112" s="123"/>
      <c r="AT112" s="123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25"/>
      <c r="BJ112" s="13"/>
      <c r="BM112" s="114"/>
    </row>
    <row r="113" spans="1:65" ht="20.100000000000001" customHeight="1" x14ac:dyDescent="0.4">
      <c r="A113" s="117"/>
      <c r="B113" s="123"/>
      <c r="C113" s="123"/>
      <c r="D113" s="123"/>
      <c r="J113" s="25">
        <v>45943</v>
      </c>
      <c r="K113" s="15" t="s">
        <v>146</v>
      </c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27"/>
      <c r="AA113" s="29"/>
      <c r="AK113" s="25"/>
      <c r="AL113" s="13"/>
      <c r="AQ113" s="116"/>
      <c r="AR113" s="123"/>
      <c r="AS113" s="123"/>
      <c r="AT113" s="123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25"/>
      <c r="BJ113" s="13"/>
      <c r="BM113" s="114"/>
    </row>
    <row r="114" spans="1:65" ht="20.100000000000001" customHeight="1" x14ac:dyDescent="0.4">
      <c r="A114" s="117"/>
      <c r="B114" s="123"/>
      <c r="C114" s="123"/>
      <c r="D114" s="123"/>
      <c r="H114" s="115"/>
      <c r="I114" s="115"/>
      <c r="J114" s="25">
        <v>45943</v>
      </c>
      <c r="K114" s="15" t="s">
        <v>146</v>
      </c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27"/>
      <c r="AA114" s="29"/>
      <c r="AK114" s="25"/>
      <c r="AL114" s="13"/>
      <c r="AQ114" s="116"/>
      <c r="AR114" s="123"/>
      <c r="AS114" s="123"/>
      <c r="AT114" s="123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25"/>
      <c r="BJ114" s="13"/>
      <c r="BM114" s="114"/>
    </row>
    <row r="115" spans="1:65" ht="20.100000000000001" customHeight="1" x14ac:dyDescent="0.4">
      <c r="A115" s="117"/>
      <c r="B115" s="123"/>
      <c r="C115" s="123"/>
      <c r="D115" s="123"/>
      <c r="J115" s="25">
        <v>45943</v>
      </c>
      <c r="K115" s="15" t="s">
        <v>146</v>
      </c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27"/>
      <c r="AA115" s="29"/>
      <c r="AK115" s="25"/>
      <c r="AL115" s="13"/>
      <c r="AQ115" s="116"/>
      <c r="AR115" s="123"/>
      <c r="AS115" s="123"/>
      <c r="AT115" s="123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25"/>
      <c r="BJ115" s="13"/>
      <c r="BM115" s="114"/>
    </row>
    <row r="116" spans="1:65" ht="20.100000000000001" customHeight="1" x14ac:dyDescent="0.4">
      <c r="A116" s="117"/>
      <c r="B116" s="123"/>
      <c r="C116" s="123"/>
      <c r="D116" s="123"/>
      <c r="I116" s="115" t="s">
        <v>206</v>
      </c>
      <c r="J116" s="13">
        <f>SUBTOTAL(3,J102:J115)</f>
        <v>14</v>
      </c>
      <c r="K116" s="15">
        <f>SUBTOTAL(3,K102:K115)</f>
        <v>14</v>
      </c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27"/>
      <c r="AA116" s="29"/>
      <c r="AK116" s="25"/>
      <c r="AL116" s="13"/>
      <c r="AQ116" s="116"/>
      <c r="AR116" s="123"/>
      <c r="AS116" s="123"/>
      <c r="AT116" s="123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25"/>
      <c r="BJ116" s="13"/>
      <c r="BM116" s="114"/>
    </row>
    <row r="117" spans="1:65" ht="20.100000000000001" customHeight="1" x14ac:dyDescent="0.4">
      <c r="A117" s="117"/>
      <c r="B117" s="123"/>
      <c r="C117" s="123"/>
      <c r="D117" s="123"/>
      <c r="H117" s="115"/>
      <c r="I117" s="115"/>
      <c r="J117" s="25">
        <v>45944</v>
      </c>
      <c r="K117" s="15" t="s">
        <v>147</v>
      </c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27"/>
      <c r="AA117" s="29"/>
      <c r="AK117" s="25"/>
      <c r="AL117" s="13"/>
      <c r="AQ117" s="116"/>
      <c r="AR117" s="123"/>
      <c r="AS117" s="123"/>
      <c r="AT117" s="123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25"/>
      <c r="BJ117" s="13"/>
      <c r="BM117" s="114"/>
    </row>
    <row r="118" spans="1:65" ht="20.100000000000001" customHeight="1" x14ac:dyDescent="0.4">
      <c r="A118" s="117"/>
      <c r="B118" s="123"/>
      <c r="C118" s="123"/>
      <c r="D118" s="123"/>
      <c r="G118" s="115"/>
      <c r="H118" s="115"/>
      <c r="I118" s="115"/>
      <c r="J118" s="25">
        <v>45944</v>
      </c>
      <c r="K118" s="15" t="s">
        <v>148</v>
      </c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27"/>
      <c r="AA118" s="29"/>
      <c r="AK118" s="25"/>
      <c r="AL118" s="13"/>
      <c r="AQ118" s="116"/>
      <c r="AR118" s="123"/>
      <c r="AS118" s="123"/>
      <c r="AT118" s="123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25"/>
      <c r="BJ118" s="13"/>
      <c r="BM118" s="114"/>
    </row>
    <row r="119" spans="1:65" ht="20.100000000000001" customHeight="1" x14ac:dyDescent="0.4">
      <c r="A119" s="117"/>
      <c r="B119" s="123"/>
      <c r="C119" s="123"/>
      <c r="D119" s="123"/>
      <c r="J119" s="25">
        <v>45944</v>
      </c>
      <c r="K119" s="15" t="s">
        <v>148</v>
      </c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27"/>
      <c r="AA119" s="29"/>
      <c r="AK119" s="25"/>
      <c r="AL119" s="13"/>
      <c r="AQ119" s="116"/>
      <c r="AR119" s="123"/>
      <c r="AS119" s="123"/>
      <c r="AT119" s="123"/>
      <c r="AY119" s="115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25"/>
      <c r="BJ119" s="13"/>
      <c r="BM119" s="114"/>
    </row>
    <row r="120" spans="1:65" ht="20.100000000000001" customHeight="1" x14ac:dyDescent="0.4">
      <c r="A120" s="117"/>
      <c r="B120" s="123"/>
      <c r="C120" s="123"/>
      <c r="D120" s="123"/>
      <c r="J120" s="25">
        <v>45944</v>
      </c>
      <c r="K120" s="15" t="s">
        <v>147</v>
      </c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29"/>
      <c r="AA120" s="29"/>
      <c r="AK120" s="25"/>
      <c r="AL120" s="13"/>
      <c r="AQ120" s="116"/>
      <c r="AR120" s="123"/>
      <c r="AS120" s="123"/>
      <c r="AT120" s="123"/>
      <c r="AY120" s="115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25"/>
      <c r="BJ120" s="13"/>
      <c r="BM120" s="114"/>
    </row>
    <row r="121" spans="1:65" ht="20.100000000000001" customHeight="1" x14ac:dyDescent="0.4">
      <c r="A121" s="117"/>
      <c r="B121" s="123"/>
      <c r="C121" s="123"/>
      <c r="D121" s="123"/>
      <c r="J121" s="25">
        <v>45944</v>
      </c>
      <c r="K121" s="15" t="s">
        <v>147</v>
      </c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27"/>
      <c r="AA121" s="29"/>
      <c r="AK121" s="25"/>
      <c r="AL121" s="13"/>
      <c r="AQ121" s="116"/>
      <c r="AR121" s="123"/>
      <c r="AS121" s="123"/>
      <c r="AT121" s="123"/>
      <c r="AY121" s="115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25"/>
      <c r="BJ121" s="13"/>
      <c r="BM121" s="114"/>
    </row>
    <row r="122" spans="1:65" ht="20.100000000000001" customHeight="1" x14ac:dyDescent="0.4">
      <c r="A122" s="117"/>
      <c r="B122" s="123"/>
      <c r="C122" s="123"/>
      <c r="D122" s="123"/>
      <c r="J122" s="25">
        <v>45944</v>
      </c>
      <c r="K122" s="15" t="s">
        <v>147</v>
      </c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27"/>
      <c r="AA122" s="29"/>
      <c r="AK122" s="25"/>
      <c r="AL122" s="13"/>
      <c r="AQ122" s="116"/>
      <c r="AR122" s="123"/>
      <c r="AS122" s="123"/>
      <c r="AT122" s="123"/>
      <c r="AY122" s="115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25"/>
      <c r="BJ122" s="13"/>
      <c r="BM122" s="114"/>
    </row>
    <row r="123" spans="1:65" ht="20.100000000000001" customHeight="1" x14ac:dyDescent="0.4">
      <c r="A123" s="117"/>
      <c r="B123" s="123"/>
      <c r="C123" s="123"/>
      <c r="D123" s="123"/>
      <c r="I123" s="115" t="s">
        <v>360</v>
      </c>
      <c r="J123" s="13">
        <f>SUBTOTAL(3,J117:J122)</f>
        <v>6</v>
      </c>
      <c r="K123" s="15">
        <f>SUBTOTAL(3,K117:K122)</f>
        <v>6</v>
      </c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27"/>
      <c r="AA123" s="29"/>
      <c r="AK123" s="25"/>
      <c r="AL123" s="13"/>
      <c r="AQ123" s="116"/>
      <c r="AR123" s="123"/>
      <c r="AS123" s="123"/>
      <c r="AT123" s="123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25"/>
      <c r="BJ123" s="13"/>
      <c r="BM123" s="114"/>
    </row>
    <row r="124" spans="1:65" ht="20.100000000000001" customHeight="1" x14ac:dyDescent="0.4">
      <c r="A124" s="117"/>
      <c r="B124" s="123"/>
      <c r="C124" s="123"/>
      <c r="D124" s="123"/>
      <c r="J124" s="25">
        <v>45945</v>
      </c>
      <c r="K124" s="15" t="s">
        <v>142</v>
      </c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27"/>
      <c r="AA124" s="29"/>
      <c r="AK124" s="25"/>
      <c r="AL124" s="13"/>
      <c r="AQ124" s="116"/>
      <c r="AR124" s="123"/>
      <c r="AS124" s="123"/>
      <c r="AT124" s="123"/>
      <c r="AY124" s="115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25"/>
      <c r="BJ124" s="13"/>
      <c r="BM124" s="114"/>
    </row>
    <row r="125" spans="1:65" ht="20.100000000000001" customHeight="1" x14ac:dyDescent="0.4">
      <c r="A125" s="117"/>
      <c r="B125" s="123"/>
      <c r="C125" s="123"/>
      <c r="D125" s="123"/>
      <c r="J125" s="25">
        <v>45945</v>
      </c>
      <c r="K125" s="13" t="s">
        <v>147</v>
      </c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27"/>
      <c r="AA125" s="29"/>
      <c r="AK125" s="25"/>
      <c r="AL125" s="13"/>
      <c r="AQ125" s="116"/>
      <c r="AR125" s="123"/>
      <c r="AS125" s="123"/>
      <c r="AT125" s="123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25"/>
      <c r="BJ125" s="13"/>
      <c r="BM125" s="114"/>
    </row>
    <row r="126" spans="1:65" ht="20.100000000000001" customHeight="1" x14ac:dyDescent="0.4">
      <c r="A126" s="117"/>
      <c r="B126" s="123"/>
      <c r="C126" s="123"/>
      <c r="D126" s="123"/>
      <c r="H126" s="115"/>
      <c r="I126" s="115"/>
      <c r="J126" s="25">
        <v>45945</v>
      </c>
      <c r="K126" s="13" t="s">
        <v>147</v>
      </c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27"/>
      <c r="AA126" s="29"/>
      <c r="AK126" s="25"/>
      <c r="AL126" s="13"/>
      <c r="AQ126" s="116"/>
      <c r="AR126" s="123"/>
      <c r="AS126" s="123"/>
      <c r="AT126" s="123"/>
      <c r="AY126" s="115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25"/>
      <c r="BJ126" s="13"/>
      <c r="BM126" s="114"/>
    </row>
    <row r="127" spans="1:65" ht="20.100000000000001" customHeight="1" x14ac:dyDescent="0.4">
      <c r="A127" s="117"/>
      <c r="B127" s="123"/>
      <c r="C127" s="123"/>
      <c r="D127" s="123"/>
      <c r="H127" s="115"/>
      <c r="I127" s="115" t="s">
        <v>361</v>
      </c>
      <c r="J127" s="13">
        <f>SUBTOTAL(3,J124:J126)</f>
        <v>3</v>
      </c>
      <c r="K127" s="13">
        <f>SUBTOTAL(3,K124:K126)</f>
        <v>3</v>
      </c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27"/>
      <c r="AA127" s="29"/>
      <c r="AK127" s="25"/>
      <c r="AL127" s="13"/>
      <c r="AQ127" s="116"/>
      <c r="AR127" s="123"/>
      <c r="AS127" s="123"/>
      <c r="AT127" s="123"/>
      <c r="AY127" s="115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25"/>
      <c r="BJ127" s="13"/>
      <c r="BM127" s="114"/>
    </row>
    <row r="128" spans="1:65" ht="20.100000000000001" customHeight="1" x14ac:dyDescent="0.4">
      <c r="A128" s="117"/>
      <c r="B128" s="123"/>
      <c r="C128" s="123"/>
      <c r="D128" s="123"/>
      <c r="J128" s="25">
        <v>45946</v>
      </c>
      <c r="K128" s="13" t="s">
        <v>148</v>
      </c>
      <c r="Z128" s="127"/>
      <c r="AA128" s="29"/>
      <c r="AK128" s="25"/>
      <c r="AL128" s="13"/>
      <c r="AQ128" s="116"/>
      <c r="AR128" s="123"/>
      <c r="AS128" s="123"/>
      <c r="AT128" s="123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25"/>
      <c r="BJ128" s="13"/>
      <c r="BM128" s="114"/>
    </row>
    <row r="129" spans="1:65" ht="20.100000000000001" customHeight="1" x14ac:dyDescent="0.4">
      <c r="A129" s="117"/>
      <c r="B129" s="123"/>
      <c r="C129" s="123"/>
      <c r="D129" s="123"/>
      <c r="J129" s="25">
        <v>45946</v>
      </c>
      <c r="K129" s="13" t="s">
        <v>148</v>
      </c>
      <c r="X129" s="115"/>
      <c r="Y129" s="115"/>
      <c r="Z129" s="127"/>
      <c r="AA129" s="29"/>
      <c r="AK129" s="25"/>
      <c r="AL129" s="13"/>
      <c r="AQ129" s="116"/>
      <c r="AR129" s="123"/>
      <c r="AS129" s="123"/>
      <c r="AT129" s="123"/>
      <c r="AY129" s="115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25"/>
      <c r="BJ129" s="13"/>
      <c r="BM129" s="114"/>
    </row>
    <row r="130" spans="1:65" ht="20.100000000000001" customHeight="1" x14ac:dyDescent="0.4">
      <c r="A130" s="117"/>
      <c r="B130" s="123"/>
      <c r="C130" s="123"/>
      <c r="D130" s="123"/>
      <c r="J130" s="25">
        <v>45946</v>
      </c>
      <c r="K130" s="13" t="s">
        <v>147</v>
      </c>
      <c r="S130" s="115"/>
      <c r="T130" s="115"/>
      <c r="U130" s="115"/>
      <c r="V130" s="115"/>
      <c r="W130" s="115"/>
      <c r="X130" s="115"/>
      <c r="Y130" s="115"/>
      <c r="Z130" s="127"/>
      <c r="AA130" s="29"/>
      <c r="AK130" s="25"/>
      <c r="AL130" s="13"/>
      <c r="AQ130" s="116"/>
      <c r="AR130" s="123"/>
      <c r="AS130" s="123"/>
      <c r="AT130" s="123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25"/>
      <c r="BJ130" s="13"/>
      <c r="BM130" s="114"/>
    </row>
    <row r="131" spans="1:65" ht="20.100000000000001" customHeight="1" x14ac:dyDescent="0.4">
      <c r="A131" s="117"/>
      <c r="B131" s="123"/>
      <c r="C131" s="123"/>
      <c r="D131" s="123"/>
      <c r="J131" s="25">
        <v>45946</v>
      </c>
      <c r="K131" s="133" t="s">
        <v>142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27"/>
      <c r="AA131" s="29"/>
      <c r="AK131" s="25"/>
      <c r="AL131" s="13"/>
      <c r="AQ131" s="116"/>
      <c r="AR131" s="123"/>
      <c r="AS131" s="123"/>
      <c r="AT131" s="123"/>
      <c r="AY131" s="115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25"/>
      <c r="BJ131" s="13"/>
      <c r="BM131" s="114"/>
    </row>
    <row r="132" spans="1:65" ht="20.100000000000001" customHeight="1" x14ac:dyDescent="0.4">
      <c r="A132" s="117"/>
      <c r="B132" s="123"/>
      <c r="C132" s="123"/>
      <c r="D132" s="123"/>
      <c r="J132" s="25">
        <v>45946</v>
      </c>
      <c r="K132" s="13" t="s">
        <v>147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27"/>
      <c r="AA132" s="29"/>
      <c r="AK132" s="25"/>
      <c r="AL132" s="13"/>
      <c r="AQ132" s="116"/>
      <c r="AR132" s="123"/>
      <c r="AS132" s="123"/>
      <c r="AT132" s="123"/>
      <c r="AY132" s="115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25"/>
      <c r="BJ132" s="13"/>
      <c r="BM132" s="114"/>
    </row>
    <row r="133" spans="1:65" ht="20.100000000000001" customHeight="1" x14ac:dyDescent="0.4">
      <c r="A133" s="117"/>
      <c r="B133" s="123"/>
      <c r="C133" s="123"/>
      <c r="D133" s="123"/>
      <c r="J133" s="25">
        <v>45946</v>
      </c>
      <c r="K133" s="13" t="s">
        <v>147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27"/>
      <c r="AA133" s="29"/>
      <c r="AK133" s="25"/>
      <c r="AL133" s="13"/>
      <c r="AQ133" s="116"/>
      <c r="AR133" s="123"/>
      <c r="AS133" s="123"/>
      <c r="AT133" s="123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25"/>
      <c r="BJ133" s="13"/>
      <c r="BM133" s="114"/>
    </row>
    <row r="134" spans="1:65" ht="20.100000000000001" customHeight="1" x14ac:dyDescent="0.4">
      <c r="A134" s="117"/>
      <c r="B134" s="123"/>
      <c r="C134" s="123"/>
      <c r="D134" s="123"/>
      <c r="I134" s="115" t="s">
        <v>196</v>
      </c>
      <c r="J134" s="13">
        <f>SUBTOTAL(3,J128:J133)</f>
        <v>6</v>
      </c>
      <c r="K134" s="13">
        <f>SUBTOTAL(3,K128:K133)</f>
        <v>6</v>
      </c>
      <c r="Q134" s="115"/>
      <c r="R134" s="115"/>
      <c r="S134" s="115"/>
      <c r="T134" s="115"/>
      <c r="U134" s="115"/>
      <c r="V134" s="115"/>
      <c r="W134" s="115"/>
      <c r="X134" s="115"/>
      <c r="Y134" s="115"/>
      <c r="Z134" s="127"/>
      <c r="AA134" s="29"/>
      <c r="AK134" s="25"/>
      <c r="AL134" s="13"/>
      <c r="AQ134" s="116"/>
      <c r="AR134" s="123"/>
      <c r="AS134" s="123"/>
      <c r="AT134" s="123"/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25"/>
      <c r="BJ134" s="13"/>
      <c r="BM134" s="114"/>
    </row>
    <row r="135" spans="1:65" ht="20.100000000000001" customHeight="1" x14ac:dyDescent="0.4">
      <c r="A135" s="117"/>
      <c r="B135" s="123"/>
      <c r="C135" s="123"/>
      <c r="D135" s="123"/>
      <c r="J135" s="25">
        <v>45948</v>
      </c>
      <c r="K135" s="13" t="s">
        <v>142</v>
      </c>
      <c r="Q135" s="115"/>
      <c r="R135" s="115"/>
      <c r="S135" s="115"/>
      <c r="T135" s="115"/>
      <c r="U135" s="115"/>
      <c r="V135" s="115"/>
      <c r="W135" s="115"/>
      <c r="X135" s="115"/>
      <c r="Y135" s="115"/>
      <c r="Z135" s="127"/>
      <c r="AA135" s="29"/>
      <c r="AK135" s="25"/>
      <c r="AL135" s="13"/>
      <c r="AQ135" s="116"/>
      <c r="AR135" s="123"/>
      <c r="AS135" s="123"/>
      <c r="AT135" s="123"/>
      <c r="AY135" s="115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25"/>
      <c r="BJ135" s="13"/>
      <c r="BM135" s="114"/>
    </row>
    <row r="136" spans="1:65" ht="20.100000000000001" customHeight="1" x14ac:dyDescent="0.4">
      <c r="A136" s="117"/>
      <c r="B136" s="123"/>
      <c r="C136" s="123"/>
      <c r="D136" s="123"/>
      <c r="J136" s="25">
        <v>45948</v>
      </c>
      <c r="K136" s="13" t="s">
        <v>146</v>
      </c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27"/>
      <c r="AA136" s="29"/>
      <c r="AK136" s="25"/>
      <c r="AL136" s="13"/>
      <c r="AQ136" s="116"/>
      <c r="AR136" s="123"/>
      <c r="AS136" s="123"/>
      <c r="AT136" s="123"/>
      <c r="AY136" s="115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25"/>
      <c r="BJ136" s="13"/>
      <c r="BM136" s="114"/>
    </row>
    <row r="137" spans="1:65" ht="20.100000000000001" customHeight="1" x14ac:dyDescent="0.4">
      <c r="A137" s="117"/>
      <c r="B137" s="123"/>
      <c r="C137" s="123"/>
      <c r="D137" s="123"/>
      <c r="J137" s="25">
        <v>45948</v>
      </c>
      <c r="K137" s="13" t="s">
        <v>146</v>
      </c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29"/>
      <c r="AA137" s="29"/>
      <c r="AK137" s="25"/>
      <c r="AL137" s="13"/>
      <c r="AQ137" s="116"/>
      <c r="AR137" s="123"/>
      <c r="AS137" s="123"/>
      <c r="AT137" s="123"/>
      <c r="AY137" s="115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25"/>
      <c r="BJ137" s="13"/>
      <c r="BM137" s="114"/>
    </row>
    <row r="138" spans="1:65" ht="20.100000000000001" customHeight="1" x14ac:dyDescent="0.4">
      <c r="A138" s="117"/>
      <c r="B138" s="123"/>
      <c r="C138" s="123"/>
      <c r="D138" s="123"/>
      <c r="J138" s="25">
        <v>45948</v>
      </c>
      <c r="K138" s="13" t="s">
        <v>146</v>
      </c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27"/>
      <c r="AA138" s="29"/>
      <c r="AK138" s="25"/>
      <c r="AL138" s="13"/>
      <c r="AQ138" s="116"/>
      <c r="AR138" s="123"/>
      <c r="AS138" s="123"/>
      <c r="AT138" s="123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25"/>
      <c r="BJ138" s="13"/>
      <c r="BM138" s="114"/>
    </row>
    <row r="139" spans="1:65" ht="20.100000000000001" customHeight="1" x14ac:dyDescent="0.4">
      <c r="A139" s="117"/>
      <c r="B139" s="123"/>
      <c r="C139" s="123"/>
      <c r="D139" s="123"/>
      <c r="J139" s="25">
        <v>45948</v>
      </c>
      <c r="K139" s="13" t="s">
        <v>146</v>
      </c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29"/>
      <c r="AA139" s="29"/>
      <c r="AK139" s="25"/>
      <c r="AL139" s="13"/>
      <c r="AQ139" s="116"/>
      <c r="AR139" s="123"/>
      <c r="AS139" s="123"/>
      <c r="AT139" s="123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25"/>
      <c r="BJ139" s="13"/>
      <c r="BM139" s="114"/>
    </row>
    <row r="140" spans="1:65" ht="20.100000000000001" customHeight="1" x14ac:dyDescent="0.4">
      <c r="A140" s="117"/>
      <c r="B140" s="123"/>
      <c r="C140" s="123"/>
      <c r="D140" s="123"/>
      <c r="I140" s="115" t="s">
        <v>362</v>
      </c>
      <c r="J140" s="13">
        <f>SUBTOTAL(3,J135:J139)</f>
        <v>5</v>
      </c>
      <c r="K140" s="13">
        <f>SUBTOTAL(3,K135:K139)</f>
        <v>5</v>
      </c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29"/>
      <c r="AA140" s="29"/>
      <c r="AK140" s="25"/>
      <c r="AL140" s="13"/>
      <c r="AQ140" s="116"/>
      <c r="AR140" s="123"/>
      <c r="AS140" s="123"/>
      <c r="AT140" s="123"/>
      <c r="AY140" s="115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25"/>
      <c r="BJ140" s="13"/>
      <c r="BM140" s="114"/>
    </row>
    <row r="141" spans="1:65" ht="20.100000000000001" customHeight="1" x14ac:dyDescent="0.4">
      <c r="A141" s="117"/>
      <c r="B141" s="123"/>
      <c r="C141" s="123"/>
      <c r="D141" s="123"/>
      <c r="J141" s="25">
        <v>45949</v>
      </c>
      <c r="K141" s="13" t="s">
        <v>146</v>
      </c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27"/>
      <c r="AA141" s="29"/>
      <c r="AK141" s="25"/>
      <c r="AL141" s="13"/>
      <c r="AQ141" s="116"/>
      <c r="AR141" s="123"/>
      <c r="AS141" s="123"/>
      <c r="AT141" s="123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25"/>
      <c r="BJ141" s="13"/>
      <c r="BM141" s="114"/>
    </row>
    <row r="142" spans="1:65" ht="20.100000000000001" customHeight="1" x14ac:dyDescent="0.4">
      <c r="A142" s="117"/>
      <c r="B142" s="123"/>
      <c r="C142" s="123"/>
      <c r="D142" s="123"/>
      <c r="I142" s="115" t="s">
        <v>363</v>
      </c>
      <c r="J142" s="13">
        <f>SUBTOTAL(3,J141:J141)</f>
        <v>1</v>
      </c>
      <c r="K142" s="13">
        <f>SUBTOTAL(3,K141:K141)</f>
        <v>1</v>
      </c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27"/>
      <c r="AA142" s="29"/>
      <c r="AK142" s="25"/>
      <c r="AL142" s="13"/>
      <c r="AQ142" s="116"/>
      <c r="AR142" s="123"/>
      <c r="AS142" s="123"/>
      <c r="AT142" s="123"/>
      <c r="AY142" s="115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25"/>
      <c r="BJ142" s="13"/>
      <c r="BM142" s="114"/>
    </row>
    <row r="143" spans="1:65" ht="20.100000000000001" customHeight="1" x14ac:dyDescent="0.4">
      <c r="A143" s="117"/>
      <c r="B143" s="123"/>
      <c r="C143" s="123"/>
      <c r="D143" s="123"/>
      <c r="J143" s="25">
        <v>45951</v>
      </c>
      <c r="K143" s="13" t="s">
        <v>147</v>
      </c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29"/>
      <c r="AA143" s="29"/>
      <c r="AK143" s="25"/>
      <c r="AL143" s="13"/>
      <c r="AQ143" s="116"/>
      <c r="AR143" s="123"/>
      <c r="AS143" s="123"/>
      <c r="AT143" s="123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25"/>
      <c r="BJ143" s="13"/>
      <c r="BM143" s="114"/>
    </row>
    <row r="144" spans="1:65" ht="20.100000000000001" customHeight="1" x14ac:dyDescent="0.4">
      <c r="A144" s="117"/>
      <c r="B144" s="123"/>
      <c r="C144" s="123"/>
      <c r="D144" s="123"/>
      <c r="J144" s="25">
        <v>45951</v>
      </c>
      <c r="K144" s="13" t="s">
        <v>147</v>
      </c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27"/>
      <c r="AA144" s="29"/>
      <c r="AK144" s="25"/>
      <c r="AL144" s="13"/>
      <c r="AQ144" s="116"/>
      <c r="AR144" s="123"/>
      <c r="AS144" s="123"/>
      <c r="AT144" s="123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25"/>
      <c r="BJ144" s="13"/>
      <c r="BM144" s="114"/>
    </row>
    <row r="145" spans="1:65" ht="20.100000000000001" customHeight="1" x14ac:dyDescent="0.4">
      <c r="A145" s="117"/>
      <c r="B145" s="123"/>
      <c r="C145" s="123"/>
      <c r="D145" s="123"/>
      <c r="J145" s="25">
        <v>45951</v>
      </c>
      <c r="K145" s="13" t="s">
        <v>147</v>
      </c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29"/>
      <c r="AA145" s="29"/>
      <c r="AK145" s="25"/>
      <c r="AL145" s="13"/>
      <c r="AQ145" s="116"/>
      <c r="AR145" s="123"/>
      <c r="AS145" s="123"/>
      <c r="AT145" s="123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25"/>
      <c r="BJ145" s="13"/>
      <c r="BM145" s="114"/>
    </row>
    <row r="146" spans="1:65" ht="20.100000000000001" customHeight="1" x14ac:dyDescent="0.4">
      <c r="A146" s="117"/>
      <c r="B146" s="123"/>
      <c r="C146" s="123"/>
      <c r="D146" s="123"/>
      <c r="I146" s="115" t="s">
        <v>364</v>
      </c>
      <c r="J146" s="13">
        <f>SUBTOTAL(3,J143:J145)</f>
        <v>3</v>
      </c>
      <c r="K146" s="13">
        <f>SUBTOTAL(3,K143:K145)</f>
        <v>3</v>
      </c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29"/>
      <c r="AA146" s="29"/>
      <c r="AK146" s="25"/>
      <c r="AL146" s="13"/>
      <c r="AQ146" s="116"/>
      <c r="AR146" s="123"/>
      <c r="AS146" s="123"/>
      <c r="AT146" s="123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25"/>
      <c r="BJ146" s="13"/>
      <c r="BM146" s="114"/>
    </row>
    <row r="147" spans="1:65" ht="20.100000000000001" customHeight="1" x14ac:dyDescent="0.4">
      <c r="A147" s="117"/>
      <c r="B147" s="123"/>
      <c r="C147" s="123"/>
      <c r="D147" s="123"/>
      <c r="H147" s="115"/>
      <c r="I147" s="115"/>
      <c r="J147" s="25">
        <v>45959</v>
      </c>
      <c r="K147" s="13" t="s">
        <v>146</v>
      </c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29"/>
      <c r="AA147" s="29"/>
      <c r="AK147" s="25"/>
      <c r="AL147" s="13"/>
      <c r="AQ147" s="116"/>
      <c r="AR147" s="123"/>
      <c r="AS147" s="123"/>
      <c r="AT147" s="123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25"/>
      <c r="BJ147" s="13"/>
      <c r="BM147" s="114"/>
    </row>
    <row r="148" spans="1:65" ht="20.100000000000001" customHeight="1" x14ac:dyDescent="0.4">
      <c r="A148" s="117"/>
      <c r="B148" s="123"/>
      <c r="C148" s="123"/>
      <c r="D148" s="123"/>
      <c r="J148" s="25">
        <v>45959</v>
      </c>
      <c r="K148" s="133" t="s">
        <v>146</v>
      </c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27"/>
      <c r="AA148" s="29"/>
      <c r="AK148" s="25"/>
      <c r="AL148" s="13"/>
      <c r="AQ148" s="116"/>
      <c r="AR148" s="123"/>
      <c r="AS148" s="123"/>
      <c r="AT148" s="123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25"/>
      <c r="BJ148" s="13"/>
      <c r="BM148" s="114"/>
    </row>
    <row r="149" spans="1:65" ht="20.100000000000001" customHeight="1" x14ac:dyDescent="0.4">
      <c r="A149" s="117"/>
      <c r="B149" s="123"/>
      <c r="C149" s="123"/>
      <c r="D149" s="123"/>
      <c r="H149" s="115"/>
      <c r="I149" s="115"/>
      <c r="J149" s="25">
        <v>45959</v>
      </c>
      <c r="K149" s="13" t="s">
        <v>146</v>
      </c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27"/>
      <c r="AA149" s="29"/>
      <c r="AK149" s="25"/>
      <c r="AL149" s="13"/>
      <c r="AQ149" s="116"/>
      <c r="AR149" s="123"/>
      <c r="AS149" s="123"/>
      <c r="AT149" s="123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25"/>
      <c r="BJ149" s="13"/>
      <c r="BM149" s="114"/>
    </row>
    <row r="150" spans="1:65" ht="20.100000000000001" customHeight="1" x14ac:dyDescent="0.4">
      <c r="A150" s="117"/>
      <c r="B150" s="123"/>
      <c r="C150" s="123"/>
      <c r="D150" s="123"/>
      <c r="J150" s="25">
        <v>45959</v>
      </c>
      <c r="K150" s="13" t="s">
        <v>146</v>
      </c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27"/>
      <c r="AA150" s="29"/>
      <c r="AK150" s="25"/>
      <c r="AL150" s="13"/>
      <c r="AQ150" s="116"/>
      <c r="AR150" s="123"/>
      <c r="AS150" s="123"/>
      <c r="AT150" s="123"/>
      <c r="AY150" s="115"/>
      <c r="AZ150" s="115"/>
      <c r="BA150" s="115"/>
      <c r="BB150" s="115"/>
      <c r="BC150" s="115"/>
      <c r="BD150" s="115"/>
      <c r="BE150" s="115"/>
      <c r="BF150" s="115"/>
      <c r="BG150" s="115"/>
      <c r="BH150" s="115"/>
      <c r="BI150" s="25"/>
      <c r="BJ150" s="13"/>
      <c r="BM150" s="114"/>
    </row>
    <row r="151" spans="1:65" ht="20.100000000000001" customHeight="1" x14ac:dyDescent="0.4">
      <c r="A151" s="117"/>
      <c r="B151" s="123"/>
      <c r="C151" s="123"/>
      <c r="D151" s="123"/>
      <c r="J151" s="25">
        <v>45959</v>
      </c>
      <c r="K151" s="13" t="s">
        <v>146</v>
      </c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29"/>
      <c r="AA151" s="29"/>
      <c r="AK151" s="25"/>
      <c r="AL151" s="13"/>
      <c r="AQ151" s="116"/>
      <c r="AR151" s="123"/>
      <c r="AS151" s="123"/>
      <c r="AT151" s="123"/>
      <c r="AY151" s="115"/>
      <c r="AZ151" s="115"/>
      <c r="BA151" s="115"/>
      <c r="BB151" s="115"/>
      <c r="BC151" s="115"/>
      <c r="BD151" s="115"/>
      <c r="BE151" s="115"/>
      <c r="BF151" s="115"/>
      <c r="BG151" s="115"/>
      <c r="BH151" s="115"/>
      <c r="BI151" s="25"/>
      <c r="BJ151" s="13"/>
      <c r="BM151" s="114"/>
    </row>
    <row r="152" spans="1:65" ht="20.100000000000001" customHeight="1" x14ac:dyDescent="0.4">
      <c r="A152" s="117"/>
      <c r="B152" s="123"/>
      <c r="C152" s="123"/>
      <c r="D152" s="123"/>
      <c r="I152" s="115" t="s">
        <v>365</v>
      </c>
      <c r="J152" s="13">
        <f>SUBTOTAL(3,J147:J151)</f>
        <v>5</v>
      </c>
      <c r="K152" s="13">
        <f>SUBTOTAL(3,K147:K151)</f>
        <v>5</v>
      </c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29"/>
      <c r="AA152" s="29"/>
      <c r="AK152" s="25"/>
      <c r="AL152" s="13"/>
      <c r="AQ152" s="116"/>
      <c r="AR152" s="123"/>
      <c r="AS152" s="123"/>
      <c r="AT152" s="123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25"/>
      <c r="BJ152" s="13"/>
      <c r="BM152" s="114"/>
    </row>
    <row r="153" spans="1:65" ht="20.100000000000001" customHeight="1" x14ac:dyDescent="0.4">
      <c r="A153" s="117"/>
      <c r="B153" s="123"/>
      <c r="C153" s="123"/>
      <c r="D153" s="123"/>
      <c r="I153" s="115" t="s">
        <v>145</v>
      </c>
      <c r="J153" s="13">
        <f>SUBTOTAL(3,J2:J151)</f>
        <v>127</v>
      </c>
      <c r="K153" s="13">
        <f>SUBTOTAL(3,K2:K151)</f>
        <v>127</v>
      </c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29"/>
      <c r="AA153" s="29"/>
      <c r="AK153" s="25"/>
      <c r="AL153" s="13"/>
      <c r="AQ153" s="116"/>
      <c r="AR153" s="123"/>
      <c r="AS153" s="123"/>
      <c r="AT153" s="123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25"/>
      <c r="BJ153" s="13"/>
      <c r="BM153" s="114"/>
    </row>
    <row r="154" spans="1:65" ht="20.100000000000001" customHeight="1" x14ac:dyDescent="0.4">
      <c r="A154" s="117"/>
      <c r="B154" s="123"/>
      <c r="C154" s="123"/>
      <c r="D154" s="123"/>
      <c r="J154" s="25"/>
      <c r="K154" s="13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27"/>
      <c r="AA154" s="29"/>
      <c r="AK154" s="25"/>
      <c r="AL154" s="13"/>
      <c r="AQ154" s="116"/>
      <c r="AR154" s="123"/>
      <c r="AS154" s="123"/>
      <c r="AT154" s="123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25"/>
      <c r="BJ154" s="13"/>
      <c r="BM154" s="114"/>
    </row>
    <row r="155" spans="1:65" ht="20.100000000000001" customHeight="1" x14ac:dyDescent="0.4">
      <c r="A155" s="117"/>
      <c r="B155" s="123"/>
      <c r="C155" s="123"/>
      <c r="D155" s="123"/>
      <c r="J155" s="25"/>
      <c r="K155" s="13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27"/>
      <c r="AA155" s="29"/>
      <c r="AK155" s="25"/>
      <c r="AL155" s="13"/>
      <c r="AQ155" s="116"/>
      <c r="AR155" s="123"/>
      <c r="AS155" s="123"/>
      <c r="AT155" s="123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25"/>
      <c r="BJ155" s="13"/>
      <c r="BM155" s="114"/>
    </row>
    <row r="156" spans="1:65" ht="20.100000000000001" customHeight="1" x14ac:dyDescent="0.4">
      <c r="A156" s="117"/>
      <c r="B156" s="123"/>
      <c r="C156" s="123"/>
      <c r="D156" s="123"/>
      <c r="J156" s="25"/>
      <c r="K156" s="13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29"/>
      <c r="AA156" s="29"/>
      <c r="AK156" s="25"/>
      <c r="AL156" s="13"/>
      <c r="AQ156" s="116"/>
      <c r="AR156" s="123"/>
      <c r="AS156" s="123"/>
      <c r="AT156" s="123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25"/>
      <c r="BJ156" s="13"/>
      <c r="BM156" s="114"/>
    </row>
    <row r="157" spans="1:65" ht="20.100000000000001" customHeight="1" x14ac:dyDescent="0.4">
      <c r="A157" s="117"/>
      <c r="B157" s="123"/>
      <c r="C157" s="123"/>
      <c r="D157" s="123"/>
      <c r="J157" s="25"/>
      <c r="K157" s="13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27"/>
      <c r="AA157" s="29"/>
      <c r="AK157" s="25"/>
      <c r="AL157" s="13"/>
      <c r="AQ157" s="116"/>
      <c r="AR157" s="123"/>
      <c r="AS157" s="123"/>
      <c r="AT157" s="123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25"/>
      <c r="BJ157" s="13"/>
      <c r="BM157" s="114"/>
    </row>
    <row r="158" spans="1:65" ht="20.100000000000001" customHeight="1" x14ac:dyDescent="0.4">
      <c r="A158" s="117"/>
      <c r="B158" s="123"/>
      <c r="C158" s="123"/>
      <c r="D158" s="123"/>
      <c r="J158" s="25"/>
      <c r="K158" s="13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27"/>
      <c r="AA158" s="29"/>
      <c r="AK158" s="25"/>
      <c r="AL158" s="13"/>
      <c r="AQ158" s="116"/>
      <c r="AR158" s="123"/>
      <c r="AS158" s="123"/>
      <c r="AT158" s="123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25"/>
      <c r="BJ158" s="13"/>
      <c r="BM158" s="114"/>
    </row>
    <row r="159" spans="1:65" ht="20.100000000000001" customHeight="1" x14ac:dyDescent="0.4">
      <c r="A159" s="117"/>
      <c r="B159" s="123"/>
      <c r="C159" s="123"/>
      <c r="D159" s="123"/>
      <c r="J159" s="25"/>
      <c r="K159" s="13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27"/>
      <c r="AA159" s="29"/>
      <c r="AK159" s="25"/>
      <c r="AL159" s="13"/>
      <c r="AQ159" s="116"/>
      <c r="AR159" s="123"/>
      <c r="AS159" s="123"/>
      <c r="AT159" s="123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25"/>
      <c r="BJ159" s="13"/>
      <c r="BM159" s="114"/>
    </row>
    <row r="160" spans="1:65" ht="20.100000000000001" customHeight="1" x14ac:dyDescent="0.4">
      <c r="A160" s="117"/>
      <c r="B160" s="123"/>
      <c r="C160" s="123"/>
      <c r="D160" s="123"/>
      <c r="J160" s="25"/>
      <c r="K160" s="133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29"/>
      <c r="AA160" s="29"/>
      <c r="AK160" s="25"/>
      <c r="AL160" s="13"/>
      <c r="AQ160" s="116"/>
      <c r="AR160" s="123"/>
      <c r="AS160" s="123"/>
      <c r="AT160" s="123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25"/>
      <c r="BJ160" s="13"/>
      <c r="BM160" s="114"/>
    </row>
    <row r="161" spans="1:65" ht="20.100000000000001" customHeight="1" x14ac:dyDescent="0.4">
      <c r="A161" s="117"/>
      <c r="B161" s="123"/>
      <c r="C161" s="123"/>
      <c r="D161" s="123"/>
      <c r="G161" s="115"/>
      <c r="H161" s="115"/>
      <c r="I161" s="115"/>
      <c r="J161" s="26"/>
      <c r="K161" s="13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29"/>
      <c r="AA161" s="29"/>
      <c r="AK161" s="25"/>
      <c r="AL161" s="13"/>
      <c r="AQ161" s="116"/>
      <c r="AR161" s="123"/>
      <c r="AS161" s="123"/>
      <c r="AT161" s="123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25"/>
      <c r="BJ161" s="13"/>
      <c r="BM161" s="114"/>
    </row>
    <row r="162" spans="1:65" ht="20.100000000000001" customHeight="1" x14ac:dyDescent="0.4">
      <c r="A162" s="117"/>
      <c r="B162" s="123"/>
      <c r="C162" s="123"/>
      <c r="D162" s="123"/>
      <c r="J162" s="26"/>
      <c r="K162" s="13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27"/>
      <c r="AA162" s="29"/>
      <c r="AK162" s="25"/>
      <c r="AL162" s="13"/>
      <c r="AQ162" s="116"/>
      <c r="AR162" s="123"/>
      <c r="AS162" s="123"/>
      <c r="AT162" s="123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25"/>
      <c r="BJ162" s="13"/>
      <c r="BM162" s="114"/>
    </row>
    <row r="163" spans="1:65" ht="20.100000000000001" customHeight="1" x14ac:dyDescent="0.4">
      <c r="A163" s="117"/>
      <c r="B163" s="123"/>
      <c r="C163" s="123"/>
      <c r="D163" s="123"/>
      <c r="J163" s="26"/>
      <c r="K163" s="13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29"/>
      <c r="AA163" s="29"/>
      <c r="AK163" s="25"/>
      <c r="AL163" s="13"/>
      <c r="AQ163" s="116"/>
      <c r="AR163" s="123"/>
      <c r="AS163" s="123"/>
      <c r="AT163" s="123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25"/>
      <c r="BJ163" s="13"/>
      <c r="BM163" s="114"/>
    </row>
    <row r="164" spans="1:65" ht="20.100000000000001" customHeight="1" x14ac:dyDescent="0.4">
      <c r="A164" s="117"/>
      <c r="B164" s="123"/>
      <c r="C164" s="123"/>
      <c r="D164" s="123"/>
      <c r="G164" s="115"/>
      <c r="H164" s="115"/>
      <c r="I164" s="115"/>
      <c r="J164" s="26"/>
      <c r="K164" s="13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29"/>
      <c r="AA164" s="29"/>
      <c r="AK164" s="25"/>
      <c r="AL164" s="13"/>
      <c r="AQ164" s="116"/>
      <c r="AR164" s="123"/>
      <c r="AS164" s="123"/>
      <c r="AT164" s="123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25"/>
      <c r="BJ164" s="13"/>
      <c r="BM164" s="114"/>
    </row>
    <row r="165" spans="1:65" ht="20.100000000000001" customHeight="1" x14ac:dyDescent="0.4">
      <c r="A165" s="117"/>
      <c r="B165" s="123"/>
      <c r="C165" s="123"/>
      <c r="D165" s="123"/>
      <c r="J165" s="26"/>
      <c r="K165" s="13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27"/>
      <c r="AA165" s="29"/>
      <c r="AK165" s="25"/>
      <c r="AL165" s="13"/>
      <c r="AQ165" s="116"/>
      <c r="AR165" s="123"/>
      <c r="AS165" s="123"/>
      <c r="AT165" s="123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25"/>
      <c r="BJ165" s="13"/>
      <c r="BM165" s="114"/>
    </row>
    <row r="166" spans="1:65" ht="20.100000000000001" customHeight="1" x14ac:dyDescent="0.4">
      <c r="A166" s="117"/>
      <c r="B166" s="123"/>
      <c r="C166" s="123"/>
      <c r="D166" s="123"/>
      <c r="H166" s="115"/>
      <c r="I166" s="115"/>
      <c r="J166" s="17"/>
      <c r="K166" s="13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27"/>
      <c r="AA166" s="29"/>
      <c r="AK166" s="25"/>
      <c r="AL166" s="13"/>
      <c r="AQ166" s="116"/>
      <c r="AR166" s="123"/>
      <c r="AS166" s="123"/>
      <c r="AT166" s="123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25"/>
      <c r="BJ166" s="13"/>
      <c r="BM166" s="114"/>
    </row>
    <row r="167" spans="1:65" ht="20.100000000000001" customHeight="1" x14ac:dyDescent="0.4">
      <c r="A167" s="117"/>
      <c r="B167" s="123"/>
      <c r="C167" s="123"/>
      <c r="D167" s="123"/>
      <c r="J167" s="26"/>
      <c r="K167" s="13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29"/>
      <c r="AA167" s="29"/>
      <c r="AK167" s="25"/>
      <c r="AL167" s="13"/>
      <c r="AQ167" s="116"/>
      <c r="AR167" s="123"/>
      <c r="AS167" s="123"/>
      <c r="AT167" s="123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25"/>
      <c r="BJ167" s="13"/>
      <c r="BM167" s="114"/>
    </row>
    <row r="168" spans="1:65" ht="20.100000000000001" customHeight="1" x14ac:dyDescent="0.4">
      <c r="A168" s="117"/>
      <c r="B168" s="123"/>
      <c r="C168" s="123"/>
      <c r="D168" s="123"/>
      <c r="J168" s="26"/>
      <c r="K168" s="13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27"/>
      <c r="AA168" s="29"/>
      <c r="AK168" s="25"/>
      <c r="AL168" s="13"/>
      <c r="AQ168" s="116"/>
      <c r="AR168" s="123"/>
      <c r="AS168" s="123"/>
      <c r="AT168" s="123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25"/>
      <c r="BJ168" s="13"/>
      <c r="BM168" s="114"/>
    </row>
    <row r="169" spans="1:65" ht="20.100000000000001" customHeight="1" x14ac:dyDescent="0.4">
      <c r="A169" s="117"/>
      <c r="B169" s="123"/>
      <c r="C169" s="123"/>
      <c r="D169" s="123"/>
      <c r="H169" s="115"/>
      <c r="I169" s="115"/>
      <c r="J169" s="17"/>
      <c r="K169" s="13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27"/>
      <c r="AA169" s="29"/>
      <c r="AK169" s="25"/>
      <c r="AL169" s="13"/>
      <c r="AQ169" s="116"/>
      <c r="AR169" s="123"/>
      <c r="AS169" s="123"/>
      <c r="AT169" s="123"/>
      <c r="AY169" s="115"/>
      <c r="AZ169" s="115"/>
      <c r="BA169" s="115"/>
      <c r="BB169" s="115"/>
      <c r="BC169" s="115"/>
      <c r="BD169" s="115"/>
      <c r="BE169" s="115"/>
      <c r="BF169" s="115"/>
      <c r="BG169" s="115"/>
      <c r="BH169" s="115"/>
      <c r="BI169" s="25"/>
      <c r="BJ169" s="13"/>
      <c r="BM169" s="114"/>
    </row>
    <row r="170" spans="1:65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26"/>
      <c r="K170" s="13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27"/>
      <c r="AA170" s="29"/>
      <c r="AK170" s="25"/>
      <c r="AL170" s="13"/>
      <c r="AQ170" s="116"/>
      <c r="AR170" s="123"/>
      <c r="AS170" s="123"/>
      <c r="AT170" s="123"/>
      <c r="AY170" s="115"/>
      <c r="AZ170" s="115"/>
      <c r="BA170" s="115"/>
      <c r="BB170" s="115"/>
      <c r="BC170" s="115"/>
      <c r="BD170" s="115"/>
      <c r="BE170" s="115"/>
      <c r="BF170" s="115"/>
      <c r="BG170" s="115"/>
      <c r="BH170" s="115"/>
      <c r="BI170" s="25"/>
      <c r="BJ170" s="13"/>
      <c r="BM170" s="114"/>
    </row>
    <row r="171" spans="1:65" ht="20.100000000000001" customHeight="1" x14ac:dyDescent="0.4">
      <c r="A171" s="117"/>
      <c r="B171" s="123"/>
      <c r="C171" s="123"/>
      <c r="D171" s="123"/>
      <c r="G171" s="115"/>
      <c r="H171" s="115"/>
      <c r="I171" s="115"/>
      <c r="J171" s="17"/>
      <c r="K171" s="13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27"/>
      <c r="AA171" s="29"/>
      <c r="AK171" s="25"/>
      <c r="AL171" s="13"/>
      <c r="AQ171" s="116"/>
      <c r="AR171" s="123"/>
      <c r="AS171" s="123"/>
      <c r="AT171" s="123"/>
      <c r="AY171" s="115"/>
      <c r="AZ171" s="115"/>
      <c r="BA171" s="115"/>
      <c r="BB171" s="115"/>
      <c r="BC171" s="115"/>
      <c r="BD171" s="115"/>
      <c r="BE171" s="115"/>
      <c r="BF171" s="115"/>
      <c r="BG171" s="115"/>
      <c r="BH171" s="115"/>
      <c r="BI171" s="25"/>
      <c r="BJ171" s="13"/>
      <c r="BM171" s="114"/>
    </row>
    <row r="172" spans="1:65" ht="20.100000000000001" customHeight="1" x14ac:dyDescent="0.4">
      <c r="A172" s="117"/>
      <c r="B172" s="123"/>
      <c r="C172" s="123"/>
      <c r="D172" s="123"/>
      <c r="J172" s="26"/>
      <c r="K172" s="13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29"/>
      <c r="AA172" s="29"/>
      <c r="AK172" s="25"/>
      <c r="AL172" s="13"/>
      <c r="AQ172" s="116"/>
      <c r="AR172" s="123"/>
      <c r="AS172" s="123"/>
      <c r="AT172" s="123"/>
      <c r="AY172" s="115"/>
      <c r="AZ172" s="115"/>
      <c r="BA172" s="115"/>
      <c r="BB172" s="115"/>
      <c r="BC172" s="115"/>
      <c r="BD172" s="115"/>
      <c r="BE172" s="115"/>
      <c r="BF172" s="115"/>
      <c r="BG172" s="115"/>
      <c r="BH172" s="115"/>
      <c r="BI172" s="25"/>
      <c r="BJ172" s="13"/>
      <c r="BM172" s="114"/>
    </row>
    <row r="173" spans="1:65" ht="20.100000000000001" customHeight="1" x14ac:dyDescent="0.4">
      <c r="A173" s="117"/>
      <c r="B173" s="123"/>
      <c r="C173" s="123"/>
      <c r="D173" s="123"/>
      <c r="H173" s="115"/>
      <c r="I173" s="115"/>
      <c r="J173" s="17"/>
      <c r="K173" s="13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29"/>
      <c r="AA173" s="29"/>
      <c r="AK173" s="25"/>
      <c r="AL173" s="13"/>
      <c r="AQ173" s="116"/>
      <c r="AR173" s="123"/>
      <c r="AS173" s="123"/>
      <c r="AT173" s="123"/>
      <c r="AY173" s="115"/>
      <c r="AZ173" s="115"/>
      <c r="BA173" s="115"/>
      <c r="BB173" s="115"/>
      <c r="BC173" s="115"/>
      <c r="BD173" s="115"/>
      <c r="BE173" s="115"/>
      <c r="BF173" s="115"/>
      <c r="BG173" s="115"/>
      <c r="BH173" s="115"/>
      <c r="BI173" s="25"/>
      <c r="BJ173" s="13"/>
      <c r="BM173" s="114"/>
    </row>
    <row r="174" spans="1:65" ht="20.100000000000001" customHeight="1" x14ac:dyDescent="0.4">
      <c r="A174" s="117"/>
      <c r="B174" s="123"/>
      <c r="C174" s="123"/>
      <c r="D174" s="123"/>
      <c r="J174" s="26"/>
      <c r="K174" s="13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29"/>
      <c r="AA174" s="29"/>
      <c r="AK174" s="25"/>
      <c r="AL174" s="13"/>
      <c r="AQ174" s="116"/>
      <c r="AR174" s="123"/>
      <c r="AS174" s="123"/>
      <c r="AT174" s="123"/>
      <c r="AY174" s="115"/>
      <c r="AZ174" s="115"/>
      <c r="BA174" s="115"/>
      <c r="BB174" s="115"/>
      <c r="BC174" s="115"/>
      <c r="BD174" s="115"/>
      <c r="BE174" s="115"/>
      <c r="BF174" s="115"/>
      <c r="BG174" s="115"/>
      <c r="BH174" s="115"/>
      <c r="BI174" s="25"/>
      <c r="BJ174" s="13"/>
      <c r="BM174" s="114"/>
    </row>
    <row r="175" spans="1:65" ht="20.100000000000001" customHeight="1" x14ac:dyDescent="0.4">
      <c r="A175" s="117"/>
      <c r="B175" s="123"/>
      <c r="C175" s="123"/>
      <c r="D175" s="123"/>
      <c r="J175" s="26"/>
      <c r="K175" s="13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27"/>
      <c r="AA175" s="29"/>
      <c r="AK175" s="25"/>
      <c r="AL175" s="13"/>
      <c r="AQ175" s="116"/>
      <c r="AR175" s="123"/>
      <c r="AS175" s="123"/>
      <c r="AT175" s="123"/>
      <c r="AY175" s="115"/>
      <c r="AZ175" s="115"/>
      <c r="BA175" s="115"/>
      <c r="BB175" s="115"/>
      <c r="BC175" s="115"/>
      <c r="BD175" s="115"/>
      <c r="BE175" s="115"/>
      <c r="BF175" s="115"/>
      <c r="BG175" s="115"/>
      <c r="BH175" s="115"/>
      <c r="BI175" s="25"/>
      <c r="BJ175" s="13"/>
      <c r="BM175" s="114"/>
    </row>
    <row r="176" spans="1:65" ht="20.100000000000001" customHeight="1" x14ac:dyDescent="0.4">
      <c r="A176" s="117"/>
      <c r="B176" s="123"/>
      <c r="C176" s="123"/>
      <c r="D176" s="123"/>
      <c r="H176" s="115"/>
      <c r="I176" s="115"/>
      <c r="J176" s="20"/>
      <c r="K176" s="13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27"/>
      <c r="AA176" s="29"/>
      <c r="AK176" s="25"/>
      <c r="AL176" s="13"/>
      <c r="AQ176" s="116"/>
      <c r="AR176" s="123"/>
      <c r="AS176" s="123"/>
      <c r="AT176" s="123"/>
      <c r="AY176" s="115"/>
      <c r="AZ176" s="115"/>
      <c r="BA176" s="115"/>
      <c r="BB176" s="115"/>
      <c r="BC176" s="115"/>
      <c r="BD176" s="115"/>
      <c r="BE176" s="115"/>
      <c r="BF176" s="115"/>
      <c r="BG176" s="115"/>
      <c r="BH176" s="115"/>
      <c r="BI176" s="25"/>
      <c r="BJ176" s="13"/>
      <c r="BM176" s="114"/>
    </row>
    <row r="177" spans="1:65" ht="20.100000000000001" customHeight="1" x14ac:dyDescent="0.4">
      <c r="A177" s="117"/>
      <c r="B177" s="123"/>
      <c r="C177" s="123"/>
      <c r="D177" s="123"/>
      <c r="H177" s="115"/>
      <c r="I177" s="115"/>
      <c r="J177" s="20"/>
      <c r="K177" s="13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27"/>
      <c r="AA177" s="29"/>
      <c r="AK177" s="25"/>
      <c r="AL177" s="13"/>
      <c r="AQ177" s="116"/>
      <c r="AR177" s="123"/>
      <c r="AS177" s="123"/>
      <c r="AT177" s="123"/>
      <c r="AY177" s="115"/>
      <c r="AZ177" s="115"/>
      <c r="BA177" s="115"/>
      <c r="BB177" s="115"/>
      <c r="BC177" s="115"/>
      <c r="BD177" s="115"/>
      <c r="BE177" s="115"/>
      <c r="BF177" s="115"/>
      <c r="BG177" s="115"/>
      <c r="BH177" s="115"/>
      <c r="BI177" s="25"/>
      <c r="BJ177" s="13"/>
      <c r="BM177" s="114"/>
    </row>
    <row r="178" spans="1:65" ht="20.100000000000001" customHeight="1" x14ac:dyDescent="0.4">
      <c r="A178" s="117"/>
      <c r="B178" s="123"/>
      <c r="C178" s="123"/>
      <c r="D178" s="123"/>
      <c r="J178" s="25"/>
      <c r="K178" s="13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27"/>
      <c r="AA178" s="29"/>
      <c r="AK178" s="25"/>
      <c r="AL178" s="13"/>
      <c r="AQ178" s="116"/>
      <c r="AR178" s="123"/>
      <c r="AS178" s="123"/>
      <c r="AT178" s="123"/>
      <c r="AY178" s="115"/>
      <c r="AZ178" s="115"/>
      <c r="BA178" s="115"/>
      <c r="BB178" s="115"/>
      <c r="BC178" s="115"/>
      <c r="BD178" s="115"/>
      <c r="BE178" s="115"/>
      <c r="BF178" s="115"/>
      <c r="BG178" s="115"/>
      <c r="BH178" s="115"/>
      <c r="BI178" s="25"/>
      <c r="BJ178" s="13"/>
      <c r="BM178" s="114"/>
    </row>
    <row r="179" spans="1:65" ht="20.100000000000001" customHeight="1" x14ac:dyDescent="0.4">
      <c r="A179" s="117"/>
      <c r="B179" s="123"/>
      <c r="C179" s="123"/>
      <c r="D179" s="123"/>
      <c r="G179" s="115"/>
      <c r="H179" s="115"/>
      <c r="I179" s="115"/>
      <c r="J179" s="13"/>
      <c r="K179" s="13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27"/>
      <c r="AA179" s="29"/>
      <c r="AK179" s="25"/>
      <c r="AL179" s="13"/>
      <c r="AQ179" s="116"/>
      <c r="AR179" s="123"/>
      <c r="AS179" s="123"/>
      <c r="AT179" s="123"/>
      <c r="AY179" s="115"/>
      <c r="AZ179" s="115"/>
      <c r="BA179" s="115"/>
      <c r="BB179" s="115"/>
      <c r="BC179" s="115"/>
      <c r="BD179" s="115"/>
      <c r="BE179" s="115"/>
      <c r="BF179" s="115"/>
      <c r="BG179" s="115"/>
      <c r="BH179" s="115"/>
      <c r="BI179" s="25"/>
      <c r="BJ179" s="13"/>
      <c r="BM179" s="114"/>
    </row>
    <row r="180" spans="1:65" ht="20.100000000000001" customHeight="1" x14ac:dyDescent="0.4">
      <c r="A180" s="117"/>
      <c r="B180" s="123"/>
      <c r="C180" s="123"/>
      <c r="D180" s="123"/>
      <c r="J180" s="25"/>
      <c r="K180" s="13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27"/>
      <c r="AA180" s="29"/>
      <c r="AK180" s="25"/>
      <c r="AL180" s="13"/>
      <c r="AQ180" s="116"/>
      <c r="AR180" s="123"/>
      <c r="AS180" s="123"/>
      <c r="AT180" s="123"/>
      <c r="AY180" s="115"/>
      <c r="AZ180" s="115"/>
      <c r="BA180" s="115"/>
      <c r="BB180" s="115"/>
      <c r="BC180" s="115"/>
      <c r="BD180" s="115"/>
      <c r="BE180" s="115"/>
      <c r="BF180" s="115"/>
      <c r="BG180" s="115"/>
      <c r="BH180" s="115"/>
      <c r="BI180" s="25"/>
      <c r="BJ180" s="13"/>
      <c r="BM180" s="114"/>
    </row>
    <row r="181" spans="1:65" ht="20.100000000000001" customHeight="1" x14ac:dyDescent="0.4">
      <c r="A181" s="117"/>
      <c r="B181" s="123"/>
      <c r="C181" s="123"/>
      <c r="D181" s="123"/>
      <c r="J181" s="26"/>
      <c r="K181" s="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27"/>
      <c r="AA181" s="29"/>
      <c r="AK181" s="25"/>
      <c r="AL181" s="13"/>
      <c r="AQ181" s="116"/>
      <c r="AR181" s="123"/>
      <c r="AS181" s="123"/>
      <c r="AT181" s="123"/>
      <c r="AY181" s="115"/>
      <c r="AZ181" s="115"/>
      <c r="BA181" s="115"/>
      <c r="BB181" s="115"/>
      <c r="BC181" s="115"/>
      <c r="BD181" s="115"/>
      <c r="BE181" s="115"/>
      <c r="BF181" s="115"/>
      <c r="BG181" s="115"/>
      <c r="BH181" s="115"/>
      <c r="BI181" s="25"/>
      <c r="BJ181" s="13"/>
      <c r="BM181" s="114"/>
    </row>
    <row r="182" spans="1:65" ht="20.100000000000001" customHeight="1" x14ac:dyDescent="0.4">
      <c r="A182" s="117"/>
      <c r="B182" s="123"/>
      <c r="C182" s="123"/>
      <c r="D182" s="123"/>
      <c r="F182" s="125"/>
      <c r="G182" s="125"/>
      <c r="H182" s="125"/>
      <c r="I182" s="125"/>
      <c r="J182" s="25"/>
      <c r="K182" s="13"/>
      <c r="Z182" s="127"/>
      <c r="AA182" s="29"/>
      <c r="AK182" s="25"/>
      <c r="AL182" s="13"/>
      <c r="AQ182" s="116"/>
      <c r="AR182" s="123"/>
      <c r="AS182" s="123"/>
      <c r="AT182" s="123"/>
      <c r="AY182" s="115"/>
      <c r="AZ182" s="115"/>
      <c r="BA182" s="115"/>
      <c r="BB182" s="115"/>
      <c r="BC182" s="115"/>
      <c r="BD182" s="115"/>
      <c r="BE182" s="115"/>
      <c r="BF182" s="115"/>
      <c r="BG182" s="115"/>
      <c r="BH182" s="115"/>
      <c r="BI182" s="25"/>
      <c r="BJ182" s="13"/>
      <c r="BM182" s="114"/>
    </row>
    <row r="183" spans="1:65" ht="20.100000000000001" customHeight="1" x14ac:dyDescent="0.4">
      <c r="A183" s="117"/>
      <c r="B183" s="123"/>
      <c r="C183" s="123"/>
      <c r="D183" s="123"/>
      <c r="F183" s="125"/>
      <c r="G183" s="125"/>
      <c r="H183" s="125"/>
      <c r="I183" s="125"/>
      <c r="J183" s="25"/>
      <c r="K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27"/>
      <c r="AA183" s="29"/>
      <c r="AK183" s="25"/>
      <c r="AL183" s="13"/>
      <c r="AQ183" s="116"/>
      <c r="AR183" s="123"/>
      <c r="AS183" s="123"/>
      <c r="AT183" s="123"/>
      <c r="AY183" s="115"/>
      <c r="AZ183" s="115"/>
      <c r="BA183" s="115"/>
      <c r="BB183" s="115"/>
      <c r="BC183" s="115"/>
      <c r="BD183" s="115"/>
      <c r="BE183" s="115"/>
      <c r="BF183" s="115"/>
      <c r="BG183" s="115"/>
      <c r="BH183" s="115"/>
      <c r="BI183" s="25"/>
      <c r="BJ183" s="13"/>
      <c r="BM183" s="114"/>
    </row>
    <row r="184" spans="1:65" ht="20.100000000000001" customHeight="1" x14ac:dyDescent="0.4">
      <c r="A184" s="117"/>
      <c r="B184" s="123"/>
      <c r="C184" s="123"/>
      <c r="D184" s="123"/>
      <c r="F184" s="125"/>
      <c r="G184" s="125"/>
      <c r="H184" s="125"/>
      <c r="I184" s="125"/>
      <c r="J184" s="25"/>
      <c r="K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29"/>
      <c r="AA184" s="29"/>
      <c r="AK184" s="25"/>
      <c r="AL184" s="13"/>
      <c r="AQ184" s="116"/>
      <c r="AR184" s="123"/>
      <c r="AS184" s="123"/>
      <c r="AT184" s="123"/>
      <c r="AY184" s="115"/>
      <c r="AZ184" s="115"/>
      <c r="BA184" s="115"/>
      <c r="BB184" s="115"/>
      <c r="BC184" s="115"/>
      <c r="BD184" s="115"/>
      <c r="BE184" s="115"/>
      <c r="BF184" s="115"/>
      <c r="BG184" s="115"/>
      <c r="BH184" s="115"/>
      <c r="BI184" s="25"/>
      <c r="BJ184" s="13"/>
      <c r="BM184" s="114"/>
    </row>
    <row r="185" spans="1:65" ht="20.100000000000001" customHeight="1" x14ac:dyDescent="0.4">
      <c r="A185" s="117"/>
      <c r="B185" s="123"/>
      <c r="C185" s="123"/>
      <c r="D185" s="123"/>
      <c r="F185" s="125"/>
      <c r="G185" s="125"/>
      <c r="H185" s="125"/>
      <c r="I185" s="125"/>
      <c r="J185" s="25"/>
      <c r="K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27"/>
      <c r="AA185" s="29"/>
      <c r="AK185" s="25"/>
      <c r="AL185" s="13"/>
      <c r="AQ185" s="116"/>
      <c r="AR185" s="123"/>
      <c r="AS185" s="123"/>
      <c r="AT185" s="123"/>
      <c r="AY185" s="115"/>
      <c r="AZ185" s="115"/>
      <c r="BA185" s="115"/>
      <c r="BB185" s="115"/>
      <c r="BC185" s="115"/>
      <c r="BD185" s="115"/>
      <c r="BE185" s="115"/>
      <c r="BF185" s="115"/>
      <c r="BG185" s="115"/>
      <c r="BH185" s="115"/>
      <c r="BI185" s="25"/>
      <c r="BJ185" s="13"/>
      <c r="BM185" s="114"/>
    </row>
    <row r="186" spans="1:65" ht="20.100000000000001" customHeight="1" x14ac:dyDescent="0.4">
      <c r="A186" s="117"/>
      <c r="B186" s="123"/>
      <c r="C186" s="123"/>
      <c r="D186" s="123"/>
      <c r="F186" s="125"/>
      <c r="G186" s="125"/>
      <c r="H186" s="125"/>
      <c r="I186" s="125"/>
      <c r="J186" s="26"/>
      <c r="K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27"/>
      <c r="AA186" s="29"/>
      <c r="AK186" s="25"/>
      <c r="AL186" s="13"/>
      <c r="AQ186" s="116"/>
      <c r="AR186" s="123"/>
      <c r="AS186" s="123"/>
      <c r="AT186" s="123"/>
      <c r="AY186" s="115"/>
      <c r="AZ186" s="115"/>
      <c r="BA186" s="115"/>
      <c r="BB186" s="115"/>
      <c r="BC186" s="115"/>
      <c r="BD186" s="115"/>
      <c r="BE186" s="115"/>
      <c r="BF186" s="115"/>
      <c r="BG186" s="115"/>
      <c r="BH186" s="115"/>
      <c r="BI186" s="25"/>
      <c r="BJ186" s="13"/>
      <c r="BM186" s="114"/>
    </row>
    <row r="187" spans="1:65" ht="20.100000000000001" customHeight="1" x14ac:dyDescent="0.4">
      <c r="A187" s="117"/>
      <c r="B187" s="123"/>
      <c r="C187" s="123"/>
      <c r="D187" s="123"/>
      <c r="F187" s="125"/>
      <c r="G187" s="125"/>
      <c r="H187" s="125"/>
      <c r="I187" s="125"/>
      <c r="J187" s="26"/>
      <c r="K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27"/>
      <c r="AA187" s="29"/>
      <c r="AK187" s="25"/>
      <c r="AL187" s="13"/>
      <c r="AQ187" s="116"/>
      <c r="AR187" s="123"/>
      <c r="AS187" s="123"/>
      <c r="AT187" s="123"/>
      <c r="AY187" s="115"/>
      <c r="AZ187" s="115"/>
      <c r="BA187" s="115"/>
      <c r="BB187" s="115"/>
      <c r="BC187" s="115"/>
      <c r="BD187" s="115"/>
      <c r="BE187" s="115"/>
      <c r="BF187" s="115"/>
      <c r="BG187" s="115"/>
      <c r="BH187" s="115"/>
      <c r="BI187" s="25"/>
      <c r="BJ187" s="13"/>
      <c r="BM187" s="114"/>
    </row>
    <row r="188" spans="1:65" ht="20.100000000000001" customHeight="1" x14ac:dyDescent="0.4">
      <c r="A188" s="117"/>
      <c r="B188" s="123"/>
      <c r="C188" s="123"/>
      <c r="D188" s="123"/>
      <c r="F188" s="125"/>
      <c r="G188" s="125"/>
      <c r="H188" s="125"/>
      <c r="I188" s="125"/>
      <c r="J188" s="17"/>
      <c r="K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27"/>
      <c r="AA188" s="29"/>
      <c r="AK188" s="25"/>
      <c r="AL188" s="13"/>
      <c r="AQ188" s="116"/>
      <c r="AR188" s="123"/>
      <c r="AS188" s="123"/>
      <c r="AT188" s="123"/>
      <c r="AY188" s="115"/>
      <c r="AZ188" s="115"/>
      <c r="BA188" s="115"/>
      <c r="BB188" s="115"/>
      <c r="BC188" s="115"/>
      <c r="BD188" s="115"/>
      <c r="BE188" s="115"/>
      <c r="BF188" s="115"/>
      <c r="BG188" s="115"/>
      <c r="BH188" s="115"/>
      <c r="BI188" s="25"/>
      <c r="BJ188" s="13"/>
      <c r="BM188" s="114"/>
    </row>
    <row r="189" spans="1:65" ht="20.100000000000001" customHeight="1" x14ac:dyDescent="0.4">
      <c r="A189" s="117"/>
      <c r="B189" s="123"/>
      <c r="C189" s="123"/>
      <c r="D189" s="123"/>
      <c r="F189" s="125"/>
      <c r="G189" s="125"/>
      <c r="H189" s="125"/>
      <c r="I189" s="125"/>
      <c r="J189" s="26"/>
      <c r="K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27"/>
      <c r="AA189" s="29"/>
      <c r="AK189" s="25"/>
      <c r="AL189" s="13"/>
      <c r="AQ189" s="116"/>
      <c r="AR189" s="123"/>
      <c r="AS189" s="123"/>
      <c r="AT189" s="123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25"/>
      <c r="BJ189" s="13"/>
      <c r="BM189" s="114"/>
    </row>
    <row r="190" spans="1:65" ht="20.100000000000001" customHeight="1" x14ac:dyDescent="0.4">
      <c r="A190" s="117"/>
      <c r="B190" s="123"/>
      <c r="C190" s="123"/>
      <c r="D190" s="123"/>
      <c r="F190" s="125"/>
      <c r="G190" s="125"/>
      <c r="H190" s="125"/>
      <c r="I190" s="125"/>
      <c r="J190" s="26"/>
      <c r="K190" s="13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27"/>
      <c r="AA190" s="29"/>
      <c r="AK190" s="25"/>
      <c r="AL190" s="13"/>
      <c r="AQ190" s="116"/>
      <c r="AR190" s="123"/>
      <c r="AS190" s="123"/>
      <c r="AT190" s="123"/>
      <c r="AY190" s="115"/>
      <c r="AZ190" s="115"/>
      <c r="BA190" s="115"/>
      <c r="BB190" s="115"/>
      <c r="BC190" s="115"/>
      <c r="BD190" s="115"/>
      <c r="BE190" s="115"/>
      <c r="BF190" s="115"/>
      <c r="BG190" s="115"/>
      <c r="BH190" s="115"/>
      <c r="BI190" s="25"/>
      <c r="BJ190" s="13"/>
      <c r="BM190" s="114"/>
    </row>
    <row r="191" spans="1:65" ht="20.100000000000001" customHeight="1" x14ac:dyDescent="0.4">
      <c r="A191" s="117"/>
      <c r="B191" s="123"/>
      <c r="C191" s="123"/>
      <c r="D191" s="123"/>
      <c r="F191" s="125"/>
      <c r="G191" s="125"/>
      <c r="H191" s="125"/>
      <c r="I191" s="125"/>
      <c r="J191" s="17"/>
      <c r="K191" s="13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27"/>
      <c r="AA191" s="29"/>
      <c r="AK191" s="25"/>
      <c r="AL191" s="13"/>
      <c r="AQ191" s="116"/>
      <c r="AR191" s="123"/>
      <c r="AS191" s="123"/>
      <c r="AT191" s="123"/>
      <c r="AY191" s="115"/>
      <c r="AZ191" s="115"/>
      <c r="BA191" s="115"/>
      <c r="BB191" s="115"/>
      <c r="BC191" s="115"/>
      <c r="BD191" s="115"/>
      <c r="BE191" s="115"/>
      <c r="BF191" s="115"/>
      <c r="BG191" s="115"/>
      <c r="BH191" s="115"/>
      <c r="BI191" s="25"/>
      <c r="BJ191" s="13"/>
      <c r="BM191" s="114"/>
    </row>
    <row r="192" spans="1:65" ht="20.100000000000001" customHeight="1" x14ac:dyDescent="0.4">
      <c r="A192" s="117"/>
      <c r="B192" s="123"/>
      <c r="C192" s="123"/>
      <c r="D192" s="123"/>
      <c r="F192" s="125"/>
      <c r="G192" s="125"/>
      <c r="H192" s="125"/>
      <c r="I192" s="125"/>
      <c r="J192" s="26"/>
      <c r="K192" s="13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27"/>
      <c r="AA192" s="134"/>
      <c r="AK192" s="25"/>
      <c r="AL192" s="13"/>
      <c r="AQ192" s="116"/>
      <c r="AR192" s="123"/>
      <c r="AS192" s="123"/>
      <c r="AT192" s="123"/>
      <c r="AY192" s="115"/>
      <c r="AZ192" s="115"/>
      <c r="BA192" s="115"/>
      <c r="BB192" s="115"/>
      <c r="BC192" s="115"/>
      <c r="BD192" s="115"/>
      <c r="BE192" s="115"/>
      <c r="BF192" s="115"/>
      <c r="BG192" s="115"/>
      <c r="BH192" s="115"/>
      <c r="BI192" s="25"/>
      <c r="BJ192" s="13"/>
      <c r="BM192" s="114"/>
    </row>
    <row r="193" spans="1:65" ht="20.100000000000001" customHeight="1" x14ac:dyDescent="0.4">
      <c r="A193" s="117"/>
      <c r="B193" s="123"/>
      <c r="C193" s="123"/>
      <c r="D193" s="123"/>
      <c r="F193" s="125"/>
      <c r="G193" s="125"/>
      <c r="H193" s="125"/>
      <c r="I193" s="125"/>
      <c r="J193" s="26"/>
      <c r="K193" s="13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27"/>
      <c r="AA193" s="29"/>
      <c r="AK193" s="25"/>
      <c r="AL193" s="13"/>
      <c r="AQ193" s="116"/>
      <c r="AR193" s="123"/>
      <c r="AS193" s="123"/>
      <c r="AT193" s="123"/>
      <c r="AY193" s="115"/>
      <c r="AZ193" s="115"/>
      <c r="BA193" s="115"/>
      <c r="BB193" s="115"/>
      <c r="BC193" s="115"/>
      <c r="BD193" s="115"/>
      <c r="BE193" s="115"/>
      <c r="BF193" s="115"/>
      <c r="BG193" s="115"/>
      <c r="BH193" s="115"/>
      <c r="BI193" s="25"/>
      <c r="BJ193" s="13"/>
      <c r="BM193" s="114"/>
    </row>
    <row r="194" spans="1:65" ht="20.100000000000001" customHeight="1" x14ac:dyDescent="0.4">
      <c r="A194" s="117"/>
      <c r="B194" s="123"/>
      <c r="C194" s="123"/>
      <c r="D194" s="123"/>
      <c r="F194" s="125"/>
      <c r="G194" s="125"/>
      <c r="H194" s="125"/>
      <c r="I194" s="125"/>
      <c r="J194" s="26"/>
      <c r="K194" s="13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27"/>
      <c r="AA194" s="29"/>
      <c r="AK194" s="25"/>
      <c r="AL194" s="13"/>
      <c r="AQ194" s="116"/>
      <c r="AR194" s="123"/>
      <c r="AS194" s="123"/>
      <c r="AT194" s="123"/>
      <c r="AY194" s="115"/>
      <c r="AZ194" s="115"/>
      <c r="BA194" s="115"/>
      <c r="BB194" s="115"/>
      <c r="BC194" s="115"/>
      <c r="BD194" s="115"/>
      <c r="BE194" s="115"/>
      <c r="BF194" s="115"/>
      <c r="BG194" s="115"/>
      <c r="BH194" s="115"/>
      <c r="BI194" s="25"/>
      <c r="BJ194" s="13"/>
      <c r="BM194" s="114"/>
    </row>
    <row r="195" spans="1:65" ht="20.100000000000001" customHeight="1" x14ac:dyDescent="0.4">
      <c r="A195" s="117"/>
      <c r="B195" s="123"/>
      <c r="C195" s="123"/>
      <c r="D195" s="123"/>
      <c r="F195" s="125"/>
      <c r="G195" s="125"/>
      <c r="H195" s="125"/>
      <c r="I195" s="125"/>
      <c r="J195" s="26"/>
      <c r="K195" s="13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27"/>
      <c r="AA195" s="29"/>
      <c r="AK195" s="25"/>
      <c r="AL195" s="13"/>
      <c r="AQ195" s="116"/>
      <c r="AR195" s="123"/>
      <c r="AS195" s="123"/>
      <c r="AT195" s="123"/>
      <c r="AY195" s="115"/>
      <c r="AZ195" s="115"/>
      <c r="BA195" s="115"/>
      <c r="BB195" s="115"/>
      <c r="BC195" s="115"/>
      <c r="BD195" s="115"/>
      <c r="BE195" s="115"/>
      <c r="BF195" s="115"/>
      <c r="BG195" s="115"/>
      <c r="BH195" s="115"/>
      <c r="BI195" s="25"/>
      <c r="BJ195" s="13"/>
      <c r="BM195" s="114"/>
    </row>
    <row r="196" spans="1:65" ht="20.100000000000001" customHeight="1" x14ac:dyDescent="0.4">
      <c r="A196" s="117"/>
      <c r="B196" s="123"/>
      <c r="C196" s="123"/>
      <c r="D196" s="123"/>
      <c r="F196" s="125"/>
      <c r="G196" s="125"/>
      <c r="H196" s="125"/>
      <c r="I196" s="125"/>
      <c r="J196" s="26"/>
      <c r="K196" s="13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27"/>
      <c r="AA196" s="29"/>
      <c r="AK196" s="25"/>
      <c r="AL196" s="13"/>
      <c r="AQ196" s="116"/>
      <c r="AR196" s="123"/>
      <c r="AS196" s="123"/>
      <c r="AT196" s="123"/>
      <c r="AY196" s="115"/>
      <c r="AZ196" s="115"/>
      <c r="BA196" s="115"/>
      <c r="BB196" s="115"/>
      <c r="BC196" s="115"/>
      <c r="BD196" s="115"/>
      <c r="BE196" s="115"/>
      <c r="BF196" s="115"/>
      <c r="BG196" s="115"/>
      <c r="BH196" s="115"/>
      <c r="BI196" s="25"/>
      <c r="BJ196" s="13"/>
      <c r="BM196" s="114"/>
    </row>
    <row r="197" spans="1:65" ht="20.100000000000001" customHeight="1" x14ac:dyDescent="0.4">
      <c r="A197" s="117"/>
      <c r="B197" s="123"/>
      <c r="C197" s="123"/>
      <c r="D197" s="123"/>
      <c r="F197" s="125"/>
      <c r="G197" s="125"/>
      <c r="H197" s="125"/>
      <c r="I197" s="125"/>
      <c r="J197" s="26"/>
      <c r="K197" s="13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27"/>
      <c r="AA197" s="29"/>
      <c r="AK197" s="25"/>
      <c r="AL197" s="13"/>
      <c r="AQ197" s="116"/>
      <c r="AR197" s="123"/>
      <c r="AS197" s="123"/>
      <c r="AT197" s="123"/>
      <c r="AY197" s="115"/>
      <c r="AZ197" s="115"/>
      <c r="BA197" s="115"/>
      <c r="BB197" s="115"/>
      <c r="BC197" s="115"/>
      <c r="BD197" s="115"/>
      <c r="BE197" s="115"/>
      <c r="BF197" s="115"/>
      <c r="BG197" s="115"/>
      <c r="BH197" s="115"/>
      <c r="BI197" s="25"/>
      <c r="BJ197" s="13"/>
      <c r="BM197" s="114"/>
    </row>
    <row r="198" spans="1:65" ht="20.100000000000001" customHeight="1" x14ac:dyDescent="0.4">
      <c r="A198" s="117"/>
      <c r="B198" s="123"/>
      <c r="C198" s="123"/>
      <c r="D198" s="123"/>
      <c r="F198" s="125"/>
      <c r="G198" s="125"/>
      <c r="H198" s="125"/>
      <c r="I198" s="125"/>
      <c r="J198" s="26"/>
      <c r="K198" s="13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27"/>
      <c r="AA198" s="29"/>
      <c r="AK198" s="25"/>
      <c r="AL198" s="13"/>
      <c r="AQ198" s="116"/>
      <c r="AR198" s="123"/>
      <c r="AS198" s="123"/>
      <c r="AT198" s="123"/>
      <c r="AY198" s="115"/>
      <c r="AZ198" s="115"/>
      <c r="BA198" s="115"/>
      <c r="BB198" s="115"/>
      <c r="BC198" s="115"/>
      <c r="BD198" s="115"/>
      <c r="BE198" s="115"/>
      <c r="BF198" s="115"/>
      <c r="BG198" s="115"/>
      <c r="BH198" s="115"/>
      <c r="BI198" s="25"/>
      <c r="BJ198" s="13"/>
      <c r="BM198" s="114"/>
    </row>
    <row r="199" spans="1:65" ht="20.100000000000001" customHeight="1" x14ac:dyDescent="0.4">
      <c r="A199" s="117"/>
      <c r="B199" s="123"/>
      <c r="C199" s="123"/>
      <c r="D199" s="123"/>
      <c r="F199" s="125"/>
      <c r="G199" s="125"/>
      <c r="H199" s="125"/>
      <c r="I199" s="125"/>
      <c r="J199" s="17"/>
      <c r="K199" s="13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27"/>
      <c r="AA199" s="29"/>
      <c r="AK199" s="25"/>
      <c r="AL199" s="13"/>
      <c r="AQ199" s="116"/>
      <c r="AR199" s="123"/>
      <c r="AS199" s="123"/>
      <c r="AT199" s="123"/>
      <c r="AY199" s="115"/>
      <c r="AZ199" s="115"/>
      <c r="BA199" s="115"/>
      <c r="BB199" s="115"/>
      <c r="BC199" s="115"/>
      <c r="BD199" s="115"/>
      <c r="BE199" s="115"/>
      <c r="BF199" s="115"/>
      <c r="BG199" s="115"/>
      <c r="BH199" s="115"/>
      <c r="BI199" s="25"/>
      <c r="BJ199" s="13"/>
      <c r="BM199" s="114"/>
    </row>
    <row r="200" spans="1:65" ht="20.100000000000001" customHeight="1" x14ac:dyDescent="0.4">
      <c r="A200" s="117"/>
      <c r="B200" s="123"/>
      <c r="C200" s="123"/>
      <c r="D200" s="123"/>
      <c r="F200" s="125"/>
      <c r="G200" s="125"/>
      <c r="H200" s="125"/>
      <c r="I200" s="125"/>
      <c r="J200" s="26"/>
      <c r="K200" s="13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27"/>
      <c r="AA200" s="29"/>
      <c r="AK200" s="25"/>
      <c r="AL200" s="13"/>
      <c r="AQ200" s="116"/>
      <c r="AR200" s="123"/>
      <c r="AS200" s="123"/>
      <c r="AT200" s="123"/>
      <c r="AY200" s="115"/>
      <c r="AZ200" s="115"/>
      <c r="BA200" s="115"/>
      <c r="BB200" s="115"/>
      <c r="BC200" s="115"/>
      <c r="BD200" s="115"/>
      <c r="BE200" s="115"/>
      <c r="BF200" s="115"/>
      <c r="BG200" s="115"/>
      <c r="BH200" s="115"/>
      <c r="BI200" s="25"/>
      <c r="BJ200" s="13"/>
      <c r="BM200" s="114"/>
    </row>
    <row r="201" spans="1:65" ht="20.100000000000001" customHeight="1" x14ac:dyDescent="0.4">
      <c r="A201" s="117"/>
      <c r="B201" s="123"/>
      <c r="C201" s="123"/>
      <c r="D201" s="123"/>
      <c r="F201" s="125"/>
      <c r="G201" s="125"/>
      <c r="H201" s="125"/>
      <c r="I201" s="125"/>
      <c r="J201" s="26"/>
      <c r="K201" s="13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27"/>
      <c r="AA201" s="29"/>
      <c r="AK201" s="25"/>
      <c r="AL201" s="13"/>
      <c r="AQ201" s="116"/>
      <c r="AR201" s="123"/>
      <c r="AS201" s="123"/>
      <c r="AT201" s="123"/>
      <c r="AY201" s="115"/>
      <c r="AZ201" s="115"/>
      <c r="BA201" s="115"/>
      <c r="BB201" s="115"/>
      <c r="BC201" s="115"/>
      <c r="BD201" s="115"/>
      <c r="BE201" s="115"/>
      <c r="BF201" s="115"/>
      <c r="BG201" s="115"/>
      <c r="BH201" s="115"/>
      <c r="BI201" s="25"/>
      <c r="BJ201" s="13"/>
      <c r="BM201" s="114"/>
    </row>
    <row r="202" spans="1:65" ht="20.100000000000001" customHeight="1" x14ac:dyDescent="0.4">
      <c r="A202" s="117"/>
      <c r="B202" s="123"/>
      <c r="C202" s="123"/>
      <c r="D202" s="123"/>
      <c r="F202" s="125"/>
      <c r="G202" s="125"/>
      <c r="H202" s="125"/>
      <c r="I202" s="125"/>
      <c r="J202" s="17"/>
      <c r="K202" s="13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27"/>
      <c r="AA202" s="29"/>
      <c r="AK202" s="25"/>
      <c r="AL202" s="13"/>
      <c r="AQ202" s="116"/>
      <c r="AR202" s="123"/>
      <c r="AS202" s="123"/>
      <c r="AT202" s="123"/>
      <c r="AY202" s="115"/>
      <c r="AZ202" s="115"/>
      <c r="BA202" s="115"/>
      <c r="BB202" s="115"/>
      <c r="BC202" s="115"/>
      <c r="BD202" s="115"/>
      <c r="BE202" s="115"/>
      <c r="BF202" s="115"/>
      <c r="BG202" s="115"/>
      <c r="BH202" s="115"/>
      <c r="BI202" s="25"/>
      <c r="BJ202" s="13"/>
      <c r="BM202" s="114"/>
    </row>
    <row r="203" spans="1:65" ht="20.100000000000001" customHeight="1" x14ac:dyDescent="0.4">
      <c r="A203" s="117"/>
      <c r="B203" s="123"/>
      <c r="C203" s="123"/>
      <c r="D203" s="123"/>
      <c r="F203" s="125"/>
      <c r="G203" s="125"/>
      <c r="H203" s="125"/>
      <c r="I203" s="125"/>
      <c r="J203" s="26"/>
      <c r="K203" s="13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27"/>
      <c r="AA203" s="134"/>
      <c r="AK203" s="25"/>
      <c r="AL203" s="13"/>
      <c r="AQ203" s="116"/>
      <c r="AR203" s="123"/>
      <c r="AS203" s="123"/>
      <c r="AT203" s="123"/>
      <c r="AY203" s="115"/>
      <c r="AZ203" s="115"/>
      <c r="BA203" s="115"/>
      <c r="BB203" s="115"/>
      <c r="BC203" s="115"/>
      <c r="BD203" s="115"/>
      <c r="BE203" s="115"/>
      <c r="BF203" s="115"/>
      <c r="BG203" s="115"/>
      <c r="BH203" s="115"/>
      <c r="BI203" s="25"/>
      <c r="BJ203" s="13"/>
      <c r="BM203" s="114"/>
    </row>
    <row r="204" spans="1:65" ht="20.100000000000001" customHeight="1" x14ac:dyDescent="0.4">
      <c r="A204" s="117"/>
      <c r="B204" s="123"/>
      <c r="C204" s="123"/>
      <c r="D204" s="123"/>
      <c r="F204" s="125"/>
      <c r="G204" s="125"/>
      <c r="H204" s="125"/>
      <c r="I204" s="125"/>
      <c r="J204" s="26"/>
      <c r="K204" s="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27"/>
      <c r="AA204" s="29"/>
      <c r="AK204" s="25"/>
      <c r="AL204" s="13"/>
      <c r="AQ204" s="116"/>
      <c r="AR204" s="123"/>
      <c r="AS204" s="123"/>
      <c r="AT204" s="123"/>
      <c r="AY204" s="115"/>
      <c r="AZ204" s="115"/>
      <c r="BA204" s="115"/>
      <c r="BB204" s="115"/>
      <c r="BC204" s="115"/>
      <c r="BD204" s="115"/>
      <c r="BE204" s="115"/>
      <c r="BF204" s="115"/>
      <c r="BG204" s="115"/>
      <c r="BH204" s="115"/>
      <c r="BI204" s="25"/>
      <c r="BJ204" s="13"/>
      <c r="BM204" s="114"/>
    </row>
    <row r="205" spans="1:65" ht="20.100000000000001" customHeight="1" x14ac:dyDescent="0.4">
      <c r="A205" s="117"/>
      <c r="B205" s="123"/>
      <c r="C205" s="123"/>
      <c r="D205" s="123"/>
      <c r="F205" s="125"/>
      <c r="G205" s="125"/>
      <c r="H205" s="125"/>
      <c r="I205" s="125"/>
      <c r="J205" s="26"/>
      <c r="K205" s="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27"/>
      <c r="AA205" s="29"/>
      <c r="AK205" s="25"/>
      <c r="AL205" s="13"/>
      <c r="AQ205" s="116"/>
      <c r="AR205" s="123"/>
      <c r="AS205" s="123"/>
      <c r="AT205" s="123"/>
      <c r="AY205" s="115"/>
      <c r="AZ205" s="115"/>
      <c r="BA205" s="115"/>
      <c r="BB205" s="115"/>
      <c r="BC205" s="115"/>
      <c r="BD205" s="115"/>
      <c r="BE205" s="115"/>
      <c r="BF205" s="115"/>
      <c r="BG205" s="115"/>
      <c r="BH205" s="115"/>
      <c r="BI205" s="25"/>
      <c r="BJ205" s="13"/>
      <c r="BM205" s="114"/>
    </row>
    <row r="206" spans="1:65" ht="20.100000000000001" customHeight="1" x14ac:dyDescent="0.4">
      <c r="A206" s="117"/>
      <c r="B206" s="123"/>
      <c r="C206" s="123"/>
      <c r="D206" s="123"/>
      <c r="F206" s="125"/>
      <c r="G206" s="125"/>
      <c r="H206" s="125"/>
      <c r="I206" s="125"/>
      <c r="J206" s="26"/>
      <c r="K206" s="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27"/>
      <c r="AA206" s="29"/>
      <c r="AK206" s="25"/>
      <c r="AL206" s="13"/>
      <c r="AQ206" s="116"/>
      <c r="AR206" s="123"/>
      <c r="AS206" s="123"/>
      <c r="AT206" s="123"/>
      <c r="AY206" s="115"/>
      <c r="AZ206" s="115"/>
      <c r="BA206" s="115"/>
      <c r="BB206" s="115"/>
      <c r="BC206" s="115"/>
      <c r="BD206" s="115"/>
      <c r="BE206" s="115"/>
      <c r="BF206" s="115"/>
      <c r="BG206" s="115"/>
      <c r="BH206" s="115"/>
      <c r="BI206" s="25"/>
      <c r="BJ206" s="13"/>
      <c r="BM206" s="114"/>
    </row>
    <row r="207" spans="1:65" ht="20.100000000000001" customHeight="1" x14ac:dyDescent="0.4">
      <c r="A207" s="117"/>
      <c r="B207" s="123"/>
      <c r="C207" s="123"/>
      <c r="D207" s="123"/>
      <c r="F207" s="125"/>
      <c r="G207" s="125"/>
      <c r="H207" s="125"/>
      <c r="I207" s="125"/>
      <c r="J207" s="26"/>
      <c r="K207" s="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29"/>
      <c r="AA207" s="29"/>
      <c r="AK207" s="25"/>
      <c r="AL207" s="13"/>
      <c r="AQ207" s="116"/>
      <c r="AR207" s="123"/>
      <c r="AS207" s="123"/>
      <c r="AT207" s="123"/>
      <c r="AY207" s="115"/>
      <c r="AZ207" s="115"/>
      <c r="BA207" s="115"/>
      <c r="BB207" s="115"/>
      <c r="BC207" s="115"/>
      <c r="BD207" s="115"/>
      <c r="BE207" s="115"/>
      <c r="BF207" s="115"/>
      <c r="BG207" s="115"/>
      <c r="BH207" s="115"/>
      <c r="BI207" s="25"/>
      <c r="BJ207" s="13"/>
      <c r="BM207" s="114"/>
    </row>
    <row r="208" spans="1:65" ht="20.100000000000001" customHeight="1" x14ac:dyDescent="0.4">
      <c r="A208" s="117"/>
      <c r="B208" s="123"/>
      <c r="C208" s="123"/>
      <c r="D208" s="123"/>
      <c r="F208" s="125"/>
      <c r="G208" s="125"/>
      <c r="H208" s="125"/>
      <c r="I208" s="125"/>
      <c r="J208" s="26"/>
      <c r="K208" s="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27"/>
      <c r="AA208" s="29"/>
      <c r="AK208" s="25"/>
      <c r="AL208" s="13"/>
      <c r="AQ208" s="116"/>
      <c r="AR208" s="123"/>
      <c r="AS208" s="123"/>
      <c r="AT208" s="123"/>
      <c r="AY208" s="115"/>
      <c r="AZ208" s="115"/>
      <c r="BA208" s="115"/>
      <c r="BB208" s="115"/>
      <c r="BC208" s="115"/>
      <c r="BD208" s="115"/>
      <c r="BE208" s="115"/>
      <c r="BF208" s="115"/>
      <c r="BG208" s="115"/>
      <c r="BH208" s="115"/>
      <c r="BI208" s="25"/>
      <c r="BJ208" s="13"/>
      <c r="BM208" s="114"/>
    </row>
    <row r="209" spans="1:65" ht="20.100000000000001" customHeight="1" x14ac:dyDescent="0.4">
      <c r="A209" s="117"/>
      <c r="B209" s="123"/>
      <c r="C209" s="123"/>
      <c r="D209" s="123"/>
      <c r="F209" s="125"/>
      <c r="G209" s="125"/>
      <c r="H209" s="125"/>
      <c r="I209" s="125"/>
      <c r="J209" s="26"/>
      <c r="K209" s="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27"/>
      <c r="AA209" s="29"/>
      <c r="AK209" s="25"/>
      <c r="AL209" s="13"/>
      <c r="AQ209" s="116"/>
      <c r="AR209" s="123"/>
      <c r="AS209" s="123"/>
      <c r="AT209" s="123"/>
      <c r="AY209" s="115"/>
      <c r="AZ209" s="115"/>
      <c r="BA209" s="115"/>
      <c r="BB209" s="115"/>
      <c r="BC209" s="115"/>
      <c r="BD209" s="115"/>
      <c r="BE209" s="115"/>
      <c r="BF209" s="115"/>
      <c r="BG209" s="115"/>
      <c r="BH209" s="115"/>
      <c r="BI209" s="25"/>
      <c r="BJ209" s="13"/>
      <c r="BM209" s="114"/>
    </row>
    <row r="210" spans="1:65" ht="20.100000000000001" customHeight="1" x14ac:dyDescent="0.4">
      <c r="A210" s="117"/>
      <c r="B210" s="123"/>
      <c r="C210" s="123"/>
      <c r="D210" s="123"/>
      <c r="F210" s="125"/>
      <c r="G210" s="125"/>
      <c r="H210" s="125"/>
      <c r="I210" s="125"/>
      <c r="J210" s="26"/>
      <c r="K210" s="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27"/>
      <c r="AA210" s="29"/>
      <c r="AK210" s="25"/>
      <c r="AL210" s="13"/>
      <c r="AQ210" s="116"/>
      <c r="AR210" s="123"/>
      <c r="AS210" s="123"/>
      <c r="AT210" s="123"/>
      <c r="AY210" s="115"/>
      <c r="AZ210" s="115"/>
      <c r="BA210" s="115"/>
      <c r="BB210" s="115"/>
      <c r="BC210" s="115"/>
      <c r="BD210" s="115"/>
      <c r="BE210" s="115"/>
      <c r="BF210" s="115"/>
      <c r="BG210" s="115"/>
      <c r="BH210" s="115"/>
      <c r="BI210" s="25"/>
      <c r="BJ210" s="13"/>
      <c r="BM210" s="114"/>
    </row>
    <row r="211" spans="1:65" ht="20.100000000000001" customHeight="1" x14ac:dyDescent="0.4">
      <c r="A211" s="117"/>
      <c r="B211" s="123"/>
      <c r="C211" s="123"/>
      <c r="D211" s="123"/>
      <c r="F211" s="125"/>
      <c r="G211" s="125"/>
      <c r="H211" s="125"/>
      <c r="I211" s="125"/>
      <c r="J211" s="26"/>
      <c r="K211" s="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27"/>
      <c r="AA211" s="29"/>
      <c r="AK211" s="25"/>
      <c r="AL211" s="13"/>
      <c r="AQ211" s="116"/>
      <c r="AR211" s="123"/>
      <c r="AS211" s="123"/>
      <c r="AT211" s="123"/>
      <c r="AY211" s="115"/>
      <c r="AZ211" s="115"/>
      <c r="BA211" s="115"/>
      <c r="BB211" s="115"/>
      <c r="BC211" s="115"/>
      <c r="BD211" s="115"/>
      <c r="BE211" s="115"/>
      <c r="BF211" s="115"/>
      <c r="BG211" s="115"/>
      <c r="BH211" s="115"/>
      <c r="BI211" s="25"/>
      <c r="BJ211" s="13"/>
      <c r="BM211" s="114"/>
    </row>
    <row r="212" spans="1:65" ht="20.100000000000001" customHeight="1" x14ac:dyDescent="0.4">
      <c r="A212" s="117"/>
      <c r="B212" s="123"/>
      <c r="C212" s="123"/>
      <c r="D212" s="123"/>
      <c r="F212" s="125"/>
      <c r="G212" s="125"/>
      <c r="H212" s="125"/>
      <c r="I212" s="125"/>
      <c r="J212" s="26"/>
      <c r="K212" s="13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29"/>
      <c r="AA212" s="29"/>
      <c r="AK212" s="25"/>
      <c r="AL212" s="13"/>
      <c r="AQ212" s="116"/>
      <c r="AR212" s="123"/>
      <c r="AS212" s="123"/>
      <c r="AT212" s="123"/>
      <c r="AY212" s="115"/>
      <c r="AZ212" s="115"/>
      <c r="BA212" s="115"/>
      <c r="BB212" s="115"/>
      <c r="BC212" s="115"/>
      <c r="BD212" s="115"/>
      <c r="BE212" s="115"/>
      <c r="BF212" s="115"/>
      <c r="BG212" s="115"/>
      <c r="BH212" s="115"/>
      <c r="BI212" s="25"/>
      <c r="BJ212" s="13"/>
      <c r="BM212" s="114"/>
    </row>
    <row r="213" spans="1:65" ht="20.100000000000001" customHeight="1" x14ac:dyDescent="0.4">
      <c r="A213" s="117"/>
      <c r="B213" s="123"/>
      <c r="C213" s="123"/>
      <c r="D213" s="123"/>
      <c r="F213" s="125"/>
      <c r="G213" s="125"/>
      <c r="H213" s="125"/>
      <c r="I213" s="125"/>
      <c r="J213" s="26"/>
      <c r="K213" s="13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27"/>
      <c r="AA213" s="29"/>
      <c r="AK213" s="25"/>
      <c r="AL213" s="13"/>
      <c r="AQ213" s="116"/>
      <c r="AR213" s="123"/>
      <c r="AS213" s="123"/>
      <c r="AT213" s="123"/>
      <c r="AY213" s="115"/>
      <c r="AZ213" s="115"/>
      <c r="BA213" s="115"/>
      <c r="BB213" s="115"/>
      <c r="BC213" s="115"/>
      <c r="BD213" s="115"/>
      <c r="BE213" s="115"/>
      <c r="BF213" s="115"/>
      <c r="BG213" s="115"/>
      <c r="BH213" s="115"/>
      <c r="BI213" s="25"/>
      <c r="BJ213" s="13"/>
      <c r="BM213" s="114"/>
    </row>
    <row r="214" spans="1:65" ht="20.100000000000001" customHeight="1" x14ac:dyDescent="0.4">
      <c r="A214" s="117"/>
      <c r="B214" s="123"/>
      <c r="C214" s="123"/>
      <c r="D214" s="123"/>
      <c r="F214" s="125"/>
      <c r="G214" s="125"/>
      <c r="H214" s="125"/>
      <c r="I214" s="125"/>
      <c r="J214" s="26"/>
      <c r="K214" s="13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27"/>
      <c r="AA214" s="29"/>
      <c r="AK214" s="25"/>
      <c r="AL214" s="13"/>
      <c r="AQ214" s="116"/>
      <c r="AR214" s="123"/>
      <c r="AS214" s="123"/>
      <c r="AT214" s="123"/>
      <c r="AY214" s="115"/>
      <c r="AZ214" s="115"/>
      <c r="BA214" s="115"/>
      <c r="BB214" s="115"/>
      <c r="BC214" s="115"/>
      <c r="BD214" s="115"/>
      <c r="BE214" s="115"/>
      <c r="BF214" s="115"/>
      <c r="BG214" s="115"/>
      <c r="BH214" s="115"/>
      <c r="BI214" s="25"/>
      <c r="BJ214" s="13"/>
      <c r="BM214" s="114"/>
    </row>
    <row r="215" spans="1:65" ht="20.100000000000001" customHeight="1" x14ac:dyDescent="0.4">
      <c r="A215" s="117"/>
      <c r="B215" s="123"/>
      <c r="C215" s="123"/>
      <c r="D215" s="123"/>
      <c r="F215" s="125"/>
      <c r="G215" s="125"/>
      <c r="H215" s="125"/>
      <c r="I215" s="125"/>
      <c r="J215" s="26"/>
      <c r="K215" s="13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27"/>
      <c r="AA215" s="29"/>
      <c r="AK215" s="25"/>
      <c r="AL215" s="13"/>
      <c r="AQ215" s="116"/>
      <c r="AR215" s="123"/>
      <c r="AS215" s="123"/>
      <c r="AT215" s="123"/>
      <c r="AY215" s="115"/>
      <c r="AZ215" s="115"/>
      <c r="BA215" s="115"/>
      <c r="BB215" s="115"/>
      <c r="BC215" s="115"/>
      <c r="BD215" s="115"/>
      <c r="BE215" s="115"/>
      <c r="BF215" s="115"/>
      <c r="BG215" s="115"/>
      <c r="BH215" s="115"/>
      <c r="BI215" s="25"/>
      <c r="BJ215" s="13"/>
      <c r="BM215" s="114"/>
    </row>
    <row r="216" spans="1:65" ht="20.100000000000001" customHeight="1" x14ac:dyDescent="0.4">
      <c r="A216" s="117"/>
      <c r="B216" s="123"/>
      <c r="C216" s="123"/>
      <c r="D216" s="123"/>
      <c r="F216" s="125"/>
      <c r="G216" s="125"/>
      <c r="H216" s="125"/>
      <c r="I216" s="125"/>
      <c r="J216" s="26"/>
      <c r="K216" s="13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27"/>
      <c r="AA216" s="29"/>
      <c r="AK216" s="25"/>
      <c r="AL216" s="13"/>
      <c r="AQ216" s="116"/>
      <c r="AR216" s="123"/>
      <c r="AS216" s="123"/>
      <c r="AT216" s="123"/>
      <c r="AY216" s="115"/>
      <c r="AZ216" s="115"/>
      <c r="BA216" s="115"/>
      <c r="BB216" s="115"/>
      <c r="BC216" s="115"/>
      <c r="BD216" s="115"/>
      <c r="BE216" s="115"/>
      <c r="BF216" s="115"/>
      <c r="BG216" s="115"/>
      <c r="BH216" s="115"/>
      <c r="BI216" s="25"/>
      <c r="BJ216" s="13"/>
      <c r="BM216" s="114"/>
    </row>
    <row r="217" spans="1:65" ht="20.100000000000001" customHeight="1" x14ac:dyDescent="0.4">
      <c r="A217" s="117"/>
      <c r="B217" s="123"/>
      <c r="C217" s="123"/>
      <c r="D217" s="123"/>
      <c r="F217" s="125"/>
      <c r="G217" s="125"/>
      <c r="H217" s="125"/>
      <c r="I217" s="125"/>
      <c r="J217" s="17"/>
      <c r="K217" s="13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27"/>
      <c r="AA217" s="29"/>
      <c r="AK217" s="25"/>
      <c r="AL217" s="13"/>
      <c r="AQ217" s="116"/>
      <c r="AR217" s="123"/>
      <c r="AS217" s="123"/>
      <c r="AT217" s="123"/>
      <c r="AY217" s="115"/>
      <c r="AZ217" s="115"/>
      <c r="BA217" s="115"/>
      <c r="BB217" s="115"/>
      <c r="BC217" s="115"/>
      <c r="BD217" s="115"/>
      <c r="BE217" s="115"/>
      <c r="BF217" s="115"/>
      <c r="BG217" s="115"/>
      <c r="BH217" s="115"/>
      <c r="BI217" s="25"/>
      <c r="BJ217" s="13"/>
      <c r="BM217" s="114"/>
    </row>
    <row r="218" spans="1:65" ht="20.100000000000001" customHeight="1" x14ac:dyDescent="0.4">
      <c r="A218" s="117"/>
      <c r="B218" s="123"/>
      <c r="C218" s="123"/>
      <c r="D218" s="123"/>
      <c r="F218" s="125"/>
      <c r="G218" s="125"/>
      <c r="H218" s="125"/>
      <c r="I218" s="125"/>
      <c r="J218" s="26"/>
      <c r="K218" s="13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27"/>
      <c r="AA218" s="29"/>
      <c r="AK218" s="25"/>
      <c r="AL218" s="13"/>
      <c r="AQ218" s="116"/>
      <c r="AR218" s="123"/>
      <c r="AS218" s="123"/>
      <c r="AT218" s="123"/>
      <c r="AY218" s="115"/>
      <c r="AZ218" s="115"/>
      <c r="BA218" s="115"/>
      <c r="BB218" s="115"/>
      <c r="BC218" s="115"/>
      <c r="BD218" s="115"/>
      <c r="BE218" s="115"/>
      <c r="BF218" s="115"/>
      <c r="BG218" s="115"/>
      <c r="BH218" s="115"/>
      <c r="BI218" s="25"/>
      <c r="BJ218" s="13"/>
      <c r="BM218" s="114"/>
    </row>
    <row r="219" spans="1:65" ht="20.100000000000001" customHeight="1" x14ac:dyDescent="0.4">
      <c r="A219" s="117"/>
      <c r="B219" s="123"/>
      <c r="C219" s="123"/>
      <c r="D219" s="123"/>
      <c r="F219" s="125"/>
      <c r="G219" s="125"/>
      <c r="H219" s="125"/>
      <c r="I219" s="125"/>
      <c r="J219" s="26"/>
      <c r="K219" s="13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27"/>
      <c r="AA219" s="29"/>
      <c r="AK219" s="25"/>
      <c r="AL219" s="13"/>
      <c r="AQ219" s="116"/>
      <c r="AR219" s="123"/>
      <c r="AS219" s="123"/>
      <c r="AT219" s="123"/>
      <c r="AY219" s="115"/>
      <c r="AZ219" s="115"/>
      <c r="BA219" s="115"/>
      <c r="BB219" s="115"/>
      <c r="BC219" s="115"/>
      <c r="BD219" s="115"/>
      <c r="BE219" s="115"/>
      <c r="BF219" s="115"/>
      <c r="BG219" s="115"/>
      <c r="BH219" s="115"/>
      <c r="BI219" s="25"/>
      <c r="BJ219" s="13"/>
      <c r="BM219" s="114"/>
    </row>
    <row r="220" spans="1:65" ht="20.100000000000001" customHeight="1" x14ac:dyDescent="0.4">
      <c r="A220" s="117"/>
      <c r="B220" s="123"/>
      <c r="C220" s="123"/>
      <c r="D220" s="123"/>
      <c r="F220" s="125"/>
      <c r="G220" s="125"/>
      <c r="H220" s="125"/>
      <c r="I220" s="125"/>
      <c r="J220" s="26"/>
      <c r="K220" s="13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29"/>
      <c r="AA220" s="29"/>
      <c r="AK220" s="25"/>
      <c r="AL220" s="13"/>
      <c r="AQ220" s="116"/>
      <c r="AR220" s="123"/>
      <c r="AS220" s="123"/>
      <c r="AT220" s="123"/>
      <c r="AY220" s="115"/>
      <c r="AZ220" s="115"/>
      <c r="BA220" s="115"/>
      <c r="BB220" s="115"/>
      <c r="BC220" s="115"/>
      <c r="BD220" s="115"/>
      <c r="BE220" s="115"/>
      <c r="BF220" s="115"/>
      <c r="BG220" s="115"/>
      <c r="BH220" s="115"/>
      <c r="BI220" s="25"/>
      <c r="BJ220" s="13"/>
      <c r="BM220" s="114"/>
    </row>
    <row r="221" spans="1:65" ht="20.100000000000001" customHeight="1" x14ac:dyDescent="0.4">
      <c r="A221" s="117"/>
      <c r="B221" s="123"/>
      <c r="C221" s="123"/>
      <c r="D221" s="123"/>
      <c r="F221" s="125"/>
      <c r="G221" s="125"/>
      <c r="H221" s="125"/>
      <c r="I221" s="125"/>
      <c r="J221" s="26"/>
      <c r="K221" s="13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27"/>
      <c r="AA221" s="29"/>
      <c r="AK221" s="25"/>
      <c r="AL221" s="13"/>
      <c r="AQ221" s="116"/>
      <c r="AR221" s="123"/>
      <c r="AS221" s="123"/>
      <c r="AT221" s="123"/>
      <c r="AY221" s="115"/>
      <c r="AZ221" s="115"/>
      <c r="BA221" s="115"/>
      <c r="BB221" s="115"/>
      <c r="BC221" s="115"/>
      <c r="BD221" s="115"/>
      <c r="BE221" s="115"/>
      <c r="BF221" s="115"/>
      <c r="BG221" s="115"/>
      <c r="BH221" s="115"/>
      <c r="BI221" s="25"/>
      <c r="BJ221" s="13"/>
      <c r="BM221" s="114"/>
    </row>
    <row r="222" spans="1:65" ht="20.100000000000001" customHeight="1" x14ac:dyDescent="0.4">
      <c r="A222" s="117"/>
      <c r="B222" s="123"/>
      <c r="C222" s="123"/>
      <c r="D222" s="123"/>
      <c r="F222" s="125"/>
      <c r="G222" s="125"/>
      <c r="H222" s="125"/>
      <c r="I222" s="125"/>
      <c r="J222" s="26"/>
      <c r="K222" s="13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27"/>
      <c r="AA222" s="29"/>
      <c r="AK222" s="25"/>
      <c r="AL222" s="13"/>
      <c r="AQ222" s="116"/>
      <c r="AR222" s="123"/>
      <c r="AS222" s="123"/>
      <c r="AT222" s="123"/>
      <c r="AY222" s="115"/>
      <c r="AZ222" s="115"/>
      <c r="BA222" s="115"/>
      <c r="BB222" s="115"/>
      <c r="BC222" s="115"/>
      <c r="BD222" s="115"/>
      <c r="BE222" s="115"/>
      <c r="BF222" s="115"/>
      <c r="BG222" s="115"/>
      <c r="BH222" s="115"/>
      <c r="BI222" s="25"/>
      <c r="BJ222" s="13"/>
      <c r="BM222" s="114"/>
    </row>
    <row r="223" spans="1:65" ht="20.100000000000001" customHeight="1" x14ac:dyDescent="0.4">
      <c r="A223" s="117"/>
      <c r="B223" s="123"/>
      <c r="C223" s="123"/>
      <c r="D223" s="123"/>
      <c r="F223" s="125"/>
      <c r="G223" s="125"/>
      <c r="H223" s="125"/>
      <c r="I223" s="125"/>
      <c r="J223" s="26"/>
      <c r="K223" s="13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27"/>
      <c r="AA223" s="29"/>
      <c r="AK223" s="25"/>
      <c r="AL223" s="13"/>
      <c r="AQ223" s="116"/>
      <c r="AR223" s="123"/>
      <c r="AS223" s="123"/>
      <c r="AT223" s="123"/>
      <c r="AY223" s="115"/>
      <c r="AZ223" s="115"/>
      <c r="BA223" s="115"/>
      <c r="BB223" s="115"/>
      <c r="BC223" s="115"/>
      <c r="BD223" s="115"/>
      <c r="BE223" s="115"/>
      <c r="BF223" s="115"/>
      <c r="BG223" s="115"/>
      <c r="BH223" s="115"/>
      <c r="BI223" s="25"/>
      <c r="BJ223" s="13"/>
      <c r="BM223" s="114"/>
    </row>
    <row r="224" spans="1:65" ht="20.100000000000001" customHeight="1" x14ac:dyDescent="0.4">
      <c r="A224" s="117"/>
      <c r="B224" s="123"/>
      <c r="C224" s="123"/>
      <c r="D224" s="123"/>
      <c r="F224" s="125"/>
      <c r="G224" s="125"/>
      <c r="H224" s="125"/>
      <c r="I224" s="125"/>
      <c r="J224" s="17"/>
      <c r="K224" s="13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27"/>
      <c r="AA224" s="29"/>
      <c r="AK224" s="25"/>
      <c r="AL224" s="13"/>
      <c r="AQ224" s="116"/>
      <c r="AR224" s="123"/>
      <c r="AS224" s="123"/>
      <c r="AT224" s="123"/>
      <c r="AY224" s="115"/>
      <c r="AZ224" s="115"/>
      <c r="BA224" s="115"/>
      <c r="BB224" s="115"/>
      <c r="BC224" s="115"/>
      <c r="BD224" s="115"/>
      <c r="BE224" s="115"/>
      <c r="BF224" s="115"/>
      <c r="BG224" s="115"/>
      <c r="BH224" s="115"/>
      <c r="BI224" s="25"/>
      <c r="BJ224" s="13"/>
      <c r="BM224" s="114"/>
    </row>
    <row r="225" spans="1:65" ht="20.100000000000001" customHeight="1" x14ac:dyDescent="0.4">
      <c r="A225" s="117"/>
      <c r="B225" s="123"/>
      <c r="C225" s="123"/>
      <c r="D225" s="123"/>
      <c r="F225" s="125"/>
      <c r="G225" s="125"/>
      <c r="H225" s="125"/>
      <c r="I225" s="125"/>
      <c r="J225" s="26"/>
      <c r="K225" s="13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29"/>
      <c r="AA225" s="29"/>
      <c r="AK225" s="25"/>
      <c r="AL225" s="13"/>
      <c r="AQ225" s="116"/>
      <c r="AR225" s="123"/>
      <c r="AS225" s="123"/>
      <c r="AT225" s="123"/>
      <c r="AY225" s="115"/>
      <c r="AZ225" s="115"/>
      <c r="BA225" s="115"/>
      <c r="BB225" s="115"/>
      <c r="BC225" s="115"/>
      <c r="BD225" s="115"/>
      <c r="BE225" s="115"/>
      <c r="BF225" s="115"/>
      <c r="BG225" s="115"/>
      <c r="BH225" s="115"/>
      <c r="BI225" s="25"/>
      <c r="BJ225" s="13"/>
      <c r="BM225" s="114"/>
    </row>
    <row r="226" spans="1:65" ht="20.100000000000001" customHeight="1" x14ac:dyDescent="0.4">
      <c r="A226" s="117"/>
      <c r="B226" s="123"/>
      <c r="C226" s="123"/>
      <c r="D226" s="123"/>
      <c r="F226" s="125"/>
      <c r="G226" s="125"/>
      <c r="H226" s="125"/>
      <c r="I226" s="125"/>
      <c r="J226" s="17"/>
      <c r="K226" s="13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29"/>
      <c r="AA226" s="29"/>
      <c r="AK226" s="25"/>
      <c r="AL226" s="13"/>
      <c r="AQ226" s="116"/>
      <c r="AR226" s="123"/>
      <c r="AS226" s="123"/>
      <c r="AT226" s="123"/>
      <c r="AY226" s="115"/>
      <c r="AZ226" s="115"/>
      <c r="BA226" s="115"/>
      <c r="BB226" s="115"/>
      <c r="BC226" s="115"/>
      <c r="BD226" s="115"/>
      <c r="BE226" s="115"/>
      <c r="BF226" s="115"/>
      <c r="BG226" s="115"/>
      <c r="BH226" s="115"/>
      <c r="BI226" s="25"/>
      <c r="BJ226" s="13"/>
      <c r="BM226" s="114"/>
    </row>
    <row r="227" spans="1:65" ht="20.100000000000001" customHeight="1" x14ac:dyDescent="0.4">
      <c r="A227" s="117"/>
      <c r="B227" s="123"/>
      <c r="C227" s="123"/>
      <c r="D227" s="123"/>
      <c r="F227" s="125"/>
      <c r="G227" s="125"/>
      <c r="H227" s="125"/>
      <c r="I227" s="125"/>
      <c r="J227" s="26"/>
      <c r="K227" s="13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27"/>
      <c r="AA227" s="29"/>
      <c r="AK227" s="25"/>
      <c r="AL227" s="13"/>
      <c r="AQ227" s="116"/>
      <c r="AR227" s="123"/>
      <c r="AS227" s="123"/>
      <c r="AT227" s="123"/>
      <c r="AY227" s="115"/>
      <c r="AZ227" s="115"/>
      <c r="BA227" s="115"/>
      <c r="BB227" s="115"/>
      <c r="BC227" s="115"/>
      <c r="BD227" s="115"/>
      <c r="BE227" s="115"/>
      <c r="BF227" s="115"/>
      <c r="BG227" s="115"/>
      <c r="BH227" s="115"/>
      <c r="BI227" s="25"/>
      <c r="BJ227" s="13"/>
      <c r="BM227" s="114"/>
    </row>
    <row r="228" spans="1:65" ht="20.100000000000001" customHeight="1" x14ac:dyDescent="0.4">
      <c r="A228" s="117"/>
      <c r="B228" s="123"/>
      <c r="C228" s="123"/>
      <c r="D228" s="123"/>
      <c r="F228" s="125"/>
      <c r="G228" s="125"/>
      <c r="H228" s="125"/>
      <c r="I228" s="125"/>
      <c r="J228" s="17"/>
      <c r="K228" s="13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27"/>
      <c r="AA228" s="29"/>
      <c r="AK228" s="25"/>
      <c r="AL228" s="13"/>
      <c r="AQ228" s="116"/>
      <c r="AR228" s="123"/>
      <c r="AS228" s="123"/>
      <c r="AT228" s="123"/>
      <c r="AY228" s="115"/>
      <c r="AZ228" s="115"/>
      <c r="BA228" s="115"/>
      <c r="BB228" s="115"/>
      <c r="BC228" s="115"/>
      <c r="BD228" s="115"/>
      <c r="BE228" s="115"/>
      <c r="BF228" s="115"/>
      <c r="BG228" s="115"/>
      <c r="BH228" s="115"/>
      <c r="BI228" s="25"/>
      <c r="BJ228" s="13"/>
      <c r="BM228" s="114"/>
    </row>
    <row r="229" spans="1:65" ht="20.100000000000001" customHeight="1" x14ac:dyDescent="0.4">
      <c r="A229" s="117"/>
      <c r="B229" s="123"/>
      <c r="C229" s="123"/>
      <c r="D229" s="123"/>
      <c r="F229" s="125"/>
      <c r="G229" s="125"/>
      <c r="H229" s="125"/>
      <c r="I229" s="125"/>
      <c r="J229" s="26"/>
      <c r="K229" s="13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27"/>
      <c r="AA229" s="29"/>
      <c r="AK229" s="25"/>
      <c r="AL229" s="13"/>
      <c r="AQ229" s="116"/>
      <c r="AR229" s="123"/>
      <c r="AS229" s="123"/>
      <c r="AT229" s="123"/>
      <c r="AY229" s="115"/>
      <c r="AZ229" s="115"/>
      <c r="BA229" s="115"/>
      <c r="BB229" s="115"/>
      <c r="BC229" s="115"/>
      <c r="BD229" s="115"/>
      <c r="BE229" s="115"/>
      <c r="BF229" s="115"/>
      <c r="BG229" s="115"/>
      <c r="BH229" s="115"/>
      <c r="BI229" s="25"/>
      <c r="BJ229" s="13"/>
      <c r="BM229" s="114"/>
    </row>
    <row r="230" spans="1:65" ht="20.100000000000001" customHeight="1" x14ac:dyDescent="0.4">
      <c r="A230" s="117"/>
      <c r="B230" s="123"/>
      <c r="C230" s="123"/>
      <c r="D230" s="123"/>
      <c r="F230" s="125"/>
      <c r="G230" s="125"/>
      <c r="H230" s="125"/>
      <c r="I230" s="125"/>
      <c r="J230" s="17"/>
      <c r="K230" s="13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27"/>
      <c r="AA230" s="29"/>
      <c r="AK230" s="25"/>
      <c r="AL230" s="13"/>
      <c r="AQ230" s="116"/>
      <c r="AR230" s="123"/>
      <c r="AS230" s="123"/>
      <c r="AT230" s="123"/>
      <c r="AY230" s="115"/>
      <c r="AZ230" s="115"/>
      <c r="BA230" s="115"/>
      <c r="BB230" s="115"/>
      <c r="BC230" s="115"/>
      <c r="BD230" s="115"/>
      <c r="BE230" s="115"/>
      <c r="BF230" s="115"/>
      <c r="BG230" s="115"/>
      <c r="BH230" s="115"/>
      <c r="BI230" s="25"/>
      <c r="BJ230" s="13"/>
      <c r="BM230" s="114"/>
    </row>
    <row r="231" spans="1:65" ht="20.100000000000001" customHeight="1" x14ac:dyDescent="0.4">
      <c r="A231" s="117"/>
      <c r="B231" s="123"/>
      <c r="C231" s="123"/>
      <c r="D231" s="123"/>
      <c r="F231" s="125"/>
      <c r="G231" s="125"/>
      <c r="H231" s="125"/>
      <c r="I231" s="125"/>
      <c r="J231" s="26"/>
      <c r="K231" s="13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27"/>
      <c r="AA231" s="29"/>
      <c r="AK231" s="25"/>
      <c r="AL231" s="13"/>
      <c r="AQ231" s="116"/>
      <c r="AR231" s="123"/>
      <c r="AS231" s="123"/>
      <c r="AT231" s="123"/>
      <c r="AY231" s="115"/>
      <c r="AZ231" s="115"/>
      <c r="BA231" s="115"/>
      <c r="BB231" s="115"/>
      <c r="BC231" s="115"/>
      <c r="BD231" s="115"/>
      <c r="BE231" s="115"/>
      <c r="BF231" s="115"/>
      <c r="BG231" s="115"/>
      <c r="BH231" s="115"/>
      <c r="BI231" s="25"/>
      <c r="BJ231" s="13"/>
      <c r="BM231" s="114"/>
    </row>
    <row r="232" spans="1:65" ht="20.100000000000001" customHeight="1" x14ac:dyDescent="0.4">
      <c r="A232" s="117"/>
      <c r="B232" s="123"/>
      <c r="C232" s="123"/>
      <c r="D232" s="123"/>
      <c r="F232" s="125"/>
      <c r="G232" s="125"/>
      <c r="H232" s="125"/>
      <c r="I232" s="125"/>
      <c r="J232" s="26"/>
      <c r="K232" s="133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29"/>
      <c r="AA232" s="29"/>
      <c r="AK232" s="25"/>
      <c r="AL232" s="13"/>
      <c r="AQ232" s="116"/>
      <c r="AR232" s="123"/>
      <c r="AS232" s="123"/>
      <c r="AT232" s="123"/>
      <c r="AY232" s="115"/>
      <c r="AZ232" s="115"/>
      <c r="BA232" s="115"/>
      <c r="BB232" s="115"/>
      <c r="BC232" s="115"/>
      <c r="BD232" s="115"/>
      <c r="BE232" s="115"/>
      <c r="BF232" s="115"/>
      <c r="BG232" s="115"/>
      <c r="BH232" s="115"/>
      <c r="BI232" s="25"/>
      <c r="BJ232" s="13"/>
      <c r="BM232" s="114"/>
    </row>
    <row r="233" spans="1:65" ht="20.100000000000001" customHeight="1" x14ac:dyDescent="0.4">
      <c r="A233" s="117"/>
      <c r="B233" s="123"/>
      <c r="C233" s="123"/>
      <c r="D233" s="123"/>
      <c r="F233" s="125"/>
      <c r="G233" s="125"/>
      <c r="H233" s="125"/>
      <c r="I233" s="125"/>
      <c r="J233" s="17"/>
      <c r="K233" s="13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29"/>
      <c r="AA233" s="29"/>
      <c r="AK233" s="25"/>
      <c r="AL233" s="13"/>
      <c r="AQ233" s="116"/>
      <c r="AR233" s="123"/>
      <c r="AS233" s="123"/>
      <c r="AT233" s="123"/>
      <c r="AY233" s="115"/>
      <c r="AZ233" s="115"/>
      <c r="BA233" s="115"/>
      <c r="BB233" s="115"/>
      <c r="BC233" s="115"/>
      <c r="BD233" s="115"/>
      <c r="BE233" s="115"/>
      <c r="BF233" s="115"/>
      <c r="BG233" s="115"/>
      <c r="BH233" s="115"/>
      <c r="BI233" s="25"/>
      <c r="BJ233" s="13"/>
      <c r="BM233" s="114"/>
    </row>
    <row r="234" spans="1:65" ht="20.100000000000001" customHeight="1" x14ac:dyDescent="0.4">
      <c r="A234" s="117"/>
      <c r="B234" s="123"/>
      <c r="C234" s="123"/>
      <c r="D234" s="123"/>
      <c r="F234" s="125"/>
      <c r="G234" s="125"/>
      <c r="H234" s="125"/>
      <c r="I234" s="125"/>
      <c r="J234" s="26"/>
      <c r="K234" s="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27"/>
      <c r="AA234" s="29"/>
      <c r="AK234" s="25"/>
      <c r="AL234" s="13"/>
      <c r="AQ234" s="116"/>
      <c r="AR234" s="123"/>
      <c r="AS234" s="123"/>
      <c r="AT234" s="123"/>
      <c r="AY234" s="115"/>
      <c r="AZ234" s="115"/>
      <c r="BA234" s="115"/>
      <c r="BB234" s="115"/>
      <c r="BC234" s="115"/>
      <c r="BD234" s="115"/>
      <c r="BE234" s="115"/>
      <c r="BF234" s="115"/>
      <c r="BG234" s="115"/>
      <c r="BH234" s="115"/>
      <c r="BI234" s="25"/>
      <c r="BJ234" s="13"/>
      <c r="BM234" s="114"/>
    </row>
    <row r="235" spans="1:65" ht="20.100000000000001" customHeight="1" x14ac:dyDescent="0.4">
      <c r="A235" s="117"/>
      <c r="B235" s="123"/>
      <c r="C235" s="123"/>
      <c r="D235" s="123"/>
      <c r="F235" s="125"/>
      <c r="G235" s="125"/>
      <c r="H235" s="125"/>
      <c r="I235" s="125"/>
      <c r="J235" s="119"/>
      <c r="K235" s="119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27"/>
      <c r="AA235" s="29"/>
      <c r="AK235" s="25"/>
      <c r="AL235" s="13"/>
      <c r="AQ235" s="116"/>
      <c r="AR235" s="123"/>
      <c r="AS235" s="123"/>
      <c r="AT235" s="123"/>
      <c r="AY235" s="115"/>
      <c r="AZ235" s="115"/>
      <c r="BA235" s="115"/>
      <c r="BB235" s="115"/>
      <c r="BC235" s="115"/>
      <c r="BD235" s="115"/>
      <c r="BE235" s="115"/>
      <c r="BF235" s="115"/>
      <c r="BG235" s="115"/>
      <c r="BH235" s="115"/>
      <c r="BI235" s="25"/>
      <c r="BJ235" s="13"/>
      <c r="BM235" s="114"/>
    </row>
    <row r="236" spans="1:65" ht="20.100000000000001" customHeight="1" x14ac:dyDescent="0.4">
      <c r="A236" s="117"/>
      <c r="B236" s="123"/>
      <c r="C236" s="123"/>
      <c r="D236" s="123"/>
      <c r="F236" s="125"/>
      <c r="G236" s="125"/>
      <c r="H236" s="125"/>
      <c r="I236" s="125"/>
      <c r="J236" s="119"/>
      <c r="K236" s="119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27"/>
      <c r="AA236" s="29"/>
      <c r="AK236" s="25"/>
      <c r="AL236" s="13"/>
      <c r="AQ236" s="116"/>
      <c r="AR236" s="123"/>
      <c r="AS236" s="123"/>
      <c r="AT236" s="123"/>
      <c r="AY236" s="115"/>
      <c r="AZ236" s="115"/>
      <c r="BA236" s="115"/>
      <c r="BB236" s="115"/>
      <c r="BC236" s="115"/>
      <c r="BD236" s="115"/>
      <c r="BE236" s="115"/>
      <c r="BF236" s="115"/>
      <c r="BG236" s="115"/>
      <c r="BH236" s="115"/>
      <c r="BI236" s="25"/>
      <c r="BJ236" s="13"/>
      <c r="BM236" s="114"/>
    </row>
    <row r="237" spans="1:65" ht="20.100000000000001" customHeight="1" x14ac:dyDescent="0.4">
      <c r="A237" s="117"/>
      <c r="B237" s="123"/>
      <c r="C237" s="123"/>
      <c r="D237" s="123"/>
      <c r="F237" s="125"/>
      <c r="G237" s="125"/>
      <c r="H237" s="125"/>
      <c r="I237" s="12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27"/>
      <c r="AA237" s="29"/>
      <c r="AK237" s="25"/>
      <c r="AL237" s="13"/>
      <c r="AQ237" s="116"/>
      <c r="AR237" s="123"/>
      <c r="AS237" s="123"/>
      <c r="AT237" s="123"/>
      <c r="AY237" s="115"/>
      <c r="AZ237" s="115"/>
      <c r="BA237" s="115"/>
      <c r="BB237" s="115"/>
      <c r="BC237" s="115"/>
      <c r="BD237" s="115"/>
      <c r="BE237" s="115"/>
      <c r="BF237" s="115"/>
      <c r="BG237" s="115"/>
      <c r="BH237" s="115"/>
      <c r="BI237" s="25"/>
      <c r="BJ237" s="13"/>
      <c r="BM237" s="114"/>
    </row>
    <row r="238" spans="1:65" ht="20.100000000000001" customHeight="1" x14ac:dyDescent="0.4">
      <c r="A238" s="117"/>
      <c r="B238" s="123"/>
      <c r="C238" s="123"/>
      <c r="D238" s="123"/>
      <c r="F238" s="125"/>
      <c r="G238" s="125"/>
      <c r="H238" s="125"/>
      <c r="I238" s="12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27"/>
      <c r="AA238" s="29"/>
      <c r="AK238" s="25"/>
      <c r="AL238" s="13"/>
      <c r="AQ238" s="116"/>
      <c r="AR238" s="123"/>
      <c r="AS238" s="123"/>
      <c r="AT238" s="123"/>
      <c r="AY238" s="115"/>
      <c r="AZ238" s="115"/>
      <c r="BA238" s="115"/>
      <c r="BB238" s="115"/>
      <c r="BC238" s="115"/>
      <c r="BD238" s="115"/>
      <c r="BE238" s="115"/>
      <c r="BF238" s="115"/>
      <c r="BG238" s="115"/>
      <c r="BH238" s="115"/>
      <c r="BI238" s="25"/>
      <c r="BJ238" s="13"/>
      <c r="BM238" s="114"/>
    </row>
    <row r="239" spans="1:65" ht="20.100000000000001" customHeight="1" x14ac:dyDescent="0.4">
      <c r="A239" s="117"/>
      <c r="B239" s="123"/>
      <c r="C239" s="123"/>
      <c r="D239" s="123"/>
      <c r="F239" s="125"/>
      <c r="G239" s="125"/>
      <c r="H239" s="125"/>
      <c r="I239" s="12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27"/>
      <c r="AA239" s="29"/>
      <c r="AK239" s="25"/>
      <c r="AL239" s="13"/>
      <c r="AQ239" s="116"/>
      <c r="AR239" s="123"/>
      <c r="AS239" s="123"/>
      <c r="AT239" s="123"/>
      <c r="AY239" s="115"/>
      <c r="AZ239" s="115"/>
      <c r="BA239" s="115"/>
      <c r="BB239" s="115"/>
      <c r="BC239" s="115"/>
      <c r="BD239" s="115"/>
      <c r="BE239" s="115"/>
      <c r="BF239" s="115"/>
      <c r="BG239" s="115"/>
      <c r="BH239" s="115"/>
      <c r="BI239" s="25"/>
      <c r="BJ239" s="13"/>
      <c r="BM239" s="114"/>
    </row>
    <row r="240" spans="1:65" ht="20.100000000000001" customHeight="1" x14ac:dyDescent="0.4">
      <c r="A240" s="117"/>
      <c r="B240" s="123"/>
      <c r="C240" s="123"/>
      <c r="D240" s="123"/>
      <c r="F240" s="125"/>
      <c r="G240" s="125"/>
      <c r="H240" s="125"/>
      <c r="I240" s="12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29"/>
      <c r="AA240" s="29"/>
      <c r="AK240" s="25"/>
      <c r="AL240" s="13"/>
      <c r="AQ240" s="116"/>
      <c r="AR240" s="123"/>
      <c r="AS240" s="123"/>
      <c r="AT240" s="123"/>
      <c r="AY240" s="115"/>
      <c r="AZ240" s="115"/>
      <c r="BA240" s="115"/>
      <c r="BB240" s="115"/>
      <c r="BC240" s="115"/>
      <c r="BD240" s="115"/>
      <c r="BE240" s="115"/>
      <c r="BF240" s="115"/>
      <c r="BG240" s="115"/>
      <c r="BH240" s="115"/>
      <c r="BI240" s="25"/>
      <c r="BJ240" s="13"/>
      <c r="BM240" s="114"/>
    </row>
    <row r="241" spans="1:65" ht="20.100000000000001" customHeight="1" x14ac:dyDescent="0.4">
      <c r="A241" s="117"/>
      <c r="B241" s="123"/>
      <c r="C241" s="123"/>
      <c r="D241" s="123"/>
      <c r="F241" s="125"/>
      <c r="G241" s="125"/>
      <c r="H241" s="125"/>
      <c r="I241" s="125"/>
      <c r="Z241" s="127"/>
      <c r="AA241" s="29"/>
      <c r="AG241" s="115"/>
      <c r="AH241" s="115"/>
      <c r="AI241" s="115"/>
      <c r="AJ241" s="115"/>
      <c r="AK241" s="25">
        <v>45669</v>
      </c>
      <c r="AL241" s="13" t="s">
        <v>147</v>
      </c>
      <c r="AQ241" s="116"/>
      <c r="AR241" s="123"/>
      <c r="AS241" s="123"/>
      <c r="AT241" s="123"/>
      <c r="AY241" s="115"/>
      <c r="AZ241" s="115"/>
      <c r="BA241" s="115"/>
      <c r="BB241" s="115"/>
      <c r="BC241" s="115"/>
      <c r="BD241" s="115"/>
      <c r="BE241" s="115"/>
      <c r="BF241" s="115"/>
      <c r="BG241" s="115"/>
      <c r="BH241" s="115"/>
      <c r="BI241" s="25"/>
      <c r="BJ241" s="13"/>
      <c r="BM241" s="114"/>
    </row>
    <row r="242" spans="1:65" ht="20.100000000000001" customHeight="1" x14ac:dyDescent="0.4">
      <c r="A242" s="117"/>
      <c r="B242" s="123"/>
      <c r="C242" s="123"/>
      <c r="D242" s="123"/>
      <c r="F242" s="125"/>
      <c r="G242" s="125"/>
      <c r="H242" s="125"/>
      <c r="I242" s="125"/>
      <c r="X242" s="115"/>
      <c r="Y242" s="115"/>
      <c r="Z242" s="29"/>
      <c r="AA242" s="29"/>
      <c r="AG242" s="115"/>
      <c r="AH242" s="115"/>
      <c r="AI242" s="115"/>
      <c r="AJ242" s="115"/>
      <c r="AK242" s="25"/>
      <c r="AL242" s="13"/>
      <c r="AQ242" s="116"/>
      <c r="AR242" s="123"/>
      <c r="AS242" s="123"/>
      <c r="AT242" s="123"/>
      <c r="AY242" s="115"/>
      <c r="AZ242" s="115"/>
      <c r="BA242" s="115"/>
      <c r="BB242" s="115"/>
      <c r="BC242" s="115"/>
      <c r="BD242" s="115"/>
      <c r="BE242" s="115"/>
      <c r="BF242" s="115"/>
      <c r="BG242" s="115"/>
      <c r="BH242" s="115"/>
      <c r="BI242" s="25"/>
      <c r="BJ242" s="13"/>
      <c r="BM242" s="114"/>
    </row>
    <row r="243" spans="1:65" ht="20.100000000000001" customHeight="1" x14ac:dyDescent="0.4">
      <c r="A243" s="117"/>
      <c r="B243" s="123"/>
      <c r="C243" s="123"/>
      <c r="D243" s="123"/>
      <c r="F243" s="125"/>
      <c r="G243" s="125"/>
      <c r="H243" s="125"/>
      <c r="I243" s="125"/>
      <c r="Q243" s="115"/>
      <c r="R243" s="115"/>
      <c r="S243" s="115"/>
      <c r="T243" s="115"/>
      <c r="U243" s="115"/>
      <c r="V243" s="115"/>
      <c r="W243" s="115"/>
      <c r="X243" s="115"/>
      <c r="Y243" s="115"/>
      <c r="Z243" s="127"/>
      <c r="AA243" s="29"/>
      <c r="AG243" s="115"/>
      <c r="AH243" s="115"/>
      <c r="AI243" s="115"/>
      <c r="AJ243" s="115"/>
      <c r="AK243" s="25"/>
      <c r="AL243" s="13"/>
      <c r="AQ243" s="116"/>
      <c r="AR243" s="123"/>
      <c r="AS243" s="123"/>
      <c r="AT243" s="123"/>
      <c r="AY243" s="115"/>
      <c r="AZ243" s="115"/>
      <c r="BA243" s="115"/>
      <c r="BB243" s="115"/>
      <c r="BC243" s="115"/>
      <c r="BD243" s="115"/>
      <c r="BE243" s="115"/>
      <c r="BF243" s="115"/>
      <c r="BG243" s="115"/>
      <c r="BH243" s="115"/>
      <c r="BI243" s="25"/>
      <c r="BJ243" s="13"/>
      <c r="BM243" s="114"/>
    </row>
    <row r="244" spans="1:65" ht="20.100000000000001" customHeight="1" x14ac:dyDescent="0.4">
      <c r="A244" s="117"/>
      <c r="B244" s="123"/>
      <c r="C244" s="123"/>
      <c r="D244" s="123"/>
      <c r="F244" s="125"/>
      <c r="G244" s="125"/>
      <c r="H244" s="125"/>
      <c r="I244" s="125"/>
      <c r="Z244" s="127"/>
      <c r="AA244" s="29"/>
      <c r="AG244" s="115"/>
      <c r="AH244" s="115"/>
      <c r="AI244" s="115"/>
      <c r="AJ244" s="115"/>
      <c r="AK244" s="25"/>
      <c r="AL244" s="13"/>
      <c r="AQ244" s="116"/>
      <c r="AR244" s="123"/>
      <c r="AS244" s="123"/>
      <c r="AT244" s="123"/>
      <c r="AY244" s="115"/>
      <c r="AZ244" s="115"/>
      <c r="BA244" s="115"/>
      <c r="BB244" s="115"/>
      <c r="BC244" s="115"/>
      <c r="BD244" s="115"/>
      <c r="BE244" s="115"/>
      <c r="BF244" s="115"/>
      <c r="BG244" s="115"/>
      <c r="BH244" s="115"/>
      <c r="BI244" s="25"/>
      <c r="BJ244" s="13"/>
      <c r="BM244" s="114"/>
    </row>
    <row r="245" spans="1:65" ht="20.100000000000001" customHeight="1" x14ac:dyDescent="0.4">
      <c r="A245" s="117"/>
      <c r="B245" s="123"/>
      <c r="C245" s="123"/>
      <c r="D245" s="123"/>
      <c r="F245" s="125"/>
      <c r="G245" s="125"/>
      <c r="H245" s="125"/>
      <c r="I245" s="125"/>
      <c r="X245" s="115"/>
      <c r="Y245" s="115"/>
      <c r="Z245" s="29"/>
      <c r="AA245" s="29"/>
      <c r="AG245" s="115"/>
      <c r="AH245" s="115"/>
      <c r="AI245" s="115"/>
      <c r="AJ245" s="115"/>
      <c r="AK245" s="25"/>
      <c r="AL245" s="13"/>
      <c r="AQ245" s="116"/>
      <c r="AR245" s="123"/>
      <c r="AS245" s="123"/>
      <c r="AT245" s="123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25"/>
      <c r="BJ245" s="13"/>
      <c r="BM245" s="114"/>
    </row>
    <row r="246" spans="1:65" ht="20.100000000000001" customHeight="1" x14ac:dyDescent="0.4">
      <c r="A246" s="117"/>
      <c r="B246" s="123"/>
      <c r="C246" s="123"/>
      <c r="D246" s="123"/>
      <c r="F246" s="125"/>
      <c r="G246" s="125"/>
      <c r="H246" s="125"/>
      <c r="I246" s="12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27"/>
      <c r="AA246" s="29"/>
      <c r="AG246" s="115"/>
      <c r="AH246" s="115"/>
      <c r="AI246" s="115"/>
      <c r="AJ246" s="115"/>
      <c r="AK246" s="25"/>
      <c r="AL246" s="13"/>
      <c r="AQ246" s="116"/>
      <c r="AR246" s="123"/>
      <c r="AS246" s="123"/>
      <c r="AT246" s="123"/>
      <c r="AY246" s="115"/>
      <c r="AZ246" s="115"/>
      <c r="BA246" s="115"/>
      <c r="BB246" s="115"/>
      <c r="BC246" s="115"/>
      <c r="BD246" s="115"/>
      <c r="BE246" s="115"/>
      <c r="BF246" s="115"/>
      <c r="BG246" s="115"/>
      <c r="BH246" s="115"/>
      <c r="BI246" s="25"/>
      <c r="BJ246" s="13"/>
      <c r="BM246" s="114"/>
    </row>
    <row r="247" spans="1:65" ht="20.100000000000001" customHeight="1" x14ac:dyDescent="0.4">
      <c r="A247" s="117"/>
      <c r="B247" s="123"/>
      <c r="C247" s="123"/>
      <c r="D247" s="123"/>
      <c r="F247" s="125"/>
      <c r="G247" s="125"/>
      <c r="H247" s="125"/>
      <c r="I247" s="12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27"/>
      <c r="AA247" s="29"/>
      <c r="AG247" s="115"/>
      <c r="AH247" s="115"/>
      <c r="AI247" s="115"/>
      <c r="AJ247" s="115"/>
      <c r="AK247" s="25"/>
      <c r="AL247" s="13"/>
      <c r="AQ247" s="116"/>
      <c r="AR247" s="123"/>
      <c r="AS247" s="123"/>
      <c r="AT247" s="123"/>
      <c r="AY247" s="115"/>
      <c r="AZ247" s="115"/>
      <c r="BA247" s="115"/>
      <c r="BB247" s="115"/>
      <c r="BC247" s="115"/>
      <c r="BD247" s="115"/>
      <c r="BE247" s="115"/>
      <c r="BF247" s="115"/>
      <c r="BG247" s="115"/>
      <c r="BH247" s="115"/>
      <c r="BI247" s="25"/>
      <c r="BJ247" s="13"/>
      <c r="BM247" s="114"/>
    </row>
    <row r="248" spans="1:65" ht="20.100000000000001" customHeight="1" x14ac:dyDescent="0.4">
      <c r="A248" s="117"/>
      <c r="B248" s="123"/>
      <c r="C248" s="123"/>
      <c r="D248" s="123"/>
      <c r="F248" s="125"/>
      <c r="G248" s="125"/>
      <c r="H248" s="125"/>
      <c r="I248" s="12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27"/>
      <c r="AA248" s="29"/>
      <c r="AG248" s="115"/>
      <c r="AH248" s="115"/>
      <c r="AI248" s="115"/>
      <c r="AJ248" s="115"/>
      <c r="AK248" s="25"/>
      <c r="AL248" s="13"/>
      <c r="AQ248" s="116"/>
      <c r="AR248" s="123"/>
      <c r="AS248" s="123"/>
      <c r="AT248" s="123"/>
      <c r="AY248" s="115"/>
      <c r="AZ248" s="115"/>
      <c r="BA248" s="115"/>
      <c r="BB248" s="115"/>
      <c r="BC248" s="115"/>
      <c r="BD248" s="115"/>
      <c r="BE248" s="115"/>
      <c r="BF248" s="115"/>
      <c r="BG248" s="115"/>
      <c r="BH248" s="115"/>
      <c r="BI248" s="25"/>
      <c r="BJ248" s="13"/>
      <c r="BM248" s="114"/>
    </row>
    <row r="249" spans="1:65" ht="20.100000000000001" customHeight="1" x14ac:dyDescent="0.4">
      <c r="A249" s="117"/>
      <c r="B249" s="123"/>
      <c r="C249" s="123"/>
      <c r="D249" s="123"/>
      <c r="F249" s="125"/>
      <c r="G249" s="125"/>
      <c r="H249" s="125"/>
      <c r="I249" s="12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27"/>
      <c r="AA249" s="29"/>
      <c r="AG249" s="115"/>
      <c r="AH249" s="115"/>
      <c r="AI249" s="115"/>
      <c r="AJ249" s="115"/>
      <c r="AK249" s="25"/>
      <c r="AL249" s="13"/>
      <c r="AQ249" s="116"/>
      <c r="AR249" s="123"/>
      <c r="AS249" s="123"/>
      <c r="AT249" s="123"/>
      <c r="AY249" s="115"/>
      <c r="AZ249" s="115"/>
      <c r="BA249" s="115"/>
      <c r="BB249" s="115"/>
      <c r="BC249" s="115"/>
      <c r="BD249" s="115"/>
      <c r="BE249" s="115"/>
      <c r="BF249" s="115"/>
      <c r="BG249" s="115"/>
      <c r="BH249" s="115"/>
      <c r="BI249" s="25"/>
      <c r="BJ249" s="13"/>
      <c r="BM249" s="114"/>
    </row>
    <row r="250" spans="1:65" ht="20.100000000000001" customHeight="1" x14ac:dyDescent="0.4">
      <c r="A250" s="117"/>
      <c r="B250" s="123"/>
      <c r="C250" s="123"/>
      <c r="D250" s="123"/>
      <c r="F250" s="125"/>
      <c r="G250" s="125"/>
      <c r="H250" s="125"/>
      <c r="I250" s="12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27"/>
      <c r="AA250" s="29"/>
      <c r="AG250" s="115"/>
      <c r="AH250" s="115"/>
      <c r="AI250" s="115"/>
      <c r="AJ250" s="115"/>
      <c r="AK250" s="25"/>
      <c r="AL250" s="13"/>
      <c r="AQ250" s="116"/>
      <c r="AR250" s="123"/>
      <c r="AS250" s="123"/>
      <c r="AT250" s="123"/>
      <c r="AY250" s="115"/>
      <c r="AZ250" s="115"/>
      <c r="BA250" s="115"/>
      <c r="BB250" s="115"/>
      <c r="BC250" s="115"/>
      <c r="BD250" s="115"/>
      <c r="BE250" s="115"/>
      <c r="BF250" s="115"/>
      <c r="BG250" s="115"/>
      <c r="BH250" s="115"/>
      <c r="BI250" s="25"/>
      <c r="BJ250" s="13"/>
      <c r="BM250" s="114"/>
    </row>
    <row r="251" spans="1:65" ht="20.100000000000001" customHeight="1" x14ac:dyDescent="0.4">
      <c r="A251" s="117"/>
      <c r="B251" s="123"/>
      <c r="C251" s="123"/>
      <c r="D251" s="123"/>
      <c r="F251" s="125"/>
      <c r="G251" s="125"/>
      <c r="H251" s="125"/>
      <c r="I251" s="12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29"/>
      <c r="AA251" s="29"/>
      <c r="AG251" s="115"/>
      <c r="AH251" s="115"/>
      <c r="AI251" s="115"/>
      <c r="AJ251" s="115"/>
      <c r="AK251" s="25"/>
      <c r="AL251" s="13"/>
      <c r="AQ251" s="116"/>
      <c r="AR251" s="123"/>
      <c r="AS251" s="123"/>
      <c r="AT251" s="123"/>
      <c r="AY251" s="115"/>
      <c r="AZ251" s="115"/>
      <c r="BA251" s="115"/>
      <c r="BB251" s="115"/>
      <c r="BC251" s="115"/>
      <c r="BD251" s="115"/>
      <c r="BE251" s="115"/>
      <c r="BF251" s="115"/>
      <c r="BG251" s="115"/>
      <c r="BH251" s="115"/>
      <c r="BI251" s="25"/>
      <c r="BJ251" s="13"/>
      <c r="BM251" s="114"/>
    </row>
    <row r="252" spans="1:65" ht="20.100000000000001" customHeight="1" x14ac:dyDescent="0.4">
      <c r="A252" s="117"/>
      <c r="B252" s="123"/>
      <c r="C252" s="123"/>
      <c r="D252" s="123"/>
      <c r="F252" s="125"/>
      <c r="G252" s="125"/>
      <c r="H252" s="125"/>
      <c r="I252" s="12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27"/>
      <c r="AA252" s="29"/>
      <c r="AG252" s="115"/>
      <c r="AH252" s="115"/>
      <c r="AI252" s="115"/>
      <c r="AJ252" s="115"/>
      <c r="AK252" s="25"/>
      <c r="AL252" s="13"/>
      <c r="AQ252" s="116"/>
      <c r="AR252" s="123"/>
      <c r="AS252" s="123"/>
      <c r="AT252" s="123"/>
      <c r="AY252" s="115"/>
      <c r="AZ252" s="115"/>
      <c r="BA252" s="115"/>
      <c r="BB252" s="115"/>
      <c r="BC252" s="115"/>
      <c r="BD252" s="115"/>
      <c r="BE252" s="115"/>
      <c r="BF252" s="115"/>
      <c r="BG252" s="115"/>
      <c r="BH252" s="115"/>
      <c r="BI252" s="25"/>
      <c r="BJ252" s="13"/>
      <c r="BM252" s="114"/>
    </row>
    <row r="253" spans="1:65" ht="20.100000000000001" customHeight="1" x14ac:dyDescent="0.4">
      <c r="A253" s="117"/>
      <c r="B253" s="123"/>
      <c r="C253" s="123"/>
      <c r="D253" s="123"/>
      <c r="F253" s="125"/>
      <c r="G253" s="125"/>
      <c r="H253" s="125"/>
      <c r="I253" s="12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27"/>
      <c r="AA253" s="29"/>
      <c r="AG253" s="115"/>
      <c r="AH253" s="115"/>
      <c r="AI253" s="115"/>
      <c r="AJ253" s="115"/>
      <c r="AK253" s="25"/>
      <c r="AL253" s="13"/>
      <c r="AQ253" s="116"/>
      <c r="AR253" s="123"/>
      <c r="AS253" s="123"/>
      <c r="AT253" s="123"/>
      <c r="AY253" s="115"/>
      <c r="AZ253" s="115"/>
      <c r="BA253" s="115"/>
      <c r="BB253" s="115"/>
      <c r="BC253" s="115"/>
      <c r="BD253" s="115"/>
      <c r="BE253" s="115"/>
      <c r="BF253" s="115"/>
      <c r="BG253" s="115"/>
      <c r="BH253" s="115"/>
      <c r="BI253" s="25"/>
      <c r="BJ253" s="13"/>
      <c r="BM253" s="114"/>
    </row>
    <row r="254" spans="1:65" ht="20.100000000000001" customHeight="1" x14ac:dyDescent="0.4">
      <c r="A254" s="117"/>
      <c r="B254" s="123"/>
      <c r="C254" s="123"/>
      <c r="D254" s="123"/>
      <c r="F254" s="125"/>
      <c r="G254" s="125"/>
      <c r="H254" s="125"/>
      <c r="I254" s="12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27"/>
      <c r="AA254" s="29"/>
      <c r="AG254" s="115"/>
      <c r="AH254" s="115"/>
      <c r="AI254" s="115"/>
      <c r="AJ254" s="115"/>
      <c r="AK254" s="25"/>
      <c r="AL254" s="13"/>
      <c r="AQ254" s="116"/>
      <c r="AR254" s="123"/>
      <c r="AS254" s="123"/>
      <c r="AT254" s="123"/>
      <c r="AY254" s="115"/>
      <c r="AZ254" s="115"/>
      <c r="BA254" s="115"/>
      <c r="BB254" s="115"/>
      <c r="BC254" s="115"/>
      <c r="BD254" s="115"/>
      <c r="BE254" s="115"/>
      <c r="BF254" s="115"/>
      <c r="BG254" s="115"/>
      <c r="BH254" s="115"/>
      <c r="BI254" s="25"/>
      <c r="BJ254" s="13"/>
      <c r="BM254" s="114"/>
    </row>
    <row r="255" spans="1:65" ht="20.100000000000001" customHeight="1" x14ac:dyDescent="0.4">
      <c r="A255" s="117"/>
      <c r="B255" s="123"/>
      <c r="C255" s="123"/>
      <c r="D255" s="123"/>
      <c r="F255" s="125"/>
      <c r="G255" s="125"/>
      <c r="H255" s="125"/>
      <c r="I255" s="12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27"/>
      <c r="AA255" s="29"/>
      <c r="AG255" s="115"/>
      <c r="AH255" s="115"/>
      <c r="AI255" s="115"/>
      <c r="AJ255" s="115"/>
      <c r="AK255" s="25"/>
      <c r="AL255" s="13"/>
      <c r="AQ255" s="116"/>
      <c r="AR255" s="123"/>
      <c r="AS255" s="123"/>
      <c r="AT255" s="123"/>
      <c r="AY255" s="115"/>
      <c r="AZ255" s="115"/>
      <c r="BA255" s="115"/>
      <c r="BB255" s="115"/>
      <c r="BC255" s="115"/>
      <c r="BD255" s="115"/>
      <c r="BE255" s="115"/>
      <c r="BF255" s="115"/>
      <c r="BG255" s="115"/>
      <c r="BH255" s="115"/>
      <c r="BI255" s="25"/>
      <c r="BJ255" s="13"/>
      <c r="BM255" s="114"/>
    </row>
    <row r="256" spans="1:65" ht="20.100000000000001" customHeight="1" x14ac:dyDescent="0.4">
      <c r="A256" s="117"/>
      <c r="B256" s="123"/>
      <c r="C256" s="123"/>
      <c r="D256" s="123"/>
      <c r="F256" s="125"/>
      <c r="G256" s="125"/>
      <c r="H256" s="125"/>
      <c r="I256" s="12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27"/>
      <c r="AA256" s="29"/>
      <c r="AG256" s="115"/>
      <c r="AH256" s="115"/>
      <c r="AI256" s="115"/>
      <c r="AJ256" s="115"/>
      <c r="AK256" s="25"/>
      <c r="AL256" s="13"/>
      <c r="AQ256" s="116"/>
      <c r="AR256" s="123"/>
      <c r="AS256" s="123"/>
      <c r="AT256" s="123"/>
      <c r="AY256" s="115"/>
      <c r="AZ256" s="115"/>
      <c r="BA256" s="115"/>
      <c r="BB256" s="115"/>
      <c r="BC256" s="115"/>
      <c r="BD256" s="115"/>
      <c r="BE256" s="115"/>
      <c r="BF256" s="115"/>
      <c r="BG256" s="115"/>
      <c r="BH256" s="115"/>
      <c r="BI256" s="25"/>
      <c r="BJ256" s="13"/>
      <c r="BM256" s="114"/>
    </row>
    <row r="257" spans="1:65" ht="20.100000000000001" customHeight="1" x14ac:dyDescent="0.4">
      <c r="A257" s="117"/>
      <c r="B257" s="123"/>
      <c r="C257" s="123"/>
      <c r="D257" s="123"/>
      <c r="F257" s="125"/>
      <c r="G257" s="125"/>
      <c r="H257" s="125"/>
      <c r="I257" s="12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27"/>
      <c r="AA257" s="29"/>
      <c r="AG257" s="115"/>
      <c r="AH257" s="115"/>
      <c r="AI257" s="115"/>
      <c r="AJ257" s="115"/>
      <c r="AK257" s="25"/>
      <c r="AL257" s="13"/>
      <c r="AQ257" s="116"/>
      <c r="AR257" s="123"/>
      <c r="AS257" s="123"/>
      <c r="AT257" s="123"/>
      <c r="AY257" s="115"/>
      <c r="AZ257" s="115"/>
      <c r="BA257" s="115"/>
      <c r="BB257" s="115"/>
      <c r="BC257" s="115"/>
      <c r="BD257" s="115"/>
      <c r="BE257" s="115"/>
      <c r="BF257" s="115"/>
      <c r="BG257" s="115"/>
      <c r="BH257" s="115"/>
      <c r="BI257" s="25"/>
      <c r="BJ257" s="13"/>
      <c r="BM257" s="114"/>
    </row>
    <row r="258" spans="1:65" ht="20.100000000000001" customHeight="1" x14ac:dyDescent="0.4">
      <c r="A258" s="117"/>
      <c r="B258" s="123"/>
      <c r="C258" s="123"/>
      <c r="D258" s="123"/>
      <c r="F258" s="125"/>
      <c r="G258" s="125"/>
      <c r="H258" s="125"/>
      <c r="I258" s="12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27"/>
      <c r="AA258" s="29"/>
      <c r="AG258" s="115"/>
      <c r="AH258" s="115"/>
      <c r="AI258" s="115"/>
      <c r="AJ258" s="115"/>
      <c r="AK258" s="25"/>
      <c r="AL258" s="13"/>
      <c r="AQ258" s="116"/>
      <c r="AR258" s="123"/>
      <c r="AS258" s="123"/>
      <c r="AT258" s="123"/>
      <c r="AY258" s="115"/>
      <c r="AZ258" s="115"/>
      <c r="BA258" s="115"/>
      <c r="BB258" s="115"/>
      <c r="BC258" s="115"/>
      <c r="BD258" s="115"/>
      <c r="BE258" s="115"/>
      <c r="BF258" s="115"/>
      <c r="BG258" s="115"/>
      <c r="BH258" s="115"/>
      <c r="BI258" s="25"/>
      <c r="BJ258" s="13"/>
      <c r="BM258" s="114"/>
    </row>
    <row r="259" spans="1:65" ht="20.100000000000001" customHeight="1" x14ac:dyDescent="0.4">
      <c r="A259" s="117"/>
      <c r="B259" s="123"/>
      <c r="C259" s="123"/>
      <c r="D259" s="123"/>
      <c r="F259" s="125"/>
      <c r="G259" s="125"/>
      <c r="H259" s="125"/>
      <c r="I259" s="12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27"/>
      <c r="AA259" s="29"/>
      <c r="AG259" s="115"/>
      <c r="AH259" s="115"/>
      <c r="AI259" s="115"/>
      <c r="AJ259" s="115"/>
      <c r="AK259" s="25"/>
      <c r="AL259" s="13"/>
      <c r="AQ259" s="116"/>
      <c r="AR259" s="123"/>
      <c r="AS259" s="123"/>
      <c r="AT259" s="123"/>
      <c r="AY259" s="115"/>
      <c r="AZ259" s="115"/>
      <c r="BA259" s="115"/>
      <c r="BB259" s="115"/>
      <c r="BC259" s="115"/>
      <c r="BD259" s="115"/>
      <c r="BE259" s="115"/>
      <c r="BF259" s="115"/>
      <c r="BG259" s="115"/>
      <c r="BH259" s="115"/>
      <c r="BI259" s="25"/>
      <c r="BJ259" s="13"/>
      <c r="BM259" s="114"/>
    </row>
    <row r="260" spans="1:65" ht="20.100000000000001" customHeight="1" x14ac:dyDescent="0.4">
      <c r="A260" s="117"/>
      <c r="B260" s="123"/>
      <c r="C260" s="123"/>
      <c r="D260" s="123"/>
      <c r="F260" s="125"/>
      <c r="G260" s="125"/>
      <c r="H260" s="125"/>
      <c r="I260" s="12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27"/>
      <c r="AA260" s="29"/>
      <c r="AG260" s="115"/>
      <c r="AH260" s="115"/>
      <c r="AI260" s="115"/>
      <c r="AJ260" s="115"/>
      <c r="AK260" s="25"/>
      <c r="AL260" s="13"/>
      <c r="AQ260" s="116"/>
      <c r="AR260" s="123"/>
      <c r="AS260" s="123"/>
      <c r="AT260" s="123"/>
      <c r="AY260" s="115"/>
      <c r="AZ260" s="115"/>
      <c r="BA260" s="115"/>
      <c r="BB260" s="115"/>
      <c r="BC260" s="115"/>
      <c r="BD260" s="115"/>
      <c r="BE260" s="115"/>
      <c r="BF260" s="115"/>
      <c r="BG260" s="115"/>
      <c r="BH260" s="115"/>
      <c r="BI260" s="25"/>
      <c r="BJ260" s="13"/>
      <c r="BM260" s="114"/>
    </row>
    <row r="261" spans="1:65" ht="20.100000000000001" customHeight="1" x14ac:dyDescent="0.4">
      <c r="A261" s="117"/>
      <c r="B261" s="123"/>
      <c r="C261" s="123"/>
      <c r="D261" s="123"/>
      <c r="F261" s="125"/>
      <c r="G261" s="125"/>
      <c r="H261" s="125"/>
      <c r="I261" s="12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27"/>
      <c r="AA261" s="29"/>
      <c r="AG261" s="115"/>
      <c r="AH261" s="115"/>
      <c r="AI261" s="115"/>
      <c r="AJ261" s="115"/>
      <c r="AK261" s="25"/>
      <c r="AL261" s="13"/>
      <c r="AQ261" s="116"/>
      <c r="AR261" s="123"/>
      <c r="AS261" s="123"/>
      <c r="AT261" s="123"/>
      <c r="AY261" s="115"/>
      <c r="AZ261" s="115"/>
      <c r="BA261" s="115"/>
      <c r="BB261" s="115"/>
      <c r="BC261" s="115"/>
      <c r="BD261" s="115"/>
      <c r="BE261" s="115"/>
      <c r="BF261" s="115"/>
      <c r="BG261" s="115"/>
      <c r="BH261" s="115"/>
      <c r="BI261" s="25"/>
      <c r="BJ261" s="13"/>
      <c r="BM261" s="114"/>
    </row>
    <row r="262" spans="1:65" ht="20.100000000000001" customHeight="1" x14ac:dyDescent="0.4">
      <c r="A262" s="117"/>
      <c r="B262" s="123"/>
      <c r="C262" s="123"/>
      <c r="D262" s="123"/>
      <c r="F262" s="125"/>
      <c r="G262" s="125"/>
      <c r="H262" s="125"/>
      <c r="I262" s="12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27"/>
      <c r="AA262" s="29"/>
      <c r="AG262" s="115"/>
      <c r="AH262" s="115"/>
      <c r="AI262" s="115"/>
      <c r="AJ262" s="115"/>
      <c r="AK262" s="25"/>
      <c r="AL262" s="13"/>
      <c r="AQ262" s="116"/>
      <c r="AR262" s="123"/>
      <c r="AS262" s="123"/>
      <c r="AT262" s="123"/>
      <c r="AY262" s="115"/>
      <c r="AZ262" s="115"/>
      <c r="BA262" s="115"/>
      <c r="BB262" s="115"/>
      <c r="BC262" s="115"/>
      <c r="BD262" s="115"/>
      <c r="BE262" s="115"/>
      <c r="BF262" s="115"/>
      <c r="BG262" s="115"/>
      <c r="BH262" s="115"/>
      <c r="BI262" s="25"/>
      <c r="BJ262" s="13"/>
      <c r="BM262" s="114"/>
    </row>
    <row r="263" spans="1:65" ht="20.100000000000001" customHeight="1" x14ac:dyDescent="0.4">
      <c r="A263" s="117"/>
      <c r="B263" s="123"/>
      <c r="C263" s="123"/>
      <c r="D263" s="123"/>
      <c r="F263" s="125"/>
      <c r="G263" s="125"/>
      <c r="H263" s="125"/>
      <c r="I263" s="12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29"/>
      <c r="AA263" s="29"/>
      <c r="AG263" s="115"/>
      <c r="AH263" s="115"/>
      <c r="AI263" s="115"/>
      <c r="AJ263" s="115"/>
      <c r="AK263" s="25"/>
      <c r="AL263" s="13"/>
      <c r="AQ263" s="116"/>
      <c r="AR263" s="123"/>
      <c r="AS263" s="123"/>
      <c r="AT263" s="123"/>
      <c r="AY263" s="115"/>
      <c r="AZ263" s="115"/>
      <c r="BA263" s="115"/>
      <c r="BB263" s="115"/>
      <c r="BC263" s="115"/>
      <c r="BD263" s="115"/>
      <c r="BE263" s="115"/>
      <c r="BF263" s="115"/>
      <c r="BG263" s="115"/>
      <c r="BH263" s="115"/>
      <c r="BI263" s="25"/>
      <c r="BJ263" s="13"/>
      <c r="BM263" s="114"/>
    </row>
    <row r="264" spans="1:65" ht="20.100000000000001" customHeight="1" x14ac:dyDescent="0.4">
      <c r="A264" s="117"/>
      <c r="B264" s="123"/>
      <c r="C264" s="123"/>
      <c r="D264" s="123"/>
      <c r="F264" s="125"/>
      <c r="G264" s="125"/>
      <c r="H264" s="125"/>
      <c r="I264" s="12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27"/>
      <c r="AA264" s="29"/>
      <c r="AG264" s="115"/>
      <c r="AH264" s="115"/>
      <c r="AI264" s="115"/>
      <c r="AJ264" s="115"/>
      <c r="AK264" s="25"/>
      <c r="AL264" s="13"/>
      <c r="AQ264" s="116"/>
      <c r="AR264" s="123"/>
      <c r="AS264" s="123"/>
      <c r="AT264" s="123"/>
      <c r="AY264" s="115"/>
      <c r="AZ264" s="115"/>
      <c r="BA264" s="115"/>
      <c r="BB264" s="115"/>
      <c r="BC264" s="115"/>
      <c r="BD264" s="115"/>
      <c r="BE264" s="115"/>
      <c r="BF264" s="115"/>
      <c r="BG264" s="115"/>
      <c r="BH264" s="115"/>
      <c r="BI264" s="25"/>
      <c r="BJ264" s="13"/>
      <c r="BM264" s="114"/>
    </row>
    <row r="265" spans="1:65" ht="20.100000000000001" customHeight="1" x14ac:dyDescent="0.4">
      <c r="A265" s="117"/>
      <c r="B265" s="123"/>
      <c r="C265" s="123"/>
      <c r="D265" s="123"/>
      <c r="F265" s="125"/>
      <c r="G265" s="125"/>
      <c r="H265" s="125"/>
      <c r="I265" s="12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27"/>
      <c r="AA265" s="29"/>
      <c r="AG265" s="115"/>
      <c r="AH265" s="115"/>
      <c r="AI265" s="115"/>
      <c r="AJ265" s="115"/>
      <c r="AK265" s="25"/>
      <c r="AL265" s="13"/>
      <c r="AQ265" s="116"/>
      <c r="AR265" s="123"/>
      <c r="AS265" s="123"/>
      <c r="AT265" s="123"/>
      <c r="AY265" s="115"/>
      <c r="AZ265" s="115"/>
      <c r="BA265" s="115"/>
      <c r="BB265" s="115"/>
      <c r="BC265" s="115"/>
      <c r="BD265" s="115"/>
      <c r="BE265" s="115"/>
      <c r="BF265" s="115"/>
      <c r="BG265" s="115"/>
      <c r="BH265" s="115"/>
      <c r="BI265" s="25"/>
      <c r="BJ265" s="13"/>
      <c r="BM265" s="114"/>
    </row>
    <row r="266" spans="1:65" ht="20.100000000000001" customHeight="1" x14ac:dyDescent="0.4">
      <c r="A266" s="117"/>
      <c r="B266" s="123"/>
      <c r="C266" s="123"/>
      <c r="D266" s="123"/>
      <c r="F266" s="125"/>
      <c r="G266" s="125"/>
      <c r="H266" s="125"/>
      <c r="I266" s="12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29"/>
      <c r="AA266" s="29"/>
      <c r="AG266" s="115"/>
      <c r="AH266" s="115"/>
      <c r="AI266" s="115"/>
      <c r="AJ266" s="115"/>
      <c r="AK266" s="25"/>
      <c r="AL266" s="13"/>
      <c r="AQ266" s="116"/>
      <c r="AR266" s="123"/>
      <c r="AS266" s="123"/>
      <c r="AT266" s="123"/>
      <c r="AY266" s="115"/>
      <c r="AZ266" s="115"/>
      <c r="BA266" s="115"/>
      <c r="BB266" s="115"/>
      <c r="BC266" s="115"/>
      <c r="BD266" s="115"/>
      <c r="BE266" s="115"/>
      <c r="BF266" s="115"/>
      <c r="BG266" s="115"/>
      <c r="BH266" s="115"/>
      <c r="BI266" s="25"/>
      <c r="BJ266" s="13"/>
      <c r="BM266" s="114"/>
    </row>
    <row r="267" spans="1:65" ht="20.100000000000001" customHeight="1" x14ac:dyDescent="0.4">
      <c r="A267" s="117"/>
      <c r="B267" s="123"/>
      <c r="C267" s="123"/>
      <c r="D267" s="123"/>
      <c r="F267" s="125"/>
      <c r="G267" s="125"/>
      <c r="H267" s="125"/>
      <c r="I267" s="12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27"/>
      <c r="AA267" s="29"/>
      <c r="AG267" s="115"/>
      <c r="AH267" s="115"/>
      <c r="AI267" s="115"/>
      <c r="AJ267" s="115"/>
      <c r="AK267" s="25"/>
      <c r="AL267" s="13"/>
      <c r="AQ267" s="116"/>
      <c r="AR267" s="123"/>
      <c r="AS267" s="123"/>
      <c r="AT267" s="123"/>
      <c r="AY267" s="115"/>
      <c r="AZ267" s="115"/>
      <c r="BA267" s="115"/>
      <c r="BB267" s="115"/>
      <c r="BC267" s="115"/>
      <c r="BD267" s="115"/>
      <c r="BE267" s="115"/>
      <c r="BF267" s="115"/>
      <c r="BG267" s="115"/>
      <c r="BH267" s="115"/>
      <c r="BI267" s="25"/>
      <c r="BJ267" s="13"/>
      <c r="BM267" s="114"/>
    </row>
    <row r="268" spans="1:65" ht="20.100000000000001" customHeight="1" x14ac:dyDescent="0.4">
      <c r="A268" s="117"/>
      <c r="B268" s="123"/>
      <c r="C268" s="123"/>
      <c r="D268" s="123"/>
      <c r="F268" s="125"/>
      <c r="G268" s="125"/>
      <c r="H268" s="125"/>
      <c r="I268" s="12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27"/>
      <c r="AA268" s="29"/>
      <c r="AG268" s="115"/>
      <c r="AH268" s="115"/>
      <c r="AI268" s="115"/>
      <c r="AJ268" s="115"/>
      <c r="AK268" s="25"/>
      <c r="AL268" s="13"/>
      <c r="AQ268" s="116"/>
      <c r="AR268" s="123"/>
      <c r="AS268" s="123"/>
      <c r="AT268" s="123"/>
      <c r="AY268" s="115"/>
      <c r="AZ268" s="115"/>
      <c r="BA268" s="115"/>
      <c r="BB268" s="115"/>
      <c r="BC268" s="115"/>
      <c r="BD268" s="115"/>
      <c r="BE268" s="115"/>
      <c r="BF268" s="115"/>
      <c r="BG268" s="115"/>
      <c r="BH268" s="115"/>
      <c r="BI268" s="25"/>
      <c r="BJ268" s="13"/>
      <c r="BM268" s="114"/>
    </row>
    <row r="269" spans="1:65" ht="20.100000000000001" customHeight="1" x14ac:dyDescent="0.4">
      <c r="A269" s="117"/>
      <c r="B269" s="123"/>
      <c r="C269" s="123"/>
      <c r="D269" s="123"/>
      <c r="F269" s="125"/>
      <c r="G269" s="125"/>
      <c r="H269" s="125"/>
      <c r="I269" s="125"/>
      <c r="Z269" s="127"/>
      <c r="AA269" s="29"/>
      <c r="AG269" s="115"/>
      <c r="AH269" s="115"/>
      <c r="AI269" s="115"/>
      <c r="AJ269" s="115"/>
      <c r="AK269" s="25">
        <v>45671</v>
      </c>
      <c r="AL269" s="13" t="s">
        <v>146</v>
      </c>
      <c r="AQ269" s="116"/>
      <c r="AR269" s="123"/>
      <c r="AS269" s="123"/>
      <c r="AT269" s="123"/>
      <c r="AY269" s="115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25"/>
      <c r="BJ269" s="13"/>
      <c r="BM269" s="114"/>
    </row>
    <row r="270" spans="1:65" ht="20.100000000000001" customHeight="1" x14ac:dyDescent="0.4">
      <c r="A270" s="117"/>
      <c r="B270" s="123"/>
      <c r="C270" s="123"/>
      <c r="D270" s="123"/>
      <c r="F270" s="125"/>
      <c r="G270" s="125"/>
      <c r="H270" s="125"/>
      <c r="I270" s="12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27"/>
      <c r="AA270" s="29"/>
      <c r="AG270" s="115"/>
      <c r="AH270" s="115"/>
      <c r="AI270" s="115"/>
      <c r="AJ270" s="115"/>
      <c r="AK270" s="25"/>
      <c r="AL270" s="13"/>
      <c r="AQ270" s="116"/>
      <c r="AR270" s="123"/>
      <c r="AS270" s="123"/>
      <c r="AT270" s="123"/>
      <c r="AY270" s="115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25"/>
      <c r="BJ270" s="13"/>
      <c r="BM270" s="114"/>
    </row>
    <row r="271" spans="1:65" ht="20.100000000000001" customHeight="1" x14ac:dyDescent="0.4">
      <c r="A271" s="117"/>
      <c r="B271" s="123"/>
      <c r="C271" s="123"/>
      <c r="D271" s="123"/>
      <c r="F271" s="125"/>
      <c r="G271" s="125"/>
      <c r="H271" s="125"/>
      <c r="I271" s="12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29"/>
      <c r="AA271" s="29"/>
      <c r="AG271" s="115"/>
      <c r="AH271" s="115"/>
      <c r="AI271" s="115"/>
      <c r="AJ271" s="115"/>
      <c r="AK271" s="25"/>
      <c r="AL271" s="13"/>
      <c r="AQ271" s="116"/>
      <c r="AR271" s="123"/>
      <c r="AS271" s="123"/>
      <c r="AT271" s="123"/>
      <c r="AY271" s="115"/>
      <c r="AZ271" s="115"/>
      <c r="BA271" s="115"/>
      <c r="BB271" s="115"/>
      <c r="BC271" s="115"/>
      <c r="BD271" s="115"/>
      <c r="BE271" s="115"/>
      <c r="BF271" s="115"/>
      <c r="BG271" s="115"/>
      <c r="BH271" s="115"/>
      <c r="BI271" s="25"/>
      <c r="BJ271" s="13"/>
      <c r="BM271" s="114"/>
    </row>
    <row r="272" spans="1:65" ht="20.100000000000001" customHeight="1" x14ac:dyDescent="0.4">
      <c r="A272" s="117"/>
      <c r="B272" s="123"/>
      <c r="C272" s="123"/>
      <c r="D272" s="123"/>
      <c r="F272" s="125"/>
      <c r="G272" s="125"/>
      <c r="H272" s="125"/>
      <c r="I272" s="12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27"/>
      <c r="AA272" s="29"/>
      <c r="AG272" s="115"/>
      <c r="AH272" s="115"/>
      <c r="AI272" s="115"/>
      <c r="AJ272" s="115"/>
      <c r="AK272" s="25"/>
      <c r="AL272" s="13"/>
      <c r="AQ272" s="116"/>
      <c r="AR272" s="123"/>
      <c r="AS272" s="123"/>
      <c r="AT272" s="123"/>
      <c r="AY272" s="115"/>
      <c r="AZ272" s="115"/>
      <c r="BA272" s="115"/>
      <c r="BB272" s="115"/>
      <c r="BC272" s="115"/>
      <c r="BD272" s="115"/>
      <c r="BE272" s="115"/>
      <c r="BF272" s="115"/>
      <c r="BG272" s="115"/>
      <c r="BH272" s="115"/>
      <c r="BI272" s="25"/>
      <c r="BJ272" s="13"/>
      <c r="BM272" s="114"/>
    </row>
    <row r="273" spans="1:65" ht="20.100000000000001" customHeight="1" x14ac:dyDescent="0.4">
      <c r="A273" s="117"/>
      <c r="B273" s="123"/>
      <c r="C273" s="123"/>
      <c r="D273" s="123"/>
      <c r="F273" s="125"/>
      <c r="G273" s="125"/>
      <c r="H273" s="125"/>
      <c r="I273" s="12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29"/>
      <c r="AA273" s="29"/>
      <c r="AG273" s="115"/>
      <c r="AH273" s="115"/>
      <c r="AI273" s="115"/>
      <c r="AJ273" s="115"/>
      <c r="AK273" s="25"/>
      <c r="AL273" s="13"/>
      <c r="AQ273" s="116"/>
      <c r="AR273" s="123"/>
      <c r="AS273" s="123"/>
      <c r="AT273" s="123"/>
      <c r="AY273" s="115"/>
      <c r="AZ273" s="115"/>
      <c r="BA273" s="115"/>
      <c r="BB273" s="115"/>
      <c r="BC273" s="115"/>
      <c r="BD273" s="115"/>
      <c r="BE273" s="115"/>
      <c r="BF273" s="115"/>
      <c r="BG273" s="115"/>
      <c r="BH273" s="115"/>
      <c r="BI273" s="25"/>
      <c r="BJ273" s="13"/>
      <c r="BM273" s="114"/>
    </row>
    <row r="274" spans="1:65" ht="20.100000000000001" customHeight="1" x14ac:dyDescent="0.4">
      <c r="A274" s="117"/>
      <c r="B274" s="123"/>
      <c r="C274" s="123"/>
      <c r="D274" s="123"/>
      <c r="F274" s="125"/>
      <c r="G274" s="125"/>
      <c r="H274" s="125"/>
      <c r="I274" s="125"/>
      <c r="Z274" s="127"/>
      <c r="AA274" s="29"/>
      <c r="AE274" s="115"/>
      <c r="AF274" s="115"/>
      <c r="AG274" s="115"/>
      <c r="AH274" s="115"/>
      <c r="AI274" s="115"/>
      <c r="AJ274" s="115"/>
      <c r="AK274" s="25">
        <v>45671</v>
      </c>
      <c r="AL274" s="13" t="s">
        <v>148</v>
      </c>
      <c r="AQ274" s="116"/>
      <c r="AR274" s="123"/>
      <c r="AS274" s="123"/>
      <c r="AT274" s="123"/>
      <c r="AY274" s="115"/>
      <c r="AZ274" s="115"/>
      <c r="BA274" s="115"/>
      <c r="BB274" s="115"/>
      <c r="BC274" s="115"/>
      <c r="BD274" s="115"/>
      <c r="BE274" s="115"/>
      <c r="BF274" s="115"/>
      <c r="BG274" s="115"/>
      <c r="BH274" s="115"/>
      <c r="BI274" s="25"/>
      <c r="BJ274" s="13"/>
      <c r="BM274" s="114"/>
    </row>
    <row r="275" spans="1:65" ht="20.100000000000001" customHeight="1" x14ac:dyDescent="0.4">
      <c r="A275" s="117"/>
      <c r="B275" s="123"/>
      <c r="C275" s="123"/>
      <c r="D275" s="123"/>
      <c r="F275" s="125"/>
      <c r="G275" s="125"/>
      <c r="H275" s="125"/>
      <c r="I275" s="125"/>
      <c r="X275" s="115"/>
      <c r="Y275" s="115"/>
      <c r="Z275" s="29"/>
      <c r="AA275" s="29"/>
      <c r="AE275" s="115"/>
      <c r="AF275" s="115"/>
      <c r="AG275" s="115"/>
      <c r="AH275" s="115"/>
      <c r="AI275" s="115"/>
      <c r="AJ275" s="115"/>
      <c r="AK275" s="25"/>
      <c r="AL275" s="13"/>
      <c r="AQ275" s="116"/>
      <c r="AR275" s="123"/>
      <c r="AS275" s="123"/>
      <c r="AT275" s="123"/>
      <c r="AY275" s="115"/>
      <c r="AZ275" s="115"/>
      <c r="BA275" s="115"/>
      <c r="BB275" s="115"/>
      <c r="BC275" s="115"/>
      <c r="BD275" s="115"/>
      <c r="BE275" s="115"/>
      <c r="BF275" s="115"/>
      <c r="BG275" s="115"/>
      <c r="BH275" s="115"/>
      <c r="BI275" s="25"/>
      <c r="BJ275" s="13"/>
      <c r="BM275" s="114"/>
    </row>
    <row r="276" spans="1:65" ht="20.100000000000001" customHeight="1" x14ac:dyDescent="0.4">
      <c r="A276" s="117"/>
      <c r="B276" s="123"/>
      <c r="C276" s="123"/>
      <c r="D276" s="123"/>
      <c r="F276" s="125"/>
      <c r="G276" s="125"/>
      <c r="H276" s="125"/>
      <c r="I276" s="125"/>
      <c r="T276" s="115"/>
      <c r="U276" s="115"/>
      <c r="V276" s="115"/>
      <c r="W276" s="115"/>
      <c r="X276" s="115"/>
      <c r="Y276" s="115"/>
      <c r="Z276" s="127"/>
      <c r="AA276" s="29"/>
      <c r="AE276" s="115"/>
      <c r="AF276" s="115"/>
      <c r="AG276" s="115"/>
      <c r="AH276" s="115"/>
      <c r="AI276" s="115"/>
      <c r="AJ276" s="115"/>
      <c r="AK276" s="25"/>
      <c r="AL276" s="13"/>
      <c r="AQ276" s="116"/>
      <c r="AR276" s="123"/>
      <c r="AS276" s="123"/>
      <c r="AT276" s="123"/>
      <c r="AY276" s="115"/>
      <c r="AZ276" s="115"/>
      <c r="BA276" s="115"/>
      <c r="BB276" s="115"/>
      <c r="BC276" s="115"/>
      <c r="BD276" s="115"/>
      <c r="BE276" s="115"/>
      <c r="BF276" s="115"/>
      <c r="BG276" s="115"/>
      <c r="BH276" s="115"/>
      <c r="BI276" s="25"/>
      <c r="BJ276" s="13"/>
      <c r="BM276" s="114"/>
    </row>
    <row r="277" spans="1:65" ht="20.100000000000001" customHeight="1" x14ac:dyDescent="0.4">
      <c r="A277" s="117"/>
      <c r="B277" s="123"/>
      <c r="C277" s="123"/>
      <c r="D277" s="123"/>
      <c r="F277" s="125"/>
      <c r="G277" s="125"/>
      <c r="H277" s="125"/>
      <c r="I277" s="125"/>
      <c r="T277" s="115"/>
      <c r="U277" s="115"/>
      <c r="V277" s="115"/>
      <c r="W277" s="115"/>
      <c r="X277" s="115"/>
      <c r="Y277" s="115"/>
      <c r="Z277" s="29"/>
      <c r="AA277" s="29"/>
      <c r="AE277" s="115"/>
      <c r="AF277" s="115"/>
      <c r="AG277" s="115"/>
      <c r="AH277" s="115"/>
      <c r="AI277" s="115"/>
      <c r="AJ277" s="115"/>
      <c r="AK277" s="25"/>
      <c r="AL277" s="13"/>
      <c r="AQ277" s="116"/>
      <c r="AR277" s="123"/>
      <c r="AS277" s="123"/>
      <c r="AT277" s="123"/>
      <c r="AY277" s="115"/>
      <c r="AZ277" s="115"/>
      <c r="BA277" s="115"/>
      <c r="BB277" s="115"/>
      <c r="BC277" s="115"/>
      <c r="BD277" s="115"/>
      <c r="BE277" s="115"/>
      <c r="BF277" s="115"/>
      <c r="BG277" s="115"/>
      <c r="BH277" s="115"/>
      <c r="BI277" s="25"/>
      <c r="BJ277" s="13"/>
      <c r="BM277" s="114"/>
    </row>
    <row r="278" spans="1:65" ht="20.100000000000001" customHeight="1" x14ac:dyDescent="0.4">
      <c r="A278" s="117"/>
      <c r="B278" s="123"/>
      <c r="C278" s="123"/>
      <c r="D278" s="123"/>
      <c r="F278" s="125"/>
      <c r="G278" s="125"/>
      <c r="H278" s="125"/>
      <c r="I278" s="125"/>
      <c r="T278" s="115"/>
      <c r="U278" s="115"/>
      <c r="V278" s="115"/>
      <c r="W278" s="115"/>
      <c r="X278" s="115"/>
      <c r="Y278" s="115"/>
      <c r="Z278" s="29"/>
      <c r="AA278" s="29"/>
      <c r="AE278" s="115"/>
      <c r="AF278" s="115"/>
      <c r="AG278" s="115"/>
      <c r="AH278" s="115"/>
      <c r="AI278" s="115"/>
      <c r="AJ278" s="115"/>
      <c r="AK278" s="25"/>
      <c r="AL278" s="13"/>
      <c r="AQ278" s="116"/>
      <c r="AR278" s="123"/>
      <c r="AS278" s="123"/>
      <c r="AT278" s="123"/>
      <c r="AY278" s="115"/>
      <c r="AZ278" s="115"/>
      <c r="BA278" s="115"/>
      <c r="BB278" s="115"/>
      <c r="BC278" s="115"/>
      <c r="BD278" s="115"/>
      <c r="BE278" s="115"/>
      <c r="BF278" s="115"/>
      <c r="BG278" s="115"/>
      <c r="BH278" s="115"/>
      <c r="BI278" s="25"/>
      <c r="BJ278" s="13"/>
      <c r="BM278" s="114"/>
    </row>
    <row r="279" spans="1:65" ht="20.100000000000001" customHeight="1" x14ac:dyDescent="0.4">
      <c r="A279" s="117"/>
      <c r="B279" s="123"/>
      <c r="C279" s="123"/>
      <c r="D279" s="123"/>
      <c r="F279" s="125"/>
      <c r="G279" s="125"/>
      <c r="H279" s="125"/>
      <c r="I279" s="125"/>
      <c r="S279" s="115"/>
      <c r="T279" s="115"/>
      <c r="U279" s="115"/>
      <c r="V279" s="115"/>
      <c r="W279" s="115"/>
      <c r="X279" s="115"/>
      <c r="Y279" s="115"/>
      <c r="Z279" s="127"/>
      <c r="AA279" s="29"/>
      <c r="AE279" s="115"/>
      <c r="AF279" s="115"/>
      <c r="AG279" s="115"/>
      <c r="AH279" s="115"/>
      <c r="AI279" s="115"/>
      <c r="AJ279" s="115"/>
      <c r="AK279" s="25"/>
      <c r="AL279" s="13"/>
      <c r="AQ279" s="116"/>
      <c r="AR279" s="123"/>
      <c r="AS279" s="123"/>
      <c r="AT279" s="123"/>
      <c r="AY279" s="115"/>
      <c r="AZ279" s="115"/>
      <c r="BA279" s="115"/>
      <c r="BB279" s="115"/>
      <c r="BC279" s="115"/>
      <c r="BD279" s="115"/>
      <c r="BE279" s="115"/>
      <c r="BF279" s="115"/>
      <c r="BG279" s="115"/>
      <c r="BH279" s="115"/>
      <c r="BI279" s="25"/>
      <c r="BJ279" s="13"/>
      <c r="BM279" s="114"/>
    </row>
    <row r="280" spans="1:65" ht="20.100000000000001" customHeight="1" x14ac:dyDescent="0.4">
      <c r="A280" s="117"/>
      <c r="B280" s="123"/>
      <c r="C280" s="123"/>
      <c r="D280" s="123"/>
      <c r="F280" s="125"/>
      <c r="G280" s="125"/>
      <c r="H280" s="125"/>
      <c r="I280" s="125"/>
      <c r="S280" s="115"/>
      <c r="T280" s="115"/>
      <c r="U280" s="115"/>
      <c r="V280" s="115"/>
      <c r="W280" s="115"/>
      <c r="X280" s="115"/>
      <c r="Y280" s="115"/>
      <c r="Z280" s="127"/>
      <c r="AA280" s="29"/>
      <c r="AE280" s="115"/>
      <c r="AF280" s="115"/>
      <c r="AG280" s="115"/>
      <c r="AH280" s="115"/>
      <c r="AI280" s="115"/>
      <c r="AJ280" s="115"/>
      <c r="AK280" s="25"/>
      <c r="AL280" s="13"/>
      <c r="AQ280" s="116"/>
      <c r="AR280" s="123"/>
      <c r="AS280" s="123"/>
      <c r="AT280" s="123"/>
      <c r="AY280" s="115"/>
      <c r="AZ280" s="115"/>
      <c r="BA280" s="115"/>
      <c r="BB280" s="115"/>
      <c r="BC280" s="115"/>
      <c r="BD280" s="115"/>
      <c r="BE280" s="115"/>
      <c r="BF280" s="115"/>
      <c r="BG280" s="115"/>
      <c r="BH280" s="115"/>
      <c r="BI280" s="25"/>
      <c r="BJ280" s="13"/>
      <c r="BM280" s="114"/>
    </row>
    <row r="281" spans="1:65" ht="20.100000000000001" customHeight="1" x14ac:dyDescent="0.4">
      <c r="A281" s="117"/>
      <c r="B281" s="123"/>
      <c r="C281" s="123"/>
      <c r="D281" s="123"/>
      <c r="F281" s="125"/>
      <c r="G281" s="125"/>
      <c r="H281" s="125"/>
      <c r="I281" s="125"/>
      <c r="S281" s="115"/>
      <c r="T281" s="115"/>
      <c r="U281" s="115"/>
      <c r="V281" s="115"/>
      <c r="W281" s="115"/>
      <c r="X281" s="115"/>
      <c r="Y281" s="115"/>
      <c r="Z281" s="127"/>
      <c r="AA281" s="29"/>
      <c r="AE281" s="115"/>
      <c r="AF281" s="115"/>
      <c r="AG281" s="115"/>
      <c r="AH281" s="115"/>
      <c r="AI281" s="115"/>
      <c r="AJ281" s="115"/>
      <c r="AK281" s="25"/>
      <c r="AL281" s="13"/>
      <c r="AQ281" s="116"/>
      <c r="AR281" s="123"/>
      <c r="AS281" s="123"/>
      <c r="AT281" s="123"/>
      <c r="AY281" s="115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25"/>
      <c r="BJ281" s="13"/>
      <c r="BM281" s="114"/>
    </row>
    <row r="282" spans="1:65" ht="20.100000000000001" customHeight="1" x14ac:dyDescent="0.4">
      <c r="A282" s="117"/>
      <c r="B282" s="123"/>
      <c r="C282" s="123"/>
      <c r="D282" s="123"/>
      <c r="Z282" s="127"/>
      <c r="AA282" s="29"/>
      <c r="AE282" s="115"/>
      <c r="AF282" s="115"/>
      <c r="AG282" s="115"/>
      <c r="AH282" s="115"/>
      <c r="AI282" s="115"/>
      <c r="AJ282" s="115"/>
      <c r="AK282" s="25"/>
      <c r="AL282" s="13"/>
      <c r="AQ282" s="116"/>
      <c r="AR282" s="123"/>
      <c r="AS282" s="123"/>
      <c r="AT282" s="123"/>
      <c r="AY282" s="115"/>
      <c r="AZ282" s="115"/>
      <c r="BA282" s="115"/>
      <c r="BB282" s="115"/>
      <c r="BC282" s="115"/>
      <c r="BD282" s="115"/>
      <c r="BE282" s="115"/>
      <c r="BF282" s="115"/>
      <c r="BG282" s="115"/>
      <c r="BH282" s="115"/>
      <c r="BI282" s="25"/>
      <c r="BJ282" s="13"/>
      <c r="BM282" s="114"/>
    </row>
    <row r="283" spans="1:65" ht="20.100000000000001" customHeight="1" x14ac:dyDescent="0.4">
      <c r="A283" s="117"/>
      <c r="B283" s="123"/>
      <c r="C283" s="123"/>
      <c r="D283" s="123"/>
      <c r="Q283" s="115"/>
      <c r="R283" s="115"/>
      <c r="S283" s="115"/>
      <c r="T283" s="115"/>
      <c r="U283" s="115"/>
      <c r="V283" s="115"/>
      <c r="W283" s="115"/>
      <c r="X283" s="115"/>
      <c r="Y283" s="115"/>
      <c r="Z283" s="127"/>
      <c r="AA283" s="29"/>
      <c r="AE283" s="115"/>
      <c r="AF283" s="115"/>
      <c r="AG283" s="115"/>
      <c r="AH283" s="115"/>
      <c r="AI283" s="115"/>
      <c r="AJ283" s="115"/>
      <c r="AK283" s="25"/>
      <c r="AL283" s="13"/>
      <c r="AQ283" s="116"/>
      <c r="AR283" s="123"/>
      <c r="AS283" s="123"/>
      <c r="AT283" s="123"/>
      <c r="AY283" s="115"/>
      <c r="AZ283" s="115"/>
      <c r="BA283" s="115"/>
      <c r="BB283" s="115"/>
      <c r="BC283" s="115"/>
      <c r="BD283" s="115"/>
      <c r="BE283" s="115"/>
      <c r="BF283" s="115"/>
      <c r="BG283" s="115"/>
      <c r="BH283" s="115"/>
      <c r="BI283" s="25"/>
      <c r="BJ283" s="13"/>
      <c r="BM283" s="114"/>
    </row>
    <row r="284" spans="1:65" ht="20.100000000000001" customHeight="1" x14ac:dyDescent="0.4">
      <c r="A284" s="117"/>
      <c r="B284" s="123"/>
      <c r="C284" s="123"/>
      <c r="D284" s="123"/>
      <c r="Q284" s="115"/>
      <c r="R284" s="115"/>
      <c r="S284" s="115"/>
      <c r="T284" s="115"/>
      <c r="U284" s="115"/>
      <c r="V284" s="115"/>
      <c r="W284" s="115"/>
      <c r="X284" s="115"/>
      <c r="Y284" s="115"/>
      <c r="Z284" s="127"/>
      <c r="AA284" s="29"/>
      <c r="AE284" s="115"/>
      <c r="AF284" s="115"/>
      <c r="AG284" s="115"/>
      <c r="AH284" s="115"/>
      <c r="AI284" s="115"/>
      <c r="AJ284" s="115"/>
      <c r="AK284" s="25"/>
      <c r="AL284" s="13"/>
      <c r="AQ284" s="116"/>
      <c r="AR284" s="123"/>
      <c r="AS284" s="123"/>
      <c r="AT284" s="123"/>
      <c r="AY284" s="115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25"/>
      <c r="BJ284" s="13"/>
      <c r="BM284" s="114"/>
    </row>
    <row r="285" spans="1:65" ht="20.100000000000001" customHeight="1" x14ac:dyDescent="0.4">
      <c r="A285" s="117"/>
      <c r="B285" s="123"/>
      <c r="C285" s="123"/>
      <c r="D285" s="123"/>
      <c r="Q285" s="115"/>
      <c r="R285" s="115"/>
      <c r="S285" s="115"/>
      <c r="T285" s="115"/>
      <c r="U285" s="115"/>
      <c r="V285" s="115"/>
      <c r="W285" s="115"/>
      <c r="X285" s="115"/>
      <c r="Y285" s="115"/>
      <c r="Z285" s="127"/>
      <c r="AA285" s="29"/>
      <c r="AE285" s="115"/>
      <c r="AF285" s="115"/>
      <c r="AG285" s="115"/>
      <c r="AH285" s="115"/>
      <c r="AI285" s="115"/>
      <c r="AJ285" s="115"/>
      <c r="AK285" s="25"/>
      <c r="AL285" s="13"/>
      <c r="AQ285" s="116"/>
      <c r="AR285" s="123"/>
      <c r="AS285" s="123"/>
      <c r="AT285" s="123"/>
      <c r="AY285" s="115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25"/>
      <c r="BJ285" s="13"/>
      <c r="BM285" s="114"/>
    </row>
    <row r="286" spans="1:65" ht="20.100000000000001" customHeight="1" x14ac:dyDescent="0.4">
      <c r="A286" s="117"/>
      <c r="B286" s="123"/>
      <c r="C286" s="123"/>
      <c r="D286" s="123"/>
      <c r="Q286" s="115"/>
      <c r="R286" s="115"/>
      <c r="S286" s="115"/>
      <c r="T286" s="115"/>
      <c r="U286" s="115"/>
      <c r="V286" s="115"/>
      <c r="W286" s="115"/>
      <c r="X286" s="115"/>
      <c r="Y286" s="115"/>
      <c r="Z286" s="29"/>
      <c r="AA286" s="29"/>
      <c r="AE286" s="115"/>
      <c r="AF286" s="115"/>
      <c r="AG286" s="115"/>
      <c r="AH286" s="115"/>
      <c r="AI286" s="115"/>
      <c r="AJ286" s="115"/>
      <c r="AK286" s="25"/>
      <c r="AL286" s="13"/>
      <c r="AQ286" s="116"/>
      <c r="AR286" s="123"/>
      <c r="AS286" s="123"/>
      <c r="AT286" s="123"/>
      <c r="AY286" s="115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25"/>
      <c r="BJ286" s="13"/>
      <c r="BM286" s="114"/>
    </row>
    <row r="287" spans="1:65" ht="20.100000000000001" customHeight="1" x14ac:dyDescent="0.4">
      <c r="A287" s="117"/>
      <c r="B287" s="123"/>
      <c r="C287" s="123"/>
      <c r="D287" s="123"/>
      <c r="Q287" s="115"/>
      <c r="R287" s="115"/>
      <c r="S287" s="115"/>
      <c r="T287" s="115"/>
      <c r="U287" s="115"/>
      <c r="V287" s="115"/>
      <c r="W287" s="115"/>
      <c r="X287" s="115"/>
      <c r="Y287" s="115"/>
      <c r="Z287" s="127"/>
      <c r="AA287" s="29"/>
      <c r="AE287" s="115"/>
      <c r="AF287" s="115"/>
      <c r="AG287" s="115"/>
      <c r="AH287" s="115"/>
      <c r="AI287" s="115"/>
      <c r="AJ287" s="115"/>
      <c r="AK287" s="25"/>
      <c r="AL287" s="13"/>
      <c r="AQ287" s="116"/>
      <c r="AR287" s="123"/>
      <c r="AS287" s="123"/>
      <c r="AT287" s="123"/>
      <c r="AY287" s="115"/>
      <c r="AZ287" s="115"/>
      <c r="BA287" s="115"/>
      <c r="BB287" s="115"/>
      <c r="BC287" s="115"/>
      <c r="BD287" s="115"/>
      <c r="BE287" s="115"/>
      <c r="BF287" s="115"/>
      <c r="BG287" s="115"/>
      <c r="BH287" s="115"/>
      <c r="BI287" s="25"/>
      <c r="BJ287" s="13"/>
      <c r="BM287" s="114"/>
    </row>
    <row r="288" spans="1:65" ht="20.100000000000001" customHeight="1" x14ac:dyDescent="0.4">
      <c r="A288" s="117"/>
      <c r="B288" s="123"/>
      <c r="C288" s="123"/>
      <c r="D288" s="123"/>
      <c r="Q288" s="115"/>
      <c r="R288" s="115"/>
      <c r="S288" s="115"/>
      <c r="T288" s="115"/>
      <c r="U288" s="115"/>
      <c r="V288" s="115"/>
      <c r="W288" s="115"/>
      <c r="X288" s="115"/>
      <c r="Y288" s="115"/>
      <c r="Z288" s="127"/>
      <c r="AA288" s="29"/>
      <c r="AE288" s="115"/>
      <c r="AF288" s="115"/>
      <c r="AG288" s="115"/>
      <c r="AH288" s="115"/>
      <c r="AI288" s="115"/>
      <c r="AJ288" s="115"/>
      <c r="AK288" s="25"/>
      <c r="AL288" s="13"/>
      <c r="AQ288" s="116"/>
      <c r="AR288" s="123"/>
      <c r="AS288" s="123"/>
      <c r="AT288" s="123"/>
      <c r="AY288" s="115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25"/>
      <c r="BJ288" s="13"/>
      <c r="BM288" s="114"/>
    </row>
    <row r="289" spans="1:65" ht="20.100000000000001" customHeight="1" x14ac:dyDescent="0.4">
      <c r="A289" s="117"/>
      <c r="B289" s="123"/>
      <c r="C289" s="123"/>
      <c r="D289" s="123"/>
      <c r="Z289" s="127"/>
      <c r="AA289" s="29"/>
      <c r="AE289" s="115"/>
      <c r="AF289" s="115"/>
      <c r="AG289" s="115"/>
      <c r="AH289" s="115"/>
      <c r="AI289" s="115"/>
      <c r="AJ289" s="115"/>
      <c r="AK289" s="25"/>
      <c r="AL289" s="13"/>
      <c r="AQ289" s="116"/>
      <c r="AR289" s="123"/>
      <c r="AS289" s="123"/>
      <c r="AT289" s="123"/>
      <c r="AY289" s="115"/>
      <c r="AZ289" s="115"/>
      <c r="BA289" s="115"/>
      <c r="BB289" s="115"/>
      <c r="BC289" s="115"/>
      <c r="BD289" s="115"/>
      <c r="BE289" s="115"/>
      <c r="BF289" s="115"/>
      <c r="BG289" s="115"/>
      <c r="BH289" s="115"/>
      <c r="BI289" s="25"/>
      <c r="BJ289" s="13"/>
      <c r="BM289" s="114"/>
    </row>
    <row r="290" spans="1:65" ht="20.100000000000001" customHeight="1" x14ac:dyDescent="0.4">
      <c r="A290" s="117"/>
      <c r="B290" s="123"/>
      <c r="C290" s="123"/>
      <c r="D290" s="123"/>
      <c r="V290" s="115"/>
      <c r="W290" s="115"/>
      <c r="X290" s="115"/>
      <c r="Y290" s="115"/>
      <c r="Z290" s="127"/>
      <c r="AA290" s="29"/>
      <c r="AE290" s="115"/>
      <c r="AF290" s="115"/>
      <c r="AG290" s="115"/>
      <c r="AH290" s="115"/>
      <c r="AI290" s="115"/>
      <c r="AJ290" s="115"/>
      <c r="AK290" s="25"/>
      <c r="AL290" s="13"/>
      <c r="AQ290" s="116"/>
      <c r="AR290" s="123"/>
      <c r="AS290" s="123"/>
      <c r="AT290" s="123"/>
      <c r="AY290" s="115"/>
      <c r="AZ290" s="115"/>
      <c r="BA290" s="115"/>
      <c r="BB290" s="115"/>
      <c r="BC290" s="115"/>
      <c r="BD290" s="115"/>
      <c r="BE290" s="115"/>
      <c r="BF290" s="115"/>
      <c r="BG290" s="115"/>
      <c r="BH290" s="115"/>
      <c r="BI290" s="25"/>
      <c r="BJ290" s="13"/>
      <c r="BM290" s="114"/>
    </row>
    <row r="291" spans="1:65" ht="20.100000000000001" customHeight="1" x14ac:dyDescent="0.4">
      <c r="A291" s="117"/>
      <c r="B291" s="123"/>
      <c r="C291" s="123"/>
      <c r="D291" s="12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27"/>
      <c r="AA291" s="29"/>
      <c r="AE291" s="115"/>
      <c r="AF291" s="115"/>
      <c r="AG291" s="115"/>
      <c r="AH291" s="115"/>
      <c r="AI291" s="115"/>
      <c r="AJ291" s="115"/>
      <c r="AK291" s="25"/>
      <c r="AL291" s="13"/>
      <c r="AQ291" s="116"/>
      <c r="AR291" s="123"/>
      <c r="AS291" s="123"/>
      <c r="AT291" s="123"/>
      <c r="AY291" s="115"/>
      <c r="AZ291" s="115"/>
      <c r="BA291" s="115"/>
      <c r="BB291" s="115"/>
      <c r="BC291" s="115"/>
      <c r="BD291" s="115"/>
      <c r="BE291" s="115"/>
      <c r="BF291" s="115"/>
      <c r="BG291" s="115"/>
      <c r="BH291" s="115"/>
      <c r="BI291" s="25"/>
      <c r="BJ291" s="13"/>
      <c r="BM291" s="114"/>
    </row>
    <row r="292" spans="1:65" ht="20.100000000000001" customHeight="1" x14ac:dyDescent="0.4">
      <c r="A292" s="117"/>
      <c r="B292" s="123"/>
      <c r="C292" s="123"/>
      <c r="D292" s="12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27"/>
      <c r="AA292" s="29"/>
      <c r="AE292" s="115"/>
      <c r="AF292" s="115"/>
      <c r="AG292" s="115"/>
      <c r="AH292" s="115"/>
      <c r="AI292" s="115"/>
      <c r="AJ292" s="115"/>
      <c r="AK292" s="25"/>
      <c r="AL292" s="13"/>
      <c r="AQ292" s="116"/>
      <c r="AR292" s="123"/>
      <c r="AS292" s="123"/>
      <c r="AT292" s="123"/>
      <c r="AY292" s="115"/>
      <c r="AZ292" s="115"/>
      <c r="BA292" s="115"/>
      <c r="BB292" s="115"/>
      <c r="BC292" s="115"/>
      <c r="BD292" s="115"/>
      <c r="BE292" s="115"/>
      <c r="BF292" s="115"/>
      <c r="BG292" s="115"/>
      <c r="BH292" s="115"/>
      <c r="BI292" s="25"/>
      <c r="BJ292" s="13"/>
      <c r="BM292" s="114"/>
    </row>
    <row r="293" spans="1:65" ht="20.100000000000001" customHeight="1" x14ac:dyDescent="0.4">
      <c r="A293" s="117"/>
      <c r="B293" s="123"/>
      <c r="C293" s="123"/>
      <c r="D293" s="12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27"/>
      <c r="AA293" s="29"/>
      <c r="AE293" s="115"/>
      <c r="AF293" s="115"/>
      <c r="AG293" s="115"/>
      <c r="AH293" s="115"/>
      <c r="AI293" s="115"/>
      <c r="AJ293" s="115"/>
      <c r="AK293" s="25"/>
      <c r="AL293" s="13"/>
      <c r="AQ293" s="116"/>
      <c r="AR293" s="123"/>
      <c r="AS293" s="123"/>
      <c r="AT293" s="123"/>
      <c r="AY293" s="115"/>
      <c r="AZ293" s="115"/>
      <c r="BA293" s="115"/>
      <c r="BB293" s="115"/>
      <c r="BC293" s="115"/>
      <c r="BD293" s="115"/>
      <c r="BE293" s="115"/>
      <c r="BF293" s="115"/>
      <c r="BG293" s="115"/>
      <c r="BH293" s="115"/>
      <c r="BI293" s="25"/>
      <c r="BJ293" s="13"/>
      <c r="BM293" s="114"/>
    </row>
    <row r="294" spans="1:65" ht="20.100000000000001" customHeight="1" x14ac:dyDescent="0.4">
      <c r="A294" s="117"/>
      <c r="B294" s="123"/>
      <c r="C294" s="123"/>
      <c r="D294" s="12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27"/>
      <c r="AA294" s="29"/>
      <c r="AE294" s="115"/>
      <c r="AF294" s="115"/>
      <c r="AG294" s="115"/>
      <c r="AH294" s="115"/>
      <c r="AI294" s="115"/>
      <c r="AJ294" s="115"/>
      <c r="AK294" s="25"/>
      <c r="AL294" s="13"/>
      <c r="AQ294" s="116"/>
      <c r="AR294" s="123"/>
      <c r="AS294" s="123"/>
      <c r="AT294" s="123"/>
      <c r="AY294" s="115"/>
      <c r="AZ294" s="115"/>
      <c r="BA294" s="115"/>
      <c r="BB294" s="115"/>
      <c r="BC294" s="115"/>
      <c r="BD294" s="115"/>
      <c r="BE294" s="115"/>
      <c r="BF294" s="115"/>
      <c r="BG294" s="115"/>
      <c r="BH294" s="115"/>
      <c r="BI294" s="25"/>
      <c r="BJ294" s="13"/>
      <c r="BM294" s="114"/>
    </row>
    <row r="295" spans="1:65" ht="20.100000000000001" customHeight="1" x14ac:dyDescent="0.4">
      <c r="A295" s="117"/>
      <c r="B295" s="123"/>
      <c r="C295" s="123"/>
      <c r="D295" s="123"/>
      <c r="Z295" s="127"/>
      <c r="AA295" s="29"/>
      <c r="AE295" s="115"/>
      <c r="AF295" s="115"/>
      <c r="AG295" s="115"/>
      <c r="AH295" s="115"/>
      <c r="AI295" s="115"/>
      <c r="AJ295" s="115"/>
      <c r="AK295" s="25"/>
      <c r="AL295" s="13"/>
      <c r="AQ295" s="116"/>
      <c r="AR295" s="123"/>
      <c r="AS295" s="123"/>
      <c r="AT295" s="123"/>
      <c r="AY295" s="115"/>
      <c r="AZ295" s="115"/>
      <c r="BA295" s="115"/>
      <c r="BB295" s="115"/>
      <c r="BC295" s="115"/>
      <c r="BD295" s="115"/>
      <c r="BE295" s="115"/>
      <c r="BF295" s="115"/>
      <c r="BG295" s="115"/>
      <c r="BH295" s="115"/>
      <c r="BI295" s="25"/>
      <c r="BJ295" s="13"/>
      <c r="BM295" s="114"/>
    </row>
    <row r="296" spans="1:65" ht="20.100000000000001" customHeight="1" x14ac:dyDescent="0.4">
      <c r="A296" s="117"/>
      <c r="B296" s="123"/>
      <c r="C296" s="123"/>
      <c r="D296" s="123"/>
      <c r="V296" s="115"/>
      <c r="W296" s="115"/>
      <c r="X296" s="115"/>
      <c r="Y296" s="115"/>
      <c r="Z296" s="127"/>
      <c r="AA296" s="29"/>
      <c r="AE296" s="115"/>
      <c r="AF296" s="115"/>
      <c r="AG296" s="115"/>
      <c r="AH296" s="115"/>
      <c r="AI296" s="115"/>
      <c r="AJ296" s="115"/>
      <c r="AK296" s="25"/>
      <c r="AL296" s="13"/>
      <c r="AQ296" s="116"/>
      <c r="AR296" s="123"/>
      <c r="AS296" s="123"/>
      <c r="AT296" s="123"/>
      <c r="AY296" s="115"/>
      <c r="AZ296" s="115"/>
      <c r="BA296" s="115"/>
      <c r="BB296" s="115"/>
      <c r="BC296" s="115"/>
      <c r="BD296" s="115"/>
      <c r="BE296" s="115"/>
      <c r="BF296" s="115"/>
      <c r="BG296" s="115"/>
      <c r="BH296" s="115"/>
      <c r="BI296" s="25"/>
      <c r="BJ296" s="13"/>
      <c r="BM296" s="114"/>
    </row>
    <row r="297" spans="1:65" ht="20.100000000000001" customHeight="1" x14ac:dyDescent="0.4">
      <c r="A297" s="117"/>
      <c r="B297" s="123"/>
      <c r="C297" s="123"/>
      <c r="D297" s="123"/>
      <c r="V297" s="115"/>
      <c r="W297" s="115"/>
      <c r="X297" s="115"/>
      <c r="Y297" s="115"/>
      <c r="Z297" s="29"/>
      <c r="AA297" s="29"/>
      <c r="AE297" s="115"/>
      <c r="AF297" s="115"/>
      <c r="AG297" s="115"/>
      <c r="AH297" s="115"/>
      <c r="AI297" s="115"/>
      <c r="AJ297" s="115"/>
      <c r="AK297" s="25"/>
      <c r="AL297" s="13"/>
      <c r="AQ297" s="116"/>
      <c r="AR297" s="123"/>
      <c r="AS297" s="123"/>
      <c r="AT297" s="123"/>
      <c r="AY297" s="115"/>
      <c r="AZ297" s="115"/>
      <c r="BA297" s="115"/>
      <c r="BB297" s="115"/>
      <c r="BC297" s="115"/>
      <c r="BD297" s="115"/>
      <c r="BE297" s="115"/>
      <c r="BF297" s="115"/>
      <c r="BG297" s="115"/>
      <c r="BH297" s="115"/>
      <c r="BI297" s="25"/>
      <c r="BJ297" s="13"/>
      <c r="BM297" s="114"/>
    </row>
    <row r="298" spans="1:65" ht="20.100000000000001" customHeight="1" x14ac:dyDescent="0.4">
      <c r="A298" s="117"/>
      <c r="B298" s="123"/>
      <c r="C298" s="123"/>
      <c r="D298" s="123"/>
      <c r="V298" s="115"/>
      <c r="W298" s="115"/>
      <c r="X298" s="115"/>
      <c r="Y298" s="115"/>
      <c r="Z298" s="127"/>
      <c r="AA298" s="29"/>
      <c r="AE298" s="115"/>
      <c r="AF298" s="115"/>
      <c r="AG298" s="115"/>
      <c r="AH298" s="115"/>
      <c r="AI298" s="115"/>
      <c r="AJ298" s="115"/>
      <c r="AK298" s="25"/>
      <c r="AL298" s="13"/>
      <c r="AQ298" s="116"/>
      <c r="AR298" s="123"/>
      <c r="AS298" s="123"/>
      <c r="AT298" s="123"/>
      <c r="AY298" s="115"/>
      <c r="AZ298" s="115"/>
      <c r="BA298" s="115"/>
      <c r="BB298" s="115"/>
      <c r="BC298" s="115"/>
      <c r="BD298" s="115"/>
      <c r="BE298" s="115"/>
      <c r="BF298" s="115"/>
      <c r="BG298" s="115"/>
      <c r="BH298" s="115"/>
      <c r="BI298" s="25"/>
      <c r="BJ298" s="13"/>
      <c r="BM298" s="114"/>
    </row>
    <row r="299" spans="1:65" ht="20.100000000000001" customHeight="1" x14ac:dyDescent="0.4">
      <c r="A299" s="117"/>
      <c r="B299" s="123"/>
      <c r="C299" s="123"/>
      <c r="D299" s="123"/>
      <c r="V299" s="115"/>
      <c r="W299" s="115"/>
      <c r="X299" s="115"/>
      <c r="Y299" s="115"/>
      <c r="Z299" s="29"/>
      <c r="AA299" s="29"/>
      <c r="AE299" s="115"/>
      <c r="AF299" s="115"/>
      <c r="AG299" s="115"/>
      <c r="AH299" s="115"/>
      <c r="AI299" s="115"/>
      <c r="AJ299" s="115"/>
      <c r="AK299" s="25"/>
      <c r="AL299" s="13"/>
      <c r="AQ299" s="116"/>
      <c r="AR299" s="123"/>
      <c r="AS299" s="123"/>
      <c r="AT299" s="123"/>
      <c r="AY299" s="115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25"/>
      <c r="BJ299" s="13"/>
      <c r="BM299" s="114"/>
    </row>
    <row r="300" spans="1:65" ht="20.100000000000001" customHeight="1" x14ac:dyDescent="0.4">
      <c r="A300" s="117"/>
      <c r="B300" s="123"/>
      <c r="C300" s="123"/>
      <c r="D300" s="123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27"/>
      <c r="AA300" s="29"/>
      <c r="AE300" s="115"/>
      <c r="AF300" s="115"/>
      <c r="AG300" s="115"/>
      <c r="AH300" s="115"/>
      <c r="AI300" s="115"/>
      <c r="AJ300" s="115"/>
      <c r="AK300" s="25"/>
      <c r="AL300" s="13"/>
      <c r="AQ300" s="116"/>
      <c r="AR300" s="123"/>
      <c r="AS300" s="123"/>
      <c r="AT300" s="123"/>
      <c r="AY300" s="115"/>
      <c r="AZ300" s="115"/>
      <c r="BA300" s="115"/>
      <c r="BB300" s="115"/>
      <c r="BC300" s="115"/>
      <c r="BD300" s="115"/>
      <c r="BE300" s="115"/>
      <c r="BF300" s="115"/>
      <c r="BG300" s="115"/>
      <c r="BH300" s="115"/>
      <c r="BI300" s="25"/>
      <c r="BJ300" s="13"/>
      <c r="BM300" s="114"/>
    </row>
    <row r="301" spans="1:65" ht="20.100000000000001" customHeight="1" x14ac:dyDescent="0.4">
      <c r="A301" s="117"/>
      <c r="B301" s="123"/>
      <c r="C301" s="123"/>
      <c r="D301" s="123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27"/>
      <c r="AA301" s="29"/>
      <c r="AE301" s="115"/>
      <c r="AF301" s="115"/>
      <c r="AG301" s="115"/>
      <c r="AH301" s="115"/>
      <c r="AI301" s="115"/>
      <c r="AJ301" s="115"/>
      <c r="AK301" s="25"/>
      <c r="AL301" s="13"/>
      <c r="AQ301" s="116"/>
      <c r="AR301" s="123"/>
      <c r="AS301" s="123"/>
      <c r="AT301" s="123"/>
      <c r="AY301" s="115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25"/>
      <c r="BJ301" s="13"/>
      <c r="BM301" s="114"/>
    </row>
    <row r="302" spans="1:65" ht="20.100000000000001" customHeight="1" x14ac:dyDescent="0.4">
      <c r="A302" s="117"/>
      <c r="B302" s="123"/>
      <c r="C302" s="123"/>
      <c r="D302" s="123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27"/>
      <c r="AA302" s="29"/>
      <c r="AE302" s="115"/>
      <c r="AF302" s="115"/>
      <c r="AG302" s="115"/>
      <c r="AH302" s="115"/>
      <c r="AI302" s="115"/>
      <c r="AJ302" s="115"/>
      <c r="AK302" s="25"/>
      <c r="AL302" s="13"/>
      <c r="AQ302" s="116"/>
      <c r="AR302" s="123"/>
      <c r="AS302" s="123"/>
      <c r="AT302" s="123"/>
      <c r="AY302" s="115"/>
      <c r="AZ302" s="115"/>
      <c r="BA302" s="115"/>
      <c r="BB302" s="115"/>
      <c r="BC302" s="115"/>
      <c r="BD302" s="115"/>
      <c r="BE302" s="115"/>
      <c r="BF302" s="115"/>
      <c r="BG302" s="115"/>
      <c r="BH302" s="115"/>
      <c r="BI302" s="25"/>
      <c r="BJ302" s="13"/>
      <c r="BM302" s="114"/>
    </row>
    <row r="303" spans="1:65" ht="20.100000000000001" customHeight="1" x14ac:dyDescent="0.4">
      <c r="A303" s="117"/>
      <c r="B303" s="123"/>
      <c r="C303" s="123"/>
      <c r="D303" s="123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27"/>
      <c r="AA303" s="29"/>
      <c r="AE303" s="115"/>
      <c r="AF303" s="115"/>
      <c r="AG303" s="115"/>
      <c r="AH303" s="115"/>
      <c r="AI303" s="115"/>
      <c r="AJ303" s="115"/>
      <c r="AK303" s="25"/>
      <c r="AL303" s="13"/>
      <c r="AQ303" s="116"/>
      <c r="AR303" s="123"/>
      <c r="AS303" s="123"/>
      <c r="AT303" s="123"/>
      <c r="AY303" s="115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25"/>
      <c r="BJ303" s="13"/>
      <c r="BM303" s="114"/>
    </row>
    <row r="304" spans="1:65" ht="20.100000000000001" customHeight="1" x14ac:dyDescent="0.4">
      <c r="A304" s="117"/>
      <c r="B304" s="123"/>
      <c r="C304" s="123"/>
      <c r="D304" s="123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29"/>
      <c r="AA304" s="29"/>
      <c r="AE304" s="115"/>
      <c r="AF304" s="115"/>
      <c r="AG304" s="115"/>
      <c r="AH304" s="115"/>
      <c r="AI304" s="115"/>
      <c r="AJ304" s="115"/>
      <c r="AK304" s="25"/>
      <c r="AL304" s="13"/>
      <c r="AQ304" s="116"/>
      <c r="AR304" s="123"/>
      <c r="AS304" s="123"/>
      <c r="AT304" s="123"/>
      <c r="AY304" s="115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25"/>
      <c r="BJ304" s="13"/>
      <c r="BM304" s="114"/>
    </row>
    <row r="305" spans="1:65" ht="20.100000000000001" customHeight="1" x14ac:dyDescent="0.4">
      <c r="A305" s="117"/>
      <c r="B305" s="123"/>
      <c r="C305" s="123"/>
      <c r="D305" s="123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27"/>
      <c r="AA305" s="29"/>
      <c r="AE305" s="115"/>
      <c r="AF305" s="115"/>
      <c r="AG305" s="115"/>
      <c r="AH305" s="115"/>
      <c r="AI305" s="115"/>
      <c r="AJ305" s="115"/>
      <c r="AK305" s="25"/>
      <c r="AL305" s="13"/>
      <c r="AQ305" s="116"/>
      <c r="AR305" s="123"/>
      <c r="AS305" s="123"/>
      <c r="AT305" s="123"/>
      <c r="AY305" s="115"/>
      <c r="AZ305" s="115"/>
      <c r="BA305" s="115"/>
      <c r="BB305" s="115"/>
      <c r="BC305" s="115"/>
      <c r="BD305" s="115"/>
      <c r="BE305" s="115"/>
      <c r="BF305" s="115"/>
      <c r="BG305" s="115"/>
      <c r="BH305" s="115"/>
      <c r="BI305" s="25"/>
      <c r="BJ305" s="13"/>
      <c r="BM305" s="114"/>
    </row>
    <row r="306" spans="1:65" ht="20.100000000000001" customHeight="1" x14ac:dyDescent="0.4">
      <c r="A306" s="117"/>
      <c r="B306" s="123"/>
      <c r="C306" s="123"/>
      <c r="D306" s="123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27"/>
      <c r="AA306" s="29"/>
      <c r="AE306" s="115"/>
      <c r="AF306" s="115"/>
      <c r="AG306" s="115"/>
      <c r="AH306" s="115"/>
      <c r="AI306" s="115"/>
      <c r="AJ306" s="115"/>
      <c r="AK306" s="25"/>
      <c r="AL306" s="13"/>
      <c r="AQ306" s="116"/>
      <c r="AR306" s="123"/>
      <c r="AS306" s="123"/>
      <c r="AT306" s="123"/>
      <c r="AY306" s="115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25"/>
      <c r="BJ306" s="13"/>
      <c r="BM306" s="114"/>
    </row>
    <row r="307" spans="1:65" ht="20.100000000000001" customHeight="1" x14ac:dyDescent="0.4">
      <c r="A307" s="117"/>
      <c r="B307" s="123"/>
      <c r="C307" s="123"/>
      <c r="D307" s="123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29"/>
      <c r="AA307" s="29"/>
      <c r="AE307" s="115"/>
      <c r="AF307" s="115"/>
      <c r="AG307" s="115"/>
      <c r="AH307" s="115"/>
      <c r="AI307" s="115"/>
      <c r="AJ307" s="115"/>
      <c r="AK307" s="25"/>
      <c r="AL307" s="13"/>
      <c r="AQ307" s="116"/>
      <c r="AR307" s="123"/>
      <c r="AS307" s="123"/>
      <c r="AT307" s="123"/>
      <c r="AY307" s="115"/>
      <c r="AZ307" s="115"/>
      <c r="BA307" s="115"/>
      <c r="BB307" s="115"/>
      <c r="BC307" s="115"/>
      <c r="BD307" s="115"/>
      <c r="BE307" s="115"/>
      <c r="BF307" s="115"/>
      <c r="BG307" s="115"/>
      <c r="BH307" s="115"/>
      <c r="BI307" s="25"/>
      <c r="BJ307" s="13"/>
      <c r="BM307" s="114"/>
    </row>
    <row r="308" spans="1:65" ht="20.100000000000001" customHeight="1" x14ac:dyDescent="0.4">
      <c r="A308" s="117"/>
      <c r="B308" s="123"/>
      <c r="C308" s="123"/>
      <c r="D308" s="123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27"/>
      <c r="AA308" s="29"/>
      <c r="AE308" s="115"/>
      <c r="AF308" s="115"/>
      <c r="AG308" s="115"/>
      <c r="AH308" s="115"/>
      <c r="AI308" s="115"/>
      <c r="AJ308" s="115"/>
      <c r="AK308" s="25"/>
      <c r="AL308" s="13"/>
      <c r="AQ308" s="116"/>
      <c r="AR308" s="123"/>
      <c r="AS308" s="123"/>
      <c r="AT308" s="123"/>
      <c r="AY308" s="115"/>
      <c r="AZ308" s="115"/>
      <c r="BA308" s="115"/>
      <c r="BB308" s="115"/>
      <c r="BC308" s="115"/>
      <c r="BD308" s="115"/>
      <c r="BE308" s="115"/>
      <c r="BF308" s="115"/>
      <c r="BG308" s="115"/>
      <c r="BH308" s="115"/>
      <c r="BI308" s="25"/>
      <c r="BJ308" s="13"/>
      <c r="BM308" s="114"/>
    </row>
    <row r="309" spans="1:65" ht="20.100000000000001" customHeight="1" x14ac:dyDescent="0.4">
      <c r="A309" s="117"/>
      <c r="B309" s="123"/>
      <c r="C309" s="123"/>
      <c r="D309" s="123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29"/>
      <c r="AA309" s="29"/>
      <c r="AE309" s="115"/>
      <c r="AF309" s="115"/>
      <c r="AG309" s="115"/>
      <c r="AH309" s="115"/>
      <c r="AI309" s="115"/>
      <c r="AJ309" s="115"/>
      <c r="AK309" s="25"/>
      <c r="AL309" s="13"/>
      <c r="AQ309" s="116"/>
      <c r="AR309" s="123"/>
      <c r="AS309" s="123"/>
      <c r="AT309" s="123"/>
      <c r="AY309" s="115"/>
      <c r="AZ309" s="115"/>
      <c r="BA309" s="115"/>
      <c r="BB309" s="115"/>
      <c r="BC309" s="115"/>
      <c r="BD309" s="115"/>
      <c r="BE309" s="115"/>
      <c r="BF309" s="115"/>
      <c r="BG309" s="115"/>
      <c r="BH309" s="115"/>
      <c r="BI309" s="25"/>
      <c r="BJ309" s="13"/>
      <c r="BM309" s="114"/>
    </row>
    <row r="310" spans="1:65" ht="20.100000000000001" customHeight="1" x14ac:dyDescent="0.4">
      <c r="A310" s="117"/>
      <c r="B310" s="123"/>
      <c r="C310" s="123"/>
      <c r="D310" s="123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29"/>
      <c r="AA310" s="29"/>
      <c r="AE310" s="115"/>
      <c r="AF310" s="115"/>
      <c r="AG310" s="115"/>
      <c r="AH310" s="115"/>
      <c r="AI310" s="115"/>
      <c r="AJ310" s="115"/>
      <c r="AK310" s="25"/>
      <c r="AL310" s="13"/>
      <c r="AQ310" s="116"/>
      <c r="AR310" s="123"/>
      <c r="AS310" s="123"/>
      <c r="AT310" s="123"/>
      <c r="AY310" s="115"/>
      <c r="AZ310" s="115"/>
      <c r="BA310" s="115"/>
      <c r="BB310" s="115"/>
      <c r="BC310" s="115"/>
      <c r="BD310" s="115"/>
      <c r="BE310" s="115"/>
      <c r="BF310" s="115"/>
      <c r="BG310" s="115"/>
      <c r="BH310" s="115"/>
      <c r="BI310" s="25"/>
      <c r="BJ310" s="13"/>
      <c r="BM310" s="114"/>
    </row>
    <row r="311" spans="1:65" ht="20.100000000000001" customHeight="1" x14ac:dyDescent="0.4">
      <c r="A311" s="117"/>
      <c r="B311" s="123"/>
      <c r="C311" s="123"/>
      <c r="D311" s="123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27"/>
      <c r="AA311" s="29"/>
      <c r="AE311" s="115"/>
      <c r="AF311" s="115"/>
      <c r="AG311" s="115"/>
      <c r="AH311" s="115"/>
      <c r="AI311" s="115"/>
      <c r="AJ311" s="115"/>
      <c r="AK311" s="25"/>
      <c r="AL311" s="13"/>
      <c r="AQ311" s="116"/>
      <c r="AR311" s="123"/>
      <c r="AS311" s="123"/>
      <c r="AT311" s="123"/>
      <c r="AY311" s="115"/>
      <c r="AZ311" s="115"/>
      <c r="BA311" s="115"/>
      <c r="BB311" s="115"/>
      <c r="BC311" s="115"/>
      <c r="BD311" s="115"/>
      <c r="BE311" s="115"/>
      <c r="BF311" s="115"/>
      <c r="BG311" s="115"/>
      <c r="BH311" s="115"/>
      <c r="BI311" s="25"/>
      <c r="BJ311" s="13"/>
      <c r="BM311" s="114"/>
    </row>
    <row r="312" spans="1:65" ht="20.100000000000001" customHeight="1" x14ac:dyDescent="0.4">
      <c r="A312" s="117"/>
      <c r="B312" s="123"/>
      <c r="C312" s="123"/>
      <c r="D312" s="123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29"/>
      <c r="AA312" s="29"/>
      <c r="AE312" s="115"/>
      <c r="AF312" s="115"/>
      <c r="AG312" s="115"/>
      <c r="AH312" s="115"/>
      <c r="AI312" s="115"/>
      <c r="AJ312" s="115"/>
      <c r="AK312" s="25"/>
      <c r="AL312" s="13"/>
      <c r="AQ312" s="116"/>
      <c r="AR312" s="123"/>
      <c r="AS312" s="123"/>
      <c r="AT312" s="123"/>
      <c r="AY312" s="115"/>
      <c r="AZ312" s="115"/>
      <c r="BA312" s="115"/>
      <c r="BB312" s="115"/>
      <c r="BC312" s="115"/>
      <c r="BD312" s="115"/>
      <c r="BE312" s="115"/>
      <c r="BF312" s="115"/>
      <c r="BG312" s="115"/>
      <c r="BH312" s="115"/>
      <c r="BI312" s="25"/>
      <c r="BJ312" s="13"/>
      <c r="BM312" s="114"/>
    </row>
    <row r="313" spans="1:65" ht="20.100000000000001" customHeight="1" x14ac:dyDescent="0.4">
      <c r="A313" s="117"/>
      <c r="B313" s="123"/>
      <c r="C313" s="123"/>
      <c r="D313" s="123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27"/>
      <c r="AA313" s="29"/>
      <c r="AE313" s="115"/>
      <c r="AF313" s="115"/>
      <c r="AG313" s="115"/>
      <c r="AH313" s="115"/>
      <c r="AI313" s="115"/>
      <c r="AJ313" s="115"/>
      <c r="AK313" s="25"/>
      <c r="AL313" s="13"/>
      <c r="AQ313" s="116"/>
      <c r="AR313" s="123"/>
      <c r="AS313" s="123"/>
      <c r="AT313" s="123"/>
      <c r="AY313" s="115"/>
      <c r="AZ313" s="115"/>
      <c r="BA313" s="115"/>
      <c r="BB313" s="115"/>
      <c r="BC313" s="115"/>
      <c r="BD313" s="115"/>
      <c r="BE313" s="115"/>
      <c r="BF313" s="115"/>
      <c r="BG313" s="115"/>
      <c r="BH313" s="115"/>
      <c r="BI313" s="25"/>
      <c r="BJ313" s="13"/>
      <c r="BM313" s="114"/>
    </row>
    <row r="314" spans="1:65" ht="20.100000000000001" customHeight="1" x14ac:dyDescent="0.4">
      <c r="A314" s="117"/>
      <c r="B314" s="123"/>
      <c r="C314" s="123"/>
      <c r="D314" s="123"/>
      <c r="Z314" s="127"/>
      <c r="AA314" s="127"/>
      <c r="AE314" s="115"/>
      <c r="AF314" s="115"/>
      <c r="AG314" s="115"/>
      <c r="AH314" s="115"/>
      <c r="AI314" s="115"/>
      <c r="AJ314" s="115"/>
      <c r="AK314" s="25">
        <v>45672</v>
      </c>
      <c r="AL314" s="13" t="s">
        <v>146</v>
      </c>
      <c r="AQ314" s="116"/>
      <c r="AR314" s="123"/>
      <c r="AS314" s="123"/>
      <c r="AT314" s="123"/>
      <c r="AY314" s="115"/>
      <c r="AZ314" s="115"/>
      <c r="BA314" s="115"/>
      <c r="BB314" s="115"/>
      <c r="BC314" s="115"/>
      <c r="BD314" s="115"/>
      <c r="BE314" s="115"/>
      <c r="BF314" s="115"/>
      <c r="BG314" s="115"/>
      <c r="BH314" s="115"/>
      <c r="BI314" s="25"/>
      <c r="BJ314" s="13"/>
      <c r="BM314" s="114"/>
    </row>
    <row r="315" spans="1:65" ht="20.100000000000001" customHeight="1" x14ac:dyDescent="0.4">
      <c r="A315" s="117"/>
      <c r="B315" s="123"/>
      <c r="C315" s="123"/>
      <c r="D315" s="123"/>
      <c r="U315" s="115"/>
      <c r="V315" s="115"/>
      <c r="W315" s="115"/>
      <c r="X315" s="115"/>
      <c r="Y315" s="115"/>
      <c r="Z315" s="29"/>
      <c r="AA315" s="29"/>
      <c r="AE315" s="115"/>
      <c r="AF315" s="115"/>
      <c r="AG315" s="115"/>
      <c r="AH315" s="115"/>
      <c r="AI315" s="115"/>
      <c r="AJ315" s="115"/>
      <c r="AK315" s="25"/>
      <c r="AL315" s="13"/>
      <c r="AQ315" s="116"/>
      <c r="AR315" s="123"/>
      <c r="AS315" s="123"/>
      <c r="AT315" s="123"/>
      <c r="AY315" s="115"/>
      <c r="AZ315" s="115"/>
      <c r="BA315" s="115"/>
      <c r="BB315" s="115"/>
      <c r="BC315" s="115"/>
      <c r="BD315" s="115"/>
      <c r="BE315" s="115"/>
      <c r="BF315" s="115"/>
      <c r="BG315" s="115"/>
      <c r="BH315" s="115"/>
      <c r="BI315" s="25"/>
      <c r="BJ315" s="13"/>
      <c r="BM315" s="114"/>
    </row>
    <row r="316" spans="1:65" ht="20.100000000000001" customHeight="1" x14ac:dyDescent="0.4">
      <c r="A316" s="117"/>
      <c r="B316" s="123"/>
      <c r="C316" s="123"/>
      <c r="D316" s="123"/>
      <c r="R316" s="115"/>
      <c r="S316" s="115"/>
      <c r="T316" s="115"/>
      <c r="U316" s="115"/>
      <c r="V316" s="115"/>
      <c r="W316" s="115"/>
      <c r="X316" s="115"/>
      <c r="Y316" s="115"/>
      <c r="Z316" s="127"/>
      <c r="AA316" s="29"/>
      <c r="AE316" s="115"/>
      <c r="AF316" s="115"/>
      <c r="AG316" s="115"/>
      <c r="AH316" s="115"/>
      <c r="AI316" s="115"/>
      <c r="AJ316" s="115"/>
      <c r="AK316" s="25"/>
      <c r="AL316" s="13"/>
      <c r="AQ316" s="116"/>
      <c r="AR316" s="123"/>
      <c r="AS316" s="123"/>
      <c r="AT316" s="123"/>
      <c r="AY316" s="115"/>
      <c r="AZ316" s="115"/>
      <c r="BA316" s="115"/>
      <c r="BB316" s="115"/>
      <c r="BC316" s="115"/>
      <c r="BD316" s="115"/>
      <c r="BE316" s="115"/>
      <c r="BF316" s="115"/>
      <c r="BG316" s="115"/>
      <c r="BH316" s="115"/>
      <c r="BI316" s="25"/>
      <c r="BJ316" s="13"/>
      <c r="BM316" s="114"/>
    </row>
    <row r="317" spans="1:65" ht="20.100000000000001" customHeight="1" x14ac:dyDescent="0.4">
      <c r="A317" s="117"/>
      <c r="B317" s="123"/>
      <c r="C317" s="123"/>
      <c r="D317" s="123"/>
      <c r="R317" s="115"/>
      <c r="S317" s="115"/>
      <c r="T317" s="115"/>
      <c r="U317" s="115"/>
      <c r="V317" s="115"/>
      <c r="W317" s="115"/>
      <c r="X317" s="115"/>
      <c r="Y317" s="115"/>
      <c r="Z317" s="29"/>
      <c r="AA317" s="29"/>
      <c r="AE317" s="115"/>
      <c r="AF317" s="115"/>
      <c r="AG317" s="115"/>
      <c r="AH317" s="115"/>
      <c r="AI317" s="115"/>
      <c r="AJ317" s="115"/>
      <c r="AK317" s="25"/>
      <c r="AL317" s="13"/>
      <c r="AQ317" s="116"/>
      <c r="AR317" s="123"/>
      <c r="AS317" s="123"/>
      <c r="AT317" s="123"/>
      <c r="AY317" s="115"/>
      <c r="AZ317" s="115"/>
      <c r="BA317" s="115"/>
      <c r="BB317" s="115"/>
      <c r="BC317" s="115"/>
      <c r="BD317" s="115"/>
      <c r="BE317" s="115"/>
      <c r="BF317" s="115"/>
      <c r="BG317" s="115"/>
      <c r="BH317" s="115"/>
      <c r="BI317" s="25"/>
      <c r="BJ317" s="13"/>
      <c r="BM317" s="114"/>
    </row>
    <row r="318" spans="1:65" ht="20.100000000000001" customHeight="1" x14ac:dyDescent="0.4">
      <c r="A318" s="117"/>
      <c r="B318" s="123"/>
      <c r="C318" s="123"/>
      <c r="D318" s="123"/>
      <c r="Q318" s="115"/>
      <c r="R318" s="115"/>
      <c r="S318" s="115"/>
      <c r="T318" s="115"/>
      <c r="U318" s="115"/>
      <c r="V318" s="115"/>
      <c r="W318" s="115"/>
      <c r="X318" s="115"/>
      <c r="Y318" s="115"/>
      <c r="Z318" s="127"/>
      <c r="AA318" s="29"/>
      <c r="AE318" s="115"/>
      <c r="AF318" s="115"/>
      <c r="AG318" s="115"/>
      <c r="AH318" s="115"/>
      <c r="AI318" s="115"/>
      <c r="AJ318" s="115"/>
      <c r="AK318" s="25"/>
      <c r="AL318" s="13"/>
      <c r="AQ318" s="116"/>
      <c r="AR318" s="123"/>
      <c r="AS318" s="123"/>
      <c r="AT318" s="123"/>
      <c r="AY318" s="115"/>
      <c r="AZ318" s="115"/>
      <c r="BA318" s="115"/>
      <c r="BB318" s="115"/>
      <c r="BC318" s="115"/>
      <c r="BD318" s="115"/>
      <c r="BE318" s="115"/>
      <c r="BF318" s="115"/>
      <c r="BG318" s="115"/>
      <c r="BH318" s="115"/>
      <c r="BI318" s="25"/>
      <c r="BJ318" s="13"/>
      <c r="BM318" s="114"/>
    </row>
    <row r="319" spans="1:65" ht="20.100000000000001" customHeight="1" x14ac:dyDescent="0.4">
      <c r="A319" s="117"/>
      <c r="B319" s="123"/>
      <c r="C319" s="123"/>
      <c r="D319" s="123"/>
      <c r="Z319" s="127"/>
      <c r="AA319" s="29"/>
      <c r="AE319" s="115"/>
      <c r="AF319" s="115"/>
      <c r="AG319" s="115"/>
      <c r="AH319" s="115"/>
      <c r="AI319" s="115"/>
      <c r="AJ319" s="115"/>
      <c r="AK319" s="25">
        <v>45672</v>
      </c>
      <c r="AL319" s="13" t="s">
        <v>146</v>
      </c>
      <c r="AQ319" s="116"/>
      <c r="AR319" s="123"/>
      <c r="AS319" s="123"/>
      <c r="AT319" s="123"/>
      <c r="AY319" s="115"/>
      <c r="AZ319" s="115"/>
      <c r="BA319" s="115"/>
      <c r="BB319" s="115"/>
      <c r="BC319" s="115"/>
      <c r="BD319" s="115"/>
      <c r="BE319" s="115"/>
      <c r="BF319" s="115"/>
      <c r="BG319" s="115"/>
      <c r="BH319" s="115"/>
      <c r="BI319" s="25"/>
      <c r="BJ319" s="13"/>
      <c r="BM319" s="114"/>
    </row>
    <row r="320" spans="1:65" ht="20.100000000000001" customHeight="1" x14ac:dyDescent="0.4">
      <c r="A320" s="117"/>
      <c r="B320" s="123"/>
      <c r="C320" s="123"/>
      <c r="D320" s="123"/>
      <c r="Z320" s="127"/>
      <c r="AA320" s="29"/>
      <c r="AE320" s="115"/>
      <c r="AF320" s="115"/>
      <c r="AG320" s="115"/>
      <c r="AH320" s="115"/>
      <c r="AI320" s="115"/>
      <c r="AJ320" s="115"/>
      <c r="AK320" s="25"/>
      <c r="AL320" s="13"/>
      <c r="AQ320" s="116"/>
      <c r="AR320" s="123"/>
      <c r="AS320" s="123"/>
      <c r="AT320" s="123"/>
      <c r="AY320" s="115"/>
      <c r="AZ320" s="115"/>
      <c r="BA320" s="115"/>
      <c r="BB320" s="115"/>
      <c r="BC320" s="115"/>
      <c r="BD320" s="115"/>
      <c r="BE320" s="115"/>
      <c r="BF320" s="115"/>
      <c r="BG320" s="115"/>
      <c r="BH320" s="115"/>
      <c r="BI320" s="25"/>
      <c r="BJ320" s="13"/>
      <c r="BM320" s="114"/>
    </row>
    <row r="321" spans="1:65" ht="20.100000000000001" customHeight="1" x14ac:dyDescent="0.4">
      <c r="A321" s="117"/>
      <c r="B321" s="123"/>
      <c r="C321" s="123"/>
      <c r="D321" s="123"/>
      <c r="U321" s="115"/>
      <c r="V321" s="115"/>
      <c r="W321" s="115"/>
      <c r="X321" s="115"/>
      <c r="Y321" s="115"/>
      <c r="Z321" s="29"/>
      <c r="AA321" s="29"/>
      <c r="AE321" s="115"/>
      <c r="AF321" s="115"/>
      <c r="AG321" s="115"/>
      <c r="AH321" s="115"/>
      <c r="AI321" s="115"/>
      <c r="AJ321" s="115"/>
      <c r="AK321" s="25"/>
      <c r="AL321" s="13"/>
      <c r="AQ321" s="116"/>
      <c r="AR321" s="123"/>
      <c r="AS321" s="123"/>
      <c r="AT321" s="123"/>
      <c r="AY321" s="115"/>
      <c r="AZ321" s="115"/>
      <c r="BA321" s="115"/>
      <c r="BB321" s="115"/>
      <c r="BC321" s="115"/>
      <c r="BD321" s="115"/>
      <c r="BE321" s="115"/>
      <c r="BF321" s="115"/>
      <c r="BG321" s="115"/>
      <c r="BH321" s="115"/>
      <c r="BI321" s="25"/>
      <c r="BJ321" s="13"/>
      <c r="BM321" s="114"/>
    </row>
    <row r="322" spans="1:65" ht="20.100000000000001" customHeight="1" x14ac:dyDescent="0.4">
      <c r="A322" s="117"/>
      <c r="B322" s="123"/>
      <c r="C322" s="123"/>
      <c r="D322" s="123"/>
      <c r="Z322" s="127"/>
      <c r="AA322" s="29"/>
      <c r="AE322" s="115"/>
      <c r="AF322" s="115"/>
      <c r="AG322" s="115"/>
      <c r="AH322" s="115"/>
      <c r="AI322" s="115"/>
      <c r="AJ322" s="115"/>
      <c r="AK322" s="25">
        <v>45672</v>
      </c>
      <c r="AL322" s="25" t="s">
        <v>147</v>
      </c>
      <c r="AQ322" s="116"/>
      <c r="AR322" s="123"/>
      <c r="AS322" s="123"/>
      <c r="AT322" s="123"/>
      <c r="AY322" s="115"/>
      <c r="AZ322" s="115"/>
      <c r="BA322" s="115"/>
      <c r="BB322" s="115"/>
      <c r="BC322" s="115"/>
      <c r="BD322" s="115"/>
      <c r="BE322" s="115"/>
      <c r="BF322" s="115"/>
      <c r="BG322" s="115"/>
      <c r="BH322" s="115"/>
      <c r="BI322" s="25"/>
      <c r="BJ322" s="13"/>
      <c r="BM322" s="114"/>
    </row>
    <row r="323" spans="1:65" ht="20.100000000000001" customHeight="1" x14ac:dyDescent="0.4">
      <c r="A323" s="117"/>
      <c r="B323" s="123"/>
      <c r="C323" s="123"/>
      <c r="D323" s="123"/>
      <c r="Z323" s="127"/>
      <c r="AA323" s="29"/>
      <c r="AE323" s="115"/>
      <c r="AF323" s="115"/>
      <c r="AG323" s="115"/>
      <c r="AH323" s="115"/>
      <c r="AI323" s="115"/>
      <c r="AJ323" s="115"/>
      <c r="AK323" s="25"/>
      <c r="AL323" s="25"/>
      <c r="AQ323" s="116"/>
      <c r="AR323" s="123"/>
      <c r="AS323" s="123"/>
      <c r="AT323" s="123"/>
      <c r="AY323" s="115"/>
      <c r="AZ323" s="115"/>
      <c r="BA323" s="115"/>
      <c r="BB323" s="115"/>
      <c r="BC323" s="115"/>
      <c r="BD323" s="115"/>
      <c r="BE323" s="115"/>
      <c r="BF323" s="115"/>
      <c r="BG323" s="115"/>
      <c r="BH323" s="115"/>
      <c r="BI323" s="25"/>
      <c r="BJ323" s="13"/>
      <c r="BM323" s="114"/>
    </row>
    <row r="324" spans="1:65" ht="20.100000000000001" customHeight="1" x14ac:dyDescent="0.4">
      <c r="A324" s="117"/>
      <c r="B324" s="123"/>
      <c r="C324" s="123"/>
      <c r="D324" s="123"/>
      <c r="U324" s="115"/>
      <c r="V324" s="115"/>
      <c r="W324" s="115"/>
      <c r="X324" s="115"/>
      <c r="Y324" s="115"/>
      <c r="Z324" s="29"/>
      <c r="AA324" s="29"/>
      <c r="AE324" s="115"/>
      <c r="AF324" s="115"/>
      <c r="AG324" s="115"/>
      <c r="AH324" s="115"/>
      <c r="AI324" s="115"/>
      <c r="AJ324" s="115"/>
      <c r="AK324" s="25"/>
      <c r="AL324" s="25"/>
      <c r="AQ324" s="116"/>
      <c r="AR324" s="123"/>
      <c r="AS324" s="123"/>
      <c r="AT324" s="123"/>
      <c r="AY324" s="115"/>
      <c r="AZ324" s="115"/>
      <c r="BA324" s="115"/>
      <c r="BB324" s="115"/>
      <c r="BC324" s="115"/>
      <c r="BD324" s="115"/>
      <c r="BE324" s="115"/>
      <c r="BF324" s="115"/>
      <c r="BG324" s="115"/>
      <c r="BH324" s="115"/>
      <c r="BI324" s="25"/>
      <c r="BJ324" s="13"/>
      <c r="BM324" s="114"/>
    </row>
    <row r="325" spans="1:65" ht="20.100000000000001" customHeight="1" x14ac:dyDescent="0.4">
      <c r="A325" s="117"/>
      <c r="B325" s="123"/>
      <c r="C325" s="123"/>
      <c r="D325" s="123"/>
      <c r="U325" s="115"/>
      <c r="V325" s="115"/>
      <c r="W325" s="115"/>
      <c r="X325" s="115"/>
      <c r="Y325" s="115"/>
      <c r="Z325" s="29"/>
      <c r="AA325" s="29"/>
      <c r="AE325" s="115"/>
      <c r="AF325" s="115"/>
      <c r="AG325" s="115"/>
      <c r="AH325" s="115"/>
      <c r="AI325" s="115"/>
      <c r="AJ325" s="115"/>
      <c r="AK325" s="25"/>
      <c r="AL325" s="25"/>
      <c r="AQ325" s="116"/>
      <c r="AR325" s="123"/>
      <c r="AS325" s="123"/>
      <c r="AT325" s="123"/>
      <c r="AY325" s="115"/>
      <c r="AZ325" s="115"/>
      <c r="BA325" s="115"/>
      <c r="BB325" s="115"/>
      <c r="BC325" s="115"/>
      <c r="BD325" s="115"/>
      <c r="BE325" s="115"/>
      <c r="BF325" s="115"/>
      <c r="BG325" s="115"/>
      <c r="BH325" s="115"/>
      <c r="BI325" s="25"/>
      <c r="BJ325" s="13"/>
      <c r="BM325" s="114"/>
    </row>
    <row r="326" spans="1:65" ht="20.100000000000001" customHeight="1" x14ac:dyDescent="0.4">
      <c r="A326" s="117"/>
      <c r="B326" s="123"/>
      <c r="C326" s="123"/>
      <c r="D326" s="123"/>
      <c r="R326" s="115"/>
      <c r="S326" s="115"/>
      <c r="T326" s="115"/>
      <c r="U326" s="115"/>
      <c r="V326" s="115"/>
      <c r="W326" s="115"/>
      <c r="X326" s="115"/>
      <c r="Y326" s="115"/>
      <c r="Z326" s="127"/>
      <c r="AA326" s="29"/>
      <c r="AE326" s="115"/>
      <c r="AF326" s="115"/>
      <c r="AG326" s="115"/>
      <c r="AH326" s="115"/>
      <c r="AI326" s="115"/>
      <c r="AJ326" s="115"/>
      <c r="AK326" s="25"/>
      <c r="AL326" s="25"/>
      <c r="AQ326" s="116"/>
      <c r="AR326" s="123"/>
      <c r="AS326" s="123"/>
      <c r="AT326" s="123"/>
      <c r="AY326" s="115"/>
      <c r="AZ326" s="115"/>
      <c r="BA326" s="115"/>
      <c r="BB326" s="115"/>
      <c r="BC326" s="115"/>
      <c r="BD326" s="115"/>
      <c r="BE326" s="115"/>
      <c r="BF326" s="115"/>
      <c r="BG326" s="115"/>
      <c r="BH326" s="115"/>
      <c r="BI326" s="25"/>
      <c r="BJ326" s="13"/>
      <c r="BM326" s="114"/>
    </row>
    <row r="327" spans="1:65" ht="20.100000000000001" customHeight="1" x14ac:dyDescent="0.4">
      <c r="A327" s="117"/>
      <c r="B327" s="123"/>
      <c r="C327" s="123"/>
      <c r="D327" s="123"/>
      <c r="R327" s="115"/>
      <c r="S327" s="115"/>
      <c r="T327" s="115"/>
      <c r="U327" s="115"/>
      <c r="V327" s="115"/>
      <c r="W327" s="115"/>
      <c r="X327" s="115"/>
      <c r="Y327" s="115"/>
      <c r="Z327" s="29"/>
      <c r="AA327" s="29"/>
      <c r="AE327" s="115"/>
      <c r="AF327" s="115"/>
      <c r="AG327" s="115"/>
      <c r="AH327" s="115"/>
      <c r="AI327" s="115"/>
      <c r="AJ327" s="115"/>
      <c r="AK327" s="25"/>
      <c r="AL327" s="25"/>
      <c r="AQ327" s="116"/>
      <c r="AR327" s="123"/>
      <c r="AS327" s="123"/>
      <c r="AT327" s="123"/>
      <c r="AY327" s="115"/>
      <c r="AZ327" s="115"/>
      <c r="BA327" s="115"/>
      <c r="BB327" s="115"/>
      <c r="BC327" s="115"/>
      <c r="BD327" s="115"/>
      <c r="BE327" s="115"/>
      <c r="BF327" s="115"/>
      <c r="BG327" s="115"/>
      <c r="BH327" s="115"/>
      <c r="BI327" s="25"/>
      <c r="BJ327" s="13"/>
      <c r="BM327" s="114"/>
    </row>
    <row r="328" spans="1:65" ht="20.100000000000001" customHeight="1" x14ac:dyDescent="0.4">
      <c r="A328" s="117"/>
      <c r="B328" s="123"/>
      <c r="C328" s="123"/>
      <c r="D328" s="123"/>
      <c r="Q328" s="115"/>
      <c r="R328" s="115"/>
      <c r="S328" s="115"/>
      <c r="T328" s="115"/>
      <c r="U328" s="115"/>
      <c r="V328" s="115"/>
      <c r="W328" s="115"/>
      <c r="X328" s="115"/>
      <c r="Y328" s="115"/>
      <c r="Z328" s="127"/>
      <c r="AA328" s="29"/>
      <c r="AE328" s="115"/>
      <c r="AF328" s="115"/>
      <c r="AG328" s="115"/>
      <c r="AH328" s="115"/>
      <c r="AI328" s="115"/>
      <c r="AJ328" s="115"/>
      <c r="AK328" s="25"/>
      <c r="AL328" s="25"/>
      <c r="AQ328" s="116"/>
      <c r="AR328" s="123"/>
      <c r="AS328" s="123"/>
      <c r="AT328" s="123"/>
      <c r="AY328" s="115"/>
      <c r="AZ328" s="115"/>
      <c r="BA328" s="115"/>
      <c r="BB328" s="115"/>
      <c r="BC328" s="115"/>
      <c r="BD328" s="115"/>
      <c r="BE328" s="115"/>
      <c r="BF328" s="115"/>
      <c r="BG328" s="115"/>
      <c r="BH328" s="115"/>
      <c r="BI328" s="25"/>
      <c r="BJ328" s="13"/>
      <c r="BM328" s="114"/>
    </row>
    <row r="329" spans="1:65" ht="20.100000000000001" customHeight="1" x14ac:dyDescent="0.4">
      <c r="A329" s="117"/>
      <c r="B329" s="123"/>
      <c r="C329" s="123"/>
      <c r="D329" s="123"/>
      <c r="Z329" s="127"/>
      <c r="AA329" s="29"/>
      <c r="AE329" s="115"/>
      <c r="AF329" s="115"/>
      <c r="AG329" s="115"/>
      <c r="AH329" s="115"/>
      <c r="AI329" s="115"/>
      <c r="AJ329" s="115"/>
      <c r="AK329" s="25">
        <v>45673</v>
      </c>
      <c r="AL329" s="13" t="s">
        <v>147</v>
      </c>
      <c r="AQ329" s="116"/>
      <c r="AR329" s="123"/>
      <c r="AS329" s="123"/>
      <c r="AT329" s="123"/>
      <c r="AY329" s="115"/>
      <c r="AZ329" s="115"/>
      <c r="BA329" s="115"/>
      <c r="BB329" s="115"/>
      <c r="BC329" s="115"/>
      <c r="BD329" s="115"/>
      <c r="BE329" s="115"/>
      <c r="BF329" s="115"/>
      <c r="BG329" s="115"/>
      <c r="BH329" s="115"/>
      <c r="BI329" s="25"/>
      <c r="BJ329" s="13"/>
      <c r="BM329" s="114"/>
    </row>
    <row r="330" spans="1:65" ht="20.100000000000001" customHeight="1" x14ac:dyDescent="0.4">
      <c r="A330" s="117"/>
      <c r="B330" s="123"/>
      <c r="C330" s="123"/>
      <c r="D330" s="123"/>
      <c r="S330" s="115"/>
      <c r="T330" s="115"/>
      <c r="U330" s="115"/>
      <c r="V330" s="115"/>
      <c r="W330" s="115"/>
      <c r="X330" s="115"/>
      <c r="Y330" s="115"/>
      <c r="Z330" s="127"/>
      <c r="AA330" s="29"/>
      <c r="AE330" s="115"/>
      <c r="AF330" s="115"/>
      <c r="AG330" s="115"/>
      <c r="AH330" s="115"/>
      <c r="AI330" s="115"/>
      <c r="AJ330" s="115"/>
      <c r="AK330" s="25"/>
      <c r="AL330" s="13"/>
      <c r="AQ330" s="116"/>
      <c r="AR330" s="123"/>
      <c r="AS330" s="123"/>
      <c r="AT330" s="123"/>
      <c r="AY330" s="115"/>
      <c r="AZ330" s="115"/>
      <c r="BA330" s="115"/>
      <c r="BB330" s="115"/>
      <c r="BC330" s="115"/>
      <c r="BD330" s="115"/>
      <c r="BE330" s="115"/>
      <c r="BF330" s="115"/>
      <c r="BG330" s="115"/>
      <c r="BH330" s="115"/>
      <c r="BI330" s="25"/>
      <c r="BJ330" s="13"/>
      <c r="BM330" s="114"/>
    </row>
    <row r="331" spans="1:65" ht="20.100000000000001" customHeight="1" x14ac:dyDescent="0.4">
      <c r="A331" s="117"/>
      <c r="B331" s="123"/>
      <c r="C331" s="123"/>
      <c r="D331" s="123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27"/>
      <c r="AA331" s="29"/>
      <c r="AE331" s="115"/>
      <c r="AF331" s="115"/>
      <c r="AG331" s="115"/>
      <c r="AH331" s="115"/>
      <c r="AI331" s="115"/>
      <c r="AJ331" s="115"/>
      <c r="AK331" s="25"/>
      <c r="AL331" s="13"/>
      <c r="AQ331" s="116"/>
      <c r="AR331" s="123"/>
      <c r="AS331" s="123"/>
      <c r="AT331" s="123"/>
      <c r="AY331" s="115"/>
      <c r="AZ331" s="115"/>
      <c r="BA331" s="115"/>
      <c r="BB331" s="115"/>
      <c r="BC331" s="115"/>
      <c r="BD331" s="115"/>
      <c r="BE331" s="115"/>
      <c r="BF331" s="115"/>
      <c r="BG331" s="115"/>
      <c r="BH331" s="115"/>
      <c r="BI331" s="25"/>
      <c r="BJ331" s="13"/>
      <c r="BM331" s="114"/>
    </row>
    <row r="332" spans="1:65" ht="20.100000000000001" customHeight="1" x14ac:dyDescent="0.4">
      <c r="A332" s="117"/>
      <c r="B332" s="123"/>
      <c r="C332" s="123"/>
      <c r="D332" s="123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29"/>
      <c r="AA332" s="29"/>
      <c r="AE332" s="115"/>
      <c r="AF332" s="115"/>
      <c r="AG332" s="115"/>
      <c r="AH332" s="115"/>
      <c r="AI332" s="115"/>
      <c r="AJ332" s="115"/>
      <c r="AK332" s="25"/>
      <c r="AL332" s="13"/>
      <c r="AQ332" s="116"/>
      <c r="AR332" s="123"/>
      <c r="AS332" s="123"/>
      <c r="AT332" s="123"/>
      <c r="AY332" s="115"/>
      <c r="AZ332" s="115"/>
      <c r="BA332" s="115"/>
      <c r="BB332" s="115"/>
      <c r="BC332" s="115"/>
      <c r="BD332" s="115"/>
      <c r="BE332" s="115"/>
      <c r="BF332" s="115"/>
      <c r="BG332" s="115"/>
      <c r="BH332" s="115"/>
      <c r="BI332" s="25"/>
      <c r="BJ332" s="13"/>
      <c r="BM332" s="114"/>
    </row>
    <row r="333" spans="1:65" ht="20.100000000000001" customHeight="1" x14ac:dyDescent="0.4">
      <c r="A333" s="117"/>
      <c r="B333" s="123"/>
      <c r="C333" s="123"/>
      <c r="D333" s="123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27"/>
      <c r="AA333" s="29"/>
      <c r="AE333" s="115"/>
      <c r="AF333" s="115"/>
      <c r="AG333" s="115"/>
      <c r="AH333" s="115"/>
      <c r="AI333" s="115"/>
      <c r="AJ333" s="115"/>
      <c r="AK333" s="25"/>
      <c r="AL333" s="13"/>
      <c r="AQ333" s="116"/>
      <c r="AR333" s="123"/>
      <c r="AS333" s="123"/>
      <c r="AT333" s="123"/>
      <c r="AY333" s="115"/>
      <c r="AZ333" s="115"/>
      <c r="BA333" s="115"/>
      <c r="BB333" s="115"/>
      <c r="BC333" s="115"/>
      <c r="BD333" s="115"/>
      <c r="BE333" s="115"/>
      <c r="BF333" s="115"/>
      <c r="BG333" s="115"/>
      <c r="BH333" s="115"/>
      <c r="BI333" s="25"/>
      <c r="BJ333" s="13"/>
      <c r="BM333" s="114"/>
    </row>
    <row r="334" spans="1:65" ht="20.100000000000001" customHeight="1" x14ac:dyDescent="0.4">
      <c r="A334" s="117"/>
      <c r="B334" s="123"/>
      <c r="C334" s="123"/>
      <c r="D334" s="123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29"/>
      <c r="AA334" s="29"/>
      <c r="AE334" s="115"/>
      <c r="AF334" s="115"/>
      <c r="AG334" s="115"/>
      <c r="AH334" s="115"/>
      <c r="AI334" s="115"/>
      <c r="AJ334" s="115"/>
      <c r="AK334" s="25"/>
      <c r="AL334" s="13"/>
      <c r="AQ334" s="116"/>
      <c r="AR334" s="123"/>
      <c r="AS334" s="123"/>
      <c r="AT334" s="123"/>
      <c r="AY334" s="115"/>
      <c r="AZ334" s="115"/>
      <c r="BA334" s="115"/>
      <c r="BB334" s="115"/>
      <c r="BC334" s="115"/>
      <c r="BD334" s="115"/>
      <c r="BE334" s="115"/>
      <c r="BF334" s="115"/>
      <c r="BG334" s="115"/>
      <c r="BH334" s="115"/>
      <c r="BI334" s="25"/>
      <c r="BJ334" s="13"/>
      <c r="BM334" s="114"/>
    </row>
    <row r="335" spans="1:65" ht="20.100000000000001" customHeight="1" x14ac:dyDescent="0.4">
      <c r="A335" s="117"/>
      <c r="B335" s="123"/>
      <c r="C335" s="123"/>
      <c r="D335" s="123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27"/>
      <c r="AA335" s="29"/>
      <c r="AE335" s="115"/>
      <c r="AF335" s="115"/>
      <c r="AG335" s="115"/>
      <c r="AH335" s="115"/>
      <c r="AI335" s="115"/>
      <c r="AJ335" s="115"/>
      <c r="AK335" s="25"/>
      <c r="AL335" s="13"/>
      <c r="AQ335" s="116"/>
      <c r="AR335" s="123"/>
      <c r="AS335" s="123"/>
      <c r="AT335" s="123"/>
      <c r="AY335" s="115"/>
      <c r="AZ335" s="115"/>
      <c r="BA335" s="115"/>
      <c r="BB335" s="115"/>
      <c r="BC335" s="115"/>
      <c r="BD335" s="115"/>
      <c r="BE335" s="115"/>
      <c r="BF335" s="115"/>
      <c r="BG335" s="115"/>
      <c r="BH335" s="115"/>
      <c r="BI335" s="25"/>
      <c r="BJ335" s="13"/>
      <c r="BM335" s="114"/>
    </row>
    <row r="336" spans="1:65" ht="20.100000000000001" customHeight="1" x14ac:dyDescent="0.4">
      <c r="A336" s="117"/>
      <c r="B336" s="123"/>
      <c r="C336" s="123"/>
      <c r="D336" s="123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29"/>
      <c r="AA336" s="29"/>
      <c r="AE336" s="115"/>
      <c r="AF336" s="115"/>
      <c r="AG336" s="115"/>
      <c r="AH336" s="115"/>
      <c r="AI336" s="115"/>
      <c r="AJ336" s="115"/>
      <c r="AK336" s="25"/>
      <c r="AL336" s="13"/>
      <c r="AQ336" s="116"/>
      <c r="AR336" s="123"/>
      <c r="AS336" s="123"/>
      <c r="AT336" s="123"/>
      <c r="AY336" s="115"/>
      <c r="AZ336" s="115"/>
      <c r="BA336" s="115"/>
      <c r="BB336" s="115"/>
      <c r="BC336" s="115"/>
      <c r="BD336" s="115"/>
      <c r="BE336" s="115"/>
      <c r="BF336" s="115"/>
      <c r="BG336" s="115"/>
      <c r="BH336" s="115"/>
      <c r="BI336" s="25"/>
      <c r="BJ336" s="13"/>
      <c r="BM336" s="114"/>
    </row>
    <row r="337" spans="1:65" ht="20.100000000000001" customHeight="1" x14ac:dyDescent="0.4">
      <c r="A337" s="117"/>
      <c r="B337" s="123"/>
      <c r="C337" s="123"/>
      <c r="D337" s="123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27"/>
      <c r="AA337" s="127"/>
      <c r="AE337" s="115"/>
      <c r="AF337" s="115"/>
      <c r="AG337" s="115"/>
      <c r="AH337" s="115"/>
      <c r="AI337" s="115"/>
      <c r="AJ337" s="115"/>
      <c r="AK337" s="25"/>
      <c r="AL337" s="13"/>
      <c r="AQ337" s="116"/>
      <c r="AR337" s="123"/>
      <c r="AS337" s="123"/>
      <c r="AT337" s="123"/>
      <c r="AY337" s="115"/>
      <c r="AZ337" s="115"/>
      <c r="BA337" s="115"/>
      <c r="BB337" s="115"/>
      <c r="BC337" s="115"/>
      <c r="BD337" s="115"/>
      <c r="BE337" s="115"/>
      <c r="BF337" s="115"/>
      <c r="BG337" s="115"/>
      <c r="BH337" s="115"/>
      <c r="BI337" s="25"/>
      <c r="BJ337" s="13"/>
      <c r="BM337" s="114"/>
    </row>
    <row r="338" spans="1:65" ht="20.100000000000001" customHeight="1" x14ac:dyDescent="0.4">
      <c r="A338" s="117"/>
      <c r="B338" s="123"/>
      <c r="C338" s="123"/>
      <c r="D338" s="123"/>
      <c r="Z338" s="127"/>
      <c r="AA338" s="127"/>
      <c r="AE338" s="115"/>
      <c r="AF338" s="115"/>
      <c r="AG338" s="115"/>
      <c r="AH338" s="115"/>
      <c r="AI338" s="115"/>
      <c r="AJ338" s="115"/>
      <c r="AK338" s="25">
        <v>45673</v>
      </c>
      <c r="AL338" s="13" t="s">
        <v>147</v>
      </c>
      <c r="AQ338" s="116"/>
      <c r="AR338" s="123"/>
      <c r="AS338" s="123"/>
      <c r="AT338" s="123"/>
      <c r="AY338" s="115"/>
      <c r="AZ338" s="115"/>
      <c r="BA338" s="115"/>
      <c r="BB338" s="115"/>
      <c r="BC338" s="115"/>
      <c r="BD338" s="115"/>
      <c r="BE338" s="115"/>
      <c r="BF338" s="115"/>
      <c r="BG338" s="115"/>
      <c r="BH338" s="115"/>
      <c r="BI338" s="25"/>
      <c r="BJ338" s="13"/>
      <c r="BM338" s="114"/>
    </row>
    <row r="339" spans="1:65" ht="20.100000000000001" customHeight="1" x14ac:dyDescent="0.4">
      <c r="A339" s="117"/>
      <c r="B339" s="123"/>
      <c r="C339" s="123"/>
      <c r="D339" s="123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27"/>
      <c r="AA339" s="29"/>
      <c r="AE339" s="115"/>
      <c r="AF339" s="115"/>
      <c r="AG339" s="115"/>
      <c r="AH339" s="115"/>
      <c r="AI339" s="115"/>
      <c r="AJ339" s="115"/>
      <c r="AK339" s="25"/>
      <c r="AL339" s="13"/>
      <c r="AQ339" s="116"/>
      <c r="AR339" s="123"/>
      <c r="AS339" s="123"/>
      <c r="AT339" s="123"/>
      <c r="AY339" s="115"/>
      <c r="AZ339" s="115"/>
      <c r="BA339" s="115"/>
      <c r="BB339" s="115"/>
      <c r="BC339" s="115"/>
      <c r="BD339" s="115"/>
      <c r="BE339" s="115"/>
      <c r="BF339" s="115"/>
      <c r="BG339" s="115"/>
      <c r="BH339" s="115"/>
      <c r="BI339" s="25"/>
      <c r="BJ339" s="13"/>
      <c r="BM339" s="114"/>
    </row>
    <row r="340" spans="1:65" ht="20.100000000000001" customHeight="1" x14ac:dyDescent="0.4">
      <c r="A340" s="117"/>
      <c r="B340" s="123"/>
      <c r="C340" s="123"/>
      <c r="D340" s="123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27"/>
      <c r="AA340" s="29"/>
      <c r="AE340" s="115"/>
      <c r="AF340" s="115"/>
      <c r="AG340" s="115"/>
      <c r="AH340" s="115"/>
      <c r="AI340" s="115"/>
      <c r="AJ340" s="115"/>
      <c r="AK340" s="25"/>
      <c r="AL340" s="13"/>
      <c r="AQ340" s="116"/>
      <c r="AR340" s="123"/>
      <c r="AS340" s="123"/>
      <c r="AT340" s="123"/>
      <c r="AY340" s="115"/>
      <c r="AZ340" s="115"/>
      <c r="BA340" s="115"/>
      <c r="BB340" s="115"/>
      <c r="BC340" s="115"/>
      <c r="BD340" s="115"/>
      <c r="BE340" s="115"/>
      <c r="BF340" s="115"/>
      <c r="BG340" s="115"/>
      <c r="BH340" s="115"/>
      <c r="BI340" s="25"/>
      <c r="BJ340" s="13"/>
      <c r="BM340" s="114"/>
    </row>
    <row r="341" spans="1:65" ht="20.100000000000001" customHeight="1" x14ac:dyDescent="0.4">
      <c r="A341" s="117"/>
      <c r="B341" s="123"/>
      <c r="C341" s="123"/>
      <c r="D341" s="123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27"/>
      <c r="AA341" s="29"/>
      <c r="AE341" s="115"/>
      <c r="AF341" s="115"/>
      <c r="AG341" s="115"/>
      <c r="AH341" s="115"/>
      <c r="AI341" s="115"/>
      <c r="AJ341" s="115"/>
      <c r="AK341" s="25"/>
      <c r="AL341" s="13"/>
      <c r="AQ341" s="116"/>
      <c r="AR341" s="123"/>
      <c r="AS341" s="123"/>
      <c r="AT341" s="123"/>
      <c r="AY341" s="115"/>
      <c r="AZ341" s="115"/>
      <c r="BA341" s="115"/>
      <c r="BB341" s="115"/>
      <c r="BC341" s="115"/>
      <c r="BD341" s="115"/>
      <c r="BE341" s="115"/>
      <c r="BF341" s="115"/>
      <c r="BG341" s="115"/>
      <c r="BH341" s="115"/>
      <c r="BI341" s="25"/>
      <c r="BJ341" s="13"/>
      <c r="BM341" s="114"/>
    </row>
    <row r="342" spans="1:65" ht="20.100000000000001" customHeight="1" x14ac:dyDescent="0.4">
      <c r="A342" s="117"/>
      <c r="B342" s="123"/>
      <c r="C342" s="123"/>
      <c r="D342" s="123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27"/>
      <c r="AA342" s="29"/>
      <c r="AE342" s="115"/>
      <c r="AF342" s="115"/>
      <c r="AG342" s="115"/>
      <c r="AH342" s="115"/>
      <c r="AI342" s="115"/>
      <c r="AJ342" s="115"/>
      <c r="AK342" s="25"/>
      <c r="AL342" s="13"/>
      <c r="AQ342" s="116"/>
      <c r="AR342" s="123"/>
      <c r="AS342" s="123"/>
      <c r="AT342" s="123"/>
      <c r="AY342" s="115"/>
      <c r="AZ342" s="115"/>
      <c r="BA342" s="115"/>
      <c r="BB342" s="115"/>
      <c r="BC342" s="115"/>
      <c r="BD342" s="115"/>
      <c r="BE342" s="115"/>
      <c r="BF342" s="115"/>
      <c r="BG342" s="115"/>
      <c r="BH342" s="115"/>
      <c r="BI342" s="25"/>
      <c r="BJ342" s="13"/>
      <c r="BM342" s="114"/>
    </row>
    <row r="343" spans="1:65" ht="20.100000000000001" customHeight="1" x14ac:dyDescent="0.4">
      <c r="A343" s="117"/>
      <c r="B343" s="123"/>
      <c r="C343" s="123"/>
      <c r="D343" s="123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29"/>
      <c r="AA343" s="29"/>
      <c r="AE343" s="115"/>
      <c r="AF343" s="115"/>
      <c r="AG343" s="115"/>
      <c r="AH343" s="115"/>
      <c r="AI343" s="115"/>
      <c r="AJ343" s="115"/>
      <c r="AK343" s="25"/>
      <c r="AL343" s="13"/>
      <c r="AQ343" s="116"/>
      <c r="AR343" s="123"/>
      <c r="AS343" s="123"/>
      <c r="AT343" s="123"/>
      <c r="AY343" s="115"/>
      <c r="AZ343" s="115"/>
      <c r="BA343" s="115"/>
      <c r="BB343" s="115"/>
      <c r="BC343" s="115"/>
      <c r="BD343" s="115"/>
      <c r="BE343" s="115"/>
      <c r="BF343" s="115"/>
      <c r="BG343" s="115"/>
      <c r="BH343" s="115"/>
      <c r="BI343" s="25"/>
      <c r="BJ343" s="13"/>
      <c r="BM343" s="114"/>
    </row>
    <row r="344" spans="1:65" ht="20.100000000000001" customHeight="1" x14ac:dyDescent="0.4">
      <c r="A344" s="117"/>
      <c r="B344" s="123"/>
      <c r="C344" s="123"/>
      <c r="D344" s="123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29"/>
      <c r="AA344" s="29"/>
      <c r="AE344" s="115"/>
      <c r="AF344" s="115"/>
      <c r="AG344" s="115"/>
      <c r="AH344" s="115"/>
      <c r="AI344" s="115"/>
      <c r="AJ344" s="115"/>
      <c r="AK344" s="25"/>
      <c r="AL344" s="13"/>
      <c r="AQ344" s="116"/>
      <c r="AR344" s="123"/>
      <c r="AS344" s="123"/>
      <c r="AT344" s="123"/>
      <c r="AY344" s="115"/>
      <c r="AZ344" s="115"/>
      <c r="BA344" s="115"/>
      <c r="BB344" s="115"/>
      <c r="BC344" s="115"/>
      <c r="BD344" s="115"/>
      <c r="BE344" s="115"/>
      <c r="BF344" s="115"/>
      <c r="BG344" s="115"/>
      <c r="BH344" s="115"/>
      <c r="BI344" s="25"/>
      <c r="BJ344" s="13"/>
      <c r="BM344" s="114"/>
    </row>
    <row r="345" spans="1:65" ht="20.100000000000001" customHeight="1" x14ac:dyDescent="0.4">
      <c r="A345" s="117"/>
      <c r="B345" s="123"/>
      <c r="C345" s="123"/>
      <c r="D345" s="123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27"/>
      <c r="AA345" s="29"/>
      <c r="AE345" s="115"/>
      <c r="AF345" s="115"/>
      <c r="AG345" s="115"/>
      <c r="AH345" s="115"/>
      <c r="AI345" s="115"/>
      <c r="AJ345" s="115"/>
      <c r="AK345" s="25"/>
      <c r="AL345" s="13"/>
      <c r="AQ345" s="116"/>
      <c r="AR345" s="123"/>
      <c r="AS345" s="123"/>
      <c r="AT345" s="123"/>
      <c r="AY345" s="115"/>
      <c r="AZ345" s="115"/>
      <c r="BA345" s="115"/>
      <c r="BB345" s="115"/>
      <c r="BC345" s="115"/>
      <c r="BD345" s="115"/>
      <c r="BE345" s="115"/>
      <c r="BF345" s="115"/>
      <c r="BG345" s="115"/>
      <c r="BH345" s="115"/>
      <c r="BI345" s="25"/>
      <c r="BJ345" s="13"/>
      <c r="BM345" s="114"/>
    </row>
    <row r="346" spans="1:65" ht="20.100000000000001" customHeight="1" x14ac:dyDescent="0.4">
      <c r="A346" s="117"/>
      <c r="B346" s="123"/>
      <c r="C346" s="123"/>
      <c r="D346" s="123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27"/>
      <c r="AA346" s="29"/>
      <c r="AE346" s="115"/>
      <c r="AF346" s="115"/>
      <c r="AG346" s="115"/>
      <c r="AH346" s="115"/>
      <c r="AI346" s="115"/>
      <c r="AJ346" s="115"/>
      <c r="AK346" s="25"/>
      <c r="AL346" s="13"/>
      <c r="AQ346" s="116"/>
      <c r="AR346" s="123"/>
      <c r="AS346" s="123"/>
      <c r="AT346" s="123"/>
      <c r="AY346" s="115"/>
      <c r="AZ346" s="115"/>
      <c r="BA346" s="115"/>
      <c r="BB346" s="115"/>
      <c r="BC346" s="115"/>
      <c r="BD346" s="115"/>
      <c r="BE346" s="115"/>
      <c r="BF346" s="115"/>
      <c r="BG346" s="115"/>
      <c r="BH346" s="115"/>
      <c r="BI346" s="25"/>
      <c r="BJ346" s="13"/>
      <c r="BM346" s="114"/>
    </row>
    <row r="347" spans="1:65" ht="20.100000000000001" customHeight="1" x14ac:dyDescent="0.4">
      <c r="A347" s="117"/>
      <c r="B347" s="123"/>
      <c r="C347" s="123"/>
      <c r="D347" s="123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27"/>
      <c r="AA347" s="29"/>
      <c r="AE347" s="115"/>
      <c r="AF347" s="115"/>
      <c r="AG347" s="115"/>
      <c r="AH347" s="115"/>
      <c r="AI347" s="115"/>
      <c r="AJ347" s="115"/>
      <c r="AK347" s="25"/>
      <c r="AL347" s="13"/>
      <c r="AQ347" s="116"/>
      <c r="AR347" s="123"/>
      <c r="AS347" s="123"/>
      <c r="AT347" s="123"/>
      <c r="AY347" s="115"/>
      <c r="AZ347" s="115"/>
      <c r="BA347" s="115"/>
      <c r="BB347" s="115"/>
      <c r="BC347" s="115"/>
      <c r="BD347" s="115"/>
      <c r="BE347" s="115"/>
      <c r="BF347" s="115"/>
      <c r="BG347" s="115"/>
      <c r="BH347" s="115"/>
      <c r="BI347" s="25"/>
      <c r="BJ347" s="13"/>
      <c r="BM347" s="114"/>
    </row>
    <row r="348" spans="1:65" ht="20.100000000000001" customHeight="1" x14ac:dyDescent="0.4">
      <c r="A348" s="117"/>
      <c r="B348" s="123"/>
      <c r="C348" s="123"/>
      <c r="D348" s="123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27"/>
      <c r="AA348" s="29"/>
      <c r="AE348" s="115"/>
      <c r="AF348" s="115"/>
      <c r="AG348" s="115"/>
      <c r="AH348" s="115"/>
      <c r="AI348" s="115"/>
      <c r="AJ348" s="115"/>
      <c r="AK348" s="25"/>
      <c r="AL348" s="13"/>
      <c r="AQ348" s="116"/>
      <c r="AR348" s="123"/>
      <c r="AS348" s="123"/>
      <c r="AT348" s="123"/>
      <c r="AY348" s="115"/>
      <c r="AZ348" s="115"/>
      <c r="BA348" s="115"/>
      <c r="BB348" s="115"/>
      <c r="BC348" s="115"/>
      <c r="BD348" s="115"/>
      <c r="BE348" s="115"/>
      <c r="BF348" s="115"/>
      <c r="BG348" s="115"/>
      <c r="BH348" s="115"/>
      <c r="BI348" s="25"/>
      <c r="BJ348" s="13"/>
      <c r="BM348" s="114"/>
    </row>
    <row r="349" spans="1:65" ht="20.100000000000001" customHeight="1" x14ac:dyDescent="0.4">
      <c r="A349" s="117"/>
      <c r="B349" s="123"/>
      <c r="C349" s="123"/>
      <c r="D349" s="123"/>
      <c r="Z349" s="127"/>
      <c r="AA349" s="29"/>
      <c r="AC349" s="115"/>
      <c r="AD349" s="115"/>
      <c r="AE349" s="115"/>
      <c r="AF349" s="115"/>
      <c r="AG349" s="115"/>
      <c r="AH349" s="115"/>
      <c r="AI349" s="115"/>
      <c r="AJ349" s="115"/>
      <c r="AK349" s="25">
        <v>45673</v>
      </c>
      <c r="AL349" s="13" t="s">
        <v>148</v>
      </c>
      <c r="AQ349" s="116"/>
      <c r="AR349" s="123"/>
      <c r="AS349" s="123"/>
      <c r="AT349" s="123"/>
      <c r="AY349" s="115"/>
      <c r="AZ349" s="115"/>
      <c r="BA349" s="115"/>
      <c r="BB349" s="115"/>
      <c r="BC349" s="115"/>
      <c r="BD349" s="115"/>
      <c r="BE349" s="115"/>
      <c r="BF349" s="115"/>
      <c r="BG349" s="115"/>
      <c r="BH349" s="115"/>
      <c r="BI349" s="25"/>
      <c r="BJ349" s="13"/>
      <c r="BM349" s="114"/>
    </row>
    <row r="350" spans="1:65" ht="20.100000000000001" customHeight="1" x14ac:dyDescent="0.4">
      <c r="A350" s="117"/>
      <c r="B350" s="123"/>
      <c r="C350" s="123"/>
      <c r="D350" s="123"/>
      <c r="S350" s="115"/>
      <c r="T350" s="115"/>
      <c r="U350" s="115"/>
      <c r="V350" s="115"/>
      <c r="W350" s="115"/>
      <c r="X350" s="115"/>
      <c r="Y350" s="115"/>
      <c r="Z350" s="29"/>
      <c r="AA350" s="29"/>
      <c r="AC350" s="115"/>
      <c r="AD350" s="115"/>
      <c r="AE350" s="115"/>
      <c r="AF350" s="115"/>
      <c r="AG350" s="115"/>
      <c r="AH350" s="115"/>
      <c r="AI350" s="115"/>
      <c r="AJ350" s="115"/>
      <c r="AK350" s="25"/>
      <c r="AL350" s="13"/>
      <c r="AQ350" s="116"/>
      <c r="AR350" s="123"/>
      <c r="AS350" s="123"/>
      <c r="AT350" s="123"/>
      <c r="AY350" s="115"/>
      <c r="AZ350" s="115"/>
      <c r="BA350" s="115"/>
      <c r="BB350" s="115"/>
      <c r="BC350" s="115"/>
      <c r="BD350" s="115"/>
      <c r="BE350" s="115"/>
      <c r="BF350" s="115"/>
      <c r="BG350" s="115"/>
      <c r="BH350" s="115"/>
      <c r="BI350" s="25"/>
      <c r="BJ350" s="13"/>
      <c r="BM350" s="114"/>
    </row>
    <row r="351" spans="1:65" ht="20.100000000000001" customHeight="1" x14ac:dyDescent="0.4">
      <c r="A351" s="117"/>
      <c r="B351" s="123"/>
      <c r="C351" s="123"/>
      <c r="D351" s="123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27"/>
      <c r="AA351" s="29"/>
      <c r="AC351" s="115"/>
      <c r="AD351" s="115"/>
      <c r="AE351" s="115"/>
      <c r="AF351" s="115"/>
      <c r="AG351" s="115"/>
      <c r="AH351" s="115"/>
      <c r="AI351" s="115"/>
      <c r="AJ351" s="115"/>
      <c r="AK351" s="25"/>
      <c r="AL351" s="13"/>
      <c r="AQ351" s="116"/>
      <c r="AR351" s="123"/>
      <c r="AS351" s="123"/>
      <c r="AT351" s="123"/>
      <c r="AY351" s="115"/>
      <c r="AZ351" s="115"/>
      <c r="BA351" s="115"/>
      <c r="BB351" s="115"/>
      <c r="BC351" s="115"/>
      <c r="BD351" s="115"/>
      <c r="BE351" s="115"/>
      <c r="BF351" s="115"/>
      <c r="BG351" s="115"/>
      <c r="BH351" s="115"/>
      <c r="BI351" s="25"/>
      <c r="BJ351" s="13"/>
      <c r="BM351" s="114"/>
    </row>
    <row r="352" spans="1:65" ht="20.100000000000001" customHeight="1" x14ac:dyDescent="0.4">
      <c r="A352" s="117"/>
      <c r="B352" s="123"/>
      <c r="C352" s="123"/>
      <c r="D352" s="123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27"/>
      <c r="AA352" s="29"/>
      <c r="AC352" s="115"/>
      <c r="AD352" s="115"/>
      <c r="AE352" s="115"/>
      <c r="AF352" s="115"/>
      <c r="AG352" s="115"/>
      <c r="AH352" s="115"/>
      <c r="AI352" s="115"/>
      <c r="AJ352" s="115"/>
      <c r="AK352" s="25"/>
      <c r="AL352" s="13"/>
      <c r="AQ352" s="116"/>
      <c r="AR352" s="123"/>
      <c r="AS352" s="123"/>
      <c r="AT352" s="123"/>
      <c r="AY352" s="115"/>
      <c r="AZ352" s="115"/>
      <c r="BA352" s="115"/>
      <c r="BB352" s="115"/>
      <c r="BC352" s="115"/>
      <c r="BD352" s="115"/>
      <c r="BE352" s="115"/>
      <c r="BF352" s="115"/>
      <c r="BG352" s="115"/>
      <c r="BH352" s="115"/>
      <c r="BI352" s="25"/>
      <c r="BJ352" s="13"/>
      <c r="BM352" s="114"/>
    </row>
    <row r="353" spans="1:65" ht="20.100000000000001" customHeight="1" x14ac:dyDescent="0.4">
      <c r="A353" s="117"/>
      <c r="B353" s="123"/>
      <c r="C353" s="123"/>
      <c r="D353" s="123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27"/>
      <c r="AA353" s="29"/>
      <c r="AC353" s="115"/>
      <c r="AD353" s="115"/>
      <c r="AE353" s="115"/>
      <c r="AF353" s="115"/>
      <c r="AG353" s="115"/>
      <c r="AH353" s="115"/>
      <c r="AI353" s="115"/>
      <c r="AJ353" s="115"/>
      <c r="AK353" s="25"/>
      <c r="AL353" s="13"/>
      <c r="AQ353" s="116"/>
      <c r="AR353" s="123"/>
      <c r="AS353" s="123"/>
      <c r="AT353" s="123"/>
      <c r="AY353" s="115"/>
      <c r="AZ353" s="115"/>
      <c r="BA353" s="115"/>
      <c r="BB353" s="115"/>
      <c r="BC353" s="115"/>
      <c r="BD353" s="115"/>
      <c r="BE353" s="115"/>
      <c r="BF353" s="115"/>
      <c r="BG353" s="115"/>
      <c r="BH353" s="115"/>
      <c r="BI353" s="25"/>
      <c r="BJ353" s="13"/>
      <c r="BM353" s="114"/>
    </row>
    <row r="354" spans="1:65" ht="20.100000000000001" customHeight="1" x14ac:dyDescent="0.4">
      <c r="A354" s="117"/>
      <c r="B354" s="123"/>
      <c r="C354" s="123"/>
      <c r="D354" s="123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27"/>
      <c r="AA354" s="29"/>
      <c r="AC354" s="115"/>
      <c r="AD354" s="115"/>
      <c r="AE354" s="115"/>
      <c r="AF354" s="115"/>
      <c r="AG354" s="115"/>
      <c r="AH354" s="115"/>
      <c r="AI354" s="115"/>
      <c r="AJ354" s="115"/>
      <c r="AK354" s="25"/>
      <c r="AL354" s="13"/>
      <c r="AQ354" s="116"/>
      <c r="AR354" s="123"/>
      <c r="AS354" s="123"/>
      <c r="AT354" s="123"/>
      <c r="AY354" s="115"/>
      <c r="AZ354" s="115"/>
      <c r="BA354" s="115"/>
      <c r="BB354" s="115"/>
      <c r="BC354" s="115"/>
      <c r="BD354" s="115"/>
      <c r="BE354" s="115"/>
      <c r="BF354" s="115"/>
      <c r="BG354" s="115"/>
      <c r="BH354" s="115"/>
      <c r="BI354" s="25"/>
      <c r="BJ354" s="13"/>
      <c r="BM354" s="114"/>
    </row>
    <row r="355" spans="1:65" ht="20.100000000000001" customHeight="1" x14ac:dyDescent="0.4">
      <c r="A355" s="117"/>
      <c r="B355" s="123"/>
      <c r="C355" s="123"/>
      <c r="D355" s="123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29"/>
      <c r="AA355" s="29"/>
      <c r="AC355" s="115"/>
      <c r="AD355" s="115"/>
      <c r="AE355" s="115"/>
      <c r="AF355" s="115"/>
      <c r="AG355" s="115"/>
      <c r="AH355" s="115"/>
      <c r="AI355" s="115"/>
      <c r="AJ355" s="115"/>
      <c r="AK355" s="25"/>
      <c r="AL355" s="13"/>
      <c r="AQ355" s="116"/>
      <c r="AR355" s="123"/>
      <c r="AS355" s="123"/>
      <c r="AT355" s="123"/>
      <c r="AY355" s="115"/>
      <c r="AZ355" s="115"/>
      <c r="BA355" s="115"/>
      <c r="BB355" s="115"/>
      <c r="BC355" s="115"/>
      <c r="BD355" s="115"/>
      <c r="BE355" s="115"/>
      <c r="BF355" s="115"/>
      <c r="BG355" s="115"/>
      <c r="BH355" s="115"/>
      <c r="BI355" s="25"/>
      <c r="BJ355" s="13"/>
      <c r="BM355" s="114"/>
    </row>
    <row r="356" spans="1:65" ht="20.100000000000001" customHeight="1" x14ac:dyDescent="0.4">
      <c r="A356" s="117"/>
      <c r="B356" s="123"/>
      <c r="C356" s="123"/>
      <c r="D356" s="123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27"/>
      <c r="AA356" s="29"/>
      <c r="AC356" s="115"/>
      <c r="AD356" s="115"/>
      <c r="AE356" s="115"/>
      <c r="AF356" s="115"/>
      <c r="AG356" s="115"/>
      <c r="AH356" s="115"/>
      <c r="AI356" s="115"/>
      <c r="AJ356" s="115"/>
      <c r="AK356" s="25"/>
      <c r="AL356" s="13"/>
      <c r="AQ356" s="116"/>
      <c r="AR356" s="123"/>
      <c r="AS356" s="123"/>
      <c r="AT356" s="123"/>
      <c r="AY356" s="115"/>
      <c r="AZ356" s="115"/>
      <c r="BA356" s="115"/>
      <c r="BB356" s="115"/>
      <c r="BC356" s="115"/>
      <c r="BD356" s="115"/>
      <c r="BE356" s="115"/>
      <c r="BF356" s="115"/>
      <c r="BG356" s="115"/>
      <c r="BH356" s="115"/>
      <c r="BI356" s="25"/>
      <c r="BJ356" s="13"/>
      <c r="BM356" s="114"/>
    </row>
    <row r="357" spans="1:65" ht="20.100000000000001" customHeight="1" x14ac:dyDescent="0.4">
      <c r="A357" s="117"/>
      <c r="B357" s="123"/>
      <c r="C357" s="123"/>
      <c r="D357" s="123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27"/>
      <c r="AA357" s="29"/>
      <c r="AC357" s="115"/>
      <c r="AD357" s="115"/>
      <c r="AE357" s="115"/>
      <c r="AF357" s="115"/>
      <c r="AG357" s="115"/>
      <c r="AH357" s="115"/>
      <c r="AI357" s="115"/>
      <c r="AJ357" s="115"/>
      <c r="AK357" s="25"/>
      <c r="AL357" s="13"/>
      <c r="AQ357" s="116"/>
      <c r="AR357" s="123"/>
      <c r="AS357" s="123"/>
      <c r="AT357" s="123"/>
      <c r="AY357" s="115"/>
      <c r="AZ357" s="115"/>
      <c r="BA357" s="115"/>
      <c r="BB357" s="115"/>
      <c r="BC357" s="115"/>
      <c r="BD357" s="115"/>
      <c r="BE357" s="115"/>
      <c r="BF357" s="115"/>
      <c r="BG357" s="115"/>
      <c r="BH357" s="115"/>
      <c r="BI357" s="25"/>
      <c r="BJ357" s="13"/>
      <c r="BM357" s="114"/>
    </row>
    <row r="358" spans="1:65" ht="20.100000000000001" customHeight="1" x14ac:dyDescent="0.4">
      <c r="A358" s="117"/>
      <c r="B358" s="123"/>
      <c r="C358" s="123"/>
      <c r="D358" s="123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27"/>
      <c r="AA358" s="29"/>
      <c r="AC358" s="115"/>
      <c r="AD358" s="115"/>
      <c r="AE358" s="115"/>
      <c r="AF358" s="115"/>
      <c r="AG358" s="115"/>
      <c r="AH358" s="115"/>
      <c r="AI358" s="115"/>
      <c r="AJ358" s="115"/>
      <c r="AK358" s="25"/>
      <c r="AL358" s="13"/>
      <c r="AQ358" s="116"/>
      <c r="AR358" s="123"/>
      <c r="AS358" s="123"/>
      <c r="AT358" s="123"/>
      <c r="AY358" s="115"/>
      <c r="AZ358" s="115"/>
      <c r="BA358" s="115"/>
      <c r="BB358" s="115"/>
      <c r="BC358" s="115"/>
      <c r="BD358" s="115"/>
      <c r="BE358" s="115"/>
      <c r="BF358" s="115"/>
      <c r="BG358" s="115"/>
      <c r="BH358" s="115"/>
      <c r="BI358" s="25"/>
      <c r="BJ358" s="13"/>
      <c r="BM358" s="114"/>
    </row>
    <row r="359" spans="1:65" ht="20.100000000000001" customHeight="1" x14ac:dyDescent="0.4">
      <c r="A359" s="117"/>
      <c r="B359" s="123"/>
      <c r="C359" s="123"/>
      <c r="D359" s="123"/>
      <c r="Z359" s="127"/>
      <c r="AA359" s="29"/>
      <c r="AC359" s="115"/>
      <c r="AD359" s="115"/>
      <c r="AE359" s="115"/>
      <c r="AF359" s="115"/>
      <c r="AG359" s="115"/>
      <c r="AH359" s="115"/>
      <c r="AI359" s="115"/>
      <c r="AJ359" s="115"/>
      <c r="AK359" s="25">
        <v>45673</v>
      </c>
      <c r="AL359" s="13" t="s">
        <v>147</v>
      </c>
      <c r="AQ359" s="116"/>
      <c r="AR359" s="123"/>
      <c r="AS359" s="123"/>
      <c r="AT359" s="123"/>
      <c r="AY359" s="115"/>
      <c r="AZ359" s="115"/>
      <c r="BA359" s="115"/>
      <c r="BB359" s="115"/>
      <c r="BC359" s="115"/>
      <c r="BD359" s="115"/>
      <c r="BE359" s="115"/>
      <c r="BF359" s="115"/>
      <c r="BG359" s="115"/>
      <c r="BH359" s="115"/>
      <c r="BI359" s="25"/>
      <c r="BJ359" s="13"/>
      <c r="BM359" s="114"/>
    </row>
    <row r="360" spans="1:65" ht="20.100000000000001" customHeight="1" x14ac:dyDescent="0.4">
      <c r="A360" s="117"/>
      <c r="B360" s="123"/>
      <c r="C360" s="123"/>
      <c r="D360" s="123"/>
      <c r="S360" s="115"/>
      <c r="T360" s="115"/>
      <c r="U360" s="115"/>
      <c r="V360" s="115"/>
      <c r="W360" s="115"/>
      <c r="X360" s="115"/>
      <c r="Y360" s="115"/>
      <c r="Z360" s="29"/>
      <c r="AA360" s="29"/>
      <c r="AC360" s="115"/>
      <c r="AD360" s="115"/>
      <c r="AE360" s="115"/>
      <c r="AF360" s="115"/>
      <c r="AG360" s="115"/>
      <c r="AH360" s="115"/>
      <c r="AI360" s="115"/>
      <c r="AJ360" s="115"/>
      <c r="AK360" s="25"/>
      <c r="AL360" s="13"/>
      <c r="AQ360" s="116"/>
      <c r="AR360" s="123"/>
      <c r="AS360" s="123"/>
      <c r="AT360" s="123"/>
      <c r="AY360" s="115"/>
      <c r="AZ360" s="115"/>
      <c r="BA360" s="115"/>
      <c r="BB360" s="115"/>
      <c r="BC360" s="115"/>
      <c r="BD360" s="115"/>
      <c r="BE360" s="115"/>
      <c r="BF360" s="115"/>
      <c r="BG360" s="115"/>
      <c r="BH360" s="115"/>
      <c r="BI360" s="25"/>
      <c r="BJ360" s="13"/>
      <c r="BM360" s="114"/>
    </row>
    <row r="361" spans="1:65" ht="20.100000000000001" customHeight="1" x14ac:dyDescent="0.4">
      <c r="A361" s="117"/>
      <c r="B361" s="123"/>
      <c r="C361" s="123"/>
      <c r="D361" s="123"/>
      <c r="Z361" s="127"/>
      <c r="AA361" s="29"/>
      <c r="AC361" s="115"/>
      <c r="AD361" s="115"/>
      <c r="AE361" s="115"/>
      <c r="AF361" s="115"/>
      <c r="AG361" s="115"/>
      <c r="AH361" s="115"/>
      <c r="AI361" s="115"/>
      <c r="AJ361" s="115"/>
      <c r="AK361" s="25"/>
      <c r="AL361" s="13"/>
      <c r="AQ361" s="116"/>
      <c r="AR361" s="123"/>
      <c r="AS361" s="123"/>
      <c r="AT361" s="123"/>
      <c r="AY361" s="115"/>
      <c r="AZ361" s="115"/>
      <c r="BA361" s="115"/>
      <c r="BB361" s="115"/>
      <c r="BC361" s="115"/>
      <c r="BD361" s="115"/>
      <c r="BE361" s="115"/>
      <c r="BF361" s="115"/>
      <c r="BG361" s="115"/>
      <c r="BH361" s="115"/>
      <c r="BI361" s="25"/>
      <c r="BJ361" s="13"/>
      <c r="BM361" s="114"/>
    </row>
    <row r="362" spans="1:65" ht="20.100000000000001" customHeight="1" x14ac:dyDescent="0.4">
      <c r="A362" s="117"/>
      <c r="B362" s="123"/>
      <c r="C362" s="123"/>
      <c r="D362" s="123"/>
      <c r="S362" s="115"/>
      <c r="T362" s="115"/>
      <c r="U362" s="115"/>
      <c r="V362" s="115"/>
      <c r="W362" s="115"/>
      <c r="X362" s="115"/>
      <c r="Y362" s="115"/>
      <c r="Z362" s="29"/>
      <c r="AA362" s="29"/>
      <c r="AC362" s="115"/>
      <c r="AD362" s="115"/>
      <c r="AE362" s="115"/>
      <c r="AF362" s="115"/>
      <c r="AG362" s="115"/>
      <c r="AH362" s="115"/>
      <c r="AI362" s="115"/>
      <c r="AJ362" s="115"/>
      <c r="AK362" s="25"/>
      <c r="AL362" s="13"/>
      <c r="AQ362" s="116"/>
      <c r="AR362" s="123"/>
      <c r="AS362" s="123"/>
      <c r="AT362" s="123"/>
      <c r="AY362" s="115"/>
      <c r="AZ362" s="115"/>
      <c r="BA362" s="115"/>
      <c r="BB362" s="115"/>
      <c r="BC362" s="115"/>
      <c r="BD362" s="115"/>
      <c r="BE362" s="115"/>
      <c r="BF362" s="115"/>
      <c r="BG362" s="115"/>
      <c r="BH362" s="115"/>
      <c r="BI362" s="25"/>
      <c r="BJ362" s="13"/>
      <c r="BM362" s="114"/>
    </row>
    <row r="363" spans="1:65" ht="20.100000000000001" customHeight="1" x14ac:dyDescent="0.4">
      <c r="A363" s="117"/>
      <c r="B363" s="123"/>
      <c r="C363" s="123"/>
      <c r="D363" s="123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27"/>
      <c r="AA363" s="29"/>
      <c r="AC363" s="115"/>
      <c r="AD363" s="115"/>
      <c r="AE363" s="115"/>
      <c r="AF363" s="115"/>
      <c r="AG363" s="115"/>
      <c r="AH363" s="115"/>
      <c r="AI363" s="115"/>
      <c r="AJ363" s="115"/>
      <c r="AK363" s="25"/>
      <c r="AL363" s="13"/>
      <c r="AQ363" s="116"/>
      <c r="AR363" s="123"/>
      <c r="AS363" s="123"/>
      <c r="AT363" s="123"/>
      <c r="AY363" s="115"/>
      <c r="AZ363" s="115"/>
      <c r="BA363" s="115"/>
      <c r="BB363" s="115"/>
      <c r="BC363" s="115"/>
      <c r="BD363" s="115"/>
      <c r="BE363" s="115"/>
      <c r="BF363" s="115"/>
      <c r="BG363" s="115"/>
      <c r="BH363" s="115"/>
      <c r="BI363" s="25"/>
      <c r="BJ363" s="13"/>
      <c r="BM363" s="114"/>
    </row>
    <row r="364" spans="1:65" ht="20.100000000000001" customHeight="1" x14ac:dyDescent="0.4">
      <c r="A364" s="117"/>
      <c r="B364" s="123"/>
      <c r="C364" s="123"/>
      <c r="D364" s="123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29"/>
      <c r="AA364" s="29"/>
      <c r="AC364" s="115"/>
      <c r="AD364" s="115"/>
      <c r="AE364" s="115"/>
      <c r="AF364" s="115"/>
      <c r="AG364" s="115"/>
      <c r="AH364" s="115"/>
      <c r="AI364" s="115"/>
      <c r="AJ364" s="115"/>
      <c r="AK364" s="25"/>
      <c r="AL364" s="13"/>
      <c r="AQ364" s="116"/>
      <c r="AR364" s="123"/>
      <c r="AS364" s="123"/>
      <c r="AT364" s="123"/>
      <c r="AY364" s="115"/>
      <c r="AZ364" s="115"/>
      <c r="BA364" s="115"/>
      <c r="BB364" s="115"/>
      <c r="BC364" s="115"/>
      <c r="BD364" s="115"/>
      <c r="BE364" s="115"/>
      <c r="BF364" s="115"/>
      <c r="BG364" s="115"/>
      <c r="BH364" s="115"/>
      <c r="BI364" s="25"/>
      <c r="BJ364" s="13"/>
      <c r="BM364" s="114"/>
    </row>
    <row r="365" spans="1:65" ht="20.100000000000001" customHeight="1" x14ac:dyDescent="0.4">
      <c r="A365" s="117"/>
      <c r="B365" s="123"/>
      <c r="C365" s="123"/>
      <c r="D365" s="123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29"/>
      <c r="AA365" s="29"/>
      <c r="AC365" s="115"/>
      <c r="AD365" s="115"/>
      <c r="AE365" s="115"/>
      <c r="AF365" s="115"/>
      <c r="AG365" s="115"/>
      <c r="AH365" s="115"/>
      <c r="AI365" s="115"/>
      <c r="AJ365" s="115"/>
      <c r="AK365" s="25"/>
      <c r="AL365" s="13"/>
      <c r="AQ365" s="116"/>
      <c r="AR365" s="123"/>
      <c r="AS365" s="123"/>
      <c r="AT365" s="123"/>
      <c r="AY365" s="115"/>
      <c r="AZ365" s="115"/>
      <c r="BA365" s="115"/>
      <c r="BB365" s="115"/>
      <c r="BC365" s="115"/>
      <c r="BD365" s="115"/>
      <c r="BE365" s="115"/>
      <c r="BF365" s="115"/>
      <c r="BG365" s="115"/>
      <c r="BH365" s="115"/>
      <c r="BI365" s="25"/>
      <c r="BJ365" s="13"/>
      <c r="BM365" s="114"/>
    </row>
    <row r="366" spans="1:65" ht="20.100000000000001" customHeight="1" x14ac:dyDescent="0.4">
      <c r="A366" s="117"/>
      <c r="B366" s="123"/>
      <c r="C366" s="123"/>
      <c r="D366" s="123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29"/>
      <c r="AA366" s="29"/>
      <c r="AC366" s="115"/>
      <c r="AD366" s="115"/>
      <c r="AE366" s="115"/>
      <c r="AF366" s="115"/>
      <c r="AG366" s="115"/>
      <c r="AH366" s="115"/>
      <c r="AI366" s="115"/>
      <c r="AJ366" s="115"/>
      <c r="AK366" s="25"/>
      <c r="AL366" s="13"/>
      <c r="AQ366" s="116"/>
      <c r="AR366" s="123"/>
      <c r="AS366" s="123"/>
      <c r="AT366" s="123"/>
      <c r="AY366" s="115"/>
      <c r="AZ366" s="115"/>
      <c r="BA366" s="115"/>
      <c r="BB366" s="115"/>
      <c r="BC366" s="115"/>
      <c r="BD366" s="115"/>
      <c r="BE366" s="115"/>
      <c r="BF366" s="115"/>
      <c r="BG366" s="115"/>
      <c r="BH366" s="115"/>
      <c r="BI366" s="25"/>
      <c r="BJ366" s="13"/>
      <c r="BM366" s="114"/>
    </row>
    <row r="367" spans="1:65" ht="20.100000000000001" customHeight="1" x14ac:dyDescent="0.4">
      <c r="A367" s="117"/>
      <c r="B367" s="123"/>
      <c r="C367" s="123"/>
      <c r="D367" s="123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27"/>
      <c r="AA367" s="29"/>
      <c r="AC367" s="115"/>
      <c r="AD367" s="115"/>
      <c r="AE367" s="115"/>
      <c r="AF367" s="115"/>
      <c r="AG367" s="115"/>
      <c r="AH367" s="115"/>
      <c r="AI367" s="115"/>
      <c r="AJ367" s="115"/>
      <c r="AK367" s="25"/>
      <c r="AL367" s="13"/>
      <c r="AQ367" s="116"/>
      <c r="AR367" s="123"/>
      <c r="AS367" s="123"/>
      <c r="AT367" s="123"/>
      <c r="AY367" s="115"/>
      <c r="AZ367" s="115"/>
      <c r="BA367" s="115"/>
      <c r="BB367" s="115"/>
      <c r="BC367" s="115"/>
      <c r="BD367" s="115"/>
      <c r="BE367" s="115"/>
      <c r="BF367" s="115"/>
      <c r="BG367" s="115"/>
      <c r="BH367" s="115"/>
      <c r="BI367" s="25"/>
      <c r="BJ367" s="13"/>
      <c r="BM367" s="114"/>
    </row>
    <row r="368" spans="1:65" ht="20.100000000000001" customHeight="1" x14ac:dyDescent="0.4">
      <c r="A368" s="117"/>
      <c r="B368" s="123"/>
      <c r="C368" s="123"/>
      <c r="D368" s="123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29"/>
      <c r="AA368" s="29"/>
      <c r="AC368" s="115"/>
      <c r="AD368" s="115"/>
      <c r="AE368" s="115"/>
      <c r="AF368" s="115"/>
      <c r="AG368" s="115"/>
      <c r="AH368" s="115"/>
      <c r="AI368" s="115"/>
      <c r="AJ368" s="115"/>
      <c r="AK368" s="25"/>
      <c r="AL368" s="13"/>
      <c r="AQ368" s="116"/>
      <c r="AR368" s="123"/>
      <c r="AS368" s="123"/>
      <c r="AT368" s="123"/>
      <c r="AY368" s="115"/>
      <c r="AZ368" s="115"/>
      <c r="BA368" s="115"/>
      <c r="BB368" s="115"/>
      <c r="BC368" s="115"/>
      <c r="BD368" s="115"/>
      <c r="BE368" s="115"/>
      <c r="BF368" s="115"/>
      <c r="BG368" s="115"/>
      <c r="BH368" s="115"/>
      <c r="BI368" s="25"/>
      <c r="BJ368" s="13"/>
      <c r="BM368" s="114"/>
    </row>
    <row r="369" spans="1:65" ht="20.100000000000001" customHeight="1" x14ac:dyDescent="0.4">
      <c r="A369" s="117"/>
      <c r="B369" s="123"/>
      <c r="C369" s="123"/>
      <c r="D369" s="123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27"/>
      <c r="AA369" s="29"/>
      <c r="AC369" s="115"/>
      <c r="AD369" s="115"/>
      <c r="AE369" s="115"/>
      <c r="AF369" s="115"/>
      <c r="AG369" s="115"/>
      <c r="AH369" s="115"/>
      <c r="AI369" s="115"/>
      <c r="AJ369" s="115"/>
      <c r="AK369" s="25"/>
      <c r="AL369" s="13"/>
      <c r="AQ369" s="116"/>
      <c r="AR369" s="123"/>
      <c r="AS369" s="123"/>
      <c r="AT369" s="123"/>
      <c r="AY369" s="115"/>
      <c r="AZ369" s="115"/>
      <c r="BA369" s="115"/>
      <c r="BB369" s="115"/>
      <c r="BC369" s="115"/>
      <c r="BD369" s="115"/>
      <c r="BE369" s="115"/>
      <c r="BF369" s="115"/>
      <c r="BG369" s="115"/>
      <c r="BH369" s="115"/>
      <c r="BI369" s="25"/>
      <c r="BJ369" s="13"/>
      <c r="BM369" s="114"/>
    </row>
    <row r="370" spans="1:65" ht="20.100000000000001" customHeight="1" x14ac:dyDescent="0.4">
      <c r="A370" s="117"/>
      <c r="B370" s="123"/>
      <c r="C370" s="123"/>
      <c r="D370" s="123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27"/>
      <c r="AA370" s="29"/>
      <c r="AC370" s="115"/>
      <c r="AD370" s="115"/>
      <c r="AE370" s="115"/>
      <c r="AF370" s="115"/>
      <c r="AG370" s="115"/>
      <c r="AH370" s="115"/>
      <c r="AI370" s="115"/>
      <c r="AJ370" s="115"/>
      <c r="AK370" s="25"/>
      <c r="AL370" s="13"/>
      <c r="AQ370" s="116"/>
      <c r="AR370" s="123"/>
      <c r="AS370" s="123"/>
      <c r="AT370" s="123"/>
      <c r="AY370" s="115"/>
      <c r="AZ370" s="115"/>
      <c r="BA370" s="115"/>
      <c r="BB370" s="115"/>
      <c r="BC370" s="115"/>
      <c r="BD370" s="115"/>
      <c r="BE370" s="115"/>
      <c r="BF370" s="115"/>
      <c r="BG370" s="115"/>
      <c r="BH370" s="115"/>
      <c r="BI370" s="25"/>
      <c r="BJ370" s="13"/>
      <c r="BM370" s="114"/>
    </row>
    <row r="371" spans="1:65" ht="20.100000000000001" customHeight="1" x14ac:dyDescent="0.4">
      <c r="A371" s="117"/>
      <c r="B371" s="123"/>
      <c r="C371" s="123"/>
      <c r="D371" s="123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27"/>
      <c r="AA371" s="29"/>
      <c r="AC371" s="115"/>
      <c r="AD371" s="115"/>
      <c r="AE371" s="115"/>
      <c r="AF371" s="115"/>
      <c r="AG371" s="115"/>
      <c r="AH371" s="115"/>
      <c r="AI371" s="115"/>
      <c r="AJ371" s="115"/>
      <c r="AK371" s="25"/>
      <c r="AL371" s="13"/>
      <c r="AQ371" s="116"/>
      <c r="AR371" s="123"/>
      <c r="AS371" s="123"/>
      <c r="AT371" s="123"/>
      <c r="AY371" s="115"/>
      <c r="AZ371" s="115"/>
      <c r="BA371" s="115"/>
      <c r="BB371" s="115"/>
      <c r="BC371" s="115"/>
      <c r="BD371" s="115"/>
      <c r="BE371" s="115"/>
      <c r="BF371" s="115"/>
      <c r="BG371" s="115"/>
      <c r="BH371" s="115"/>
      <c r="BI371" s="25"/>
      <c r="BJ371" s="13"/>
      <c r="BM371" s="114"/>
    </row>
    <row r="372" spans="1:65" ht="20.100000000000001" customHeight="1" x14ac:dyDescent="0.4">
      <c r="A372" s="117"/>
      <c r="B372" s="123"/>
      <c r="C372" s="123"/>
      <c r="D372" s="123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27"/>
      <c r="AA372" s="29"/>
      <c r="AC372" s="115"/>
      <c r="AD372" s="115"/>
      <c r="AE372" s="115"/>
      <c r="AF372" s="115"/>
      <c r="AG372" s="115"/>
      <c r="AH372" s="115"/>
      <c r="AI372" s="115"/>
      <c r="AJ372" s="115"/>
      <c r="AK372" s="25"/>
      <c r="AL372" s="13"/>
      <c r="AQ372" s="116"/>
      <c r="AR372" s="123"/>
      <c r="AS372" s="123"/>
      <c r="AT372" s="123"/>
      <c r="AY372" s="115"/>
      <c r="AZ372" s="115"/>
      <c r="BA372" s="115"/>
      <c r="BB372" s="115"/>
      <c r="BC372" s="115"/>
      <c r="BD372" s="115"/>
      <c r="BE372" s="115"/>
      <c r="BF372" s="115"/>
      <c r="BG372" s="115"/>
      <c r="BH372" s="115"/>
      <c r="BI372" s="25"/>
      <c r="BJ372" s="13"/>
      <c r="BM372" s="114"/>
    </row>
    <row r="373" spans="1:65" ht="20.100000000000001" customHeight="1" x14ac:dyDescent="0.4">
      <c r="A373" s="117"/>
      <c r="B373" s="123"/>
      <c r="C373" s="123"/>
      <c r="D373" s="123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27"/>
      <c r="AA373" s="29"/>
      <c r="AC373" s="115"/>
      <c r="AD373" s="115"/>
      <c r="AE373" s="115"/>
      <c r="AF373" s="115"/>
      <c r="AG373" s="115"/>
      <c r="AH373" s="115"/>
      <c r="AI373" s="115"/>
      <c r="AJ373" s="115"/>
      <c r="AK373" s="25"/>
      <c r="AL373" s="13"/>
      <c r="AQ373" s="116"/>
      <c r="AR373" s="123"/>
      <c r="AS373" s="123"/>
      <c r="AT373" s="123"/>
      <c r="AY373" s="115"/>
      <c r="AZ373" s="115"/>
      <c r="BA373" s="115"/>
      <c r="BB373" s="115"/>
      <c r="BC373" s="115"/>
      <c r="BD373" s="115"/>
      <c r="BE373" s="115"/>
      <c r="BF373" s="115"/>
      <c r="BG373" s="115"/>
      <c r="BH373" s="115"/>
      <c r="BI373" s="25"/>
      <c r="BJ373" s="13"/>
      <c r="BM373" s="114"/>
    </row>
    <row r="374" spans="1:65" ht="20.100000000000001" customHeight="1" x14ac:dyDescent="0.4">
      <c r="A374" s="117"/>
      <c r="B374" s="123"/>
      <c r="C374" s="123"/>
      <c r="D374" s="123"/>
      <c r="Z374" s="127"/>
      <c r="AA374" s="29"/>
      <c r="AC374" s="115"/>
      <c r="AD374" s="115"/>
      <c r="AE374" s="115"/>
      <c r="AF374" s="115"/>
      <c r="AG374" s="115"/>
      <c r="AH374" s="115"/>
      <c r="AI374" s="115"/>
      <c r="AJ374" s="115"/>
      <c r="AK374" s="25">
        <v>45673</v>
      </c>
      <c r="AL374" s="13" t="s">
        <v>147</v>
      </c>
      <c r="AQ374" s="116"/>
      <c r="AR374" s="123"/>
      <c r="AS374" s="123"/>
      <c r="AT374" s="123"/>
      <c r="AY374" s="115"/>
      <c r="AZ374" s="115"/>
      <c r="BA374" s="115"/>
      <c r="BB374" s="115"/>
      <c r="BC374" s="115"/>
      <c r="BD374" s="115"/>
      <c r="BE374" s="115"/>
      <c r="BF374" s="115"/>
      <c r="BG374" s="115"/>
      <c r="BH374" s="115"/>
      <c r="BI374" s="25"/>
      <c r="BJ374" s="13"/>
      <c r="BM374" s="114"/>
    </row>
    <row r="375" spans="1:65" ht="20.100000000000001" customHeight="1" x14ac:dyDescent="0.4">
      <c r="A375" s="117"/>
      <c r="B375" s="123"/>
      <c r="C375" s="123"/>
      <c r="D375" s="123"/>
      <c r="Z375" s="127"/>
      <c r="AA375" s="29"/>
      <c r="AC375" s="115"/>
      <c r="AD375" s="115"/>
      <c r="AE375" s="115"/>
      <c r="AF375" s="115"/>
      <c r="AG375" s="115"/>
      <c r="AH375" s="115"/>
      <c r="AI375" s="115"/>
      <c r="AJ375" s="115"/>
      <c r="AK375" s="25">
        <v>45673</v>
      </c>
      <c r="AL375" s="13" t="s">
        <v>147</v>
      </c>
      <c r="AQ375" s="116"/>
      <c r="AR375" s="123"/>
      <c r="AS375" s="123"/>
      <c r="AT375" s="123"/>
      <c r="AY375" s="115"/>
      <c r="AZ375" s="115"/>
      <c r="BA375" s="115"/>
      <c r="BB375" s="115"/>
      <c r="BC375" s="115"/>
      <c r="BD375" s="115"/>
      <c r="BE375" s="115"/>
      <c r="BF375" s="115"/>
      <c r="BG375" s="115"/>
      <c r="BH375" s="115"/>
      <c r="BI375" s="25"/>
      <c r="BJ375" s="13"/>
      <c r="BM375" s="114"/>
    </row>
    <row r="376" spans="1:65" ht="20.100000000000001" customHeight="1" x14ac:dyDescent="0.4">
      <c r="A376" s="117"/>
      <c r="B376" s="123"/>
      <c r="C376" s="123"/>
      <c r="D376" s="123"/>
      <c r="Z376" s="127"/>
      <c r="AA376" s="29"/>
      <c r="AC376" s="115"/>
      <c r="AD376" s="115"/>
      <c r="AE376" s="115"/>
      <c r="AF376" s="115"/>
      <c r="AG376" s="115"/>
      <c r="AH376" s="115"/>
      <c r="AI376" s="115"/>
      <c r="AJ376" s="115"/>
      <c r="AK376" s="25">
        <v>45675</v>
      </c>
      <c r="AL376" s="13" t="s">
        <v>147</v>
      </c>
      <c r="AQ376" s="116"/>
      <c r="AR376" s="123"/>
      <c r="AS376" s="123"/>
      <c r="AT376" s="123"/>
      <c r="AY376" s="115"/>
      <c r="AZ376" s="115"/>
      <c r="BA376" s="115"/>
      <c r="BB376" s="115"/>
      <c r="BC376" s="115"/>
      <c r="BD376" s="115"/>
      <c r="BE376" s="115"/>
      <c r="BF376" s="115"/>
      <c r="BG376" s="115"/>
      <c r="BH376" s="115"/>
      <c r="BI376" s="25"/>
      <c r="BJ376" s="13"/>
      <c r="BM376" s="114"/>
    </row>
    <row r="377" spans="1:65" ht="20.100000000000001" customHeight="1" x14ac:dyDescent="0.4">
      <c r="A377" s="117"/>
      <c r="B377" s="123"/>
      <c r="C377" s="123"/>
      <c r="D377" s="123"/>
      <c r="Z377" s="127"/>
      <c r="AA377" s="29"/>
      <c r="AC377" s="115"/>
      <c r="AD377" s="115"/>
      <c r="AE377" s="115"/>
      <c r="AF377" s="115"/>
      <c r="AG377" s="115"/>
      <c r="AH377" s="115"/>
      <c r="AI377" s="115"/>
      <c r="AJ377" s="115"/>
      <c r="AK377" s="25"/>
      <c r="AL377" s="13"/>
      <c r="AQ377" s="116"/>
      <c r="AR377" s="123"/>
      <c r="AS377" s="123"/>
      <c r="AT377" s="123"/>
      <c r="AY377" s="115"/>
      <c r="AZ377" s="115"/>
      <c r="BA377" s="115"/>
      <c r="BB377" s="115"/>
      <c r="BC377" s="115"/>
      <c r="BD377" s="115"/>
      <c r="BE377" s="115"/>
      <c r="BF377" s="115"/>
      <c r="BG377" s="115"/>
      <c r="BH377" s="115"/>
      <c r="BI377" s="25"/>
      <c r="BJ377" s="13"/>
      <c r="BM377" s="114"/>
    </row>
    <row r="378" spans="1:65" ht="20.100000000000001" customHeight="1" x14ac:dyDescent="0.4">
      <c r="A378" s="117"/>
      <c r="B378" s="123"/>
      <c r="C378" s="123"/>
      <c r="D378" s="123"/>
      <c r="Q378" s="115"/>
      <c r="R378" s="115"/>
      <c r="S378" s="115"/>
      <c r="T378" s="115"/>
      <c r="U378" s="115"/>
      <c r="V378" s="115"/>
      <c r="W378" s="115"/>
      <c r="X378" s="115"/>
      <c r="Y378" s="115"/>
      <c r="Z378" s="127"/>
      <c r="AA378" s="29"/>
      <c r="AC378" s="115"/>
      <c r="AD378" s="115"/>
      <c r="AE378" s="115"/>
      <c r="AF378" s="115"/>
      <c r="AG378" s="115"/>
      <c r="AH378" s="115"/>
      <c r="AI378" s="115"/>
      <c r="AJ378" s="115"/>
      <c r="AK378" s="25"/>
      <c r="AL378" s="13"/>
      <c r="AQ378" s="116"/>
      <c r="AR378" s="123"/>
      <c r="AS378" s="123"/>
      <c r="AT378" s="123"/>
      <c r="AY378" s="115"/>
      <c r="AZ378" s="115"/>
      <c r="BA378" s="115"/>
      <c r="BB378" s="115"/>
      <c r="BC378" s="115"/>
      <c r="BD378" s="115"/>
      <c r="BE378" s="115"/>
      <c r="BF378" s="115"/>
      <c r="BG378" s="115"/>
      <c r="BH378" s="115"/>
      <c r="BI378" s="25"/>
      <c r="BJ378" s="13"/>
      <c r="BM378" s="114"/>
    </row>
    <row r="379" spans="1:65" ht="20.100000000000001" customHeight="1" x14ac:dyDescent="0.4">
      <c r="A379" s="117"/>
      <c r="B379" s="123"/>
      <c r="C379" s="123"/>
      <c r="D379" s="123"/>
      <c r="Z379" s="127"/>
      <c r="AA379" s="29"/>
      <c r="AC379" s="115"/>
      <c r="AD379" s="115"/>
      <c r="AE379" s="115"/>
      <c r="AF379" s="115"/>
      <c r="AG379" s="115"/>
      <c r="AH379" s="115"/>
      <c r="AI379" s="115"/>
      <c r="AJ379" s="115"/>
      <c r="AK379" s="25">
        <v>45675</v>
      </c>
      <c r="AL379" s="15" t="s">
        <v>147</v>
      </c>
      <c r="AQ379" s="116"/>
      <c r="AR379" s="123"/>
      <c r="AS379" s="123"/>
      <c r="AT379" s="123"/>
      <c r="AY379" s="115"/>
      <c r="AZ379" s="115"/>
      <c r="BA379" s="115"/>
      <c r="BB379" s="115"/>
      <c r="BC379" s="115"/>
      <c r="BD379" s="115"/>
      <c r="BE379" s="115"/>
      <c r="BF379" s="115"/>
      <c r="BG379" s="115"/>
      <c r="BH379" s="115"/>
      <c r="BI379" s="25"/>
      <c r="BJ379" s="13"/>
      <c r="BM379" s="114"/>
    </row>
    <row r="380" spans="1:65" ht="20.100000000000001" customHeight="1" x14ac:dyDescent="0.4">
      <c r="A380" s="117"/>
      <c r="B380" s="123"/>
      <c r="C380" s="123"/>
      <c r="D380" s="123"/>
      <c r="Z380" s="127"/>
      <c r="AA380" s="29"/>
      <c r="AC380" s="115"/>
      <c r="AD380" s="115"/>
      <c r="AE380" s="115"/>
      <c r="AF380" s="115"/>
      <c r="AG380" s="115"/>
      <c r="AH380" s="115"/>
      <c r="AI380" s="115"/>
      <c r="AJ380" s="115"/>
      <c r="AK380" s="25"/>
      <c r="AL380" s="13"/>
      <c r="AQ380" s="116"/>
      <c r="AR380" s="123"/>
      <c r="AS380" s="123"/>
      <c r="AT380" s="123"/>
      <c r="AY380" s="115"/>
      <c r="AZ380" s="115"/>
      <c r="BA380" s="115"/>
      <c r="BB380" s="115"/>
      <c r="BC380" s="115"/>
      <c r="BD380" s="115"/>
      <c r="BE380" s="115"/>
      <c r="BF380" s="115"/>
      <c r="BG380" s="115"/>
      <c r="BH380" s="115"/>
      <c r="BI380" s="25"/>
      <c r="BJ380" s="13"/>
      <c r="BM380" s="114"/>
    </row>
    <row r="381" spans="1:65" ht="20.100000000000001" customHeight="1" x14ac:dyDescent="0.4">
      <c r="A381" s="117"/>
      <c r="B381" s="123"/>
      <c r="C381" s="123"/>
      <c r="D381" s="123"/>
      <c r="Z381" s="127"/>
      <c r="AA381" s="29"/>
      <c r="AC381" s="115"/>
      <c r="AD381" s="115"/>
      <c r="AE381" s="115"/>
      <c r="AF381" s="115"/>
      <c r="AG381" s="115"/>
      <c r="AH381" s="115"/>
      <c r="AI381" s="115"/>
      <c r="AJ381" s="115"/>
      <c r="AK381" s="25">
        <v>45675</v>
      </c>
      <c r="AL381" s="13" t="s">
        <v>147</v>
      </c>
      <c r="AQ381" s="116"/>
      <c r="AR381" s="123"/>
      <c r="AS381" s="123"/>
      <c r="AT381" s="123"/>
      <c r="AY381" s="115"/>
      <c r="AZ381" s="115"/>
      <c r="BA381" s="115"/>
      <c r="BB381" s="115"/>
      <c r="BC381" s="115"/>
      <c r="BD381" s="115"/>
      <c r="BE381" s="115"/>
      <c r="BF381" s="115"/>
      <c r="BG381" s="115"/>
      <c r="BH381" s="115"/>
      <c r="BI381" s="25"/>
      <c r="BJ381" s="13"/>
      <c r="BM381" s="114"/>
    </row>
    <row r="382" spans="1:6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27"/>
      <c r="AA382" s="29"/>
      <c r="AC382" s="115"/>
      <c r="AD382" s="115"/>
      <c r="AE382" s="115"/>
      <c r="AF382" s="115"/>
      <c r="AG382" s="115"/>
      <c r="AH382" s="115"/>
      <c r="AI382" s="115"/>
      <c r="AJ382" s="115"/>
      <c r="AK382" s="25"/>
      <c r="AL382" s="13"/>
      <c r="AQ382" s="116"/>
      <c r="AR382" s="123"/>
      <c r="AS382" s="123"/>
      <c r="AT382" s="123"/>
      <c r="AY382" s="115"/>
      <c r="AZ382" s="115"/>
      <c r="BA382" s="115"/>
      <c r="BB382" s="115"/>
      <c r="BC382" s="115"/>
      <c r="BD382" s="115"/>
      <c r="BE382" s="115"/>
      <c r="BF382" s="115"/>
      <c r="BG382" s="115"/>
      <c r="BH382" s="115"/>
      <c r="BI382" s="25"/>
      <c r="BJ382" s="13"/>
      <c r="BM382" s="114"/>
    </row>
    <row r="383" spans="1:65" ht="20.100000000000001" customHeight="1" x14ac:dyDescent="0.4">
      <c r="A383" s="117"/>
      <c r="B383" s="123"/>
      <c r="C383" s="123"/>
      <c r="D383" s="123"/>
      <c r="Z383" s="127"/>
      <c r="AA383" s="29"/>
      <c r="AC383" s="115"/>
      <c r="AD383" s="115"/>
      <c r="AE383" s="115"/>
      <c r="AF383" s="115"/>
      <c r="AG383" s="115"/>
      <c r="AH383" s="115"/>
      <c r="AI383" s="115"/>
      <c r="AJ383" s="115"/>
      <c r="AK383" s="25"/>
      <c r="AL383" s="13"/>
      <c r="AQ383" s="116"/>
      <c r="AR383" s="123"/>
      <c r="AS383" s="123"/>
      <c r="AT383" s="123"/>
      <c r="AY383" s="115"/>
      <c r="AZ383" s="115"/>
      <c r="BA383" s="115"/>
      <c r="BB383" s="115"/>
      <c r="BC383" s="115"/>
      <c r="BD383" s="115"/>
      <c r="BE383" s="115"/>
      <c r="BF383" s="115"/>
      <c r="BG383" s="115"/>
      <c r="BH383" s="115"/>
      <c r="BI383" s="25"/>
      <c r="BJ383" s="13"/>
      <c r="BM383" s="114"/>
    </row>
    <row r="384" spans="1:65" ht="20.100000000000001" customHeight="1" x14ac:dyDescent="0.4">
      <c r="A384" s="117"/>
      <c r="B384" s="123"/>
      <c r="C384" s="123"/>
      <c r="D384" s="12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27"/>
      <c r="AA384" s="29"/>
      <c r="AC384" s="115"/>
      <c r="AD384" s="115"/>
      <c r="AE384" s="115"/>
      <c r="AF384" s="115"/>
      <c r="AG384" s="115"/>
      <c r="AH384" s="115"/>
      <c r="AI384" s="115"/>
      <c r="AJ384" s="115"/>
      <c r="AK384" s="25"/>
      <c r="AL384" s="13"/>
      <c r="AQ384" s="116"/>
      <c r="AR384" s="123"/>
      <c r="AS384" s="123"/>
      <c r="AT384" s="123"/>
      <c r="AY384" s="115"/>
      <c r="AZ384" s="115"/>
      <c r="BA384" s="115"/>
      <c r="BB384" s="115"/>
      <c r="BC384" s="115"/>
      <c r="BD384" s="115"/>
      <c r="BE384" s="115"/>
      <c r="BF384" s="115"/>
      <c r="BG384" s="115"/>
      <c r="BH384" s="115"/>
      <c r="BI384" s="25"/>
      <c r="BJ384" s="13"/>
      <c r="BM384" s="114"/>
    </row>
    <row r="385" spans="1:65" ht="20.100000000000001" customHeight="1" x14ac:dyDescent="0.4">
      <c r="A385" s="117"/>
      <c r="B385" s="123"/>
      <c r="C385" s="123"/>
      <c r="D385" s="12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29"/>
      <c r="AA385" s="29"/>
      <c r="AC385" s="115"/>
      <c r="AD385" s="115"/>
      <c r="AE385" s="115"/>
      <c r="AF385" s="115"/>
      <c r="AG385" s="115"/>
      <c r="AH385" s="115"/>
      <c r="AI385" s="115"/>
      <c r="AJ385" s="115"/>
      <c r="AK385" s="25"/>
      <c r="AL385" s="13"/>
      <c r="AQ385" s="116"/>
      <c r="AR385" s="123"/>
      <c r="AS385" s="123"/>
      <c r="AT385" s="123"/>
      <c r="AY385" s="115"/>
      <c r="AZ385" s="115"/>
      <c r="BA385" s="115"/>
      <c r="BB385" s="115"/>
      <c r="BC385" s="115"/>
      <c r="BD385" s="115"/>
      <c r="BE385" s="115"/>
      <c r="BF385" s="115"/>
      <c r="BG385" s="115"/>
      <c r="BH385" s="115"/>
      <c r="BI385" s="25"/>
      <c r="BJ385" s="13"/>
      <c r="BM385" s="114"/>
    </row>
    <row r="386" spans="1:65" ht="20.100000000000001" customHeight="1" x14ac:dyDescent="0.4">
      <c r="A386" s="117"/>
      <c r="B386" s="123"/>
      <c r="C386" s="123"/>
      <c r="D386" s="123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27"/>
      <c r="AA386" s="127"/>
      <c r="AC386" s="115"/>
      <c r="AD386" s="115"/>
      <c r="AE386" s="115"/>
      <c r="AF386" s="115"/>
      <c r="AG386" s="115"/>
      <c r="AH386" s="115"/>
      <c r="AI386" s="115"/>
      <c r="AJ386" s="115"/>
      <c r="AK386" s="25"/>
      <c r="AL386" s="13"/>
      <c r="AQ386" s="116"/>
      <c r="AR386" s="123"/>
      <c r="AS386" s="123"/>
      <c r="AT386" s="123"/>
      <c r="AY386" s="115"/>
      <c r="AZ386" s="115"/>
      <c r="BA386" s="115"/>
      <c r="BB386" s="115"/>
      <c r="BC386" s="115"/>
      <c r="BD386" s="115"/>
      <c r="BE386" s="115"/>
      <c r="BF386" s="115"/>
      <c r="BG386" s="115"/>
      <c r="BH386" s="115"/>
      <c r="BI386" s="25"/>
      <c r="BJ386" s="13"/>
      <c r="BM386" s="114"/>
    </row>
    <row r="387" spans="1:65" ht="20.100000000000001" customHeight="1" x14ac:dyDescent="0.4">
      <c r="A387" s="117"/>
      <c r="B387" s="123"/>
      <c r="C387" s="123"/>
      <c r="D387" s="123"/>
      <c r="Z387" s="127"/>
      <c r="AA387" s="127"/>
      <c r="AC387" s="115"/>
      <c r="AD387" s="115"/>
      <c r="AE387" s="115"/>
      <c r="AF387" s="115"/>
      <c r="AG387" s="115"/>
      <c r="AH387" s="115"/>
      <c r="AI387" s="115"/>
      <c r="AJ387" s="115"/>
      <c r="AK387" s="25"/>
      <c r="AL387" s="13"/>
      <c r="AQ387" s="116"/>
      <c r="AR387" s="123"/>
      <c r="AS387" s="123"/>
      <c r="AT387" s="123"/>
      <c r="AY387" s="115"/>
      <c r="AZ387" s="115"/>
      <c r="BA387" s="115"/>
      <c r="BB387" s="115"/>
      <c r="BC387" s="115"/>
      <c r="BD387" s="115"/>
      <c r="BE387" s="115"/>
      <c r="BF387" s="115"/>
      <c r="BG387" s="115"/>
      <c r="BH387" s="115"/>
      <c r="BI387" s="25"/>
      <c r="BJ387" s="13"/>
      <c r="BM387" s="114"/>
    </row>
    <row r="388" spans="1:65" ht="20.100000000000001" customHeight="1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27"/>
      <c r="AA388" s="127"/>
      <c r="AC388" s="115"/>
      <c r="AD388" s="115"/>
      <c r="AE388" s="115"/>
      <c r="AF388" s="115"/>
      <c r="AG388" s="115"/>
      <c r="AH388" s="115"/>
      <c r="AI388" s="115"/>
      <c r="AJ388" s="115"/>
      <c r="AK388" s="25"/>
      <c r="AL388" s="13"/>
      <c r="AQ388" s="116"/>
      <c r="AR388" s="123"/>
      <c r="AS388" s="123"/>
      <c r="AT388" s="123"/>
      <c r="AY388" s="115"/>
      <c r="AZ388" s="115"/>
      <c r="BA388" s="115"/>
      <c r="BB388" s="115"/>
      <c r="BC388" s="115"/>
      <c r="BD388" s="115"/>
      <c r="BE388" s="115"/>
      <c r="BF388" s="115"/>
      <c r="BG388" s="115"/>
      <c r="BH388" s="115"/>
      <c r="BI388" s="25"/>
      <c r="BJ388" s="13"/>
      <c r="BM388" s="114"/>
    </row>
    <row r="389" spans="1:65" ht="20.100000000000001" customHeight="1" x14ac:dyDescent="0.4">
      <c r="A389" s="117"/>
      <c r="B389" s="123"/>
      <c r="C389" s="123"/>
      <c r="D389" s="123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27"/>
      <c r="AA389" s="29"/>
      <c r="AC389" s="115"/>
      <c r="AD389" s="115"/>
      <c r="AE389" s="115"/>
      <c r="AF389" s="115"/>
      <c r="AG389" s="115"/>
      <c r="AH389" s="115"/>
      <c r="AI389" s="115"/>
      <c r="AJ389" s="115"/>
      <c r="AK389" s="25"/>
      <c r="AL389" s="13"/>
      <c r="AQ389" s="116"/>
      <c r="AR389" s="123"/>
      <c r="AS389" s="123"/>
      <c r="AT389" s="123"/>
      <c r="AY389" s="115"/>
      <c r="AZ389" s="115"/>
      <c r="BA389" s="115"/>
      <c r="BB389" s="115"/>
      <c r="BC389" s="115"/>
      <c r="BD389" s="115"/>
      <c r="BE389" s="115"/>
      <c r="BF389" s="115"/>
      <c r="BG389" s="115"/>
      <c r="BH389" s="115"/>
      <c r="BI389" s="25"/>
      <c r="BJ389" s="13"/>
      <c r="BM389" s="114"/>
    </row>
    <row r="390" spans="1:65" ht="20.100000000000001" customHeight="1" x14ac:dyDescent="0.4">
      <c r="A390" s="117"/>
      <c r="B390" s="123"/>
      <c r="C390" s="123"/>
      <c r="D390" s="123"/>
      <c r="Z390" s="127"/>
      <c r="AA390" s="29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25">
        <v>45675</v>
      </c>
      <c r="AL390" s="13" t="s">
        <v>146</v>
      </c>
      <c r="AQ390" s="116"/>
      <c r="AR390" s="123"/>
      <c r="AS390" s="123"/>
      <c r="AT390" s="123"/>
      <c r="AY390" s="115"/>
      <c r="AZ390" s="115"/>
      <c r="BA390" s="115"/>
      <c r="BB390" s="115"/>
      <c r="BC390" s="115"/>
      <c r="BD390" s="115"/>
      <c r="BE390" s="115"/>
      <c r="BF390" s="115"/>
      <c r="BG390" s="115"/>
      <c r="BH390" s="115"/>
      <c r="BI390" s="25"/>
      <c r="BJ390" s="13"/>
      <c r="BM390" s="114"/>
    </row>
    <row r="391" spans="1:65" ht="20.100000000000001" customHeight="1" x14ac:dyDescent="0.4">
      <c r="A391" s="117"/>
      <c r="B391" s="123"/>
      <c r="C391" s="123"/>
      <c r="D391" s="123"/>
      <c r="R391" s="115"/>
      <c r="S391" s="115"/>
      <c r="T391" s="115"/>
      <c r="U391" s="115"/>
      <c r="V391" s="115"/>
      <c r="W391" s="115"/>
      <c r="X391" s="115"/>
      <c r="Y391" s="115"/>
      <c r="Z391" s="29"/>
      <c r="AA391" s="29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25"/>
      <c r="AL391" s="13"/>
      <c r="AQ391" s="116"/>
      <c r="AR391" s="123"/>
      <c r="AS391" s="123"/>
      <c r="AT391" s="123"/>
      <c r="AY391" s="115"/>
      <c r="AZ391" s="115"/>
      <c r="BA391" s="115"/>
      <c r="BB391" s="115"/>
      <c r="BC391" s="115"/>
      <c r="BD391" s="115"/>
      <c r="BE391" s="115"/>
      <c r="BF391" s="115"/>
      <c r="BG391" s="115"/>
      <c r="BH391" s="115"/>
      <c r="BI391" s="25"/>
      <c r="BJ391" s="13"/>
      <c r="BM391" s="114"/>
    </row>
    <row r="392" spans="1:65" ht="20.100000000000001" customHeight="1" x14ac:dyDescent="0.4">
      <c r="A392" s="117"/>
      <c r="B392" s="123"/>
      <c r="C392" s="123"/>
      <c r="D392" s="123"/>
      <c r="Z392" s="127"/>
      <c r="AA392" s="29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25">
        <v>45676</v>
      </c>
      <c r="AL392" s="13" t="s">
        <v>148</v>
      </c>
      <c r="AQ392" s="116"/>
      <c r="AR392" s="123"/>
      <c r="AS392" s="123"/>
      <c r="AT392" s="123"/>
      <c r="AY392" s="115"/>
      <c r="AZ392" s="115"/>
      <c r="BA392" s="115"/>
      <c r="BB392" s="115"/>
      <c r="BC392" s="115"/>
      <c r="BD392" s="115"/>
      <c r="BE392" s="115"/>
      <c r="BF392" s="115"/>
      <c r="BG392" s="115"/>
      <c r="BH392" s="115"/>
      <c r="BI392" s="25"/>
      <c r="BJ392" s="13"/>
      <c r="BM392" s="114"/>
    </row>
    <row r="393" spans="1:65" ht="20.100000000000001" customHeight="1" x14ac:dyDescent="0.4">
      <c r="A393" s="117"/>
      <c r="B393" s="123"/>
      <c r="C393" s="123"/>
      <c r="D393" s="123"/>
      <c r="R393" s="115"/>
      <c r="S393" s="115"/>
      <c r="T393" s="115"/>
      <c r="U393" s="115"/>
      <c r="V393" s="115"/>
      <c r="W393" s="115"/>
      <c r="X393" s="115"/>
      <c r="Y393" s="115"/>
      <c r="Z393" s="29"/>
      <c r="AA393" s="29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25"/>
      <c r="AL393" s="13"/>
      <c r="AQ393" s="116"/>
      <c r="AR393" s="123"/>
      <c r="AS393" s="123"/>
      <c r="AT393" s="123"/>
      <c r="AY393" s="115"/>
      <c r="AZ393" s="115"/>
      <c r="BA393" s="115"/>
      <c r="BB393" s="115"/>
      <c r="BC393" s="115"/>
      <c r="BD393" s="115"/>
      <c r="BE393" s="115"/>
      <c r="BF393" s="115"/>
      <c r="BG393" s="115"/>
      <c r="BH393" s="115"/>
      <c r="BI393" s="25"/>
      <c r="BJ393" s="13"/>
      <c r="BM393" s="114"/>
    </row>
    <row r="394" spans="1:65" ht="20.100000000000001" customHeight="1" x14ac:dyDescent="0.4">
      <c r="A394" s="117"/>
      <c r="B394" s="123"/>
      <c r="C394" s="123"/>
      <c r="D394" s="123"/>
      <c r="Q394" s="115"/>
      <c r="R394" s="115"/>
      <c r="S394" s="115"/>
      <c r="T394" s="115"/>
      <c r="U394" s="115"/>
      <c r="V394" s="115"/>
      <c r="W394" s="115"/>
      <c r="X394" s="115"/>
      <c r="Y394" s="115"/>
      <c r="Z394" s="127"/>
      <c r="AA394" s="29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25"/>
      <c r="AL394" s="13"/>
      <c r="AQ394" s="116"/>
      <c r="AR394" s="123"/>
      <c r="AS394" s="123"/>
      <c r="AT394" s="123"/>
      <c r="AY394" s="115"/>
      <c r="AZ394" s="115"/>
      <c r="BA394" s="115"/>
      <c r="BB394" s="115"/>
      <c r="BC394" s="115"/>
      <c r="BD394" s="115"/>
      <c r="BE394" s="115"/>
      <c r="BF394" s="115"/>
      <c r="BG394" s="115"/>
      <c r="BH394" s="115"/>
      <c r="BI394" s="25"/>
      <c r="BJ394" s="13"/>
      <c r="BM394" s="114"/>
    </row>
    <row r="395" spans="1:65" ht="20.100000000000001" customHeight="1" x14ac:dyDescent="0.4">
      <c r="A395" s="117"/>
      <c r="B395" s="123"/>
      <c r="C395" s="123"/>
      <c r="D395" s="123"/>
      <c r="Q395" s="115"/>
      <c r="R395" s="115"/>
      <c r="S395" s="115"/>
      <c r="T395" s="115"/>
      <c r="U395" s="115"/>
      <c r="V395" s="115"/>
      <c r="W395" s="115"/>
      <c r="X395" s="115"/>
      <c r="Y395" s="115"/>
      <c r="Z395" s="29"/>
      <c r="AA395" s="29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25"/>
      <c r="AL395" s="13"/>
      <c r="AQ395" s="116"/>
      <c r="AR395" s="123"/>
      <c r="AS395" s="123"/>
      <c r="AT395" s="123"/>
      <c r="AY395" s="115"/>
      <c r="AZ395" s="115"/>
      <c r="BA395" s="115"/>
      <c r="BB395" s="115"/>
      <c r="BC395" s="115"/>
      <c r="BD395" s="115"/>
      <c r="BE395" s="115"/>
      <c r="BF395" s="115"/>
      <c r="BG395" s="115"/>
      <c r="BH395" s="115"/>
      <c r="BI395" s="25"/>
      <c r="BJ395" s="13"/>
      <c r="BM395" s="114"/>
    </row>
    <row r="396" spans="1:65" ht="20.100000000000001" customHeight="1" x14ac:dyDescent="0.4">
      <c r="A396" s="117"/>
      <c r="B396" s="123"/>
      <c r="C396" s="123"/>
      <c r="D396" s="123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27"/>
      <c r="AA396" s="29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25"/>
      <c r="AL396" s="13"/>
      <c r="AQ396" s="116"/>
      <c r="AR396" s="123"/>
      <c r="AS396" s="123"/>
      <c r="AT396" s="123"/>
      <c r="AY396" s="115"/>
      <c r="AZ396" s="115"/>
      <c r="BA396" s="115"/>
      <c r="BB396" s="115"/>
      <c r="BC396" s="115"/>
      <c r="BD396" s="115"/>
      <c r="BE396" s="115"/>
      <c r="BF396" s="115"/>
      <c r="BG396" s="115"/>
      <c r="BH396" s="115"/>
      <c r="BI396" s="25"/>
      <c r="BJ396" s="13"/>
      <c r="BM396" s="114"/>
    </row>
    <row r="397" spans="1:65" ht="20.100000000000001" customHeight="1" x14ac:dyDescent="0.4">
      <c r="A397" s="117"/>
      <c r="B397" s="123"/>
      <c r="C397" s="123"/>
      <c r="D397" s="123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27"/>
      <c r="AA397" s="29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25"/>
      <c r="AL397" s="13"/>
      <c r="AQ397" s="116"/>
      <c r="AR397" s="123"/>
      <c r="AS397" s="123"/>
      <c r="AT397" s="123"/>
      <c r="AY397" s="115"/>
      <c r="AZ397" s="115"/>
      <c r="BA397" s="115"/>
      <c r="BB397" s="115"/>
      <c r="BC397" s="115"/>
      <c r="BD397" s="115"/>
      <c r="BE397" s="115"/>
      <c r="BF397" s="115"/>
      <c r="BG397" s="115"/>
      <c r="BH397" s="115"/>
      <c r="BI397" s="25"/>
      <c r="BJ397" s="13"/>
      <c r="BM397" s="114"/>
    </row>
    <row r="398" spans="1:65" ht="20.100000000000001" customHeight="1" x14ac:dyDescent="0.4">
      <c r="A398" s="117"/>
      <c r="B398" s="123"/>
      <c r="C398" s="123"/>
      <c r="D398" s="123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27"/>
      <c r="AA398" s="29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25"/>
      <c r="AL398" s="13"/>
      <c r="AQ398" s="116"/>
      <c r="AR398" s="123"/>
      <c r="AS398" s="123"/>
      <c r="AT398" s="123"/>
      <c r="AY398" s="115"/>
      <c r="AZ398" s="115"/>
      <c r="BA398" s="115"/>
      <c r="BB398" s="115"/>
      <c r="BC398" s="115"/>
      <c r="BD398" s="115"/>
      <c r="BE398" s="115"/>
      <c r="BF398" s="115"/>
      <c r="BG398" s="115"/>
      <c r="BH398" s="115"/>
      <c r="BI398" s="25"/>
      <c r="BJ398" s="13"/>
      <c r="BM398" s="114"/>
    </row>
    <row r="399" spans="1:65" ht="20.100000000000001" customHeight="1" x14ac:dyDescent="0.4">
      <c r="A399" s="117"/>
      <c r="B399" s="123"/>
      <c r="C399" s="123"/>
      <c r="D399" s="123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27"/>
      <c r="AA399" s="29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25"/>
      <c r="AL399" s="13"/>
      <c r="AQ399" s="116"/>
      <c r="AR399" s="123"/>
      <c r="AS399" s="123"/>
      <c r="AT399" s="123"/>
      <c r="AY399" s="115"/>
      <c r="AZ399" s="115"/>
      <c r="BA399" s="115"/>
      <c r="BB399" s="115"/>
      <c r="BC399" s="115"/>
      <c r="BD399" s="115"/>
      <c r="BE399" s="115"/>
      <c r="BF399" s="115"/>
      <c r="BG399" s="115"/>
      <c r="BH399" s="115"/>
      <c r="BI399" s="25"/>
      <c r="BJ399" s="13"/>
      <c r="BM399" s="114"/>
    </row>
    <row r="400" spans="1:65" ht="20.100000000000001" customHeight="1" x14ac:dyDescent="0.4">
      <c r="A400" s="117"/>
      <c r="B400" s="123"/>
      <c r="C400" s="123"/>
      <c r="D400" s="123"/>
      <c r="Z400" s="127"/>
      <c r="AA400" s="29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25">
        <v>45677</v>
      </c>
      <c r="AL400" s="13" t="s">
        <v>146</v>
      </c>
      <c r="AQ400" s="116"/>
      <c r="AR400" s="123"/>
      <c r="AS400" s="123"/>
      <c r="AT400" s="123"/>
      <c r="AY400" s="115"/>
      <c r="AZ400" s="115"/>
      <c r="BA400" s="115"/>
      <c r="BB400" s="115"/>
      <c r="BC400" s="115"/>
      <c r="BD400" s="115"/>
      <c r="BE400" s="115"/>
      <c r="BF400" s="115"/>
      <c r="BG400" s="115"/>
      <c r="BH400" s="115"/>
      <c r="BI400" s="25"/>
      <c r="BJ400" s="13"/>
      <c r="BM400" s="114"/>
    </row>
    <row r="401" spans="1:65" ht="20.100000000000001" customHeight="1" x14ac:dyDescent="0.4">
      <c r="A401" s="117"/>
      <c r="B401" s="123"/>
      <c r="C401" s="123"/>
      <c r="D401" s="123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27"/>
      <c r="AA401" s="29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25"/>
      <c r="AL401" s="13"/>
      <c r="AQ401" s="116"/>
      <c r="AR401" s="123"/>
      <c r="AS401" s="123"/>
      <c r="AT401" s="123"/>
      <c r="AY401" s="115"/>
      <c r="AZ401" s="115"/>
      <c r="BA401" s="115"/>
      <c r="BB401" s="115"/>
      <c r="BC401" s="115"/>
      <c r="BD401" s="115"/>
      <c r="BE401" s="115"/>
      <c r="BF401" s="115"/>
      <c r="BG401" s="115"/>
      <c r="BH401" s="115"/>
      <c r="BI401" s="25"/>
      <c r="BJ401" s="13"/>
      <c r="BM401" s="114"/>
    </row>
    <row r="402" spans="1:65" ht="20.100000000000001" customHeight="1" x14ac:dyDescent="0.4">
      <c r="A402" s="117"/>
      <c r="B402" s="123"/>
      <c r="C402" s="123"/>
      <c r="D402" s="123"/>
      <c r="Z402" s="127"/>
      <c r="AA402" s="29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25"/>
      <c r="AL402" s="13"/>
      <c r="AQ402" s="116"/>
      <c r="AR402" s="123"/>
      <c r="AS402" s="123"/>
      <c r="AT402" s="123"/>
      <c r="AY402" s="115"/>
      <c r="AZ402" s="115"/>
      <c r="BA402" s="115"/>
      <c r="BB402" s="115"/>
      <c r="BC402" s="115"/>
      <c r="BD402" s="115"/>
      <c r="BE402" s="115"/>
      <c r="BF402" s="115"/>
      <c r="BG402" s="115"/>
      <c r="BH402" s="115"/>
      <c r="BI402" s="25"/>
      <c r="BJ402" s="13"/>
      <c r="BM402" s="114"/>
    </row>
    <row r="403" spans="1:65" ht="20.100000000000001" customHeight="1" x14ac:dyDescent="0.4">
      <c r="A403" s="117"/>
      <c r="B403" s="123"/>
      <c r="C403" s="123"/>
      <c r="D403" s="123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27"/>
      <c r="AA403" s="29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25"/>
      <c r="AL403" s="13"/>
      <c r="AQ403" s="116"/>
      <c r="AR403" s="123"/>
      <c r="AS403" s="123"/>
      <c r="AT403" s="123"/>
      <c r="AY403" s="115"/>
      <c r="AZ403" s="115"/>
      <c r="BA403" s="115"/>
      <c r="BB403" s="115"/>
      <c r="BC403" s="115"/>
      <c r="BD403" s="115"/>
      <c r="BE403" s="115"/>
      <c r="BF403" s="115"/>
      <c r="BG403" s="115"/>
      <c r="BH403" s="115"/>
      <c r="BI403" s="25"/>
      <c r="BJ403" s="13"/>
      <c r="BM403" s="114"/>
    </row>
    <row r="404" spans="1:65" ht="20.100000000000001" customHeight="1" x14ac:dyDescent="0.4">
      <c r="A404" s="117"/>
      <c r="B404" s="123"/>
      <c r="C404" s="123"/>
      <c r="D404" s="123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27"/>
      <c r="AA404" s="29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25"/>
      <c r="AL404" s="13"/>
      <c r="AQ404" s="116"/>
      <c r="AR404" s="123"/>
      <c r="AS404" s="123"/>
      <c r="AT404" s="123"/>
      <c r="AY404" s="115"/>
      <c r="AZ404" s="115"/>
      <c r="BA404" s="115"/>
      <c r="BB404" s="115"/>
      <c r="BC404" s="115"/>
      <c r="BD404" s="115"/>
      <c r="BE404" s="115"/>
      <c r="BF404" s="115"/>
      <c r="BG404" s="115"/>
      <c r="BH404" s="115"/>
      <c r="BI404" s="25"/>
      <c r="BJ404" s="13"/>
      <c r="BM404" s="114"/>
    </row>
    <row r="405" spans="1:6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27"/>
      <c r="AA405" s="29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25"/>
      <c r="AL405" s="13"/>
      <c r="AQ405" s="116"/>
      <c r="AR405" s="123"/>
      <c r="AS405" s="123"/>
      <c r="AT405" s="123"/>
      <c r="AY405" s="115"/>
      <c r="AZ405" s="115"/>
      <c r="BA405" s="115"/>
      <c r="BB405" s="115"/>
      <c r="BC405" s="115"/>
      <c r="BD405" s="115"/>
      <c r="BE405" s="115"/>
      <c r="BF405" s="115"/>
      <c r="BG405" s="115"/>
      <c r="BH405" s="115"/>
      <c r="BI405" s="25"/>
      <c r="BJ405" s="13"/>
      <c r="BM405" s="114"/>
    </row>
    <row r="406" spans="1:65" ht="20.100000000000001" customHeight="1" x14ac:dyDescent="0.4">
      <c r="A406" s="117"/>
      <c r="B406" s="123"/>
      <c r="C406" s="123"/>
      <c r="D406" s="123"/>
      <c r="Z406" s="127"/>
      <c r="AA406" s="29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25">
        <v>45677</v>
      </c>
      <c r="AL406" s="13" t="s">
        <v>146</v>
      </c>
      <c r="AQ406" s="116"/>
      <c r="AR406" s="123"/>
      <c r="AS406" s="123"/>
      <c r="AT406" s="123"/>
      <c r="AY406" s="115"/>
      <c r="AZ406" s="115"/>
      <c r="BA406" s="115"/>
      <c r="BB406" s="115"/>
      <c r="BC406" s="115"/>
      <c r="BD406" s="115"/>
      <c r="BE406" s="115"/>
      <c r="BF406" s="115"/>
      <c r="BG406" s="115"/>
      <c r="BH406" s="115"/>
      <c r="BI406" s="25"/>
      <c r="BJ406" s="13"/>
      <c r="BM406" s="114"/>
    </row>
    <row r="407" spans="1:65" ht="20.100000000000001" customHeight="1" x14ac:dyDescent="0.4">
      <c r="A407" s="117"/>
      <c r="B407" s="123"/>
      <c r="C407" s="123"/>
      <c r="D407" s="123"/>
      <c r="Q407" s="115"/>
      <c r="R407" s="115"/>
      <c r="S407" s="115"/>
      <c r="T407" s="115"/>
      <c r="U407" s="115"/>
      <c r="V407" s="115"/>
      <c r="W407" s="115"/>
      <c r="X407" s="115"/>
      <c r="Y407" s="115"/>
      <c r="Z407" s="127"/>
      <c r="AA407" s="29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25"/>
      <c r="AL407" s="13"/>
      <c r="AQ407" s="116"/>
      <c r="AR407" s="123"/>
      <c r="AS407" s="123"/>
      <c r="AT407" s="123"/>
      <c r="AY407" s="115"/>
      <c r="AZ407" s="115"/>
      <c r="BA407" s="115"/>
      <c r="BB407" s="115"/>
      <c r="BC407" s="115"/>
      <c r="BD407" s="115"/>
      <c r="BE407" s="115"/>
      <c r="BF407" s="115"/>
      <c r="BG407" s="115"/>
      <c r="BH407" s="115"/>
      <c r="BI407" s="25"/>
      <c r="BJ407" s="13"/>
      <c r="BM407" s="114"/>
    </row>
    <row r="408" spans="1:65" ht="20.100000000000001" customHeight="1" x14ac:dyDescent="0.4">
      <c r="A408" s="117"/>
      <c r="B408" s="123"/>
      <c r="C408" s="123"/>
      <c r="D408" s="123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27"/>
      <c r="AA408" s="29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25"/>
      <c r="AL408" s="13"/>
      <c r="AQ408" s="116"/>
      <c r="AR408" s="123"/>
      <c r="AS408" s="123"/>
      <c r="AT408" s="123"/>
      <c r="AY408" s="115"/>
      <c r="AZ408" s="115"/>
      <c r="BA408" s="115"/>
      <c r="BB408" s="115"/>
      <c r="BC408" s="115"/>
      <c r="BD408" s="115"/>
      <c r="BE408" s="115"/>
      <c r="BF408" s="115"/>
      <c r="BG408" s="115"/>
      <c r="BH408" s="115"/>
      <c r="BI408" s="25"/>
      <c r="BJ408" s="13"/>
      <c r="BM408" s="114"/>
    </row>
    <row r="409" spans="1:65" ht="20.100000000000001" customHeight="1" x14ac:dyDescent="0.4">
      <c r="A409" s="117"/>
      <c r="B409" s="123"/>
      <c r="C409" s="123"/>
      <c r="D409" s="123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29"/>
      <c r="AA409" s="29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25"/>
      <c r="AL409" s="13"/>
      <c r="AQ409" s="116"/>
      <c r="AR409" s="123"/>
      <c r="AS409" s="123"/>
      <c r="AT409" s="123"/>
      <c r="AY409" s="115"/>
      <c r="AZ409" s="115"/>
      <c r="BA409" s="115"/>
      <c r="BB409" s="115"/>
      <c r="BC409" s="115"/>
      <c r="BD409" s="115"/>
      <c r="BE409" s="115"/>
      <c r="BF409" s="115"/>
      <c r="BG409" s="115"/>
      <c r="BH409" s="115"/>
      <c r="BI409" s="25"/>
      <c r="BJ409" s="13"/>
      <c r="BM409" s="114"/>
    </row>
    <row r="410" spans="1:65" ht="20.100000000000001" customHeight="1" x14ac:dyDescent="0.4">
      <c r="A410" s="117"/>
      <c r="B410" s="123"/>
      <c r="C410" s="123"/>
      <c r="D410" s="123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27"/>
      <c r="AA410" s="29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25"/>
      <c r="AL410" s="13"/>
      <c r="AQ410" s="116"/>
      <c r="AR410" s="123"/>
      <c r="AS410" s="123"/>
      <c r="AT410" s="123"/>
      <c r="AY410" s="115"/>
      <c r="AZ410" s="115"/>
      <c r="BA410" s="115"/>
      <c r="BB410" s="115"/>
      <c r="BC410" s="115"/>
      <c r="BD410" s="115"/>
      <c r="BE410" s="115"/>
      <c r="BF410" s="115"/>
      <c r="BG410" s="115"/>
      <c r="BH410" s="115"/>
      <c r="BI410" s="25"/>
      <c r="BJ410" s="13"/>
      <c r="BM410" s="114"/>
    </row>
    <row r="411" spans="1:65" ht="20.100000000000001" customHeight="1" x14ac:dyDescent="0.4">
      <c r="A411" s="117"/>
      <c r="B411" s="123"/>
      <c r="C411" s="123"/>
      <c r="D411" s="123"/>
      <c r="Z411" s="127"/>
      <c r="AA411" s="29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25">
        <v>45677</v>
      </c>
      <c r="AL411" s="13" t="s">
        <v>148</v>
      </c>
      <c r="AQ411" s="116"/>
      <c r="AR411" s="123"/>
      <c r="AS411" s="123"/>
      <c r="AT411" s="123"/>
      <c r="AY411" s="115"/>
      <c r="AZ411" s="115"/>
      <c r="BA411" s="115"/>
      <c r="BB411" s="115"/>
      <c r="BC411" s="115"/>
      <c r="BD411" s="115"/>
      <c r="BE411" s="115"/>
      <c r="BF411" s="115"/>
      <c r="BG411" s="115"/>
      <c r="BH411" s="115"/>
      <c r="BI411" s="25"/>
      <c r="BJ411" s="13"/>
      <c r="BM411" s="114"/>
    </row>
    <row r="412" spans="1:65" ht="19.5" x14ac:dyDescent="0.4">
      <c r="A412" s="117"/>
      <c r="B412" s="123"/>
      <c r="C412" s="123"/>
      <c r="D412" s="123"/>
      <c r="Z412" s="127"/>
      <c r="AA412" s="29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25"/>
      <c r="AL412" s="13"/>
      <c r="AQ412" s="116"/>
      <c r="AR412" s="123"/>
      <c r="AS412" s="123"/>
      <c r="AT412" s="123"/>
      <c r="AY412" s="115"/>
      <c r="AZ412" s="115"/>
      <c r="BA412" s="115"/>
      <c r="BB412" s="115"/>
      <c r="BC412" s="115"/>
      <c r="BD412" s="115"/>
      <c r="BE412" s="115"/>
      <c r="BF412" s="115"/>
      <c r="BG412" s="115"/>
      <c r="BH412" s="115"/>
      <c r="BI412" s="25"/>
      <c r="BJ412" s="13"/>
      <c r="BM412" s="114"/>
    </row>
    <row r="413" spans="1:65" ht="19.5" x14ac:dyDescent="0.4">
      <c r="A413" s="117"/>
      <c r="B413" s="123"/>
      <c r="C413" s="123"/>
      <c r="D413" s="123"/>
      <c r="R413" s="115"/>
      <c r="S413" s="115"/>
      <c r="T413" s="115"/>
      <c r="U413" s="115"/>
      <c r="V413" s="115"/>
      <c r="W413" s="115"/>
      <c r="X413" s="115"/>
      <c r="Y413" s="115"/>
      <c r="Z413" s="29"/>
      <c r="AA413" s="29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25"/>
      <c r="AL413" s="13"/>
      <c r="AQ413" s="116"/>
      <c r="AR413" s="123"/>
      <c r="AS413" s="123"/>
      <c r="AT413" s="123"/>
      <c r="AY413" s="115"/>
      <c r="AZ413" s="115"/>
      <c r="BA413" s="115"/>
      <c r="BB413" s="115"/>
      <c r="BC413" s="115"/>
      <c r="BD413" s="115"/>
      <c r="BE413" s="115"/>
      <c r="BF413" s="115"/>
      <c r="BG413" s="115"/>
      <c r="BH413" s="115"/>
      <c r="BI413" s="25"/>
      <c r="BJ413" s="13"/>
      <c r="BM413" s="114"/>
    </row>
    <row r="414" spans="1:65" ht="19.5" x14ac:dyDescent="0.4">
      <c r="A414" s="117"/>
      <c r="B414" s="123"/>
      <c r="C414" s="123"/>
      <c r="D414" s="123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27"/>
      <c r="AA414" s="29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25"/>
      <c r="AL414" s="13"/>
      <c r="AQ414" s="116"/>
      <c r="AR414" s="123"/>
      <c r="AS414" s="123"/>
      <c r="AT414" s="123"/>
      <c r="AY414" s="115"/>
      <c r="AZ414" s="115"/>
      <c r="BA414" s="115"/>
      <c r="BB414" s="115"/>
      <c r="BC414" s="115"/>
      <c r="BD414" s="115"/>
      <c r="BE414" s="115"/>
      <c r="BF414" s="115"/>
      <c r="BG414" s="115"/>
      <c r="BH414" s="115"/>
      <c r="BI414" s="25"/>
      <c r="BJ414" s="13"/>
      <c r="BM414" s="114"/>
    </row>
    <row r="415" spans="1:65" ht="19.5" x14ac:dyDescent="0.4">
      <c r="A415" s="117"/>
      <c r="B415" s="123"/>
      <c r="C415" s="123"/>
      <c r="D415" s="123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29"/>
      <c r="AA415" s="29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25"/>
      <c r="AL415" s="13"/>
      <c r="AQ415" s="116"/>
      <c r="AR415" s="123"/>
      <c r="AS415" s="123"/>
      <c r="AT415" s="123"/>
      <c r="AY415" s="115"/>
      <c r="AZ415" s="115"/>
      <c r="BA415" s="115"/>
      <c r="BB415" s="115"/>
      <c r="BC415" s="115"/>
      <c r="BD415" s="115"/>
      <c r="BE415" s="115"/>
      <c r="BF415" s="115"/>
      <c r="BG415" s="115"/>
      <c r="BH415" s="115"/>
      <c r="BI415" s="25"/>
      <c r="BJ415" s="13"/>
      <c r="BM415" s="114"/>
    </row>
    <row r="416" spans="1:65" ht="19.5" x14ac:dyDescent="0.4">
      <c r="A416" s="117"/>
      <c r="B416" s="123"/>
      <c r="C416" s="123"/>
      <c r="D416" s="123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27"/>
      <c r="AA416" s="29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25"/>
      <c r="AL416" s="13"/>
      <c r="AQ416" s="116"/>
      <c r="AR416" s="123"/>
      <c r="AS416" s="123"/>
      <c r="AT416" s="123"/>
      <c r="AY416" s="115"/>
      <c r="AZ416" s="115"/>
      <c r="BA416" s="115"/>
      <c r="BB416" s="115"/>
      <c r="BC416" s="115"/>
      <c r="BD416" s="115"/>
      <c r="BE416" s="115"/>
      <c r="BF416" s="115"/>
      <c r="BG416" s="115"/>
      <c r="BH416" s="115"/>
      <c r="BI416" s="25"/>
      <c r="BJ416" s="13"/>
      <c r="BM416" s="114"/>
    </row>
    <row r="417" spans="1:65" ht="19.5" x14ac:dyDescent="0.4">
      <c r="A417" s="117"/>
      <c r="B417" s="123"/>
      <c r="C417" s="123"/>
      <c r="D417" s="123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29"/>
      <c r="AA417" s="29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25"/>
      <c r="AL417" s="13"/>
      <c r="AQ417" s="116"/>
      <c r="AR417" s="123"/>
      <c r="AS417" s="123"/>
      <c r="AT417" s="123"/>
      <c r="AY417" s="115"/>
      <c r="AZ417" s="115"/>
      <c r="BA417" s="115"/>
      <c r="BB417" s="115"/>
      <c r="BC417" s="115"/>
      <c r="BD417" s="115"/>
      <c r="BE417" s="115"/>
      <c r="BF417" s="115"/>
      <c r="BG417" s="115"/>
      <c r="BH417" s="115"/>
      <c r="BI417" s="25"/>
      <c r="BJ417" s="13"/>
      <c r="BM417" s="114"/>
    </row>
    <row r="418" spans="1:65" ht="19.5" x14ac:dyDescent="0.4">
      <c r="A418" s="117"/>
      <c r="B418" s="123"/>
      <c r="C418" s="123"/>
      <c r="D418" s="123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27"/>
      <c r="AA418" s="29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25"/>
      <c r="AL418" s="13"/>
      <c r="AQ418" s="116"/>
      <c r="AR418" s="123"/>
      <c r="AS418" s="123"/>
      <c r="AT418" s="123"/>
      <c r="AY418" s="115"/>
      <c r="AZ418" s="115"/>
      <c r="BA418" s="115"/>
      <c r="BB418" s="115"/>
      <c r="BC418" s="115"/>
      <c r="BD418" s="115"/>
      <c r="BE418" s="115"/>
      <c r="BF418" s="115"/>
      <c r="BG418" s="115"/>
      <c r="BH418" s="115"/>
      <c r="BI418" s="25"/>
      <c r="BJ418" s="13"/>
      <c r="BM418" s="114"/>
    </row>
    <row r="419" spans="1:65" ht="19.5" x14ac:dyDescent="0.4">
      <c r="A419" s="117"/>
      <c r="B419" s="123"/>
      <c r="C419" s="123"/>
      <c r="D419" s="123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27"/>
      <c r="AA419" s="29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25"/>
      <c r="AL419" s="13"/>
      <c r="AQ419" s="116"/>
      <c r="AR419" s="123"/>
      <c r="AS419" s="123"/>
      <c r="AT419" s="123"/>
      <c r="AY419" s="115"/>
      <c r="AZ419" s="115"/>
      <c r="BA419" s="115"/>
      <c r="BB419" s="115"/>
      <c r="BC419" s="115"/>
      <c r="BD419" s="115"/>
      <c r="BE419" s="115"/>
      <c r="BF419" s="115"/>
      <c r="BG419" s="115"/>
      <c r="BH419" s="115"/>
      <c r="BI419" s="25"/>
      <c r="BJ419" s="13"/>
      <c r="BM419" s="114"/>
    </row>
    <row r="420" spans="1:65" ht="19.5" x14ac:dyDescent="0.4">
      <c r="A420" s="117"/>
      <c r="B420" s="123"/>
      <c r="C420" s="123"/>
      <c r="D420" s="123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27"/>
      <c r="AA420" s="29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25"/>
      <c r="AL420" s="13"/>
      <c r="AQ420" s="116"/>
      <c r="AR420" s="123"/>
      <c r="AS420" s="123"/>
      <c r="AT420" s="123"/>
      <c r="AY420" s="115"/>
      <c r="AZ420" s="115"/>
      <c r="BA420" s="115"/>
      <c r="BB420" s="115"/>
      <c r="BC420" s="115"/>
      <c r="BD420" s="115"/>
      <c r="BE420" s="115"/>
      <c r="BF420" s="115"/>
      <c r="BG420" s="115"/>
      <c r="BH420" s="115"/>
      <c r="BI420" s="25"/>
      <c r="BJ420" s="13"/>
      <c r="BM420" s="114"/>
    </row>
    <row r="421" spans="1:65" ht="19.5" x14ac:dyDescent="0.4">
      <c r="A421" s="117"/>
      <c r="B421" s="123"/>
      <c r="C421" s="123"/>
      <c r="D421" s="123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29"/>
      <c r="AA421" s="29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25"/>
      <c r="AL421" s="13"/>
      <c r="AQ421" s="116"/>
      <c r="AR421" s="123"/>
      <c r="AS421" s="123"/>
      <c r="AT421" s="123"/>
      <c r="AY421" s="115"/>
      <c r="AZ421" s="115"/>
      <c r="BA421" s="115"/>
      <c r="BB421" s="115"/>
      <c r="BC421" s="115"/>
      <c r="BD421" s="115"/>
      <c r="BE421" s="115"/>
      <c r="BF421" s="115"/>
      <c r="BG421" s="115"/>
      <c r="BH421" s="115"/>
      <c r="BI421" s="25"/>
      <c r="BJ421" s="13"/>
      <c r="BM421" s="114"/>
    </row>
    <row r="422" spans="1:65" ht="19.5" x14ac:dyDescent="0.4">
      <c r="A422" s="117"/>
      <c r="B422" s="123"/>
      <c r="C422" s="123"/>
      <c r="D422" s="123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27"/>
      <c r="AA422" s="29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25"/>
      <c r="AL422" s="13"/>
      <c r="AQ422" s="116"/>
      <c r="AR422" s="123"/>
      <c r="AS422" s="123"/>
      <c r="AT422" s="123"/>
      <c r="AY422" s="115"/>
      <c r="AZ422" s="115"/>
      <c r="BA422" s="115"/>
      <c r="BB422" s="115"/>
      <c r="BC422" s="115"/>
      <c r="BD422" s="115"/>
      <c r="BE422" s="115"/>
      <c r="BF422" s="115"/>
      <c r="BG422" s="115"/>
      <c r="BH422" s="115"/>
      <c r="BI422" s="25"/>
      <c r="BJ422" s="13"/>
      <c r="BM422" s="114"/>
    </row>
    <row r="423" spans="1:65" ht="19.5" x14ac:dyDescent="0.4">
      <c r="A423" s="117"/>
      <c r="B423" s="123"/>
      <c r="C423" s="123"/>
      <c r="D423" s="123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29"/>
      <c r="AA423" s="29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25"/>
      <c r="AL423" s="13"/>
      <c r="AQ423" s="116"/>
      <c r="AR423" s="123"/>
      <c r="AS423" s="123"/>
      <c r="AT423" s="123"/>
      <c r="AY423" s="115"/>
      <c r="AZ423" s="115"/>
      <c r="BA423" s="115"/>
      <c r="BB423" s="115"/>
      <c r="BC423" s="115"/>
      <c r="BD423" s="115"/>
      <c r="BE423" s="115"/>
      <c r="BF423" s="115"/>
      <c r="BG423" s="115"/>
      <c r="BH423" s="115"/>
      <c r="BI423" s="25"/>
      <c r="BJ423" s="13"/>
      <c r="BM423" s="114"/>
    </row>
    <row r="424" spans="1:65" ht="19.5" x14ac:dyDescent="0.4">
      <c r="A424" s="117"/>
      <c r="B424" s="123"/>
      <c r="C424" s="123"/>
      <c r="D424" s="123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27"/>
      <c r="AA424" s="29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25"/>
      <c r="AL424" s="13"/>
      <c r="AQ424" s="116"/>
      <c r="AR424" s="123"/>
      <c r="AS424" s="123"/>
      <c r="AT424" s="123"/>
      <c r="AY424" s="115"/>
      <c r="AZ424" s="115"/>
      <c r="BA424" s="115"/>
      <c r="BB424" s="115"/>
      <c r="BC424" s="115"/>
      <c r="BD424" s="115"/>
      <c r="BE424" s="115"/>
      <c r="BF424" s="115"/>
      <c r="BG424" s="115"/>
      <c r="BH424" s="115"/>
      <c r="BI424" s="25"/>
      <c r="BJ424" s="13"/>
      <c r="BM424" s="114"/>
    </row>
    <row r="425" spans="1:65" ht="19.5" x14ac:dyDescent="0.4">
      <c r="A425" s="117"/>
      <c r="B425" s="123"/>
      <c r="C425" s="123"/>
      <c r="D425" s="123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29"/>
      <c r="AA425" s="29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25"/>
      <c r="AL425" s="13"/>
      <c r="AQ425" s="116"/>
      <c r="AR425" s="123"/>
      <c r="AS425" s="123"/>
      <c r="AT425" s="123"/>
      <c r="AY425" s="115"/>
      <c r="AZ425" s="115"/>
      <c r="BA425" s="115"/>
      <c r="BB425" s="115"/>
      <c r="BC425" s="115"/>
      <c r="BD425" s="115"/>
      <c r="BE425" s="115"/>
      <c r="BF425" s="115"/>
      <c r="BG425" s="115"/>
      <c r="BH425" s="115"/>
      <c r="BI425" s="25"/>
      <c r="BJ425" s="13"/>
      <c r="BM425" s="114"/>
    </row>
    <row r="426" spans="1:65" ht="19.5" x14ac:dyDescent="0.4">
      <c r="A426" s="117"/>
      <c r="B426" s="123"/>
      <c r="C426" s="123"/>
      <c r="D426" s="123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29"/>
      <c r="AA426" s="29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25"/>
      <c r="AL426" s="13"/>
      <c r="AQ426" s="116"/>
      <c r="AR426" s="123"/>
      <c r="AS426" s="123"/>
      <c r="AT426" s="123"/>
      <c r="AY426" s="115"/>
      <c r="AZ426" s="115"/>
      <c r="BA426" s="115"/>
      <c r="BB426" s="115"/>
      <c r="BC426" s="115"/>
      <c r="BD426" s="115"/>
      <c r="BE426" s="115"/>
      <c r="BF426" s="115"/>
      <c r="BG426" s="115"/>
      <c r="BH426" s="115"/>
      <c r="BI426" s="25"/>
      <c r="BJ426" s="13"/>
      <c r="BM426" s="114"/>
    </row>
    <row r="427" spans="1:65" ht="19.5" x14ac:dyDescent="0.4">
      <c r="A427" s="117"/>
      <c r="B427" s="123"/>
      <c r="C427" s="123"/>
      <c r="D427" s="123"/>
      <c r="Z427" s="127"/>
      <c r="AA427" s="29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25">
        <v>45677</v>
      </c>
      <c r="AL427" s="13" t="s">
        <v>146</v>
      </c>
      <c r="AQ427" s="116"/>
      <c r="AR427" s="123"/>
      <c r="AS427" s="123"/>
      <c r="AT427" s="123"/>
      <c r="AY427" s="115"/>
      <c r="AZ427" s="115"/>
      <c r="BA427" s="115"/>
      <c r="BB427" s="115"/>
      <c r="BC427" s="115"/>
      <c r="BD427" s="115"/>
      <c r="BE427" s="115"/>
      <c r="BF427" s="115"/>
      <c r="BG427" s="115"/>
      <c r="BH427" s="115"/>
      <c r="BI427" s="25"/>
      <c r="BJ427" s="13"/>
      <c r="BM427" s="114"/>
    </row>
    <row r="428" spans="1:65" ht="19.5" x14ac:dyDescent="0.4">
      <c r="A428" s="117"/>
      <c r="B428" s="123"/>
      <c r="C428" s="123"/>
      <c r="D428" s="123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27"/>
      <c r="AA428" s="29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25"/>
      <c r="AL428" s="13"/>
      <c r="AQ428" s="116"/>
      <c r="AR428" s="123"/>
      <c r="AS428" s="123"/>
      <c r="AT428" s="123"/>
      <c r="AY428" s="115"/>
      <c r="AZ428" s="115"/>
      <c r="BA428" s="115"/>
      <c r="BB428" s="115"/>
      <c r="BC428" s="115"/>
      <c r="BD428" s="115"/>
      <c r="BE428" s="115"/>
      <c r="BF428" s="115"/>
      <c r="BG428" s="115"/>
      <c r="BH428" s="115"/>
      <c r="BI428" s="25"/>
      <c r="BJ428" s="13"/>
      <c r="BM428" s="114"/>
    </row>
    <row r="429" spans="1:65" ht="19.5" x14ac:dyDescent="0.4">
      <c r="A429" s="117"/>
      <c r="B429" s="123"/>
      <c r="C429" s="123"/>
      <c r="D429" s="123"/>
      <c r="Z429" s="127"/>
      <c r="AA429" s="29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25"/>
      <c r="AL429" s="13"/>
      <c r="AQ429" s="116"/>
      <c r="AR429" s="123"/>
      <c r="AS429" s="123"/>
      <c r="AT429" s="123"/>
      <c r="AY429" s="115"/>
      <c r="AZ429" s="115"/>
      <c r="BA429" s="115"/>
      <c r="BB429" s="115"/>
      <c r="BC429" s="115"/>
      <c r="BD429" s="115"/>
      <c r="BE429" s="115"/>
      <c r="BF429" s="115"/>
      <c r="BG429" s="115"/>
      <c r="BH429" s="115"/>
      <c r="BI429" s="25"/>
      <c r="BJ429" s="13"/>
      <c r="BM429" s="114"/>
    </row>
    <row r="430" spans="1:65" ht="19.5" x14ac:dyDescent="0.4">
      <c r="A430" s="117"/>
      <c r="B430" s="123"/>
      <c r="C430" s="123"/>
      <c r="D430" s="123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27"/>
      <c r="AA430" s="29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25"/>
      <c r="AL430" s="13"/>
      <c r="AQ430" s="116"/>
      <c r="AR430" s="123"/>
      <c r="AS430" s="123"/>
      <c r="AT430" s="123"/>
      <c r="AY430" s="115"/>
      <c r="AZ430" s="115"/>
      <c r="BA430" s="115"/>
      <c r="BB430" s="115"/>
      <c r="BC430" s="115"/>
      <c r="BD430" s="115"/>
      <c r="BE430" s="115"/>
      <c r="BF430" s="115"/>
      <c r="BG430" s="115"/>
      <c r="BH430" s="115"/>
      <c r="BI430" s="25"/>
      <c r="BJ430" s="13"/>
      <c r="BM430" s="114"/>
    </row>
    <row r="431" spans="1:65" ht="19.5" x14ac:dyDescent="0.4">
      <c r="A431" s="117"/>
      <c r="B431" s="123"/>
      <c r="C431" s="123"/>
      <c r="D431" s="123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27"/>
      <c r="AA431" s="29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25"/>
      <c r="AL431" s="13"/>
      <c r="AQ431" s="116"/>
      <c r="AR431" s="123"/>
      <c r="AS431" s="123"/>
      <c r="AT431" s="123"/>
      <c r="AY431" s="115"/>
      <c r="AZ431" s="115"/>
      <c r="BA431" s="115"/>
      <c r="BB431" s="115"/>
      <c r="BC431" s="115"/>
      <c r="BD431" s="115"/>
      <c r="BE431" s="115"/>
      <c r="BF431" s="115"/>
      <c r="BG431" s="115"/>
      <c r="BH431" s="115"/>
      <c r="BI431" s="25"/>
      <c r="BJ431" s="13"/>
      <c r="BM431" s="114"/>
    </row>
    <row r="432" spans="1:65" ht="19.5" x14ac:dyDescent="0.4">
      <c r="A432" s="117"/>
      <c r="B432" s="123"/>
      <c r="C432" s="123"/>
      <c r="D432" s="123"/>
      <c r="Z432" s="127"/>
      <c r="AA432" s="29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25"/>
      <c r="AL432" s="13"/>
      <c r="AQ432" s="116"/>
      <c r="AR432" s="123"/>
      <c r="AS432" s="123"/>
      <c r="AT432" s="123"/>
      <c r="AY432" s="115"/>
      <c r="AZ432" s="115"/>
      <c r="BA432" s="115"/>
      <c r="BB432" s="115"/>
      <c r="BC432" s="115"/>
      <c r="BD432" s="115"/>
      <c r="BE432" s="115"/>
      <c r="BF432" s="115"/>
      <c r="BG432" s="115"/>
      <c r="BH432" s="115"/>
      <c r="BI432" s="25"/>
      <c r="BJ432" s="13"/>
      <c r="BM432" s="114"/>
    </row>
    <row r="433" spans="1:65" ht="19.5" x14ac:dyDescent="0.4">
      <c r="A433" s="117"/>
      <c r="B433" s="123"/>
      <c r="C433" s="123"/>
      <c r="D433" s="123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27"/>
      <c r="AA433" s="29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25"/>
      <c r="AL433" s="13"/>
      <c r="AQ433" s="116"/>
      <c r="AR433" s="123"/>
      <c r="AS433" s="123"/>
      <c r="AT433" s="123"/>
      <c r="AY433" s="115"/>
      <c r="AZ433" s="115"/>
      <c r="BA433" s="115"/>
      <c r="BB433" s="115"/>
      <c r="BC433" s="115"/>
      <c r="BD433" s="115"/>
      <c r="BE433" s="115"/>
      <c r="BF433" s="115"/>
      <c r="BG433" s="115"/>
      <c r="BH433" s="115"/>
      <c r="BI433" s="25"/>
      <c r="BJ433" s="13"/>
      <c r="BM433" s="114"/>
    </row>
    <row r="434" spans="1:65" ht="19.5" x14ac:dyDescent="0.4">
      <c r="A434" s="117"/>
      <c r="B434" s="123"/>
      <c r="C434" s="123"/>
      <c r="D434" s="123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27"/>
      <c r="AA434" s="29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25"/>
      <c r="AL434" s="13"/>
      <c r="AQ434" s="116"/>
      <c r="AR434" s="123"/>
      <c r="AS434" s="123"/>
      <c r="AT434" s="123"/>
      <c r="AY434" s="115"/>
      <c r="AZ434" s="115"/>
      <c r="BA434" s="115"/>
      <c r="BB434" s="115"/>
      <c r="BC434" s="115"/>
      <c r="BD434" s="115"/>
      <c r="BE434" s="115"/>
      <c r="BF434" s="115"/>
      <c r="BG434" s="115"/>
      <c r="BH434" s="115"/>
      <c r="BI434" s="25"/>
      <c r="BJ434" s="13"/>
      <c r="BM434" s="114"/>
    </row>
    <row r="435" spans="1:65" ht="19.5" x14ac:dyDescent="0.4">
      <c r="A435" s="117"/>
      <c r="B435" s="123"/>
      <c r="C435" s="123"/>
      <c r="D435" s="123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27"/>
      <c r="AA435" s="29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25"/>
      <c r="AL435" s="13"/>
      <c r="AQ435" s="116"/>
      <c r="AR435" s="123"/>
      <c r="AS435" s="123"/>
      <c r="AT435" s="123"/>
      <c r="AY435" s="115"/>
      <c r="AZ435" s="115"/>
      <c r="BA435" s="115"/>
      <c r="BB435" s="115"/>
      <c r="BC435" s="115"/>
      <c r="BD435" s="115"/>
      <c r="BE435" s="115"/>
      <c r="BF435" s="115"/>
      <c r="BG435" s="115"/>
      <c r="BH435" s="115"/>
      <c r="BI435" s="25"/>
      <c r="BJ435" s="13"/>
      <c r="BM435" s="114"/>
    </row>
    <row r="436" spans="1:65" ht="19.5" x14ac:dyDescent="0.4">
      <c r="A436" s="117"/>
      <c r="B436" s="123"/>
      <c r="C436" s="123"/>
      <c r="D436" s="123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29"/>
      <c r="AA436" s="29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25"/>
      <c r="AL436" s="13"/>
      <c r="AQ436" s="116"/>
      <c r="AR436" s="123"/>
      <c r="AS436" s="123"/>
      <c r="AT436" s="123"/>
      <c r="AY436" s="115"/>
      <c r="AZ436" s="115"/>
      <c r="BA436" s="115"/>
      <c r="BB436" s="115"/>
      <c r="BC436" s="115"/>
      <c r="BD436" s="115"/>
      <c r="BE436" s="115"/>
      <c r="BF436" s="115"/>
      <c r="BG436" s="115"/>
      <c r="BH436" s="115"/>
      <c r="BI436" s="25"/>
      <c r="BJ436" s="13"/>
      <c r="BM436" s="114"/>
    </row>
    <row r="437" spans="1:65" ht="19.5" x14ac:dyDescent="0.4">
      <c r="A437" s="117"/>
      <c r="B437" s="123"/>
      <c r="C437" s="123"/>
      <c r="D437" s="123"/>
      <c r="Z437" s="127"/>
      <c r="AA437" s="29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25">
        <v>45677</v>
      </c>
      <c r="AL437" s="13" t="s">
        <v>147</v>
      </c>
      <c r="AQ437" s="116"/>
      <c r="AR437" s="123"/>
      <c r="AS437" s="123"/>
      <c r="AT437" s="123"/>
      <c r="AY437" s="115"/>
      <c r="AZ437" s="115"/>
      <c r="BA437" s="115"/>
      <c r="BB437" s="115"/>
      <c r="BC437" s="115"/>
      <c r="BD437" s="115"/>
      <c r="BE437" s="115"/>
      <c r="BF437" s="115"/>
      <c r="BG437" s="115"/>
      <c r="BH437" s="115"/>
      <c r="BI437" s="25"/>
      <c r="BJ437" s="13"/>
      <c r="BM437" s="114"/>
    </row>
    <row r="438" spans="1:65" ht="19.5" x14ac:dyDescent="0.4">
      <c r="A438" s="117"/>
      <c r="B438" s="123"/>
      <c r="C438" s="123"/>
      <c r="D438" s="123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27"/>
      <c r="AA438" s="29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25"/>
      <c r="AL438" s="13"/>
      <c r="AQ438" s="116"/>
      <c r="AR438" s="123"/>
      <c r="AS438" s="123"/>
      <c r="AT438" s="123"/>
      <c r="AY438" s="115"/>
      <c r="AZ438" s="115"/>
      <c r="BA438" s="115"/>
      <c r="BB438" s="115"/>
      <c r="BC438" s="115"/>
      <c r="BD438" s="115"/>
      <c r="BE438" s="115"/>
      <c r="BF438" s="115"/>
      <c r="BG438" s="115"/>
      <c r="BH438" s="115"/>
      <c r="BI438" s="25"/>
      <c r="BJ438" s="13"/>
      <c r="BM438" s="114"/>
    </row>
    <row r="439" spans="1:65" ht="19.5" x14ac:dyDescent="0.4">
      <c r="A439" s="117"/>
      <c r="B439" s="123"/>
      <c r="C439" s="123"/>
      <c r="D439" s="123"/>
      <c r="Z439" s="127"/>
      <c r="AA439" s="29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25">
        <v>45677</v>
      </c>
      <c r="AL439" s="25" t="s">
        <v>147</v>
      </c>
      <c r="AQ439" s="116"/>
      <c r="AR439" s="123"/>
      <c r="AS439" s="123"/>
      <c r="AT439" s="123"/>
      <c r="AY439" s="115"/>
      <c r="AZ439" s="115"/>
      <c r="BA439" s="115"/>
      <c r="BB439" s="115"/>
      <c r="BC439" s="115"/>
      <c r="BD439" s="115"/>
      <c r="BE439" s="115"/>
      <c r="BF439" s="115"/>
      <c r="BG439" s="115"/>
      <c r="BH439" s="115"/>
      <c r="BI439" s="25"/>
      <c r="BJ439" s="13"/>
      <c r="BM439" s="114"/>
    </row>
    <row r="440" spans="1:65" ht="19.5" x14ac:dyDescent="0.4">
      <c r="A440" s="117"/>
      <c r="B440" s="123"/>
      <c r="C440" s="123"/>
      <c r="D440" s="123"/>
      <c r="Z440" s="127"/>
      <c r="AA440" s="29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25"/>
      <c r="AL440" s="25"/>
      <c r="AQ440" s="116"/>
      <c r="AR440" s="123"/>
      <c r="AS440" s="123"/>
      <c r="AT440" s="123"/>
      <c r="AY440" s="115"/>
      <c r="AZ440" s="115"/>
      <c r="BA440" s="115"/>
      <c r="BB440" s="115"/>
      <c r="BC440" s="115"/>
      <c r="BD440" s="115"/>
      <c r="BE440" s="115"/>
      <c r="BF440" s="115"/>
      <c r="BG440" s="115"/>
      <c r="BH440" s="115"/>
      <c r="BI440" s="25"/>
      <c r="BJ440" s="13"/>
      <c r="BM440" s="114"/>
    </row>
    <row r="441" spans="1:65" ht="19.5" x14ac:dyDescent="0.4">
      <c r="A441" s="117"/>
      <c r="B441" s="123"/>
      <c r="C441" s="123"/>
      <c r="D441" s="123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27"/>
      <c r="AA441" s="29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25"/>
      <c r="AL441" s="25"/>
      <c r="AQ441" s="116"/>
      <c r="AR441" s="123"/>
      <c r="AS441" s="123"/>
      <c r="AT441" s="123"/>
      <c r="AY441" s="115"/>
      <c r="AZ441" s="115"/>
      <c r="BA441" s="115"/>
      <c r="BB441" s="115"/>
      <c r="BC441" s="115"/>
      <c r="BD441" s="115"/>
      <c r="BE441" s="115"/>
      <c r="BF441" s="115"/>
      <c r="BG441" s="115"/>
      <c r="BH441" s="115"/>
      <c r="BI441" s="25"/>
      <c r="BJ441" s="13"/>
      <c r="BM441" s="114"/>
    </row>
    <row r="442" spans="1:65" ht="19.5" x14ac:dyDescent="0.4">
      <c r="A442" s="117"/>
      <c r="B442" s="123"/>
      <c r="C442" s="123"/>
      <c r="D442" s="123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27"/>
      <c r="AA442" s="29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25"/>
      <c r="AL442" s="25"/>
      <c r="AQ442" s="116"/>
      <c r="AR442" s="123"/>
      <c r="AS442" s="123"/>
      <c r="AT442" s="123"/>
      <c r="AY442" s="115"/>
      <c r="AZ442" s="115"/>
      <c r="BA442" s="115"/>
      <c r="BB442" s="115"/>
      <c r="BC442" s="115"/>
      <c r="BD442" s="115"/>
      <c r="BE442" s="115"/>
      <c r="BF442" s="115"/>
      <c r="BG442" s="115"/>
      <c r="BH442" s="115"/>
      <c r="BI442" s="25"/>
      <c r="BJ442" s="13"/>
      <c r="BM442" s="114"/>
    </row>
    <row r="443" spans="1:65" ht="19.5" x14ac:dyDescent="0.4">
      <c r="A443" s="117"/>
      <c r="B443" s="123"/>
      <c r="C443" s="123"/>
      <c r="D443" s="123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27"/>
      <c r="AA443" s="29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25"/>
      <c r="AL443" s="25"/>
      <c r="AQ443" s="116"/>
      <c r="AR443" s="123"/>
      <c r="AS443" s="123"/>
      <c r="AT443" s="123"/>
      <c r="AY443" s="115"/>
      <c r="AZ443" s="115"/>
      <c r="BA443" s="115"/>
      <c r="BB443" s="115"/>
      <c r="BC443" s="115"/>
      <c r="BD443" s="115"/>
      <c r="BE443" s="115"/>
      <c r="BF443" s="115"/>
      <c r="BG443" s="115"/>
      <c r="BH443" s="115"/>
      <c r="BI443" s="25"/>
      <c r="BJ443" s="13"/>
      <c r="BM443" s="114"/>
    </row>
    <row r="444" spans="1:65" ht="19.5" x14ac:dyDescent="0.4">
      <c r="A444" s="117"/>
      <c r="B444" s="123"/>
      <c r="C444" s="123"/>
      <c r="D444" s="123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29"/>
      <c r="AA444" s="29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25"/>
      <c r="AL444" s="25"/>
      <c r="AQ444" s="116"/>
      <c r="AR444" s="123"/>
      <c r="AS444" s="123"/>
      <c r="AT444" s="123"/>
      <c r="AY444" s="115"/>
      <c r="AZ444" s="115"/>
      <c r="BA444" s="115"/>
      <c r="BB444" s="115"/>
      <c r="BC444" s="115"/>
      <c r="BD444" s="115"/>
      <c r="BE444" s="115"/>
      <c r="BF444" s="115"/>
      <c r="BG444" s="115"/>
      <c r="BH444" s="115"/>
      <c r="BI444" s="25"/>
      <c r="BJ444" s="13"/>
      <c r="BM444" s="114"/>
    </row>
    <row r="445" spans="1:65" ht="19.5" x14ac:dyDescent="0.4">
      <c r="A445" s="117"/>
      <c r="B445" s="123"/>
      <c r="C445" s="123"/>
      <c r="D445" s="123"/>
      <c r="Z445" s="127"/>
      <c r="AA445" s="29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25">
        <v>45678</v>
      </c>
      <c r="AL445" s="13" t="s">
        <v>147</v>
      </c>
      <c r="AQ445" s="116"/>
      <c r="AR445" s="123"/>
      <c r="AS445" s="123"/>
      <c r="AT445" s="123"/>
      <c r="AY445" s="115"/>
      <c r="AZ445" s="115"/>
      <c r="BA445" s="115"/>
      <c r="BB445" s="115"/>
      <c r="BC445" s="115"/>
      <c r="BD445" s="115"/>
      <c r="BE445" s="115"/>
      <c r="BF445" s="115"/>
      <c r="BG445" s="115"/>
      <c r="BH445" s="115"/>
      <c r="BI445" s="25"/>
      <c r="BJ445" s="13"/>
      <c r="BM445" s="114"/>
    </row>
    <row r="446" spans="1:65" ht="19.5" x14ac:dyDescent="0.4">
      <c r="A446" s="117"/>
      <c r="B446" s="123"/>
      <c r="C446" s="123"/>
      <c r="D446" s="123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27"/>
      <c r="AA446" s="29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25"/>
      <c r="AL446" s="13"/>
      <c r="AQ446" s="116"/>
      <c r="AR446" s="123"/>
      <c r="AS446" s="123"/>
      <c r="AT446" s="123"/>
      <c r="AY446" s="115"/>
      <c r="AZ446" s="115"/>
      <c r="BA446" s="115"/>
      <c r="BB446" s="115"/>
      <c r="BC446" s="115"/>
      <c r="BD446" s="115"/>
      <c r="BE446" s="115"/>
      <c r="BF446" s="115"/>
      <c r="BG446" s="115"/>
      <c r="BH446" s="115"/>
      <c r="BI446" s="25"/>
      <c r="BJ446" s="13"/>
      <c r="BM446" s="114"/>
    </row>
    <row r="447" spans="1:65" ht="19.5" x14ac:dyDescent="0.4">
      <c r="A447" s="117"/>
      <c r="B447" s="123"/>
      <c r="C447" s="123"/>
      <c r="D447" s="123"/>
      <c r="Z447" s="127"/>
      <c r="AA447" s="29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25">
        <v>45678</v>
      </c>
      <c r="AL447" s="13" t="s">
        <v>146</v>
      </c>
      <c r="AQ447" s="116"/>
      <c r="AR447" s="123"/>
      <c r="AS447" s="123"/>
      <c r="AT447" s="123"/>
      <c r="AY447" s="115"/>
      <c r="AZ447" s="115"/>
      <c r="BA447" s="115"/>
      <c r="BB447" s="115"/>
      <c r="BC447" s="115"/>
      <c r="BD447" s="115"/>
      <c r="BE447" s="115"/>
      <c r="BF447" s="115"/>
      <c r="BG447" s="115"/>
      <c r="BH447" s="115"/>
      <c r="BI447" s="25"/>
      <c r="BJ447" s="13"/>
      <c r="BM447" s="114"/>
    </row>
    <row r="448" spans="1:65" ht="19.5" x14ac:dyDescent="0.4">
      <c r="A448" s="117"/>
      <c r="B448" s="123"/>
      <c r="C448" s="123"/>
      <c r="D448" s="123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27"/>
      <c r="AA448" s="29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25"/>
      <c r="AL448" s="13"/>
      <c r="AQ448" s="116"/>
      <c r="AR448" s="123"/>
      <c r="AS448" s="123"/>
      <c r="AT448" s="123"/>
      <c r="AY448" s="115"/>
      <c r="AZ448" s="115"/>
      <c r="BA448" s="115"/>
      <c r="BB448" s="115"/>
      <c r="BC448" s="115"/>
      <c r="BD448" s="115"/>
      <c r="BE448" s="115"/>
      <c r="BF448" s="115"/>
      <c r="BG448" s="115"/>
      <c r="BH448" s="115"/>
      <c r="BI448" s="25"/>
      <c r="BJ448" s="13"/>
      <c r="BM448" s="114"/>
    </row>
    <row r="449" spans="1:65" ht="19.5" x14ac:dyDescent="0.4">
      <c r="A449" s="117"/>
      <c r="B449" s="123"/>
      <c r="C449" s="123"/>
      <c r="D449" s="123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27"/>
      <c r="AA449" s="29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25"/>
      <c r="AL449" s="13"/>
      <c r="AQ449" s="116"/>
      <c r="AR449" s="123"/>
      <c r="AS449" s="123"/>
      <c r="AT449" s="123"/>
      <c r="AY449" s="115"/>
      <c r="AZ449" s="115"/>
      <c r="BA449" s="115"/>
      <c r="BB449" s="115"/>
      <c r="BC449" s="115"/>
      <c r="BD449" s="115"/>
      <c r="BE449" s="115"/>
      <c r="BF449" s="115"/>
      <c r="BG449" s="115"/>
      <c r="BH449" s="115"/>
      <c r="BI449" s="25"/>
      <c r="BJ449" s="13"/>
      <c r="BM449" s="114"/>
    </row>
    <row r="450" spans="1:65" ht="19.5" x14ac:dyDescent="0.4">
      <c r="A450" s="117"/>
      <c r="B450" s="123"/>
      <c r="C450" s="123"/>
      <c r="D450" s="123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27"/>
      <c r="AA450" s="29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25"/>
      <c r="AL450" s="13"/>
      <c r="AQ450" s="116"/>
      <c r="AR450" s="123"/>
      <c r="AS450" s="123"/>
      <c r="AT450" s="123"/>
      <c r="AY450" s="115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25"/>
      <c r="BJ450" s="13"/>
      <c r="BM450" s="114"/>
    </row>
    <row r="451" spans="1:65" ht="19.5" x14ac:dyDescent="0.4">
      <c r="A451" s="117"/>
      <c r="B451" s="123"/>
      <c r="C451" s="123"/>
      <c r="D451" s="123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27"/>
      <c r="AA451" s="29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25"/>
      <c r="AL451" s="13"/>
      <c r="AQ451" s="116"/>
      <c r="AR451" s="123"/>
      <c r="AS451" s="123"/>
      <c r="AT451" s="123"/>
      <c r="AY451" s="115"/>
      <c r="AZ451" s="115"/>
      <c r="BA451" s="115"/>
      <c r="BB451" s="115"/>
      <c r="BC451" s="115"/>
      <c r="BD451" s="115"/>
      <c r="BE451" s="115"/>
      <c r="BF451" s="115"/>
      <c r="BG451" s="115"/>
      <c r="BH451" s="115"/>
      <c r="BI451" s="25"/>
      <c r="BJ451" s="13"/>
      <c r="BM451" s="114"/>
    </row>
    <row r="452" spans="1:65" ht="19.5" x14ac:dyDescent="0.4">
      <c r="A452" s="117"/>
      <c r="B452" s="123"/>
      <c r="C452" s="123"/>
      <c r="D452" s="123"/>
      <c r="Z452" s="127"/>
      <c r="AA452" s="29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25">
        <v>45678</v>
      </c>
      <c r="AL452" s="13" t="s">
        <v>148</v>
      </c>
      <c r="AQ452" s="116"/>
      <c r="AR452" s="123"/>
      <c r="AS452" s="123"/>
      <c r="AT452" s="123"/>
      <c r="AY452" s="115"/>
      <c r="AZ452" s="115"/>
      <c r="BA452" s="115"/>
      <c r="BB452" s="115"/>
      <c r="BC452" s="115"/>
      <c r="BD452" s="115"/>
      <c r="BE452" s="115"/>
      <c r="BF452" s="115"/>
      <c r="BG452" s="115"/>
      <c r="BH452" s="115"/>
      <c r="BI452" s="25"/>
      <c r="BJ452" s="13"/>
      <c r="BM452" s="114"/>
    </row>
    <row r="453" spans="1:65" ht="19.5" x14ac:dyDescent="0.4">
      <c r="A453" s="117"/>
      <c r="B453" s="123"/>
      <c r="C453" s="123"/>
      <c r="D453" s="123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27"/>
      <c r="AA453" s="29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25"/>
      <c r="AL453" s="13"/>
      <c r="AQ453" s="116"/>
      <c r="AR453" s="123"/>
      <c r="AS453" s="123"/>
      <c r="AT453" s="123"/>
      <c r="AY453" s="115"/>
      <c r="AZ453" s="115"/>
      <c r="BA453" s="115"/>
      <c r="BB453" s="115"/>
      <c r="BC453" s="115"/>
      <c r="BD453" s="115"/>
      <c r="BE453" s="115"/>
      <c r="BF453" s="115"/>
      <c r="BG453" s="115"/>
      <c r="BH453" s="115"/>
      <c r="BI453" s="25"/>
      <c r="BJ453" s="13"/>
      <c r="BM453" s="114"/>
    </row>
    <row r="454" spans="1:65" ht="19.5" x14ac:dyDescent="0.4">
      <c r="A454" s="117"/>
      <c r="B454" s="123"/>
      <c r="C454" s="123"/>
      <c r="D454" s="123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29"/>
      <c r="AA454" s="29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25"/>
      <c r="AL454" s="13"/>
      <c r="AQ454" s="116"/>
      <c r="AR454" s="123"/>
      <c r="AS454" s="123"/>
      <c r="AT454" s="123"/>
      <c r="AY454" s="115"/>
      <c r="AZ454" s="115"/>
      <c r="BA454" s="115"/>
      <c r="BB454" s="115"/>
      <c r="BC454" s="115"/>
      <c r="BD454" s="115"/>
      <c r="BE454" s="115"/>
      <c r="BF454" s="115"/>
      <c r="BG454" s="115"/>
      <c r="BH454" s="115"/>
      <c r="BI454" s="25"/>
      <c r="BJ454" s="13"/>
      <c r="BM454" s="114"/>
    </row>
    <row r="455" spans="1:65" ht="19.5" x14ac:dyDescent="0.4">
      <c r="A455" s="117"/>
      <c r="B455" s="123"/>
      <c r="C455" s="123"/>
      <c r="D455" s="123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27"/>
      <c r="AA455" s="134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25"/>
      <c r="AL455" s="13"/>
      <c r="AQ455" s="116"/>
      <c r="AR455" s="123"/>
      <c r="AS455" s="123"/>
      <c r="AT455" s="123"/>
      <c r="AY455" s="115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25"/>
      <c r="BJ455" s="13"/>
      <c r="BM455" s="114"/>
    </row>
    <row r="456" spans="1:65" ht="19.5" x14ac:dyDescent="0.4">
      <c r="A456" s="117"/>
      <c r="B456" s="123"/>
      <c r="C456" s="123"/>
      <c r="D456" s="123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27"/>
      <c r="AA456" s="29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25"/>
      <c r="AL456" s="13"/>
      <c r="AQ456" s="116"/>
      <c r="AR456" s="123"/>
      <c r="AS456" s="123"/>
      <c r="AT456" s="123"/>
      <c r="AY456" s="115"/>
      <c r="AZ456" s="115"/>
      <c r="BA456" s="115"/>
      <c r="BB456" s="115"/>
      <c r="BC456" s="115"/>
      <c r="BD456" s="115"/>
      <c r="BE456" s="115"/>
      <c r="BF456" s="115"/>
      <c r="BG456" s="115"/>
      <c r="BH456" s="115"/>
      <c r="BI456" s="25"/>
      <c r="BJ456" s="13"/>
      <c r="BM456" s="114"/>
    </row>
    <row r="457" spans="1:65" ht="19.5" x14ac:dyDescent="0.4">
      <c r="A457" s="117"/>
      <c r="B457" s="123"/>
      <c r="C457" s="123"/>
      <c r="D457" s="123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27"/>
      <c r="AA457" s="29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25"/>
      <c r="AL457" s="13"/>
      <c r="AQ457" s="116"/>
      <c r="AR457" s="123"/>
      <c r="AS457" s="123"/>
      <c r="AT457" s="123"/>
      <c r="AY457" s="115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25"/>
      <c r="BJ457" s="13"/>
      <c r="BM457" s="114"/>
    </row>
    <row r="458" spans="1:65" ht="19.5" x14ac:dyDescent="0.4">
      <c r="A458" s="117"/>
      <c r="B458" s="123"/>
      <c r="C458" s="123"/>
      <c r="D458" s="123"/>
      <c r="Z458" s="127"/>
      <c r="AA458" s="29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25">
        <v>45678</v>
      </c>
      <c r="AL458" s="13" t="s">
        <v>148</v>
      </c>
      <c r="AQ458" s="116"/>
      <c r="AR458" s="123"/>
      <c r="AS458" s="123"/>
      <c r="AT458" s="123"/>
      <c r="AY458" s="115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25"/>
      <c r="BJ458" s="13"/>
      <c r="BM458" s="114"/>
    </row>
    <row r="459" spans="1:65" ht="19.5" x14ac:dyDescent="0.4">
      <c r="A459" s="117"/>
      <c r="B459" s="123"/>
      <c r="C459" s="123"/>
      <c r="D459" s="123"/>
      <c r="Z459" s="127"/>
      <c r="AA459" s="29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25">
        <v>45678</v>
      </c>
      <c r="AL459" s="13" t="s">
        <v>148</v>
      </c>
      <c r="AQ459" s="116"/>
      <c r="AR459" s="123"/>
      <c r="AS459" s="123"/>
      <c r="AT459" s="123"/>
      <c r="AY459" s="115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25"/>
      <c r="BJ459" s="13"/>
      <c r="BM459" s="114"/>
    </row>
    <row r="460" spans="1:65" ht="19.5" x14ac:dyDescent="0.4">
      <c r="A460" s="117"/>
      <c r="B460" s="123"/>
      <c r="C460" s="123"/>
      <c r="D460" s="123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27"/>
      <c r="AA460" s="29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25"/>
      <c r="AL460" s="13"/>
      <c r="AQ460" s="116"/>
      <c r="AR460" s="123"/>
      <c r="AS460" s="123"/>
      <c r="AT460" s="123"/>
      <c r="AY460" s="115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25"/>
      <c r="BJ460" s="13"/>
      <c r="BM460" s="114"/>
    </row>
    <row r="461" spans="1:65" ht="19.5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27"/>
      <c r="AA461" s="29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25"/>
      <c r="AL461" s="13"/>
      <c r="AQ461" s="116"/>
      <c r="AR461" s="123"/>
      <c r="AS461" s="123"/>
      <c r="AT461" s="123"/>
      <c r="AY461" s="115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25"/>
      <c r="BJ461" s="13"/>
      <c r="BM461" s="114"/>
    </row>
    <row r="462" spans="1:65" ht="19.5" x14ac:dyDescent="0.4">
      <c r="A462" s="117"/>
      <c r="B462" s="123"/>
      <c r="C462" s="123"/>
      <c r="D462" s="123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27"/>
      <c r="AA462" s="29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25"/>
      <c r="AL462" s="13"/>
      <c r="AQ462" s="116"/>
      <c r="AR462" s="123"/>
      <c r="AS462" s="123"/>
      <c r="AT462" s="123"/>
      <c r="AY462" s="115"/>
      <c r="AZ462" s="115"/>
      <c r="BA462" s="115"/>
      <c r="BB462" s="115"/>
      <c r="BC462" s="115"/>
      <c r="BD462" s="115"/>
      <c r="BE462" s="115"/>
      <c r="BF462" s="115"/>
      <c r="BG462" s="115"/>
      <c r="BH462" s="115"/>
      <c r="BI462" s="25"/>
      <c r="BJ462" s="13"/>
      <c r="BM462" s="114"/>
    </row>
    <row r="463" spans="1:65" ht="19.5" x14ac:dyDescent="0.4">
      <c r="A463" s="117"/>
      <c r="B463" s="123"/>
      <c r="C463" s="123"/>
      <c r="D463" s="123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27"/>
      <c r="AA463" s="29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25"/>
      <c r="AL463" s="13"/>
      <c r="AQ463" s="116"/>
      <c r="AR463" s="123"/>
      <c r="AS463" s="123"/>
      <c r="AT463" s="123"/>
      <c r="AY463" s="115"/>
      <c r="AZ463" s="115"/>
      <c r="BA463" s="115"/>
      <c r="BB463" s="115"/>
      <c r="BC463" s="115"/>
      <c r="BD463" s="115"/>
      <c r="BE463" s="115"/>
      <c r="BF463" s="115"/>
      <c r="BG463" s="115"/>
      <c r="BH463" s="115"/>
      <c r="BI463" s="25"/>
      <c r="BJ463" s="13"/>
      <c r="BM463" s="114"/>
    </row>
    <row r="464" spans="1:65" ht="19.5" x14ac:dyDescent="0.4">
      <c r="A464" s="117"/>
      <c r="B464" s="123"/>
      <c r="C464" s="123"/>
      <c r="D464" s="123"/>
      <c r="Z464" s="127"/>
      <c r="AA464" s="29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25">
        <v>45679</v>
      </c>
      <c r="AL464" s="15" t="s">
        <v>146</v>
      </c>
      <c r="AQ464" s="116"/>
      <c r="AR464" s="123"/>
      <c r="AS464" s="123"/>
      <c r="AT464" s="123"/>
      <c r="AY464" s="115"/>
      <c r="AZ464" s="115"/>
      <c r="BA464" s="115"/>
      <c r="BB464" s="115"/>
      <c r="BC464" s="115"/>
      <c r="BD464" s="115"/>
      <c r="BE464" s="115"/>
      <c r="BF464" s="115"/>
      <c r="BG464" s="115"/>
      <c r="BH464" s="115"/>
      <c r="BI464" s="25"/>
      <c r="BJ464" s="13"/>
      <c r="BM464" s="114"/>
    </row>
    <row r="465" spans="1:65" ht="19.5" x14ac:dyDescent="0.4">
      <c r="A465" s="117"/>
      <c r="B465" s="123"/>
      <c r="C465" s="123"/>
      <c r="D465" s="12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27"/>
      <c r="AA465" s="29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25"/>
      <c r="AL465" s="15"/>
      <c r="AQ465" s="116"/>
      <c r="AR465" s="123"/>
      <c r="AS465" s="123"/>
      <c r="AT465" s="123"/>
      <c r="AY465" s="115"/>
      <c r="AZ465" s="115"/>
      <c r="BA465" s="115"/>
      <c r="BB465" s="115"/>
      <c r="BC465" s="115"/>
      <c r="BD465" s="115"/>
      <c r="BE465" s="115"/>
      <c r="BF465" s="115"/>
      <c r="BG465" s="115"/>
      <c r="BH465" s="115"/>
      <c r="BI465" s="25"/>
      <c r="BJ465" s="13"/>
      <c r="BM465" s="114"/>
    </row>
    <row r="466" spans="1:65" ht="19.5" x14ac:dyDescent="0.4">
      <c r="A466" s="117"/>
      <c r="B466" s="123"/>
      <c r="C466" s="123"/>
      <c r="D466" s="12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29"/>
      <c r="AA466" s="29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25"/>
      <c r="AL466" s="15"/>
      <c r="AQ466" s="116"/>
      <c r="AR466" s="123"/>
      <c r="AS466" s="123"/>
      <c r="AT466" s="123"/>
      <c r="AY466" s="115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25"/>
      <c r="BJ466" s="13"/>
      <c r="BM466" s="114"/>
    </row>
    <row r="467" spans="1:65" ht="19.5" x14ac:dyDescent="0.4">
      <c r="A467" s="117"/>
      <c r="B467" s="123"/>
      <c r="C467" s="123"/>
      <c r="D467" s="123"/>
      <c r="Z467" s="127"/>
      <c r="AA467" s="29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25"/>
      <c r="AL467" s="15"/>
      <c r="AQ467" s="116"/>
      <c r="AR467" s="123"/>
      <c r="AS467" s="123"/>
      <c r="AT467" s="123"/>
      <c r="AY467" s="115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25"/>
      <c r="BJ467" s="13"/>
      <c r="BM467" s="114"/>
    </row>
    <row r="468" spans="1:65" ht="19.5" x14ac:dyDescent="0.4">
      <c r="A468" s="117"/>
      <c r="B468" s="123"/>
      <c r="C468" s="123"/>
      <c r="D468" s="123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27"/>
      <c r="AA468" s="29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25"/>
      <c r="AL468" s="15"/>
      <c r="AQ468" s="116"/>
      <c r="AR468" s="123"/>
      <c r="AS468" s="123"/>
      <c r="AT468" s="123"/>
      <c r="AY468" s="115"/>
      <c r="AZ468" s="115"/>
      <c r="BA468" s="115"/>
      <c r="BB468" s="115"/>
      <c r="BC468" s="115"/>
      <c r="BD468" s="115"/>
      <c r="BE468" s="115"/>
      <c r="BF468" s="115"/>
      <c r="BG468" s="115"/>
      <c r="BH468" s="115"/>
      <c r="BI468" s="25"/>
      <c r="BJ468" s="13"/>
      <c r="BM468" s="114"/>
    </row>
    <row r="469" spans="1:65" ht="19.5" x14ac:dyDescent="0.4">
      <c r="A469" s="117"/>
      <c r="B469" s="123"/>
      <c r="C469" s="123"/>
      <c r="D469" s="12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29"/>
      <c r="AA469" s="29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25"/>
      <c r="AL469" s="15"/>
      <c r="AQ469" s="116"/>
      <c r="AR469" s="123"/>
      <c r="AS469" s="123"/>
      <c r="AT469" s="123"/>
      <c r="AY469" s="115"/>
      <c r="AZ469" s="115"/>
      <c r="BA469" s="115"/>
      <c r="BB469" s="115"/>
      <c r="BC469" s="115"/>
      <c r="BD469" s="115"/>
      <c r="BE469" s="115"/>
      <c r="BF469" s="115"/>
      <c r="BG469" s="115"/>
      <c r="BH469" s="115"/>
      <c r="BI469" s="25"/>
      <c r="BJ469" s="13"/>
      <c r="BM469" s="114"/>
    </row>
    <row r="470" spans="1:65" ht="19.5" x14ac:dyDescent="0.4">
      <c r="A470" s="117"/>
      <c r="B470" s="123"/>
      <c r="C470" s="123"/>
      <c r="D470" s="123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27"/>
      <c r="AA470" s="29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25"/>
      <c r="AL470" s="15"/>
      <c r="AQ470" s="116"/>
      <c r="AR470" s="123"/>
      <c r="AS470" s="123"/>
      <c r="AT470" s="123"/>
      <c r="AY470" s="115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25"/>
      <c r="BJ470" s="13"/>
      <c r="BM470" s="114"/>
    </row>
    <row r="471" spans="1:65" ht="19.5" x14ac:dyDescent="0.4">
      <c r="A471" s="117"/>
      <c r="B471" s="123"/>
      <c r="C471" s="123"/>
      <c r="D471" s="123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27"/>
      <c r="AA471" s="29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25"/>
      <c r="AL471" s="15"/>
      <c r="AQ471" s="116"/>
      <c r="AR471" s="123"/>
      <c r="AS471" s="123"/>
      <c r="AT471" s="123"/>
      <c r="AY471" s="115"/>
      <c r="AZ471" s="115"/>
      <c r="BA471" s="115"/>
      <c r="BB471" s="115"/>
      <c r="BC471" s="115"/>
      <c r="BD471" s="115"/>
      <c r="BE471" s="115"/>
      <c r="BF471" s="115"/>
      <c r="BG471" s="115"/>
      <c r="BH471" s="115"/>
      <c r="BI471" s="25"/>
      <c r="BJ471" s="13"/>
      <c r="BM471" s="114"/>
    </row>
    <row r="472" spans="1:65" ht="19.5" x14ac:dyDescent="0.4">
      <c r="A472" s="117"/>
      <c r="B472" s="123"/>
      <c r="C472" s="123"/>
      <c r="D472" s="123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27"/>
      <c r="AA472" s="29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25"/>
      <c r="AL472" s="15"/>
      <c r="AQ472" s="116"/>
      <c r="AR472" s="123"/>
      <c r="AS472" s="123"/>
      <c r="AT472" s="123"/>
      <c r="AY472" s="115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25"/>
      <c r="BJ472" s="13"/>
      <c r="BM472" s="114"/>
    </row>
    <row r="473" spans="1:65" ht="19.5" x14ac:dyDescent="0.4">
      <c r="A473" s="117"/>
      <c r="B473" s="123"/>
      <c r="C473" s="123"/>
      <c r="D473" s="123"/>
      <c r="Z473" s="127"/>
      <c r="AA473" s="29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25">
        <v>45679</v>
      </c>
      <c r="AL473" s="15" t="s">
        <v>148</v>
      </c>
      <c r="AQ473" s="116"/>
      <c r="AR473" s="123"/>
      <c r="AS473" s="123"/>
      <c r="AT473" s="123"/>
      <c r="AY473" s="115"/>
      <c r="AZ473" s="115"/>
      <c r="BA473" s="115"/>
      <c r="BB473" s="115"/>
      <c r="BC473" s="115"/>
      <c r="BD473" s="115"/>
      <c r="BE473" s="115"/>
      <c r="BF473" s="115"/>
      <c r="BG473" s="115"/>
      <c r="BH473" s="115"/>
      <c r="BI473" s="25"/>
      <c r="BJ473" s="13"/>
      <c r="BM473" s="114"/>
    </row>
    <row r="474" spans="1:65" ht="19.5" x14ac:dyDescent="0.4">
      <c r="A474" s="117"/>
      <c r="B474" s="123"/>
      <c r="C474" s="123"/>
      <c r="D474" s="123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27"/>
      <c r="AA474" s="29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25"/>
      <c r="AL474" s="13"/>
      <c r="AQ474" s="116"/>
      <c r="AR474" s="123"/>
      <c r="AS474" s="123"/>
      <c r="AT474" s="123"/>
      <c r="AY474" s="115"/>
      <c r="AZ474" s="115"/>
      <c r="BA474" s="115"/>
      <c r="BB474" s="115"/>
      <c r="BC474" s="115"/>
      <c r="BD474" s="115"/>
      <c r="BE474" s="115"/>
      <c r="BF474" s="115"/>
      <c r="BG474" s="115"/>
      <c r="BH474" s="115"/>
      <c r="BI474" s="25"/>
      <c r="BJ474" s="13"/>
      <c r="BM474" s="114"/>
    </row>
    <row r="475" spans="1:65" ht="19.5" x14ac:dyDescent="0.4">
      <c r="A475" s="117"/>
      <c r="B475" s="123"/>
      <c r="C475" s="123"/>
      <c r="D475" s="123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27"/>
      <c r="AA475" s="29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25"/>
      <c r="AL475" s="13"/>
      <c r="AQ475" s="116"/>
      <c r="AR475" s="123"/>
      <c r="AS475" s="123"/>
      <c r="AT475" s="123"/>
      <c r="AY475" s="115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25"/>
      <c r="BJ475" s="13"/>
      <c r="BM475" s="114"/>
    </row>
    <row r="476" spans="1:65" ht="19.5" x14ac:dyDescent="0.4">
      <c r="A476" s="117"/>
      <c r="B476" s="123"/>
      <c r="C476" s="123"/>
      <c r="D476" s="123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27"/>
      <c r="AA476" s="29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25"/>
      <c r="AL476" s="13"/>
      <c r="AQ476" s="116"/>
      <c r="AR476" s="123"/>
      <c r="AS476" s="123"/>
      <c r="AT476" s="123"/>
      <c r="AY476" s="115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25"/>
      <c r="BJ476" s="13"/>
      <c r="BM476" s="114"/>
    </row>
    <row r="477" spans="1:65" ht="19.5" x14ac:dyDescent="0.4">
      <c r="A477" s="117"/>
      <c r="B477" s="123"/>
      <c r="C477" s="123"/>
      <c r="D477" s="123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29"/>
      <c r="AA477" s="29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25"/>
      <c r="AL477" s="13"/>
      <c r="AQ477" s="116"/>
      <c r="AR477" s="123"/>
      <c r="AS477" s="123"/>
      <c r="AT477" s="123"/>
      <c r="AY477" s="115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25"/>
      <c r="BJ477" s="13"/>
      <c r="BM477" s="114"/>
    </row>
    <row r="478" spans="1:65" ht="19.5" x14ac:dyDescent="0.4">
      <c r="A478" s="117"/>
      <c r="B478" s="123"/>
      <c r="C478" s="123"/>
      <c r="D478" s="123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27"/>
      <c r="AA478" s="29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25"/>
      <c r="AL478" s="13"/>
      <c r="AQ478" s="116"/>
      <c r="AR478" s="123"/>
      <c r="AS478" s="123"/>
      <c r="AT478" s="123"/>
      <c r="AY478" s="115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25"/>
      <c r="BJ478" s="13"/>
      <c r="BM478" s="114"/>
    </row>
    <row r="479" spans="1:65" ht="19.5" x14ac:dyDescent="0.4">
      <c r="A479" s="117"/>
      <c r="B479" s="123"/>
      <c r="C479" s="123"/>
      <c r="D479" s="123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29"/>
      <c r="AA479" s="29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25"/>
      <c r="AL479" s="13"/>
      <c r="AQ479" s="116"/>
      <c r="AR479" s="123"/>
      <c r="AS479" s="123"/>
      <c r="AT479" s="123"/>
      <c r="AY479" s="115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25"/>
      <c r="BJ479" s="13"/>
      <c r="BM479" s="114"/>
    </row>
    <row r="480" spans="1:65" ht="19.5" x14ac:dyDescent="0.4">
      <c r="A480" s="117"/>
      <c r="B480" s="123"/>
      <c r="C480" s="123"/>
      <c r="D480" s="123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27"/>
      <c r="AA480" s="29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25"/>
      <c r="AL480" s="13"/>
      <c r="AQ480" s="116"/>
      <c r="AR480" s="123"/>
      <c r="AS480" s="123"/>
      <c r="AT480" s="123"/>
      <c r="AY480" s="115"/>
      <c r="AZ480" s="115"/>
      <c r="BA480" s="115"/>
      <c r="BB480" s="115"/>
      <c r="BC480" s="115"/>
      <c r="BD480" s="115"/>
      <c r="BE480" s="115"/>
      <c r="BF480" s="115"/>
      <c r="BG480" s="115"/>
      <c r="BH480" s="115"/>
      <c r="BI480" s="25"/>
      <c r="BJ480" s="13"/>
      <c r="BM480" s="114"/>
    </row>
    <row r="481" spans="1:65" ht="19.5" x14ac:dyDescent="0.4">
      <c r="A481" s="117"/>
      <c r="B481" s="123"/>
      <c r="C481" s="123"/>
      <c r="D481" s="123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29"/>
      <c r="AA481" s="29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25"/>
      <c r="AL481" s="13"/>
      <c r="AQ481" s="116"/>
      <c r="AR481" s="123"/>
      <c r="AS481" s="123"/>
      <c r="AT481" s="123"/>
      <c r="AY481" s="115"/>
      <c r="AZ481" s="115"/>
      <c r="BA481" s="115"/>
      <c r="BB481" s="115"/>
      <c r="BC481" s="115"/>
      <c r="BD481" s="115"/>
      <c r="BE481" s="115"/>
      <c r="BF481" s="115"/>
      <c r="BG481" s="115"/>
      <c r="BH481" s="115"/>
      <c r="BI481" s="25"/>
      <c r="BJ481" s="13"/>
      <c r="BM481" s="114"/>
    </row>
    <row r="482" spans="1:65" ht="19.5" x14ac:dyDescent="0.4">
      <c r="A482" s="117"/>
      <c r="B482" s="123"/>
      <c r="C482" s="123"/>
      <c r="D482" s="123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27"/>
      <c r="AA482" s="29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25"/>
      <c r="AL482" s="13"/>
      <c r="AQ482" s="116"/>
      <c r="AR482" s="123"/>
      <c r="AS482" s="123"/>
      <c r="AT482" s="123"/>
      <c r="AY482" s="115"/>
      <c r="AZ482" s="115"/>
      <c r="BA482" s="115"/>
      <c r="BB482" s="115"/>
      <c r="BC482" s="115"/>
      <c r="BD482" s="115"/>
      <c r="BE482" s="115"/>
      <c r="BF482" s="115"/>
      <c r="BG482" s="115"/>
      <c r="BH482" s="115"/>
      <c r="BI482" s="25"/>
      <c r="BJ482" s="13"/>
      <c r="BM482" s="114"/>
    </row>
    <row r="483" spans="1:65" ht="19.5" x14ac:dyDescent="0.4">
      <c r="A483" s="117"/>
      <c r="B483" s="123"/>
      <c r="C483" s="123"/>
      <c r="D483" s="123"/>
      <c r="Z483" s="127"/>
      <c r="AA483" s="29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25">
        <v>45679</v>
      </c>
      <c r="AL483" s="13" t="s">
        <v>147</v>
      </c>
      <c r="AQ483" s="116"/>
      <c r="AR483" s="123"/>
      <c r="AS483" s="123"/>
      <c r="AT483" s="123"/>
      <c r="AY483" s="115"/>
      <c r="AZ483" s="115"/>
      <c r="BA483" s="115"/>
      <c r="BB483" s="115"/>
      <c r="BC483" s="115"/>
      <c r="BD483" s="115"/>
      <c r="BE483" s="115"/>
      <c r="BF483" s="115"/>
      <c r="BG483" s="115"/>
      <c r="BH483" s="115"/>
      <c r="BI483" s="25"/>
      <c r="BJ483" s="13"/>
      <c r="BM483" s="114"/>
    </row>
    <row r="484" spans="1:65" ht="19.5" x14ac:dyDescent="0.4">
      <c r="A484" s="117"/>
      <c r="B484" s="123"/>
      <c r="C484" s="123"/>
      <c r="D484" s="123"/>
      <c r="Q484" s="115"/>
      <c r="R484" s="115"/>
      <c r="S484" s="115"/>
      <c r="T484" s="115"/>
      <c r="U484" s="115"/>
      <c r="V484" s="115"/>
      <c r="W484" s="115"/>
      <c r="X484" s="115"/>
      <c r="Y484" s="115"/>
      <c r="Z484" s="29"/>
      <c r="AA484" s="29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25"/>
      <c r="AL484" s="13"/>
      <c r="AQ484" s="116"/>
      <c r="AR484" s="123"/>
      <c r="AS484" s="123"/>
      <c r="AT484" s="123"/>
      <c r="AY484" s="115"/>
      <c r="AZ484" s="115"/>
      <c r="BA484" s="115"/>
      <c r="BB484" s="115"/>
      <c r="BC484" s="115"/>
      <c r="BD484" s="115"/>
      <c r="BE484" s="115"/>
      <c r="BF484" s="115"/>
      <c r="BG484" s="115"/>
      <c r="BH484" s="115"/>
      <c r="BI484" s="25"/>
      <c r="BJ484" s="13"/>
      <c r="BM484" s="114"/>
    </row>
    <row r="485" spans="1:65" ht="19.5" x14ac:dyDescent="0.4">
      <c r="A485" s="117"/>
      <c r="B485" s="123"/>
      <c r="C485" s="123"/>
      <c r="D485" s="123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27"/>
      <c r="AA485" s="29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25"/>
      <c r="AL485" s="13"/>
      <c r="AQ485" s="116"/>
      <c r="AR485" s="123"/>
      <c r="AS485" s="123"/>
      <c r="AT485" s="123"/>
      <c r="AY485" s="115"/>
      <c r="AZ485" s="115"/>
      <c r="BA485" s="115"/>
      <c r="BB485" s="115"/>
      <c r="BC485" s="115"/>
      <c r="BD485" s="115"/>
      <c r="BE485" s="115"/>
      <c r="BF485" s="115"/>
      <c r="BG485" s="115"/>
      <c r="BH485" s="115"/>
      <c r="BI485" s="25"/>
      <c r="BJ485" s="13"/>
      <c r="BM485" s="114"/>
    </row>
    <row r="486" spans="1:65" ht="19.5" x14ac:dyDescent="0.4">
      <c r="A486" s="117"/>
      <c r="B486" s="123"/>
      <c r="C486" s="123"/>
      <c r="D486" s="123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27"/>
      <c r="AA486" s="29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25"/>
      <c r="AL486" s="13"/>
      <c r="AQ486" s="116"/>
      <c r="AR486" s="123"/>
      <c r="AS486" s="123"/>
      <c r="AT486" s="123"/>
      <c r="AY486" s="115"/>
      <c r="AZ486" s="115"/>
      <c r="BA486" s="115"/>
      <c r="BB486" s="115"/>
      <c r="BC486" s="115"/>
      <c r="BD486" s="115"/>
      <c r="BE486" s="115"/>
      <c r="BF486" s="115"/>
      <c r="BG486" s="115"/>
      <c r="BH486" s="115"/>
      <c r="BI486" s="25"/>
      <c r="BJ486" s="13"/>
      <c r="BM486" s="114"/>
    </row>
    <row r="487" spans="1:65" ht="19.5" x14ac:dyDescent="0.4">
      <c r="A487" s="117"/>
      <c r="B487" s="123"/>
      <c r="C487" s="123"/>
      <c r="D487" s="123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29"/>
      <c r="AA487" s="29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25"/>
      <c r="AL487" s="13"/>
      <c r="AQ487" s="116"/>
      <c r="AR487" s="123"/>
      <c r="AS487" s="123"/>
      <c r="AT487" s="123"/>
      <c r="AY487" s="115"/>
      <c r="AZ487" s="115"/>
      <c r="BA487" s="115"/>
      <c r="BB487" s="115"/>
      <c r="BC487" s="115"/>
      <c r="BD487" s="115"/>
      <c r="BE487" s="115"/>
      <c r="BF487" s="115"/>
      <c r="BG487" s="115"/>
      <c r="BH487" s="115"/>
      <c r="BI487" s="25"/>
      <c r="BJ487" s="13"/>
      <c r="BM487" s="114"/>
    </row>
    <row r="488" spans="1:65" ht="19.5" x14ac:dyDescent="0.4">
      <c r="A488" s="117"/>
      <c r="B488" s="123"/>
      <c r="C488" s="123"/>
      <c r="D488" s="123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29"/>
      <c r="AA488" s="29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25"/>
      <c r="AL488" s="13"/>
      <c r="AQ488" s="116"/>
      <c r="AR488" s="123"/>
      <c r="AS488" s="123"/>
      <c r="AT488" s="123"/>
      <c r="AY488" s="115"/>
      <c r="AZ488" s="115"/>
      <c r="BA488" s="115"/>
      <c r="BB488" s="115"/>
      <c r="BC488" s="115"/>
      <c r="BD488" s="115"/>
      <c r="BE488" s="115"/>
      <c r="BF488" s="115"/>
      <c r="BG488" s="115"/>
      <c r="BH488" s="115"/>
      <c r="BI488" s="25"/>
      <c r="BJ488" s="13"/>
      <c r="BM488" s="114"/>
    </row>
    <row r="489" spans="1:65" ht="19.5" x14ac:dyDescent="0.4">
      <c r="A489" s="117"/>
      <c r="B489" s="123"/>
      <c r="C489" s="123"/>
      <c r="D489" s="123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27"/>
      <c r="AA489" s="29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25"/>
      <c r="AL489" s="13"/>
      <c r="AQ489" s="116"/>
      <c r="AR489" s="123"/>
      <c r="AS489" s="123"/>
      <c r="AT489" s="123"/>
      <c r="AY489" s="115"/>
      <c r="AZ489" s="115"/>
      <c r="BA489" s="115"/>
      <c r="BB489" s="115"/>
      <c r="BC489" s="115"/>
      <c r="BD489" s="115"/>
      <c r="BE489" s="115"/>
      <c r="BF489" s="115"/>
      <c r="BG489" s="115"/>
      <c r="BH489" s="115"/>
      <c r="BI489" s="25"/>
      <c r="BJ489" s="13"/>
      <c r="BM489" s="114"/>
    </row>
    <row r="490" spans="1:65" ht="19.5" x14ac:dyDescent="0.4">
      <c r="A490" s="117"/>
      <c r="B490" s="123"/>
      <c r="C490" s="123"/>
      <c r="D490" s="123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29"/>
      <c r="AA490" s="29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25"/>
      <c r="AL490" s="13"/>
      <c r="AQ490" s="116"/>
      <c r="AR490" s="123"/>
      <c r="AS490" s="123"/>
      <c r="AT490" s="123"/>
      <c r="AY490" s="115"/>
      <c r="AZ490" s="115"/>
      <c r="BA490" s="115"/>
      <c r="BB490" s="115"/>
      <c r="BC490" s="115"/>
      <c r="BD490" s="115"/>
      <c r="BE490" s="115"/>
      <c r="BF490" s="115"/>
      <c r="BG490" s="115"/>
      <c r="BH490" s="115"/>
      <c r="BI490" s="25"/>
      <c r="BJ490" s="13"/>
      <c r="BM490" s="114"/>
    </row>
    <row r="491" spans="1:65" ht="19.5" x14ac:dyDescent="0.4">
      <c r="A491" s="117"/>
      <c r="B491" s="123"/>
      <c r="C491" s="123"/>
      <c r="D491" s="123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27"/>
      <c r="AA491" s="29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25"/>
      <c r="AL491" s="13"/>
      <c r="AQ491" s="116"/>
      <c r="AR491" s="123"/>
      <c r="AS491" s="123"/>
      <c r="AT491" s="123"/>
      <c r="AY491" s="115"/>
      <c r="AZ491" s="115"/>
      <c r="BA491" s="115"/>
      <c r="BB491" s="115"/>
      <c r="BC491" s="115"/>
      <c r="BD491" s="115"/>
      <c r="BE491" s="115"/>
      <c r="BF491" s="115"/>
      <c r="BG491" s="115"/>
      <c r="BH491" s="115"/>
      <c r="BI491" s="25"/>
      <c r="BJ491" s="13"/>
      <c r="BM491" s="114"/>
    </row>
    <row r="492" spans="1:65" ht="19.5" x14ac:dyDescent="0.4">
      <c r="A492" s="117"/>
      <c r="B492" s="123"/>
      <c r="C492" s="123"/>
      <c r="D492" s="123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27"/>
      <c r="AA492" s="29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25"/>
      <c r="AL492" s="13"/>
      <c r="AQ492" s="116"/>
      <c r="AR492" s="123"/>
      <c r="AS492" s="123"/>
      <c r="AT492" s="123"/>
      <c r="AY492" s="115"/>
      <c r="AZ492" s="115"/>
      <c r="BA492" s="115"/>
      <c r="BB492" s="115"/>
      <c r="BC492" s="115"/>
      <c r="BD492" s="115"/>
      <c r="BE492" s="115"/>
      <c r="BF492" s="115"/>
      <c r="BG492" s="115"/>
      <c r="BH492" s="115"/>
      <c r="BI492" s="25"/>
      <c r="BJ492" s="13"/>
      <c r="BM492" s="114"/>
    </row>
    <row r="493" spans="1:65" ht="19.5" x14ac:dyDescent="0.4">
      <c r="A493" s="117"/>
      <c r="B493" s="123"/>
      <c r="C493" s="123"/>
      <c r="D493" s="123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27"/>
      <c r="AA493" s="29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25"/>
      <c r="AL493" s="13"/>
      <c r="AQ493" s="116"/>
      <c r="AR493" s="123"/>
      <c r="AS493" s="123"/>
      <c r="AT493" s="123"/>
      <c r="AY493" s="115"/>
      <c r="AZ493" s="115"/>
      <c r="BA493" s="115"/>
      <c r="BB493" s="115"/>
      <c r="BC493" s="115"/>
      <c r="BD493" s="115"/>
      <c r="BE493" s="115"/>
      <c r="BF493" s="115"/>
      <c r="BG493" s="115"/>
      <c r="BH493" s="115"/>
      <c r="BI493" s="25"/>
      <c r="BJ493" s="13"/>
      <c r="BM493" s="114"/>
    </row>
    <row r="494" spans="1:65" ht="19.5" x14ac:dyDescent="0.4">
      <c r="A494" s="117"/>
      <c r="B494" s="123"/>
      <c r="C494" s="123"/>
      <c r="D494" s="123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27"/>
      <c r="AA494" s="29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25"/>
      <c r="AL494" s="13"/>
      <c r="AQ494" s="116"/>
      <c r="AR494" s="123"/>
      <c r="AS494" s="123"/>
      <c r="AT494" s="123"/>
      <c r="AY494" s="115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25"/>
      <c r="BJ494" s="13"/>
      <c r="BM494" s="114"/>
    </row>
    <row r="495" spans="1:65" ht="19.5" x14ac:dyDescent="0.4">
      <c r="A495" s="117"/>
      <c r="B495" s="123"/>
      <c r="C495" s="123"/>
      <c r="D495" s="123"/>
      <c r="Z495" s="127"/>
      <c r="AA495" s="29"/>
      <c r="AK495" s="25">
        <v>45679</v>
      </c>
      <c r="AL495" s="13" t="s">
        <v>147</v>
      </c>
      <c r="AQ495" s="116"/>
      <c r="AR495" s="123"/>
      <c r="AS495" s="123"/>
      <c r="AT495" s="123"/>
      <c r="AY495" s="115"/>
      <c r="AZ495" s="115"/>
      <c r="BA495" s="115"/>
      <c r="BB495" s="115"/>
      <c r="BC495" s="115"/>
      <c r="BD495" s="115"/>
      <c r="BE495" s="115"/>
      <c r="BF495" s="115"/>
      <c r="BG495" s="115"/>
      <c r="BH495" s="115"/>
      <c r="BI495" s="25"/>
      <c r="BJ495" s="13"/>
      <c r="BM495" s="114"/>
    </row>
    <row r="496" spans="1:65" ht="19.5" x14ac:dyDescent="0.4">
      <c r="A496" s="117"/>
      <c r="B496" s="123"/>
      <c r="C496" s="123"/>
      <c r="D496" s="123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27"/>
      <c r="AA496" s="29"/>
      <c r="AK496" s="25"/>
      <c r="AL496" s="13"/>
      <c r="AQ496" s="116"/>
      <c r="AR496" s="123"/>
      <c r="AS496" s="123"/>
      <c r="AT496" s="123"/>
      <c r="AY496" s="115"/>
      <c r="AZ496" s="115"/>
      <c r="BA496" s="115"/>
      <c r="BB496" s="115"/>
      <c r="BC496" s="115"/>
      <c r="BD496" s="115"/>
      <c r="BE496" s="115"/>
      <c r="BF496" s="115"/>
      <c r="BG496" s="115"/>
      <c r="BH496" s="115"/>
      <c r="BI496" s="25"/>
      <c r="BJ496" s="13"/>
      <c r="BM496" s="114"/>
    </row>
    <row r="497" spans="1:65" ht="19.5" x14ac:dyDescent="0.4">
      <c r="A497" s="117"/>
      <c r="B497" s="123"/>
      <c r="C497" s="123"/>
      <c r="D497" s="123"/>
      <c r="Z497" s="127"/>
      <c r="AA497" s="29"/>
      <c r="AK497" s="25"/>
      <c r="AL497" s="13"/>
      <c r="AQ497" s="116"/>
      <c r="AR497" s="123"/>
      <c r="AS497" s="123"/>
      <c r="AT497" s="123"/>
      <c r="AY497" s="115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25"/>
      <c r="BJ497" s="13"/>
      <c r="BM497" s="114"/>
    </row>
    <row r="498" spans="1:65" ht="19.5" x14ac:dyDescent="0.4">
      <c r="A498" s="117"/>
      <c r="B498" s="123"/>
      <c r="C498" s="123"/>
      <c r="D498" s="123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27"/>
      <c r="AA498" s="29"/>
      <c r="AK498" s="25"/>
      <c r="AL498" s="13"/>
      <c r="AQ498" s="116"/>
      <c r="AR498" s="123"/>
      <c r="AS498" s="123"/>
      <c r="AT498" s="123"/>
      <c r="AY498" s="115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25"/>
      <c r="BJ498" s="13"/>
      <c r="BM498" s="114"/>
    </row>
    <row r="499" spans="1:65" ht="19.5" x14ac:dyDescent="0.4">
      <c r="A499" s="117"/>
      <c r="B499" s="123"/>
      <c r="C499" s="123"/>
      <c r="D499" s="123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29"/>
      <c r="AA499" s="29"/>
      <c r="AK499" s="25"/>
      <c r="AL499" s="13"/>
      <c r="AQ499" s="116"/>
      <c r="AR499" s="123"/>
      <c r="AS499" s="123"/>
      <c r="AT499" s="123"/>
      <c r="AY499" s="115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25"/>
      <c r="BJ499" s="13"/>
      <c r="BM499" s="114"/>
    </row>
    <row r="500" spans="1:65" ht="19.5" x14ac:dyDescent="0.4">
      <c r="A500" s="117"/>
      <c r="B500" s="123"/>
      <c r="C500" s="123"/>
      <c r="D500" s="123"/>
      <c r="Z500" s="127"/>
      <c r="AA500" s="29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25">
        <v>45679</v>
      </c>
      <c r="AL500" s="13" t="s">
        <v>146</v>
      </c>
      <c r="AQ500" s="116"/>
      <c r="AR500" s="123"/>
      <c r="AS500" s="123"/>
      <c r="AT500" s="123"/>
      <c r="AY500" s="115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25"/>
      <c r="BJ500" s="13"/>
      <c r="BM500" s="114"/>
    </row>
    <row r="501" spans="1:65" ht="19.5" x14ac:dyDescent="0.4">
      <c r="A501" s="117"/>
      <c r="B501" s="123"/>
      <c r="C501" s="123"/>
      <c r="D501" s="123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27"/>
      <c r="AA501" s="29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25"/>
      <c r="AL501" s="13"/>
      <c r="AQ501" s="116"/>
      <c r="AR501" s="123"/>
      <c r="AS501" s="123"/>
      <c r="AT501" s="123"/>
      <c r="AY501" s="115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25"/>
      <c r="BJ501" s="13"/>
      <c r="BM501" s="114"/>
    </row>
    <row r="502" spans="1:65" ht="19.5" x14ac:dyDescent="0.4">
      <c r="A502" s="117"/>
      <c r="B502" s="123"/>
      <c r="C502" s="123"/>
      <c r="D502" s="123"/>
      <c r="Z502" s="127"/>
      <c r="AA502" s="29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25"/>
      <c r="AL502" s="13"/>
      <c r="AQ502" s="116"/>
      <c r="AR502" s="123"/>
      <c r="AS502" s="123"/>
      <c r="AT502" s="123"/>
      <c r="AY502" s="115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25"/>
      <c r="BJ502" s="13"/>
      <c r="BM502" s="114"/>
    </row>
    <row r="503" spans="1:65" ht="19.5" x14ac:dyDescent="0.4">
      <c r="A503" s="117"/>
      <c r="B503" s="123"/>
      <c r="C503" s="123"/>
      <c r="D503" s="123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27"/>
      <c r="AA503" s="29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25"/>
      <c r="AL503" s="13"/>
      <c r="AQ503" s="116"/>
      <c r="AR503" s="123"/>
      <c r="AS503" s="123"/>
      <c r="AT503" s="123"/>
      <c r="AY503" s="115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25"/>
      <c r="BJ503" s="13"/>
      <c r="BM503" s="114"/>
    </row>
    <row r="504" spans="1:65" ht="19.5" x14ac:dyDescent="0.4">
      <c r="A504" s="117"/>
      <c r="B504" s="123"/>
      <c r="C504" s="123"/>
      <c r="D504" s="123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27"/>
      <c r="AA504" s="29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25"/>
      <c r="AL504" s="13"/>
      <c r="AQ504" s="116"/>
      <c r="AR504" s="123"/>
      <c r="AS504" s="123"/>
      <c r="AT504" s="123"/>
      <c r="AY504" s="115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25"/>
      <c r="BJ504" s="13"/>
      <c r="BM504" s="114"/>
    </row>
    <row r="505" spans="1:65" ht="19.5" x14ac:dyDescent="0.4">
      <c r="A505" s="117"/>
      <c r="B505" s="123"/>
      <c r="C505" s="123"/>
      <c r="D505" s="123"/>
      <c r="Z505" s="127"/>
      <c r="AA505" s="29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25">
        <v>45679</v>
      </c>
      <c r="AL505" s="13" t="s">
        <v>147</v>
      </c>
      <c r="AQ505" s="116"/>
      <c r="AR505" s="123"/>
      <c r="AS505" s="123"/>
      <c r="AT505" s="123"/>
      <c r="AY505" s="115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25"/>
      <c r="BJ505" s="13"/>
      <c r="BM505" s="114"/>
    </row>
    <row r="506" spans="1:65" ht="19.5" x14ac:dyDescent="0.4">
      <c r="A506" s="117"/>
      <c r="B506" s="123"/>
      <c r="C506" s="123"/>
      <c r="D506" s="123"/>
      <c r="Z506" s="127"/>
      <c r="AA506" s="29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25">
        <v>45680</v>
      </c>
      <c r="AL506" s="13" t="s">
        <v>148</v>
      </c>
      <c r="AQ506" s="116"/>
      <c r="AR506" s="123"/>
      <c r="AS506" s="123"/>
      <c r="AT506" s="123"/>
      <c r="AY506" s="115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25"/>
      <c r="BJ506" s="13"/>
      <c r="BM506" s="114"/>
    </row>
    <row r="507" spans="1:65" ht="19.5" x14ac:dyDescent="0.4">
      <c r="A507" s="117"/>
      <c r="B507" s="123"/>
      <c r="C507" s="123"/>
      <c r="D507" s="123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29"/>
      <c r="AA507" s="29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25"/>
      <c r="AL507" s="13"/>
      <c r="AQ507" s="116"/>
      <c r="AR507" s="123"/>
      <c r="AS507" s="123"/>
      <c r="AT507" s="123"/>
      <c r="AY507" s="115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25"/>
      <c r="BJ507" s="13"/>
      <c r="BM507" s="114"/>
    </row>
    <row r="508" spans="1:65" ht="19.5" x14ac:dyDescent="0.4">
      <c r="A508" s="117"/>
      <c r="B508" s="123"/>
      <c r="C508" s="123"/>
      <c r="D508" s="123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27"/>
      <c r="AA508" s="29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25"/>
      <c r="AL508" s="13"/>
      <c r="AQ508" s="116"/>
      <c r="AR508" s="123"/>
      <c r="AS508" s="123"/>
      <c r="AT508" s="123"/>
      <c r="AY508" s="115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25"/>
      <c r="BJ508" s="13"/>
      <c r="BM508" s="114"/>
    </row>
    <row r="509" spans="1:65" ht="19.5" x14ac:dyDescent="0.4">
      <c r="A509" s="117"/>
      <c r="B509" s="123"/>
      <c r="C509" s="123"/>
      <c r="D509" s="123"/>
      <c r="Z509" s="127"/>
      <c r="AA509" s="29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25">
        <v>45680</v>
      </c>
      <c r="AL509" s="13" t="s">
        <v>147</v>
      </c>
      <c r="AQ509" s="116"/>
      <c r="AR509" s="123"/>
      <c r="AS509" s="123"/>
      <c r="AT509" s="123"/>
      <c r="AY509" s="115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25"/>
      <c r="BJ509" s="13"/>
      <c r="BM509" s="114"/>
    </row>
    <row r="510" spans="1:65" ht="19.5" x14ac:dyDescent="0.4">
      <c r="A510" s="117"/>
      <c r="B510" s="123"/>
      <c r="C510" s="123"/>
      <c r="D510" s="123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27"/>
      <c r="AA510" s="29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25"/>
      <c r="AL510" s="13"/>
      <c r="AQ510" s="116"/>
      <c r="AR510" s="123"/>
      <c r="AS510" s="123"/>
      <c r="AT510" s="123"/>
      <c r="AY510" s="115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25"/>
      <c r="BJ510" s="13"/>
      <c r="BM510" s="114"/>
    </row>
    <row r="511" spans="1:65" ht="19.5" x14ac:dyDescent="0.4">
      <c r="A511" s="117"/>
      <c r="B511" s="123"/>
      <c r="C511" s="123"/>
      <c r="D511" s="123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27"/>
      <c r="AA511" s="29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25"/>
      <c r="AL511" s="13"/>
      <c r="AQ511" s="116"/>
      <c r="AR511" s="123"/>
      <c r="AS511" s="123"/>
      <c r="AT511" s="123"/>
      <c r="AY511" s="115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25"/>
      <c r="BJ511" s="13"/>
      <c r="BM511" s="114"/>
    </row>
    <row r="512" spans="1:65" ht="19.5" x14ac:dyDescent="0.4">
      <c r="A512" s="117"/>
      <c r="B512" s="123"/>
      <c r="C512" s="123"/>
      <c r="D512" s="123"/>
      <c r="Z512" s="127"/>
      <c r="AA512" s="29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25">
        <v>45680</v>
      </c>
      <c r="AL512" s="13" t="s">
        <v>147</v>
      </c>
      <c r="AQ512" s="116"/>
      <c r="AR512" s="123"/>
      <c r="AS512" s="123"/>
      <c r="AT512" s="123"/>
      <c r="AY512" s="115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25"/>
      <c r="BJ512" s="13"/>
      <c r="BM512" s="114"/>
    </row>
    <row r="513" spans="1:65" ht="19.5" x14ac:dyDescent="0.4">
      <c r="A513" s="117"/>
      <c r="B513" s="123"/>
      <c r="C513" s="123"/>
      <c r="D513" s="123"/>
      <c r="Z513" s="127"/>
      <c r="AA513" s="29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25"/>
      <c r="AL513" s="13"/>
      <c r="AQ513" s="116"/>
      <c r="AR513" s="123"/>
      <c r="AS513" s="123"/>
      <c r="AT513" s="123"/>
      <c r="AY513" s="115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25"/>
      <c r="BJ513" s="13"/>
      <c r="BM513" s="114"/>
    </row>
    <row r="514" spans="1:65" ht="19.5" x14ac:dyDescent="0.4">
      <c r="A514" s="117"/>
      <c r="B514" s="123"/>
      <c r="C514" s="123"/>
      <c r="D514" s="123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27"/>
      <c r="AA514" s="29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25"/>
      <c r="AL514" s="13"/>
      <c r="AQ514" s="116"/>
      <c r="AR514" s="123"/>
      <c r="AS514" s="123"/>
      <c r="AT514" s="123"/>
      <c r="AY514" s="115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25"/>
      <c r="BJ514" s="13"/>
      <c r="BM514" s="114"/>
    </row>
    <row r="515" spans="1:65" ht="19.5" x14ac:dyDescent="0.4">
      <c r="A515" s="117"/>
      <c r="B515" s="123"/>
      <c r="C515" s="123"/>
      <c r="D515" s="123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27"/>
      <c r="AA515" s="29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25"/>
      <c r="AL515" s="13"/>
      <c r="AQ515" s="116"/>
      <c r="AR515" s="123"/>
      <c r="AS515" s="123"/>
      <c r="AT515" s="123"/>
      <c r="AY515" s="115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25"/>
      <c r="BJ515" s="13"/>
      <c r="BM515" s="114"/>
    </row>
    <row r="516" spans="1:65" ht="19.5" x14ac:dyDescent="0.4">
      <c r="A516" s="117"/>
      <c r="B516" s="123"/>
      <c r="C516" s="123"/>
      <c r="D516" s="123"/>
      <c r="Z516" s="127"/>
      <c r="AA516" s="29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25">
        <v>45680</v>
      </c>
      <c r="AL516" s="13" t="s">
        <v>146</v>
      </c>
      <c r="AQ516" s="116"/>
      <c r="AR516" s="123"/>
      <c r="AS516" s="123"/>
      <c r="AT516" s="123"/>
      <c r="AY516" s="115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25"/>
      <c r="BJ516" s="13"/>
      <c r="BM516" s="114"/>
    </row>
    <row r="517" spans="1:65" ht="19.5" x14ac:dyDescent="0.4">
      <c r="A517" s="117"/>
      <c r="B517" s="123"/>
      <c r="C517" s="123"/>
      <c r="D517" s="123"/>
      <c r="Z517" s="127"/>
      <c r="AA517" s="29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25">
        <v>45680</v>
      </c>
      <c r="AL517" s="13" t="s">
        <v>146</v>
      </c>
      <c r="AQ517" s="116"/>
      <c r="AR517" s="123"/>
      <c r="AS517" s="123"/>
      <c r="AT517" s="123"/>
      <c r="AY517" s="115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25"/>
      <c r="BJ517" s="13"/>
      <c r="BM517" s="114"/>
    </row>
    <row r="518" spans="1:65" ht="19.5" x14ac:dyDescent="0.4">
      <c r="A518" s="117"/>
      <c r="B518" s="123"/>
      <c r="C518" s="123"/>
      <c r="D518" s="123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27"/>
      <c r="AA518" s="29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25">
        <v>45680</v>
      </c>
      <c r="AL518" s="13" t="s">
        <v>147</v>
      </c>
      <c r="AQ518" s="116"/>
      <c r="AR518" s="123"/>
      <c r="AS518" s="123"/>
      <c r="AT518" s="123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25"/>
      <c r="BJ518" s="13"/>
      <c r="BM518" s="114"/>
    </row>
    <row r="519" spans="1:65" ht="19.5" x14ac:dyDescent="0.4">
      <c r="A519" s="117"/>
      <c r="B519" s="123"/>
      <c r="C519" s="123"/>
      <c r="D519" s="123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27"/>
      <c r="AA519" s="29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25"/>
      <c r="AL519" s="13"/>
      <c r="AQ519" s="116"/>
      <c r="AR519" s="123"/>
      <c r="AS519" s="123"/>
      <c r="AT519" s="123"/>
      <c r="AY519" s="115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25"/>
      <c r="BJ519" s="13"/>
      <c r="BM519" s="114"/>
    </row>
    <row r="520" spans="1:65" ht="19.5" x14ac:dyDescent="0.4">
      <c r="A520" s="117"/>
      <c r="B520" s="123"/>
      <c r="C520" s="123"/>
      <c r="D520" s="123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29"/>
      <c r="AA520" s="29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25"/>
      <c r="AL520" s="13"/>
      <c r="AQ520" s="116"/>
      <c r="AR520" s="123"/>
      <c r="AS520" s="123"/>
      <c r="AT520" s="123"/>
      <c r="AY520" s="115"/>
      <c r="AZ520" s="115"/>
      <c r="BA520" s="115"/>
      <c r="BB520" s="115"/>
      <c r="BC520" s="115"/>
      <c r="BD520" s="115"/>
      <c r="BE520" s="115"/>
      <c r="BF520" s="115"/>
      <c r="BG520" s="115"/>
      <c r="BH520" s="115"/>
      <c r="BI520" s="25"/>
      <c r="BJ520" s="13"/>
      <c r="BM520" s="114"/>
    </row>
    <row r="521" spans="1:65" ht="19.5" x14ac:dyDescent="0.4">
      <c r="A521" s="117"/>
      <c r="B521" s="123"/>
      <c r="C521" s="123"/>
      <c r="D521" s="123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27"/>
      <c r="AA521" s="29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25"/>
      <c r="AL521" s="13"/>
      <c r="AQ521" s="116"/>
      <c r="AR521" s="123"/>
      <c r="AS521" s="123"/>
      <c r="AT521" s="123"/>
      <c r="AY521" s="115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25"/>
      <c r="BJ521" s="13"/>
      <c r="BM521" s="114"/>
    </row>
    <row r="522" spans="1:65" ht="19.5" x14ac:dyDescent="0.4">
      <c r="A522" s="117"/>
      <c r="B522" s="123"/>
      <c r="C522" s="123"/>
      <c r="D522" s="123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29"/>
      <c r="AA522" s="29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25"/>
      <c r="AL522" s="13"/>
      <c r="AQ522" s="116"/>
      <c r="AR522" s="123"/>
      <c r="AS522" s="123"/>
      <c r="AT522" s="123"/>
      <c r="AY522" s="115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25"/>
      <c r="BJ522" s="13"/>
      <c r="BM522" s="114"/>
    </row>
    <row r="523" spans="1:65" ht="19.5" x14ac:dyDescent="0.4">
      <c r="A523" s="117"/>
      <c r="B523" s="123"/>
      <c r="C523" s="123"/>
      <c r="D523" s="123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27"/>
      <c r="AA523" s="29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25">
        <v>45680</v>
      </c>
      <c r="AL523" s="15" t="s">
        <v>142</v>
      </c>
      <c r="AQ523" s="116"/>
      <c r="AR523" s="123"/>
      <c r="AS523" s="123"/>
      <c r="AT523" s="123"/>
      <c r="AY523" s="115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25"/>
      <c r="BJ523" s="13"/>
      <c r="BM523" s="114"/>
    </row>
    <row r="524" spans="1:65" ht="19.5" x14ac:dyDescent="0.4">
      <c r="A524" s="117"/>
      <c r="B524" s="123"/>
      <c r="C524" s="123"/>
      <c r="D524" s="123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29"/>
      <c r="AA524" s="29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25"/>
      <c r="AL524" s="15"/>
      <c r="AQ524" s="116"/>
      <c r="AR524" s="123"/>
      <c r="AS524" s="123"/>
      <c r="AT524" s="123"/>
      <c r="AY524" s="115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25"/>
      <c r="BJ524" s="13"/>
      <c r="BM524" s="114"/>
    </row>
    <row r="525" spans="1:65" ht="19.5" x14ac:dyDescent="0.4">
      <c r="A525" s="117"/>
      <c r="B525" s="123"/>
      <c r="C525" s="123"/>
      <c r="D525" s="123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27"/>
      <c r="AA525" s="29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25"/>
      <c r="AL525" s="15"/>
      <c r="AQ525" s="116"/>
      <c r="AR525" s="123"/>
      <c r="AS525" s="123"/>
      <c r="AT525" s="123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25"/>
      <c r="BJ525" s="13"/>
      <c r="BM525" s="114"/>
    </row>
    <row r="526" spans="1:65" ht="19.5" x14ac:dyDescent="0.4">
      <c r="A526" s="117"/>
      <c r="B526" s="123"/>
      <c r="C526" s="123"/>
      <c r="D526" s="123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27"/>
      <c r="AA526" s="29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25">
        <v>45680</v>
      </c>
      <c r="AL526" s="15" t="s">
        <v>146</v>
      </c>
      <c r="AQ526" s="116"/>
      <c r="AR526" s="123"/>
      <c r="AS526" s="123"/>
      <c r="AT526" s="123"/>
      <c r="AY526" s="115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25"/>
      <c r="BJ526" s="13"/>
      <c r="BM526" s="114"/>
    </row>
    <row r="527" spans="1:65" ht="19.5" x14ac:dyDescent="0.4">
      <c r="A527" s="117"/>
      <c r="B527" s="123"/>
      <c r="C527" s="123"/>
      <c r="D527" s="123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27"/>
      <c r="AA527" s="29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25"/>
      <c r="AL527" s="15"/>
      <c r="AQ527" s="116"/>
      <c r="AR527" s="123"/>
      <c r="AS527" s="123"/>
      <c r="AT527" s="123"/>
      <c r="AY527" s="115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25"/>
      <c r="BJ527" s="13"/>
      <c r="BM527" s="114"/>
    </row>
    <row r="528" spans="1:65" ht="19.5" x14ac:dyDescent="0.4">
      <c r="A528" s="117"/>
      <c r="B528" s="123"/>
      <c r="C528" s="123"/>
      <c r="D528" s="123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27"/>
      <c r="AA528" s="29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25">
        <v>45680</v>
      </c>
      <c r="AL528" s="15" t="s">
        <v>146</v>
      </c>
      <c r="AQ528" s="116"/>
      <c r="AR528" s="123"/>
      <c r="AS528" s="123"/>
      <c r="AT528" s="123"/>
      <c r="AY528" s="115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25"/>
      <c r="BJ528" s="13"/>
      <c r="BM528" s="114"/>
    </row>
    <row r="529" spans="1:65" ht="19.5" x14ac:dyDescent="0.4">
      <c r="A529" s="117"/>
      <c r="B529" s="123"/>
      <c r="C529" s="123"/>
      <c r="D529" s="123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27"/>
      <c r="AA529" s="29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25"/>
      <c r="AL529" s="15"/>
      <c r="AQ529" s="116"/>
      <c r="AR529" s="123"/>
      <c r="AS529" s="123"/>
      <c r="AT529" s="123"/>
      <c r="AY529" s="115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25"/>
      <c r="BJ529" s="13"/>
      <c r="BM529" s="114"/>
    </row>
    <row r="530" spans="1:65" ht="19.5" x14ac:dyDescent="0.4">
      <c r="A530" s="117"/>
      <c r="B530" s="123"/>
      <c r="C530" s="123"/>
      <c r="D530" s="123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27"/>
      <c r="AA530" s="29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25"/>
      <c r="AL530" s="15"/>
      <c r="AQ530" s="116"/>
      <c r="AR530" s="123"/>
      <c r="AS530" s="123"/>
      <c r="AT530" s="123"/>
      <c r="AY530" s="115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25"/>
      <c r="BJ530" s="13"/>
      <c r="BM530" s="114"/>
    </row>
    <row r="531" spans="1:65" ht="19.5" x14ac:dyDescent="0.4">
      <c r="A531" s="117"/>
      <c r="B531" s="123"/>
      <c r="C531" s="123"/>
      <c r="D531" s="123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27"/>
      <c r="AA531" s="29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25"/>
      <c r="AL531" s="15"/>
      <c r="AQ531" s="116"/>
      <c r="AR531" s="123"/>
      <c r="AS531" s="123"/>
      <c r="AT531" s="123"/>
      <c r="AY531" s="115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25"/>
      <c r="BJ531" s="13"/>
      <c r="BM531" s="114"/>
    </row>
    <row r="532" spans="1:65" ht="19.5" x14ac:dyDescent="0.4">
      <c r="A532" s="117"/>
      <c r="B532" s="123"/>
      <c r="C532" s="123"/>
      <c r="D532" s="123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27"/>
      <c r="AA532" s="29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25">
        <v>45680</v>
      </c>
      <c r="AL532" s="15" t="s">
        <v>146</v>
      </c>
      <c r="AQ532" s="116"/>
      <c r="AR532" s="123"/>
      <c r="AS532" s="123"/>
      <c r="AT532" s="123"/>
      <c r="AY532" s="115"/>
      <c r="AZ532" s="115"/>
      <c r="BA532" s="115"/>
      <c r="BB532" s="115"/>
      <c r="BC532" s="115"/>
      <c r="BD532" s="115"/>
      <c r="BE532" s="115"/>
      <c r="BF532" s="115"/>
      <c r="BG532" s="115"/>
      <c r="BH532" s="115"/>
      <c r="BI532" s="25"/>
      <c r="BJ532" s="13"/>
      <c r="BM532" s="114"/>
    </row>
    <row r="533" spans="1:65" ht="19.5" x14ac:dyDescent="0.4">
      <c r="A533" s="117"/>
      <c r="B533" s="123"/>
      <c r="C533" s="123"/>
      <c r="D533" s="123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27"/>
      <c r="AA533" s="29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25"/>
      <c r="AL533" s="15"/>
      <c r="AQ533" s="116"/>
      <c r="AR533" s="123"/>
      <c r="AS533" s="123"/>
      <c r="AT533" s="123"/>
      <c r="AY533" s="115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25"/>
      <c r="BJ533" s="13"/>
      <c r="BM533" s="114"/>
    </row>
    <row r="534" spans="1:65" ht="19.5" x14ac:dyDescent="0.4">
      <c r="A534" s="117"/>
      <c r="B534" s="123"/>
      <c r="C534" s="123"/>
      <c r="D534" s="123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29"/>
      <c r="AA534" s="29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25"/>
      <c r="AL534" s="15"/>
      <c r="AQ534" s="116"/>
      <c r="AR534" s="123"/>
      <c r="AS534" s="123"/>
      <c r="AT534" s="123"/>
      <c r="AY534" s="115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25"/>
      <c r="BJ534" s="13"/>
      <c r="BM534" s="114"/>
    </row>
    <row r="535" spans="1:65" ht="19.5" x14ac:dyDescent="0.4">
      <c r="A535" s="117"/>
      <c r="B535" s="123"/>
      <c r="C535" s="123"/>
      <c r="D535" s="123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27"/>
      <c r="AA535" s="29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25">
        <v>45680</v>
      </c>
      <c r="AL535" s="15" t="s">
        <v>147</v>
      </c>
      <c r="AQ535" s="116"/>
      <c r="AR535" s="123"/>
      <c r="AS535" s="123"/>
      <c r="AT535" s="123"/>
      <c r="AY535" s="115"/>
      <c r="AZ535" s="115"/>
      <c r="BA535" s="115"/>
      <c r="BB535" s="115"/>
      <c r="BC535" s="115"/>
      <c r="BD535" s="115"/>
      <c r="BE535" s="115"/>
      <c r="BF535" s="115"/>
      <c r="BG535" s="115"/>
      <c r="BH535" s="115"/>
      <c r="BI535" s="25"/>
      <c r="BJ535" s="13"/>
      <c r="BM535" s="114"/>
    </row>
    <row r="536" spans="1:65" ht="19.5" x14ac:dyDescent="0.4">
      <c r="A536" s="117"/>
      <c r="B536" s="123"/>
      <c r="C536" s="123"/>
      <c r="D536" s="123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29"/>
      <c r="AA536" s="29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25"/>
      <c r="AL536" s="13"/>
      <c r="AQ536" s="116"/>
      <c r="AR536" s="123"/>
      <c r="AS536" s="123"/>
      <c r="AT536" s="123"/>
      <c r="AY536" s="115"/>
      <c r="AZ536" s="115"/>
      <c r="BA536" s="115"/>
      <c r="BB536" s="115"/>
      <c r="BC536" s="115"/>
      <c r="BD536" s="115"/>
      <c r="BE536" s="115"/>
      <c r="BF536" s="115"/>
      <c r="BG536" s="115"/>
      <c r="BH536" s="115"/>
      <c r="BI536" s="25"/>
      <c r="BJ536" s="13"/>
      <c r="BM536" s="114"/>
    </row>
    <row r="537" spans="1:65" ht="19.5" x14ac:dyDescent="0.4">
      <c r="A537" s="117"/>
      <c r="B537" s="123"/>
      <c r="C537" s="123"/>
      <c r="D537" s="123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27"/>
      <c r="AA537" s="29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25"/>
      <c r="AL537" s="13"/>
      <c r="AQ537" s="116"/>
      <c r="AR537" s="123"/>
      <c r="AS537" s="123"/>
      <c r="AT537" s="123"/>
      <c r="AY537" s="115"/>
      <c r="AZ537" s="115"/>
      <c r="BA537" s="115"/>
      <c r="BB537" s="115"/>
      <c r="BC537" s="115"/>
      <c r="BD537" s="115"/>
      <c r="BE537" s="115"/>
      <c r="BF537" s="115"/>
      <c r="BG537" s="115"/>
      <c r="BH537" s="115"/>
      <c r="BI537" s="25"/>
      <c r="BJ537" s="13"/>
      <c r="BM537" s="114"/>
    </row>
    <row r="538" spans="1:65" ht="19.5" x14ac:dyDescent="0.4">
      <c r="A538" s="117"/>
      <c r="B538" s="123"/>
      <c r="C538" s="123"/>
      <c r="D538" s="123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27"/>
      <c r="AA538" s="29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25"/>
      <c r="AL538" s="13"/>
      <c r="AQ538" s="116"/>
      <c r="AR538" s="123"/>
      <c r="AS538" s="123"/>
      <c r="AT538" s="123"/>
      <c r="AY538" s="115"/>
      <c r="AZ538" s="115"/>
      <c r="BA538" s="115"/>
      <c r="BB538" s="115"/>
      <c r="BC538" s="115"/>
      <c r="BD538" s="115"/>
      <c r="BE538" s="115"/>
      <c r="BF538" s="115"/>
      <c r="BG538" s="115"/>
      <c r="BH538" s="115"/>
      <c r="BI538" s="25"/>
      <c r="BJ538" s="13"/>
      <c r="BM538" s="114"/>
    </row>
    <row r="539" spans="1:65" ht="19.5" x14ac:dyDescent="0.4">
      <c r="A539" s="117"/>
      <c r="B539" s="123"/>
      <c r="C539" s="123"/>
      <c r="D539" s="123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29"/>
      <c r="AA539" s="29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25"/>
      <c r="AL539" s="13"/>
      <c r="AQ539" s="116"/>
      <c r="AR539" s="123"/>
      <c r="AS539" s="123"/>
      <c r="AT539" s="123"/>
      <c r="AY539" s="115"/>
      <c r="AZ539" s="115"/>
      <c r="BA539" s="115"/>
      <c r="BB539" s="115"/>
      <c r="BC539" s="115"/>
      <c r="BD539" s="115"/>
      <c r="BE539" s="115"/>
      <c r="BF539" s="115"/>
      <c r="BG539" s="115"/>
      <c r="BH539" s="115"/>
      <c r="BI539" s="25"/>
      <c r="BJ539" s="13"/>
      <c r="BM539" s="114"/>
    </row>
    <row r="540" spans="1:65" ht="19.5" x14ac:dyDescent="0.4">
      <c r="A540" s="117"/>
      <c r="B540" s="123"/>
      <c r="C540" s="123"/>
      <c r="D540" s="123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29"/>
      <c r="AA540" s="29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25"/>
      <c r="AL540" s="13"/>
      <c r="AQ540" s="116"/>
      <c r="AR540" s="123"/>
      <c r="AS540" s="123"/>
      <c r="AT540" s="123"/>
      <c r="AY540" s="115"/>
      <c r="AZ540" s="115"/>
      <c r="BA540" s="115"/>
      <c r="BB540" s="115"/>
      <c r="BC540" s="115"/>
      <c r="BD540" s="115"/>
      <c r="BE540" s="115"/>
      <c r="BF540" s="115"/>
      <c r="BG540" s="115"/>
      <c r="BH540" s="115"/>
      <c r="BI540" s="25"/>
      <c r="BJ540" s="13"/>
      <c r="BM540" s="114"/>
    </row>
    <row r="541" spans="1:65" ht="19.5" x14ac:dyDescent="0.4">
      <c r="A541" s="117"/>
      <c r="B541" s="123"/>
      <c r="C541" s="123"/>
      <c r="D541" s="123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27"/>
      <c r="AA541" s="29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25"/>
      <c r="AL541" s="13"/>
      <c r="AQ541" s="116"/>
      <c r="AR541" s="123"/>
      <c r="AS541" s="123"/>
      <c r="AT541" s="123"/>
      <c r="AY541" s="115"/>
      <c r="AZ541" s="115"/>
      <c r="BA541" s="115"/>
      <c r="BB541" s="115"/>
      <c r="BC541" s="115"/>
      <c r="BD541" s="115"/>
      <c r="BE541" s="115"/>
      <c r="BF541" s="115"/>
      <c r="BG541" s="115"/>
      <c r="BH541" s="115"/>
      <c r="BI541" s="25"/>
      <c r="BJ541" s="13"/>
      <c r="BM541" s="114"/>
    </row>
    <row r="542" spans="1:65" ht="19.5" x14ac:dyDescent="0.4">
      <c r="A542" s="117"/>
      <c r="B542" s="123"/>
      <c r="C542" s="123"/>
      <c r="D542" s="123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27"/>
      <c r="AA542" s="29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25"/>
      <c r="AL542" s="13"/>
      <c r="AQ542" s="116"/>
      <c r="AR542" s="123"/>
      <c r="AS542" s="123"/>
      <c r="AT542" s="123"/>
      <c r="AY542" s="115"/>
      <c r="AZ542" s="115"/>
      <c r="BA542" s="115"/>
      <c r="BB542" s="115"/>
      <c r="BC542" s="115"/>
      <c r="BD542" s="115"/>
      <c r="BE542" s="115"/>
      <c r="BF542" s="115"/>
      <c r="BG542" s="115"/>
      <c r="BH542" s="115"/>
      <c r="BI542" s="25"/>
      <c r="BJ542" s="13"/>
      <c r="BM542" s="114"/>
    </row>
    <row r="543" spans="1:65" ht="19.5" x14ac:dyDescent="0.4">
      <c r="A543" s="117"/>
      <c r="B543" s="123"/>
      <c r="C543" s="123"/>
      <c r="D543" s="123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27"/>
      <c r="AA543" s="29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25"/>
      <c r="AL543" s="13"/>
      <c r="AQ543" s="116"/>
      <c r="AR543" s="123"/>
      <c r="AS543" s="123"/>
      <c r="AT543" s="123"/>
      <c r="AY543" s="115"/>
      <c r="AZ543" s="115"/>
      <c r="BA543" s="115"/>
      <c r="BB543" s="115"/>
      <c r="BC543" s="115"/>
      <c r="BD543" s="115"/>
      <c r="BE543" s="115"/>
      <c r="BF543" s="115"/>
      <c r="BG543" s="115"/>
      <c r="BH543" s="115"/>
      <c r="BI543" s="25"/>
      <c r="BJ543" s="13"/>
      <c r="BM543" s="114"/>
    </row>
    <row r="544" spans="1:65" ht="19.5" x14ac:dyDescent="0.4">
      <c r="A544" s="117"/>
      <c r="B544" s="123"/>
      <c r="C544" s="123"/>
      <c r="D544" s="123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27"/>
      <c r="AA544" s="29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25"/>
      <c r="AL544" s="13"/>
      <c r="AQ544" s="116"/>
      <c r="AR544" s="123"/>
      <c r="AS544" s="123"/>
      <c r="AT544" s="123"/>
      <c r="AY544" s="115"/>
      <c r="AZ544" s="115"/>
      <c r="BA544" s="115"/>
      <c r="BB544" s="115"/>
      <c r="BC544" s="115"/>
      <c r="BD544" s="115"/>
      <c r="BE544" s="115"/>
      <c r="BF544" s="115"/>
      <c r="BG544" s="115"/>
      <c r="BH544" s="115"/>
      <c r="BI544" s="25"/>
      <c r="BJ544" s="13"/>
      <c r="BM544" s="114"/>
    </row>
    <row r="545" spans="1:65" ht="19.5" x14ac:dyDescent="0.4">
      <c r="A545" s="117"/>
      <c r="B545" s="123"/>
      <c r="C545" s="123"/>
      <c r="D545" s="123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27"/>
      <c r="AA545" s="29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25">
        <v>45680</v>
      </c>
      <c r="AL545" s="13" t="s">
        <v>146</v>
      </c>
      <c r="AQ545" s="116"/>
      <c r="AR545" s="123"/>
      <c r="AS545" s="123"/>
      <c r="AT545" s="123"/>
      <c r="AY545" s="115"/>
      <c r="AZ545" s="115"/>
      <c r="BA545" s="115"/>
      <c r="BB545" s="115"/>
      <c r="BC545" s="115"/>
      <c r="BD545" s="115"/>
      <c r="BE545" s="115"/>
      <c r="BF545" s="115"/>
      <c r="BG545" s="115"/>
      <c r="BH545" s="115"/>
      <c r="BI545" s="25"/>
      <c r="BJ545" s="13"/>
      <c r="BM545" s="114"/>
    </row>
    <row r="546" spans="1:65" ht="19.5" x14ac:dyDescent="0.4">
      <c r="A546" s="117"/>
      <c r="B546" s="123"/>
      <c r="C546" s="123"/>
      <c r="D546" s="123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29"/>
      <c r="AA546" s="29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25"/>
      <c r="AL546" s="13"/>
      <c r="AQ546" s="116"/>
      <c r="AR546" s="123"/>
      <c r="AS546" s="123"/>
      <c r="AT546" s="123"/>
      <c r="AY546" s="115"/>
      <c r="AZ546" s="115"/>
      <c r="BA546" s="115"/>
      <c r="BB546" s="115"/>
      <c r="BC546" s="115"/>
      <c r="BD546" s="115"/>
      <c r="BE546" s="115"/>
      <c r="BF546" s="115"/>
      <c r="BG546" s="115"/>
      <c r="BH546" s="115"/>
      <c r="BI546" s="25"/>
      <c r="BJ546" s="13"/>
      <c r="BM546" s="114"/>
    </row>
    <row r="547" spans="1:65" ht="19.5" x14ac:dyDescent="0.4">
      <c r="A547" s="117"/>
      <c r="B547" s="123"/>
      <c r="C547" s="123"/>
      <c r="D547" s="123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27"/>
      <c r="AA547" s="29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25">
        <v>45680</v>
      </c>
      <c r="AL547" s="13" t="s">
        <v>147</v>
      </c>
      <c r="AQ547" s="116"/>
      <c r="AR547" s="123"/>
      <c r="AS547" s="123"/>
      <c r="AT547" s="123"/>
      <c r="AY547" s="115"/>
      <c r="AZ547" s="115"/>
      <c r="BA547" s="115"/>
      <c r="BB547" s="115"/>
      <c r="BC547" s="115"/>
      <c r="BD547" s="115"/>
      <c r="BE547" s="115"/>
      <c r="BF547" s="115"/>
      <c r="BG547" s="115"/>
      <c r="BH547" s="115"/>
      <c r="BI547" s="25"/>
      <c r="BJ547" s="13"/>
      <c r="BM547" s="114"/>
    </row>
    <row r="548" spans="1:65" ht="19.5" x14ac:dyDescent="0.4">
      <c r="A548" s="117"/>
      <c r="B548" s="123"/>
      <c r="C548" s="123"/>
      <c r="D548" s="123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27"/>
      <c r="AA548" s="29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25">
        <v>45680</v>
      </c>
      <c r="AL548" s="13" t="s">
        <v>146</v>
      </c>
      <c r="AQ548" s="116"/>
      <c r="AR548" s="123"/>
      <c r="AS548" s="123"/>
      <c r="AT548" s="123"/>
      <c r="AY548" s="115"/>
      <c r="AZ548" s="115"/>
      <c r="BA548" s="115"/>
      <c r="BB548" s="115"/>
      <c r="BC548" s="115"/>
      <c r="BD548" s="115"/>
      <c r="BE548" s="115"/>
      <c r="BF548" s="115"/>
      <c r="BG548" s="115"/>
      <c r="BH548" s="115"/>
      <c r="BI548" s="25"/>
      <c r="BJ548" s="13"/>
      <c r="BM548" s="114"/>
    </row>
    <row r="549" spans="1:65" ht="19.5" x14ac:dyDescent="0.4">
      <c r="A549" s="117"/>
      <c r="B549" s="123"/>
      <c r="C549" s="123"/>
      <c r="D549" s="123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29"/>
      <c r="AA549" s="29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25"/>
      <c r="AL549" s="13"/>
      <c r="AQ549" s="116"/>
      <c r="AR549" s="123"/>
      <c r="AS549" s="123"/>
      <c r="AT549" s="123"/>
      <c r="AY549" s="115"/>
      <c r="AZ549" s="115"/>
      <c r="BA549" s="115"/>
      <c r="BB549" s="115"/>
      <c r="BC549" s="115"/>
      <c r="BD549" s="115"/>
      <c r="BE549" s="115"/>
      <c r="BF549" s="115"/>
      <c r="BG549" s="115"/>
      <c r="BH549" s="115"/>
      <c r="BI549" s="25"/>
      <c r="BJ549" s="13"/>
      <c r="BM549" s="114"/>
    </row>
    <row r="550" spans="1:65" ht="19.5" x14ac:dyDescent="0.4">
      <c r="A550" s="117"/>
      <c r="B550" s="123"/>
      <c r="C550" s="123"/>
      <c r="D550" s="123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27"/>
      <c r="AA550" s="29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25"/>
      <c r="AL550" s="13"/>
      <c r="AQ550" s="116"/>
      <c r="AR550" s="123"/>
      <c r="AS550" s="123"/>
      <c r="AT550" s="123"/>
      <c r="AY550" s="115"/>
      <c r="AZ550" s="115"/>
      <c r="BA550" s="115"/>
      <c r="BB550" s="115"/>
      <c r="BC550" s="115"/>
      <c r="BD550" s="115"/>
      <c r="BE550" s="115"/>
      <c r="BF550" s="115"/>
      <c r="BG550" s="115"/>
      <c r="BH550" s="115"/>
      <c r="BI550" s="25"/>
      <c r="BJ550" s="13"/>
      <c r="BM550" s="114"/>
    </row>
    <row r="551" spans="1:65" ht="19.5" x14ac:dyDescent="0.4">
      <c r="A551" s="117"/>
      <c r="B551" s="123"/>
      <c r="C551" s="123"/>
      <c r="D551" s="123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29"/>
      <c r="AA551" s="29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25"/>
      <c r="AL551" s="13"/>
      <c r="AQ551" s="116"/>
      <c r="AR551" s="123"/>
      <c r="AS551" s="123"/>
      <c r="AT551" s="123"/>
      <c r="AY551" s="115"/>
      <c r="AZ551" s="115"/>
      <c r="BA551" s="115"/>
      <c r="BB551" s="115"/>
      <c r="BC551" s="115"/>
      <c r="BD551" s="115"/>
      <c r="BE551" s="115"/>
      <c r="BF551" s="115"/>
      <c r="BG551" s="115"/>
      <c r="BH551" s="115"/>
      <c r="BI551" s="25"/>
      <c r="BJ551" s="13"/>
      <c r="BM551" s="114"/>
    </row>
    <row r="552" spans="1:65" ht="19.5" x14ac:dyDescent="0.4">
      <c r="A552" s="117"/>
      <c r="B552" s="123"/>
      <c r="C552" s="123"/>
      <c r="D552" s="123"/>
      <c r="Z552" s="127"/>
      <c r="AA552" s="29"/>
      <c r="AK552" s="25">
        <v>45680</v>
      </c>
      <c r="AL552" s="13" t="s">
        <v>146</v>
      </c>
      <c r="AQ552" s="117"/>
      <c r="AR552" s="123"/>
      <c r="AS552" s="123"/>
      <c r="AT552" s="123"/>
      <c r="AY552" s="115"/>
      <c r="AZ552" s="115"/>
      <c r="BA552" s="115"/>
      <c r="BB552" s="115"/>
      <c r="BC552" s="115"/>
      <c r="BD552" s="115"/>
      <c r="BE552" s="115"/>
      <c r="BF552" s="115"/>
      <c r="BG552" s="115"/>
      <c r="BH552" s="115" t="s">
        <v>149</v>
      </c>
      <c r="BI552" s="13">
        <f>SUBTOTAL(3,BI2:BI2)</f>
        <v>1</v>
      </c>
      <c r="BJ552" s="13">
        <f>SUBTOTAL(3,BJ2:BJ2)</f>
        <v>1</v>
      </c>
      <c r="BM552" s="114"/>
    </row>
    <row r="553" spans="1:65" ht="19.5" x14ac:dyDescent="0.4">
      <c r="A553" s="117"/>
      <c r="B553" s="123"/>
      <c r="C553" s="123"/>
      <c r="D553" s="123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29"/>
      <c r="AA553" s="29"/>
      <c r="AK553" s="25"/>
      <c r="AL553" s="13"/>
      <c r="AQ553" s="117"/>
      <c r="AR553" s="123"/>
      <c r="AS553" s="123"/>
      <c r="AT553" s="123"/>
      <c r="AY553" s="115"/>
      <c r="AZ553" s="115"/>
      <c r="BA553" s="115"/>
      <c r="BB553" s="115"/>
      <c r="BC553" s="115"/>
      <c r="BD553" s="115"/>
      <c r="BE553" s="115"/>
      <c r="BF553" s="115"/>
      <c r="BG553" s="115"/>
      <c r="BH553" s="115"/>
      <c r="BI553" s="13"/>
      <c r="BJ553" s="13"/>
      <c r="BM553" s="114"/>
    </row>
    <row r="554" spans="1:65" ht="19.5" x14ac:dyDescent="0.4">
      <c r="A554" s="117"/>
      <c r="B554" s="123"/>
      <c r="C554" s="123"/>
      <c r="D554" s="123"/>
      <c r="Z554" s="127"/>
      <c r="AA554" s="29"/>
      <c r="AK554" s="25"/>
      <c r="AL554" s="13"/>
      <c r="AQ554" s="117"/>
      <c r="AR554" s="123"/>
      <c r="AS554" s="123"/>
      <c r="AT554" s="123"/>
      <c r="AY554" s="115"/>
      <c r="AZ554" s="115"/>
      <c r="BA554" s="115"/>
      <c r="BB554" s="115"/>
      <c r="BC554" s="115"/>
      <c r="BD554" s="115"/>
      <c r="BE554" s="115"/>
      <c r="BF554" s="115"/>
      <c r="BG554" s="115"/>
      <c r="BH554" s="115"/>
      <c r="BI554" s="13"/>
      <c r="BJ554" s="13"/>
      <c r="BM554" s="114"/>
    </row>
    <row r="555" spans="1:65" ht="19.5" x14ac:dyDescent="0.4">
      <c r="A555" s="117"/>
      <c r="B555" s="123"/>
      <c r="C555" s="123"/>
      <c r="D555" s="123"/>
      <c r="Z555" s="127"/>
      <c r="AA555" s="29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25">
        <v>45682</v>
      </c>
      <c r="AL555" s="13" t="s">
        <v>147</v>
      </c>
      <c r="AQ555" s="117"/>
      <c r="AR555" s="123"/>
      <c r="AS555" s="123"/>
      <c r="AT555" s="123"/>
      <c r="AY555" s="115"/>
      <c r="AZ555" s="115"/>
      <c r="BA555" s="115"/>
      <c r="BB555" s="115"/>
      <c r="BC555" s="115"/>
      <c r="BD555" s="115"/>
      <c r="BE555" s="115"/>
      <c r="BF555" s="115"/>
      <c r="BG555" s="115"/>
      <c r="BH555" s="115"/>
      <c r="BI555" s="13"/>
      <c r="BJ555" s="13"/>
      <c r="BM555" s="114"/>
    </row>
    <row r="556" spans="1:65" ht="19.5" x14ac:dyDescent="0.4">
      <c r="A556" s="117"/>
      <c r="B556" s="123"/>
      <c r="C556" s="123"/>
      <c r="D556" s="123"/>
      <c r="Z556" s="127"/>
      <c r="AA556" s="29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25">
        <v>45682</v>
      </c>
      <c r="AL556" s="13" t="s">
        <v>146</v>
      </c>
      <c r="AQ556" s="117"/>
      <c r="AR556" s="123"/>
      <c r="AS556" s="123"/>
      <c r="AT556" s="123"/>
      <c r="AY556" s="115"/>
      <c r="AZ556" s="115"/>
      <c r="BA556" s="115"/>
      <c r="BB556" s="115"/>
      <c r="BC556" s="115"/>
      <c r="BD556" s="115"/>
      <c r="BE556" s="115"/>
      <c r="BF556" s="115"/>
      <c r="BG556" s="115"/>
      <c r="BH556" s="115"/>
      <c r="BI556" s="13"/>
      <c r="BJ556" s="13"/>
      <c r="BM556" s="114"/>
    </row>
    <row r="557" spans="1:65" ht="19.5" x14ac:dyDescent="0.4">
      <c r="A557" s="117"/>
      <c r="B557" s="123"/>
      <c r="C557" s="123"/>
      <c r="D557" s="123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27"/>
      <c r="AA557" s="29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25"/>
      <c r="AL557" s="13"/>
      <c r="AQ557" s="117"/>
      <c r="AR557" s="123"/>
      <c r="AS557" s="123"/>
      <c r="AT557" s="123"/>
      <c r="AY557" s="115"/>
      <c r="AZ557" s="115"/>
      <c r="BA557" s="115"/>
      <c r="BB557" s="115"/>
      <c r="BC557" s="115"/>
      <c r="BD557" s="115"/>
      <c r="BE557" s="115"/>
      <c r="BF557" s="115"/>
      <c r="BG557" s="115"/>
      <c r="BH557" s="115"/>
      <c r="BI557" s="13"/>
      <c r="BJ557" s="13"/>
      <c r="BM557" s="114"/>
    </row>
    <row r="558" spans="1:65" ht="19.5" x14ac:dyDescent="0.4">
      <c r="A558" s="117"/>
      <c r="B558" s="123"/>
      <c r="C558" s="123"/>
      <c r="D558" s="123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27"/>
      <c r="AA558" s="29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25"/>
      <c r="AL558" s="13"/>
      <c r="AQ558" s="117"/>
      <c r="AR558" s="123"/>
      <c r="AS558" s="123"/>
      <c r="AT558" s="123"/>
      <c r="AY558" s="115"/>
      <c r="AZ558" s="115"/>
      <c r="BA558" s="115"/>
      <c r="BB558" s="115"/>
      <c r="BC558" s="115"/>
      <c r="BD558" s="115"/>
      <c r="BE558" s="115"/>
      <c r="BF558" s="115"/>
      <c r="BG558" s="115"/>
      <c r="BH558" s="115"/>
      <c r="BI558" s="13"/>
      <c r="BJ558" s="13"/>
      <c r="BM558" s="114"/>
    </row>
    <row r="559" spans="1:65" ht="19.5" x14ac:dyDescent="0.4">
      <c r="A559" s="117"/>
      <c r="B559" s="123"/>
      <c r="C559" s="123"/>
      <c r="D559" s="123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29"/>
      <c r="AA559" s="29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25"/>
      <c r="AL559" s="13"/>
      <c r="AQ559" s="117"/>
      <c r="AR559" s="123"/>
      <c r="AS559" s="123"/>
      <c r="AT559" s="123"/>
      <c r="AY559" s="115"/>
      <c r="AZ559" s="115"/>
      <c r="BA559" s="115"/>
      <c r="BB559" s="115"/>
      <c r="BC559" s="115"/>
      <c r="BD559" s="115"/>
      <c r="BE559" s="115"/>
      <c r="BF559" s="115"/>
      <c r="BG559" s="115"/>
      <c r="BH559" s="115"/>
      <c r="BI559" s="13"/>
      <c r="BJ559" s="13"/>
      <c r="BM559" s="114"/>
    </row>
    <row r="560" spans="1:65" ht="19.5" x14ac:dyDescent="0.4">
      <c r="A560" s="117"/>
      <c r="B560" s="123"/>
      <c r="C560" s="123"/>
      <c r="D560" s="123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27"/>
      <c r="AA560" s="29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25"/>
      <c r="AL560" s="13"/>
      <c r="AQ560" s="117"/>
      <c r="AR560" s="123"/>
      <c r="AS560" s="123"/>
      <c r="AT560" s="123"/>
      <c r="AY560" s="115"/>
      <c r="AZ560" s="115"/>
      <c r="BA560" s="115"/>
      <c r="BB560" s="115"/>
      <c r="BC560" s="115"/>
      <c r="BD560" s="115"/>
      <c r="BE560" s="115"/>
      <c r="BF560" s="115"/>
      <c r="BG560" s="115"/>
      <c r="BH560" s="115"/>
      <c r="BI560" s="13"/>
      <c r="BJ560" s="13"/>
      <c r="BM560" s="114"/>
    </row>
    <row r="561" spans="1:65" ht="19.5" x14ac:dyDescent="0.4">
      <c r="A561" s="117"/>
      <c r="B561" s="123"/>
      <c r="C561" s="123"/>
      <c r="D561" s="123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29"/>
      <c r="AA561" s="29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25"/>
      <c r="AL561" s="13"/>
      <c r="AQ561" s="117"/>
      <c r="AR561" s="123"/>
      <c r="AS561" s="123"/>
      <c r="AT561" s="123"/>
      <c r="AY561" s="115"/>
      <c r="AZ561" s="115"/>
      <c r="BA561" s="115"/>
      <c r="BB561" s="115"/>
      <c r="BC561" s="115"/>
      <c r="BD561" s="115"/>
      <c r="BE561" s="115"/>
      <c r="BF561" s="115"/>
      <c r="BG561" s="115"/>
      <c r="BH561" s="115"/>
      <c r="BI561" s="13"/>
      <c r="BJ561" s="13"/>
      <c r="BM561" s="114"/>
    </row>
    <row r="562" spans="1:65" ht="19.5" x14ac:dyDescent="0.4">
      <c r="A562" s="117"/>
      <c r="B562" s="123"/>
      <c r="C562" s="123"/>
      <c r="D562" s="123"/>
      <c r="Z562" s="127"/>
      <c r="AA562" s="29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25">
        <v>45682</v>
      </c>
      <c r="AL562" s="13" t="s">
        <v>147</v>
      </c>
      <c r="AQ562" s="117"/>
      <c r="AR562" s="123"/>
      <c r="AS562" s="123"/>
      <c r="AT562" s="123"/>
      <c r="AY562" s="115"/>
      <c r="AZ562" s="115"/>
      <c r="BA562" s="115"/>
      <c r="BB562" s="115"/>
      <c r="BC562" s="115"/>
      <c r="BD562" s="115"/>
      <c r="BE562" s="115"/>
      <c r="BF562" s="115"/>
      <c r="BG562" s="115"/>
      <c r="BH562" s="115"/>
      <c r="BI562" s="13"/>
      <c r="BJ562" s="13"/>
      <c r="BM562" s="114"/>
    </row>
    <row r="563" spans="1:65" ht="19.5" x14ac:dyDescent="0.4">
      <c r="A563" s="117"/>
      <c r="B563" s="123"/>
      <c r="C563" s="123"/>
      <c r="D563" s="123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29"/>
      <c r="AA563" s="29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25"/>
      <c r="AL563" s="13"/>
      <c r="AQ563" s="117"/>
      <c r="AR563" s="123"/>
      <c r="AS563" s="123"/>
      <c r="AT563" s="123"/>
      <c r="AY563" s="115"/>
      <c r="AZ563" s="115"/>
      <c r="BA563" s="115"/>
      <c r="BB563" s="115"/>
      <c r="BC563" s="115"/>
      <c r="BD563" s="115"/>
      <c r="BE563" s="115"/>
      <c r="BF563" s="115"/>
      <c r="BG563" s="115"/>
      <c r="BH563" s="115"/>
      <c r="BI563" s="13"/>
      <c r="BJ563" s="13"/>
      <c r="BM563" s="114"/>
    </row>
    <row r="564" spans="1:65" ht="19.5" x14ac:dyDescent="0.4">
      <c r="A564" s="117"/>
      <c r="B564" s="123"/>
      <c r="C564" s="123"/>
      <c r="D564" s="123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29"/>
      <c r="AA564" s="29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25"/>
      <c r="AL564" s="13"/>
      <c r="AQ564" s="117"/>
      <c r="AR564" s="123"/>
      <c r="AS564" s="123"/>
      <c r="AT564" s="123"/>
      <c r="AY564" s="115"/>
      <c r="AZ564" s="115"/>
      <c r="BA564" s="115"/>
      <c r="BB564" s="115"/>
      <c r="BC564" s="115"/>
      <c r="BD564" s="115"/>
      <c r="BE564" s="115"/>
      <c r="BF564" s="115"/>
      <c r="BG564" s="115"/>
      <c r="BH564" s="115"/>
      <c r="BI564" s="13"/>
      <c r="BJ564" s="13"/>
      <c r="BM564" s="114"/>
    </row>
    <row r="565" spans="1:65" ht="19.5" x14ac:dyDescent="0.4">
      <c r="A565" s="117"/>
      <c r="B565" s="123"/>
      <c r="C565" s="123"/>
      <c r="D565" s="123"/>
      <c r="Z565" s="128"/>
      <c r="AA565" s="29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25"/>
      <c r="AL565" s="13"/>
      <c r="AQ565" s="117"/>
      <c r="AR565" s="123"/>
      <c r="AS565" s="123"/>
      <c r="AT565" s="123"/>
      <c r="AY565" s="115"/>
      <c r="AZ565" s="115"/>
      <c r="BA565" s="115"/>
      <c r="BB565" s="115"/>
      <c r="BC565" s="115"/>
      <c r="BD565" s="115"/>
      <c r="BE565" s="115"/>
      <c r="BF565" s="115"/>
      <c r="BG565" s="115"/>
      <c r="BH565" s="115"/>
      <c r="BI565" s="13"/>
      <c r="BJ565" s="13"/>
      <c r="BM565" s="114"/>
    </row>
    <row r="566" spans="1:65" ht="19.5" x14ac:dyDescent="0.4">
      <c r="A566" s="117"/>
      <c r="B566" s="123"/>
      <c r="C566" s="123"/>
      <c r="D566" s="123"/>
      <c r="Z566" s="127"/>
      <c r="AA566" s="29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25"/>
      <c r="AL566" s="13"/>
      <c r="AQ566" s="117"/>
      <c r="AR566" s="123"/>
      <c r="AS566" s="123"/>
      <c r="AT566" s="123"/>
      <c r="AY566" s="115"/>
      <c r="AZ566" s="115"/>
      <c r="BA566" s="115"/>
      <c r="BB566" s="115"/>
      <c r="BC566" s="115"/>
      <c r="BD566" s="115"/>
      <c r="BE566" s="115"/>
      <c r="BF566" s="115"/>
      <c r="BG566" s="115"/>
      <c r="BH566" s="115"/>
      <c r="BI566" s="13"/>
      <c r="BJ566" s="13"/>
      <c r="BM566" s="114"/>
    </row>
    <row r="567" spans="1:65" ht="19.5" x14ac:dyDescent="0.4">
      <c r="A567" s="117"/>
      <c r="B567" s="123"/>
      <c r="C567" s="123"/>
      <c r="D567" s="123"/>
      <c r="Z567" s="127"/>
      <c r="AA567" s="29"/>
      <c r="AK567" s="25">
        <v>45682</v>
      </c>
      <c r="AL567" s="15" t="s">
        <v>146</v>
      </c>
      <c r="AQ567" s="117"/>
      <c r="AR567" s="123"/>
      <c r="AS567" s="123"/>
      <c r="AT567" s="123"/>
      <c r="AY567" s="115"/>
      <c r="AZ567" s="115"/>
      <c r="BA567" s="115"/>
      <c r="BB567" s="115"/>
      <c r="BC567" s="115"/>
      <c r="BD567" s="115"/>
      <c r="BE567" s="115"/>
      <c r="BF567" s="115"/>
      <c r="BG567" s="115"/>
      <c r="BH567" s="115"/>
      <c r="BI567" s="13"/>
      <c r="BJ567" s="13"/>
      <c r="BM567" s="114"/>
    </row>
    <row r="568" spans="1:65" ht="19.5" x14ac:dyDescent="0.4">
      <c r="A568" s="117"/>
      <c r="B568" s="123"/>
      <c r="C568" s="123"/>
      <c r="D568" s="123"/>
      <c r="Z568" s="128"/>
      <c r="AA568" s="29"/>
      <c r="AK568" s="25"/>
      <c r="AL568" s="15"/>
      <c r="AQ568" s="117"/>
      <c r="AR568" s="123"/>
      <c r="AS568" s="123"/>
      <c r="AT568" s="123"/>
      <c r="AY568" s="115"/>
      <c r="AZ568" s="115"/>
      <c r="BA568" s="115"/>
      <c r="BB568" s="115"/>
      <c r="BC568" s="115"/>
      <c r="BD568" s="115"/>
      <c r="BE568" s="115"/>
      <c r="BF568" s="115"/>
      <c r="BG568" s="115"/>
      <c r="BH568" s="115"/>
      <c r="BI568" s="13"/>
      <c r="BJ568" s="13"/>
      <c r="BM568" s="114"/>
    </row>
    <row r="569" spans="1:65" ht="19.5" x14ac:dyDescent="0.4">
      <c r="A569" s="117"/>
      <c r="B569" s="123"/>
      <c r="C569" s="123"/>
      <c r="D569" s="123"/>
      <c r="Z569" s="127"/>
      <c r="AA569" s="29"/>
      <c r="AK569" s="25"/>
      <c r="AL569" s="15"/>
      <c r="AQ569" s="117"/>
      <c r="AR569" s="123"/>
      <c r="AS569" s="123"/>
      <c r="AT569" s="123"/>
      <c r="AY569" s="115"/>
      <c r="AZ569" s="115"/>
      <c r="BA569" s="115"/>
      <c r="BB569" s="115"/>
      <c r="BC569" s="115"/>
      <c r="BD569" s="115"/>
      <c r="BE569" s="115"/>
      <c r="BF569" s="115"/>
      <c r="BG569" s="115"/>
      <c r="BH569" s="115"/>
      <c r="BI569" s="13"/>
      <c r="BJ569" s="13"/>
      <c r="BM569" s="114"/>
    </row>
    <row r="570" spans="1:65" ht="19.5" x14ac:dyDescent="0.4">
      <c r="A570" s="117"/>
      <c r="B570" s="123"/>
      <c r="C570" s="123"/>
      <c r="D570" s="123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27"/>
      <c r="AA570" s="29"/>
      <c r="AK570" s="25"/>
      <c r="AL570" s="15"/>
      <c r="AQ570" s="117"/>
      <c r="AR570" s="123"/>
      <c r="AS570" s="123"/>
      <c r="AT570" s="123"/>
      <c r="AY570" s="115"/>
      <c r="AZ570" s="115"/>
      <c r="BA570" s="115"/>
      <c r="BB570" s="115"/>
      <c r="BC570" s="115"/>
      <c r="BD570" s="115"/>
      <c r="BE570" s="115"/>
      <c r="BF570" s="115"/>
      <c r="BG570" s="115"/>
      <c r="BH570" s="115"/>
      <c r="BI570" s="13"/>
      <c r="BJ570" s="13"/>
      <c r="BM570" s="114"/>
    </row>
    <row r="571" spans="1:65" ht="19.5" x14ac:dyDescent="0.4">
      <c r="A571" s="117"/>
      <c r="B571" s="123"/>
      <c r="C571" s="123"/>
      <c r="D571" s="123"/>
      <c r="Z571" s="127"/>
      <c r="AA571" s="29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25">
        <v>45682</v>
      </c>
      <c r="AL571" s="15" t="s">
        <v>146</v>
      </c>
      <c r="AQ571" s="117"/>
      <c r="AR571" s="123"/>
      <c r="AS571" s="123"/>
      <c r="AT571" s="123"/>
      <c r="AY571" s="115"/>
      <c r="AZ571" s="115"/>
      <c r="BA571" s="115"/>
      <c r="BB571" s="115"/>
      <c r="BC571" s="115"/>
      <c r="BD571" s="115"/>
      <c r="BE571" s="115"/>
      <c r="BF571" s="115"/>
      <c r="BG571" s="115"/>
      <c r="BH571" s="115"/>
      <c r="BI571" s="13"/>
      <c r="BJ571" s="13"/>
      <c r="BM571" s="114"/>
    </row>
    <row r="572" spans="1:65" ht="19.5" x14ac:dyDescent="0.4">
      <c r="A572" s="117"/>
      <c r="B572" s="123"/>
      <c r="C572" s="123"/>
      <c r="D572" s="123"/>
      <c r="Z572" s="128"/>
      <c r="AA572" s="29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25"/>
      <c r="AL572" s="15"/>
      <c r="AQ572" s="117"/>
      <c r="AR572" s="123"/>
      <c r="AS572" s="123"/>
      <c r="AT572" s="123"/>
      <c r="AY572" s="115"/>
      <c r="AZ572" s="115"/>
      <c r="BA572" s="115"/>
      <c r="BB572" s="115"/>
      <c r="BC572" s="115"/>
      <c r="BD572" s="115"/>
      <c r="BE572" s="115"/>
      <c r="BF572" s="115"/>
      <c r="BG572" s="115"/>
      <c r="BH572" s="115"/>
      <c r="BI572" s="13"/>
      <c r="BJ572" s="13"/>
      <c r="BM572" s="114"/>
    </row>
    <row r="573" spans="1:65" ht="19.5" x14ac:dyDescent="0.4">
      <c r="A573" s="117"/>
      <c r="B573" s="123"/>
      <c r="C573" s="123"/>
      <c r="D573" s="123"/>
      <c r="Z573" s="127"/>
      <c r="AA573" s="29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25">
        <v>45682</v>
      </c>
      <c r="AL573" s="15" t="s">
        <v>148</v>
      </c>
      <c r="AQ573" s="117"/>
      <c r="AR573" s="123"/>
      <c r="AS573" s="123"/>
      <c r="AT573" s="123"/>
      <c r="AY573" s="115"/>
      <c r="AZ573" s="115"/>
      <c r="BA573" s="115"/>
      <c r="BB573" s="115"/>
      <c r="BC573" s="115"/>
      <c r="BD573" s="115"/>
      <c r="BE573" s="115"/>
      <c r="BF573" s="115"/>
      <c r="BG573" s="115"/>
      <c r="BH573" s="115"/>
      <c r="BI573" s="13"/>
      <c r="BJ573" s="13"/>
      <c r="BM573" s="114"/>
    </row>
    <row r="574" spans="1:65" ht="19.5" x14ac:dyDescent="0.4">
      <c r="A574" s="117"/>
      <c r="B574" s="123"/>
      <c r="C574" s="123"/>
      <c r="D574" s="123"/>
      <c r="Z574" s="127"/>
      <c r="AA574" s="29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25">
        <v>45682</v>
      </c>
      <c r="AL574" s="15" t="s">
        <v>146</v>
      </c>
      <c r="AQ574" s="117"/>
      <c r="AR574" s="123"/>
      <c r="AS574" s="123"/>
      <c r="AT574" s="123"/>
      <c r="AY574" s="115"/>
      <c r="AZ574" s="115"/>
      <c r="BA574" s="115"/>
      <c r="BB574" s="115"/>
      <c r="BC574" s="115"/>
      <c r="BD574" s="115"/>
      <c r="BE574" s="115"/>
      <c r="BF574" s="115"/>
      <c r="BG574" s="115"/>
      <c r="BH574" s="115"/>
      <c r="BI574" s="13"/>
      <c r="BJ574" s="13"/>
      <c r="BM574" s="114"/>
    </row>
    <row r="575" spans="1:65" ht="19.5" x14ac:dyDescent="0.4">
      <c r="A575" s="117"/>
      <c r="B575" s="123"/>
      <c r="C575" s="123"/>
      <c r="D575" s="123"/>
      <c r="Z575" s="127"/>
      <c r="AA575" s="29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25">
        <v>45682</v>
      </c>
      <c r="AL575" s="15" t="s">
        <v>148</v>
      </c>
      <c r="AQ575" s="117"/>
      <c r="AR575" s="123"/>
      <c r="AS575" s="123"/>
      <c r="AT575" s="123"/>
      <c r="AY575" s="115"/>
      <c r="AZ575" s="115"/>
      <c r="BA575" s="115"/>
      <c r="BB575" s="115"/>
      <c r="BC575" s="115"/>
      <c r="BD575" s="115"/>
      <c r="BE575" s="115"/>
      <c r="BF575" s="115"/>
      <c r="BG575" s="115"/>
      <c r="BH575" s="115"/>
      <c r="BI575" s="13"/>
      <c r="BJ575" s="13"/>
      <c r="BM575" s="114"/>
    </row>
    <row r="576" spans="1:65" ht="19.5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27"/>
      <c r="AA576" s="29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25"/>
      <c r="AL576" s="15"/>
      <c r="AQ576" s="117"/>
      <c r="AR576" s="123"/>
      <c r="AS576" s="123"/>
      <c r="AT576" s="123"/>
      <c r="AY576" s="115"/>
      <c r="AZ576" s="115"/>
      <c r="BA576" s="115"/>
      <c r="BB576" s="115"/>
      <c r="BC576" s="115"/>
      <c r="BD576" s="115"/>
      <c r="BE576" s="115"/>
      <c r="BF576" s="115"/>
      <c r="BG576" s="115"/>
      <c r="BH576" s="115"/>
      <c r="BI576" s="13"/>
      <c r="BJ576" s="13"/>
      <c r="BM576" s="114"/>
    </row>
    <row r="577" spans="1:65" ht="19.5" x14ac:dyDescent="0.4">
      <c r="A577" s="117"/>
      <c r="B577" s="123"/>
      <c r="C577" s="123"/>
      <c r="D577" s="123"/>
      <c r="Z577" s="127"/>
      <c r="AA577" s="29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25">
        <v>45682</v>
      </c>
      <c r="AL577" s="15" t="s">
        <v>148</v>
      </c>
      <c r="AQ577" s="117"/>
      <c r="AR577" s="123"/>
      <c r="AS577" s="123"/>
      <c r="AT577" s="123"/>
      <c r="AY577" s="115"/>
      <c r="AZ577" s="115"/>
      <c r="BA577" s="115"/>
      <c r="BB577" s="115"/>
      <c r="BC577" s="115"/>
      <c r="BD577" s="115"/>
      <c r="BE577" s="115"/>
      <c r="BF577" s="115"/>
      <c r="BG577" s="115"/>
      <c r="BH577" s="115"/>
      <c r="BI577" s="13"/>
      <c r="BJ577" s="13"/>
      <c r="BM577" s="114"/>
    </row>
    <row r="578" spans="1:65" ht="19.5" x14ac:dyDescent="0.4">
      <c r="A578" s="117"/>
      <c r="B578" s="123"/>
      <c r="C578" s="123"/>
      <c r="D578" s="123"/>
      <c r="Z578" s="127"/>
      <c r="AA578" s="29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25">
        <v>45682</v>
      </c>
      <c r="AL578" s="105" t="s">
        <v>148</v>
      </c>
      <c r="AQ578" s="117"/>
      <c r="AR578" s="123"/>
      <c r="AS578" s="123"/>
      <c r="AT578" s="123"/>
      <c r="AY578" s="115"/>
      <c r="AZ578" s="115"/>
      <c r="BA578" s="115"/>
      <c r="BB578" s="115"/>
      <c r="BC578" s="115"/>
      <c r="BD578" s="115"/>
      <c r="BE578" s="115"/>
      <c r="BF578" s="115"/>
      <c r="BG578" s="115"/>
      <c r="BH578" s="115"/>
      <c r="BI578" s="13"/>
      <c r="BJ578" s="13"/>
      <c r="BM578" s="114"/>
    </row>
    <row r="579" spans="1:65" ht="19.5" x14ac:dyDescent="0.4">
      <c r="A579" s="117"/>
      <c r="B579" s="123"/>
      <c r="C579" s="123"/>
      <c r="D579" s="123"/>
      <c r="Z579" s="127"/>
      <c r="AA579" s="29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25">
        <v>45682</v>
      </c>
      <c r="AL579" s="105" t="s">
        <v>146</v>
      </c>
      <c r="AQ579" s="117"/>
      <c r="AR579" s="123"/>
      <c r="AS579" s="123"/>
      <c r="AT579" s="123"/>
      <c r="AY579" s="115"/>
      <c r="AZ579" s="115"/>
      <c r="BA579" s="115"/>
      <c r="BB579" s="115"/>
      <c r="BC579" s="115"/>
      <c r="BD579" s="115"/>
      <c r="BE579" s="115"/>
      <c r="BF579" s="115"/>
      <c r="BG579" s="115"/>
      <c r="BH579" s="115"/>
      <c r="BI579" s="13"/>
      <c r="BJ579" s="13"/>
      <c r="BM579" s="114"/>
    </row>
    <row r="580" spans="1:65" ht="19.5" x14ac:dyDescent="0.4">
      <c r="A580" s="117"/>
      <c r="B580" s="123"/>
      <c r="C580" s="123"/>
      <c r="D580" s="123"/>
      <c r="Z580" s="128"/>
      <c r="AA580" s="29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25"/>
      <c r="AL580" s="105"/>
      <c r="AQ580" s="117"/>
      <c r="AR580" s="123"/>
      <c r="AS580" s="123"/>
      <c r="AT580" s="123"/>
      <c r="AY580" s="115"/>
      <c r="AZ580" s="115"/>
      <c r="BA580" s="115"/>
      <c r="BB580" s="115"/>
      <c r="BC580" s="115"/>
      <c r="BD580" s="115"/>
      <c r="BE580" s="115"/>
      <c r="BF580" s="115"/>
      <c r="BG580" s="115"/>
      <c r="BH580" s="115"/>
      <c r="BI580" s="13"/>
      <c r="BJ580" s="13"/>
      <c r="BM580" s="114"/>
    </row>
    <row r="581" spans="1:65" ht="19.5" x14ac:dyDescent="0.4">
      <c r="A581" s="117"/>
      <c r="B581" s="123"/>
      <c r="C581" s="123"/>
      <c r="D581" s="123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27"/>
      <c r="AA581" s="29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25">
        <v>45682</v>
      </c>
      <c r="AL581" s="15" t="s">
        <v>146</v>
      </c>
      <c r="AQ581" s="117"/>
      <c r="AR581" s="123"/>
      <c r="AS581" s="123"/>
      <c r="AT581" s="123"/>
      <c r="AY581" s="115"/>
      <c r="AZ581" s="115"/>
      <c r="BA581" s="115"/>
      <c r="BB581" s="115"/>
      <c r="BC581" s="115"/>
      <c r="BD581" s="115"/>
      <c r="BE581" s="115"/>
      <c r="BF581" s="115"/>
      <c r="BG581" s="115"/>
      <c r="BH581" s="115"/>
      <c r="BI581" s="13"/>
      <c r="BJ581" s="13"/>
      <c r="BM581" s="114"/>
    </row>
    <row r="582" spans="1:65" ht="19.5" x14ac:dyDescent="0.4">
      <c r="A582" s="117"/>
      <c r="B582" s="123"/>
      <c r="C582" s="123"/>
      <c r="D582" s="123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27"/>
      <c r="AA582" s="29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25">
        <v>45683</v>
      </c>
      <c r="AL582" s="13" t="s">
        <v>147</v>
      </c>
      <c r="AQ582" s="117"/>
      <c r="AR582" s="123"/>
      <c r="AS582" s="123"/>
      <c r="AT582" s="123"/>
      <c r="AY582" s="115"/>
      <c r="AZ582" s="115"/>
      <c r="BA582" s="115"/>
      <c r="BB582" s="115"/>
      <c r="BC582" s="115"/>
      <c r="BD582" s="115"/>
      <c r="BE582" s="115"/>
      <c r="BF582" s="115"/>
      <c r="BG582" s="115"/>
      <c r="BH582" s="115"/>
      <c r="BI582" s="13"/>
      <c r="BJ582" s="13"/>
      <c r="BM582" s="114"/>
    </row>
    <row r="583" spans="1:65" ht="19.5" x14ac:dyDescent="0.4">
      <c r="A583" s="117"/>
      <c r="B583" s="123"/>
      <c r="C583" s="123"/>
      <c r="D583" s="123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27"/>
      <c r="AA583" s="29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25">
        <v>45683</v>
      </c>
      <c r="AL583" s="13" t="s">
        <v>147</v>
      </c>
      <c r="AQ583" s="117"/>
      <c r="AR583" s="123"/>
      <c r="AS583" s="123"/>
      <c r="AT583" s="123"/>
      <c r="AY583" s="115"/>
      <c r="AZ583" s="115"/>
      <c r="BA583" s="115"/>
      <c r="BB583" s="115"/>
      <c r="BC583" s="115"/>
      <c r="BD583" s="115"/>
      <c r="BE583" s="115"/>
      <c r="BF583" s="115"/>
      <c r="BG583" s="115"/>
      <c r="BH583" s="115"/>
      <c r="BI583" s="13"/>
      <c r="BJ583" s="13"/>
      <c r="BM583" s="114"/>
    </row>
    <row r="584" spans="1:65" ht="19.5" x14ac:dyDescent="0.4">
      <c r="A584" s="117"/>
      <c r="B584" s="123"/>
      <c r="C584" s="123"/>
      <c r="D584" s="123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27"/>
      <c r="AA584" s="29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25"/>
      <c r="AL584" s="13"/>
      <c r="AQ584" s="117"/>
      <c r="AR584" s="123"/>
      <c r="AS584" s="123"/>
      <c r="AT584" s="123"/>
      <c r="AY584" s="115"/>
      <c r="AZ584" s="115"/>
      <c r="BA584" s="115"/>
      <c r="BB584" s="115"/>
      <c r="BC584" s="115"/>
      <c r="BD584" s="115"/>
      <c r="BE584" s="115"/>
      <c r="BF584" s="115"/>
      <c r="BG584" s="115"/>
      <c r="BH584" s="115"/>
      <c r="BI584" s="13"/>
      <c r="BJ584" s="13"/>
      <c r="BM584" s="114"/>
    </row>
    <row r="585" spans="1:65" ht="19.5" x14ac:dyDescent="0.4">
      <c r="A585" s="117"/>
      <c r="B585" s="123"/>
      <c r="C585" s="123"/>
      <c r="D585" s="123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27"/>
      <c r="AA585" s="29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25">
        <v>45684</v>
      </c>
      <c r="AL585" s="13" t="s">
        <v>146</v>
      </c>
      <c r="AQ585" s="117"/>
      <c r="AR585" s="123"/>
      <c r="AS585" s="123"/>
      <c r="AT585" s="123"/>
      <c r="AY585" s="115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3"/>
      <c r="BJ585" s="13"/>
      <c r="BM585" s="114"/>
    </row>
    <row r="586" spans="1:65" ht="19.5" x14ac:dyDescent="0.4">
      <c r="A586" s="117"/>
      <c r="B586" s="123"/>
      <c r="C586" s="123"/>
      <c r="D586" s="123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27"/>
      <c r="AA586" s="29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25"/>
      <c r="AL586" s="13"/>
      <c r="AQ586" s="117"/>
      <c r="AR586" s="123"/>
      <c r="AS586" s="123"/>
      <c r="AT586" s="123"/>
      <c r="AY586" s="115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3"/>
      <c r="BJ586" s="13"/>
      <c r="BM586" s="114"/>
    </row>
    <row r="587" spans="1:65" ht="19.5" x14ac:dyDescent="0.4">
      <c r="A587" s="117"/>
      <c r="B587" s="123"/>
      <c r="C587" s="123"/>
      <c r="D587" s="123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28"/>
      <c r="AA587" s="29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25"/>
      <c r="AL587" s="13"/>
      <c r="AQ587" s="117"/>
      <c r="AR587" s="123"/>
      <c r="AS587" s="123"/>
      <c r="AT587" s="123"/>
      <c r="AY587" s="115"/>
      <c r="AZ587" s="115"/>
      <c r="BA587" s="115"/>
      <c r="BB587" s="115"/>
      <c r="BC587" s="115"/>
      <c r="BD587" s="115"/>
      <c r="BE587" s="115"/>
      <c r="BF587" s="115"/>
      <c r="BG587" s="115"/>
      <c r="BH587" s="115"/>
      <c r="BI587" s="13"/>
      <c r="BJ587" s="13"/>
      <c r="BM587" s="114"/>
    </row>
    <row r="588" spans="1:65" ht="19.5" x14ac:dyDescent="0.4">
      <c r="A588" s="117"/>
      <c r="B588" s="123"/>
      <c r="C588" s="123"/>
      <c r="D588" s="123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27"/>
      <c r="AA588" s="29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25">
        <v>45684</v>
      </c>
      <c r="AL588" s="13" t="s">
        <v>148</v>
      </c>
      <c r="AQ588" s="117"/>
      <c r="AR588" s="123"/>
      <c r="AS588" s="123"/>
      <c r="AT588" s="123"/>
      <c r="AY588" s="115"/>
      <c r="AZ588" s="115"/>
      <c r="BA588" s="115"/>
      <c r="BB588" s="115"/>
      <c r="BC588" s="115"/>
      <c r="BD588" s="115"/>
      <c r="BE588" s="115"/>
      <c r="BF588" s="115"/>
      <c r="BG588" s="115"/>
      <c r="BH588" s="115"/>
      <c r="BI588" s="13"/>
      <c r="BJ588" s="13"/>
      <c r="BM588" s="114"/>
    </row>
    <row r="589" spans="1:65" ht="19.5" x14ac:dyDescent="0.4">
      <c r="A589" s="117"/>
      <c r="B589" s="123"/>
      <c r="C589" s="123"/>
      <c r="D589" s="123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27"/>
      <c r="AA589" s="29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25"/>
      <c r="AL589" s="13"/>
      <c r="AQ589" s="117"/>
      <c r="AR589" s="123"/>
      <c r="AS589" s="123"/>
      <c r="AT589" s="123"/>
      <c r="AY589" s="115"/>
      <c r="AZ589" s="115"/>
      <c r="BA589" s="115"/>
      <c r="BB589" s="115"/>
      <c r="BC589" s="115"/>
      <c r="BD589" s="115"/>
      <c r="BE589" s="115"/>
      <c r="BF589" s="115"/>
      <c r="BG589" s="115"/>
      <c r="BH589" s="115"/>
      <c r="BI589" s="13"/>
      <c r="BJ589" s="13"/>
      <c r="BM589" s="114"/>
    </row>
    <row r="590" spans="1:65" ht="19.5" x14ac:dyDescent="0.4">
      <c r="A590" s="117"/>
      <c r="B590" s="123"/>
      <c r="C590" s="123"/>
      <c r="D590" s="123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27"/>
      <c r="AA590" s="29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25"/>
      <c r="AL590" s="13"/>
      <c r="AQ590" s="117"/>
      <c r="AR590" s="123"/>
      <c r="AS590" s="123"/>
      <c r="AT590" s="123"/>
      <c r="AY590" s="115"/>
      <c r="AZ590" s="115"/>
      <c r="BA590" s="115"/>
      <c r="BB590" s="115"/>
      <c r="BC590" s="115"/>
      <c r="BD590" s="115"/>
      <c r="BE590" s="115"/>
      <c r="BF590" s="115"/>
      <c r="BG590" s="115"/>
      <c r="BH590" s="115"/>
      <c r="BI590" s="13"/>
      <c r="BJ590" s="13"/>
      <c r="BM590" s="114"/>
    </row>
    <row r="591" spans="1:65" ht="19.5" x14ac:dyDescent="0.4">
      <c r="A591" s="117"/>
      <c r="B591" s="123"/>
      <c r="C591" s="123"/>
      <c r="D591" s="123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28"/>
      <c r="AA591" s="29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25"/>
      <c r="AL591" s="13"/>
      <c r="AQ591" s="117"/>
      <c r="AR591" s="123"/>
      <c r="AS591" s="123"/>
      <c r="AT591" s="123"/>
      <c r="AY591" s="115"/>
      <c r="AZ591" s="115"/>
      <c r="BA591" s="115"/>
      <c r="BB591" s="115"/>
      <c r="BC591" s="115"/>
      <c r="BD591" s="115"/>
      <c r="BE591" s="115"/>
      <c r="BF591" s="115"/>
      <c r="BG591" s="115"/>
      <c r="BH591" s="115"/>
      <c r="BI591" s="13"/>
      <c r="BJ591" s="13"/>
      <c r="BM591" s="114"/>
    </row>
    <row r="592" spans="1:65" ht="19.5" x14ac:dyDescent="0.4">
      <c r="A592" s="117"/>
      <c r="B592" s="123"/>
      <c r="C592" s="123"/>
      <c r="D592" s="123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27"/>
      <c r="AA592" s="127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25"/>
      <c r="AL592" s="13"/>
      <c r="AQ592" s="117"/>
      <c r="AR592" s="123"/>
      <c r="AS592" s="123"/>
      <c r="AT592" s="123"/>
      <c r="AY592" s="115"/>
      <c r="AZ592" s="115"/>
      <c r="BA592" s="115"/>
      <c r="BB592" s="115"/>
      <c r="BC592" s="115"/>
      <c r="BD592" s="115"/>
      <c r="BE592" s="115"/>
      <c r="BF592" s="115"/>
      <c r="BG592" s="115"/>
      <c r="BH592" s="115"/>
      <c r="BI592" s="13"/>
      <c r="BJ592" s="13"/>
      <c r="BM592" s="114"/>
    </row>
    <row r="593" spans="1:65" ht="19.5" x14ac:dyDescent="0.4">
      <c r="A593" s="117"/>
      <c r="B593" s="123"/>
      <c r="C593" s="123"/>
      <c r="D593" s="123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27"/>
      <c r="AA593" s="29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25"/>
      <c r="AL593" s="13"/>
      <c r="AQ593" s="117"/>
      <c r="AR593" s="123"/>
      <c r="AS593" s="123"/>
      <c r="AT593" s="123"/>
      <c r="AY593" s="115"/>
      <c r="AZ593" s="115"/>
      <c r="BA593" s="115"/>
      <c r="BB593" s="115"/>
      <c r="BC593" s="115"/>
      <c r="BD593" s="115"/>
      <c r="BE593" s="115"/>
      <c r="BF593" s="115"/>
      <c r="BG593" s="115"/>
      <c r="BH593" s="115"/>
      <c r="BI593" s="13"/>
      <c r="BJ593" s="13"/>
      <c r="BM593" s="114"/>
    </row>
    <row r="594" spans="1:65" ht="19.5" x14ac:dyDescent="0.4">
      <c r="A594" s="117"/>
      <c r="B594" s="123"/>
      <c r="C594" s="123"/>
      <c r="D594" s="123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27"/>
      <c r="AA594" s="29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25"/>
      <c r="AL594" s="13"/>
      <c r="AQ594" s="117"/>
      <c r="AR594" s="123"/>
      <c r="AS594" s="123"/>
      <c r="AT594" s="123"/>
      <c r="AY594" s="115"/>
      <c r="AZ594" s="115"/>
      <c r="BA594" s="115"/>
      <c r="BB594" s="115"/>
      <c r="BC594" s="115"/>
      <c r="BD594" s="115"/>
      <c r="BE594" s="115"/>
      <c r="BF594" s="115"/>
      <c r="BG594" s="115"/>
      <c r="BH594" s="115"/>
      <c r="BI594" s="13"/>
      <c r="BJ594" s="13"/>
      <c r="BM594" s="114"/>
    </row>
    <row r="595" spans="1:65" ht="19.5" x14ac:dyDescent="0.4">
      <c r="A595" s="117"/>
      <c r="B595" s="123"/>
      <c r="C595" s="123"/>
      <c r="D595" s="123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28"/>
      <c r="AA595" s="29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25"/>
      <c r="AL595" s="13"/>
      <c r="AQ595" s="117"/>
      <c r="AR595" s="123"/>
      <c r="AS595" s="123"/>
      <c r="AT595" s="123"/>
      <c r="AY595" s="115"/>
      <c r="AZ595" s="115"/>
      <c r="BA595" s="115"/>
      <c r="BB595" s="115"/>
      <c r="BC595" s="115"/>
      <c r="BD595" s="115"/>
      <c r="BE595" s="115"/>
      <c r="BF595" s="115"/>
      <c r="BG595" s="115"/>
      <c r="BH595" s="115"/>
      <c r="BI595" s="13"/>
      <c r="BJ595" s="13"/>
      <c r="BM595" s="114"/>
    </row>
    <row r="596" spans="1:65" ht="19.5" x14ac:dyDescent="0.4">
      <c r="A596" s="117"/>
      <c r="B596" s="123"/>
      <c r="C596" s="123"/>
      <c r="D596" s="123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27"/>
      <c r="AA596" s="134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25"/>
      <c r="AL596" s="13"/>
      <c r="AQ596" s="117"/>
      <c r="AR596" s="123"/>
      <c r="AS596" s="123"/>
      <c r="AT596" s="123"/>
      <c r="AY596" s="115"/>
      <c r="AZ596" s="115"/>
      <c r="BA596" s="115"/>
      <c r="BB596" s="115"/>
      <c r="BC596" s="115"/>
      <c r="BD596" s="115"/>
      <c r="BE596" s="115"/>
      <c r="BF596" s="115"/>
      <c r="BG596" s="115"/>
      <c r="BH596" s="115"/>
      <c r="BI596" s="13"/>
      <c r="BJ596" s="13"/>
      <c r="BM596" s="114"/>
    </row>
    <row r="597" spans="1:65" ht="19.5" x14ac:dyDescent="0.4">
      <c r="A597" s="117"/>
      <c r="B597" s="123"/>
      <c r="C597" s="123"/>
      <c r="D597" s="123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27"/>
      <c r="AA597" s="29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25">
        <v>45684</v>
      </c>
      <c r="AL597" s="13" t="s">
        <v>147</v>
      </c>
      <c r="AQ597" s="117"/>
      <c r="AR597" s="123"/>
      <c r="AS597" s="123"/>
      <c r="AT597" s="123"/>
      <c r="AY597" s="115"/>
      <c r="AZ597" s="115"/>
      <c r="BA597" s="115"/>
      <c r="BB597" s="115"/>
      <c r="BC597" s="115"/>
      <c r="BD597" s="115"/>
      <c r="BE597" s="115"/>
      <c r="BF597" s="115"/>
      <c r="BG597" s="115"/>
      <c r="BH597" s="115"/>
      <c r="BI597" s="13"/>
      <c r="BJ597" s="13"/>
      <c r="BM597" s="114"/>
    </row>
    <row r="598" spans="1:65" ht="19.5" x14ac:dyDescent="0.4">
      <c r="A598" s="117"/>
      <c r="B598" s="123"/>
      <c r="C598" s="123"/>
      <c r="D598" s="123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28"/>
      <c r="AA598" s="29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25"/>
      <c r="AL598" s="13"/>
      <c r="AQ598" s="117"/>
      <c r="AR598" s="123"/>
      <c r="AS598" s="123"/>
      <c r="AT598" s="123"/>
      <c r="AY598" s="115"/>
      <c r="AZ598" s="115"/>
      <c r="BA598" s="115"/>
      <c r="BB598" s="115"/>
      <c r="BC598" s="115"/>
      <c r="BD598" s="115"/>
      <c r="BE598" s="115"/>
      <c r="BF598" s="115"/>
      <c r="BG598" s="115"/>
      <c r="BH598" s="115"/>
      <c r="BI598" s="13"/>
      <c r="BJ598" s="13"/>
      <c r="BM598" s="114"/>
    </row>
    <row r="599" spans="1:65" ht="19.5" x14ac:dyDescent="0.4">
      <c r="A599" s="117"/>
      <c r="B599" s="123"/>
      <c r="C599" s="123"/>
      <c r="D599" s="123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27"/>
      <c r="AA599" s="29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25"/>
      <c r="AL599" s="13"/>
      <c r="AQ599" s="117"/>
      <c r="AR599" s="123"/>
      <c r="AS599" s="123"/>
      <c r="AT599" s="123"/>
      <c r="AY599" s="115"/>
      <c r="AZ599" s="115"/>
      <c r="BA599" s="115"/>
      <c r="BB599" s="115"/>
      <c r="BC599" s="115"/>
      <c r="BD599" s="115"/>
      <c r="BE599" s="115"/>
      <c r="BF599" s="115"/>
      <c r="BG599" s="115"/>
      <c r="BH599" s="115"/>
      <c r="BI599" s="13"/>
      <c r="BJ599" s="13"/>
      <c r="BM599" s="114"/>
    </row>
    <row r="600" spans="1:65" ht="19.5" x14ac:dyDescent="0.4">
      <c r="A600" s="117"/>
      <c r="B600" s="123"/>
      <c r="C600" s="123"/>
      <c r="D600" s="123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27"/>
      <c r="AA600" s="29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25">
        <v>45684</v>
      </c>
      <c r="AL600" s="13" t="s">
        <v>146</v>
      </c>
      <c r="AQ600" s="117"/>
      <c r="AR600" s="123"/>
      <c r="AS600" s="123"/>
      <c r="AT600" s="123"/>
      <c r="AY600" s="115"/>
      <c r="AZ600" s="115"/>
      <c r="BA600" s="115"/>
      <c r="BB600" s="115"/>
      <c r="BC600" s="115"/>
      <c r="BD600" s="115"/>
      <c r="BE600" s="115"/>
      <c r="BF600" s="115"/>
      <c r="BG600" s="115"/>
      <c r="BH600" s="115"/>
      <c r="BI600" s="13"/>
      <c r="BJ600" s="13"/>
      <c r="BM600" s="114"/>
    </row>
    <row r="601" spans="1:65" ht="19.5" x14ac:dyDescent="0.4">
      <c r="A601" s="117"/>
      <c r="B601" s="123"/>
      <c r="C601" s="123"/>
      <c r="D601" s="123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28"/>
      <c r="AA601" s="29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25"/>
      <c r="AL601" s="13"/>
      <c r="AQ601" s="117"/>
      <c r="AR601" s="123"/>
      <c r="AS601" s="123"/>
      <c r="AT601" s="123"/>
      <c r="AY601" s="115"/>
      <c r="AZ601" s="115"/>
      <c r="BA601" s="115"/>
      <c r="BB601" s="115"/>
      <c r="BC601" s="115"/>
      <c r="BD601" s="115"/>
      <c r="BE601" s="115"/>
      <c r="BF601" s="115"/>
      <c r="BG601" s="115"/>
      <c r="BH601" s="115"/>
      <c r="BI601" s="13"/>
      <c r="BJ601" s="13"/>
      <c r="BM601" s="114"/>
    </row>
    <row r="602" spans="1:65" ht="19.5" x14ac:dyDescent="0.4">
      <c r="A602" s="117"/>
      <c r="B602" s="123"/>
      <c r="C602" s="123"/>
      <c r="D602" s="123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27"/>
      <c r="AA602" s="29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25"/>
      <c r="AL602" s="13"/>
      <c r="AQ602" s="117"/>
      <c r="AR602" s="123"/>
      <c r="AS602" s="123"/>
      <c r="AT602" s="123"/>
      <c r="AY602" s="115"/>
      <c r="AZ602" s="115"/>
      <c r="BA602" s="115"/>
      <c r="BB602" s="115"/>
      <c r="BC602" s="115"/>
      <c r="BD602" s="115"/>
      <c r="BE602" s="115"/>
      <c r="BF602" s="115"/>
      <c r="BG602" s="115"/>
      <c r="BH602" s="115"/>
      <c r="BI602" s="13"/>
      <c r="BJ602" s="13"/>
      <c r="BM602" s="114"/>
    </row>
    <row r="603" spans="1:65" ht="19.5" x14ac:dyDescent="0.4">
      <c r="A603" s="117"/>
      <c r="B603" s="123"/>
      <c r="C603" s="123"/>
      <c r="D603" s="123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28"/>
      <c r="AA603" s="29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25"/>
      <c r="AL603" s="13"/>
      <c r="AQ603" s="117"/>
      <c r="AR603" s="123"/>
      <c r="AS603" s="123"/>
      <c r="AT603" s="123"/>
      <c r="AY603" s="115"/>
      <c r="AZ603" s="115"/>
      <c r="BA603" s="115"/>
      <c r="BB603" s="115"/>
      <c r="BC603" s="115"/>
      <c r="BD603" s="115"/>
      <c r="BE603" s="115"/>
      <c r="BF603" s="115"/>
      <c r="BG603" s="115"/>
      <c r="BH603" s="115"/>
      <c r="BI603" s="13"/>
      <c r="BJ603" s="13"/>
      <c r="BM603" s="114"/>
    </row>
    <row r="604" spans="1:65" ht="19.5" x14ac:dyDescent="0.4">
      <c r="A604" s="117"/>
      <c r="B604" s="123"/>
      <c r="C604" s="123"/>
      <c r="D604" s="123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27"/>
      <c r="AA604" s="29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25"/>
      <c r="AL604" s="13"/>
      <c r="AQ604" s="117"/>
      <c r="AR604" s="123"/>
      <c r="AS604" s="123"/>
      <c r="AT604" s="123"/>
      <c r="AY604" s="115"/>
      <c r="AZ604" s="115"/>
      <c r="BA604" s="115"/>
      <c r="BB604" s="115"/>
      <c r="BC604" s="115"/>
      <c r="BD604" s="115"/>
      <c r="BE604" s="115"/>
      <c r="BF604" s="115"/>
      <c r="BG604" s="115"/>
      <c r="BH604" s="115"/>
      <c r="BI604" s="13"/>
      <c r="BJ604" s="13"/>
      <c r="BM604" s="114"/>
    </row>
    <row r="605" spans="1:65" ht="19.5" x14ac:dyDescent="0.4">
      <c r="A605" s="117"/>
      <c r="B605" s="123"/>
      <c r="C605" s="123"/>
      <c r="D605" s="123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28"/>
      <c r="AA605" s="29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25"/>
      <c r="AL605" s="13"/>
      <c r="AQ605" s="117"/>
      <c r="AR605" s="123"/>
      <c r="AS605" s="123"/>
      <c r="AT605" s="123"/>
      <c r="AY605" s="115"/>
      <c r="AZ605" s="115"/>
      <c r="BA605" s="115"/>
      <c r="BB605" s="115"/>
      <c r="BC605" s="115"/>
      <c r="BD605" s="115"/>
      <c r="BE605" s="115"/>
      <c r="BF605" s="115"/>
      <c r="BG605" s="115"/>
      <c r="BH605" s="115"/>
      <c r="BI605" s="13"/>
      <c r="BJ605" s="13"/>
      <c r="BM605" s="114"/>
    </row>
    <row r="606" spans="1:65" ht="19.5" x14ac:dyDescent="0.4">
      <c r="A606" s="117"/>
      <c r="B606" s="123"/>
      <c r="C606" s="123"/>
      <c r="D606" s="123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28"/>
      <c r="AA606" s="29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25"/>
      <c r="AL606" s="13"/>
      <c r="AQ606" s="117"/>
      <c r="AR606" s="123"/>
      <c r="AS606" s="123"/>
      <c r="AT606" s="123"/>
      <c r="AY606" s="115"/>
      <c r="AZ606" s="115"/>
      <c r="BA606" s="115"/>
      <c r="BB606" s="115"/>
      <c r="BC606" s="115"/>
      <c r="BD606" s="115"/>
      <c r="BE606" s="115"/>
      <c r="BF606" s="115"/>
      <c r="BG606" s="115"/>
      <c r="BH606" s="115"/>
      <c r="BI606" s="13"/>
      <c r="BJ606" s="13"/>
      <c r="BM606" s="114"/>
    </row>
    <row r="607" spans="1:65" ht="19.5" x14ac:dyDescent="0.4">
      <c r="A607" s="117"/>
      <c r="B607" s="123"/>
      <c r="C607" s="123"/>
      <c r="D607" s="123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27"/>
      <c r="AA607" s="29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25">
        <v>45684</v>
      </c>
      <c r="AL607" s="13" t="s">
        <v>147</v>
      </c>
      <c r="AQ607" s="117"/>
      <c r="AR607" s="123"/>
      <c r="AS607" s="123"/>
      <c r="AT607" s="123"/>
      <c r="AY607" s="115"/>
      <c r="AZ607" s="115"/>
      <c r="BA607" s="115"/>
      <c r="BB607" s="115"/>
      <c r="BC607" s="115"/>
      <c r="BD607" s="115"/>
      <c r="BE607" s="115"/>
      <c r="BF607" s="115"/>
      <c r="BG607" s="115"/>
      <c r="BH607" s="115"/>
      <c r="BI607" s="13"/>
      <c r="BJ607" s="13"/>
      <c r="BM607" s="114"/>
    </row>
    <row r="608" spans="1:65" ht="19.5" x14ac:dyDescent="0.4">
      <c r="A608" s="117"/>
      <c r="B608" s="123"/>
      <c r="C608" s="123"/>
      <c r="D608" s="123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27"/>
      <c r="AA608" s="29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25">
        <v>45684</v>
      </c>
      <c r="AL608" s="13" t="s">
        <v>146</v>
      </c>
      <c r="AQ608" s="117"/>
      <c r="AR608" s="123"/>
      <c r="AS608" s="123"/>
      <c r="AT608" s="123"/>
      <c r="AY608" s="115"/>
      <c r="AZ608" s="115"/>
      <c r="BA608" s="115"/>
      <c r="BB608" s="115"/>
      <c r="BC608" s="115"/>
      <c r="BD608" s="115"/>
      <c r="BE608" s="115"/>
      <c r="BF608" s="115"/>
      <c r="BG608" s="115"/>
      <c r="BH608" s="115"/>
      <c r="BI608" s="13"/>
      <c r="BJ608" s="13"/>
      <c r="BM608" s="114"/>
    </row>
    <row r="609" spans="1:65" ht="19.5" x14ac:dyDescent="0.4">
      <c r="A609" s="117"/>
      <c r="B609" s="123"/>
      <c r="C609" s="123"/>
      <c r="D609" s="123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27"/>
      <c r="AA609" s="29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25">
        <v>45684</v>
      </c>
      <c r="AL609" s="13" t="s">
        <v>146</v>
      </c>
      <c r="AQ609" s="117"/>
      <c r="AR609" s="123"/>
      <c r="AS609" s="123"/>
      <c r="AT609" s="123"/>
      <c r="AY609" s="115"/>
      <c r="AZ609" s="115"/>
      <c r="BA609" s="115"/>
      <c r="BB609" s="115"/>
      <c r="BC609" s="115"/>
      <c r="BD609" s="115"/>
      <c r="BE609" s="115"/>
      <c r="BF609" s="115"/>
      <c r="BG609" s="115"/>
      <c r="BH609" s="115"/>
      <c r="BI609" s="13"/>
      <c r="BJ609" s="13"/>
      <c r="BM609" s="114"/>
    </row>
    <row r="610" spans="1:65" ht="19.5" x14ac:dyDescent="0.4">
      <c r="A610" s="117"/>
      <c r="B610" s="123"/>
      <c r="C610" s="123"/>
      <c r="D610" s="123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29"/>
      <c r="AA610" s="29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25"/>
      <c r="AL610" s="13"/>
      <c r="AQ610" s="117"/>
      <c r="AR610" s="123"/>
      <c r="AS610" s="123"/>
      <c r="AT610" s="123"/>
      <c r="AY610" s="115"/>
      <c r="AZ610" s="115"/>
      <c r="BA610" s="115"/>
      <c r="BB610" s="115"/>
      <c r="BC610" s="115"/>
      <c r="BD610" s="115"/>
      <c r="BE610" s="115"/>
      <c r="BF610" s="115"/>
      <c r="BG610" s="115"/>
      <c r="BH610" s="115"/>
      <c r="BI610" s="13"/>
      <c r="BJ610" s="13"/>
      <c r="BM610" s="114"/>
    </row>
    <row r="611" spans="1:65" ht="19.5" x14ac:dyDescent="0.4">
      <c r="A611" s="117"/>
      <c r="B611" s="123"/>
      <c r="C611" s="123"/>
      <c r="D611" s="123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29"/>
      <c r="AA611" s="29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25"/>
      <c r="AL611" s="13"/>
      <c r="AQ611" s="117"/>
      <c r="AR611" s="123"/>
      <c r="AS611" s="123"/>
      <c r="AT611" s="123"/>
      <c r="AY611" s="115"/>
      <c r="AZ611" s="115"/>
      <c r="BA611" s="115"/>
      <c r="BB611" s="115"/>
      <c r="BC611" s="115"/>
      <c r="BD611" s="115"/>
      <c r="BE611" s="115"/>
      <c r="BF611" s="115"/>
      <c r="BG611" s="115"/>
      <c r="BH611" s="115"/>
      <c r="BI611" s="13"/>
      <c r="BJ611" s="13"/>
      <c r="BM611" s="114"/>
    </row>
    <row r="612" spans="1:65" ht="19.5" x14ac:dyDescent="0.4">
      <c r="A612" s="117"/>
      <c r="B612" s="123"/>
      <c r="C612" s="123"/>
      <c r="D612" s="123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27"/>
      <c r="AA612" s="29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25">
        <v>45684</v>
      </c>
      <c r="AL612" s="13" t="s">
        <v>147</v>
      </c>
      <c r="AQ612" s="117"/>
      <c r="AR612" s="123"/>
      <c r="AS612" s="123"/>
      <c r="AT612" s="123"/>
      <c r="AY612" s="115"/>
      <c r="AZ612" s="115"/>
      <c r="BA612" s="115"/>
      <c r="BB612" s="115"/>
      <c r="BC612" s="115"/>
      <c r="BD612" s="115"/>
      <c r="BE612" s="115"/>
      <c r="BF612" s="115"/>
      <c r="BG612" s="115"/>
      <c r="BH612" s="115"/>
      <c r="BI612" s="13"/>
      <c r="BJ612" s="13"/>
      <c r="BM612" s="114"/>
    </row>
    <row r="613" spans="1:65" ht="19.5" x14ac:dyDescent="0.4">
      <c r="A613" s="117"/>
      <c r="B613" s="123"/>
      <c r="C613" s="123"/>
      <c r="D613" s="123"/>
      <c r="Z613" s="127"/>
      <c r="AA613" s="29"/>
      <c r="AK613" s="25">
        <v>45685</v>
      </c>
      <c r="AL613" s="13" t="s">
        <v>146</v>
      </c>
      <c r="AQ613" s="117"/>
      <c r="AR613" s="123"/>
      <c r="AS613" s="123"/>
      <c r="AT613" s="123"/>
      <c r="AY613" s="115"/>
      <c r="AZ613" s="115"/>
      <c r="BA613" s="115"/>
      <c r="BB613" s="115"/>
      <c r="BC613" s="115"/>
      <c r="BD613" s="115"/>
      <c r="BE613" s="115"/>
      <c r="BF613" s="115"/>
      <c r="BG613" s="115"/>
      <c r="BH613" s="115"/>
      <c r="BI613" s="25">
        <v>45263</v>
      </c>
      <c r="BJ613" s="13" t="s">
        <v>162</v>
      </c>
      <c r="BM613" s="114"/>
    </row>
    <row r="614" spans="1:65" ht="19.5" x14ac:dyDescent="0.4">
      <c r="A614" s="117"/>
      <c r="B614" s="123"/>
      <c r="C614" s="123"/>
      <c r="D614" s="123"/>
      <c r="Z614" s="127"/>
      <c r="AA614" s="29"/>
      <c r="AH614" s="115"/>
      <c r="AI614" s="115"/>
      <c r="AJ614" s="115"/>
      <c r="AK614" s="25">
        <v>45685</v>
      </c>
      <c r="AL614" s="13" t="s">
        <v>147</v>
      </c>
      <c r="AQ614" s="117"/>
      <c r="AR614" s="123"/>
      <c r="AS614" s="123"/>
      <c r="AT614" s="123"/>
      <c r="AY614" s="115"/>
      <c r="AZ614" s="115"/>
      <c r="BA614" s="115"/>
      <c r="BB614" s="115"/>
      <c r="BC614" s="115"/>
      <c r="BD614" s="115"/>
      <c r="BE614" s="115"/>
      <c r="BF614" s="115"/>
      <c r="BG614" s="115"/>
      <c r="BH614" s="115"/>
      <c r="BI614" s="25"/>
      <c r="BJ614" s="13"/>
      <c r="BM614" s="114"/>
    </row>
    <row r="615" spans="1:65" ht="19.5" x14ac:dyDescent="0.4">
      <c r="A615" s="117"/>
      <c r="B615" s="123"/>
      <c r="C615" s="123"/>
      <c r="D615" s="123"/>
      <c r="Z615" s="128"/>
      <c r="AA615" s="29"/>
      <c r="AH615" s="115"/>
      <c r="AI615" s="115"/>
      <c r="AJ615" s="115"/>
      <c r="AK615" s="25"/>
      <c r="AL615" s="13"/>
      <c r="AQ615" s="117"/>
      <c r="AR615" s="123"/>
      <c r="AS615" s="123"/>
      <c r="AT615" s="123"/>
      <c r="AY615" s="115"/>
      <c r="AZ615" s="115"/>
      <c r="BA615" s="115"/>
      <c r="BB615" s="115"/>
      <c r="BC615" s="115"/>
      <c r="BD615" s="115"/>
      <c r="BE615" s="115"/>
      <c r="BF615" s="115"/>
      <c r="BG615" s="115"/>
      <c r="BH615" s="115"/>
      <c r="BI615" s="25"/>
      <c r="BJ615" s="13"/>
      <c r="BM615" s="114"/>
    </row>
    <row r="616" spans="1:65" ht="19.5" x14ac:dyDescent="0.4">
      <c r="A616" s="117"/>
      <c r="B616" s="123"/>
      <c r="C616" s="123"/>
      <c r="D616" s="123"/>
      <c r="Z616" s="127"/>
      <c r="AA616" s="29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25">
        <v>45685</v>
      </c>
      <c r="AL616" s="13" t="s">
        <v>147</v>
      </c>
      <c r="AQ616" s="117"/>
      <c r="AR616" s="123"/>
      <c r="AS616" s="123"/>
      <c r="AT616" s="123"/>
      <c r="AY616" s="115"/>
      <c r="AZ616" s="115"/>
      <c r="BA616" s="115"/>
      <c r="BB616" s="115"/>
      <c r="BC616" s="115"/>
      <c r="BD616" s="115"/>
      <c r="BE616" s="115"/>
      <c r="BF616" s="115"/>
      <c r="BG616" s="115"/>
      <c r="BH616" s="115"/>
      <c r="BI616" s="25"/>
      <c r="BJ616" s="13"/>
      <c r="BM616" s="114"/>
    </row>
    <row r="617" spans="1:65" ht="19.5" x14ac:dyDescent="0.4">
      <c r="A617" s="117"/>
      <c r="B617" s="123"/>
      <c r="C617" s="123"/>
      <c r="D617" s="123"/>
      <c r="Z617" s="127"/>
      <c r="AA617" s="29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25">
        <v>45685</v>
      </c>
      <c r="AL617" s="13" t="s">
        <v>148</v>
      </c>
      <c r="AQ617" s="117"/>
      <c r="AR617" s="123"/>
      <c r="AS617" s="123"/>
      <c r="AT617" s="123"/>
      <c r="AY617" s="115"/>
      <c r="AZ617" s="115"/>
      <c r="BA617" s="115"/>
      <c r="BB617" s="115"/>
      <c r="BC617" s="115"/>
      <c r="BD617" s="115"/>
      <c r="BE617" s="115"/>
      <c r="BF617" s="115"/>
      <c r="BG617" s="115"/>
      <c r="BH617" s="115"/>
      <c r="BI617" s="25"/>
      <c r="BJ617" s="13"/>
      <c r="BM617" s="114"/>
    </row>
    <row r="618" spans="1:65" ht="19.5" x14ac:dyDescent="0.4">
      <c r="A618" s="117"/>
      <c r="B618" s="123"/>
      <c r="C618" s="123"/>
      <c r="D618" s="123"/>
      <c r="Z618" s="127"/>
      <c r="AA618" s="29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25">
        <v>45685</v>
      </c>
      <c r="AL618" s="13" t="s">
        <v>148</v>
      </c>
      <c r="AQ618" s="117"/>
      <c r="AR618" s="123"/>
      <c r="AS618" s="123"/>
      <c r="AT618" s="123"/>
      <c r="AY618" s="115"/>
      <c r="AZ618" s="115"/>
      <c r="BA618" s="115"/>
      <c r="BB618" s="115"/>
      <c r="BC618" s="115"/>
      <c r="BD618" s="115"/>
      <c r="BE618" s="115"/>
      <c r="BF618" s="115"/>
      <c r="BG618" s="115"/>
      <c r="BH618" s="115"/>
      <c r="BI618" s="25"/>
      <c r="BJ618" s="13"/>
      <c r="BM618" s="114"/>
    </row>
    <row r="619" spans="1:65" ht="19.5" x14ac:dyDescent="0.4">
      <c r="A619" s="117"/>
      <c r="B619" s="123"/>
      <c r="C619" s="123"/>
      <c r="D619" s="123"/>
      <c r="Z619" s="128"/>
      <c r="AA619" s="29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25"/>
      <c r="AL619" s="13"/>
      <c r="AQ619" s="117"/>
      <c r="AR619" s="123"/>
      <c r="AS619" s="123"/>
      <c r="AT619" s="123"/>
      <c r="AY619" s="115"/>
      <c r="AZ619" s="115"/>
      <c r="BA619" s="115"/>
      <c r="BB619" s="115"/>
      <c r="BC619" s="115"/>
      <c r="BD619" s="115"/>
      <c r="BE619" s="115"/>
      <c r="BF619" s="115"/>
      <c r="BG619" s="115"/>
      <c r="BH619" s="115"/>
      <c r="BI619" s="25"/>
      <c r="BJ619" s="13"/>
      <c r="BM619" s="114"/>
    </row>
    <row r="620" spans="1:65" ht="19.5" x14ac:dyDescent="0.4">
      <c r="A620" s="117"/>
      <c r="B620" s="123"/>
      <c r="C620" s="123"/>
      <c r="D620" s="123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27"/>
      <c r="AA620" s="29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25"/>
      <c r="AL620" s="13"/>
      <c r="AQ620" s="117"/>
      <c r="AR620" s="123"/>
      <c r="AS620" s="123"/>
      <c r="AT620" s="123"/>
      <c r="AY620" s="115"/>
      <c r="AZ620" s="115"/>
      <c r="BA620" s="115"/>
      <c r="BB620" s="115"/>
      <c r="BC620" s="115"/>
      <c r="BD620" s="115"/>
      <c r="BE620" s="115"/>
      <c r="BF620" s="115"/>
      <c r="BG620" s="115"/>
      <c r="BH620" s="115"/>
      <c r="BI620" s="25"/>
      <c r="BJ620" s="13"/>
      <c r="BM620" s="114"/>
    </row>
    <row r="621" spans="1:65" ht="19.5" x14ac:dyDescent="0.4">
      <c r="A621" s="117"/>
      <c r="B621" s="123"/>
      <c r="C621" s="123"/>
      <c r="D621" s="123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28"/>
      <c r="AA621" s="29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25"/>
      <c r="AL621" s="13"/>
      <c r="AQ621" s="117"/>
      <c r="AR621" s="123"/>
      <c r="AS621" s="123"/>
      <c r="AT621" s="123"/>
      <c r="AY621" s="115"/>
      <c r="AZ621" s="115"/>
      <c r="BA621" s="115"/>
      <c r="BB621" s="115"/>
      <c r="BC621" s="115"/>
      <c r="BD621" s="115"/>
      <c r="BE621" s="115"/>
      <c r="BF621" s="115"/>
      <c r="BG621" s="115"/>
      <c r="BH621" s="115"/>
      <c r="BI621" s="25"/>
      <c r="BJ621" s="13"/>
      <c r="BM621" s="114"/>
    </row>
    <row r="622" spans="1:65" ht="19.5" x14ac:dyDescent="0.4">
      <c r="A622" s="117"/>
      <c r="B622" s="123"/>
      <c r="C622" s="123"/>
      <c r="D622" s="123"/>
      <c r="Z622" s="127"/>
      <c r="AA622" s="29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25">
        <v>45685</v>
      </c>
      <c r="AL622" s="13" t="s">
        <v>148</v>
      </c>
      <c r="AQ622" s="117"/>
      <c r="AR622" s="123"/>
      <c r="AS622" s="123"/>
      <c r="AT622" s="123"/>
      <c r="AY622" s="115"/>
      <c r="AZ622" s="115"/>
      <c r="BA622" s="115"/>
      <c r="BB622" s="115"/>
      <c r="BC622" s="115"/>
      <c r="BD622" s="115"/>
      <c r="BE622" s="115"/>
      <c r="BF622" s="115"/>
      <c r="BG622" s="115"/>
      <c r="BH622" s="115"/>
      <c r="BI622" s="25"/>
      <c r="BJ622" s="13"/>
      <c r="BM622" s="114"/>
    </row>
    <row r="623" spans="1:65" ht="19.5" x14ac:dyDescent="0.4">
      <c r="A623" s="117"/>
      <c r="B623" s="123"/>
      <c r="C623" s="123"/>
      <c r="D623" s="123"/>
      <c r="Z623" s="127"/>
      <c r="AA623" s="29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25">
        <v>45685</v>
      </c>
      <c r="AL623" s="13" t="s">
        <v>148</v>
      </c>
      <c r="AQ623" s="117"/>
      <c r="AR623" s="123"/>
      <c r="AS623" s="123"/>
      <c r="AT623" s="123"/>
      <c r="AY623" s="115"/>
      <c r="AZ623" s="115"/>
      <c r="BA623" s="115"/>
      <c r="BB623" s="115"/>
      <c r="BC623" s="115"/>
      <c r="BD623" s="115"/>
      <c r="BE623" s="115"/>
      <c r="BF623" s="115"/>
      <c r="BG623" s="115"/>
      <c r="BH623" s="115"/>
      <c r="BI623" s="25"/>
      <c r="BJ623" s="13"/>
      <c r="BM623" s="114"/>
    </row>
    <row r="624" spans="1:65" ht="19.5" x14ac:dyDescent="0.4">
      <c r="A624" s="117"/>
      <c r="B624" s="123"/>
      <c r="C624" s="123"/>
      <c r="D624" s="123"/>
      <c r="Z624" s="127"/>
      <c r="AA624" s="29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25">
        <v>45685</v>
      </c>
      <c r="AL624" s="13" t="s">
        <v>146</v>
      </c>
      <c r="AQ624" s="117"/>
      <c r="AR624" s="123"/>
      <c r="AS624" s="123"/>
      <c r="AT624" s="123"/>
      <c r="AY624" s="115"/>
      <c r="AZ624" s="115"/>
      <c r="BA624" s="115"/>
      <c r="BB624" s="115"/>
      <c r="BC624" s="115"/>
      <c r="BD624" s="115"/>
      <c r="BE624" s="115"/>
      <c r="BF624" s="115"/>
      <c r="BG624" s="115"/>
      <c r="BH624" s="115"/>
      <c r="BI624" s="25"/>
      <c r="BJ624" s="13"/>
      <c r="BM624" s="114"/>
    </row>
    <row r="625" spans="1:65" ht="19.5" x14ac:dyDescent="0.4">
      <c r="A625" s="117"/>
      <c r="B625" s="123"/>
      <c r="C625" s="123"/>
      <c r="D625" s="123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27"/>
      <c r="AA625" s="29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25"/>
      <c r="AL625" s="13"/>
      <c r="AQ625" s="117"/>
      <c r="AR625" s="123"/>
      <c r="AS625" s="123"/>
      <c r="AT625" s="123"/>
      <c r="AY625" s="115"/>
      <c r="AZ625" s="115"/>
      <c r="BA625" s="115"/>
      <c r="BB625" s="115"/>
      <c r="BC625" s="115"/>
      <c r="BD625" s="115"/>
      <c r="BE625" s="115"/>
      <c r="BF625" s="115"/>
      <c r="BG625" s="115"/>
      <c r="BH625" s="115"/>
      <c r="BI625" s="25"/>
      <c r="BJ625" s="13"/>
      <c r="BM625" s="114"/>
    </row>
    <row r="626" spans="1:65" ht="19.5" x14ac:dyDescent="0.4">
      <c r="A626" s="117"/>
      <c r="B626" s="123"/>
      <c r="C626" s="123"/>
      <c r="D626" s="123"/>
      <c r="Z626" s="127"/>
      <c r="AA626" s="29"/>
      <c r="AK626" s="25">
        <v>45685</v>
      </c>
      <c r="AL626" s="13" t="s">
        <v>148</v>
      </c>
      <c r="AQ626" s="117"/>
      <c r="AR626" s="123"/>
      <c r="AS626" s="123"/>
      <c r="AT626" s="123"/>
      <c r="AY626" s="115"/>
      <c r="AZ626" s="115"/>
      <c r="BA626" s="115"/>
      <c r="BB626" s="115"/>
      <c r="BC626" s="115"/>
      <c r="BD626" s="115"/>
      <c r="BE626" s="115"/>
      <c r="BF626" s="115"/>
      <c r="BG626" s="115"/>
      <c r="BH626" s="115" t="s">
        <v>150</v>
      </c>
      <c r="BI626" s="13">
        <f>SUBTOTAL(3,BI613:BI613)</f>
        <v>1</v>
      </c>
      <c r="BJ626" s="13">
        <f>SUBTOTAL(3,BJ613:BJ613)</f>
        <v>1</v>
      </c>
      <c r="BM626" s="114"/>
    </row>
    <row r="627" spans="1:65" ht="19.5" x14ac:dyDescent="0.4">
      <c r="A627" s="117"/>
      <c r="B627" s="123"/>
      <c r="C627" s="123"/>
      <c r="D627" s="123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27"/>
      <c r="AA627" s="29"/>
      <c r="AK627" s="25"/>
      <c r="AL627" s="13"/>
      <c r="AQ627" s="117"/>
      <c r="AR627" s="123"/>
      <c r="AS627" s="123"/>
      <c r="AT627" s="123"/>
      <c r="AY627" s="115"/>
      <c r="AZ627" s="115"/>
      <c r="BA627" s="115"/>
      <c r="BB627" s="115"/>
      <c r="BC627" s="115"/>
      <c r="BD627" s="115"/>
      <c r="BE627" s="115"/>
      <c r="BF627" s="115"/>
      <c r="BG627" s="115"/>
      <c r="BH627" s="115"/>
      <c r="BI627" s="13"/>
      <c r="BJ627" s="13"/>
      <c r="BM627" s="114"/>
    </row>
    <row r="628" spans="1:65" ht="19.5" x14ac:dyDescent="0.4">
      <c r="A628" s="117"/>
      <c r="B628" s="123"/>
      <c r="C628" s="123"/>
      <c r="D628" s="123"/>
      <c r="Z628" s="127"/>
      <c r="AA628" s="29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25">
        <v>45685</v>
      </c>
      <c r="AL628" s="15" t="s">
        <v>146</v>
      </c>
      <c r="AQ628" s="117"/>
      <c r="AR628" s="123"/>
      <c r="AS628" s="123"/>
      <c r="AT628" s="123"/>
      <c r="AY628" s="115"/>
      <c r="AZ628" s="115"/>
      <c r="BA628" s="115"/>
      <c r="BB628" s="115"/>
      <c r="BC628" s="115"/>
      <c r="BD628" s="115"/>
      <c r="BE628" s="115"/>
      <c r="BF628" s="115"/>
      <c r="BG628" s="115"/>
      <c r="BH628" s="115"/>
      <c r="BI628" s="13"/>
      <c r="BJ628" s="13"/>
      <c r="BM628" s="114"/>
    </row>
    <row r="629" spans="1:65" ht="19.5" x14ac:dyDescent="0.4">
      <c r="A629" s="117"/>
      <c r="B629" s="123"/>
      <c r="C629" s="123"/>
      <c r="D629" s="123"/>
      <c r="Z629" s="127"/>
      <c r="AA629" s="29"/>
      <c r="AK629" s="25">
        <v>45685</v>
      </c>
      <c r="AL629" s="15" t="s">
        <v>146</v>
      </c>
      <c r="AQ629" s="117"/>
      <c r="AR629" s="123"/>
      <c r="AS629" s="123"/>
      <c r="AT629" s="123"/>
      <c r="AY629" s="115"/>
      <c r="AZ629" s="115"/>
      <c r="BA629" s="115"/>
      <c r="BB629" s="115"/>
      <c r="BC629" s="115"/>
      <c r="BD629" s="115"/>
      <c r="BE629" s="115"/>
      <c r="BF629" s="115"/>
      <c r="BG629" s="115"/>
      <c r="BH629" s="115"/>
      <c r="BI629" s="25">
        <v>45264</v>
      </c>
      <c r="BJ629" s="13" t="s">
        <v>162</v>
      </c>
      <c r="BM629" s="114"/>
    </row>
    <row r="630" spans="1:65" ht="19.5" x14ac:dyDescent="0.4">
      <c r="A630" s="117"/>
      <c r="B630" s="123"/>
      <c r="C630" s="123"/>
      <c r="D630" s="123"/>
      <c r="Z630" s="127"/>
      <c r="AA630" s="29"/>
      <c r="AG630" s="115"/>
      <c r="AH630" s="115"/>
      <c r="AI630" s="115"/>
      <c r="AJ630" s="115"/>
      <c r="AK630" s="25">
        <v>45686</v>
      </c>
      <c r="AL630" s="15" t="s">
        <v>148</v>
      </c>
      <c r="AQ630" s="117"/>
      <c r="AR630" s="123"/>
      <c r="AS630" s="123"/>
      <c r="AT630" s="123"/>
      <c r="AY630" s="115"/>
      <c r="AZ630" s="115"/>
      <c r="BA630" s="115"/>
      <c r="BB630" s="115"/>
      <c r="BC630" s="115"/>
      <c r="BD630" s="115"/>
      <c r="BE630" s="115"/>
      <c r="BF630" s="115"/>
      <c r="BG630" s="115"/>
      <c r="BH630" s="115"/>
      <c r="BI630" s="25"/>
      <c r="BJ630" s="13"/>
      <c r="BM630" s="114"/>
    </row>
    <row r="631" spans="1:65" ht="19.5" x14ac:dyDescent="0.4">
      <c r="A631" s="117"/>
      <c r="B631" s="123"/>
      <c r="C631" s="123"/>
      <c r="D631" s="123"/>
      <c r="Z631" s="127"/>
      <c r="AA631" s="29"/>
      <c r="AE631" s="115"/>
      <c r="AF631" s="115"/>
      <c r="AG631" s="115"/>
      <c r="AH631" s="115"/>
      <c r="AI631" s="115"/>
      <c r="AJ631" s="115"/>
      <c r="AK631" s="25">
        <v>45686</v>
      </c>
      <c r="AL631" s="15" t="s">
        <v>146</v>
      </c>
      <c r="AQ631" s="117"/>
      <c r="AR631" s="123"/>
      <c r="AS631" s="123"/>
      <c r="AT631" s="123"/>
      <c r="AY631" s="115"/>
      <c r="AZ631" s="115"/>
      <c r="BA631" s="115"/>
      <c r="BB631" s="115"/>
      <c r="BC631" s="115"/>
      <c r="BD631" s="115"/>
      <c r="BE631" s="115"/>
      <c r="BF631" s="115"/>
      <c r="BG631" s="115"/>
      <c r="BH631" s="115"/>
      <c r="BI631" s="25"/>
      <c r="BJ631" s="13"/>
      <c r="BM631" s="114"/>
    </row>
    <row r="632" spans="1:65" ht="19.5" x14ac:dyDescent="0.4">
      <c r="A632" s="117"/>
      <c r="B632" s="123"/>
      <c r="C632" s="123"/>
      <c r="D632" s="123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27"/>
      <c r="AA632" s="29"/>
      <c r="AE632" s="115"/>
      <c r="AF632" s="115"/>
      <c r="AG632" s="115"/>
      <c r="AH632" s="115"/>
      <c r="AI632" s="115"/>
      <c r="AJ632" s="115"/>
      <c r="AK632" s="25"/>
      <c r="AL632" s="15"/>
      <c r="AQ632" s="117"/>
      <c r="AR632" s="123"/>
      <c r="AS632" s="123"/>
      <c r="AT632" s="123"/>
      <c r="AY632" s="115"/>
      <c r="AZ632" s="115"/>
      <c r="BA632" s="115"/>
      <c r="BB632" s="115"/>
      <c r="BC632" s="115"/>
      <c r="BD632" s="115"/>
      <c r="BE632" s="115"/>
      <c r="BF632" s="115"/>
      <c r="BG632" s="115"/>
      <c r="BH632" s="115"/>
      <c r="BI632" s="25"/>
      <c r="BJ632" s="13"/>
      <c r="BM632" s="114"/>
    </row>
    <row r="633" spans="1:65" ht="19.5" x14ac:dyDescent="0.4">
      <c r="A633" s="117"/>
      <c r="B633" s="123"/>
      <c r="C633" s="123"/>
      <c r="D633" s="123"/>
      <c r="Z633" s="127"/>
      <c r="AA633" s="29"/>
      <c r="AE633" s="115"/>
      <c r="AF633" s="115"/>
      <c r="AG633" s="115"/>
      <c r="AH633" s="115"/>
      <c r="AI633" s="115"/>
      <c r="AJ633" s="115"/>
      <c r="AK633" s="25">
        <v>45686</v>
      </c>
      <c r="AL633" s="15" t="s">
        <v>148</v>
      </c>
      <c r="AQ633" s="117"/>
      <c r="AR633" s="123"/>
      <c r="AS633" s="123"/>
      <c r="AT633" s="123"/>
      <c r="AY633" s="115"/>
      <c r="AZ633" s="115"/>
      <c r="BA633" s="115"/>
      <c r="BB633" s="115"/>
      <c r="BC633" s="115"/>
      <c r="BD633" s="115"/>
      <c r="BE633" s="115"/>
      <c r="BF633" s="115"/>
      <c r="BG633" s="115"/>
      <c r="BH633" s="115"/>
      <c r="BI633" s="25"/>
      <c r="BJ633" s="13"/>
      <c r="BM633" s="114"/>
    </row>
    <row r="634" spans="1:65" ht="19.5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27"/>
      <c r="AA634" s="29"/>
      <c r="AE634" s="115"/>
      <c r="AF634" s="115"/>
      <c r="AG634" s="115"/>
      <c r="AH634" s="115"/>
      <c r="AI634" s="115"/>
      <c r="AJ634" s="115"/>
      <c r="AK634" s="25"/>
      <c r="AL634" s="15"/>
      <c r="AQ634" s="117"/>
      <c r="AR634" s="123"/>
      <c r="AS634" s="123"/>
      <c r="AT634" s="123"/>
      <c r="AY634" s="115"/>
      <c r="AZ634" s="115"/>
      <c r="BA634" s="115"/>
      <c r="BB634" s="115"/>
      <c r="BC634" s="115"/>
      <c r="BD634" s="115"/>
      <c r="BE634" s="115"/>
      <c r="BF634" s="115"/>
      <c r="BG634" s="115"/>
      <c r="BH634" s="115"/>
      <c r="BI634" s="25"/>
      <c r="BJ634" s="13"/>
      <c r="BM634" s="114"/>
    </row>
    <row r="635" spans="1:65" ht="19.5" x14ac:dyDescent="0.4">
      <c r="A635" s="117"/>
      <c r="B635" s="123"/>
      <c r="C635" s="123"/>
      <c r="D635" s="123"/>
      <c r="Z635" s="127"/>
      <c r="AA635" s="29"/>
      <c r="AK635" s="25">
        <v>45686</v>
      </c>
      <c r="AL635" s="15" t="s">
        <v>146</v>
      </c>
      <c r="AQ635" s="117"/>
      <c r="AR635" s="123"/>
      <c r="AS635" s="123"/>
      <c r="AT635" s="123"/>
      <c r="AY635" s="115"/>
      <c r="AZ635" s="115"/>
      <c r="BA635" s="115"/>
      <c r="BB635" s="115"/>
      <c r="BC635" s="115"/>
      <c r="BD635" s="115"/>
      <c r="BE635" s="115"/>
      <c r="BF635" s="115"/>
      <c r="BG635" s="115"/>
      <c r="BH635" s="115" t="s">
        <v>154</v>
      </c>
      <c r="BI635" s="13">
        <f>SUBTOTAL(3,BI629:BI629)</f>
        <v>1</v>
      </c>
      <c r="BJ635" s="13">
        <f>SUBTOTAL(3,BJ629:BJ629)</f>
        <v>1</v>
      </c>
      <c r="BM635" s="114"/>
    </row>
    <row r="636" spans="1:65" ht="19.5" x14ac:dyDescent="0.4">
      <c r="A636" s="117"/>
      <c r="B636" s="123"/>
      <c r="C636" s="123"/>
      <c r="D636" s="123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27"/>
      <c r="AA636" s="29"/>
      <c r="AK636" s="25"/>
      <c r="AL636" s="15"/>
      <c r="AQ636" s="117"/>
      <c r="AR636" s="123"/>
      <c r="AS636" s="123"/>
      <c r="AT636" s="123"/>
      <c r="AY636" s="115"/>
      <c r="AZ636" s="115"/>
      <c r="BA636" s="115"/>
      <c r="BB636" s="115"/>
      <c r="BC636" s="115"/>
      <c r="BD636" s="115"/>
      <c r="BE636" s="115"/>
      <c r="BF636" s="115"/>
      <c r="BG636" s="115"/>
      <c r="BH636" s="115"/>
      <c r="BI636" s="13"/>
      <c r="BJ636" s="13"/>
      <c r="BM636" s="114"/>
    </row>
    <row r="637" spans="1:65" ht="19.5" x14ac:dyDescent="0.4">
      <c r="A637" s="117"/>
      <c r="B637" s="123"/>
      <c r="C637" s="123"/>
      <c r="D637" s="123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27"/>
      <c r="AA637" s="29"/>
      <c r="AK637" s="25"/>
      <c r="AL637" s="15"/>
      <c r="AQ637" s="117"/>
      <c r="AR637" s="123"/>
      <c r="AS637" s="123"/>
      <c r="AT637" s="123"/>
      <c r="AY637" s="115"/>
      <c r="AZ637" s="115"/>
      <c r="BA637" s="115"/>
      <c r="BB637" s="115"/>
      <c r="BC637" s="115"/>
      <c r="BD637" s="115"/>
      <c r="BE637" s="115"/>
      <c r="BF637" s="115"/>
      <c r="BG637" s="115"/>
      <c r="BH637" s="115"/>
      <c r="BI637" s="13"/>
      <c r="BJ637" s="13"/>
      <c r="BM637" s="114"/>
    </row>
    <row r="638" spans="1:65" ht="19.5" x14ac:dyDescent="0.4">
      <c r="A638" s="117"/>
      <c r="B638" s="123"/>
      <c r="C638" s="123"/>
      <c r="D638" s="123"/>
      <c r="Z638" s="127"/>
      <c r="AA638" s="29"/>
      <c r="AK638" s="25">
        <v>45686</v>
      </c>
      <c r="AL638" s="15" t="s">
        <v>146</v>
      </c>
      <c r="AQ638" s="117"/>
      <c r="AR638" s="123"/>
      <c r="AS638" s="123"/>
      <c r="AT638" s="123"/>
      <c r="AY638" s="115"/>
      <c r="AZ638" s="115"/>
      <c r="BA638" s="115"/>
      <c r="BB638" s="115"/>
      <c r="BC638" s="115"/>
      <c r="BD638" s="115"/>
      <c r="BE638" s="115"/>
      <c r="BF638" s="115"/>
      <c r="BG638" s="115"/>
      <c r="BH638" s="115"/>
      <c r="BI638" s="25">
        <v>45265</v>
      </c>
      <c r="BJ638" s="13" t="s">
        <v>162</v>
      </c>
      <c r="BM638" s="114"/>
    </row>
    <row r="639" spans="1:65" ht="19.5" x14ac:dyDescent="0.4">
      <c r="A639" s="117"/>
      <c r="B639" s="123"/>
      <c r="C639" s="123"/>
      <c r="D639" s="123"/>
      <c r="Z639" s="127"/>
      <c r="AA639" s="29"/>
      <c r="AK639" s="25">
        <v>45686</v>
      </c>
      <c r="AL639" s="15" t="s">
        <v>146</v>
      </c>
      <c r="AQ639" s="117"/>
      <c r="AR639" s="123"/>
      <c r="AS639" s="123"/>
      <c r="AT639" s="123"/>
      <c r="AY639" s="115"/>
      <c r="AZ639" s="115"/>
      <c r="BA639" s="115"/>
      <c r="BB639" s="115"/>
      <c r="BC639" s="115"/>
      <c r="BD639" s="115"/>
      <c r="BE639" s="115"/>
      <c r="BF639" s="115"/>
      <c r="BG639" s="115"/>
      <c r="BH639" s="115"/>
      <c r="BI639" s="25">
        <v>45265</v>
      </c>
      <c r="BJ639" s="25" t="s">
        <v>162</v>
      </c>
      <c r="BM639" s="114"/>
    </row>
    <row r="640" spans="1:65" ht="19.5" x14ac:dyDescent="0.4">
      <c r="A640" s="117"/>
      <c r="B640" s="123"/>
      <c r="C640" s="123"/>
      <c r="D640" s="123"/>
      <c r="Z640" s="127"/>
      <c r="AA640" s="29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25">
        <v>45686</v>
      </c>
      <c r="AL640" s="15" t="s">
        <v>146</v>
      </c>
      <c r="AQ640" s="117"/>
      <c r="AR640" s="123"/>
      <c r="AS640" s="123"/>
      <c r="AT640" s="123"/>
      <c r="AY640" s="115"/>
      <c r="AZ640" s="115"/>
      <c r="BA640" s="115"/>
      <c r="BB640" s="115"/>
      <c r="BC640" s="115"/>
      <c r="BD640" s="115"/>
      <c r="BE640" s="115"/>
      <c r="BF640" s="115"/>
      <c r="BG640" s="115"/>
      <c r="BH640" s="115"/>
      <c r="BI640" s="25"/>
      <c r="BJ640" s="25"/>
      <c r="BM640" s="114"/>
    </row>
    <row r="641" spans="1:65" ht="19.5" x14ac:dyDescent="0.4">
      <c r="A641" s="117"/>
      <c r="B641" s="123"/>
      <c r="C641" s="123"/>
      <c r="D641" s="123"/>
      <c r="Z641" s="128"/>
      <c r="AA641" s="29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25"/>
      <c r="AL641" s="13"/>
      <c r="AQ641" s="117"/>
      <c r="AR641" s="123"/>
      <c r="AS641" s="123"/>
      <c r="AT641" s="123"/>
      <c r="AY641" s="115"/>
      <c r="AZ641" s="115"/>
      <c r="BA641" s="115"/>
      <c r="BB641" s="115"/>
      <c r="BC641" s="115"/>
      <c r="BD641" s="115"/>
      <c r="BE641" s="115"/>
      <c r="BF641" s="115"/>
      <c r="BG641" s="115"/>
      <c r="BH641" s="115"/>
      <c r="BI641" s="25"/>
      <c r="BJ641" s="25"/>
      <c r="BM641" s="114"/>
    </row>
    <row r="642" spans="1:65" ht="19.5" x14ac:dyDescent="0.4">
      <c r="A642" s="117"/>
      <c r="B642" s="123"/>
      <c r="C642" s="123"/>
      <c r="D642" s="123"/>
      <c r="Z642" s="127"/>
      <c r="AA642" s="29"/>
      <c r="AK642" s="25">
        <v>45686</v>
      </c>
      <c r="AL642" s="13" t="s">
        <v>146</v>
      </c>
      <c r="AQ642" s="117"/>
      <c r="AR642" s="123"/>
      <c r="AS642" s="123"/>
      <c r="AT642" s="123"/>
      <c r="AY642" s="115"/>
      <c r="AZ642" s="115"/>
      <c r="BA642" s="115"/>
      <c r="BB642" s="115"/>
      <c r="BC642" s="115"/>
      <c r="BD642" s="115"/>
      <c r="BE642" s="115"/>
      <c r="BF642" s="115"/>
      <c r="BG642" s="115"/>
      <c r="BH642" s="115"/>
      <c r="BI642" s="25">
        <v>45265</v>
      </c>
      <c r="BJ642" s="13" t="s">
        <v>162</v>
      </c>
      <c r="BM642" s="114"/>
    </row>
    <row r="643" spans="1:65" ht="19.5" x14ac:dyDescent="0.4">
      <c r="A643" s="117"/>
      <c r="B643" s="123"/>
      <c r="C643" s="123"/>
      <c r="D643" s="123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27"/>
      <c r="AA643" s="29"/>
      <c r="AK643" s="25"/>
      <c r="AL643" s="13"/>
      <c r="AQ643" s="117"/>
      <c r="AR643" s="123"/>
      <c r="AS643" s="123"/>
      <c r="AT643" s="123"/>
      <c r="AY643" s="115"/>
      <c r="AZ643" s="115"/>
      <c r="BA643" s="115"/>
      <c r="BB643" s="115"/>
      <c r="BC643" s="115"/>
      <c r="BD643" s="115"/>
      <c r="BE643" s="115"/>
      <c r="BF643" s="115"/>
      <c r="BG643" s="115"/>
      <c r="BH643" s="115"/>
      <c r="BI643" s="25"/>
      <c r="BJ643" s="13"/>
      <c r="BM643" s="114"/>
    </row>
    <row r="644" spans="1:65" ht="19.5" x14ac:dyDescent="0.4">
      <c r="A644" s="117"/>
      <c r="B644" s="123"/>
      <c r="C644" s="123"/>
      <c r="D644" s="123"/>
      <c r="Z644" s="127"/>
      <c r="AA644" s="29"/>
      <c r="AG644" s="115"/>
      <c r="AH644" s="115"/>
      <c r="AI644" s="115"/>
      <c r="AJ644" s="115"/>
      <c r="AK644" s="25">
        <v>45686</v>
      </c>
      <c r="AL644" s="15" t="s">
        <v>146</v>
      </c>
      <c r="AQ644" s="117"/>
      <c r="AR644" s="123"/>
      <c r="AS644" s="123"/>
      <c r="AT644" s="123"/>
      <c r="AY644" s="115"/>
      <c r="AZ644" s="115"/>
      <c r="BA644" s="115"/>
      <c r="BB644" s="115"/>
      <c r="BC644" s="115"/>
      <c r="BD644" s="115"/>
      <c r="BE644" s="115"/>
      <c r="BF644" s="115"/>
      <c r="BG644" s="115"/>
      <c r="BH644" s="115"/>
      <c r="BI644" s="25"/>
      <c r="BJ644" s="13"/>
      <c r="BM644" s="114"/>
    </row>
    <row r="645" spans="1:65" ht="19.5" x14ac:dyDescent="0.4">
      <c r="A645" s="117"/>
      <c r="B645" s="123"/>
      <c r="C645" s="123"/>
      <c r="D645" s="123"/>
      <c r="Z645" s="127"/>
      <c r="AA645" s="29"/>
      <c r="AK645" s="25">
        <v>45686</v>
      </c>
      <c r="AL645" s="15" t="s">
        <v>147</v>
      </c>
      <c r="AQ645" s="117"/>
      <c r="AR645" s="123"/>
      <c r="AS645" s="123"/>
      <c r="AT645" s="123"/>
      <c r="AY645" s="115"/>
      <c r="AZ645" s="115"/>
      <c r="BA645" s="115"/>
      <c r="BB645" s="115"/>
      <c r="BC645" s="115"/>
      <c r="BD645" s="115"/>
      <c r="BE645" s="115"/>
      <c r="BF645" s="115"/>
      <c r="BG645" s="115"/>
      <c r="BH645" s="115"/>
      <c r="BI645" s="25">
        <v>45265</v>
      </c>
      <c r="BJ645" s="13" t="s">
        <v>162</v>
      </c>
      <c r="BM645" s="114"/>
    </row>
    <row r="646" spans="1:65" ht="19.5" x14ac:dyDescent="0.4">
      <c r="A646" s="117"/>
      <c r="B646" s="123"/>
      <c r="C646" s="123"/>
      <c r="D646" s="123"/>
      <c r="Z646" s="127"/>
      <c r="AA646" s="29"/>
      <c r="AH646" s="115"/>
      <c r="AI646" s="115"/>
      <c r="AJ646" s="115"/>
      <c r="AK646" s="25">
        <v>45686</v>
      </c>
      <c r="AL646" s="15" t="s">
        <v>147</v>
      </c>
      <c r="AQ646" s="117"/>
      <c r="AR646" s="123"/>
      <c r="AS646" s="123"/>
      <c r="AT646" s="123"/>
      <c r="AY646" s="115"/>
      <c r="AZ646" s="115"/>
      <c r="BA646" s="115"/>
      <c r="BB646" s="115"/>
      <c r="BC646" s="115"/>
      <c r="BD646" s="115"/>
      <c r="BE646" s="115"/>
      <c r="BF646" s="115"/>
      <c r="BG646" s="115"/>
      <c r="BH646" s="115"/>
      <c r="BI646" s="25"/>
      <c r="BJ646" s="13"/>
      <c r="BM646" s="114"/>
    </row>
    <row r="647" spans="1:65" ht="19.5" x14ac:dyDescent="0.4">
      <c r="A647" s="117"/>
      <c r="B647" s="123"/>
      <c r="C647" s="123"/>
      <c r="D647" s="123"/>
      <c r="Z647" s="127"/>
      <c r="AA647" s="29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25">
        <v>45686</v>
      </c>
      <c r="AL647" s="13" t="s">
        <v>146</v>
      </c>
      <c r="AQ647" s="117"/>
      <c r="AR647" s="123"/>
      <c r="AS647" s="123"/>
      <c r="AT647" s="123"/>
      <c r="AY647" s="115"/>
      <c r="AZ647" s="115"/>
      <c r="BA647" s="115"/>
      <c r="BB647" s="115"/>
      <c r="BC647" s="115"/>
      <c r="BD647" s="115"/>
      <c r="BE647" s="115"/>
      <c r="BF647" s="115"/>
      <c r="BG647" s="115"/>
      <c r="BH647" s="115"/>
      <c r="BI647" s="25"/>
      <c r="BJ647" s="13"/>
      <c r="BM647" s="114"/>
    </row>
    <row r="648" spans="1:65" ht="19.5" x14ac:dyDescent="0.4">
      <c r="A648" s="117"/>
      <c r="B648" s="123"/>
      <c r="C648" s="123"/>
      <c r="D648" s="123"/>
      <c r="Z648" s="127"/>
      <c r="AA648" s="29"/>
      <c r="AK648" s="25">
        <v>45686</v>
      </c>
      <c r="AL648" s="25" t="s">
        <v>146</v>
      </c>
      <c r="AQ648" s="117"/>
      <c r="AR648" s="123"/>
      <c r="AS648" s="123"/>
      <c r="AT648" s="123"/>
      <c r="AY648" s="115"/>
      <c r="AZ648" s="115"/>
      <c r="BA648" s="115"/>
      <c r="BB648" s="115"/>
      <c r="BC648" s="115"/>
      <c r="BD648" s="115"/>
      <c r="BE648" s="115"/>
      <c r="BF648" s="115"/>
      <c r="BG648" s="115"/>
      <c r="BH648" s="115"/>
      <c r="BI648" s="25">
        <v>45265</v>
      </c>
      <c r="BJ648" s="13" t="s">
        <v>163</v>
      </c>
      <c r="BM648" s="114"/>
    </row>
    <row r="649" spans="1:65" ht="19.5" x14ac:dyDescent="0.4">
      <c r="A649" s="117"/>
      <c r="B649" s="123"/>
      <c r="C649" s="123"/>
      <c r="D649" s="123"/>
      <c r="Z649" s="127"/>
      <c r="AA649" s="29"/>
      <c r="AK649" s="25">
        <v>45686</v>
      </c>
      <c r="AL649" s="25" t="s">
        <v>147</v>
      </c>
      <c r="AQ649" s="117"/>
      <c r="AR649" s="123"/>
      <c r="AS649" s="123"/>
      <c r="AT649" s="123"/>
      <c r="AY649" s="115"/>
      <c r="AZ649" s="115"/>
      <c r="BA649" s="115"/>
      <c r="BB649" s="115"/>
      <c r="BC649" s="115"/>
      <c r="BD649" s="115"/>
      <c r="BE649" s="115"/>
      <c r="BF649" s="115"/>
      <c r="BG649" s="115"/>
      <c r="BH649" s="115" t="s">
        <v>155</v>
      </c>
      <c r="BI649" s="13">
        <f>SUBTOTAL(3,BI638:BI648)</f>
        <v>5</v>
      </c>
      <c r="BJ649" s="13">
        <f>SUBTOTAL(3,BJ638:BJ648)</f>
        <v>5</v>
      </c>
      <c r="BM649" s="114"/>
    </row>
    <row r="650" spans="1:65" ht="19.5" x14ac:dyDescent="0.4">
      <c r="A650" s="117"/>
      <c r="B650" s="123"/>
      <c r="C650" s="123"/>
      <c r="D650" s="123"/>
      <c r="Z650" s="127"/>
      <c r="AA650" s="29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25">
        <v>45686</v>
      </c>
      <c r="AL650" s="25" t="s">
        <v>148</v>
      </c>
      <c r="AQ650" s="117"/>
      <c r="AR650" s="123"/>
      <c r="AS650" s="123"/>
      <c r="AT650" s="123"/>
      <c r="AY650" s="115"/>
      <c r="AZ650" s="115"/>
      <c r="BA650" s="115"/>
      <c r="BB650" s="115"/>
      <c r="BC650" s="115"/>
      <c r="BD650" s="115"/>
      <c r="BE650" s="115"/>
      <c r="BF650" s="115"/>
      <c r="BG650" s="115"/>
      <c r="BH650" s="115"/>
      <c r="BI650" s="13"/>
      <c r="BJ650" s="13"/>
      <c r="BM650" s="114"/>
    </row>
    <row r="651" spans="1:65" ht="19.5" x14ac:dyDescent="0.4">
      <c r="A651" s="117"/>
      <c r="B651" s="123"/>
      <c r="C651" s="123"/>
      <c r="D651" s="123"/>
      <c r="Z651" s="127"/>
      <c r="AA651" s="29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25">
        <v>45686</v>
      </c>
      <c r="AL651" s="13" t="s">
        <v>146</v>
      </c>
      <c r="AQ651" s="117"/>
      <c r="AR651" s="123"/>
      <c r="AS651" s="123"/>
      <c r="AT651" s="123"/>
      <c r="AY651" s="115"/>
      <c r="AZ651" s="115"/>
      <c r="BA651" s="115"/>
      <c r="BB651" s="115"/>
      <c r="BC651" s="115"/>
      <c r="BD651" s="115"/>
      <c r="BE651" s="115"/>
      <c r="BF651" s="115"/>
      <c r="BG651" s="115"/>
      <c r="BH651" s="115"/>
      <c r="BI651" s="13"/>
      <c r="BJ651" s="13"/>
      <c r="BM651" s="114"/>
    </row>
    <row r="652" spans="1:65" ht="19.5" x14ac:dyDescent="0.4">
      <c r="A652" s="117"/>
      <c r="B652" s="123"/>
      <c r="C652" s="123"/>
      <c r="D652" s="123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27"/>
      <c r="AA652" s="29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25">
        <v>45686</v>
      </c>
      <c r="AL652" s="13" t="s">
        <v>146</v>
      </c>
      <c r="AQ652" s="117"/>
      <c r="AR652" s="123"/>
      <c r="AS652" s="123"/>
      <c r="AT652" s="123"/>
      <c r="AY652" s="115"/>
      <c r="AZ652" s="115"/>
      <c r="BA652" s="115"/>
      <c r="BB652" s="115"/>
      <c r="BC652" s="115"/>
      <c r="BD652" s="115"/>
      <c r="BE652" s="115"/>
      <c r="BF652" s="115"/>
      <c r="BG652" s="115"/>
      <c r="BH652" s="115"/>
      <c r="BI652" s="13"/>
      <c r="BJ652" s="13"/>
      <c r="BM652" s="114"/>
    </row>
    <row r="653" spans="1:65" ht="19.5" x14ac:dyDescent="0.4">
      <c r="A653" s="117"/>
      <c r="B653" s="123"/>
      <c r="C653" s="123"/>
      <c r="D653" s="123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27"/>
      <c r="AA653" s="29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25">
        <v>45686</v>
      </c>
      <c r="AL653" s="15" t="s">
        <v>148</v>
      </c>
      <c r="AQ653" s="117"/>
      <c r="AR653" s="123"/>
      <c r="AS653" s="123"/>
      <c r="AT653" s="123"/>
      <c r="AY653" s="115"/>
      <c r="AZ653" s="115"/>
      <c r="BA653" s="115"/>
      <c r="BB653" s="115"/>
      <c r="BC653" s="115"/>
      <c r="BD653" s="115"/>
      <c r="BE653" s="115"/>
      <c r="BF653" s="115"/>
      <c r="BG653" s="115"/>
      <c r="BH653" s="115"/>
      <c r="BI653" s="13"/>
      <c r="BJ653" s="13"/>
      <c r="BM653" s="114"/>
    </row>
    <row r="654" spans="1:65" ht="19.5" x14ac:dyDescent="0.4">
      <c r="A654" s="117"/>
      <c r="B654" s="123"/>
      <c r="C654" s="123"/>
      <c r="D654" s="123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27"/>
      <c r="AA654" s="29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25">
        <v>45686</v>
      </c>
      <c r="AL654" s="15" t="s">
        <v>148</v>
      </c>
      <c r="AQ654" s="117"/>
      <c r="AR654" s="123"/>
      <c r="AS654" s="123"/>
      <c r="AT654" s="123"/>
      <c r="AY654" s="115"/>
      <c r="AZ654" s="115"/>
      <c r="BA654" s="115"/>
      <c r="BB654" s="115"/>
      <c r="BC654" s="115"/>
      <c r="BD654" s="115"/>
      <c r="BE654" s="115"/>
      <c r="BF654" s="115"/>
      <c r="BG654" s="115"/>
      <c r="BH654" s="115"/>
      <c r="BI654" s="13"/>
      <c r="BJ654" s="13"/>
      <c r="BM654" s="114"/>
    </row>
    <row r="655" spans="1:65" ht="19.5" x14ac:dyDescent="0.4">
      <c r="A655" s="117"/>
      <c r="B655" s="123"/>
      <c r="C655" s="123"/>
      <c r="D655" s="123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27"/>
      <c r="AA655" s="29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25">
        <v>45686</v>
      </c>
      <c r="AL655" s="15" t="s">
        <v>148</v>
      </c>
      <c r="AQ655" s="117"/>
      <c r="AR655" s="123"/>
      <c r="AS655" s="123"/>
      <c r="AT655" s="123"/>
      <c r="AY655" s="115"/>
      <c r="AZ655" s="115"/>
      <c r="BA655" s="115"/>
      <c r="BB655" s="115"/>
      <c r="BC655" s="115"/>
      <c r="BD655" s="115"/>
      <c r="BE655" s="115"/>
      <c r="BF655" s="115"/>
      <c r="BG655" s="115"/>
      <c r="BH655" s="115"/>
      <c r="BI655" s="13"/>
      <c r="BJ655" s="13"/>
      <c r="BM655" s="114"/>
    </row>
    <row r="656" spans="1:65" ht="19.5" x14ac:dyDescent="0.4">
      <c r="A656" s="117"/>
      <c r="B656" s="123"/>
      <c r="C656" s="123"/>
      <c r="D656" s="123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27"/>
      <c r="AA656" s="29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25">
        <v>45686</v>
      </c>
      <c r="AL656" s="15" t="s">
        <v>146</v>
      </c>
      <c r="AQ656" s="117"/>
      <c r="AR656" s="123"/>
      <c r="AS656" s="123"/>
      <c r="AT656" s="123"/>
      <c r="AY656" s="115"/>
      <c r="AZ656" s="115"/>
      <c r="BA656" s="115"/>
      <c r="BB656" s="115"/>
      <c r="BC656" s="115"/>
      <c r="BD656" s="115"/>
      <c r="BE656" s="115"/>
      <c r="BF656" s="115"/>
      <c r="BG656" s="115"/>
      <c r="BH656" s="115"/>
      <c r="BI656" s="13"/>
      <c r="BJ656" s="13"/>
      <c r="BM656" s="114"/>
    </row>
    <row r="657" spans="1:65" ht="19.5" x14ac:dyDescent="0.4">
      <c r="A657" s="117"/>
      <c r="B657" s="123"/>
      <c r="C657" s="123"/>
      <c r="D657" s="123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27"/>
      <c r="AA657" s="29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25">
        <v>45686</v>
      </c>
      <c r="AL657" s="15" t="s">
        <v>148</v>
      </c>
      <c r="AQ657" s="117"/>
      <c r="AR657" s="123"/>
      <c r="AS657" s="123"/>
      <c r="AT657" s="123"/>
      <c r="AY657" s="115"/>
      <c r="AZ657" s="115"/>
      <c r="BA657" s="115"/>
      <c r="BB657" s="115"/>
      <c r="BC657" s="115"/>
      <c r="BD657" s="115"/>
      <c r="BE657" s="115"/>
      <c r="BF657" s="115"/>
      <c r="BG657" s="115"/>
      <c r="BH657" s="115"/>
      <c r="BI657" s="13"/>
      <c r="BJ657" s="13"/>
      <c r="BM657" s="114"/>
    </row>
    <row r="658" spans="1:65" ht="19.5" x14ac:dyDescent="0.4">
      <c r="A658" s="117"/>
      <c r="B658" s="123"/>
      <c r="C658" s="123"/>
      <c r="D658" s="123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27"/>
      <c r="AA658" s="29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25">
        <v>45689</v>
      </c>
      <c r="AL658" s="15" t="s">
        <v>147</v>
      </c>
      <c r="AQ658" s="117"/>
      <c r="AR658" s="123"/>
      <c r="AS658" s="123"/>
      <c r="AT658" s="123"/>
      <c r="AY658" s="115"/>
      <c r="AZ658" s="115"/>
      <c r="BA658" s="115"/>
      <c r="BB658" s="115"/>
      <c r="BC658" s="115"/>
      <c r="BD658" s="115"/>
      <c r="BE658" s="115"/>
      <c r="BF658" s="115"/>
      <c r="BG658" s="115"/>
      <c r="BH658" s="115"/>
      <c r="BI658" s="13"/>
      <c r="BJ658" s="13"/>
      <c r="BM658" s="114"/>
    </row>
    <row r="659" spans="1:65" ht="19.5" x14ac:dyDescent="0.4">
      <c r="A659" s="117"/>
      <c r="B659" s="123"/>
      <c r="C659" s="123"/>
      <c r="D659" s="123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27"/>
      <c r="AA659" s="29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25"/>
      <c r="AL659" s="15"/>
      <c r="AQ659" s="117"/>
      <c r="AR659" s="123"/>
      <c r="AS659" s="123"/>
      <c r="AT659" s="123"/>
      <c r="AY659" s="115"/>
      <c r="AZ659" s="115"/>
      <c r="BA659" s="115"/>
      <c r="BB659" s="115"/>
      <c r="BC659" s="115"/>
      <c r="BD659" s="115"/>
      <c r="BE659" s="115"/>
      <c r="BF659" s="115"/>
      <c r="BG659" s="115"/>
      <c r="BH659" s="115"/>
      <c r="BI659" s="13"/>
      <c r="BJ659" s="13"/>
      <c r="BM659" s="114"/>
    </row>
    <row r="660" spans="1:65" ht="19.5" x14ac:dyDescent="0.4">
      <c r="A660" s="117"/>
      <c r="B660" s="123"/>
      <c r="C660" s="123"/>
      <c r="D660" s="123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27"/>
      <c r="AA660" s="29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25">
        <v>45689</v>
      </c>
      <c r="AL660" s="15" t="s">
        <v>147</v>
      </c>
      <c r="AQ660" s="117"/>
      <c r="AR660" s="123"/>
      <c r="AS660" s="123"/>
      <c r="AT660" s="123"/>
      <c r="AY660" s="115"/>
      <c r="AZ660" s="115"/>
      <c r="BA660" s="115"/>
      <c r="BB660" s="115"/>
      <c r="BC660" s="115"/>
      <c r="BD660" s="115"/>
      <c r="BE660" s="115"/>
      <c r="BF660" s="115"/>
      <c r="BG660" s="115"/>
      <c r="BH660" s="115"/>
      <c r="BI660" s="13"/>
      <c r="BJ660" s="13"/>
      <c r="BM660" s="114"/>
    </row>
    <row r="661" spans="1:65" ht="19.5" x14ac:dyDescent="0.4">
      <c r="A661" s="117"/>
      <c r="B661" s="123"/>
      <c r="C661" s="123"/>
      <c r="D661" s="123"/>
      <c r="Z661" s="127"/>
      <c r="AA661" s="29"/>
      <c r="AK661" s="25">
        <v>45689</v>
      </c>
      <c r="AL661" s="15" t="s">
        <v>146</v>
      </c>
      <c r="AQ661" s="117"/>
      <c r="AR661" s="123"/>
      <c r="AS661" s="123"/>
      <c r="AT661" s="123"/>
      <c r="AV661" s="115"/>
      <c r="AW661" s="115"/>
      <c r="AX661" s="115"/>
      <c r="AY661" s="115"/>
      <c r="AZ661" s="115"/>
      <c r="BA661" s="115"/>
      <c r="BB661" s="115"/>
      <c r="BC661" s="115"/>
      <c r="BD661" s="115"/>
      <c r="BE661" s="115"/>
      <c r="BF661" s="115"/>
      <c r="BG661" s="115"/>
      <c r="BH661" s="115"/>
      <c r="BI661" s="25">
        <v>45266</v>
      </c>
      <c r="BJ661" s="25" t="s">
        <v>162</v>
      </c>
      <c r="BM661" s="114"/>
    </row>
    <row r="662" spans="1:65" ht="19.5" x14ac:dyDescent="0.4">
      <c r="A662" s="117"/>
      <c r="B662" s="123"/>
      <c r="C662" s="123"/>
      <c r="D662" s="123"/>
      <c r="Z662" s="128"/>
      <c r="AA662" s="29"/>
      <c r="AK662" s="25"/>
      <c r="AL662" s="15"/>
      <c r="AQ662" s="117"/>
      <c r="AR662" s="123"/>
      <c r="AS662" s="123"/>
      <c r="AT662" s="123"/>
      <c r="AV662" s="115"/>
      <c r="AW662" s="115"/>
      <c r="AX662" s="115"/>
      <c r="AY662" s="115"/>
      <c r="AZ662" s="115"/>
      <c r="BA662" s="115"/>
      <c r="BB662" s="115"/>
      <c r="BC662" s="115"/>
      <c r="BD662" s="115"/>
      <c r="BE662" s="115"/>
      <c r="BF662" s="115"/>
      <c r="BG662" s="115"/>
      <c r="BH662" s="115"/>
      <c r="BI662" s="25"/>
      <c r="BJ662" s="25"/>
      <c r="BM662" s="114"/>
    </row>
    <row r="663" spans="1:65" ht="19.5" x14ac:dyDescent="0.4">
      <c r="A663" s="117"/>
      <c r="B663" s="123"/>
      <c r="C663" s="123"/>
      <c r="D663" s="123"/>
      <c r="Z663" s="127"/>
      <c r="AA663" s="29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25">
        <v>45689</v>
      </c>
      <c r="AL663" s="15" t="s">
        <v>146</v>
      </c>
      <c r="AQ663" s="117"/>
      <c r="AR663" s="123"/>
      <c r="AS663" s="123"/>
      <c r="AT663" s="123"/>
      <c r="AV663" s="115"/>
      <c r="AW663" s="115"/>
      <c r="AX663" s="115"/>
      <c r="AY663" s="115"/>
      <c r="AZ663" s="115"/>
      <c r="BA663" s="115"/>
      <c r="BB663" s="115"/>
      <c r="BC663" s="115"/>
      <c r="BD663" s="115"/>
      <c r="BE663" s="115"/>
      <c r="BF663" s="115"/>
      <c r="BG663" s="115"/>
      <c r="BH663" s="115"/>
      <c r="BI663" s="25"/>
      <c r="BJ663" s="25"/>
      <c r="BM663" s="114"/>
    </row>
    <row r="664" spans="1:65" ht="19.5" x14ac:dyDescent="0.4">
      <c r="A664" s="117"/>
      <c r="B664" s="123"/>
      <c r="C664" s="123"/>
      <c r="D664" s="123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27"/>
      <c r="AA664" s="29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25"/>
      <c r="AL664" s="15"/>
      <c r="AQ664" s="117"/>
      <c r="AR664" s="123"/>
      <c r="AS664" s="123"/>
      <c r="AT664" s="123"/>
      <c r="AV664" s="115"/>
      <c r="AW664" s="115"/>
      <c r="AX664" s="115"/>
      <c r="AY664" s="115"/>
      <c r="AZ664" s="115"/>
      <c r="BA664" s="115"/>
      <c r="BB664" s="115"/>
      <c r="BC664" s="115"/>
      <c r="BD664" s="115"/>
      <c r="BE664" s="115"/>
      <c r="BF664" s="115"/>
      <c r="BG664" s="115"/>
      <c r="BH664" s="115"/>
      <c r="BI664" s="25"/>
      <c r="BJ664" s="25"/>
      <c r="BM664" s="114"/>
    </row>
    <row r="665" spans="1:65" ht="19.5" x14ac:dyDescent="0.4">
      <c r="A665" s="117"/>
      <c r="B665" s="123"/>
      <c r="C665" s="123"/>
      <c r="D665" s="123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27"/>
      <c r="AA665" s="29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25"/>
      <c r="AL665" s="15"/>
      <c r="AQ665" s="117"/>
      <c r="AR665" s="123"/>
      <c r="AS665" s="123"/>
      <c r="AT665" s="123"/>
      <c r="AV665" s="115"/>
      <c r="AW665" s="115"/>
      <c r="AX665" s="115"/>
      <c r="AY665" s="115"/>
      <c r="AZ665" s="115"/>
      <c r="BA665" s="115"/>
      <c r="BB665" s="115"/>
      <c r="BC665" s="115"/>
      <c r="BD665" s="115"/>
      <c r="BE665" s="115"/>
      <c r="BF665" s="115"/>
      <c r="BG665" s="115"/>
      <c r="BH665" s="115"/>
      <c r="BI665" s="25"/>
      <c r="BJ665" s="25"/>
      <c r="BM665" s="114"/>
    </row>
    <row r="666" spans="1:65" ht="19.5" x14ac:dyDescent="0.4">
      <c r="A666" s="117"/>
      <c r="B666" s="123"/>
      <c r="C666" s="123"/>
      <c r="D666" s="123"/>
      <c r="Z666" s="127"/>
      <c r="AA666" s="29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25">
        <v>45690</v>
      </c>
      <c r="AL666" s="15" t="s">
        <v>146</v>
      </c>
      <c r="AQ666" s="117"/>
      <c r="AR666" s="123"/>
      <c r="AS666" s="123"/>
      <c r="AT666" s="123"/>
      <c r="AV666" s="115"/>
      <c r="AW666" s="115"/>
      <c r="AX666" s="115"/>
      <c r="AY666" s="115"/>
      <c r="AZ666" s="115"/>
      <c r="BA666" s="115"/>
      <c r="BB666" s="115"/>
      <c r="BC666" s="115"/>
      <c r="BD666" s="115"/>
      <c r="BE666" s="115"/>
      <c r="BF666" s="115"/>
      <c r="BG666" s="115"/>
      <c r="BH666" s="115"/>
      <c r="BI666" s="25"/>
      <c r="BJ666" s="25"/>
      <c r="BM666" s="114"/>
    </row>
    <row r="667" spans="1:65" ht="19.5" x14ac:dyDescent="0.4">
      <c r="A667" s="117"/>
      <c r="B667" s="123"/>
      <c r="C667" s="123"/>
      <c r="D667" s="123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27"/>
      <c r="AA667" s="29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25"/>
      <c r="AL667" s="15"/>
      <c r="AQ667" s="117"/>
      <c r="AR667" s="123"/>
      <c r="AS667" s="123"/>
      <c r="AT667" s="123"/>
      <c r="AV667" s="115"/>
      <c r="AW667" s="115"/>
      <c r="AX667" s="115"/>
      <c r="AY667" s="115"/>
      <c r="AZ667" s="115"/>
      <c r="BA667" s="115"/>
      <c r="BB667" s="115"/>
      <c r="BC667" s="115"/>
      <c r="BD667" s="115"/>
      <c r="BE667" s="115"/>
      <c r="BF667" s="115"/>
      <c r="BG667" s="115"/>
      <c r="BH667" s="115"/>
      <c r="BI667" s="25"/>
      <c r="BJ667" s="25"/>
      <c r="BM667" s="114"/>
    </row>
    <row r="668" spans="1:65" ht="19.5" x14ac:dyDescent="0.4">
      <c r="A668" s="117"/>
      <c r="B668" s="123"/>
      <c r="C668" s="123"/>
      <c r="D668" s="123"/>
      <c r="Z668" s="127"/>
      <c r="AA668" s="29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25">
        <v>45691</v>
      </c>
      <c r="AL668" s="15" t="s">
        <v>146</v>
      </c>
      <c r="AQ668" s="117"/>
      <c r="AR668" s="123"/>
      <c r="AS668" s="123"/>
      <c r="AT668" s="123"/>
      <c r="AV668" s="115"/>
      <c r="AW668" s="115"/>
      <c r="AX668" s="115"/>
      <c r="AY668" s="115"/>
      <c r="AZ668" s="115"/>
      <c r="BA668" s="115"/>
      <c r="BB668" s="115"/>
      <c r="BC668" s="115"/>
      <c r="BD668" s="115"/>
      <c r="BE668" s="115"/>
      <c r="BF668" s="115"/>
      <c r="BG668" s="115"/>
      <c r="BH668" s="115"/>
      <c r="BI668" s="25"/>
      <c r="BJ668" s="25"/>
      <c r="BM668" s="114"/>
    </row>
    <row r="669" spans="1:65" ht="19.5" x14ac:dyDescent="0.4">
      <c r="A669" s="117"/>
      <c r="B669" s="123"/>
      <c r="C669" s="123"/>
      <c r="D669" s="123"/>
      <c r="Z669" s="127"/>
      <c r="AA669" s="29"/>
      <c r="AK669" s="25">
        <v>45691</v>
      </c>
      <c r="AL669" s="15" t="s">
        <v>146</v>
      </c>
      <c r="AQ669" s="117"/>
      <c r="AR669" s="123"/>
      <c r="AS669" s="123"/>
      <c r="AT669" s="123"/>
      <c r="AV669" s="115"/>
      <c r="AW669" s="115"/>
      <c r="AX669" s="115"/>
      <c r="AY669" s="115"/>
      <c r="AZ669" s="115"/>
      <c r="BA669" s="115"/>
      <c r="BB669" s="115"/>
      <c r="BC669" s="115"/>
      <c r="BD669" s="115"/>
      <c r="BE669" s="115"/>
      <c r="BF669" s="115"/>
      <c r="BG669" s="115"/>
      <c r="BH669" s="115" t="s">
        <v>156</v>
      </c>
      <c r="BI669" s="13">
        <f>SUBTOTAL(3,BI661:BI661)</f>
        <v>1</v>
      </c>
      <c r="BJ669" s="13">
        <f>SUBTOTAL(3,BJ661:BJ661)</f>
        <v>1</v>
      </c>
      <c r="BM669" s="114"/>
    </row>
    <row r="670" spans="1:65" ht="19.5" x14ac:dyDescent="0.4">
      <c r="A670" s="117"/>
      <c r="B670" s="123"/>
      <c r="C670" s="123"/>
      <c r="D670" s="123"/>
      <c r="Z670" s="127"/>
      <c r="AA670" s="29"/>
      <c r="AG670" s="115"/>
      <c r="AH670" s="115"/>
      <c r="AI670" s="115"/>
      <c r="AJ670" s="115"/>
      <c r="AK670" s="25">
        <v>45691</v>
      </c>
      <c r="AL670" s="15" t="s">
        <v>146</v>
      </c>
      <c r="AQ670" s="117"/>
      <c r="AR670" s="123"/>
      <c r="AS670" s="123"/>
      <c r="AT670" s="123"/>
      <c r="AV670" s="115"/>
      <c r="AW670" s="115"/>
      <c r="AX670" s="115"/>
      <c r="AY670" s="115"/>
      <c r="AZ670" s="115"/>
      <c r="BA670" s="115"/>
      <c r="BB670" s="115"/>
      <c r="BC670" s="115"/>
      <c r="BD670" s="115"/>
      <c r="BE670" s="115"/>
      <c r="BF670" s="115"/>
      <c r="BG670" s="115"/>
      <c r="BH670" s="115"/>
      <c r="BI670" s="13"/>
      <c r="BJ670" s="13"/>
      <c r="BM670" s="114"/>
    </row>
    <row r="671" spans="1:65" ht="19.5" x14ac:dyDescent="0.4">
      <c r="A671" s="117"/>
      <c r="B671" s="123"/>
      <c r="C671" s="123"/>
      <c r="D671" s="123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27"/>
      <c r="AA671" s="29"/>
      <c r="AG671" s="115"/>
      <c r="AH671" s="115"/>
      <c r="AI671" s="115"/>
      <c r="AJ671" s="115"/>
      <c r="AK671" s="25"/>
      <c r="AL671" s="15"/>
      <c r="AQ671" s="117"/>
      <c r="AR671" s="123"/>
      <c r="AS671" s="123"/>
      <c r="AT671" s="123"/>
      <c r="AV671" s="115"/>
      <c r="AW671" s="115"/>
      <c r="AX671" s="115"/>
      <c r="AY671" s="115"/>
      <c r="AZ671" s="115"/>
      <c r="BA671" s="115"/>
      <c r="BB671" s="115"/>
      <c r="BC671" s="115"/>
      <c r="BD671" s="115"/>
      <c r="BE671" s="115"/>
      <c r="BF671" s="115"/>
      <c r="BG671" s="115"/>
      <c r="BH671" s="115"/>
      <c r="BI671" s="13"/>
      <c r="BJ671" s="13"/>
      <c r="BM671" s="114"/>
    </row>
    <row r="672" spans="1:65" ht="19.5" x14ac:dyDescent="0.4">
      <c r="A672" s="117"/>
      <c r="B672" s="123"/>
      <c r="C672" s="123"/>
      <c r="D672" s="123"/>
      <c r="Z672" s="127"/>
      <c r="AA672" s="29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25">
        <v>45691</v>
      </c>
      <c r="AL672" s="15" t="s">
        <v>146</v>
      </c>
      <c r="AQ672" s="117"/>
      <c r="AR672" s="123"/>
      <c r="AS672" s="123"/>
      <c r="AT672" s="123"/>
      <c r="AV672" s="115"/>
      <c r="AW672" s="115"/>
      <c r="AX672" s="115"/>
      <c r="AY672" s="115"/>
      <c r="AZ672" s="115"/>
      <c r="BA672" s="115"/>
      <c r="BB672" s="115"/>
      <c r="BC672" s="115"/>
      <c r="BD672" s="115"/>
      <c r="BE672" s="115"/>
      <c r="BF672" s="115"/>
      <c r="BG672" s="115"/>
      <c r="BH672" s="115"/>
      <c r="BI672" s="13"/>
      <c r="BJ672" s="13"/>
      <c r="BM672" s="114"/>
    </row>
    <row r="673" spans="1:65" ht="19.5" x14ac:dyDescent="0.4">
      <c r="A673" s="117"/>
      <c r="B673" s="123"/>
      <c r="C673" s="123"/>
      <c r="D673" s="123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27"/>
      <c r="AA673" s="29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25"/>
      <c r="AL673" s="15"/>
      <c r="AQ673" s="117"/>
      <c r="AR673" s="123"/>
      <c r="AS673" s="123"/>
      <c r="AT673" s="123"/>
      <c r="AV673" s="115"/>
      <c r="AW673" s="115"/>
      <c r="AX673" s="115"/>
      <c r="AY673" s="115"/>
      <c r="AZ673" s="115"/>
      <c r="BA673" s="115"/>
      <c r="BB673" s="115"/>
      <c r="BC673" s="115"/>
      <c r="BD673" s="115"/>
      <c r="BE673" s="115"/>
      <c r="BF673" s="115"/>
      <c r="BG673" s="115"/>
      <c r="BH673" s="115"/>
      <c r="BI673" s="13"/>
      <c r="BJ673" s="13"/>
      <c r="BM673" s="114"/>
    </row>
    <row r="674" spans="1:65" ht="19.5" x14ac:dyDescent="0.4">
      <c r="A674" s="117"/>
      <c r="B674" s="123"/>
      <c r="C674" s="123"/>
      <c r="D674" s="123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27"/>
      <c r="AA674" s="29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25"/>
      <c r="AL674" s="15"/>
      <c r="AQ674" s="117"/>
      <c r="AR674" s="123"/>
      <c r="AS674" s="123"/>
      <c r="AT674" s="123"/>
      <c r="AV674" s="115"/>
      <c r="AW674" s="115"/>
      <c r="AX674" s="115"/>
      <c r="AY674" s="115"/>
      <c r="AZ674" s="115"/>
      <c r="BA674" s="115"/>
      <c r="BB674" s="115"/>
      <c r="BC674" s="115"/>
      <c r="BD674" s="115"/>
      <c r="BE674" s="115"/>
      <c r="BF674" s="115"/>
      <c r="BG674" s="115"/>
      <c r="BH674" s="115"/>
      <c r="BI674" s="13"/>
      <c r="BJ674" s="13"/>
      <c r="BM674" s="114"/>
    </row>
    <row r="675" spans="1:65" ht="19.5" x14ac:dyDescent="0.4">
      <c r="A675" s="117"/>
      <c r="B675" s="123"/>
      <c r="C675" s="123"/>
      <c r="D675" s="123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27"/>
      <c r="AA675" s="29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25"/>
      <c r="AL675" s="15"/>
      <c r="AQ675" s="117"/>
      <c r="AR675" s="123"/>
      <c r="AS675" s="123"/>
      <c r="AT675" s="123"/>
      <c r="AV675" s="115"/>
      <c r="AW675" s="115"/>
      <c r="AX675" s="115"/>
      <c r="AY675" s="115"/>
      <c r="AZ675" s="115"/>
      <c r="BA675" s="115"/>
      <c r="BB675" s="115"/>
      <c r="BC675" s="115"/>
      <c r="BD675" s="115"/>
      <c r="BE675" s="115"/>
      <c r="BF675" s="115"/>
      <c r="BG675" s="115"/>
      <c r="BH675" s="115"/>
      <c r="BI675" s="13"/>
      <c r="BJ675" s="13"/>
      <c r="BM675" s="114"/>
    </row>
    <row r="676" spans="1:65" ht="19.5" x14ac:dyDescent="0.4">
      <c r="A676" s="117"/>
      <c r="B676" s="123"/>
      <c r="C676" s="123"/>
      <c r="D676" s="123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28"/>
      <c r="AA676" s="29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25"/>
      <c r="AL676" s="15"/>
      <c r="AQ676" s="117"/>
      <c r="AR676" s="123"/>
      <c r="AS676" s="123"/>
      <c r="AT676" s="123"/>
      <c r="AV676" s="115"/>
      <c r="AW676" s="115"/>
      <c r="AX676" s="115"/>
      <c r="AY676" s="115"/>
      <c r="AZ676" s="115"/>
      <c r="BA676" s="115"/>
      <c r="BB676" s="115"/>
      <c r="BC676" s="115"/>
      <c r="BD676" s="115"/>
      <c r="BE676" s="115"/>
      <c r="BF676" s="115"/>
      <c r="BG676" s="115"/>
      <c r="BH676" s="115"/>
      <c r="BI676" s="13"/>
      <c r="BJ676" s="13"/>
      <c r="BM676" s="114"/>
    </row>
    <row r="677" spans="1:65" ht="19.5" x14ac:dyDescent="0.4">
      <c r="A677" s="117"/>
      <c r="B677" s="123"/>
      <c r="C677" s="123"/>
      <c r="D677" s="123"/>
      <c r="Z677" s="127"/>
      <c r="AA677" s="29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25">
        <v>45692</v>
      </c>
      <c r="AL677" s="15" t="s">
        <v>146</v>
      </c>
      <c r="AQ677" s="117"/>
      <c r="AR677" s="123"/>
      <c r="AS677" s="123"/>
      <c r="AT677" s="123"/>
      <c r="AV677" s="115"/>
      <c r="AW677" s="115"/>
      <c r="AX677" s="115"/>
      <c r="AY677" s="115"/>
      <c r="AZ677" s="115"/>
      <c r="BA677" s="115"/>
      <c r="BB677" s="115"/>
      <c r="BC677" s="115"/>
      <c r="BD677" s="115"/>
      <c r="BE677" s="115"/>
      <c r="BF677" s="115"/>
      <c r="BG677" s="115"/>
      <c r="BH677" s="115"/>
      <c r="BI677" s="13"/>
      <c r="BJ677" s="13"/>
      <c r="BM677" s="114"/>
    </row>
    <row r="678" spans="1:65" ht="19.5" x14ac:dyDescent="0.4">
      <c r="A678" s="117"/>
      <c r="B678" s="123"/>
      <c r="C678" s="123"/>
      <c r="D678" s="123"/>
      <c r="Z678" s="128"/>
      <c r="AA678" s="29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25"/>
      <c r="AL678" s="15"/>
      <c r="AQ678" s="117"/>
      <c r="AR678" s="123"/>
      <c r="AS678" s="123"/>
      <c r="AT678" s="123"/>
      <c r="AV678" s="115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115"/>
      <c r="BG678" s="115"/>
      <c r="BH678" s="115"/>
      <c r="BI678" s="13"/>
      <c r="BJ678" s="13"/>
      <c r="BM678" s="114"/>
    </row>
    <row r="679" spans="1:65" ht="19.5" x14ac:dyDescent="0.4">
      <c r="A679" s="117"/>
      <c r="B679" s="123"/>
      <c r="C679" s="123"/>
      <c r="D679" s="123"/>
      <c r="Z679" s="127"/>
      <c r="AA679" s="29"/>
      <c r="AK679" s="25">
        <v>45692</v>
      </c>
      <c r="AL679" s="15" t="s">
        <v>146</v>
      </c>
      <c r="AQ679" s="117"/>
      <c r="AR679" s="123"/>
      <c r="AS679" s="123"/>
      <c r="AT679" s="123"/>
      <c r="AV679" s="115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115"/>
      <c r="BG679" s="115"/>
      <c r="BH679" s="115"/>
      <c r="BI679" s="25">
        <v>45267</v>
      </c>
      <c r="BJ679" s="13" t="s">
        <v>142</v>
      </c>
      <c r="BM679" s="114"/>
    </row>
    <row r="680" spans="1:65" ht="19.5" x14ac:dyDescent="0.4">
      <c r="A680" s="117"/>
      <c r="B680" s="123"/>
      <c r="C680" s="123"/>
      <c r="D680" s="123"/>
      <c r="Z680" s="127"/>
      <c r="AA680" s="29"/>
      <c r="AG680" s="115"/>
      <c r="AH680" s="115"/>
      <c r="AI680" s="115"/>
      <c r="AJ680" s="115"/>
      <c r="AK680" s="25">
        <v>45692</v>
      </c>
      <c r="AL680" s="15" t="s">
        <v>146</v>
      </c>
      <c r="AQ680" s="117"/>
      <c r="AR680" s="123"/>
      <c r="AS680" s="123"/>
      <c r="AT680" s="123"/>
      <c r="AV680" s="115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115"/>
      <c r="BG680" s="115"/>
      <c r="BH680" s="115"/>
      <c r="BI680" s="25"/>
      <c r="BJ680" s="13"/>
      <c r="BM680" s="114"/>
    </row>
    <row r="681" spans="1:65" ht="19.5" x14ac:dyDescent="0.4">
      <c r="A681" s="117"/>
      <c r="B681" s="123"/>
      <c r="C681" s="123"/>
      <c r="D681" s="123"/>
      <c r="Z681" s="127"/>
      <c r="AA681" s="29"/>
      <c r="AC681" s="115"/>
      <c r="AD681" s="115"/>
      <c r="AE681" s="115"/>
      <c r="AF681" s="115"/>
      <c r="AG681" s="115"/>
      <c r="AH681" s="115"/>
      <c r="AI681" s="115"/>
      <c r="AJ681" s="115"/>
      <c r="AK681" s="25">
        <v>45692</v>
      </c>
      <c r="AL681" s="15" t="s">
        <v>146</v>
      </c>
      <c r="AQ681" s="117"/>
      <c r="AR681" s="123"/>
      <c r="AS681" s="123"/>
      <c r="AT681" s="123"/>
      <c r="AV681" s="115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15"/>
      <c r="BH681" s="115"/>
      <c r="BI681" s="25"/>
      <c r="BJ681" s="13"/>
      <c r="BM681" s="114"/>
    </row>
    <row r="682" spans="1:65" ht="19.5" x14ac:dyDescent="0.4">
      <c r="A682" s="117"/>
      <c r="B682" s="123"/>
      <c r="C682" s="123"/>
      <c r="D682" s="123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27"/>
      <c r="AA682" s="29"/>
      <c r="AC682" s="115"/>
      <c r="AD682" s="115"/>
      <c r="AE682" s="115"/>
      <c r="AF682" s="115"/>
      <c r="AG682" s="115"/>
      <c r="AH682" s="115"/>
      <c r="AI682" s="115"/>
      <c r="AJ682" s="115"/>
      <c r="AK682" s="25"/>
      <c r="AL682" s="15"/>
      <c r="AQ682" s="117"/>
      <c r="AR682" s="123"/>
      <c r="AS682" s="123"/>
      <c r="AT682" s="123"/>
      <c r="AV682" s="115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115"/>
      <c r="BH682" s="115"/>
      <c r="BI682" s="25"/>
      <c r="BJ682" s="13"/>
      <c r="BM682" s="114"/>
    </row>
    <row r="683" spans="1:65" ht="19.5" x14ac:dyDescent="0.4">
      <c r="A683" s="117"/>
      <c r="B683" s="123"/>
      <c r="C683" s="123"/>
      <c r="D683" s="123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28"/>
      <c r="AA683" s="29"/>
      <c r="AC683" s="115"/>
      <c r="AD683" s="115"/>
      <c r="AE683" s="115"/>
      <c r="AF683" s="115"/>
      <c r="AG683" s="115"/>
      <c r="AH683" s="115"/>
      <c r="AI683" s="115"/>
      <c r="AJ683" s="115"/>
      <c r="AK683" s="25"/>
      <c r="AL683" s="15"/>
      <c r="AQ683" s="117"/>
      <c r="AR683" s="123"/>
      <c r="AS683" s="123"/>
      <c r="AT683" s="123"/>
      <c r="AV683" s="115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115"/>
      <c r="BG683" s="115"/>
      <c r="BH683" s="115"/>
      <c r="BI683" s="25"/>
      <c r="BJ683" s="13"/>
      <c r="BM683" s="114"/>
    </row>
    <row r="684" spans="1:65" ht="19.5" x14ac:dyDescent="0.4">
      <c r="A684" s="117"/>
      <c r="B684" s="123"/>
      <c r="C684" s="123"/>
      <c r="D684" s="123"/>
      <c r="Z684" s="127"/>
      <c r="AA684" s="29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25">
        <v>45693</v>
      </c>
      <c r="AL684" s="15" t="s">
        <v>146</v>
      </c>
      <c r="AQ684" s="117"/>
      <c r="AR684" s="123"/>
      <c r="AS684" s="123"/>
      <c r="AT684" s="123"/>
      <c r="AV684" s="115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115"/>
      <c r="BG684" s="115"/>
      <c r="BH684" s="115"/>
      <c r="BI684" s="25"/>
      <c r="BJ684" s="13"/>
      <c r="BM684" s="114"/>
    </row>
    <row r="685" spans="1:65" ht="19.5" x14ac:dyDescent="0.4">
      <c r="A685" s="117"/>
      <c r="B685" s="123"/>
      <c r="C685" s="123"/>
      <c r="D685" s="123"/>
      <c r="Z685" s="128"/>
      <c r="AA685" s="29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25"/>
      <c r="AL685" s="15"/>
      <c r="AQ685" s="117"/>
      <c r="AR685" s="123"/>
      <c r="AS685" s="123"/>
      <c r="AT685" s="123"/>
      <c r="AV685" s="115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115"/>
      <c r="BG685" s="115"/>
      <c r="BH685" s="115"/>
      <c r="BI685" s="25"/>
      <c r="BJ685" s="13"/>
      <c r="BM685" s="114"/>
    </row>
    <row r="686" spans="1:65" ht="19.5" x14ac:dyDescent="0.4">
      <c r="A686" s="117"/>
      <c r="B686" s="123"/>
      <c r="C686" s="123"/>
      <c r="D686" s="123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27"/>
      <c r="AA686" s="29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25"/>
      <c r="AL686" s="15"/>
      <c r="AQ686" s="117"/>
      <c r="AR686" s="123"/>
      <c r="AS686" s="123"/>
      <c r="AT686" s="123"/>
      <c r="AV686" s="115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115"/>
      <c r="BH686" s="115"/>
      <c r="BI686" s="25"/>
      <c r="BJ686" s="13"/>
      <c r="BM686" s="114"/>
    </row>
    <row r="687" spans="1:65" ht="19.5" x14ac:dyDescent="0.4">
      <c r="A687" s="117"/>
      <c r="B687" s="123"/>
      <c r="C687" s="123"/>
      <c r="D687" s="123"/>
      <c r="Z687" s="127"/>
      <c r="AA687" s="29"/>
      <c r="AK687" s="25">
        <v>45693</v>
      </c>
      <c r="AL687" s="15" t="s">
        <v>146</v>
      </c>
      <c r="AQ687" s="117"/>
      <c r="AR687" s="123"/>
      <c r="AS687" s="123"/>
      <c r="AT687" s="123"/>
      <c r="AV687" s="115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115"/>
      <c r="BH687" s="115" t="s">
        <v>157</v>
      </c>
      <c r="BI687" s="13">
        <f>SUBTOTAL(3,BI679:BI679)</f>
        <v>1</v>
      </c>
      <c r="BJ687" s="13">
        <f>SUBTOTAL(3,BJ679:BJ679)</f>
        <v>1</v>
      </c>
      <c r="BM687" s="114"/>
    </row>
    <row r="688" spans="1:65" ht="19.5" x14ac:dyDescent="0.4">
      <c r="A688" s="117"/>
      <c r="B688" s="123"/>
      <c r="C688" s="123"/>
      <c r="D688" s="123"/>
      <c r="Z688" s="127"/>
      <c r="AA688" s="29"/>
      <c r="AC688" s="115"/>
      <c r="AD688" s="115"/>
      <c r="AE688" s="115"/>
      <c r="AF688" s="115"/>
      <c r="AG688" s="115"/>
      <c r="AH688" s="115"/>
      <c r="AI688" s="115"/>
      <c r="AJ688" s="115"/>
      <c r="AK688" s="25">
        <v>45693</v>
      </c>
      <c r="AL688" s="15" t="s">
        <v>146</v>
      </c>
      <c r="AQ688" s="117"/>
      <c r="AR688" s="123"/>
      <c r="AS688" s="123"/>
      <c r="AT688" s="123"/>
      <c r="AV688" s="115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115"/>
      <c r="BG688" s="115"/>
      <c r="BH688" s="115"/>
      <c r="BI688" s="13"/>
      <c r="BJ688" s="13"/>
      <c r="BM688" s="114"/>
    </row>
    <row r="689" spans="1:65" ht="19.5" x14ac:dyDescent="0.4">
      <c r="A689" s="117"/>
      <c r="B689" s="123"/>
      <c r="C689" s="123"/>
      <c r="D689" s="123"/>
      <c r="Z689" s="128"/>
      <c r="AA689" s="29"/>
      <c r="AC689" s="115"/>
      <c r="AD689" s="115"/>
      <c r="AE689" s="115"/>
      <c r="AF689" s="115"/>
      <c r="AG689" s="115"/>
      <c r="AH689" s="115"/>
      <c r="AI689" s="115"/>
      <c r="AJ689" s="115"/>
      <c r="AK689" s="25"/>
      <c r="AL689" s="15"/>
      <c r="AQ689" s="117"/>
      <c r="AR689" s="123"/>
      <c r="AS689" s="123"/>
      <c r="AT689" s="123"/>
      <c r="AV689" s="115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115"/>
      <c r="BG689" s="115"/>
      <c r="BH689" s="115"/>
      <c r="BI689" s="13"/>
      <c r="BJ689" s="13"/>
      <c r="BM689" s="114"/>
    </row>
    <row r="690" spans="1:65" ht="19.5" x14ac:dyDescent="0.4">
      <c r="A690" s="117"/>
      <c r="B690" s="123"/>
      <c r="C690" s="123"/>
      <c r="D690" s="123"/>
      <c r="Z690" s="128"/>
      <c r="AA690" s="29"/>
      <c r="AC690" s="115"/>
      <c r="AD690" s="115"/>
      <c r="AE690" s="115"/>
      <c r="AF690" s="115"/>
      <c r="AG690" s="115"/>
      <c r="AH690" s="115"/>
      <c r="AI690" s="115"/>
      <c r="AJ690" s="115"/>
      <c r="AK690" s="25"/>
      <c r="AL690" s="15"/>
      <c r="AQ690" s="117"/>
      <c r="AR690" s="123"/>
      <c r="AS690" s="123"/>
      <c r="AT690" s="123"/>
      <c r="AV690" s="115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115"/>
      <c r="BG690" s="115"/>
      <c r="BH690" s="115"/>
      <c r="BI690" s="13"/>
      <c r="BJ690" s="13"/>
      <c r="BM690" s="114"/>
    </row>
    <row r="691" spans="1:65" ht="19.5" x14ac:dyDescent="0.4">
      <c r="A691" s="117"/>
      <c r="B691" s="123"/>
      <c r="C691" s="123"/>
      <c r="D691" s="123"/>
      <c r="Z691" s="127"/>
      <c r="AA691" s="29"/>
      <c r="AC691" s="115"/>
      <c r="AD691" s="115"/>
      <c r="AE691" s="115"/>
      <c r="AF691" s="115"/>
      <c r="AG691" s="115"/>
      <c r="AH691" s="115"/>
      <c r="AI691" s="115"/>
      <c r="AJ691" s="115"/>
      <c r="AK691" s="25">
        <v>45694</v>
      </c>
      <c r="AL691" s="15" t="s">
        <v>147</v>
      </c>
      <c r="AQ691" s="117"/>
      <c r="AR691" s="123"/>
      <c r="AS691" s="123"/>
      <c r="AT691" s="123"/>
      <c r="AV691" s="115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115"/>
      <c r="BH691" s="115"/>
      <c r="BI691" s="13"/>
      <c r="BJ691" s="13"/>
      <c r="BM691" s="114"/>
    </row>
    <row r="692" spans="1:65" ht="19.5" x14ac:dyDescent="0.4">
      <c r="A692" s="117"/>
      <c r="B692" s="123"/>
      <c r="C692" s="123"/>
      <c r="D692" s="123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29"/>
      <c r="AA692" s="29"/>
      <c r="AC692" s="115"/>
      <c r="AD692" s="115"/>
      <c r="AE692" s="115"/>
      <c r="AF692" s="115"/>
      <c r="AG692" s="115"/>
      <c r="AH692" s="115"/>
      <c r="AI692" s="115"/>
      <c r="AJ692" s="115"/>
      <c r="AK692" s="25"/>
      <c r="AL692" s="15"/>
      <c r="AQ692" s="117"/>
      <c r="AR692" s="123"/>
      <c r="AS692" s="123"/>
      <c r="AT692" s="123"/>
      <c r="AV692" s="115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115"/>
      <c r="BH692" s="115"/>
      <c r="BI692" s="13"/>
      <c r="BJ692" s="13"/>
      <c r="BM692" s="114"/>
    </row>
    <row r="693" spans="1:65" ht="19.5" x14ac:dyDescent="0.4">
      <c r="A693" s="117"/>
      <c r="B693" s="123"/>
      <c r="C693" s="123"/>
      <c r="D693" s="123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29"/>
      <c r="AA693" s="29"/>
      <c r="AC693" s="115"/>
      <c r="AD693" s="115"/>
      <c r="AE693" s="115"/>
      <c r="AF693" s="115"/>
      <c r="AG693" s="115"/>
      <c r="AH693" s="115"/>
      <c r="AI693" s="115"/>
      <c r="AJ693" s="115"/>
      <c r="AK693" s="25"/>
      <c r="AL693" s="15"/>
      <c r="AQ693" s="117"/>
      <c r="AR693" s="123"/>
      <c r="AS693" s="123"/>
      <c r="AT693" s="123"/>
      <c r="AV693" s="115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115"/>
      <c r="BG693" s="115"/>
      <c r="BH693" s="115"/>
      <c r="BI693" s="13"/>
      <c r="BJ693" s="13"/>
      <c r="BM693" s="114"/>
    </row>
    <row r="694" spans="1:65" ht="19.5" x14ac:dyDescent="0.4">
      <c r="A694" s="117"/>
      <c r="B694" s="123"/>
      <c r="C694" s="123"/>
      <c r="D694" s="123"/>
      <c r="Z694" s="127"/>
      <c r="AA694" s="29"/>
      <c r="AC694" s="115"/>
      <c r="AD694" s="115"/>
      <c r="AE694" s="115"/>
      <c r="AF694" s="115"/>
      <c r="AG694" s="115"/>
      <c r="AH694" s="115"/>
      <c r="AI694" s="115"/>
      <c r="AJ694" s="115"/>
      <c r="AK694" s="25">
        <v>45694</v>
      </c>
      <c r="AL694" s="105" t="s">
        <v>147</v>
      </c>
      <c r="AQ694" s="117"/>
      <c r="AR694" s="123"/>
      <c r="AS694" s="123"/>
      <c r="AT694" s="123"/>
      <c r="AV694" s="115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115"/>
      <c r="BG694" s="115"/>
      <c r="BH694" s="115"/>
      <c r="BI694" s="13"/>
      <c r="BJ694" s="13"/>
      <c r="BM694" s="114"/>
    </row>
    <row r="695" spans="1:65" ht="19.5" x14ac:dyDescent="0.4">
      <c r="A695" s="117"/>
      <c r="B695" s="123"/>
      <c r="C695" s="123"/>
      <c r="D695" s="123"/>
      <c r="Z695" s="127"/>
      <c r="AA695" s="29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25">
        <v>45694</v>
      </c>
      <c r="AL695" s="15" t="s">
        <v>147</v>
      </c>
      <c r="AQ695" s="117"/>
      <c r="AR695" s="123"/>
      <c r="AS695" s="123"/>
      <c r="AT695" s="123"/>
      <c r="AV695" s="115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115"/>
      <c r="BH695" s="115"/>
      <c r="BI695" s="13"/>
      <c r="BJ695" s="13"/>
      <c r="BM695" s="114"/>
    </row>
    <row r="696" spans="1:65" ht="19.5" x14ac:dyDescent="0.4">
      <c r="A696" s="117"/>
      <c r="B696" s="123"/>
      <c r="C696" s="123"/>
      <c r="D696" s="123"/>
      <c r="Z696" s="127"/>
      <c r="AA696" s="29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26">
        <v>45694</v>
      </c>
      <c r="AL696" s="15" t="s">
        <v>148</v>
      </c>
      <c r="AQ696" s="117"/>
      <c r="AR696" s="123"/>
      <c r="AS696" s="123"/>
      <c r="AT696" s="123"/>
      <c r="AV696" s="115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115"/>
      <c r="BG696" s="115"/>
      <c r="BH696" s="115"/>
      <c r="BI696" s="13"/>
      <c r="BJ696" s="13"/>
      <c r="BM696" s="114"/>
    </row>
    <row r="697" spans="1:65" ht="19.5" x14ac:dyDescent="0.4">
      <c r="A697" s="117"/>
      <c r="B697" s="123"/>
      <c r="C697" s="123"/>
      <c r="D697" s="123"/>
      <c r="Z697" s="127"/>
      <c r="AA697" s="29"/>
      <c r="AK697" s="26">
        <v>45694</v>
      </c>
      <c r="AL697" s="13" t="s">
        <v>147</v>
      </c>
      <c r="AQ697" s="117"/>
      <c r="AR697" s="123"/>
      <c r="AS697" s="123"/>
      <c r="AT697" s="123"/>
      <c r="AV697" s="115"/>
      <c r="AW697" s="115"/>
      <c r="AX697" s="115"/>
      <c r="AY697" s="115"/>
      <c r="AZ697" s="115"/>
      <c r="BA697" s="115"/>
      <c r="BB697" s="115"/>
      <c r="BC697" s="115"/>
      <c r="BD697" s="115"/>
      <c r="BE697" s="115"/>
      <c r="BF697" s="115"/>
      <c r="BG697" s="115"/>
      <c r="BH697" s="115"/>
      <c r="BI697" s="25">
        <v>45268</v>
      </c>
      <c r="BJ697" s="13" t="s">
        <v>162</v>
      </c>
      <c r="BM697" s="114"/>
    </row>
    <row r="698" spans="1:65" ht="19.5" x14ac:dyDescent="0.4">
      <c r="A698" s="117"/>
      <c r="B698" s="123"/>
      <c r="C698" s="123"/>
      <c r="D698" s="123"/>
      <c r="Z698" s="127"/>
      <c r="AA698" s="29"/>
      <c r="AC698" s="115"/>
      <c r="AD698" s="115"/>
      <c r="AE698" s="115"/>
      <c r="AF698" s="115"/>
      <c r="AG698" s="115"/>
      <c r="AH698" s="115"/>
      <c r="AI698" s="115"/>
      <c r="AJ698" s="115"/>
      <c r="AK698" s="26">
        <v>45694</v>
      </c>
      <c r="AL698" s="13" t="s">
        <v>147</v>
      </c>
      <c r="AQ698" s="117"/>
      <c r="AR698" s="123"/>
      <c r="AS698" s="123"/>
      <c r="AT698" s="123"/>
      <c r="AV698" s="115"/>
      <c r="AW698" s="115"/>
      <c r="AX698" s="115"/>
      <c r="AY698" s="115"/>
      <c r="AZ698" s="115"/>
      <c r="BA698" s="115"/>
      <c r="BB698" s="115"/>
      <c r="BC698" s="115"/>
      <c r="BD698" s="115"/>
      <c r="BE698" s="115"/>
      <c r="BF698" s="115"/>
      <c r="BG698" s="115"/>
      <c r="BH698" s="115"/>
      <c r="BI698" s="25"/>
      <c r="BJ698" s="13"/>
      <c r="BM698" s="114"/>
    </row>
    <row r="699" spans="1:65" ht="19.5" x14ac:dyDescent="0.4">
      <c r="A699" s="117"/>
      <c r="B699" s="123"/>
      <c r="C699" s="123"/>
      <c r="D699" s="123"/>
      <c r="Z699" s="127"/>
      <c r="AA699" s="29"/>
      <c r="AK699" s="26">
        <v>45694</v>
      </c>
      <c r="AL699" s="13" t="s">
        <v>147</v>
      </c>
      <c r="AQ699" s="117"/>
      <c r="AR699" s="123"/>
      <c r="AS699" s="123"/>
      <c r="AT699" s="123"/>
      <c r="AV699" s="115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115"/>
      <c r="BG699" s="115"/>
      <c r="BH699" s="115"/>
      <c r="BI699" s="25">
        <v>45268</v>
      </c>
      <c r="BJ699" s="13" t="s">
        <v>162</v>
      </c>
      <c r="BM699" s="114"/>
    </row>
    <row r="700" spans="1:65" ht="19.5" x14ac:dyDescent="0.4">
      <c r="A700" s="117"/>
      <c r="B700" s="123"/>
      <c r="C700" s="123"/>
      <c r="D700" s="123"/>
      <c r="Z700" s="127"/>
      <c r="AA700" s="29"/>
      <c r="AH700" s="115"/>
      <c r="AI700" s="115"/>
      <c r="AJ700" s="115"/>
      <c r="AK700" s="26">
        <v>45696</v>
      </c>
      <c r="AL700" s="13" t="s">
        <v>147</v>
      </c>
      <c r="AQ700" s="117"/>
      <c r="AR700" s="123"/>
      <c r="AS700" s="123"/>
      <c r="AT700" s="123"/>
      <c r="AV700" s="115"/>
      <c r="AW700" s="115"/>
      <c r="AX700" s="115"/>
      <c r="AY700" s="115"/>
      <c r="AZ700" s="115"/>
      <c r="BA700" s="115"/>
      <c r="BB700" s="115"/>
      <c r="BC700" s="115"/>
      <c r="BD700" s="115"/>
      <c r="BE700" s="115"/>
      <c r="BF700" s="115"/>
      <c r="BG700" s="115"/>
      <c r="BH700" s="115"/>
      <c r="BI700" s="25"/>
      <c r="BJ700" s="13"/>
      <c r="BM700" s="114"/>
    </row>
    <row r="701" spans="1:65" ht="19.5" x14ac:dyDescent="0.4">
      <c r="A701" s="117"/>
      <c r="B701" s="123"/>
      <c r="C701" s="123"/>
      <c r="D701" s="123"/>
      <c r="Z701" s="127"/>
      <c r="AA701" s="29"/>
      <c r="AK701" s="26">
        <v>45698</v>
      </c>
      <c r="AL701" s="13" t="s">
        <v>147</v>
      </c>
      <c r="AQ701" s="117"/>
      <c r="AR701" s="123"/>
      <c r="AS701" s="123"/>
      <c r="AT701" s="123"/>
      <c r="AV701" s="115"/>
      <c r="AW701" s="115"/>
      <c r="AX701" s="115"/>
      <c r="AY701" s="115"/>
      <c r="AZ701" s="115"/>
      <c r="BA701" s="115"/>
      <c r="BB701" s="115"/>
      <c r="BC701" s="115"/>
      <c r="BD701" s="115"/>
      <c r="BE701" s="115"/>
      <c r="BF701" s="115"/>
      <c r="BG701" s="115"/>
      <c r="BH701" s="115"/>
      <c r="BI701" s="25">
        <v>45268</v>
      </c>
      <c r="BJ701" s="13" t="s">
        <v>163</v>
      </c>
      <c r="BM701" s="114"/>
    </row>
    <row r="702" spans="1:65" ht="19.5" x14ac:dyDescent="0.4">
      <c r="A702" s="117"/>
      <c r="B702" s="123"/>
      <c r="C702" s="123"/>
      <c r="D702" s="123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29"/>
      <c r="AA702" s="29"/>
      <c r="AK702" s="26"/>
      <c r="AL702" s="13"/>
      <c r="AQ702" s="117"/>
      <c r="AR702" s="123"/>
      <c r="AS702" s="123"/>
      <c r="AT702" s="123"/>
      <c r="AV702" s="115"/>
      <c r="AW702" s="115"/>
      <c r="AX702" s="115"/>
      <c r="AY702" s="115"/>
      <c r="AZ702" s="115"/>
      <c r="BA702" s="115"/>
      <c r="BB702" s="115"/>
      <c r="BC702" s="115"/>
      <c r="BD702" s="115"/>
      <c r="BE702" s="115"/>
      <c r="BF702" s="115"/>
      <c r="BG702" s="115"/>
      <c r="BH702" s="115"/>
      <c r="BI702" s="25"/>
      <c r="BJ702" s="13"/>
      <c r="BM702" s="114"/>
    </row>
    <row r="703" spans="1:65" ht="19.5" x14ac:dyDescent="0.4">
      <c r="A703" s="117"/>
      <c r="B703" s="123"/>
      <c r="C703" s="123"/>
      <c r="D703" s="123"/>
      <c r="Z703" s="127"/>
      <c r="AA703" s="29"/>
      <c r="AH703" s="115"/>
      <c r="AI703" s="115"/>
      <c r="AJ703" s="115"/>
      <c r="AK703" s="26">
        <v>45698</v>
      </c>
      <c r="AL703" s="13" t="s">
        <v>147</v>
      </c>
      <c r="AQ703" s="117"/>
      <c r="AR703" s="123"/>
      <c r="AS703" s="123"/>
      <c r="AT703" s="123"/>
      <c r="AV703" s="115"/>
      <c r="AW703" s="115"/>
      <c r="AX703" s="115"/>
      <c r="AY703" s="115"/>
      <c r="AZ703" s="115"/>
      <c r="BA703" s="115"/>
      <c r="BB703" s="115"/>
      <c r="BC703" s="115"/>
      <c r="BD703" s="115"/>
      <c r="BE703" s="115"/>
      <c r="BF703" s="115"/>
      <c r="BG703" s="115"/>
      <c r="BH703" s="115"/>
      <c r="BI703" s="25"/>
      <c r="BJ703" s="13"/>
      <c r="BM703" s="114"/>
    </row>
    <row r="704" spans="1:65" ht="19.5" x14ac:dyDescent="0.4">
      <c r="A704" s="117"/>
      <c r="B704" s="123"/>
      <c r="C704" s="123"/>
      <c r="D704" s="123"/>
      <c r="Z704" s="127"/>
      <c r="AA704" s="29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26">
        <v>45699</v>
      </c>
      <c r="AL704" s="13" t="s">
        <v>148</v>
      </c>
      <c r="AQ704" s="117"/>
      <c r="AR704" s="123"/>
      <c r="AS704" s="123"/>
      <c r="AT704" s="123"/>
      <c r="AV704" s="115"/>
      <c r="AW704" s="115"/>
      <c r="AX704" s="115"/>
      <c r="AY704" s="115"/>
      <c r="AZ704" s="115"/>
      <c r="BA704" s="115"/>
      <c r="BB704" s="115"/>
      <c r="BC704" s="115"/>
      <c r="BD704" s="115"/>
      <c r="BE704" s="115"/>
      <c r="BF704" s="115"/>
      <c r="BG704" s="115"/>
      <c r="BH704" s="115"/>
      <c r="BI704" s="25"/>
      <c r="BJ704" s="13"/>
      <c r="BM704" s="114"/>
    </row>
    <row r="705" spans="1:65" ht="19.5" x14ac:dyDescent="0.4">
      <c r="A705" s="117"/>
      <c r="B705" s="123"/>
      <c r="C705" s="123"/>
      <c r="D705" s="123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29"/>
      <c r="AA705" s="29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26"/>
      <c r="AL705" s="13"/>
      <c r="AQ705" s="117"/>
      <c r="AR705" s="123"/>
      <c r="AS705" s="123"/>
      <c r="AT705" s="123"/>
      <c r="AV705" s="115"/>
      <c r="AW705" s="115"/>
      <c r="AX705" s="115"/>
      <c r="AY705" s="115"/>
      <c r="AZ705" s="115"/>
      <c r="BA705" s="115"/>
      <c r="BB705" s="115"/>
      <c r="BC705" s="115"/>
      <c r="BD705" s="115"/>
      <c r="BE705" s="115"/>
      <c r="BF705" s="115"/>
      <c r="BG705" s="115"/>
      <c r="BH705" s="115"/>
      <c r="BI705" s="25"/>
      <c r="BJ705" s="13"/>
      <c r="BM705" s="114"/>
    </row>
    <row r="706" spans="1:65" ht="19.5" x14ac:dyDescent="0.4">
      <c r="A706" s="117"/>
      <c r="B706" s="123"/>
      <c r="C706" s="123"/>
      <c r="D706" s="123"/>
      <c r="Z706" s="127"/>
      <c r="AA706" s="29"/>
      <c r="AK706" s="26">
        <v>45699</v>
      </c>
      <c r="AL706" s="13" t="s">
        <v>148</v>
      </c>
      <c r="AQ706" s="117"/>
      <c r="AR706" s="123"/>
      <c r="AS706" s="123"/>
      <c r="AT706" s="123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115"/>
      <c r="BG706" s="115"/>
      <c r="BH706" s="115"/>
      <c r="BI706" s="25">
        <v>45268</v>
      </c>
      <c r="BJ706" s="13" t="s">
        <v>163</v>
      </c>
      <c r="BM706" s="114"/>
    </row>
    <row r="707" spans="1:65" ht="19.5" x14ac:dyDescent="0.4">
      <c r="A707" s="117"/>
      <c r="B707" s="123"/>
      <c r="C707" s="123"/>
      <c r="D707" s="123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29"/>
      <c r="AA707" s="29"/>
      <c r="AK707" s="26"/>
      <c r="AL707" s="13"/>
      <c r="AQ707" s="117"/>
      <c r="AR707" s="123"/>
      <c r="AS707" s="123"/>
      <c r="AT707" s="123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115"/>
      <c r="BG707" s="115"/>
      <c r="BH707" s="115"/>
      <c r="BI707" s="25"/>
      <c r="BJ707" s="13"/>
      <c r="BM707" s="114"/>
    </row>
    <row r="708" spans="1:65" ht="19.5" x14ac:dyDescent="0.4">
      <c r="A708" s="117"/>
      <c r="B708" s="123"/>
      <c r="C708" s="123"/>
      <c r="D708" s="123"/>
      <c r="Z708" s="127"/>
      <c r="AA708" s="29"/>
      <c r="AD708" s="115"/>
      <c r="AE708" s="115"/>
      <c r="AF708" s="115"/>
      <c r="AG708" s="115"/>
      <c r="AH708" s="115"/>
      <c r="AI708" s="115"/>
      <c r="AJ708" s="115"/>
      <c r="AK708" s="26">
        <v>45699</v>
      </c>
      <c r="AL708" s="13" t="s">
        <v>148</v>
      </c>
      <c r="AQ708" s="117"/>
      <c r="AR708" s="123"/>
      <c r="AS708" s="123"/>
      <c r="AT708" s="123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115"/>
      <c r="BE708" s="115"/>
      <c r="BF708" s="115"/>
      <c r="BG708" s="115"/>
      <c r="BH708" s="115"/>
      <c r="BI708" s="25"/>
      <c r="BJ708" s="13"/>
      <c r="BM708" s="114"/>
    </row>
    <row r="709" spans="1:65" ht="19.5" x14ac:dyDescent="0.4">
      <c r="A709" s="117"/>
      <c r="B709" s="123"/>
      <c r="C709" s="123"/>
      <c r="D709" s="123"/>
      <c r="Z709" s="127"/>
      <c r="AA709" s="29"/>
      <c r="AD709" s="115"/>
      <c r="AE709" s="115"/>
      <c r="AF709" s="115"/>
      <c r="AG709" s="115"/>
      <c r="AH709" s="115"/>
      <c r="AI709" s="115"/>
      <c r="AJ709" s="115"/>
      <c r="AK709" s="26">
        <v>45699</v>
      </c>
      <c r="AL709" s="13" t="s">
        <v>148</v>
      </c>
      <c r="AQ709" s="117"/>
      <c r="AR709" s="123"/>
      <c r="AS709" s="123"/>
      <c r="AT709" s="123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115"/>
      <c r="BE709" s="115"/>
      <c r="BF709" s="115"/>
      <c r="BG709" s="115"/>
      <c r="BH709" s="115"/>
      <c r="BI709" s="25"/>
      <c r="BJ709" s="13"/>
      <c r="BM709" s="114"/>
    </row>
    <row r="710" spans="1:65" ht="19.5" x14ac:dyDescent="0.4">
      <c r="A710" s="117"/>
      <c r="B710" s="123"/>
      <c r="C710" s="123"/>
      <c r="D710" s="123"/>
      <c r="Z710" s="127"/>
      <c r="AA710" s="29"/>
      <c r="AD710" s="115"/>
      <c r="AE710" s="115"/>
      <c r="AF710" s="115"/>
      <c r="AG710" s="115"/>
      <c r="AH710" s="115"/>
      <c r="AI710" s="115"/>
      <c r="AJ710" s="115"/>
      <c r="AK710" s="26">
        <v>45699</v>
      </c>
      <c r="AL710" s="13" t="s">
        <v>148</v>
      </c>
      <c r="AQ710" s="117"/>
      <c r="AR710" s="123"/>
      <c r="AS710" s="123"/>
      <c r="AT710" s="123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115"/>
      <c r="BG710" s="115"/>
      <c r="BH710" s="115"/>
      <c r="BI710" s="25"/>
      <c r="BJ710" s="13"/>
      <c r="BM710" s="114"/>
    </row>
    <row r="711" spans="1:65" ht="19.5" x14ac:dyDescent="0.4">
      <c r="A711" s="117"/>
      <c r="B711" s="123"/>
      <c r="C711" s="123"/>
      <c r="D711" s="123"/>
      <c r="Z711" s="127"/>
      <c r="AA711" s="29"/>
      <c r="AK711" s="26">
        <v>45699</v>
      </c>
      <c r="AL711" s="13" t="s">
        <v>148</v>
      </c>
      <c r="AQ711" s="117"/>
      <c r="AR711" s="123"/>
      <c r="AS711" s="123"/>
      <c r="AT711" s="123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115"/>
      <c r="BE711" s="115"/>
      <c r="BF711" s="115"/>
      <c r="BG711" s="115"/>
      <c r="BH711" s="115" t="s">
        <v>158</v>
      </c>
      <c r="BI711" s="13">
        <f>SUBTOTAL(3,BI697:BI706)</f>
        <v>4</v>
      </c>
      <c r="BJ711" s="13">
        <f>SUBTOTAL(3,BJ697:BJ706)</f>
        <v>4</v>
      </c>
      <c r="BM711" s="114"/>
    </row>
    <row r="712" spans="1:65" ht="19.5" x14ac:dyDescent="0.4">
      <c r="A712" s="117"/>
      <c r="B712" s="123"/>
      <c r="C712" s="123"/>
      <c r="D712" s="123"/>
      <c r="Z712" s="127"/>
      <c r="AA712" s="29"/>
      <c r="AH712" s="115"/>
      <c r="AI712" s="115"/>
      <c r="AJ712" s="115"/>
      <c r="AK712" s="26">
        <v>45706</v>
      </c>
      <c r="AL712" s="13" t="s">
        <v>146</v>
      </c>
      <c r="AQ712" s="117"/>
      <c r="AR712" s="123"/>
      <c r="AS712" s="123"/>
      <c r="AT712" s="123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115"/>
      <c r="BE712" s="115"/>
      <c r="BF712" s="115"/>
      <c r="BG712" s="115"/>
      <c r="BH712" s="115"/>
      <c r="BI712" s="13"/>
      <c r="BJ712" s="13"/>
      <c r="BM712" s="114"/>
    </row>
    <row r="713" spans="1:65" ht="19.5" x14ac:dyDescent="0.4">
      <c r="A713" s="117"/>
      <c r="B713" s="123"/>
      <c r="C713" s="123"/>
      <c r="D713" s="123"/>
      <c r="Z713" s="127"/>
      <c r="AA713" s="29"/>
      <c r="AG713" s="115"/>
      <c r="AH713" s="115"/>
      <c r="AI713" s="115"/>
      <c r="AJ713" s="115"/>
      <c r="AK713" s="26">
        <v>45709</v>
      </c>
      <c r="AL713" s="13" t="s">
        <v>148</v>
      </c>
      <c r="AQ713" s="117"/>
      <c r="AR713" s="123"/>
      <c r="AS713" s="123"/>
      <c r="AT713" s="123"/>
      <c r="AU713" s="115"/>
      <c r="AV713" s="115"/>
      <c r="AW713" s="115"/>
      <c r="AX713" s="115"/>
      <c r="AY713" s="115"/>
      <c r="AZ713" s="115"/>
      <c r="BA713" s="115"/>
      <c r="BB713" s="115"/>
      <c r="BC713" s="115"/>
      <c r="BD713" s="115"/>
      <c r="BE713" s="115"/>
      <c r="BF713" s="115"/>
      <c r="BG713" s="115"/>
      <c r="BH713" s="115"/>
      <c r="BI713" s="13"/>
      <c r="BJ713" s="13"/>
      <c r="BM713" s="114"/>
    </row>
    <row r="714" spans="1:65" ht="19.5" x14ac:dyDescent="0.4">
      <c r="A714" s="117"/>
      <c r="B714" s="123"/>
      <c r="C714" s="123"/>
      <c r="D714" s="123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29"/>
      <c r="AA714" s="29"/>
      <c r="AG714" s="115"/>
      <c r="AH714" s="115"/>
      <c r="AI714" s="115"/>
      <c r="AJ714" s="115"/>
      <c r="AK714" s="26"/>
      <c r="AL714" s="13"/>
      <c r="AQ714" s="117"/>
      <c r="AR714" s="123"/>
      <c r="AS714" s="123"/>
      <c r="AT714" s="123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115"/>
      <c r="BG714" s="115"/>
      <c r="BH714" s="115"/>
      <c r="BI714" s="13"/>
      <c r="BJ714" s="13"/>
      <c r="BM714" s="114"/>
    </row>
    <row r="715" spans="1:65" ht="19.5" x14ac:dyDescent="0.4">
      <c r="A715" s="117"/>
      <c r="B715" s="123"/>
      <c r="C715" s="123"/>
      <c r="D715" s="123"/>
      <c r="Z715" s="127"/>
      <c r="AA715" s="29"/>
      <c r="AG715" s="115"/>
      <c r="AH715" s="115"/>
      <c r="AI715" s="115"/>
      <c r="AJ715" s="115"/>
      <c r="AK715" s="26">
        <v>45709</v>
      </c>
      <c r="AL715" s="13" t="s">
        <v>147</v>
      </c>
      <c r="AQ715" s="117"/>
      <c r="AR715" s="123"/>
      <c r="AS715" s="123"/>
      <c r="AT715" s="123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115"/>
      <c r="BE715" s="115"/>
      <c r="BF715" s="115"/>
      <c r="BG715" s="115"/>
      <c r="BH715" s="115"/>
      <c r="BI715" s="13"/>
      <c r="BJ715" s="13"/>
      <c r="BM715" s="114"/>
    </row>
    <row r="716" spans="1:65" ht="19.5" x14ac:dyDescent="0.4">
      <c r="A716" s="117"/>
      <c r="B716" s="123"/>
      <c r="C716" s="123"/>
      <c r="D716" s="123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29"/>
      <c r="AA716" s="29"/>
      <c r="AG716" s="115"/>
      <c r="AH716" s="115"/>
      <c r="AI716" s="115"/>
      <c r="AJ716" s="115"/>
      <c r="AK716" s="26"/>
      <c r="AL716" s="13"/>
      <c r="AQ716" s="117"/>
      <c r="AR716" s="123"/>
      <c r="AS716" s="123"/>
      <c r="AT716" s="123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115"/>
      <c r="BE716" s="115"/>
      <c r="BF716" s="115"/>
      <c r="BG716" s="115"/>
      <c r="BH716" s="115"/>
      <c r="BI716" s="13"/>
      <c r="BJ716" s="13"/>
      <c r="BM716" s="114"/>
    </row>
    <row r="717" spans="1:65" ht="19.5" x14ac:dyDescent="0.4">
      <c r="A717" s="117"/>
      <c r="B717" s="123"/>
      <c r="C717" s="123"/>
      <c r="D717" s="123"/>
      <c r="Z717" s="127"/>
      <c r="AA717" s="29"/>
      <c r="AG717" s="115"/>
      <c r="AH717" s="115"/>
      <c r="AI717" s="115"/>
      <c r="AJ717" s="115"/>
      <c r="AK717" s="26">
        <v>45712</v>
      </c>
      <c r="AL717" s="13" t="s">
        <v>146</v>
      </c>
      <c r="AQ717" s="117"/>
      <c r="AR717" s="123"/>
      <c r="AS717" s="123"/>
      <c r="AT717" s="123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115"/>
      <c r="BG717" s="115"/>
      <c r="BH717" s="115"/>
      <c r="BI717" s="13"/>
      <c r="BJ717" s="13"/>
      <c r="BM717" s="114"/>
    </row>
    <row r="718" spans="1:65" ht="19.5" x14ac:dyDescent="0.4">
      <c r="A718" s="117"/>
      <c r="B718" s="123"/>
      <c r="C718" s="123"/>
      <c r="D718" s="123"/>
      <c r="Z718" s="127"/>
      <c r="AA718" s="29"/>
      <c r="AG718" s="115"/>
      <c r="AH718" s="115"/>
      <c r="AI718" s="115"/>
      <c r="AJ718" s="115"/>
      <c r="AK718" s="26">
        <v>45712</v>
      </c>
      <c r="AL718" s="13" t="s">
        <v>148</v>
      </c>
      <c r="AQ718" s="117"/>
      <c r="AR718" s="123"/>
      <c r="AS718" s="123"/>
      <c r="AT718" s="123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115"/>
      <c r="BG718" s="115"/>
      <c r="BH718" s="115"/>
      <c r="BI718" s="13"/>
      <c r="BJ718" s="13"/>
      <c r="BM718" s="114"/>
    </row>
    <row r="719" spans="1:65" ht="19.5" x14ac:dyDescent="0.4">
      <c r="A719" s="117"/>
      <c r="B719" s="123"/>
      <c r="C719" s="123"/>
      <c r="D719" s="123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29"/>
      <c r="AA719" s="29"/>
      <c r="AG719" s="115"/>
      <c r="AH719" s="115"/>
      <c r="AI719" s="115"/>
      <c r="AJ719" s="115"/>
      <c r="AK719" s="26"/>
      <c r="AL719" s="13"/>
      <c r="AQ719" s="117"/>
      <c r="AR719" s="123"/>
      <c r="AS719" s="123"/>
      <c r="AT719" s="123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115"/>
      <c r="BE719" s="115"/>
      <c r="BF719" s="115"/>
      <c r="BG719" s="115"/>
      <c r="BH719" s="115"/>
      <c r="BI719" s="13"/>
      <c r="BJ719" s="13"/>
      <c r="BM719" s="114"/>
    </row>
    <row r="720" spans="1:65" ht="19.5" x14ac:dyDescent="0.4">
      <c r="A720" s="117"/>
      <c r="B720" s="123"/>
      <c r="C720" s="123"/>
      <c r="D720" s="123"/>
      <c r="Z720" s="127"/>
      <c r="AA720" s="29"/>
      <c r="AE720" s="115"/>
      <c r="AF720" s="115"/>
      <c r="AG720" s="115"/>
      <c r="AH720" s="115"/>
      <c r="AI720" s="115"/>
      <c r="AJ720" s="115"/>
      <c r="AK720" s="26">
        <v>45714</v>
      </c>
      <c r="AL720" s="13" t="s">
        <v>147</v>
      </c>
      <c r="AQ720" s="117"/>
      <c r="AR720" s="123"/>
      <c r="AS720" s="123"/>
      <c r="AT720" s="123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115"/>
      <c r="BE720" s="115"/>
      <c r="BF720" s="115"/>
      <c r="BG720" s="115"/>
      <c r="BH720" s="115"/>
      <c r="BI720" s="13"/>
      <c r="BJ720" s="13"/>
      <c r="BM720" s="114"/>
    </row>
    <row r="721" spans="1:65" ht="19.5" x14ac:dyDescent="0.4">
      <c r="A721" s="117"/>
      <c r="B721" s="123"/>
      <c r="C721" s="123"/>
      <c r="D721" s="123"/>
      <c r="Z721" s="127"/>
      <c r="AA721" s="29"/>
      <c r="AK721" s="26">
        <v>45714</v>
      </c>
      <c r="AL721" s="13" t="s">
        <v>147</v>
      </c>
      <c r="AQ721" s="117"/>
      <c r="AR721" s="123"/>
      <c r="AS721" s="123"/>
      <c r="AT721" s="123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115"/>
      <c r="BE721" s="115"/>
      <c r="BF721" s="115"/>
      <c r="BG721" s="115"/>
      <c r="BH721" s="115"/>
      <c r="BI721" s="25">
        <v>45269</v>
      </c>
      <c r="BJ721" s="13" t="s">
        <v>163</v>
      </c>
      <c r="BM721" s="114"/>
    </row>
    <row r="722" spans="1:65" ht="19.5" x14ac:dyDescent="0.4">
      <c r="A722" s="117"/>
      <c r="B722" s="123"/>
      <c r="C722" s="123"/>
      <c r="D722" s="123"/>
      <c r="Z722" s="127"/>
      <c r="AA722" s="29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26">
        <v>45714</v>
      </c>
      <c r="AL722" s="13" t="s">
        <v>147</v>
      </c>
      <c r="AQ722" s="117"/>
      <c r="AR722" s="123"/>
      <c r="AS722" s="123"/>
      <c r="AT722" s="123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115"/>
      <c r="BE722" s="115"/>
      <c r="BF722" s="115"/>
      <c r="BG722" s="115"/>
      <c r="BH722" s="115"/>
      <c r="BI722" s="25"/>
      <c r="BJ722" s="13"/>
      <c r="BM722" s="114"/>
    </row>
    <row r="723" spans="1:65" ht="19.5" x14ac:dyDescent="0.4">
      <c r="A723" s="117"/>
      <c r="B723" s="123"/>
      <c r="C723" s="123"/>
      <c r="D723" s="123"/>
      <c r="Z723" s="127"/>
      <c r="AA723" s="29"/>
      <c r="AB723" s="115"/>
      <c r="AC723" s="115"/>
      <c r="AD723" s="115"/>
      <c r="AE723" s="115"/>
      <c r="AF723" s="115"/>
      <c r="AG723" s="115"/>
      <c r="AH723" s="115"/>
      <c r="AI723" s="115" t="s">
        <v>145</v>
      </c>
      <c r="AJ723" s="115">
        <f>SUBTOTAL(3,AJ2:AJ722)</f>
        <v>0</v>
      </c>
      <c r="AK723" s="26"/>
      <c r="AL723" s="13">
        <f>SUBTOTAL(3,AL2:AL722)</f>
        <v>145</v>
      </c>
      <c r="AQ723" s="117"/>
      <c r="AR723" s="123"/>
      <c r="AS723" s="123"/>
      <c r="AT723" s="123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115"/>
      <c r="BF723" s="115"/>
      <c r="BG723" s="115"/>
      <c r="BH723" s="115"/>
      <c r="BI723" s="25"/>
      <c r="BJ723" s="13"/>
      <c r="BM723" s="114"/>
    </row>
    <row r="724" spans="1:65" ht="19.5" x14ac:dyDescent="0.4">
      <c r="A724" s="117"/>
      <c r="B724" s="123"/>
      <c r="C724" s="123"/>
      <c r="D724" s="123"/>
      <c r="Z724" s="127"/>
      <c r="AA724" s="29"/>
      <c r="AK724" s="26"/>
      <c r="AL724" s="13"/>
      <c r="AQ724" s="117"/>
      <c r="AR724" s="123"/>
      <c r="AS724" s="123"/>
      <c r="AT724" s="123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115"/>
      <c r="BF724" s="115"/>
      <c r="BG724" s="115"/>
      <c r="BH724" s="115"/>
      <c r="BI724" s="25">
        <v>45269</v>
      </c>
      <c r="BJ724" s="13" t="s">
        <v>163</v>
      </c>
      <c r="BM724" s="114"/>
    </row>
    <row r="725" spans="1:65" ht="19.5" x14ac:dyDescent="0.4">
      <c r="A725" s="117"/>
      <c r="B725" s="123"/>
      <c r="C725" s="123"/>
      <c r="D725" s="123"/>
      <c r="Z725" s="127"/>
      <c r="AA725" s="29"/>
      <c r="AD725" s="115"/>
      <c r="AE725" s="115"/>
      <c r="AF725" s="115"/>
      <c r="AG725" s="115"/>
      <c r="AH725" s="115"/>
      <c r="AI725" s="115"/>
      <c r="AJ725" s="115"/>
      <c r="AK725" s="26"/>
      <c r="AL725" s="13"/>
      <c r="AQ725" s="117"/>
      <c r="AR725" s="123"/>
      <c r="AS725" s="123"/>
      <c r="AT725" s="123"/>
      <c r="AU725" s="115"/>
      <c r="AV725" s="115"/>
      <c r="AW725" s="115"/>
      <c r="AX725" s="115"/>
      <c r="AY725" s="115"/>
      <c r="AZ725" s="115"/>
      <c r="BA725" s="115"/>
      <c r="BB725" s="115"/>
      <c r="BC725" s="115"/>
      <c r="BD725" s="115"/>
      <c r="BE725" s="115"/>
      <c r="BF725" s="115"/>
      <c r="BG725" s="115"/>
      <c r="BH725" s="115"/>
      <c r="BI725" s="25"/>
      <c r="BJ725" s="13"/>
      <c r="BM725" s="114"/>
    </row>
    <row r="726" spans="1:65" ht="19.5" x14ac:dyDescent="0.4">
      <c r="A726" s="117"/>
      <c r="B726" s="123"/>
      <c r="C726" s="123"/>
      <c r="D726" s="123"/>
      <c r="Z726" s="127"/>
      <c r="AA726" s="29"/>
      <c r="AK726" s="26"/>
      <c r="AL726" s="13"/>
      <c r="AQ726" s="117"/>
      <c r="AR726" s="123"/>
      <c r="AS726" s="123"/>
      <c r="AT726" s="123"/>
      <c r="AU726" s="115"/>
      <c r="AV726" s="115"/>
      <c r="AW726" s="115"/>
      <c r="AX726" s="115"/>
      <c r="AY726" s="115"/>
      <c r="AZ726" s="115"/>
      <c r="BA726" s="115"/>
      <c r="BB726" s="115"/>
      <c r="BC726" s="115"/>
      <c r="BD726" s="115"/>
      <c r="BE726" s="115"/>
      <c r="BF726" s="115"/>
      <c r="BG726" s="115"/>
      <c r="BH726" s="115" t="s">
        <v>159</v>
      </c>
      <c r="BI726" s="13">
        <f>SUBTOTAL(3,BI721:BI724)</f>
        <v>2</v>
      </c>
      <c r="BJ726" s="13">
        <f>SUBTOTAL(3,BJ721:BJ724)</f>
        <v>2</v>
      </c>
      <c r="BM726" s="114"/>
    </row>
    <row r="727" spans="1:65" ht="19.5" x14ac:dyDescent="0.4">
      <c r="A727" s="117"/>
      <c r="B727" s="123"/>
      <c r="C727" s="123"/>
      <c r="D727" s="123"/>
      <c r="Z727" s="127"/>
      <c r="AA727" s="29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26"/>
      <c r="AL727" s="13"/>
      <c r="AQ727" s="117"/>
      <c r="AR727" s="123"/>
      <c r="AS727" s="123"/>
      <c r="AT727" s="123"/>
      <c r="AU727" s="115"/>
      <c r="AV727" s="115"/>
      <c r="AW727" s="115"/>
      <c r="AX727" s="115"/>
      <c r="AY727" s="115"/>
      <c r="AZ727" s="115"/>
      <c r="BA727" s="115"/>
      <c r="BB727" s="115"/>
      <c r="BC727" s="115"/>
      <c r="BD727" s="115"/>
      <c r="BE727" s="115"/>
      <c r="BF727" s="115"/>
      <c r="BG727" s="115"/>
      <c r="BH727" s="115"/>
      <c r="BI727" s="13"/>
      <c r="BJ727" s="13"/>
      <c r="BM727" s="114"/>
    </row>
    <row r="728" spans="1:65" ht="19.5" x14ac:dyDescent="0.4">
      <c r="A728" s="117"/>
      <c r="B728" s="123"/>
      <c r="C728" s="123"/>
      <c r="D728" s="123"/>
      <c r="Z728" s="127"/>
      <c r="AA728" s="29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26"/>
      <c r="AL728" s="13"/>
      <c r="AQ728" s="117"/>
      <c r="AR728" s="123"/>
      <c r="AS728" s="123"/>
      <c r="AT728" s="123"/>
      <c r="AU728" s="115"/>
      <c r="AV728" s="115"/>
      <c r="AW728" s="115"/>
      <c r="AX728" s="115"/>
      <c r="AY728" s="115"/>
      <c r="AZ728" s="115"/>
      <c r="BA728" s="115"/>
      <c r="BB728" s="115"/>
      <c r="BC728" s="115"/>
      <c r="BD728" s="115"/>
      <c r="BE728" s="115"/>
      <c r="BF728" s="115"/>
      <c r="BG728" s="115"/>
      <c r="BH728" s="115"/>
      <c r="BI728" s="13"/>
      <c r="BJ728" s="13"/>
      <c r="BM728" s="114"/>
    </row>
    <row r="729" spans="1:65" ht="19.5" x14ac:dyDescent="0.4">
      <c r="A729" s="117"/>
      <c r="B729" s="123"/>
      <c r="C729" s="123"/>
      <c r="D729" s="123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27"/>
      <c r="AA729" s="29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26"/>
      <c r="AL729" s="13"/>
      <c r="AQ729" s="117"/>
      <c r="AR729" s="123"/>
      <c r="AS729" s="123"/>
      <c r="AT729" s="123"/>
      <c r="AU729" s="115"/>
      <c r="AV729" s="115"/>
      <c r="AW729" s="115"/>
      <c r="AX729" s="115"/>
      <c r="AY729" s="115"/>
      <c r="AZ729" s="115"/>
      <c r="BA729" s="115"/>
      <c r="BB729" s="115"/>
      <c r="BC729" s="115"/>
      <c r="BD729" s="115"/>
      <c r="BE729" s="115"/>
      <c r="BF729" s="115"/>
      <c r="BG729" s="115"/>
      <c r="BH729" s="115"/>
      <c r="BI729" s="13"/>
      <c r="BJ729" s="13"/>
      <c r="BM729" s="114"/>
    </row>
    <row r="730" spans="1:65" ht="19.5" x14ac:dyDescent="0.4">
      <c r="A730" s="117"/>
      <c r="B730" s="123"/>
      <c r="C730" s="123"/>
      <c r="D730" s="123"/>
      <c r="Z730" s="127"/>
      <c r="AA730" s="29"/>
      <c r="AK730" s="26"/>
      <c r="AL730" s="13"/>
      <c r="AQ730" s="117"/>
      <c r="AR730" s="123"/>
      <c r="AS730" s="123"/>
      <c r="AT730" s="123"/>
      <c r="AU730" s="115"/>
      <c r="AV730" s="115"/>
      <c r="AW730" s="115"/>
      <c r="AX730" s="115"/>
      <c r="AY730" s="115"/>
      <c r="AZ730" s="115"/>
      <c r="BA730" s="115"/>
      <c r="BB730" s="115"/>
      <c r="BC730" s="115"/>
      <c r="BD730" s="115"/>
      <c r="BE730" s="115"/>
      <c r="BF730" s="115"/>
      <c r="BG730" s="115"/>
      <c r="BH730" s="115"/>
      <c r="BI730" s="25">
        <v>45270</v>
      </c>
      <c r="BJ730" s="13" t="s">
        <v>164</v>
      </c>
      <c r="BM730" s="114"/>
    </row>
    <row r="731" spans="1:65" ht="19.5" x14ac:dyDescent="0.4">
      <c r="A731" s="117"/>
      <c r="B731" s="123"/>
      <c r="C731" s="123"/>
      <c r="D731" s="123"/>
      <c r="Z731" s="127"/>
      <c r="AA731" s="29"/>
      <c r="AF731" s="115"/>
      <c r="AG731" s="115"/>
      <c r="AH731" s="115"/>
      <c r="AI731" s="115"/>
      <c r="AJ731" s="115"/>
      <c r="AK731" s="17"/>
      <c r="AL731" s="13"/>
      <c r="AQ731" s="117"/>
      <c r="AR731" s="123"/>
      <c r="AS731" s="123"/>
      <c r="AT731" s="123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115"/>
      <c r="BF731" s="115"/>
      <c r="BG731" s="115"/>
      <c r="BH731" s="115"/>
      <c r="BI731" s="25"/>
      <c r="BJ731" s="13"/>
      <c r="BM731" s="114"/>
    </row>
    <row r="732" spans="1:65" ht="19.5" x14ac:dyDescent="0.4">
      <c r="A732" s="117"/>
      <c r="B732" s="123"/>
      <c r="C732" s="123"/>
      <c r="D732" s="123"/>
      <c r="Z732" s="127"/>
      <c r="AA732" s="29"/>
      <c r="AK732" s="26"/>
      <c r="AL732" s="13"/>
      <c r="AQ732" s="117"/>
      <c r="AR732" s="123"/>
      <c r="AS732" s="123"/>
      <c r="AT732" s="123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115"/>
      <c r="BF732" s="115"/>
      <c r="BG732" s="115"/>
      <c r="BH732" s="115"/>
      <c r="BI732" s="25"/>
      <c r="BJ732" s="13"/>
      <c r="BM732" s="114"/>
    </row>
    <row r="733" spans="1:65" ht="19.5" x14ac:dyDescent="0.4">
      <c r="A733" s="117"/>
      <c r="B733" s="123"/>
      <c r="C733" s="123"/>
      <c r="D733" s="123"/>
      <c r="Z733" s="127"/>
      <c r="AA733" s="29"/>
      <c r="AC733" s="115"/>
      <c r="AD733" s="115"/>
      <c r="AE733" s="115"/>
      <c r="AF733" s="115"/>
      <c r="AG733" s="115"/>
      <c r="AH733" s="115"/>
      <c r="AI733" s="115"/>
      <c r="AJ733" s="115"/>
      <c r="AK733" s="26"/>
      <c r="AL733" s="13"/>
      <c r="AQ733" s="117"/>
      <c r="AR733" s="123"/>
      <c r="AS733" s="123"/>
      <c r="AT733" s="123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115"/>
      <c r="BF733" s="115"/>
      <c r="BG733" s="115"/>
      <c r="BH733" s="115"/>
      <c r="BI733" s="25"/>
      <c r="BJ733" s="13"/>
      <c r="BM733" s="114"/>
    </row>
    <row r="734" spans="1:65" ht="19.5" x14ac:dyDescent="0.4">
      <c r="A734" s="117"/>
      <c r="B734" s="123"/>
      <c r="C734" s="123"/>
      <c r="D734" s="123"/>
      <c r="Z734" s="127"/>
      <c r="AA734" s="29"/>
      <c r="AK734" s="26"/>
      <c r="AL734" s="13"/>
      <c r="AQ734" s="117"/>
      <c r="AR734" s="123"/>
      <c r="AS734" s="123"/>
      <c r="AT734" s="123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115"/>
      <c r="BF734" s="115"/>
      <c r="BG734" s="115"/>
      <c r="BH734" s="115"/>
      <c r="BI734" s="25">
        <v>45270</v>
      </c>
      <c r="BJ734" s="13" t="s">
        <v>164</v>
      </c>
      <c r="BM734" s="114"/>
    </row>
    <row r="735" spans="1:65" ht="19.5" x14ac:dyDescent="0.4">
      <c r="A735" s="117"/>
      <c r="B735" s="123"/>
      <c r="C735" s="123"/>
      <c r="D735" s="123"/>
      <c r="Z735" s="127"/>
      <c r="AA735" s="29"/>
      <c r="AE735" s="115"/>
      <c r="AF735" s="115"/>
      <c r="AG735" s="115"/>
      <c r="AH735" s="115"/>
      <c r="AI735" s="115"/>
      <c r="AJ735" s="115"/>
      <c r="AK735" s="26"/>
      <c r="AL735" s="13"/>
      <c r="AQ735" s="117"/>
      <c r="AR735" s="123"/>
      <c r="AS735" s="123"/>
      <c r="AT735" s="123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115"/>
      <c r="BG735" s="115"/>
      <c r="BH735" s="115"/>
      <c r="BI735" s="25"/>
      <c r="BJ735" s="13"/>
      <c r="BM735" s="114"/>
    </row>
    <row r="736" spans="1:65" ht="19.5" x14ac:dyDescent="0.4">
      <c r="A736" s="117"/>
      <c r="B736" s="123"/>
      <c r="C736" s="123"/>
      <c r="D736" s="123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27"/>
      <c r="AA736" s="29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26"/>
      <c r="AL736" s="13"/>
      <c r="AQ736" s="117"/>
      <c r="AR736" s="123"/>
      <c r="AS736" s="123"/>
      <c r="AT736" s="123"/>
      <c r="AU736" s="115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115"/>
      <c r="BF736" s="115"/>
      <c r="BG736" s="115"/>
      <c r="BH736" s="115"/>
      <c r="BI736" s="25"/>
      <c r="BJ736" s="13"/>
      <c r="BM736" s="114"/>
    </row>
    <row r="737" spans="1:65" ht="19.5" x14ac:dyDescent="0.4">
      <c r="A737" s="117"/>
      <c r="B737" s="123"/>
      <c r="C737" s="123"/>
      <c r="D737" s="123"/>
      <c r="Z737" s="127"/>
      <c r="AA737" s="29"/>
      <c r="AK737" s="26"/>
      <c r="AL737" s="13"/>
      <c r="AQ737" s="117"/>
      <c r="AR737" s="123"/>
      <c r="AS737" s="123"/>
      <c r="AT737" s="123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115"/>
      <c r="BF737" s="115"/>
      <c r="BG737" s="115"/>
      <c r="BH737" s="115"/>
      <c r="BI737" s="25">
        <v>45270</v>
      </c>
      <c r="BJ737" s="13" t="s">
        <v>162</v>
      </c>
      <c r="BM737" s="114"/>
    </row>
    <row r="738" spans="1:65" ht="19.5" x14ac:dyDescent="0.4">
      <c r="A738" s="117"/>
      <c r="B738" s="123"/>
      <c r="C738" s="123"/>
      <c r="D738" s="123"/>
      <c r="Z738" s="127"/>
      <c r="AA738" s="29"/>
      <c r="AD738" s="115"/>
      <c r="AE738" s="115"/>
      <c r="AF738" s="115"/>
      <c r="AG738" s="115"/>
      <c r="AH738" s="115"/>
      <c r="AI738" s="115"/>
      <c r="AJ738" s="115"/>
      <c r="AK738" s="26"/>
      <c r="AL738" s="15"/>
      <c r="AQ738" s="117"/>
      <c r="AR738" s="123"/>
      <c r="AS738" s="123"/>
      <c r="AT738" s="123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115"/>
      <c r="BG738" s="115"/>
      <c r="BH738" s="115"/>
      <c r="BI738" s="25"/>
      <c r="BJ738" s="13"/>
      <c r="BM738" s="114"/>
    </row>
    <row r="739" spans="1:65" ht="19.5" x14ac:dyDescent="0.4">
      <c r="A739" s="117"/>
      <c r="B739" s="123"/>
      <c r="C739" s="123"/>
      <c r="D739" s="123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29"/>
      <c r="AA739" s="29"/>
      <c r="AD739" s="115"/>
      <c r="AE739" s="115"/>
      <c r="AF739" s="115"/>
      <c r="AG739" s="115"/>
      <c r="AH739" s="115"/>
      <c r="AI739" s="115"/>
      <c r="AJ739" s="115"/>
      <c r="AK739" s="26"/>
      <c r="AL739" s="13"/>
      <c r="AQ739" s="117"/>
      <c r="AR739" s="123"/>
      <c r="AS739" s="123"/>
      <c r="AT739" s="123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115"/>
      <c r="BF739" s="115"/>
      <c r="BG739" s="115"/>
      <c r="BH739" s="115"/>
      <c r="BI739" s="25"/>
      <c r="BJ739" s="13"/>
      <c r="BM739" s="114"/>
    </row>
    <row r="740" spans="1:65" ht="19.5" x14ac:dyDescent="0.4">
      <c r="A740" s="117"/>
      <c r="B740" s="123"/>
      <c r="C740" s="123"/>
      <c r="D740" s="123"/>
      <c r="Z740" s="127"/>
      <c r="AA740" s="29"/>
      <c r="AK740" s="26"/>
      <c r="AL740" s="13"/>
      <c r="AQ740" s="117"/>
      <c r="AR740" s="123"/>
      <c r="AS740" s="123"/>
      <c r="AT740" s="123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115"/>
      <c r="BF740" s="115"/>
      <c r="BG740" s="115"/>
      <c r="BH740" s="115"/>
      <c r="BI740" s="25">
        <v>45270</v>
      </c>
      <c r="BJ740" s="13" t="s">
        <v>162</v>
      </c>
      <c r="BM740" s="114"/>
    </row>
    <row r="741" spans="1:65" ht="19.5" x14ac:dyDescent="0.4">
      <c r="A741" s="117"/>
      <c r="B741" s="123"/>
      <c r="C741" s="123"/>
      <c r="D741" s="123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29"/>
      <c r="AA741" s="29"/>
      <c r="AK741" s="26"/>
      <c r="AL741" s="13"/>
      <c r="AQ741" s="117"/>
      <c r="AR741" s="123"/>
      <c r="AS741" s="123"/>
      <c r="AT741" s="123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115"/>
      <c r="BG741" s="115"/>
      <c r="BH741" s="115"/>
      <c r="BI741" s="25"/>
      <c r="BJ741" s="13"/>
      <c r="BM741" s="114"/>
    </row>
    <row r="742" spans="1:65" ht="19.5" x14ac:dyDescent="0.4">
      <c r="A742" s="117"/>
      <c r="B742" s="123"/>
      <c r="C742" s="123"/>
      <c r="D742" s="123"/>
      <c r="Z742" s="127"/>
      <c r="AA742" s="29"/>
      <c r="AF742" s="115"/>
      <c r="AG742" s="115"/>
      <c r="AH742" s="115"/>
      <c r="AI742" s="115"/>
      <c r="AJ742" s="115"/>
      <c r="AK742" s="17"/>
      <c r="AL742" s="13"/>
      <c r="AQ742" s="117"/>
      <c r="AR742" s="123"/>
      <c r="AS742" s="123"/>
      <c r="AT742" s="123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115"/>
      <c r="BG742" s="115"/>
      <c r="BH742" s="115"/>
      <c r="BI742" s="25"/>
      <c r="BJ742" s="13"/>
      <c r="BM742" s="114"/>
    </row>
    <row r="743" spans="1:65" ht="19.5" x14ac:dyDescent="0.4">
      <c r="A743" s="117"/>
      <c r="B743" s="123"/>
      <c r="C743" s="123"/>
      <c r="D743" s="123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29"/>
      <c r="AA743" s="29"/>
      <c r="AF743" s="115"/>
      <c r="AG743" s="115"/>
      <c r="AH743" s="115"/>
      <c r="AI743" s="115"/>
      <c r="AJ743" s="115"/>
      <c r="AK743" s="17"/>
      <c r="AL743" s="13"/>
      <c r="AQ743" s="117"/>
      <c r="AR743" s="123"/>
      <c r="AS743" s="123"/>
      <c r="AT743" s="123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115"/>
      <c r="BE743" s="115"/>
      <c r="BF743" s="115"/>
      <c r="BG743" s="115"/>
      <c r="BH743" s="115"/>
      <c r="BI743" s="25"/>
      <c r="BJ743" s="13"/>
      <c r="BM743" s="114"/>
    </row>
    <row r="744" spans="1:65" ht="19.5" x14ac:dyDescent="0.4">
      <c r="A744" s="117"/>
      <c r="B744" s="123"/>
      <c r="C744" s="123"/>
      <c r="D744" s="123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29"/>
      <c r="AA744" s="29"/>
      <c r="AF744" s="115"/>
      <c r="AG744" s="115"/>
      <c r="AH744" s="115"/>
      <c r="AI744" s="115"/>
      <c r="AJ744" s="115"/>
      <c r="AK744" s="17"/>
      <c r="AL744" s="13"/>
      <c r="AQ744" s="117"/>
      <c r="AR744" s="123"/>
      <c r="AS744" s="123"/>
      <c r="AT744" s="123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115"/>
      <c r="BG744" s="115"/>
      <c r="BH744" s="115"/>
      <c r="BI744" s="25"/>
      <c r="BJ744" s="13"/>
      <c r="BM744" s="114"/>
    </row>
    <row r="745" spans="1:65" ht="19.5" x14ac:dyDescent="0.4">
      <c r="A745" s="117"/>
      <c r="B745" s="123"/>
      <c r="C745" s="123"/>
      <c r="D745" s="123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26"/>
      <c r="AL745" s="13"/>
      <c r="AQ745" s="117"/>
      <c r="AR745" s="123"/>
      <c r="AS745" s="123"/>
      <c r="AT745" s="123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115"/>
      <c r="BF745" s="115"/>
      <c r="BG745" s="115"/>
      <c r="BH745" s="115"/>
      <c r="BI745" s="25"/>
      <c r="BJ745" s="13"/>
      <c r="BM745" s="114"/>
    </row>
    <row r="746" spans="1:65" ht="19.5" x14ac:dyDescent="0.4">
      <c r="A746" s="117"/>
      <c r="B746" s="123"/>
      <c r="C746" s="123"/>
      <c r="D746" s="123"/>
      <c r="AK746" s="26"/>
      <c r="AL746" s="13"/>
      <c r="AQ746" s="117"/>
      <c r="AR746" s="123"/>
      <c r="AS746" s="123"/>
      <c r="AT746" s="123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115"/>
      <c r="BF746" s="115"/>
      <c r="BG746" s="115"/>
      <c r="BH746" s="115"/>
      <c r="BI746" s="25"/>
      <c r="BJ746" s="13"/>
      <c r="BM746" s="114"/>
    </row>
    <row r="747" spans="1:65" ht="19.5" x14ac:dyDescent="0.4">
      <c r="A747" s="117"/>
      <c r="B747" s="123"/>
      <c r="C747" s="123"/>
      <c r="D747" s="123"/>
      <c r="AK747" s="26"/>
      <c r="AL747" s="13"/>
      <c r="AQ747" s="117"/>
      <c r="AR747" s="123"/>
      <c r="AS747" s="123"/>
      <c r="AT747" s="123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115"/>
      <c r="BF747" s="115"/>
      <c r="BG747" s="115"/>
      <c r="BH747" s="115"/>
      <c r="BI747" s="25">
        <v>45270</v>
      </c>
      <c r="BJ747" s="13" t="s">
        <v>163</v>
      </c>
      <c r="BM747" s="114"/>
    </row>
    <row r="748" spans="1:65" ht="19.5" x14ac:dyDescent="0.4">
      <c r="A748" s="117"/>
      <c r="B748" s="123"/>
      <c r="C748" s="123"/>
      <c r="D748" s="123"/>
      <c r="AF748" s="115"/>
      <c r="AG748" s="115"/>
      <c r="AH748" s="115"/>
      <c r="AI748" s="115"/>
      <c r="AJ748" s="115"/>
      <c r="AK748" s="17"/>
      <c r="AL748" s="13"/>
      <c r="AQ748" s="117"/>
      <c r="AR748" s="123"/>
      <c r="AS748" s="123"/>
      <c r="AT748" s="123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115"/>
      <c r="BF748" s="115"/>
      <c r="BG748" s="115"/>
      <c r="BH748" s="115"/>
      <c r="BI748" s="25"/>
      <c r="BJ748" s="13"/>
      <c r="BM748" s="114"/>
    </row>
    <row r="749" spans="1:65" ht="19.5" x14ac:dyDescent="0.4">
      <c r="A749" s="117"/>
      <c r="B749" s="123"/>
      <c r="C749" s="123"/>
      <c r="D749" s="123"/>
      <c r="AK749" s="26"/>
      <c r="AL749" s="13"/>
      <c r="AQ749" s="117"/>
      <c r="AR749" s="123"/>
      <c r="AS749" s="123"/>
      <c r="AT749" s="123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115"/>
      <c r="BF749" s="115"/>
      <c r="BG749" s="115"/>
      <c r="BH749" s="115" t="s">
        <v>151</v>
      </c>
      <c r="BI749" s="13">
        <f>SUBTOTAL(3,BI730:BI747)</f>
        <v>5</v>
      </c>
      <c r="BJ749" s="13">
        <f>SUBTOTAL(3,BJ730:BJ747)</f>
        <v>5</v>
      </c>
      <c r="BM749" s="114"/>
    </row>
    <row r="750" spans="1:65" ht="19.5" x14ac:dyDescent="0.4">
      <c r="A750" s="117"/>
      <c r="B750" s="123"/>
      <c r="C750" s="123"/>
      <c r="D750" s="123"/>
      <c r="AE750" s="115"/>
      <c r="AF750" s="115"/>
      <c r="AG750" s="115"/>
      <c r="AH750" s="115"/>
      <c r="AI750" s="115"/>
      <c r="AJ750" s="115"/>
      <c r="AK750" s="26"/>
      <c r="AL750" s="13"/>
      <c r="AQ750" s="117"/>
      <c r="AR750" s="123"/>
      <c r="AS750" s="123"/>
      <c r="AT750" s="123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115"/>
      <c r="BG750" s="115"/>
      <c r="BH750" s="115"/>
      <c r="BI750" s="13"/>
      <c r="BJ750" s="13"/>
      <c r="BM750" s="114"/>
    </row>
    <row r="751" spans="1:65" ht="19.5" x14ac:dyDescent="0.4">
      <c r="A751" s="117"/>
      <c r="B751" s="123"/>
      <c r="C751" s="123"/>
      <c r="D751" s="123"/>
      <c r="AK751" s="26"/>
      <c r="AL751" s="13"/>
      <c r="AQ751" s="117"/>
      <c r="AR751" s="123"/>
      <c r="AS751" s="123"/>
      <c r="AT751" s="123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115"/>
      <c r="BF751" s="115"/>
      <c r="BG751" s="115"/>
      <c r="BH751" s="115"/>
      <c r="BI751" s="25">
        <v>45271</v>
      </c>
      <c r="BJ751" s="13" t="s">
        <v>162</v>
      </c>
      <c r="BM751" s="114"/>
    </row>
    <row r="752" spans="1:65" ht="19.5" x14ac:dyDescent="0.4">
      <c r="A752" s="117"/>
      <c r="B752" s="123"/>
      <c r="C752" s="123"/>
      <c r="D752" s="123"/>
      <c r="AK752" s="26"/>
      <c r="AL752" s="13"/>
      <c r="AQ752" s="117"/>
      <c r="AR752" s="123"/>
      <c r="AS752" s="123"/>
      <c r="AT752" s="123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115"/>
      <c r="BG752" s="115"/>
      <c r="BH752" s="115"/>
      <c r="BI752" s="25">
        <v>45271</v>
      </c>
      <c r="BJ752" s="13" t="s">
        <v>163</v>
      </c>
      <c r="BM752" s="114"/>
    </row>
    <row r="753" spans="1:65" ht="19.5" x14ac:dyDescent="0.4">
      <c r="A753" s="117"/>
      <c r="B753" s="123"/>
      <c r="C753" s="123"/>
      <c r="D753" s="123"/>
      <c r="AE753" s="115"/>
      <c r="AF753" s="115"/>
      <c r="AG753" s="115"/>
      <c r="AH753" s="115"/>
      <c r="AI753" s="115"/>
      <c r="AJ753" s="115"/>
      <c r="AK753" s="26"/>
      <c r="AL753" s="13"/>
      <c r="AQ753" s="117"/>
      <c r="AR753" s="123"/>
      <c r="AS753" s="123"/>
      <c r="AT753" s="123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115"/>
      <c r="BF753" s="115"/>
      <c r="BG753" s="115"/>
      <c r="BH753" s="115"/>
      <c r="BI753" s="25"/>
      <c r="BJ753" s="13"/>
      <c r="BM753" s="114"/>
    </row>
    <row r="754" spans="1:65" ht="19.5" x14ac:dyDescent="0.4">
      <c r="A754" s="117"/>
      <c r="B754" s="123"/>
      <c r="C754" s="123"/>
      <c r="D754" s="123"/>
      <c r="AD754" s="115"/>
      <c r="AE754" s="115"/>
      <c r="AF754" s="115"/>
      <c r="AG754" s="115"/>
      <c r="AH754" s="115"/>
      <c r="AI754" s="115"/>
      <c r="AJ754" s="115"/>
      <c r="AK754" s="26"/>
      <c r="AL754" s="13"/>
      <c r="AQ754" s="117"/>
      <c r="AR754" s="123"/>
      <c r="AS754" s="123"/>
      <c r="AT754" s="123"/>
      <c r="AU754" s="115"/>
      <c r="AV754" s="115"/>
      <c r="AW754" s="115"/>
      <c r="AX754" s="115"/>
      <c r="AY754" s="115"/>
      <c r="AZ754" s="115"/>
      <c r="BA754" s="115"/>
      <c r="BB754" s="115"/>
      <c r="BC754" s="115"/>
      <c r="BD754" s="115"/>
      <c r="BE754" s="115"/>
      <c r="BF754" s="115"/>
      <c r="BG754" s="115"/>
      <c r="BH754" s="115"/>
      <c r="BI754" s="25"/>
      <c r="BJ754" s="13"/>
      <c r="BM754" s="114"/>
    </row>
    <row r="755" spans="1:65" ht="19.5" x14ac:dyDescent="0.4">
      <c r="A755" s="117"/>
      <c r="B755" s="123"/>
      <c r="C755" s="123"/>
      <c r="D755" s="123"/>
      <c r="AD755" s="115"/>
      <c r="AE755" s="115"/>
      <c r="AF755" s="115"/>
      <c r="AG755" s="115"/>
      <c r="AH755" s="115"/>
      <c r="AI755" s="115"/>
      <c r="AJ755" s="115"/>
      <c r="AK755" s="17"/>
      <c r="AL755" s="13"/>
      <c r="AQ755" s="117"/>
      <c r="AR755" s="123"/>
      <c r="AS755" s="123"/>
      <c r="AT755" s="123"/>
      <c r="AU755" s="115"/>
      <c r="AV755" s="115"/>
      <c r="AW755" s="115"/>
      <c r="AX755" s="115"/>
      <c r="AY755" s="115"/>
      <c r="AZ755" s="115"/>
      <c r="BA755" s="115"/>
      <c r="BB755" s="115"/>
      <c r="BC755" s="115"/>
      <c r="BD755" s="115"/>
      <c r="BE755" s="115"/>
      <c r="BF755" s="115"/>
      <c r="BG755" s="115"/>
      <c r="BH755" s="115"/>
      <c r="BI755" s="25"/>
      <c r="BJ755" s="13"/>
      <c r="BM755" s="114"/>
    </row>
    <row r="756" spans="1:65" ht="19.5" x14ac:dyDescent="0.4">
      <c r="A756" s="117"/>
      <c r="B756" s="123"/>
      <c r="C756" s="123"/>
      <c r="D756" s="123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26"/>
      <c r="AL756" s="13"/>
      <c r="AQ756" s="117"/>
      <c r="AR756" s="123"/>
      <c r="AS756" s="123"/>
      <c r="AT756" s="123"/>
      <c r="AU756" s="115"/>
      <c r="AV756" s="115"/>
      <c r="AW756" s="115"/>
      <c r="AX756" s="115"/>
      <c r="AY756" s="115"/>
      <c r="AZ756" s="115"/>
      <c r="BA756" s="115"/>
      <c r="BB756" s="115"/>
      <c r="BC756" s="115"/>
      <c r="BD756" s="115"/>
      <c r="BE756" s="115"/>
      <c r="BF756" s="115"/>
      <c r="BG756" s="115"/>
      <c r="BH756" s="115"/>
      <c r="BI756" s="25"/>
      <c r="BJ756" s="13"/>
      <c r="BM756" s="114"/>
    </row>
    <row r="757" spans="1:65" ht="19.5" x14ac:dyDescent="0.4">
      <c r="A757" s="117"/>
      <c r="B757" s="123"/>
      <c r="C757" s="123"/>
      <c r="D757" s="123"/>
      <c r="AK757" s="26"/>
      <c r="AL757" s="13"/>
      <c r="AQ757" s="117"/>
      <c r="AR757" s="123"/>
      <c r="AS757" s="123"/>
      <c r="AT757" s="123"/>
      <c r="AU757" s="115"/>
      <c r="AV757" s="115"/>
      <c r="AW757" s="115"/>
      <c r="AX757" s="115"/>
      <c r="AY757" s="115"/>
      <c r="AZ757" s="115"/>
      <c r="BA757" s="115"/>
      <c r="BB757" s="115"/>
      <c r="BC757" s="115"/>
      <c r="BD757" s="115"/>
      <c r="BE757" s="115"/>
      <c r="BF757" s="115"/>
      <c r="BG757" s="115"/>
      <c r="BH757" s="115"/>
      <c r="BI757" s="25">
        <v>45271</v>
      </c>
      <c r="BJ757" s="13" t="s">
        <v>163</v>
      </c>
      <c r="BM757" s="114"/>
    </row>
    <row r="758" spans="1:65" ht="19.5" x14ac:dyDescent="0.4">
      <c r="A758" s="117"/>
      <c r="B758" s="123"/>
      <c r="C758" s="123"/>
      <c r="D758" s="123"/>
      <c r="AE758" s="115"/>
      <c r="AF758" s="115"/>
      <c r="AG758" s="115"/>
      <c r="AH758" s="115"/>
      <c r="AI758" s="115"/>
      <c r="AJ758" s="115"/>
      <c r="AK758" s="26"/>
      <c r="AL758" s="13"/>
      <c r="AQ758" s="117"/>
      <c r="AR758" s="123"/>
      <c r="AS758" s="123"/>
      <c r="AT758" s="123"/>
      <c r="AU758" s="115"/>
      <c r="AV758" s="115"/>
      <c r="AW758" s="115"/>
      <c r="AX758" s="115"/>
      <c r="AY758" s="115"/>
      <c r="AZ758" s="115"/>
      <c r="BA758" s="115"/>
      <c r="BB758" s="115"/>
      <c r="BC758" s="115"/>
      <c r="BD758" s="115"/>
      <c r="BE758" s="115"/>
      <c r="BF758" s="115"/>
      <c r="BG758" s="115"/>
      <c r="BH758" s="115"/>
      <c r="BI758" s="25"/>
      <c r="BJ758" s="13"/>
      <c r="BM758" s="114"/>
    </row>
    <row r="759" spans="1:65" ht="19.5" x14ac:dyDescent="0.4">
      <c r="A759" s="117"/>
      <c r="B759" s="123"/>
      <c r="C759" s="123"/>
      <c r="D759" s="123"/>
      <c r="AC759" s="115"/>
      <c r="AD759" s="115"/>
      <c r="AE759" s="115"/>
      <c r="AF759" s="115"/>
      <c r="AG759" s="115"/>
      <c r="AH759" s="115"/>
      <c r="AI759" s="115"/>
      <c r="AJ759" s="115"/>
      <c r="AK759" s="26"/>
      <c r="AL759" s="13"/>
      <c r="AQ759" s="117"/>
      <c r="AR759" s="123"/>
      <c r="AS759" s="123"/>
      <c r="AT759" s="123"/>
      <c r="AU759" s="115"/>
      <c r="AV759" s="115"/>
      <c r="AW759" s="115"/>
      <c r="AX759" s="115"/>
      <c r="AY759" s="115"/>
      <c r="AZ759" s="115"/>
      <c r="BA759" s="115"/>
      <c r="BB759" s="115"/>
      <c r="BC759" s="115"/>
      <c r="BD759" s="115"/>
      <c r="BE759" s="115"/>
      <c r="BF759" s="115"/>
      <c r="BG759" s="115"/>
      <c r="BH759" s="115"/>
      <c r="BI759" s="25"/>
      <c r="BJ759" s="13"/>
      <c r="BM759" s="114"/>
    </row>
    <row r="760" spans="1:65" ht="19.5" x14ac:dyDescent="0.4">
      <c r="A760" s="117"/>
      <c r="B760" s="123"/>
      <c r="C760" s="123"/>
      <c r="D760" s="123"/>
      <c r="AC760" s="115"/>
      <c r="AD760" s="115"/>
      <c r="AE760" s="115"/>
      <c r="AF760" s="115"/>
      <c r="AG760" s="115"/>
      <c r="AH760" s="115"/>
      <c r="AI760" s="115"/>
      <c r="AJ760" s="115"/>
      <c r="AK760" s="17"/>
      <c r="AL760" s="13"/>
      <c r="AQ760" s="117"/>
      <c r="AR760" s="123"/>
      <c r="AS760" s="123"/>
      <c r="AT760" s="123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15"/>
      <c r="BF760" s="115"/>
      <c r="BG760" s="115"/>
      <c r="BH760" s="115"/>
      <c r="BI760" s="25"/>
      <c r="BJ760" s="13"/>
      <c r="BM760" s="114"/>
    </row>
    <row r="761" spans="1:65" ht="19.5" x14ac:dyDescent="0.4">
      <c r="A761" s="117"/>
      <c r="B761" s="123"/>
      <c r="C761" s="123"/>
      <c r="D761" s="123"/>
      <c r="AK761" s="26"/>
      <c r="AL761" s="13"/>
      <c r="AQ761" s="117"/>
      <c r="AR761" s="123"/>
      <c r="AS761" s="123"/>
      <c r="AT761" s="123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15"/>
      <c r="BF761" s="115"/>
      <c r="BG761" s="115"/>
      <c r="BH761" s="115" t="s">
        <v>165</v>
      </c>
      <c r="BI761" s="13">
        <f>SUBTOTAL(3,BI751:BI757)</f>
        <v>3</v>
      </c>
      <c r="BJ761" s="13">
        <f>SUBTOTAL(3,BJ751:BJ757)</f>
        <v>3</v>
      </c>
      <c r="BM761" s="114"/>
    </row>
    <row r="762" spans="1:65" ht="19.5" x14ac:dyDescent="0.4">
      <c r="A762" s="117"/>
      <c r="B762" s="123"/>
      <c r="C762" s="123"/>
      <c r="D762" s="123"/>
      <c r="AK762" s="26"/>
      <c r="AL762" s="13"/>
      <c r="AQ762" s="117"/>
      <c r="AR762" s="123"/>
      <c r="AS762" s="123"/>
      <c r="AT762" s="123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15"/>
      <c r="BF762" s="115"/>
      <c r="BG762" s="115"/>
      <c r="BH762" s="115"/>
      <c r="BI762" s="25">
        <v>45272</v>
      </c>
      <c r="BJ762" s="13" t="s">
        <v>162</v>
      </c>
      <c r="BM762" s="114"/>
    </row>
    <row r="763" spans="1:65" ht="19.5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7"/>
      <c r="AL763" s="13"/>
      <c r="AQ763" s="117"/>
      <c r="AR763" s="123"/>
      <c r="AS763" s="123"/>
      <c r="AT763" s="123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15"/>
      <c r="BF763" s="115"/>
      <c r="BG763" s="115"/>
      <c r="BH763" s="115"/>
      <c r="BI763" s="25"/>
      <c r="BJ763" s="13"/>
      <c r="BM763" s="114"/>
    </row>
    <row r="764" spans="1:65" ht="19.5" x14ac:dyDescent="0.4">
      <c r="A764" s="117"/>
      <c r="B764" s="123"/>
      <c r="C764" s="123"/>
      <c r="D764" s="123"/>
      <c r="AK764" s="26"/>
      <c r="AL764" s="15"/>
      <c r="AQ764" s="117"/>
      <c r="AR764" s="123"/>
      <c r="AS764" s="123"/>
      <c r="AT764" s="123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15"/>
      <c r="BF764" s="115"/>
      <c r="BG764" s="115"/>
      <c r="BH764" s="115"/>
      <c r="BI764" s="25">
        <v>45272</v>
      </c>
      <c r="BJ764" s="13" t="s">
        <v>162</v>
      </c>
      <c r="BM764" s="114"/>
    </row>
    <row r="765" spans="1:65" ht="19.5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7"/>
      <c r="AL765" s="13"/>
      <c r="AQ765" s="117"/>
      <c r="AR765" s="123"/>
      <c r="AS765" s="123"/>
      <c r="AT765" s="123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115"/>
      <c r="BF765" s="115"/>
      <c r="BG765" s="115"/>
      <c r="BH765" s="115"/>
      <c r="BI765" s="25"/>
      <c r="BJ765" s="13"/>
      <c r="BM765" s="114"/>
    </row>
    <row r="766" spans="1:65" ht="19.5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7"/>
      <c r="AL766" s="13"/>
      <c r="AQ766" s="117"/>
      <c r="AR766" s="123"/>
      <c r="AS766" s="123"/>
      <c r="AT766" s="123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115"/>
      <c r="BE766" s="115"/>
      <c r="BF766" s="115"/>
      <c r="BG766" s="115"/>
      <c r="BH766" s="115"/>
      <c r="BI766" s="25"/>
      <c r="BJ766" s="13"/>
      <c r="BM766" s="114"/>
    </row>
    <row r="767" spans="1:65" ht="19.5" x14ac:dyDescent="0.4">
      <c r="A767" s="117"/>
      <c r="B767" s="123"/>
      <c r="C767" s="123"/>
      <c r="D767" s="123"/>
      <c r="AK767" s="26"/>
      <c r="AL767" s="13"/>
      <c r="AQ767" s="117"/>
      <c r="AR767" s="123"/>
      <c r="AS767" s="123"/>
      <c r="AT767" s="123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115"/>
      <c r="BF767" s="115"/>
      <c r="BG767" s="115"/>
      <c r="BH767" s="115"/>
      <c r="BI767" s="25">
        <v>45272</v>
      </c>
      <c r="BJ767" s="13" t="s">
        <v>162</v>
      </c>
      <c r="BM767" s="114"/>
    </row>
    <row r="768" spans="1:65" ht="19.5" x14ac:dyDescent="0.4">
      <c r="A768" s="125"/>
      <c r="B768" s="126"/>
      <c r="C768" s="126"/>
      <c r="D768" s="126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26"/>
      <c r="AL768" s="13"/>
      <c r="AQ768" s="117"/>
      <c r="AR768" s="123"/>
      <c r="AS768" s="123"/>
      <c r="AT768" s="123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115"/>
      <c r="BF768" s="115"/>
      <c r="BG768" s="115"/>
      <c r="BH768" s="115"/>
      <c r="BI768" s="25"/>
      <c r="BJ768" s="13"/>
      <c r="BM768" s="114"/>
    </row>
    <row r="769" spans="1:65" ht="19.5" x14ac:dyDescent="0.4">
      <c r="A769" s="125"/>
      <c r="B769" s="126"/>
      <c r="C769" s="126"/>
      <c r="D769" s="126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26"/>
      <c r="AL769" s="13"/>
      <c r="AQ769" s="117"/>
      <c r="AR769" s="123"/>
      <c r="AS769" s="123"/>
      <c r="AT769" s="123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115"/>
      <c r="BF769" s="115"/>
      <c r="BG769" s="115"/>
      <c r="BH769" s="115"/>
      <c r="BI769" s="25"/>
      <c r="BJ769" s="13"/>
      <c r="BM769" s="114"/>
    </row>
    <row r="770" spans="1:65" ht="19.5" x14ac:dyDescent="0.4">
      <c r="A770" s="125"/>
      <c r="B770" s="126"/>
      <c r="C770" s="126"/>
      <c r="D770" s="126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7"/>
      <c r="AL770" s="13"/>
      <c r="AQ770" s="117"/>
      <c r="AR770" s="123"/>
      <c r="AS770" s="123"/>
      <c r="AT770" s="123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115"/>
      <c r="BF770" s="115"/>
      <c r="BG770" s="115"/>
      <c r="BH770" s="115"/>
      <c r="BI770" s="25"/>
      <c r="BJ770" s="13"/>
      <c r="BM770" s="114"/>
    </row>
    <row r="771" spans="1:65" ht="19.5" x14ac:dyDescent="0.4">
      <c r="A771" s="125"/>
      <c r="B771" s="126"/>
      <c r="C771" s="126"/>
      <c r="D771" s="126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26"/>
      <c r="AL771" s="13"/>
      <c r="AQ771" s="117"/>
      <c r="AR771" s="123"/>
      <c r="AS771" s="123"/>
      <c r="AT771" s="123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115"/>
      <c r="BF771" s="115"/>
      <c r="BG771" s="115"/>
      <c r="BH771" s="115"/>
      <c r="BI771" s="25"/>
      <c r="BJ771" s="13"/>
      <c r="BM771" s="114"/>
    </row>
    <row r="772" spans="1:65" ht="19.5" x14ac:dyDescent="0.4">
      <c r="AK772" s="26"/>
      <c r="AL772" s="13"/>
      <c r="AQ772" s="117"/>
      <c r="AR772" s="123"/>
      <c r="AS772" s="123"/>
      <c r="AT772" s="123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/>
      <c r="BF772" s="115"/>
      <c r="BG772" s="115"/>
      <c r="BH772" s="115"/>
      <c r="BI772" s="25">
        <v>45272</v>
      </c>
      <c r="BJ772" s="13" t="s">
        <v>162</v>
      </c>
      <c r="BM772" s="114"/>
    </row>
    <row r="773" spans="1:65" ht="19.5" x14ac:dyDescent="0.4">
      <c r="AK773" s="26"/>
      <c r="AL773" s="13"/>
      <c r="AQ773" s="117"/>
      <c r="AR773" s="123"/>
      <c r="AS773" s="123"/>
      <c r="AT773" s="123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115"/>
      <c r="BG773" s="115"/>
      <c r="BH773" s="115"/>
      <c r="BI773" s="25"/>
      <c r="BJ773" s="13"/>
      <c r="BM773" s="114"/>
    </row>
    <row r="774" spans="1:65" ht="19.5" x14ac:dyDescent="0.4"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26"/>
      <c r="AL774" s="25"/>
      <c r="AQ774" s="117"/>
      <c r="AR774" s="123"/>
      <c r="AS774" s="123"/>
      <c r="AT774" s="123"/>
      <c r="AU774" s="115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115"/>
      <c r="BF774" s="115"/>
      <c r="BG774" s="115"/>
      <c r="BH774" s="115"/>
      <c r="BI774" s="25"/>
      <c r="BJ774" s="13"/>
      <c r="BM774" s="114"/>
    </row>
    <row r="775" spans="1:65" ht="19.5" x14ac:dyDescent="0.4">
      <c r="AK775" s="26"/>
      <c r="AL775" s="25"/>
      <c r="AQ775" s="117"/>
      <c r="AR775" s="123"/>
      <c r="AS775" s="123"/>
      <c r="AT775" s="123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115"/>
      <c r="BF775" s="115"/>
      <c r="BG775" s="115"/>
      <c r="BH775" s="115"/>
      <c r="BI775" s="25">
        <v>45272</v>
      </c>
      <c r="BJ775" s="13" t="s">
        <v>162</v>
      </c>
      <c r="BM775" s="114"/>
    </row>
    <row r="776" spans="1:65" ht="19.5" x14ac:dyDescent="0.4">
      <c r="AK776" s="26"/>
      <c r="AL776" s="13"/>
      <c r="AQ776" s="117"/>
      <c r="AR776" s="123"/>
      <c r="AS776" s="123"/>
      <c r="AT776" s="123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115"/>
      <c r="BH776" s="115"/>
      <c r="BI776" s="25">
        <v>45272</v>
      </c>
      <c r="BJ776" s="15" t="s">
        <v>162</v>
      </c>
      <c r="BM776" s="114"/>
    </row>
    <row r="777" spans="1:65" ht="19.5" x14ac:dyDescent="0.4">
      <c r="AK777" s="26"/>
      <c r="AL777" s="13"/>
      <c r="AQ777" s="117"/>
      <c r="AR777" s="123"/>
      <c r="AS777" s="123"/>
      <c r="AT777" s="123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115"/>
      <c r="BG777" s="115"/>
      <c r="BH777" s="115"/>
      <c r="BI777" s="25">
        <v>45272</v>
      </c>
      <c r="BJ777" s="15" t="s">
        <v>162</v>
      </c>
      <c r="BM777" s="114"/>
    </row>
    <row r="778" spans="1:65" ht="19.5" x14ac:dyDescent="0.4"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26"/>
      <c r="AL778" s="13"/>
      <c r="AQ778" s="117"/>
      <c r="AR778" s="123"/>
      <c r="AS778" s="123"/>
      <c r="AT778" s="123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115"/>
      <c r="BF778" s="115"/>
      <c r="BG778" s="115"/>
      <c r="BH778" s="115"/>
      <c r="BI778" s="25"/>
      <c r="BJ778" s="15"/>
      <c r="BM778" s="114"/>
    </row>
    <row r="779" spans="1:65" ht="19.5" x14ac:dyDescent="0.4"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7"/>
      <c r="AL779" s="13"/>
      <c r="AQ779" s="117"/>
      <c r="AR779" s="123"/>
      <c r="AS779" s="123"/>
      <c r="AT779" s="123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115"/>
      <c r="BF779" s="115"/>
      <c r="BG779" s="115"/>
      <c r="BH779" s="115"/>
      <c r="BI779" s="25"/>
      <c r="BJ779" s="15"/>
      <c r="BM779" s="114"/>
    </row>
    <row r="780" spans="1:65" ht="19.5" x14ac:dyDescent="0.4">
      <c r="AK780" s="26"/>
      <c r="AL780" s="13"/>
      <c r="AQ780" s="117"/>
      <c r="AR780" s="123"/>
      <c r="AS780" s="123"/>
      <c r="AT780" s="123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115"/>
      <c r="BF780" s="115"/>
      <c r="BG780" s="115"/>
      <c r="BH780" s="115"/>
      <c r="BI780" s="25">
        <v>45272</v>
      </c>
      <c r="BJ780" s="15" t="s">
        <v>162</v>
      </c>
      <c r="BM780" s="114"/>
    </row>
    <row r="781" spans="1:65" ht="19.5" x14ac:dyDescent="0.4"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26"/>
      <c r="AL781" s="13"/>
      <c r="AQ781" s="117"/>
      <c r="AR781" s="123"/>
      <c r="AS781" s="123"/>
      <c r="AT781" s="123"/>
      <c r="AU781" s="115"/>
      <c r="AV781" s="115"/>
      <c r="AW781" s="115"/>
      <c r="AX781" s="115"/>
      <c r="AY781" s="115"/>
      <c r="AZ781" s="115"/>
      <c r="BA781" s="115"/>
      <c r="BB781" s="115"/>
      <c r="BC781" s="115"/>
      <c r="BD781" s="115"/>
      <c r="BE781" s="115"/>
      <c r="BF781" s="115"/>
      <c r="BG781" s="115"/>
      <c r="BH781" s="115"/>
      <c r="BI781" s="25"/>
      <c r="BJ781" s="15"/>
      <c r="BM781" s="114"/>
    </row>
    <row r="782" spans="1:65" ht="19.5" x14ac:dyDescent="0.4"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26"/>
      <c r="AL782" s="13"/>
      <c r="AQ782" s="117"/>
      <c r="AR782" s="123"/>
      <c r="AS782" s="123"/>
      <c r="AT782" s="123"/>
      <c r="AU782" s="115"/>
      <c r="AV782" s="115"/>
      <c r="AW782" s="115"/>
      <c r="AX782" s="115"/>
      <c r="AY782" s="115"/>
      <c r="AZ782" s="115"/>
      <c r="BA782" s="115"/>
      <c r="BB782" s="115"/>
      <c r="BC782" s="115"/>
      <c r="BD782" s="115"/>
      <c r="BE782" s="115"/>
      <c r="BF782" s="115"/>
      <c r="BG782" s="115"/>
      <c r="BH782" s="115"/>
      <c r="BI782" s="25"/>
      <c r="BJ782" s="15"/>
      <c r="BM782" s="114"/>
    </row>
    <row r="783" spans="1:65" ht="19.5" x14ac:dyDescent="0.4"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7"/>
      <c r="AL783" s="13"/>
      <c r="AQ783" s="117"/>
      <c r="AR783" s="123"/>
      <c r="AS783" s="123"/>
      <c r="AT783" s="123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115"/>
      <c r="BF783" s="115"/>
      <c r="BG783" s="115"/>
      <c r="BH783" s="115"/>
      <c r="BI783" s="25"/>
      <c r="BJ783" s="15"/>
      <c r="BM783" s="114"/>
    </row>
    <row r="784" spans="1:65" ht="19.5" x14ac:dyDescent="0.4"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26"/>
      <c r="AL784" s="13"/>
      <c r="AQ784" s="117"/>
      <c r="AR784" s="123"/>
      <c r="AS784" s="123"/>
      <c r="AT784" s="123"/>
      <c r="AU784" s="115"/>
      <c r="AV784" s="115"/>
      <c r="AW784" s="115"/>
      <c r="AX784" s="115"/>
      <c r="AY784" s="115"/>
      <c r="AZ784" s="115"/>
      <c r="BA784" s="115"/>
      <c r="BB784" s="115"/>
      <c r="BC784" s="115"/>
      <c r="BD784" s="115"/>
      <c r="BE784" s="115"/>
      <c r="BF784" s="115"/>
      <c r="BG784" s="115"/>
      <c r="BH784" s="115"/>
      <c r="BI784" s="25"/>
      <c r="BJ784" s="15"/>
      <c r="BM784" s="114"/>
    </row>
    <row r="785" spans="6:65" ht="19.5" x14ac:dyDescent="0.4"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7"/>
      <c r="AL785" s="13"/>
      <c r="AQ785" s="117"/>
      <c r="AR785" s="123"/>
      <c r="AS785" s="123"/>
      <c r="AT785" s="123"/>
      <c r="AU785" s="115"/>
      <c r="AV785" s="115"/>
      <c r="AW785" s="115"/>
      <c r="AX785" s="115"/>
      <c r="AY785" s="115"/>
      <c r="AZ785" s="115"/>
      <c r="BA785" s="115"/>
      <c r="BB785" s="115"/>
      <c r="BC785" s="115"/>
      <c r="BD785" s="115"/>
      <c r="BE785" s="115"/>
      <c r="BF785" s="115"/>
      <c r="BG785" s="115"/>
      <c r="BH785" s="115"/>
      <c r="BI785" s="25"/>
      <c r="BJ785" s="15"/>
      <c r="BM785" s="114"/>
    </row>
    <row r="786" spans="6:65" ht="19.5" x14ac:dyDescent="0.4"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26"/>
      <c r="AL786" s="13"/>
      <c r="AQ786" s="117"/>
      <c r="AR786" s="123"/>
      <c r="AS786" s="123"/>
      <c r="AT786" s="123"/>
      <c r="AU786" s="115"/>
      <c r="AV786" s="115"/>
      <c r="AW786" s="115"/>
      <c r="AX786" s="115"/>
      <c r="AY786" s="115"/>
      <c r="AZ786" s="115"/>
      <c r="BA786" s="115"/>
      <c r="BB786" s="115"/>
      <c r="BC786" s="115"/>
      <c r="BD786" s="115"/>
      <c r="BE786" s="115"/>
      <c r="BF786" s="115"/>
      <c r="BG786" s="115"/>
      <c r="BH786" s="115"/>
      <c r="BI786" s="25"/>
      <c r="BJ786" s="15"/>
      <c r="BM786" s="114"/>
    </row>
    <row r="787" spans="6:65" ht="19.5" x14ac:dyDescent="0.4">
      <c r="AK787" s="26"/>
      <c r="AL787" s="13"/>
      <c r="AQ787" s="117"/>
      <c r="AR787" s="123"/>
      <c r="AS787" s="123"/>
      <c r="AT787" s="123"/>
      <c r="AU787" s="115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115"/>
      <c r="BF787" s="115"/>
      <c r="BG787" s="115"/>
      <c r="BH787" s="115"/>
      <c r="BI787" s="25">
        <v>45272</v>
      </c>
      <c r="BJ787" s="15" t="s">
        <v>162</v>
      </c>
      <c r="BM787" s="114"/>
    </row>
    <row r="788" spans="6:65" ht="19.5" x14ac:dyDescent="0.4">
      <c r="AD788" s="115"/>
      <c r="AE788" s="115"/>
      <c r="AF788" s="115"/>
      <c r="AG788" s="115"/>
      <c r="AH788" s="115"/>
      <c r="AI788" s="115"/>
      <c r="AJ788" s="115"/>
      <c r="AK788" s="26"/>
      <c r="AL788" s="13"/>
      <c r="AQ788" s="117"/>
      <c r="AR788" s="123"/>
      <c r="AS788" s="123"/>
      <c r="AT788" s="123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115"/>
      <c r="BF788" s="115"/>
      <c r="BG788" s="115"/>
      <c r="BH788" s="115"/>
      <c r="BI788" s="25"/>
      <c r="BJ788" s="15"/>
      <c r="BM788" s="114"/>
    </row>
    <row r="789" spans="6:65" ht="19.5" x14ac:dyDescent="0.4">
      <c r="AD789" s="115"/>
      <c r="AE789" s="115"/>
      <c r="AF789" s="115"/>
      <c r="AG789" s="115"/>
      <c r="AH789" s="115"/>
      <c r="AI789" s="115"/>
      <c r="AJ789" s="115"/>
      <c r="AK789" s="17"/>
      <c r="AL789" s="13"/>
      <c r="AQ789" s="117"/>
      <c r="AR789" s="123"/>
      <c r="AS789" s="123"/>
      <c r="AT789" s="123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115"/>
      <c r="BF789" s="115"/>
      <c r="BG789" s="115"/>
      <c r="BH789" s="115"/>
      <c r="BI789" s="25"/>
      <c r="BJ789" s="15"/>
      <c r="BM789" s="114"/>
    </row>
    <row r="790" spans="6:65" ht="19.5" x14ac:dyDescent="0.4"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26"/>
      <c r="AL790" s="13"/>
      <c r="AQ790" s="117"/>
      <c r="AR790" s="123"/>
      <c r="AS790" s="123"/>
      <c r="AT790" s="123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15"/>
      <c r="BG790" s="115"/>
      <c r="BH790" s="115"/>
      <c r="BI790" s="25"/>
      <c r="BJ790" s="15"/>
      <c r="BM790" s="114"/>
    </row>
    <row r="791" spans="6:65" ht="19.5" x14ac:dyDescent="0.4"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7"/>
      <c r="AL791" s="13"/>
      <c r="AQ791" s="117"/>
      <c r="AR791" s="123"/>
      <c r="AS791" s="123"/>
      <c r="AT791" s="123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115"/>
      <c r="BF791" s="115"/>
      <c r="BG791" s="115"/>
      <c r="BH791" s="115"/>
      <c r="BI791" s="25"/>
      <c r="BJ791" s="15"/>
      <c r="BM791" s="114"/>
    </row>
    <row r="792" spans="6:65" ht="19.5" x14ac:dyDescent="0.4"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26"/>
      <c r="AL792" s="25"/>
      <c r="AQ792" s="117"/>
      <c r="AR792" s="123"/>
      <c r="AS792" s="123"/>
      <c r="AT792" s="123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115"/>
      <c r="BF792" s="115"/>
      <c r="BG792" s="115"/>
      <c r="BH792" s="115"/>
      <c r="BI792" s="25"/>
      <c r="BJ792" s="15"/>
      <c r="BM792" s="114"/>
    </row>
    <row r="793" spans="6:65" ht="19.5" x14ac:dyDescent="0.4"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7"/>
      <c r="AL793" s="13"/>
      <c r="AQ793" s="117"/>
      <c r="AR793" s="123"/>
      <c r="AS793" s="123"/>
      <c r="AT793" s="123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115"/>
      <c r="BF793" s="115"/>
      <c r="BG793" s="115"/>
      <c r="BH793" s="115"/>
      <c r="BI793" s="25"/>
      <c r="BJ793" s="15"/>
      <c r="BM793" s="114"/>
    </row>
    <row r="794" spans="6:65" ht="19.5" x14ac:dyDescent="0.4"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26"/>
      <c r="AL794" s="13"/>
      <c r="AQ794" s="117"/>
      <c r="AR794" s="123"/>
      <c r="AS794" s="123"/>
      <c r="AT794" s="123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115"/>
      <c r="BF794" s="115"/>
      <c r="BG794" s="115"/>
      <c r="BH794" s="115"/>
      <c r="BI794" s="25"/>
      <c r="BJ794" s="15"/>
      <c r="BM794" s="114"/>
    </row>
    <row r="795" spans="6:65" ht="19.5" x14ac:dyDescent="0.4">
      <c r="AK795" s="26"/>
      <c r="AL795" s="13"/>
      <c r="AQ795" s="117"/>
      <c r="AR795" s="123"/>
      <c r="AS795" s="123"/>
      <c r="AT795" s="123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115"/>
      <c r="BF795" s="115"/>
      <c r="BG795" s="115"/>
      <c r="BH795" s="115"/>
      <c r="BI795" s="25">
        <v>45272</v>
      </c>
      <c r="BJ795" s="15" t="s">
        <v>162</v>
      </c>
      <c r="BM795" s="114"/>
    </row>
    <row r="796" spans="6:65" ht="19.5" x14ac:dyDescent="0.4">
      <c r="AE796" s="115"/>
      <c r="AF796" s="115"/>
      <c r="AG796" s="115"/>
      <c r="AH796" s="115"/>
      <c r="AI796" s="115"/>
      <c r="AJ796" s="115"/>
      <c r="AK796" s="17"/>
      <c r="AL796" s="13"/>
      <c r="AQ796" s="117"/>
      <c r="AR796" s="123"/>
      <c r="AS796" s="123"/>
      <c r="AT796" s="123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115"/>
      <c r="BF796" s="115"/>
      <c r="BG796" s="115"/>
      <c r="BH796" s="115"/>
      <c r="BI796" s="25"/>
      <c r="BJ796" s="15"/>
      <c r="BM796" s="114"/>
    </row>
    <row r="797" spans="6:65" ht="19.5" x14ac:dyDescent="0.4">
      <c r="AD797" s="115"/>
      <c r="AE797" s="115"/>
      <c r="AF797" s="115"/>
      <c r="AG797" s="115"/>
      <c r="AH797" s="115"/>
      <c r="AI797" s="115"/>
      <c r="AJ797" s="115"/>
      <c r="AK797" s="26"/>
      <c r="AL797" s="13"/>
      <c r="AQ797" s="117"/>
      <c r="AR797" s="123"/>
      <c r="AS797" s="123"/>
      <c r="AT797" s="123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115"/>
      <c r="BF797" s="115"/>
      <c r="BG797" s="115"/>
      <c r="BH797" s="115"/>
      <c r="BI797" s="25"/>
      <c r="BJ797" s="15"/>
      <c r="BM797" s="114"/>
    </row>
    <row r="798" spans="6:65" ht="19.5" x14ac:dyDescent="0.4">
      <c r="AD798" s="115"/>
      <c r="AE798" s="115"/>
      <c r="AF798" s="115"/>
      <c r="AG798" s="115"/>
      <c r="AH798" s="115"/>
      <c r="AI798" s="115"/>
      <c r="AJ798" s="115"/>
      <c r="AK798" s="17"/>
      <c r="AL798" s="13"/>
      <c r="AQ798" s="117"/>
      <c r="AR798" s="123"/>
      <c r="AS798" s="123"/>
      <c r="AT798" s="123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115"/>
      <c r="BF798" s="115"/>
      <c r="BG798" s="115"/>
      <c r="BH798" s="115"/>
      <c r="BI798" s="25"/>
      <c r="BJ798" s="15"/>
      <c r="BM798" s="114"/>
    </row>
    <row r="799" spans="6:65" ht="19.5" x14ac:dyDescent="0.4">
      <c r="AD799" s="115"/>
      <c r="AE799" s="115"/>
      <c r="AF799" s="115"/>
      <c r="AG799" s="115"/>
      <c r="AH799" s="115"/>
      <c r="AI799" s="115"/>
      <c r="AJ799" s="115"/>
      <c r="AK799" s="17"/>
      <c r="AL799" s="13"/>
      <c r="AQ799" s="117"/>
      <c r="AR799" s="123"/>
      <c r="AS799" s="123"/>
      <c r="AT799" s="123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115"/>
      <c r="BF799" s="115"/>
      <c r="BG799" s="115"/>
      <c r="BH799" s="115"/>
      <c r="BI799" s="25"/>
      <c r="BJ799" s="15"/>
      <c r="BM799" s="114"/>
    </row>
    <row r="800" spans="6:65" ht="19.5" x14ac:dyDescent="0.4"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26"/>
      <c r="AL800" s="13"/>
      <c r="AQ800" s="117"/>
      <c r="AR800" s="123"/>
      <c r="AS800" s="123"/>
      <c r="AT800" s="123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115"/>
      <c r="BF800" s="115"/>
      <c r="BG800" s="115"/>
      <c r="BH800" s="115"/>
      <c r="BI800" s="25"/>
      <c r="BJ800" s="15"/>
      <c r="BM800" s="114"/>
    </row>
    <row r="801" spans="6:65" ht="19.5" x14ac:dyDescent="0.4"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20"/>
      <c r="AL801" s="13"/>
      <c r="AQ801" s="117"/>
      <c r="AR801" s="123"/>
      <c r="AS801" s="123"/>
      <c r="AT801" s="123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115"/>
      <c r="BF801" s="115"/>
      <c r="BG801" s="115"/>
      <c r="BH801" s="115"/>
      <c r="BI801" s="25"/>
      <c r="BJ801" s="15"/>
      <c r="BM801" s="114"/>
    </row>
    <row r="802" spans="6:65" ht="19.5" x14ac:dyDescent="0.4"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20"/>
      <c r="AL802" s="13"/>
      <c r="AQ802" s="117"/>
      <c r="AR802" s="123"/>
      <c r="AS802" s="123"/>
      <c r="AT802" s="123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115"/>
      <c r="BF802" s="115"/>
      <c r="BG802" s="115"/>
      <c r="BH802" s="115"/>
      <c r="BI802" s="25"/>
      <c r="BJ802" s="15"/>
      <c r="BM802" s="114"/>
    </row>
    <row r="803" spans="6:65" ht="19.5" x14ac:dyDescent="0.4"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25"/>
      <c r="AL803" s="15"/>
      <c r="AQ803" s="117"/>
      <c r="AR803" s="123"/>
      <c r="AS803" s="123"/>
      <c r="AT803" s="123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115"/>
      <c r="BF803" s="115"/>
      <c r="BG803" s="115"/>
      <c r="BH803" s="115"/>
      <c r="BI803" s="25"/>
      <c r="BJ803" s="15"/>
      <c r="BM803" s="114"/>
    </row>
    <row r="804" spans="6:65" ht="19.5" x14ac:dyDescent="0.4"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25"/>
      <c r="AL804" s="15"/>
      <c r="AQ804" s="117"/>
      <c r="AR804" s="123"/>
      <c r="AS804" s="123"/>
      <c r="AT804" s="123"/>
      <c r="AU804" s="115"/>
      <c r="AV804" s="115"/>
      <c r="AW804" s="115"/>
      <c r="AX804" s="115"/>
      <c r="AY804" s="115"/>
      <c r="AZ804" s="115"/>
      <c r="BA804" s="115"/>
      <c r="BB804" s="115"/>
      <c r="BC804" s="115"/>
      <c r="BD804" s="115"/>
      <c r="BE804" s="115"/>
      <c r="BF804" s="115"/>
      <c r="BG804" s="115"/>
      <c r="BH804" s="115"/>
      <c r="BI804" s="25"/>
      <c r="BJ804" s="15"/>
      <c r="BM804" s="114"/>
    </row>
    <row r="805" spans="6:65" ht="19.5" x14ac:dyDescent="0.4"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25"/>
      <c r="AL805" s="15"/>
      <c r="AQ805" s="117"/>
      <c r="AR805" s="123"/>
      <c r="AS805" s="123"/>
      <c r="AT805" s="123"/>
      <c r="AU805" s="115"/>
      <c r="AV805" s="115"/>
      <c r="AW805" s="115"/>
      <c r="AX805" s="115"/>
      <c r="AY805" s="115"/>
      <c r="AZ805" s="115"/>
      <c r="BA805" s="115"/>
      <c r="BB805" s="115"/>
      <c r="BC805" s="115"/>
      <c r="BD805" s="115"/>
      <c r="BE805" s="115"/>
      <c r="BF805" s="115"/>
      <c r="BG805" s="115"/>
      <c r="BH805" s="115"/>
      <c r="BI805" s="25"/>
      <c r="BJ805" s="15"/>
      <c r="BM805" s="114"/>
    </row>
    <row r="806" spans="6:65" ht="19.5" x14ac:dyDescent="0.4">
      <c r="AK806" s="26"/>
      <c r="AL806" s="15"/>
      <c r="AQ806" s="117"/>
      <c r="AR806" s="123"/>
      <c r="AS806" s="123"/>
      <c r="AT806" s="123"/>
      <c r="AU806" s="115"/>
      <c r="AV806" s="115"/>
      <c r="AW806" s="115"/>
      <c r="AX806" s="115"/>
      <c r="AY806" s="115"/>
      <c r="AZ806" s="115"/>
      <c r="BA806" s="115"/>
      <c r="BB806" s="115"/>
      <c r="BC806" s="115"/>
      <c r="BD806" s="115"/>
      <c r="BE806" s="115"/>
      <c r="BF806" s="115"/>
      <c r="BG806" s="115"/>
      <c r="BH806" s="115"/>
      <c r="BI806" s="25">
        <v>45272</v>
      </c>
      <c r="BJ806" s="15" t="s">
        <v>162</v>
      </c>
      <c r="BM806" s="114"/>
    </row>
    <row r="807" spans="6:65" ht="19.5" x14ac:dyDescent="0.4">
      <c r="AK807" s="26"/>
      <c r="AL807" s="13"/>
      <c r="AQ807" s="117"/>
      <c r="AR807" s="123"/>
      <c r="AS807" s="123"/>
      <c r="AT807" s="123"/>
      <c r="AU807" s="115"/>
      <c r="AV807" s="115"/>
      <c r="AW807" s="115"/>
      <c r="AX807" s="115"/>
      <c r="AY807" s="115"/>
      <c r="AZ807" s="115"/>
      <c r="BA807" s="115"/>
      <c r="BB807" s="115"/>
      <c r="BC807" s="115"/>
      <c r="BD807" s="115"/>
      <c r="BE807" s="115"/>
      <c r="BF807" s="115"/>
      <c r="BG807" s="115"/>
      <c r="BH807" s="115"/>
      <c r="BI807" s="25"/>
      <c r="BJ807" s="15"/>
      <c r="BM807" s="114"/>
    </row>
    <row r="808" spans="6:65" ht="19.5" x14ac:dyDescent="0.4"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26"/>
      <c r="AL808" s="13"/>
      <c r="AQ808" s="117"/>
      <c r="AR808" s="123"/>
      <c r="AS808" s="123"/>
      <c r="AT808" s="123"/>
      <c r="AU808" s="115"/>
      <c r="AV808" s="115"/>
      <c r="AW808" s="115"/>
      <c r="AX808" s="115"/>
      <c r="AY808" s="115"/>
      <c r="AZ808" s="115"/>
      <c r="BA808" s="115"/>
      <c r="BB808" s="115"/>
      <c r="BC808" s="115"/>
      <c r="BD808" s="115"/>
      <c r="BE808" s="115"/>
      <c r="BF808" s="115"/>
      <c r="BG808" s="115"/>
      <c r="BH808" s="115"/>
      <c r="BI808" s="25"/>
      <c r="BJ808" s="15"/>
      <c r="BM808" s="114"/>
    </row>
    <row r="809" spans="6:65" ht="19.5" x14ac:dyDescent="0.4">
      <c r="AK809" s="26"/>
      <c r="AL809" s="13"/>
      <c r="AQ809" s="117"/>
      <c r="AR809" s="123"/>
      <c r="AS809" s="123"/>
      <c r="AT809" s="123"/>
      <c r="AU809" s="115"/>
      <c r="AV809" s="115"/>
      <c r="AW809" s="115"/>
      <c r="AX809" s="115"/>
      <c r="AY809" s="115"/>
      <c r="AZ809" s="115"/>
      <c r="BA809" s="115"/>
      <c r="BB809" s="115"/>
      <c r="BC809" s="115"/>
      <c r="BD809" s="115"/>
      <c r="BE809" s="115"/>
      <c r="BF809" s="115"/>
      <c r="BG809" s="115"/>
      <c r="BH809" s="115"/>
      <c r="BI809" s="25">
        <v>45272</v>
      </c>
      <c r="BJ809" s="15" t="s">
        <v>162</v>
      </c>
      <c r="BM809" s="114"/>
    </row>
    <row r="810" spans="6:65" ht="19.5" x14ac:dyDescent="0.4">
      <c r="AC810" s="115"/>
      <c r="AD810" s="115"/>
      <c r="AE810" s="115"/>
      <c r="AF810" s="115"/>
      <c r="AG810" s="115"/>
      <c r="AH810" s="115"/>
      <c r="AI810" s="115"/>
      <c r="AJ810" s="115"/>
      <c r="AK810" s="17"/>
      <c r="AL810" s="13"/>
      <c r="AQ810" s="117"/>
      <c r="AR810" s="123"/>
      <c r="AS810" s="123"/>
      <c r="AT810" s="123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115"/>
      <c r="BF810" s="115"/>
      <c r="BG810" s="115"/>
      <c r="BH810" s="115"/>
      <c r="BI810" s="25"/>
      <c r="BJ810" s="15"/>
      <c r="BM810" s="114"/>
    </row>
    <row r="811" spans="6:65" ht="19.5" x14ac:dyDescent="0.4">
      <c r="AK811" s="26"/>
      <c r="AL811" s="13"/>
      <c r="AQ811" s="117"/>
      <c r="AR811" s="123"/>
      <c r="AS811" s="123"/>
      <c r="AT811" s="123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115"/>
      <c r="BF811" s="115"/>
      <c r="BG811" s="115"/>
      <c r="BH811" s="115"/>
      <c r="BI811" s="25"/>
      <c r="BJ811" s="15"/>
      <c r="BM811" s="114"/>
    </row>
    <row r="812" spans="6:65" ht="19.5" x14ac:dyDescent="0.4"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26"/>
      <c r="AL812" s="13"/>
      <c r="AQ812" s="117"/>
      <c r="AR812" s="123"/>
      <c r="AS812" s="123"/>
      <c r="AT812" s="123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15"/>
      <c r="BF812" s="115"/>
      <c r="BG812" s="115"/>
      <c r="BH812" s="115"/>
      <c r="BI812" s="25"/>
      <c r="BJ812" s="15"/>
      <c r="BM812" s="114"/>
    </row>
    <row r="813" spans="6:65" ht="19.5" x14ac:dyDescent="0.4">
      <c r="AK813" s="26"/>
      <c r="AL813" s="13"/>
      <c r="AQ813" s="117"/>
      <c r="AR813" s="123"/>
      <c r="AS813" s="123"/>
      <c r="AT813" s="123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115"/>
      <c r="BF813" s="115"/>
      <c r="BG813" s="115"/>
      <c r="BH813" s="115"/>
      <c r="BI813" s="25">
        <v>45272</v>
      </c>
      <c r="BJ813" s="15" t="s">
        <v>162</v>
      </c>
      <c r="BM813" s="114"/>
    </row>
    <row r="814" spans="6:65" ht="19.5" x14ac:dyDescent="0.4">
      <c r="AK814" s="26"/>
      <c r="AL814" s="13"/>
      <c r="AQ814" s="117"/>
      <c r="AR814" s="123"/>
      <c r="AS814" s="123"/>
      <c r="AT814" s="123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115"/>
      <c r="BF814" s="115"/>
      <c r="BG814" s="115"/>
      <c r="BH814" s="115" t="s">
        <v>166</v>
      </c>
      <c r="BI814" s="13">
        <f>SUBTOTAL(3,BI762:BI813)</f>
        <v>13</v>
      </c>
      <c r="BJ814" s="15">
        <f>SUBTOTAL(3,BJ762:BJ813)</f>
        <v>13</v>
      </c>
      <c r="BM814" s="114"/>
    </row>
    <row r="815" spans="6:65" ht="19.5" x14ac:dyDescent="0.4">
      <c r="AC815" s="115"/>
      <c r="AD815" s="115"/>
      <c r="AE815" s="115"/>
      <c r="AF815" s="115"/>
      <c r="AG815" s="115"/>
      <c r="AH815" s="115"/>
      <c r="AI815" s="115"/>
      <c r="AJ815" s="115"/>
      <c r="AK815" s="17"/>
      <c r="AL815" s="13"/>
      <c r="AQ815" s="117"/>
      <c r="AR815" s="123"/>
      <c r="AS815" s="123"/>
      <c r="AT815" s="123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115"/>
      <c r="BF815" s="115"/>
      <c r="BG815" s="115"/>
      <c r="BH815" s="115"/>
      <c r="BI815" s="13"/>
      <c r="BJ815" s="15"/>
      <c r="BM815" s="114"/>
    </row>
    <row r="816" spans="6:65" ht="19.5" x14ac:dyDescent="0.4">
      <c r="AK816" s="26"/>
      <c r="AL816" s="13"/>
      <c r="AQ816" s="117"/>
      <c r="AR816" s="123"/>
      <c r="AS816" s="123"/>
      <c r="AT816" s="123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115"/>
      <c r="BF816" s="115"/>
      <c r="BG816" s="115"/>
      <c r="BH816" s="115"/>
      <c r="BI816" s="25">
        <v>45273</v>
      </c>
      <c r="BJ816" s="105" t="s">
        <v>164</v>
      </c>
      <c r="BM816" s="114"/>
    </row>
    <row r="817" spans="26:65" ht="19.5" x14ac:dyDescent="0.4">
      <c r="AK817" s="26"/>
      <c r="AL817" s="13"/>
      <c r="AQ817" s="117"/>
      <c r="AR817" s="123"/>
      <c r="AS817" s="123"/>
      <c r="AT817" s="123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115"/>
      <c r="BE817" s="115"/>
      <c r="BF817" s="115"/>
      <c r="BG817" s="115"/>
      <c r="BH817" s="115"/>
      <c r="BI817" s="25">
        <v>45273</v>
      </c>
      <c r="BJ817" s="15" t="s">
        <v>164</v>
      </c>
      <c r="BM817" s="114"/>
    </row>
    <row r="818" spans="26:65" ht="19.5" x14ac:dyDescent="0.4"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26"/>
      <c r="AL818" s="13"/>
      <c r="AQ818" s="117"/>
      <c r="AR818" s="123"/>
      <c r="AS818" s="123"/>
      <c r="AT818" s="123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15"/>
      <c r="BF818" s="115"/>
      <c r="BG818" s="115"/>
      <c r="BH818" s="115"/>
      <c r="BI818" s="25"/>
      <c r="BJ818" s="13"/>
      <c r="BM818" s="114"/>
    </row>
    <row r="819" spans="26:65" ht="19.5" x14ac:dyDescent="0.4">
      <c r="AK819" s="26"/>
      <c r="AL819" s="13"/>
      <c r="AQ819" s="117"/>
      <c r="AR819" s="123"/>
      <c r="AS819" s="123"/>
      <c r="AT819" s="123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15"/>
      <c r="BF819" s="115"/>
      <c r="BG819" s="115"/>
      <c r="BH819" s="115"/>
      <c r="BI819" s="25">
        <v>45273</v>
      </c>
      <c r="BJ819" s="13" t="s">
        <v>164</v>
      </c>
      <c r="BM819" s="114"/>
    </row>
    <row r="820" spans="26:65" ht="19.5" x14ac:dyDescent="0.4">
      <c r="AK820" s="26"/>
      <c r="AL820" s="13"/>
      <c r="AQ820" s="117"/>
      <c r="AR820" s="123"/>
      <c r="AS820" s="123"/>
      <c r="AT820" s="123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115"/>
      <c r="BF820" s="115"/>
      <c r="BG820" s="115"/>
      <c r="BH820" s="115"/>
      <c r="BI820" s="25">
        <v>45273</v>
      </c>
      <c r="BJ820" s="15" t="s">
        <v>164</v>
      </c>
      <c r="BM820" s="114"/>
    </row>
    <row r="821" spans="26:65" ht="19.5" x14ac:dyDescent="0.4">
      <c r="AK821" s="26"/>
      <c r="AL821" s="13"/>
      <c r="AQ821" s="117"/>
      <c r="AR821" s="123"/>
      <c r="AS821" s="123"/>
      <c r="AT821" s="123"/>
      <c r="AU821" s="115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115"/>
      <c r="BF821" s="115"/>
      <c r="BG821" s="115"/>
      <c r="BH821" s="115"/>
      <c r="BI821" s="25">
        <v>45273</v>
      </c>
      <c r="BJ821" s="15" t="s">
        <v>162</v>
      </c>
      <c r="BM821" s="114"/>
    </row>
    <row r="822" spans="26:65" ht="19.5" x14ac:dyDescent="0.4"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26"/>
      <c r="AL822" s="13"/>
      <c r="AQ822" s="117"/>
      <c r="AR822" s="123"/>
      <c r="AS822" s="123"/>
      <c r="AT822" s="123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115"/>
      <c r="BF822" s="115"/>
      <c r="BG822" s="115"/>
      <c r="BH822" s="115"/>
      <c r="BI822" s="25"/>
      <c r="BJ822" s="15"/>
      <c r="BM822" s="114"/>
    </row>
    <row r="823" spans="26:65" ht="19.5" x14ac:dyDescent="0.4">
      <c r="AK823" s="26"/>
      <c r="AL823" s="13"/>
      <c r="AQ823" s="117"/>
      <c r="AR823" s="123"/>
      <c r="AS823" s="123"/>
      <c r="AT823" s="123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115"/>
      <c r="BF823" s="115"/>
      <c r="BG823" s="115"/>
      <c r="BH823" s="115"/>
      <c r="BI823" s="25">
        <v>45273</v>
      </c>
      <c r="BJ823" s="15" t="s">
        <v>162</v>
      </c>
      <c r="BM823" s="114"/>
    </row>
    <row r="824" spans="26:65" ht="19.5" x14ac:dyDescent="0.4">
      <c r="AK824" s="26"/>
      <c r="AL824" s="13"/>
      <c r="AQ824" s="117"/>
      <c r="AR824" s="123"/>
      <c r="AS824" s="123"/>
      <c r="AT824" s="123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115"/>
      <c r="BF824" s="115"/>
      <c r="BG824" s="115"/>
      <c r="BH824" s="115"/>
      <c r="BI824" s="25">
        <v>45273</v>
      </c>
      <c r="BJ824" s="15" t="s">
        <v>162</v>
      </c>
      <c r="BM824" s="114"/>
    </row>
    <row r="825" spans="26:65" ht="19.5" x14ac:dyDescent="0.4">
      <c r="AK825" s="26"/>
      <c r="AL825" s="13"/>
      <c r="AQ825" s="117"/>
      <c r="AR825" s="123"/>
      <c r="AS825" s="123"/>
      <c r="AT825" s="123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115"/>
      <c r="BF825" s="115"/>
      <c r="BG825" s="115"/>
      <c r="BH825" s="115"/>
      <c r="BI825" s="25">
        <v>45273</v>
      </c>
      <c r="BJ825" s="15" t="s">
        <v>162</v>
      </c>
      <c r="BM825" s="114"/>
    </row>
    <row r="826" spans="26:65" ht="19.5" x14ac:dyDescent="0.4"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26"/>
      <c r="AL826" s="13"/>
      <c r="AQ826" s="117"/>
      <c r="AR826" s="123"/>
      <c r="AS826" s="123"/>
      <c r="AT826" s="123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115"/>
      <c r="BF826" s="115"/>
      <c r="BG826" s="115"/>
      <c r="BH826" s="115"/>
      <c r="BI826" s="25"/>
      <c r="BJ826" s="15"/>
      <c r="BM826" s="114"/>
    </row>
    <row r="827" spans="26:65" ht="19.5" x14ac:dyDescent="0.4">
      <c r="AK827" s="26"/>
      <c r="AL827" s="13"/>
      <c r="AQ827" s="117"/>
      <c r="AR827" s="123"/>
      <c r="AS827" s="123"/>
      <c r="AT827" s="123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115"/>
      <c r="BF827" s="115"/>
      <c r="BG827" s="115"/>
      <c r="BH827" s="115"/>
      <c r="BI827" s="25">
        <v>45273</v>
      </c>
      <c r="BJ827" s="15" t="s">
        <v>162</v>
      </c>
      <c r="BM827" s="114"/>
    </row>
    <row r="828" spans="26:65" ht="19.5" x14ac:dyDescent="0.4">
      <c r="AK828" s="26"/>
      <c r="AL828" s="13"/>
      <c r="AQ828" s="117"/>
      <c r="AR828" s="123"/>
      <c r="AS828" s="123"/>
      <c r="AT828" s="123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115"/>
      <c r="BF828" s="115"/>
      <c r="BG828" s="115"/>
      <c r="BH828" s="115"/>
      <c r="BI828" s="25">
        <v>45273</v>
      </c>
      <c r="BJ828" s="15" t="s">
        <v>162</v>
      </c>
      <c r="BM828" s="114"/>
    </row>
    <row r="829" spans="26:65" ht="19.5" x14ac:dyDescent="0.4">
      <c r="AK829" s="26"/>
      <c r="AL829" s="13"/>
      <c r="AQ829" s="117"/>
      <c r="AR829" s="123"/>
      <c r="AS829" s="123"/>
      <c r="AT829" s="123"/>
      <c r="AU829" s="115"/>
      <c r="AV829" s="115"/>
      <c r="AW829" s="115"/>
      <c r="AX829" s="115"/>
      <c r="AY829" s="124"/>
      <c r="AZ829" s="124"/>
      <c r="BA829" s="124"/>
      <c r="BB829" s="124"/>
      <c r="BC829" s="124"/>
      <c r="BD829" s="124"/>
      <c r="BE829" s="124"/>
      <c r="BF829" s="124"/>
      <c r="BG829" s="124"/>
      <c r="BH829" s="124"/>
      <c r="BI829" s="25">
        <v>45273</v>
      </c>
      <c r="BJ829" s="15" t="s">
        <v>162</v>
      </c>
      <c r="BM829" s="114"/>
    </row>
    <row r="830" spans="26:65" ht="19.5" x14ac:dyDescent="0.4">
      <c r="AK830" s="26"/>
      <c r="AL830" s="13"/>
      <c r="AQ830" s="117"/>
      <c r="AR830" s="123"/>
      <c r="AS830" s="123"/>
      <c r="AT830" s="123"/>
      <c r="AU830" s="115"/>
      <c r="AV830" s="115"/>
      <c r="AW830" s="115"/>
      <c r="AX830" s="115"/>
      <c r="AY830" s="124"/>
      <c r="AZ830" s="124"/>
      <c r="BA830" s="124"/>
      <c r="BB830" s="124"/>
      <c r="BC830" s="124"/>
      <c r="BD830" s="124"/>
      <c r="BE830" s="124"/>
      <c r="BF830" s="124"/>
      <c r="BG830" s="124"/>
      <c r="BH830" s="124"/>
      <c r="BI830" s="25">
        <v>45273</v>
      </c>
      <c r="BJ830" s="15" t="s">
        <v>162</v>
      </c>
      <c r="BM830" s="114"/>
    </row>
    <row r="831" spans="26:65" ht="19.5" x14ac:dyDescent="0.4">
      <c r="AC831" s="115"/>
      <c r="AD831" s="115"/>
      <c r="AE831" s="115"/>
      <c r="AF831" s="115"/>
      <c r="AG831" s="115"/>
      <c r="AH831" s="115"/>
      <c r="AI831" s="115"/>
      <c r="AJ831" s="115"/>
      <c r="AK831" s="17"/>
      <c r="AL831" s="13"/>
      <c r="AQ831" s="117"/>
      <c r="AR831" s="123"/>
      <c r="AS831" s="123"/>
      <c r="AT831" s="123"/>
      <c r="AU831" s="115"/>
      <c r="AV831" s="115"/>
      <c r="AW831" s="115"/>
      <c r="AX831" s="115"/>
      <c r="AY831" s="124"/>
      <c r="AZ831" s="124"/>
      <c r="BA831" s="124"/>
      <c r="BB831" s="124"/>
      <c r="BC831" s="124"/>
      <c r="BD831" s="124"/>
      <c r="BE831" s="124"/>
      <c r="BF831" s="124"/>
      <c r="BG831" s="124"/>
      <c r="BH831" s="124"/>
      <c r="BI831" s="25"/>
      <c r="BJ831" s="15"/>
      <c r="BM831" s="114"/>
    </row>
    <row r="832" spans="26:65" ht="19.5" x14ac:dyDescent="0.4">
      <c r="AK832" s="26"/>
      <c r="AL832" s="13"/>
      <c r="AQ832" s="117"/>
      <c r="AR832" s="123"/>
      <c r="AS832" s="123"/>
      <c r="AT832" s="123"/>
      <c r="AU832" s="115"/>
      <c r="AV832" s="115"/>
      <c r="AW832" s="115"/>
      <c r="AX832" s="115"/>
      <c r="AY832" s="124"/>
      <c r="AZ832" s="124"/>
      <c r="BA832" s="124"/>
      <c r="BB832" s="124"/>
      <c r="BC832" s="124"/>
      <c r="BD832" s="124"/>
      <c r="BE832" s="124"/>
      <c r="BF832" s="124"/>
      <c r="BG832" s="124"/>
      <c r="BH832" s="124"/>
      <c r="BI832" s="25">
        <v>45273</v>
      </c>
      <c r="BJ832" s="15" t="s">
        <v>162</v>
      </c>
      <c r="BM832" s="114"/>
    </row>
    <row r="833" spans="6:65" ht="19.5" x14ac:dyDescent="0.4">
      <c r="AC833" s="115"/>
      <c r="AD833" s="115"/>
      <c r="AE833" s="115"/>
      <c r="AF833" s="115"/>
      <c r="AG833" s="115"/>
      <c r="AH833" s="115"/>
      <c r="AI833" s="115"/>
      <c r="AJ833" s="115"/>
      <c r="AK833" s="17"/>
      <c r="AL833" s="13"/>
      <c r="AQ833" s="117"/>
      <c r="AR833" s="123"/>
      <c r="AS833" s="123"/>
      <c r="AT833" s="123"/>
      <c r="AU833" s="115"/>
      <c r="AV833" s="115"/>
      <c r="AW833" s="115"/>
      <c r="AX833" s="115"/>
      <c r="AY833" s="124"/>
      <c r="AZ833" s="124"/>
      <c r="BA833" s="124"/>
      <c r="BB833" s="124"/>
      <c r="BC833" s="124"/>
      <c r="BD833" s="124"/>
      <c r="BE833" s="124"/>
      <c r="BF833" s="124"/>
      <c r="BG833" s="124"/>
      <c r="BH833" s="124"/>
      <c r="BI833" s="25"/>
      <c r="BJ833" s="15"/>
      <c r="BM833" s="114"/>
    </row>
    <row r="834" spans="6:65" ht="19.5" x14ac:dyDescent="0.4">
      <c r="AK834" s="26"/>
      <c r="AL834" s="13"/>
      <c r="AQ834" s="117"/>
      <c r="AR834" s="123"/>
      <c r="AS834" s="123"/>
      <c r="AT834" s="123"/>
      <c r="AU834" s="115"/>
      <c r="AV834" s="115"/>
      <c r="AW834" s="115"/>
      <c r="AX834" s="115"/>
      <c r="AY834" s="124"/>
      <c r="AZ834" s="124"/>
      <c r="BA834" s="124"/>
      <c r="BB834" s="124"/>
      <c r="BC834" s="124"/>
      <c r="BD834" s="124"/>
      <c r="BE834" s="124"/>
      <c r="BF834" s="124"/>
      <c r="BG834" s="124"/>
      <c r="BH834" s="124"/>
      <c r="BI834" s="25">
        <v>45273</v>
      </c>
      <c r="BJ834" s="15" t="s">
        <v>162</v>
      </c>
      <c r="BM834" s="114"/>
    </row>
    <row r="835" spans="6:65" ht="19.5" x14ac:dyDescent="0.4">
      <c r="AK835" s="26"/>
      <c r="AL835" s="13"/>
      <c r="AQ835" s="117"/>
      <c r="AR835" s="123"/>
      <c r="AS835" s="123"/>
      <c r="AT835" s="123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115"/>
      <c r="BF835" s="115"/>
      <c r="BG835" s="115"/>
      <c r="BH835" s="115"/>
      <c r="BI835" s="25">
        <v>45273</v>
      </c>
      <c r="BJ835" s="13" t="s">
        <v>162</v>
      </c>
      <c r="BM835" s="114"/>
    </row>
    <row r="836" spans="6:65" ht="19.5" x14ac:dyDescent="0.4">
      <c r="AK836" s="26"/>
      <c r="AL836" s="13"/>
      <c r="AQ836" s="117"/>
      <c r="AR836" s="123"/>
      <c r="AS836" s="123"/>
      <c r="AT836" s="123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115"/>
      <c r="BF836" s="115"/>
      <c r="BG836" s="115"/>
      <c r="BH836" s="115"/>
      <c r="BI836" s="25">
        <v>45273</v>
      </c>
      <c r="BJ836" s="15" t="s">
        <v>162</v>
      </c>
      <c r="BM836" s="114"/>
    </row>
    <row r="837" spans="6:65" ht="19.5" x14ac:dyDescent="0.4">
      <c r="AK837" s="26"/>
      <c r="AL837" s="13"/>
      <c r="AQ837" s="117"/>
      <c r="AR837" s="123"/>
      <c r="AS837" s="123"/>
      <c r="AT837" s="123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115"/>
      <c r="BF837" s="115"/>
      <c r="BG837" s="115"/>
      <c r="BH837" s="115"/>
      <c r="BI837" s="25">
        <v>45273</v>
      </c>
      <c r="BJ837" s="15" t="s">
        <v>162</v>
      </c>
      <c r="BM837" s="114"/>
    </row>
    <row r="838" spans="6:65" ht="19.5" x14ac:dyDescent="0.4"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26"/>
      <c r="AL838" s="25"/>
      <c r="AQ838" s="117"/>
      <c r="AR838" s="123"/>
      <c r="AS838" s="123"/>
      <c r="AT838" s="123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115"/>
      <c r="BF838" s="115"/>
      <c r="BG838" s="115"/>
      <c r="BH838" s="115"/>
      <c r="BI838" s="25"/>
      <c r="BJ838" s="15"/>
      <c r="BM838" s="114"/>
    </row>
    <row r="839" spans="6:65" ht="19.5" x14ac:dyDescent="0.4">
      <c r="AK839" s="26"/>
      <c r="AL839" s="25"/>
      <c r="AQ839" s="117"/>
      <c r="AR839" s="123"/>
      <c r="AS839" s="123"/>
      <c r="AT839" s="123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115"/>
      <c r="BF839" s="115"/>
      <c r="BG839" s="115"/>
      <c r="BH839" s="115"/>
      <c r="BI839" s="25">
        <v>45273</v>
      </c>
      <c r="BJ839" s="15" t="s">
        <v>162</v>
      </c>
      <c r="BM839" s="114"/>
    </row>
    <row r="840" spans="6:65" ht="19.5" x14ac:dyDescent="0.4">
      <c r="AK840" s="26"/>
      <c r="AL840" s="13"/>
      <c r="AQ840" s="117"/>
      <c r="AR840" s="123"/>
      <c r="AS840" s="123"/>
      <c r="AT840" s="123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115"/>
      <c r="BF840" s="115"/>
      <c r="BG840" s="115"/>
      <c r="BH840" s="115"/>
      <c r="BI840" s="25">
        <v>45273</v>
      </c>
      <c r="BJ840" s="15" t="s">
        <v>162</v>
      </c>
      <c r="BM840" s="114"/>
    </row>
    <row r="841" spans="6:65" ht="19.5" x14ac:dyDescent="0.4"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26"/>
      <c r="AL841" s="13"/>
      <c r="AQ841" s="117"/>
      <c r="AR841" s="123"/>
      <c r="AS841" s="123"/>
      <c r="AT841" s="123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115"/>
      <c r="BF841" s="115"/>
      <c r="BG841" s="115"/>
      <c r="BH841" s="115"/>
      <c r="BI841" s="25"/>
      <c r="BJ841" s="15"/>
      <c r="BM841" s="114"/>
    </row>
    <row r="842" spans="6:65" ht="19.5" x14ac:dyDescent="0.4"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26"/>
      <c r="AL842" s="13"/>
      <c r="AQ842" s="117"/>
      <c r="AR842" s="123"/>
      <c r="AS842" s="123"/>
      <c r="AT842" s="123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115"/>
      <c r="BF842" s="115"/>
      <c r="BG842" s="115"/>
      <c r="BH842" s="115"/>
      <c r="BI842" s="25"/>
      <c r="BJ842" s="15"/>
      <c r="BM842" s="114"/>
    </row>
    <row r="843" spans="6:65" ht="19.5" x14ac:dyDescent="0.4">
      <c r="AK843" s="26"/>
      <c r="AL843" s="13"/>
      <c r="AQ843" s="117"/>
      <c r="AR843" s="123"/>
      <c r="AS843" s="123"/>
      <c r="AT843" s="123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115"/>
      <c r="BF843" s="115"/>
      <c r="BG843" s="115"/>
      <c r="BH843" s="115"/>
      <c r="BI843" s="25">
        <v>45273</v>
      </c>
      <c r="BJ843" s="15" t="s">
        <v>162</v>
      </c>
      <c r="BM843" s="114"/>
    </row>
    <row r="844" spans="6:65" ht="19.5" x14ac:dyDescent="0.4">
      <c r="AK844" s="26"/>
      <c r="AL844" s="13"/>
      <c r="AQ844" s="117"/>
      <c r="AR844" s="123"/>
      <c r="AS844" s="123"/>
      <c r="AT844" s="123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115"/>
      <c r="BF844" s="115"/>
      <c r="BG844" s="115"/>
      <c r="BH844" s="115"/>
      <c r="BI844" s="25">
        <v>45273</v>
      </c>
      <c r="BJ844" s="15" t="s">
        <v>162</v>
      </c>
      <c r="BM844" s="114"/>
    </row>
    <row r="845" spans="6:65" ht="19.5" x14ac:dyDescent="0.4">
      <c r="AK845" s="26"/>
      <c r="AL845" s="13"/>
      <c r="AQ845" s="117"/>
      <c r="AR845" s="123"/>
      <c r="AS845" s="123"/>
      <c r="AT845" s="123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115"/>
      <c r="BF845" s="115"/>
      <c r="BG845" s="115"/>
      <c r="BH845" s="115"/>
      <c r="BI845" s="25">
        <v>45273</v>
      </c>
      <c r="BJ845" s="13" t="s">
        <v>163</v>
      </c>
      <c r="BM845" s="114"/>
    </row>
    <row r="846" spans="6:65" ht="19.5" x14ac:dyDescent="0.4">
      <c r="AK846" s="26"/>
      <c r="AL846" s="13"/>
      <c r="AQ846" s="117"/>
      <c r="AR846" s="123"/>
      <c r="AS846" s="123"/>
      <c r="AT846" s="123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115"/>
      <c r="BE846" s="115"/>
      <c r="BF846" s="115"/>
      <c r="BG846" s="115"/>
      <c r="BH846" s="115"/>
      <c r="BI846" s="25"/>
      <c r="BJ846" s="13"/>
      <c r="BM846" s="114"/>
    </row>
    <row r="847" spans="6:65" ht="19.5" x14ac:dyDescent="0.4">
      <c r="AK847" s="26"/>
      <c r="AL847" s="13"/>
      <c r="AQ847" s="117"/>
      <c r="AR847" s="123"/>
      <c r="AS847" s="123"/>
      <c r="AT847" s="123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115"/>
      <c r="BE847" s="115"/>
      <c r="BF847" s="115"/>
      <c r="BG847" s="115"/>
      <c r="BH847" s="115" t="s">
        <v>152</v>
      </c>
      <c r="BI847" s="13">
        <f>SUBTOTAL(3,BI816:BI845)</f>
        <v>22</v>
      </c>
      <c r="BJ847" s="13">
        <f>SUBTOTAL(3,BJ816:BJ845)</f>
        <v>22</v>
      </c>
      <c r="BM847" s="114"/>
    </row>
    <row r="848" spans="6:65" ht="19.5" x14ac:dyDescent="0.4">
      <c r="AK848" s="26"/>
      <c r="AL848" s="13"/>
      <c r="AQ848" s="117"/>
      <c r="AR848" s="123"/>
      <c r="AS848" s="123"/>
      <c r="AT848" s="123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115"/>
      <c r="BF848" s="115"/>
      <c r="BG848" s="115"/>
      <c r="BH848" s="115"/>
      <c r="BI848" s="25">
        <v>45274</v>
      </c>
      <c r="BJ848" s="15" t="s">
        <v>162</v>
      </c>
      <c r="BM848" s="114"/>
    </row>
    <row r="849" spans="6:65" ht="19.5" x14ac:dyDescent="0.4"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26"/>
      <c r="AL849" s="13"/>
      <c r="AQ849" s="117"/>
      <c r="AR849" s="123"/>
      <c r="AS849" s="123"/>
      <c r="AT849" s="123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115"/>
      <c r="BF849" s="115"/>
      <c r="BG849" s="115"/>
      <c r="BH849" s="115"/>
      <c r="BI849" s="25"/>
      <c r="BJ849" s="15"/>
      <c r="BM849" s="114"/>
    </row>
    <row r="850" spans="6:65" ht="19.5" x14ac:dyDescent="0.4"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26"/>
      <c r="AL850" s="13"/>
      <c r="AQ850" s="117"/>
      <c r="AR850" s="123"/>
      <c r="AS850" s="123"/>
      <c r="AT850" s="123"/>
      <c r="AU850" s="115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115"/>
      <c r="BF850" s="115"/>
      <c r="BG850" s="115"/>
      <c r="BH850" s="115"/>
      <c r="BI850" s="25"/>
      <c r="BJ850" s="15"/>
      <c r="BM850" s="114"/>
    </row>
    <row r="851" spans="6:65" ht="19.5" x14ac:dyDescent="0.4">
      <c r="AK851" s="26"/>
      <c r="AL851" s="13"/>
      <c r="AQ851" s="117"/>
      <c r="AR851" s="123"/>
      <c r="AS851" s="123"/>
      <c r="AT851" s="123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115"/>
      <c r="BF851" s="115"/>
      <c r="BG851" s="115"/>
      <c r="BH851" s="115"/>
      <c r="BI851" s="25">
        <v>45274</v>
      </c>
      <c r="BJ851" s="15" t="s">
        <v>162</v>
      </c>
      <c r="BM851" s="114"/>
    </row>
    <row r="852" spans="6:65" ht="19.5" x14ac:dyDescent="0.4"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26"/>
      <c r="AL852" s="13"/>
      <c r="AQ852" s="117"/>
      <c r="AR852" s="123"/>
      <c r="AS852" s="123"/>
      <c r="AT852" s="123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15"/>
      <c r="BF852" s="115"/>
      <c r="BG852" s="115"/>
      <c r="BH852" s="115"/>
      <c r="BI852" s="25"/>
      <c r="BJ852" s="15"/>
      <c r="BM852" s="114"/>
    </row>
    <row r="853" spans="6:65" ht="19.5" x14ac:dyDescent="0.4"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26"/>
      <c r="AL853" s="13"/>
      <c r="AQ853" s="117"/>
      <c r="AR853" s="123"/>
      <c r="AS853" s="123"/>
      <c r="AT853" s="123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115"/>
      <c r="BF853" s="115"/>
      <c r="BG853" s="115"/>
      <c r="BH853" s="115"/>
      <c r="BI853" s="25"/>
      <c r="BJ853" s="15"/>
      <c r="BM853" s="114"/>
    </row>
    <row r="854" spans="6:65" ht="19.5" x14ac:dyDescent="0.4"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26"/>
      <c r="AL854" s="13"/>
      <c r="AQ854" s="117"/>
      <c r="AR854" s="123"/>
      <c r="AS854" s="123"/>
      <c r="AT854" s="123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115"/>
      <c r="BF854" s="115"/>
      <c r="BG854" s="115"/>
      <c r="BH854" s="115"/>
      <c r="BI854" s="25"/>
      <c r="BJ854" s="15"/>
      <c r="BM854" s="114"/>
    </row>
    <row r="855" spans="6:65" ht="19.5" x14ac:dyDescent="0.4">
      <c r="AK855" s="26"/>
      <c r="AL855" s="13"/>
      <c r="AQ855" s="117"/>
      <c r="AR855" s="123"/>
      <c r="AS855" s="123"/>
      <c r="AT855" s="123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115"/>
      <c r="BF855" s="115"/>
      <c r="BG855" s="115"/>
      <c r="BH855" s="115"/>
      <c r="BI855" s="25">
        <v>45274</v>
      </c>
      <c r="BJ855" s="15" t="s">
        <v>162</v>
      </c>
      <c r="BM855" s="114"/>
    </row>
    <row r="856" spans="6:65" ht="19.5" x14ac:dyDescent="0.4"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26"/>
      <c r="AL856" s="13"/>
      <c r="AQ856" s="117"/>
      <c r="AR856" s="123"/>
      <c r="AS856" s="123"/>
      <c r="AT856" s="123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115"/>
      <c r="BF856" s="115"/>
      <c r="BG856" s="115"/>
      <c r="BH856" s="115"/>
      <c r="BI856" s="25"/>
      <c r="BJ856" s="15"/>
      <c r="BM856" s="114"/>
    </row>
    <row r="857" spans="6:65" ht="19.5" x14ac:dyDescent="0.4">
      <c r="AK857" s="26"/>
      <c r="AL857" s="13"/>
      <c r="AQ857" s="117"/>
      <c r="AR857" s="123"/>
      <c r="AS857" s="123"/>
      <c r="AT857" s="123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115"/>
      <c r="BF857" s="115"/>
      <c r="BG857" s="115"/>
      <c r="BH857" s="115"/>
      <c r="BI857" s="25">
        <v>45274</v>
      </c>
      <c r="BJ857" s="15" t="s">
        <v>162</v>
      </c>
      <c r="BM857" s="114"/>
    </row>
    <row r="858" spans="6:65" ht="19.5" x14ac:dyDescent="0.4">
      <c r="AK858" s="26"/>
      <c r="AL858" s="13"/>
      <c r="AQ858" s="117"/>
      <c r="AR858" s="123"/>
      <c r="AS858" s="123"/>
      <c r="AT858" s="123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115"/>
      <c r="BG858" s="115"/>
      <c r="BH858" s="115"/>
      <c r="BI858" s="25">
        <v>45274</v>
      </c>
      <c r="BJ858" s="15" t="s">
        <v>163</v>
      </c>
      <c r="BM858" s="114"/>
    </row>
    <row r="859" spans="6:65" ht="19.5" x14ac:dyDescent="0.4">
      <c r="AC859" s="115"/>
      <c r="AD859" s="115"/>
      <c r="AE859" s="115"/>
      <c r="AF859" s="115"/>
      <c r="AG859" s="115"/>
      <c r="AH859" s="115"/>
      <c r="AI859" s="115"/>
      <c r="AJ859" s="115"/>
      <c r="AK859" s="17"/>
      <c r="AL859" s="13"/>
      <c r="AQ859" s="117"/>
      <c r="AR859" s="123"/>
      <c r="AS859" s="123"/>
      <c r="AT859" s="123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115"/>
      <c r="BF859" s="115"/>
      <c r="BG859" s="115"/>
      <c r="BH859" s="115"/>
      <c r="BI859" s="25"/>
      <c r="BJ859" s="15"/>
      <c r="BM859" s="114"/>
    </row>
    <row r="860" spans="6:65" ht="19.5" x14ac:dyDescent="0.4"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26"/>
      <c r="AL860" s="13"/>
      <c r="AQ860" s="117"/>
      <c r="AR860" s="123"/>
      <c r="AS860" s="123"/>
      <c r="AT860" s="123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115"/>
      <c r="BF860" s="115"/>
      <c r="BG860" s="115"/>
      <c r="BH860" s="115"/>
      <c r="BI860" s="25"/>
      <c r="BJ860" s="15"/>
      <c r="BM860" s="114"/>
    </row>
    <row r="861" spans="6:65" ht="19.5" x14ac:dyDescent="0.4">
      <c r="AK861" s="26"/>
      <c r="AL861" s="25"/>
      <c r="AQ861" s="117"/>
      <c r="AR861" s="123"/>
      <c r="AS861" s="123"/>
      <c r="AT861" s="123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115"/>
      <c r="BG861" s="115"/>
      <c r="BH861" s="115" t="s">
        <v>167</v>
      </c>
      <c r="BI861" s="13">
        <f>SUBTOTAL(3,BI848:BI858)</f>
        <v>5</v>
      </c>
      <c r="BJ861" s="15">
        <f>SUBTOTAL(3,BJ848:BJ858)</f>
        <v>5</v>
      </c>
      <c r="BM861" s="114"/>
    </row>
    <row r="862" spans="6:65" ht="19.5" x14ac:dyDescent="0.4"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26"/>
      <c r="AL862" s="105"/>
      <c r="AQ862" s="117"/>
      <c r="AR862" s="123"/>
      <c r="AS862" s="123"/>
      <c r="AT862" s="123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115"/>
      <c r="BG862" s="115"/>
      <c r="BH862" s="115"/>
      <c r="BI862" s="13"/>
      <c r="BJ862" s="15"/>
      <c r="BM862" s="114"/>
    </row>
    <row r="863" spans="6:65" ht="19.5" x14ac:dyDescent="0.4">
      <c r="AK863" s="26"/>
      <c r="AL863" s="105"/>
      <c r="AQ863" s="117"/>
      <c r="AR863" s="123"/>
      <c r="AS863" s="123"/>
      <c r="AT863" s="123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15"/>
      <c r="BF863" s="115"/>
      <c r="BG863" s="115"/>
      <c r="BH863" s="115"/>
      <c r="BI863" s="13"/>
      <c r="BJ863" s="15"/>
      <c r="BM863" s="114"/>
    </row>
    <row r="864" spans="6:65" ht="19.5" x14ac:dyDescent="0.4">
      <c r="AC864" s="115"/>
      <c r="AD864" s="115"/>
      <c r="AE864" s="115"/>
      <c r="AF864" s="115"/>
      <c r="AG864" s="115"/>
      <c r="AH864" s="115"/>
      <c r="AI864" s="115"/>
      <c r="AJ864" s="115"/>
      <c r="AK864" s="17"/>
      <c r="AL864" s="15"/>
      <c r="AQ864" s="117"/>
      <c r="AR864" s="123"/>
      <c r="AS864" s="123"/>
      <c r="AT864" s="123"/>
      <c r="AU864" s="115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115"/>
      <c r="BF864" s="115"/>
      <c r="BG864" s="115"/>
      <c r="BH864" s="115"/>
      <c r="BI864" s="13"/>
      <c r="BJ864" s="15"/>
      <c r="BM864" s="114"/>
    </row>
    <row r="865" spans="6:65" ht="19.5" x14ac:dyDescent="0.4"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26"/>
      <c r="AL865" s="15"/>
      <c r="AQ865" s="117"/>
      <c r="AR865" s="123"/>
      <c r="AS865" s="123"/>
      <c r="AT865" s="123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115"/>
      <c r="BF865" s="115"/>
      <c r="BG865" s="115"/>
      <c r="BH865" s="115"/>
      <c r="BI865" s="13"/>
      <c r="BJ865" s="15"/>
      <c r="BM865" s="114"/>
    </row>
    <row r="866" spans="6:65" ht="19.5" x14ac:dyDescent="0.4"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26"/>
      <c r="AL866" s="15"/>
      <c r="AQ866" s="117"/>
      <c r="AR866" s="123"/>
      <c r="AS866" s="123"/>
      <c r="AT866" s="123"/>
      <c r="AU866" s="115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115"/>
      <c r="BF866" s="115"/>
      <c r="BG866" s="115"/>
      <c r="BH866" s="115"/>
      <c r="BI866" s="13"/>
      <c r="BJ866" s="15"/>
      <c r="BM866" s="114"/>
    </row>
    <row r="867" spans="6:65" ht="19.5" x14ac:dyDescent="0.4"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26"/>
      <c r="AL867" s="15"/>
      <c r="AQ867" s="117"/>
      <c r="AR867" s="123"/>
      <c r="AS867" s="123"/>
      <c r="AT867" s="123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115"/>
      <c r="BF867" s="115"/>
      <c r="BG867" s="115"/>
      <c r="BH867" s="115"/>
      <c r="BI867" s="13"/>
      <c r="BJ867" s="15"/>
      <c r="BM867" s="114"/>
    </row>
    <row r="868" spans="6:65" ht="19.5" x14ac:dyDescent="0.4"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26"/>
      <c r="AL868" s="15"/>
      <c r="AQ868" s="117"/>
      <c r="AR868" s="123"/>
      <c r="AS868" s="123"/>
      <c r="AT868" s="123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115"/>
      <c r="BF868" s="115"/>
      <c r="BG868" s="115"/>
      <c r="BH868" s="115"/>
      <c r="BI868" s="13"/>
      <c r="BJ868" s="15"/>
      <c r="BM868" s="114"/>
    </row>
    <row r="869" spans="6:65" ht="19.5" x14ac:dyDescent="0.4">
      <c r="AK869" s="26"/>
      <c r="AL869" s="15"/>
      <c r="AQ869" s="117"/>
      <c r="AR869" s="123"/>
      <c r="AS869" s="123"/>
      <c r="AT869" s="123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115"/>
      <c r="BF869" s="115"/>
      <c r="BG869" s="115"/>
      <c r="BH869" s="115"/>
      <c r="BI869" s="25">
        <v>45275</v>
      </c>
      <c r="BJ869" s="15" t="s">
        <v>163</v>
      </c>
      <c r="BM869" s="114"/>
    </row>
    <row r="870" spans="6:65" ht="19.5" x14ac:dyDescent="0.4">
      <c r="AK870" s="26"/>
      <c r="AL870" s="15"/>
      <c r="AQ870" s="117"/>
      <c r="AR870" s="123"/>
      <c r="AS870" s="123"/>
      <c r="AT870" s="123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115"/>
      <c r="BF870" s="115"/>
      <c r="BG870" s="115"/>
      <c r="BH870" s="115" t="s">
        <v>168</v>
      </c>
      <c r="BI870" s="13">
        <f>SUBTOTAL(3,BI869:BI869)</f>
        <v>1</v>
      </c>
      <c r="BJ870" s="15">
        <f>SUBTOTAL(3,BJ869:BJ869)</f>
        <v>1</v>
      </c>
      <c r="BM870" s="114"/>
    </row>
    <row r="871" spans="6:65" ht="19.5" x14ac:dyDescent="0.4">
      <c r="AK871" s="26"/>
      <c r="AL871" s="15"/>
      <c r="AQ871" s="117"/>
      <c r="AR871" s="123"/>
      <c r="AS871" s="123"/>
      <c r="AT871" s="123"/>
      <c r="AU871" s="115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115"/>
      <c r="BF871" s="115"/>
      <c r="BG871" s="115"/>
      <c r="BH871" s="115"/>
      <c r="BI871" s="25">
        <v>45276</v>
      </c>
      <c r="BJ871" s="15" t="s">
        <v>164</v>
      </c>
      <c r="BM871" s="114"/>
    </row>
    <row r="872" spans="6:65" ht="19.5" x14ac:dyDescent="0.4">
      <c r="AK872" s="26"/>
      <c r="AL872" s="15"/>
      <c r="AQ872" s="117"/>
      <c r="AR872" s="123"/>
      <c r="AS872" s="123"/>
      <c r="AT872" s="123"/>
      <c r="AU872" s="115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115"/>
      <c r="BF872" s="115"/>
      <c r="BG872" s="115"/>
      <c r="BH872" s="115"/>
      <c r="BI872" s="25">
        <v>45276</v>
      </c>
      <c r="BJ872" s="15" t="s">
        <v>162</v>
      </c>
      <c r="BM872" s="114"/>
    </row>
    <row r="873" spans="6:65" ht="19.5" x14ac:dyDescent="0.4">
      <c r="AK873" s="26"/>
      <c r="AL873" s="15"/>
      <c r="AQ873" s="117"/>
      <c r="AR873" s="123"/>
      <c r="AS873" s="123"/>
      <c r="AT873" s="123"/>
      <c r="AU873" s="115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115"/>
      <c r="BF873" s="115"/>
      <c r="BG873" s="115"/>
      <c r="BH873" s="115"/>
      <c r="BI873" s="25">
        <v>45276</v>
      </c>
      <c r="BJ873" s="15" t="s">
        <v>162</v>
      </c>
      <c r="BM873" s="114"/>
    </row>
    <row r="874" spans="6:65" ht="19.5" x14ac:dyDescent="0.4">
      <c r="AK874" s="26"/>
      <c r="AL874" s="15"/>
      <c r="AQ874" s="117"/>
      <c r="AR874" s="123"/>
      <c r="AS874" s="123"/>
      <c r="AT874" s="123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115"/>
      <c r="BF874" s="115"/>
      <c r="BG874" s="115"/>
      <c r="BH874" s="115"/>
      <c r="BI874" s="25">
        <v>45276</v>
      </c>
      <c r="BJ874" s="15" t="s">
        <v>162</v>
      </c>
      <c r="BM874" s="114"/>
    </row>
    <row r="875" spans="6:65" ht="19.5" x14ac:dyDescent="0.4">
      <c r="AK875" s="26"/>
      <c r="AL875" s="15"/>
      <c r="AQ875" s="117"/>
      <c r="AR875" s="123"/>
      <c r="AS875" s="123"/>
      <c r="AT875" s="123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115"/>
      <c r="BF875" s="115"/>
      <c r="BG875" s="115"/>
      <c r="BH875" s="115"/>
      <c r="BI875" s="25">
        <v>45276</v>
      </c>
      <c r="BJ875" s="15" t="s">
        <v>162</v>
      </c>
      <c r="BM875" s="114"/>
    </row>
    <row r="876" spans="6:65" ht="19.5" x14ac:dyDescent="0.4"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26"/>
      <c r="AL876" s="15"/>
      <c r="AQ876" s="117"/>
      <c r="AR876" s="123"/>
      <c r="AS876" s="123"/>
      <c r="AT876" s="123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115"/>
      <c r="BF876" s="115"/>
      <c r="BG876" s="115"/>
      <c r="BH876" s="115"/>
      <c r="BI876" s="25"/>
      <c r="BJ876" s="15"/>
      <c r="BM876" s="114"/>
    </row>
    <row r="877" spans="6:65" ht="19.5" x14ac:dyDescent="0.4">
      <c r="AK877" s="26"/>
      <c r="AL877" s="15"/>
      <c r="AQ877" s="117"/>
      <c r="AR877" s="123"/>
      <c r="AS877" s="123"/>
      <c r="AT877" s="123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115"/>
      <c r="BF877" s="115"/>
      <c r="BG877" s="115"/>
      <c r="BH877" s="115"/>
      <c r="BI877" s="25">
        <v>45276</v>
      </c>
      <c r="BJ877" s="15" t="s">
        <v>162</v>
      </c>
      <c r="BM877" s="114"/>
    </row>
    <row r="878" spans="6:65" ht="19.5" x14ac:dyDescent="0.4">
      <c r="AK878" s="26"/>
      <c r="AL878" s="15"/>
      <c r="AQ878" s="117"/>
      <c r="AR878" s="123"/>
      <c r="AS878" s="123"/>
      <c r="AT878" s="123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115"/>
      <c r="BF878" s="115"/>
      <c r="BG878" s="115"/>
      <c r="BH878" s="115"/>
      <c r="BI878" s="25">
        <v>45276</v>
      </c>
      <c r="BJ878" s="15" t="s">
        <v>162</v>
      </c>
      <c r="BM878" s="114"/>
    </row>
    <row r="879" spans="6:65" ht="19.5" x14ac:dyDescent="0.4">
      <c r="AC879" s="115"/>
      <c r="AD879" s="115"/>
      <c r="AE879" s="115"/>
      <c r="AF879" s="115"/>
      <c r="AG879" s="115"/>
      <c r="AH879" s="115"/>
      <c r="AI879" s="115"/>
      <c r="AJ879" s="115"/>
      <c r="AK879" s="17"/>
      <c r="AL879" s="15"/>
      <c r="AQ879" s="117"/>
      <c r="AR879" s="123"/>
      <c r="AS879" s="123"/>
      <c r="AT879" s="123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115"/>
      <c r="BF879" s="115"/>
      <c r="BG879" s="115"/>
      <c r="BH879" s="115"/>
      <c r="BI879" s="25"/>
      <c r="BJ879" s="15"/>
      <c r="BM879" s="114"/>
    </row>
    <row r="880" spans="6:65" ht="19.5" x14ac:dyDescent="0.4"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26"/>
      <c r="AL880" s="15"/>
      <c r="AQ880" s="117"/>
      <c r="AR880" s="123"/>
      <c r="AS880" s="123"/>
      <c r="AT880" s="123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115"/>
      <c r="BF880" s="115"/>
      <c r="BG880" s="115"/>
      <c r="BH880" s="115"/>
      <c r="BI880" s="25"/>
      <c r="BJ880" s="15"/>
      <c r="BM880" s="114"/>
    </row>
    <row r="881" spans="6:65" ht="19.5" x14ac:dyDescent="0.4"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26"/>
      <c r="AL881" s="15"/>
      <c r="AQ881" s="117"/>
      <c r="AR881" s="123"/>
      <c r="AS881" s="123"/>
      <c r="AT881" s="123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115"/>
      <c r="BF881" s="115"/>
      <c r="BG881" s="115"/>
      <c r="BH881" s="115"/>
      <c r="BI881" s="25"/>
      <c r="BJ881" s="15"/>
      <c r="BM881" s="114"/>
    </row>
    <row r="882" spans="6:65" ht="19.5" x14ac:dyDescent="0.4"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26"/>
      <c r="AL882" s="15"/>
      <c r="AQ882" s="117"/>
      <c r="AR882" s="123"/>
      <c r="AS882" s="123"/>
      <c r="AT882" s="123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115"/>
      <c r="BF882" s="115"/>
      <c r="BG882" s="115"/>
      <c r="BH882" s="115"/>
      <c r="BI882" s="25"/>
      <c r="BJ882" s="15"/>
      <c r="BM882" s="114"/>
    </row>
    <row r="883" spans="6:65" ht="19.5" x14ac:dyDescent="0.4">
      <c r="AK883" s="26"/>
      <c r="AL883" s="15"/>
      <c r="AP883" s="115"/>
      <c r="AQ883" s="117"/>
      <c r="AR883" s="123"/>
      <c r="AS883" s="123"/>
      <c r="AT883" s="123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115"/>
      <c r="BF883" s="115"/>
      <c r="BG883" s="115"/>
      <c r="BH883" s="115"/>
      <c r="BI883" s="25">
        <v>45276</v>
      </c>
      <c r="BJ883" s="15" t="s">
        <v>162</v>
      </c>
      <c r="BM883" s="114"/>
    </row>
    <row r="884" spans="6:65" ht="19.5" x14ac:dyDescent="0.4">
      <c r="AK884" s="26"/>
      <c r="AL884" s="15"/>
      <c r="AP884" s="115"/>
      <c r="AQ884" s="117"/>
      <c r="AR884" s="123"/>
      <c r="AS884" s="123"/>
      <c r="AT884" s="123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115"/>
      <c r="BF884" s="115"/>
      <c r="BG884" s="115"/>
      <c r="BH884" s="115"/>
      <c r="BI884" s="25">
        <v>45276</v>
      </c>
      <c r="BJ884" s="15" t="s">
        <v>162</v>
      </c>
      <c r="BM884" s="114"/>
    </row>
    <row r="885" spans="6:65" ht="19.5" x14ac:dyDescent="0.4">
      <c r="AK885" s="26"/>
      <c r="AL885" s="15"/>
      <c r="AP885" s="115"/>
      <c r="AQ885" s="117"/>
      <c r="AR885" s="123"/>
      <c r="AS885" s="123"/>
      <c r="AT885" s="123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115"/>
      <c r="BF885" s="115"/>
      <c r="BG885" s="115"/>
      <c r="BH885" s="115"/>
      <c r="BI885" s="25">
        <v>45276</v>
      </c>
      <c r="BJ885" s="15" t="s">
        <v>162</v>
      </c>
      <c r="BM885" s="114"/>
    </row>
    <row r="886" spans="6:65" ht="19.5" x14ac:dyDescent="0.4">
      <c r="AC886" s="115"/>
      <c r="AD886" s="115"/>
      <c r="AE886" s="115"/>
      <c r="AF886" s="115"/>
      <c r="AG886" s="115"/>
      <c r="AH886" s="115"/>
      <c r="AI886" s="115"/>
      <c r="AJ886" s="115"/>
      <c r="AK886" s="17"/>
      <c r="AL886" s="15"/>
      <c r="AP886" s="115"/>
      <c r="AQ886" s="117"/>
      <c r="AR886" s="123"/>
      <c r="AS886" s="123"/>
      <c r="AT886" s="123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115"/>
      <c r="BF886" s="115"/>
      <c r="BG886" s="115"/>
      <c r="BH886" s="115"/>
      <c r="BI886" s="25"/>
      <c r="BJ886" s="15"/>
      <c r="BM886" s="114"/>
    </row>
    <row r="887" spans="6:65" ht="19.5" x14ac:dyDescent="0.4"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26"/>
      <c r="AL887" s="15"/>
      <c r="AP887" s="115"/>
      <c r="AQ887" s="117"/>
      <c r="AR887" s="123"/>
      <c r="AS887" s="123"/>
      <c r="AT887" s="123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115"/>
      <c r="BF887" s="115"/>
      <c r="BG887" s="115"/>
      <c r="BH887" s="115"/>
      <c r="BI887" s="25"/>
      <c r="BJ887" s="15"/>
      <c r="BM887" s="114"/>
    </row>
    <row r="888" spans="6:65" ht="19.5" x14ac:dyDescent="0.4"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7"/>
      <c r="AL888" s="15"/>
      <c r="AP888" s="115"/>
      <c r="AQ888" s="117"/>
      <c r="AR888" s="123"/>
      <c r="AS888" s="123"/>
      <c r="AT888" s="123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115"/>
      <c r="BF888" s="115"/>
      <c r="BG888" s="115"/>
      <c r="BH888" s="115"/>
      <c r="BI888" s="25"/>
      <c r="BJ888" s="15"/>
      <c r="BM888" s="114"/>
    </row>
    <row r="889" spans="6:65" ht="19.5" x14ac:dyDescent="0.4">
      <c r="AK889" s="26"/>
      <c r="AL889" s="15"/>
      <c r="AP889" s="115"/>
      <c r="AQ889" s="117"/>
      <c r="AR889" s="123"/>
      <c r="AS889" s="123"/>
      <c r="AT889" s="123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115"/>
      <c r="BF889" s="115"/>
      <c r="BG889" s="115"/>
      <c r="BH889" s="115"/>
      <c r="BI889" s="25"/>
      <c r="BJ889" s="15"/>
      <c r="BM889" s="114"/>
    </row>
    <row r="890" spans="6:65" ht="19.5" x14ac:dyDescent="0.4"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26"/>
      <c r="AL890" s="15"/>
      <c r="AP890" s="115"/>
      <c r="AQ890" s="117"/>
      <c r="AR890" s="123"/>
      <c r="AS890" s="123"/>
      <c r="AT890" s="123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115"/>
      <c r="BF890" s="115"/>
      <c r="BG890" s="115"/>
      <c r="BH890" s="115"/>
      <c r="BI890" s="25"/>
      <c r="BJ890" s="15"/>
      <c r="BM890" s="114"/>
    </row>
    <row r="891" spans="6:65" ht="19.5" x14ac:dyDescent="0.4">
      <c r="AK891" s="26"/>
      <c r="AL891" s="15"/>
      <c r="AP891" s="115"/>
      <c r="AQ891" s="117"/>
      <c r="AR891" s="123"/>
      <c r="AS891" s="123"/>
      <c r="AT891" s="123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115"/>
      <c r="BF891" s="115"/>
      <c r="BG891" s="115"/>
      <c r="BH891" s="115"/>
      <c r="BI891" s="25">
        <v>45276</v>
      </c>
      <c r="BJ891" s="15" t="s">
        <v>162</v>
      </c>
      <c r="BM891" s="114"/>
    </row>
    <row r="892" spans="6:65" ht="19.5" x14ac:dyDescent="0.4">
      <c r="AC892" s="115"/>
      <c r="AD892" s="115"/>
      <c r="AE892" s="115"/>
      <c r="AF892" s="115"/>
      <c r="AG892" s="115"/>
      <c r="AH892" s="115"/>
      <c r="AI892" s="115"/>
      <c r="AJ892" s="115"/>
      <c r="AK892" s="17"/>
      <c r="AL892" s="15"/>
      <c r="AP892" s="115"/>
      <c r="AQ892" s="117"/>
      <c r="AR892" s="123"/>
      <c r="AS892" s="123"/>
      <c r="AT892" s="123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115"/>
      <c r="BF892" s="115"/>
      <c r="BG892" s="115"/>
      <c r="BH892" s="115"/>
      <c r="BI892" s="25"/>
      <c r="BJ892" s="15"/>
      <c r="BM892" s="114"/>
    </row>
    <row r="893" spans="6:65" ht="19.5" x14ac:dyDescent="0.4">
      <c r="AK893" s="26"/>
      <c r="AL893" s="15"/>
      <c r="AP893" s="115"/>
      <c r="AQ893" s="117"/>
      <c r="AR893" s="123"/>
      <c r="AS893" s="123"/>
      <c r="AT893" s="123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115"/>
      <c r="BF893" s="115"/>
      <c r="BG893" s="115"/>
      <c r="BH893" s="115"/>
      <c r="BI893" s="25">
        <v>45276</v>
      </c>
      <c r="BJ893" s="15" t="s">
        <v>162</v>
      </c>
      <c r="BM893" s="114"/>
    </row>
    <row r="894" spans="6:65" ht="19.5" x14ac:dyDescent="0.4">
      <c r="AC894" s="115"/>
      <c r="AD894" s="115"/>
      <c r="AE894" s="115"/>
      <c r="AF894" s="115"/>
      <c r="AG894" s="115"/>
      <c r="AH894" s="115"/>
      <c r="AI894" s="115"/>
      <c r="AJ894" s="115"/>
      <c r="AK894" s="17"/>
      <c r="AL894" s="15"/>
      <c r="AP894" s="115"/>
      <c r="AQ894" s="117"/>
      <c r="AR894" s="123"/>
      <c r="AS894" s="123"/>
      <c r="AT894" s="123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115"/>
      <c r="BF894" s="115"/>
      <c r="BG894" s="115"/>
      <c r="BH894" s="115"/>
      <c r="BI894" s="25"/>
      <c r="BJ894" s="15"/>
      <c r="BM894" s="114"/>
    </row>
    <row r="895" spans="6:65" ht="19.5" x14ac:dyDescent="0.4"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26"/>
      <c r="AL895" s="15"/>
      <c r="AP895" s="115"/>
      <c r="AQ895" s="117"/>
      <c r="AR895" s="123"/>
      <c r="AS895" s="123"/>
      <c r="AT895" s="123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115"/>
      <c r="BF895" s="115"/>
      <c r="BG895" s="115"/>
      <c r="BH895" s="115"/>
      <c r="BI895" s="25"/>
      <c r="BJ895" s="15"/>
      <c r="BM895" s="114"/>
    </row>
    <row r="896" spans="6:65" ht="19.5" x14ac:dyDescent="0.4"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7"/>
      <c r="AL896" s="15"/>
      <c r="AP896" s="115"/>
      <c r="AQ896" s="117"/>
      <c r="AR896" s="123"/>
      <c r="AS896" s="123"/>
      <c r="AT896" s="123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115"/>
      <c r="BF896" s="115"/>
      <c r="BG896" s="115"/>
      <c r="BH896" s="115"/>
      <c r="BI896" s="25"/>
      <c r="BJ896" s="15"/>
      <c r="BM896" s="114"/>
    </row>
    <row r="897" spans="26:65" ht="19.5" x14ac:dyDescent="0.4">
      <c r="AK897" s="26"/>
      <c r="AL897" s="15"/>
      <c r="AP897" s="115"/>
      <c r="AQ897" s="117"/>
      <c r="AR897" s="123"/>
      <c r="AS897" s="123"/>
      <c r="AT897" s="123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115"/>
      <c r="BF897" s="115"/>
      <c r="BG897" s="115"/>
      <c r="BH897" s="115"/>
      <c r="BI897" s="25">
        <v>45276</v>
      </c>
      <c r="BJ897" s="15" t="s">
        <v>162</v>
      </c>
      <c r="BM897" s="114"/>
    </row>
    <row r="898" spans="26:65" ht="19.5" x14ac:dyDescent="0.4">
      <c r="AK898" s="26"/>
      <c r="AL898" s="15"/>
      <c r="AP898" s="115"/>
      <c r="AQ898" s="117"/>
      <c r="AR898" s="123"/>
      <c r="AS898" s="123"/>
      <c r="AT898" s="123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115"/>
      <c r="BF898" s="115"/>
      <c r="BG898" s="115"/>
      <c r="BH898" s="115"/>
      <c r="BI898" s="25">
        <v>45276</v>
      </c>
      <c r="BJ898" s="15" t="s">
        <v>162</v>
      </c>
      <c r="BM898" s="114"/>
    </row>
    <row r="899" spans="26:65" ht="19.5" x14ac:dyDescent="0.4">
      <c r="AK899" s="26"/>
      <c r="AL899" s="15"/>
      <c r="AP899" s="115"/>
      <c r="AQ899" s="117"/>
      <c r="AR899" s="123"/>
      <c r="AS899" s="123"/>
      <c r="AT899" s="123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115"/>
      <c r="BF899" s="115"/>
      <c r="BG899" s="115"/>
      <c r="BH899" s="115"/>
      <c r="BI899" s="25">
        <v>45276</v>
      </c>
      <c r="BJ899" s="15" t="s">
        <v>162</v>
      </c>
      <c r="BM899" s="114"/>
    </row>
    <row r="900" spans="26:65" ht="19.5" x14ac:dyDescent="0.4">
      <c r="AK900" s="26"/>
      <c r="AL900" s="15"/>
      <c r="AP900" s="115"/>
      <c r="AQ900" s="117"/>
      <c r="AR900" s="123"/>
      <c r="AS900" s="123"/>
      <c r="AT900" s="123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115"/>
      <c r="BF900" s="115"/>
      <c r="BG900" s="115"/>
      <c r="BH900" s="115"/>
      <c r="BI900" s="25"/>
      <c r="BJ900" s="15"/>
      <c r="BM900" s="114"/>
    </row>
    <row r="901" spans="26:65" ht="19.5" x14ac:dyDescent="0.4">
      <c r="AC901" s="115"/>
      <c r="AD901" s="115"/>
      <c r="AE901" s="115"/>
      <c r="AF901" s="115"/>
      <c r="AG901" s="115"/>
      <c r="AH901" s="115"/>
      <c r="AI901" s="115"/>
      <c r="AJ901" s="115"/>
      <c r="AK901" s="17"/>
      <c r="AL901" s="15"/>
      <c r="AP901" s="115"/>
      <c r="AQ901" s="117"/>
      <c r="AR901" s="123"/>
      <c r="AS901" s="123"/>
      <c r="AT901" s="123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115"/>
      <c r="BF901" s="115"/>
      <c r="BG901" s="115"/>
      <c r="BH901" s="115"/>
      <c r="BI901" s="25"/>
      <c r="BJ901" s="15"/>
      <c r="BM901" s="114"/>
    </row>
    <row r="902" spans="26:65" ht="19.5" x14ac:dyDescent="0.4">
      <c r="AK902" s="26"/>
      <c r="AL902" s="15"/>
      <c r="AP902" s="115"/>
      <c r="AQ902" s="117"/>
      <c r="AR902" s="123"/>
      <c r="AS902" s="123"/>
      <c r="AT902" s="123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115"/>
      <c r="BF902" s="115"/>
      <c r="BG902" s="115"/>
      <c r="BH902" s="115"/>
      <c r="BI902" s="25">
        <v>45276</v>
      </c>
      <c r="BJ902" s="15" t="s">
        <v>162</v>
      </c>
      <c r="BM902" s="114"/>
    </row>
    <row r="903" spans="26:65" ht="19.5" x14ac:dyDescent="0.4">
      <c r="AK903" s="26"/>
      <c r="AL903" s="15"/>
      <c r="AP903" s="115"/>
      <c r="AQ903" s="117"/>
      <c r="AR903" s="123"/>
      <c r="AS903" s="123"/>
      <c r="AT903" s="123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115"/>
      <c r="BF903" s="115"/>
      <c r="BG903" s="115"/>
      <c r="BH903" s="115"/>
      <c r="BI903" s="25">
        <v>45276</v>
      </c>
      <c r="BJ903" s="15" t="s">
        <v>162</v>
      </c>
      <c r="BM903" s="114"/>
    </row>
    <row r="904" spans="26:65" ht="19.5" x14ac:dyDescent="0.4">
      <c r="AC904" s="115"/>
      <c r="AD904" s="115"/>
      <c r="AE904" s="115"/>
      <c r="AF904" s="115"/>
      <c r="AG904" s="115"/>
      <c r="AH904" s="115"/>
      <c r="AI904" s="115"/>
      <c r="AJ904" s="115"/>
      <c r="AK904" s="17"/>
      <c r="AL904" s="15"/>
      <c r="AP904" s="115"/>
      <c r="AQ904" s="117"/>
      <c r="AR904" s="123"/>
      <c r="AS904" s="123"/>
      <c r="AT904" s="123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15"/>
      <c r="BF904" s="115"/>
      <c r="BG904" s="115"/>
      <c r="BH904" s="115"/>
      <c r="BI904" s="25"/>
      <c r="BJ904" s="15"/>
      <c r="BM904" s="114"/>
    </row>
    <row r="905" spans="26:65" ht="19.5" x14ac:dyDescent="0.4"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26"/>
      <c r="AL905" s="15"/>
      <c r="AP905" s="115"/>
      <c r="AQ905" s="117"/>
      <c r="AR905" s="123"/>
      <c r="AS905" s="123"/>
      <c r="AT905" s="123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115"/>
      <c r="BF905" s="115"/>
      <c r="BG905" s="115"/>
      <c r="BH905" s="115"/>
      <c r="BI905" s="25"/>
      <c r="BJ905" s="15"/>
      <c r="BM905" s="114"/>
    </row>
    <row r="906" spans="26:65" ht="19.5" x14ac:dyDescent="0.4"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7"/>
      <c r="AL906" s="15"/>
      <c r="AP906" s="115"/>
      <c r="AQ906" s="117"/>
      <c r="AR906" s="123"/>
      <c r="AS906" s="123"/>
      <c r="AT906" s="123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15"/>
      <c r="BF906" s="115"/>
      <c r="BG906" s="115"/>
      <c r="BH906" s="115"/>
      <c r="BI906" s="25"/>
      <c r="BJ906" s="15"/>
      <c r="BM906" s="114"/>
    </row>
    <row r="907" spans="26:65" ht="19.5" x14ac:dyDescent="0.4"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26"/>
      <c r="AL907" s="15"/>
      <c r="AP907" s="115"/>
      <c r="AQ907" s="117"/>
      <c r="AR907" s="123"/>
      <c r="AS907" s="123"/>
      <c r="AT907" s="123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115"/>
      <c r="BF907" s="115"/>
      <c r="BG907" s="115"/>
      <c r="BH907" s="115"/>
      <c r="BI907" s="25"/>
      <c r="BJ907" s="15"/>
      <c r="BM907" s="114"/>
    </row>
    <row r="908" spans="26:65" ht="19.5" x14ac:dyDescent="0.4">
      <c r="AK908" s="26"/>
      <c r="AL908" s="15"/>
      <c r="AP908" s="115"/>
      <c r="AQ908" s="117"/>
      <c r="AR908" s="123"/>
      <c r="AS908" s="123"/>
      <c r="AT908" s="123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115"/>
      <c r="BF908" s="115"/>
      <c r="BG908" s="115"/>
      <c r="BH908" s="115" t="s">
        <v>169</v>
      </c>
      <c r="BI908" s="13">
        <f>SUBTOTAL(3,BI871:BI903)</f>
        <v>17</v>
      </c>
      <c r="BJ908" s="15">
        <f>SUBTOTAL(3,BJ871:BJ903)</f>
        <v>17</v>
      </c>
      <c r="BM908" s="114"/>
    </row>
    <row r="909" spans="26:65" ht="19.5" x14ac:dyDescent="0.4"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26"/>
      <c r="AL909" s="15"/>
      <c r="AP909" s="115"/>
      <c r="AQ909" s="117"/>
      <c r="AR909" s="123"/>
      <c r="AS909" s="123"/>
      <c r="AT909" s="123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115"/>
      <c r="BF909" s="115"/>
      <c r="BG909" s="115"/>
      <c r="BH909" s="115"/>
      <c r="BI909" s="13"/>
      <c r="BJ909" s="15"/>
      <c r="BM909" s="114"/>
    </row>
    <row r="910" spans="26:65" ht="19.5" x14ac:dyDescent="0.4">
      <c r="AK910" s="26"/>
      <c r="AL910" s="15"/>
      <c r="AP910" s="115"/>
      <c r="AQ910" s="117"/>
      <c r="AR910" s="123"/>
      <c r="AS910" s="123"/>
      <c r="AT910" s="123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15"/>
      <c r="BF910" s="115"/>
      <c r="BG910" s="115"/>
      <c r="BH910" s="115"/>
      <c r="BI910" s="25">
        <v>45277</v>
      </c>
      <c r="BJ910" s="15" t="s">
        <v>162</v>
      </c>
      <c r="BM910" s="114"/>
    </row>
    <row r="911" spans="26:65" ht="19.5" x14ac:dyDescent="0.4">
      <c r="AC911" s="115"/>
      <c r="AD911" s="115"/>
      <c r="AE911" s="115"/>
      <c r="AF911" s="115"/>
      <c r="AG911" s="115"/>
      <c r="AH911" s="115"/>
      <c r="AI911" s="115"/>
      <c r="AJ911" s="115"/>
      <c r="AK911" s="17"/>
      <c r="AL911" s="15"/>
      <c r="AP911" s="115"/>
      <c r="AQ911" s="117"/>
      <c r="AR911" s="123"/>
      <c r="AS911" s="123"/>
      <c r="AT911" s="123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115"/>
      <c r="BF911" s="115"/>
      <c r="BG911" s="115"/>
      <c r="BH911" s="115"/>
      <c r="BI911" s="25"/>
      <c r="BJ911" s="15"/>
      <c r="BM911" s="114"/>
    </row>
    <row r="912" spans="26:65" ht="19.5" x14ac:dyDescent="0.4"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26"/>
      <c r="AL912" s="15"/>
      <c r="AP912" s="115"/>
      <c r="AQ912" s="117"/>
      <c r="AR912" s="123"/>
      <c r="AS912" s="123"/>
      <c r="AT912" s="123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15"/>
      <c r="BF912" s="115"/>
      <c r="BG912" s="115"/>
      <c r="BH912" s="115"/>
      <c r="BI912" s="25"/>
      <c r="BJ912" s="15"/>
      <c r="BM912" s="114"/>
    </row>
    <row r="913" spans="6:65" ht="19.5" x14ac:dyDescent="0.4"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7"/>
      <c r="AL913" s="15"/>
      <c r="AP913" s="115"/>
      <c r="AQ913" s="117"/>
      <c r="AR913" s="123"/>
      <c r="AS913" s="123"/>
      <c r="AT913" s="123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115"/>
      <c r="BF913" s="115"/>
      <c r="BG913" s="115"/>
      <c r="BH913" s="115"/>
      <c r="BI913" s="25"/>
      <c r="BJ913" s="15"/>
      <c r="BM913" s="114"/>
    </row>
    <row r="914" spans="6:65" ht="19.5" x14ac:dyDescent="0.4"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7"/>
      <c r="AL914" s="15"/>
      <c r="AP914" s="115"/>
      <c r="AQ914" s="117"/>
      <c r="AR914" s="123"/>
      <c r="AS914" s="123"/>
      <c r="AT914" s="123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15"/>
      <c r="BF914" s="115"/>
      <c r="BG914" s="115"/>
      <c r="BH914" s="115"/>
      <c r="BI914" s="25"/>
      <c r="BJ914" s="15"/>
      <c r="BM914" s="114"/>
    </row>
    <row r="915" spans="6:65" ht="19.5" x14ac:dyDescent="0.4">
      <c r="AK915" s="26"/>
      <c r="AL915" s="15"/>
      <c r="AP915" s="115"/>
      <c r="AQ915" s="117"/>
      <c r="AR915" s="123"/>
      <c r="AS915" s="123"/>
      <c r="AT915" s="123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15"/>
      <c r="BF915" s="115"/>
      <c r="BG915" s="115"/>
      <c r="BH915" s="115"/>
      <c r="BI915" s="25">
        <v>45277</v>
      </c>
      <c r="BJ915" s="15" t="s">
        <v>162</v>
      </c>
      <c r="BM915" s="114"/>
    </row>
    <row r="916" spans="6:65" ht="19.5" x14ac:dyDescent="0.4"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7"/>
      <c r="AL916" s="15"/>
      <c r="AP916" s="115"/>
      <c r="AQ916" s="117"/>
      <c r="AR916" s="123"/>
      <c r="AS916" s="123"/>
      <c r="AT916" s="123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15"/>
      <c r="BF916" s="115"/>
      <c r="BG916" s="115"/>
      <c r="BH916" s="115"/>
      <c r="BI916" s="131"/>
      <c r="BJ916" s="13"/>
      <c r="BM916" s="114"/>
    </row>
    <row r="917" spans="6:65" ht="19.5" x14ac:dyDescent="0.4">
      <c r="AK917" s="26"/>
      <c r="AL917" s="15"/>
      <c r="AP917" s="115"/>
      <c r="AQ917" s="117"/>
      <c r="AR917" s="123"/>
      <c r="AS917" s="123"/>
      <c r="AT917" s="123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115"/>
      <c r="BF917" s="115"/>
      <c r="BG917" s="115"/>
      <c r="BH917" s="115"/>
      <c r="BI917" s="26">
        <v>45277</v>
      </c>
      <c r="BJ917" s="13" t="s">
        <v>162</v>
      </c>
      <c r="BM917" s="114"/>
    </row>
    <row r="918" spans="6:65" ht="19.5" x14ac:dyDescent="0.4">
      <c r="AK918" s="26"/>
      <c r="AL918" s="15"/>
      <c r="AP918" s="115"/>
      <c r="AQ918" s="117"/>
      <c r="AR918" s="123"/>
      <c r="AS918" s="123"/>
      <c r="AT918" s="123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15"/>
      <c r="BF918" s="115"/>
      <c r="BG918" s="115"/>
      <c r="BH918" s="115"/>
      <c r="BI918" s="26">
        <v>45277</v>
      </c>
      <c r="BJ918" s="15" t="s">
        <v>162</v>
      </c>
      <c r="BM918" s="114"/>
    </row>
    <row r="919" spans="6:65" ht="19.5" x14ac:dyDescent="0.4"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26"/>
      <c r="AL919" s="15"/>
      <c r="AP919" s="115"/>
      <c r="AQ919" s="117"/>
      <c r="AR919" s="123"/>
      <c r="AS919" s="123"/>
      <c r="AT919" s="123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115"/>
      <c r="BF919" s="115"/>
      <c r="BG919" s="115"/>
      <c r="BH919" s="115"/>
      <c r="BI919" s="26"/>
      <c r="BJ919" s="15"/>
      <c r="BM919" s="114"/>
    </row>
    <row r="920" spans="6:65" ht="19.5" x14ac:dyDescent="0.4">
      <c r="AK920" s="26"/>
      <c r="AL920" s="15"/>
      <c r="AP920" s="115"/>
      <c r="AQ920" s="117"/>
      <c r="AR920" s="123"/>
      <c r="AS920" s="123"/>
      <c r="AT920" s="123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15"/>
      <c r="BF920" s="115"/>
      <c r="BG920" s="115"/>
      <c r="BH920" s="115"/>
      <c r="BI920" s="26">
        <v>45277</v>
      </c>
      <c r="BJ920" s="15" t="s">
        <v>162</v>
      </c>
      <c r="BM920" s="114"/>
    </row>
    <row r="921" spans="6:65" ht="19.5" x14ac:dyDescent="0.4">
      <c r="AK921" s="26"/>
      <c r="AL921" s="15"/>
      <c r="AP921" s="115"/>
      <c r="AQ921" s="117"/>
      <c r="AR921" s="123"/>
      <c r="AS921" s="123"/>
      <c r="AT921" s="123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115"/>
      <c r="BF921" s="115"/>
      <c r="BG921" s="115"/>
      <c r="BH921" s="115" t="s">
        <v>160</v>
      </c>
      <c r="BI921" s="17">
        <f>SUBTOTAL(3,BI910:BI920)</f>
        <v>5</v>
      </c>
      <c r="BJ921" s="15">
        <f>SUBTOTAL(3,BJ910:BJ920)</f>
        <v>5</v>
      </c>
      <c r="BM921" s="114"/>
    </row>
    <row r="922" spans="6:65" ht="19.5" x14ac:dyDescent="0.4"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26"/>
      <c r="AL922" s="15"/>
      <c r="AP922" s="115"/>
      <c r="AQ922" s="117"/>
      <c r="AR922" s="123"/>
      <c r="AS922" s="123"/>
      <c r="AT922" s="123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15"/>
      <c r="BF922" s="115"/>
      <c r="BG922" s="115"/>
      <c r="BH922" s="115"/>
      <c r="BI922" s="17"/>
      <c r="BJ922" s="15"/>
      <c r="BM922" s="114"/>
    </row>
    <row r="923" spans="6:65" ht="19.5" x14ac:dyDescent="0.4"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26"/>
      <c r="AL923" s="15"/>
      <c r="AP923" s="115"/>
      <c r="AQ923" s="117"/>
      <c r="AR923" s="123"/>
      <c r="AS923" s="123"/>
      <c r="AT923" s="123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15"/>
      <c r="BF923" s="115"/>
      <c r="BG923" s="115"/>
      <c r="BH923" s="115"/>
      <c r="BI923" s="17"/>
      <c r="BJ923" s="15"/>
      <c r="BM923" s="114"/>
    </row>
    <row r="924" spans="6:65" ht="19.5" x14ac:dyDescent="0.4">
      <c r="AK924" s="26"/>
      <c r="AL924" s="15"/>
      <c r="AP924" s="115"/>
      <c r="AQ924" s="117"/>
      <c r="AR924" s="123"/>
      <c r="AS924" s="123"/>
      <c r="AT924" s="123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115"/>
      <c r="BF924" s="115"/>
      <c r="BG924" s="115"/>
      <c r="BH924" s="115"/>
      <c r="BI924" s="26">
        <v>45278</v>
      </c>
      <c r="BJ924" s="15" t="s">
        <v>164</v>
      </c>
      <c r="BM924" s="114"/>
    </row>
    <row r="925" spans="6:65" ht="19.5" x14ac:dyDescent="0.4">
      <c r="AK925" s="26"/>
      <c r="AL925" s="15"/>
      <c r="AP925" s="115"/>
      <c r="AQ925" s="117"/>
      <c r="AR925" s="123"/>
      <c r="AS925" s="123"/>
      <c r="AT925" s="123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115"/>
      <c r="BF925" s="115"/>
      <c r="BG925" s="115"/>
      <c r="BH925" s="115"/>
      <c r="BI925" s="26">
        <v>45278</v>
      </c>
      <c r="BJ925" s="15" t="s">
        <v>164</v>
      </c>
      <c r="BM925" s="114"/>
    </row>
    <row r="926" spans="6:65" ht="19.5" x14ac:dyDescent="0.4"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26"/>
      <c r="AL926" s="15"/>
      <c r="AP926" s="115"/>
      <c r="AQ926" s="117"/>
      <c r="AR926" s="123"/>
      <c r="AS926" s="123"/>
      <c r="AT926" s="123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115"/>
      <c r="BF926" s="115"/>
      <c r="BG926" s="115"/>
      <c r="BH926" s="115"/>
      <c r="BI926" s="26"/>
      <c r="BJ926" s="15"/>
      <c r="BM926" s="114"/>
    </row>
    <row r="927" spans="6:65" ht="19.5" x14ac:dyDescent="0.4">
      <c r="AK927" s="26"/>
      <c r="AL927" s="15"/>
      <c r="AP927" s="115"/>
      <c r="AQ927" s="117"/>
      <c r="AR927" s="123"/>
      <c r="AS927" s="123"/>
      <c r="AT927" s="123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115"/>
      <c r="BF927" s="115"/>
      <c r="BG927" s="115"/>
      <c r="BH927" s="115"/>
      <c r="BI927" s="26">
        <v>45278</v>
      </c>
      <c r="BJ927" s="15" t="s">
        <v>162</v>
      </c>
      <c r="BM927" s="114"/>
    </row>
    <row r="928" spans="6:65" ht="19.5" x14ac:dyDescent="0.4"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7"/>
      <c r="AL928" s="15"/>
      <c r="AP928" s="115"/>
      <c r="AQ928" s="117"/>
      <c r="AR928" s="123"/>
      <c r="AS928" s="123"/>
      <c r="AT928" s="123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115"/>
      <c r="BF928" s="115"/>
      <c r="BG928" s="115"/>
      <c r="BH928" s="115"/>
      <c r="BI928" s="26"/>
      <c r="BJ928" s="15"/>
      <c r="BM928" s="114"/>
    </row>
    <row r="929" spans="6:65" ht="19.5" x14ac:dyDescent="0.4"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26"/>
      <c r="AL929" s="15"/>
      <c r="AP929" s="115"/>
      <c r="AQ929" s="117"/>
      <c r="AR929" s="123"/>
      <c r="AS929" s="123"/>
      <c r="AT929" s="123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115"/>
      <c r="BF929" s="115"/>
      <c r="BG929" s="115"/>
      <c r="BH929" s="115"/>
      <c r="BI929" s="26"/>
      <c r="BJ929" s="15"/>
      <c r="BM929" s="114"/>
    </row>
    <row r="930" spans="6:65" ht="19.5" x14ac:dyDescent="0.4"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7"/>
      <c r="AL930" s="15"/>
      <c r="AP930" s="115"/>
      <c r="AQ930" s="117"/>
      <c r="AR930" s="123"/>
      <c r="AS930" s="123"/>
      <c r="AT930" s="123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115"/>
      <c r="BF930" s="115"/>
      <c r="BG930" s="115"/>
      <c r="BH930" s="115"/>
      <c r="BI930" s="26"/>
      <c r="BJ930" s="15"/>
      <c r="BM930" s="114"/>
    </row>
    <row r="931" spans="6:65" ht="19.5" x14ac:dyDescent="0.4">
      <c r="AK931" s="26"/>
      <c r="AL931" s="15"/>
      <c r="AP931" s="115"/>
      <c r="AQ931" s="117"/>
      <c r="AR931" s="123"/>
      <c r="AS931" s="123"/>
      <c r="AT931" s="123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115"/>
      <c r="BF931" s="115"/>
      <c r="BG931" s="115"/>
      <c r="BH931" s="115"/>
      <c r="BI931" s="26">
        <v>45278</v>
      </c>
      <c r="BJ931" s="15" t="s">
        <v>142</v>
      </c>
      <c r="BM931" s="114"/>
    </row>
    <row r="932" spans="6:65" ht="19.5" x14ac:dyDescent="0.4">
      <c r="AK932" s="26"/>
      <c r="AL932" s="15"/>
      <c r="AP932" s="115"/>
      <c r="AQ932" s="117"/>
      <c r="AR932" s="123"/>
      <c r="AS932" s="123"/>
      <c r="AT932" s="123"/>
      <c r="AU932" s="115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115"/>
      <c r="BF932" s="115"/>
      <c r="BG932" s="115"/>
      <c r="BH932" s="115"/>
      <c r="BI932" s="26">
        <v>45278</v>
      </c>
      <c r="BJ932" s="15" t="s">
        <v>162</v>
      </c>
      <c r="BM932" s="114"/>
    </row>
    <row r="933" spans="6:65" ht="19.5" x14ac:dyDescent="0.4">
      <c r="AK933" s="26"/>
      <c r="AL933" s="15"/>
      <c r="AP933" s="115"/>
      <c r="AQ933" s="117"/>
      <c r="AR933" s="123"/>
      <c r="AS933" s="123"/>
      <c r="AT933" s="123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115"/>
      <c r="BF933" s="115"/>
      <c r="BG933" s="115"/>
      <c r="BH933" s="115"/>
      <c r="BI933" s="26">
        <v>45278</v>
      </c>
      <c r="BJ933" s="15" t="s">
        <v>162</v>
      </c>
      <c r="BM933" s="114"/>
    </row>
    <row r="934" spans="6:65" ht="19.5" x14ac:dyDescent="0.4"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7"/>
      <c r="AL934" s="15"/>
      <c r="AP934" s="115"/>
      <c r="AQ934" s="117"/>
      <c r="AR934" s="123"/>
      <c r="AS934" s="123"/>
      <c r="AT934" s="123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115"/>
      <c r="BF934" s="115"/>
      <c r="BG934" s="115"/>
      <c r="BH934" s="115"/>
      <c r="BI934" s="26"/>
      <c r="BJ934" s="15"/>
      <c r="BM934" s="114"/>
    </row>
    <row r="935" spans="6:65" ht="19.5" x14ac:dyDescent="0.4"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26"/>
      <c r="AL935" s="15"/>
      <c r="AP935" s="115"/>
      <c r="AQ935" s="117"/>
      <c r="AR935" s="123"/>
      <c r="AS935" s="123"/>
      <c r="AT935" s="123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115"/>
      <c r="BF935" s="115"/>
      <c r="BG935" s="115"/>
      <c r="BH935" s="115"/>
      <c r="BI935" s="26"/>
      <c r="BJ935" s="15"/>
      <c r="BM935" s="114"/>
    </row>
    <row r="936" spans="6:65" ht="19.5" x14ac:dyDescent="0.4"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26"/>
      <c r="AL936" s="15"/>
      <c r="AP936" s="115"/>
      <c r="AQ936" s="117"/>
      <c r="AR936" s="123"/>
      <c r="AS936" s="123"/>
      <c r="AT936" s="123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115"/>
      <c r="BF936" s="115"/>
      <c r="BG936" s="115"/>
      <c r="BH936" s="115"/>
      <c r="BI936" s="26"/>
      <c r="BJ936" s="15"/>
      <c r="BM936" s="114"/>
    </row>
    <row r="937" spans="6:65" ht="19.5" x14ac:dyDescent="0.4"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7"/>
      <c r="AL937" s="15"/>
      <c r="AP937" s="115"/>
      <c r="AQ937" s="117"/>
      <c r="AR937" s="123"/>
      <c r="AS937" s="123"/>
      <c r="AT937" s="123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115"/>
      <c r="BF937" s="115"/>
      <c r="BG937" s="115"/>
      <c r="BH937" s="115"/>
      <c r="BI937" s="26"/>
      <c r="BJ937" s="15"/>
      <c r="BM937" s="114"/>
    </row>
    <row r="938" spans="6:65" ht="19.5" x14ac:dyDescent="0.4"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26"/>
      <c r="AL938" s="15"/>
      <c r="AP938" s="115"/>
      <c r="AQ938" s="117"/>
      <c r="AR938" s="123"/>
      <c r="AS938" s="123"/>
      <c r="AT938" s="123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115"/>
      <c r="BF938" s="115"/>
      <c r="BG938" s="115"/>
      <c r="BH938" s="115"/>
      <c r="BI938" s="26"/>
      <c r="BJ938" s="15"/>
      <c r="BM938" s="114"/>
    </row>
    <row r="939" spans="6:65" ht="19.5" x14ac:dyDescent="0.4">
      <c r="AK939" s="26"/>
      <c r="AL939" s="15"/>
      <c r="AP939" s="115"/>
      <c r="AQ939" s="117"/>
      <c r="AR939" s="123"/>
      <c r="AS939" s="123"/>
      <c r="AT939" s="123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115"/>
      <c r="BF939" s="115"/>
      <c r="BG939" s="115"/>
      <c r="BH939" s="115"/>
      <c r="BI939" s="26">
        <v>45278</v>
      </c>
      <c r="BJ939" s="15" t="s">
        <v>162</v>
      </c>
      <c r="BM939" s="114"/>
    </row>
    <row r="940" spans="6:65" ht="19.5" x14ac:dyDescent="0.4"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26"/>
      <c r="AL940" s="15"/>
      <c r="AP940" s="115"/>
      <c r="AQ940" s="117"/>
      <c r="AR940" s="123"/>
      <c r="AS940" s="123"/>
      <c r="AT940" s="123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115"/>
      <c r="BF940" s="115"/>
      <c r="BG940" s="115"/>
      <c r="BH940" s="115"/>
      <c r="BI940" s="26"/>
      <c r="BJ940" s="15"/>
      <c r="BM940" s="114"/>
    </row>
    <row r="941" spans="6:65" ht="19.5" x14ac:dyDescent="0.4">
      <c r="AK941" s="26"/>
      <c r="AL941" s="15"/>
      <c r="AP941" s="115"/>
      <c r="AQ941" s="117"/>
      <c r="AR941" s="123"/>
      <c r="AS941" s="123"/>
      <c r="AT941" s="123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115"/>
      <c r="BF941" s="115"/>
      <c r="BG941" s="115"/>
      <c r="BH941" s="115"/>
      <c r="BI941" s="26">
        <v>45278</v>
      </c>
      <c r="BJ941" s="15" t="s">
        <v>163</v>
      </c>
      <c r="BM941" s="114"/>
    </row>
    <row r="942" spans="6:65" ht="19.5" x14ac:dyDescent="0.4">
      <c r="AK942" s="26"/>
      <c r="AL942" s="15"/>
      <c r="AP942" s="115"/>
      <c r="AQ942" s="117"/>
      <c r="AR942" s="123"/>
      <c r="AS942" s="123"/>
      <c r="AT942" s="123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115"/>
      <c r="BF942" s="115"/>
      <c r="BG942" s="115"/>
      <c r="BH942" s="115"/>
      <c r="BI942" s="26">
        <v>45278</v>
      </c>
      <c r="BJ942" s="105" t="s">
        <v>163</v>
      </c>
      <c r="BM942" s="114"/>
    </row>
    <row r="943" spans="6:65" ht="19.5" x14ac:dyDescent="0.4">
      <c r="AK943" s="25"/>
      <c r="AL943" s="13"/>
      <c r="AP943" s="115"/>
      <c r="AQ943" s="117"/>
      <c r="AR943" s="123"/>
      <c r="AS943" s="123"/>
      <c r="AT943" s="123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115"/>
      <c r="BF943" s="115"/>
      <c r="BG943" s="115"/>
      <c r="BH943" s="115"/>
      <c r="BI943" s="26">
        <v>45278</v>
      </c>
      <c r="BJ943" s="15" t="s">
        <v>163</v>
      </c>
      <c r="BM943" s="114"/>
    </row>
    <row r="944" spans="6:65" ht="19.5" x14ac:dyDescent="0.4"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25"/>
      <c r="AL944" s="13"/>
      <c r="AP944" s="115"/>
      <c r="AQ944" s="117"/>
      <c r="AR944" s="123"/>
      <c r="AS944" s="123"/>
      <c r="AT944" s="123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115"/>
      <c r="BF944" s="115"/>
      <c r="BG944" s="115"/>
      <c r="BH944" s="115"/>
      <c r="BI944" s="26"/>
      <c r="BJ944" s="15"/>
      <c r="BM944" s="114"/>
    </row>
    <row r="945" spans="6:65" ht="19.5" x14ac:dyDescent="0.4"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25"/>
      <c r="AL945" s="13"/>
      <c r="AP945" s="115"/>
      <c r="AQ945" s="117"/>
      <c r="AR945" s="123"/>
      <c r="AS945" s="123"/>
      <c r="AT945" s="123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15"/>
      <c r="BF945" s="115"/>
      <c r="BG945" s="115"/>
      <c r="BH945" s="115"/>
      <c r="BI945" s="26"/>
      <c r="BJ945" s="15"/>
      <c r="BM945" s="114"/>
    </row>
    <row r="946" spans="6:65" ht="19.5" x14ac:dyDescent="0.4"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25"/>
      <c r="AL946" s="13"/>
      <c r="AP946" s="115"/>
      <c r="AQ946" s="117"/>
      <c r="AR946" s="123"/>
      <c r="AS946" s="123"/>
      <c r="AT946" s="123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115"/>
      <c r="BF946" s="115"/>
      <c r="BG946" s="115"/>
      <c r="BH946" s="115"/>
      <c r="BI946" s="26"/>
      <c r="BJ946" s="15"/>
      <c r="BM946" s="114"/>
    </row>
    <row r="947" spans="6:65" ht="19.5" x14ac:dyDescent="0.4"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25"/>
      <c r="AL947" s="13"/>
      <c r="AP947" s="115"/>
      <c r="AQ947" s="117"/>
      <c r="AR947" s="123"/>
      <c r="AS947" s="123"/>
      <c r="AT947" s="123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115"/>
      <c r="BF947" s="115"/>
      <c r="BG947" s="115"/>
      <c r="BH947" s="115"/>
      <c r="BI947" s="26"/>
      <c r="BJ947" s="15"/>
      <c r="BM947" s="114"/>
    </row>
    <row r="948" spans="6:65" ht="19.5" x14ac:dyDescent="0.4"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25"/>
      <c r="AL948" s="13"/>
      <c r="AP948" s="115"/>
      <c r="AQ948" s="117"/>
      <c r="AR948" s="123"/>
      <c r="AS948" s="123"/>
      <c r="AT948" s="123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115"/>
      <c r="BF948" s="115"/>
      <c r="BG948" s="115"/>
      <c r="BH948" s="115"/>
      <c r="BI948" s="26"/>
      <c r="BJ948" s="15"/>
      <c r="BM948" s="114"/>
    </row>
    <row r="949" spans="6:65" ht="19.5" x14ac:dyDescent="0.4"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25"/>
      <c r="AL949" s="13"/>
      <c r="AP949" s="115"/>
      <c r="AQ949" s="117"/>
      <c r="AR949" s="123"/>
      <c r="AS949" s="123"/>
      <c r="AT949" s="123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15"/>
      <c r="BF949" s="115"/>
      <c r="BG949" s="115"/>
      <c r="BH949" s="115"/>
      <c r="BI949" s="26"/>
      <c r="BJ949" s="15"/>
      <c r="BM949" s="114"/>
    </row>
    <row r="950" spans="6:65" ht="19.5" x14ac:dyDescent="0.4">
      <c r="AK950" s="25"/>
      <c r="AL950" s="13"/>
      <c r="AP950" s="115"/>
      <c r="AQ950" s="117"/>
      <c r="AR950" s="123"/>
      <c r="AS950" s="123"/>
      <c r="AT950" s="123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115"/>
      <c r="BF950" s="115"/>
      <c r="BG950" s="115"/>
      <c r="BH950" s="115"/>
      <c r="BI950" s="26">
        <v>45278</v>
      </c>
      <c r="BJ950" s="15" t="s">
        <v>163</v>
      </c>
      <c r="BM950" s="114"/>
    </row>
    <row r="951" spans="6:65" ht="19.5" x14ac:dyDescent="0.4">
      <c r="AK951" s="25"/>
      <c r="AL951" s="13"/>
      <c r="AP951" s="115"/>
      <c r="AQ951" s="117"/>
      <c r="AR951" s="123"/>
      <c r="AS951" s="123"/>
      <c r="AT951" s="123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15"/>
      <c r="BF951" s="115"/>
      <c r="BG951" s="115"/>
      <c r="BH951" s="115"/>
      <c r="BI951" s="26"/>
      <c r="BJ951" s="15"/>
      <c r="BM951" s="114"/>
    </row>
    <row r="952" spans="6:65" ht="19.5" x14ac:dyDescent="0.4"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3"/>
      <c r="AL952" s="13"/>
      <c r="AP952" s="115"/>
      <c r="AQ952" s="117"/>
      <c r="AR952" s="123"/>
      <c r="AS952" s="123"/>
      <c r="AT952" s="123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115"/>
      <c r="BF952" s="115"/>
      <c r="BG952" s="115"/>
      <c r="BH952" s="115"/>
      <c r="BI952" s="26"/>
      <c r="BJ952" s="15"/>
      <c r="BM952" s="114"/>
    </row>
    <row r="953" spans="6:65" ht="19.5" x14ac:dyDescent="0.4">
      <c r="AK953" s="25"/>
      <c r="AL953" s="13"/>
      <c r="AP953" s="115"/>
      <c r="AQ953" s="117"/>
      <c r="AR953" s="123"/>
      <c r="AS953" s="123"/>
      <c r="AT953" s="123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115"/>
      <c r="BF953" s="115"/>
      <c r="BG953" s="115"/>
      <c r="BH953" s="115"/>
      <c r="BI953" s="26">
        <v>45278</v>
      </c>
      <c r="BJ953" s="15" t="s">
        <v>163</v>
      </c>
      <c r="BM953" s="114"/>
    </row>
    <row r="954" spans="6:65" ht="19.5" x14ac:dyDescent="0.4"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3"/>
      <c r="AL954" s="13"/>
      <c r="AP954" s="115"/>
      <c r="AQ954" s="117"/>
      <c r="AR954" s="123"/>
      <c r="AS954" s="123"/>
      <c r="AT954" s="123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15"/>
      <c r="BF954" s="115"/>
      <c r="BG954" s="115"/>
      <c r="BH954" s="115"/>
      <c r="BI954" s="26"/>
      <c r="BJ954" s="13"/>
      <c r="BM954" s="114"/>
    </row>
    <row r="955" spans="6:65" ht="19.5" x14ac:dyDescent="0.4">
      <c r="AK955" s="25"/>
      <c r="AL955" s="13"/>
      <c r="AP955" s="115"/>
      <c r="AQ955" s="117"/>
      <c r="AR955" s="123"/>
      <c r="AS955" s="123"/>
      <c r="AT955" s="123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15"/>
      <c r="BF955" s="115"/>
      <c r="BG955" s="115"/>
      <c r="BH955" s="115" t="s">
        <v>153</v>
      </c>
      <c r="BI955" s="17">
        <f>SUBTOTAL(3,BI924:BI953)</f>
        <v>12</v>
      </c>
      <c r="BJ955" s="13">
        <f>SUBTOTAL(3,BJ924:BJ953)</f>
        <v>12</v>
      </c>
      <c r="BM955" s="114"/>
    </row>
    <row r="956" spans="6:65" ht="19.5" x14ac:dyDescent="0.4"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3"/>
      <c r="AL956" s="13"/>
      <c r="AP956" s="115"/>
      <c r="AQ956" s="117"/>
      <c r="AR956" s="123"/>
      <c r="AS956" s="123"/>
      <c r="AT956" s="123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115"/>
      <c r="BF956" s="115"/>
      <c r="BG956" s="115"/>
      <c r="BH956" s="115"/>
      <c r="BI956" s="17"/>
      <c r="BJ956" s="13"/>
      <c r="BM956" s="114"/>
    </row>
    <row r="957" spans="6:65" ht="19.5" x14ac:dyDescent="0.4">
      <c r="AK957" s="25"/>
      <c r="AL957" s="13"/>
      <c r="AP957" s="115"/>
      <c r="AQ957" s="117"/>
      <c r="AR957" s="123"/>
      <c r="AS957" s="123"/>
      <c r="AT957" s="123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15"/>
      <c r="BF957" s="115"/>
      <c r="BG957" s="115"/>
      <c r="BH957" s="115"/>
      <c r="BI957" s="26">
        <v>45279</v>
      </c>
      <c r="BJ957" s="25" t="s">
        <v>162</v>
      </c>
      <c r="BM957" s="114"/>
    </row>
    <row r="958" spans="6:65" ht="19.5" x14ac:dyDescent="0.4">
      <c r="AK958" s="25"/>
      <c r="AL958" s="13"/>
      <c r="AP958" s="115"/>
      <c r="AQ958" s="117"/>
      <c r="AR958" s="123"/>
      <c r="AS958" s="123"/>
      <c r="AT958" s="123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115"/>
      <c r="BF958" s="115"/>
      <c r="BG958" s="115"/>
      <c r="BH958" s="115"/>
      <c r="BI958" s="26">
        <v>45279</v>
      </c>
      <c r="BJ958" s="13" t="s">
        <v>162</v>
      </c>
      <c r="BM958" s="114"/>
    </row>
    <row r="959" spans="6:65" ht="19.5" x14ac:dyDescent="0.4"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20"/>
      <c r="AL959" s="13"/>
      <c r="AP959" s="115"/>
      <c r="AQ959" s="117"/>
      <c r="AR959" s="123"/>
      <c r="AS959" s="123"/>
      <c r="AT959" s="123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115"/>
      <c r="BF959" s="115"/>
      <c r="BG959" s="115"/>
      <c r="BH959" s="115"/>
      <c r="BI959" s="26"/>
      <c r="BJ959" s="13"/>
      <c r="BM959" s="114"/>
    </row>
    <row r="960" spans="6:65" ht="19.5" x14ac:dyDescent="0.4"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20"/>
      <c r="AL960" s="13"/>
      <c r="AP960" s="115"/>
      <c r="AQ960" s="117"/>
      <c r="AR960" s="123"/>
      <c r="AS960" s="123"/>
      <c r="AT960" s="123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15"/>
      <c r="BF960" s="115"/>
      <c r="BG960" s="115"/>
      <c r="BH960" s="115"/>
      <c r="BI960" s="26"/>
      <c r="BJ960" s="13"/>
      <c r="BM960" s="114"/>
    </row>
    <row r="961" spans="37:65" ht="19.5" x14ac:dyDescent="0.4">
      <c r="AK961" s="26"/>
      <c r="AL961" s="13"/>
      <c r="AP961" s="115"/>
      <c r="AQ961" s="117"/>
      <c r="AR961" s="123"/>
      <c r="AS961" s="123"/>
      <c r="AT961" s="123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115"/>
      <c r="BF961" s="115"/>
      <c r="BG961" s="115"/>
      <c r="BH961" s="115"/>
      <c r="BI961" s="26">
        <v>45279</v>
      </c>
      <c r="BJ961" s="13" t="s">
        <v>162</v>
      </c>
      <c r="BM961" s="114"/>
    </row>
    <row r="962" spans="37:65" ht="19.5" x14ac:dyDescent="0.4">
      <c r="AK962" s="26"/>
      <c r="AL962" s="13"/>
      <c r="AP962" s="115"/>
      <c r="AQ962" s="117"/>
      <c r="AR962" s="123"/>
      <c r="AS962" s="123"/>
      <c r="AT962" s="123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15"/>
      <c r="BF962" s="115"/>
      <c r="BG962" s="115"/>
      <c r="BH962" s="115"/>
      <c r="BI962" s="26">
        <v>45279</v>
      </c>
      <c r="BJ962" s="13" t="s">
        <v>162</v>
      </c>
      <c r="BM962" s="114"/>
    </row>
    <row r="963" spans="37:65" ht="19.5" x14ac:dyDescent="0.4">
      <c r="AK963" s="129"/>
      <c r="AL963" s="13"/>
      <c r="AP963" s="115"/>
      <c r="AQ963" s="117"/>
      <c r="AR963" s="123"/>
      <c r="AS963" s="123"/>
      <c r="AT963" s="123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15"/>
      <c r="BF963" s="115"/>
      <c r="BG963" s="115"/>
      <c r="BH963" s="115"/>
      <c r="BI963" s="26"/>
      <c r="BJ963" s="13"/>
      <c r="BM963" s="114"/>
    </row>
    <row r="964" spans="37:65" ht="19.5" x14ac:dyDescent="0.4">
      <c r="AK964" s="26"/>
      <c r="AL964" s="13"/>
      <c r="AP964" s="115"/>
      <c r="AQ964" s="117"/>
      <c r="AR964" s="123"/>
      <c r="AS964" s="123"/>
      <c r="AT964" s="123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115"/>
      <c r="BF964" s="115"/>
      <c r="BG964" s="115"/>
      <c r="BH964" s="115"/>
      <c r="BI964" s="26">
        <v>45279</v>
      </c>
      <c r="BJ964" s="13" t="s">
        <v>162</v>
      </c>
      <c r="BM964" s="114"/>
    </row>
    <row r="965" spans="37:65" ht="19.5" x14ac:dyDescent="0.4">
      <c r="AK965" s="26"/>
      <c r="AL965" s="13"/>
      <c r="AP965" s="115"/>
      <c r="AQ965" s="117"/>
      <c r="AR965" s="123"/>
      <c r="AS965" s="123"/>
      <c r="AT965" s="123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115"/>
      <c r="BF965" s="115"/>
      <c r="BG965" s="115"/>
      <c r="BH965" s="115"/>
      <c r="BI965" s="26">
        <v>45279</v>
      </c>
      <c r="BJ965" s="13" t="s">
        <v>162</v>
      </c>
      <c r="BM965" s="114"/>
    </row>
    <row r="966" spans="37:65" ht="19.5" x14ac:dyDescent="0.4">
      <c r="AK966" s="26"/>
      <c r="AL966" s="13"/>
      <c r="AP966" s="115"/>
      <c r="AQ966" s="117"/>
      <c r="AR966" s="123"/>
      <c r="AS966" s="123"/>
      <c r="AT966" s="123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115"/>
      <c r="BF966" s="115"/>
      <c r="BG966" s="115"/>
      <c r="BH966" s="115" t="s">
        <v>170</v>
      </c>
      <c r="BI966" s="17">
        <f>SUBTOTAL(3,BI957:BI965)</f>
        <v>6</v>
      </c>
      <c r="BJ966" s="13">
        <f>SUBTOTAL(3,BJ957:BJ965)</f>
        <v>6</v>
      </c>
      <c r="BM966" s="114"/>
    </row>
    <row r="967" spans="37:65" ht="19.5" x14ac:dyDescent="0.4">
      <c r="AK967" s="129"/>
      <c r="AL967" s="13"/>
      <c r="AP967" s="115"/>
      <c r="AQ967" s="117"/>
      <c r="AR967" s="123"/>
      <c r="AS967" s="123"/>
      <c r="AT967" s="123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115"/>
      <c r="BF967" s="115"/>
      <c r="BG967" s="115"/>
      <c r="BH967" s="115"/>
      <c r="BI967" s="17"/>
      <c r="BJ967" s="13"/>
      <c r="BM967" s="114"/>
    </row>
    <row r="968" spans="37:65" ht="19.5" x14ac:dyDescent="0.4">
      <c r="AK968" s="26"/>
      <c r="AL968" s="13"/>
      <c r="AP968" s="115"/>
      <c r="AQ968" s="117"/>
      <c r="AR968" s="123"/>
      <c r="AS968" s="123"/>
      <c r="AT968" s="123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115"/>
      <c r="BF968" s="115"/>
      <c r="BG968" s="115"/>
      <c r="BH968" s="115"/>
      <c r="BI968" s="26">
        <v>45280</v>
      </c>
      <c r="BJ968" s="13" t="s">
        <v>162</v>
      </c>
      <c r="BM968" s="114"/>
    </row>
    <row r="969" spans="37:65" ht="19.5" x14ac:dyDescent="0.4">
      <c r="AK969" s="26"/>
      <c r="AL969" s="13"/>
      <c r="AP969" s="115"/>
      <c r="AQ969" s="116"/>
      <c r="AR969" s="123"/>
      <c r="AS969" s="123"/>
      <c r="AT969" s="123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115"/>
      <c r="BF969" s="115"/>
      <c r="BG969" s="115"/>
      <c r="BH969" s="115"/>
      <c r="BI969" s="26">
        <v>45280</v>
      </c>
      <c r="BJ969" s="13" t="s">
        <v>162</v>
      </c>
      <c r="BM969" s="114"/>
    </row>
    <row r="970" spans="37:65" ht="19.5" x14ac:dyDescent="0.4">
      <c r="AK970" s="26"/>
      <c r="AL970" s="13"/>
      <c r="AP970" s="115"/>
      <c r="AQ970" s="116"/>
      <c r="AR970" s="123"/>
      <c r="AS970" s="123"/>
      <c r="AT970" s="123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115"/>
      <c r="BF970" s="115"/>
      <c r="BG970" s="115"/>
      <c r="BH970" s="115"/>
      <c r="BI970" s="26">
        <v>45280</v>
      </c>
      <c r="BJ970" s="13" t="s">
        <v>162</v>
      </c>
      <c r="BM970" s="114"/>
    </row>
    <row r="971" spans="37:65" ht="19.5" x14ac:dyDescent="0.4">
      <c r="AK971" s="26"/>
      <c r="AL971" s="13"/>
      <c r="AP971" s="115"/>
      <c r="AQ971" s="116"/>
      <c r="AR971" s="123"/>
      <c r="AS971" s="123"/>
      <c r="AT971" s="123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15"/>
      <c r="BF971" s="115"/>
      <c r="BG971" s="115"/>
      <c r="BH971" s="115"/>
      <c r="BI971" s="26">
        <v>45280</v>
      </c>
      <c r="BJ971" s="13" t="s">
        <v>162</v>
      </c>
      <c r="BM971" s="114"/>
    </row>
    <row r="972" spans="37:65" ht="19.5" x14ac:dyDescent="0.4">
      <c r="AK972" s="129"/>
      <c r="AL972" s="13"/>
      <c r="AP972" s="115"/>
      <c r="AQ972" s="116"/>
      <c r="AR972" s="123"/>
      <c r="AS972" s="123"/>
      <c r="AT972" s="123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115"/>
      <c r="BF972" s="115"/>
      <c r="BG972" s="115"/>
      <c r="BH972" s="115"/>
      <c r="BI972" s="26"/>
      <c r="BJ972" s="13"/>
      <c r="BM972" s="114"/>
    </row>
    <row r="973" spans="37:65" ht="19.5" x14ac:dyDescent="0.4">
      <c r="AK973" s="26"/>
      <c r="AL973" s="13"/>
      <c r="AP973" s="115"/>
      <c r="AQ973" s="116"/>
      <c r="AR973" s="123"/>
      <c r="AS973" s="123"/>
      <c r="AT973" s="123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115"/>
      <c r="BF973" s="115"/>
      <c r="BG973" s="115"/>
      <c r="BH973" s="115"/>
      <c r="BI973" s="26">
        <v>45280</v>
      </c>
      <c r="BJ973" s="13" t="s">
        <v>162</v>
      </c>
      <c r="BM973" s="114"/>
    </row>
    <row r="974" spans="37:65" ht="19.5" x14ac:dyDescent="0.4">
      <c r="AK974" s="130"/>
      <c r="AL974" s="119"/>
      <c r="AP974" s="115"/>
      <c r="AQ974" s="116"/>
      <c r="AR974" s="123"/>
      <c r="AS974" s="123"/>
      <c r="AT974" s="123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115"/>
      <c r="BF974" s="115"/>
      <c r="BG974" s="115"/>
      <c r="BH974" s="115"/>
      <c r="BI974" s="26"/>
      <c r="BJ974" s="13"/>
      <c r="BM974" s="114"/>
    </row>
    <row r="975" spans="37:65" ht="19.5" x14ac:dyDescent="0.4">
      <c r="AK975" s="130"/>
      <c r="AL975" s="119"/>
      <c r="AP975" s="115"/>
      <c r="AQ975" s="116"/>
      <c r="AR975" s="123"/>
      <c r="AS975" s="123"/>
      <c r="AT975" s="123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115"/>
      <c r="BF975" s="115"/>
      <c r="BG975" s="115"/>
      <c r="BH975" s="115"/>
      <c r="BI975" s="26"/>
      <c r="BJ975" s="13"/>
      <c r="BM975" s="114"/>
    </row>
    <row r="976" spans="37:65" ht="19.5" x14ac:dyDescent="0.4">
      <c r="AP976" s="115"/>
      <c r="AQ976" s="116"/>
      <c r="AR976" s="123"/>
      <c r="AS976" s="123"/>
      <c r="AT976" s="123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15"/>
      <c r="BF976" s="115"/>
      <c r="BG976" s="115"/>
      <c r="BH976" s="115"/>
      <c r="BI976" s="26">
        <v>45280</v>
      </c>
      <c r="BJ976" s="13" t="s">
        <v>162</v>
      </c>
      <c r="BM976" s="114"/>
    </row>
    <row r="977" spans="39:65" ht="19.5" x14ac:dyDescent="0.4">
      <c r="AP977" s="115"/>
      <c r="AQ977" s="116"/>
      <c r="AR977" s="123"/>
      <c r="AS977" s="123"/>
      <c r="AT977" s="123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115"/>
      <c r="BF977" s="115"/>
      <c r="BG977" s="115"/>
      <c r="BH977" s="115"/>
      <c r="BI977" s="26">
        <v>45280</v>
      </c>
      <c r="BJ977" s="13" t="s">
        <v>162</v>
      </c>
      <c r="BM977" s="114"/>
    </row>
    <row r="978" spans="39:65" ht="19.5" x14ac:dyDescent="0.4">
      <c r="AP978" s="115"/>
      <c r="AQ978" s="116"/>
      <c r="AR978" s="123"/>
      <c r="AS978" s="123"/>
      <c r="AT978" s="123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115"/>
      <c r="BF978" s="115"/>
      <c r="BG978" s="115"/>
      <c r="BH978" s="115"/>
      <c r="BI978" s="26">
        <v>45280</v>
      </c>
      <c r="BJ978" s="13" t="s">
        <v>162</v>
      </c>
      <c r="BM978" s="114"/>
    </row>
    <row r="979" spans="39:65" ht="19.5" x14ac:dyDescent="0.4">
      <c r="AO979" s="115"/>
      <c r="AP979" s="115"/>
      <c r="AQ979" s="116"/>
      <c r="AR979" s="123"/>
      <c r="AS979" s="123"/>
      <c r="AT979" s="123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115"/>
      <c r="BF979" s="115"/>
      <c r="BG979" s="115"/>
      <c r="BH979" s="115"/>
      <c r="BI979" s="26">
        <v>45280</v>
      </c>
      <c r="BJ979" s="13" t="s">
        <v>162</v>
      </c>
      <c r="BM979" s="114"/>
    </row>
    <row r="980" spans="39:65" ht="19.5" x14ac:dyDescent="0.4">
      <c r="AO980" s="115"/>
      <c r="AP980" s="115"/>
      <c r="AQ980" s="116"/>
      <c r="AR980" s="123"/>
      <c r="AS980" s="123"/>
      <c r="AT980" s="123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115"/>
      <c r="BF980" s="115"/>
      <c r="BG980" s="115"/>
      <c r="BH980" s="115"/>
      <c r="BI980" s="26">
        <v>45280</v>
      </c>
      <c r="BJ980" s="13" t="s">
        <v>162</v>
      </c>
      <c r="BM980" s="114"/>
    </row>
    <row r="981" spans="39:65" ht="19.5" x14ac:dyDescent="0.4">
      <c r="AM981" s="115"/>
      <c r="AN981" s="115"/>
      <c r="AO981" s="115"/>
      <c r="AP981" s="115"/>
      <c r="AQ981" s="116"/>
      <c r="AR981" s="123"/>
      <c r="AS981" s="123"/>
      <c r="AT981" s="123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115"/>
      <c r="BF981" s="115"/>
      <c r="BG981" s="115"/>
      <c r="BH981" s="115"/>
      <c r="BI981" s="26">
        <v>45280</v>
      </c>
      <c r="BJ981" s="13" t="s">
        <v>162</v>
      </c>
      <c r="BM981" s="114"/>
    </row>
    <row r="982" spans="39:65" x14ac:dyDescent="0.4">
      <c r="AM982" s="115"/>
      <c r="AN982" s="115"/>
      <c r="AO982" s="115"/>
      <c r="AP982" s="115"/>
      <c r="AQ982" s="115"/>
      <c r="AR982" s="122"/>
      <c r="AS982" s="122"/>
      <c r="AT982" s="122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115"/>
      <c r="BF982" s="115"/>
      <c r="BG982" s="115"/>
      <c r="BH982" s="115"/>
      <c r="BI982" s="26">
        <v>45280</v>
      </c>
      <c r="BJ982" s="13" t="s">
        <v>162</v>
      </c>
      <c r="BM982" s="114"/>
    </row>
    <row r="983" spans="39:65" x14ac:dyDescent="0.4">
      <c r="AM983" s="115"/>
      <c r="AN983" s="115"/>
      <c r="AO983" s="115"/>
      <c r="AP983" s="115"/>
      <c r="AQ983" s="115"/>
      <c r="AR983" s="122"/>
      <c r="AS983" s="122"/>
      <c r="AT983" s="122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15"/>
      <c r="BF983" s="115"/>
      <c r="BG983" s="115"/>
      <c r="BH983" s="115"/>
      <c r="BI983" s="26">
        <v>45280</v>
      </c>
      <c r="BJ983" s="13" t="s">
        <v>162</v>
      </c>
      <c r="BM983" s="114"/>
    </row>
    <row r="984" spans="39:65" x14ac:dyDescent="0.4">
      <c r="AM984" s="115"/>
      <c r="AN984" s="115"/>
      <c r="AO984" s="115"/>
      <c r="AP984" s="115"/>
      <c r="AQ984" s="115"/>
      <c r="AR984" s="122"/>
      <c r="AS984" s="122"/>
      <c r="AT984" s="122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115"/>
      <c r="BF984" s="115"/>
      <c r="BG984" s="115"/>
      <c r="BH984" s="115" t="s">
        <v>171</v>
      </c>
      <c r="BI984" s="17">
        <f>SUBTOTAL(3,BI968:BI983)</f>
        <v>13</v>
      </c>
      <c r="BJ984" s="13">
        <f>SUBTOTAL(3,BJ968:BJ983)</f>
        <v>13</v>
      </c>
      <c r="BM984" s="114"/>
    </row>
    <row r="985" spans="39:65" x14ac:dyDescent="0.4">
      <c r="AM985" s="115"/>
      <c r="AN985" s="115"/>
      <c r="AO985" s="115"/>
      <c r="AP985" s="115"/>
      <c r="AQ985" s="115"/>
      <c r="AR985" s="122"/>
      <c r="AS985" s="122"/>
      <c r="AT985" s="122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115"/>
      <c r="BF985" s="115"/>
      <c r="BG985" s="115"/>
      <c r="BH985" s="115"/>
      <c r="BI985" s="26">
        <v>45283</v>
      </c>
      <c r="BJ985" s="13" t="s">
        <v>162</v>
      </c>
      <c r="BM985" s="114"/>
    </row>
    <row r="986" spans="39:65" x14ac:dyDescent="0.4">
      <c r="AM986" s="115"/>
      <c r="AN986" s="115"/>
      <c r="AO986" s="115"/>
      <c r="AP986" s="115"/>
      <c r="AQ986" s="115"/>
      <c r="AR986" s="122"/>
      <c r="AS986" s="122"/>
      <c r="AT986" s="122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115"/>
      <c r="BF986" s="115"/>
      <c r="BG986" s="115"/>
      <c r="BH986" s="115"/>
      <c r="BI986" s="26">
        <v>45283</v>
      </c>
      <c r="BJ986" s="13" t="s">
        <v>162</v>
      </c>
      <c r="BM986" s="114"/>
    </row>
    <row r="987" spans="39:65" x14ac:dyDescent="0.4">
      <c r="AM987" s="115"/>
      <c r="AN987" s="115"/>
      <c r="AO987" s="115"/>
      <c r="AP987" s="115"/>
      <c r="AQ987" s="115"/>
      <c r="AR987" s="122"/>
      <c r="AS987" s="122"/>
      <c r="AT987" s="122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115"/>
      <c r="BF987" s="115"/>
      <c r="BG987" s="115"/>
      <c r="BH987" s="115"/>
      <c r="BI987" s="26">
        <v>45283</v>
      </c>
      <c r="BJ987" s="13" t="s">
        <v>162</v>
      </c>
      <c r="BM987" s="114"/>
    </row>
    <row r="988" spans="39:65" x14ac:dyDescent="0.4">
      <c r="AM988" s="115"/>
      <c r="AN988" s="115"/>
      <c r="AO988" s="115"/>
      <c r="AP988" s="115"/>
      <c r="AQ988" s="115"/>
      <c r="AR988" s="122"/>
      <c r="AS988" s="122"/>
      <c r="AT988" s="122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115"/>
      <c r="BF988" s="115"/>
      <c r="BG988" s="115"/>
      <c r="BH988" s="115"/>
      <c r="BI988" s="26">
        <v>45283</v>
      </c>
      <c r="BJ988" s="13" t="s">
        <v>162</v>
      </c>
      <c r="BM988" s="114"/>
    </row>
    <row r="989" spans="39:65" x14ac:dyDescent="0.4">
      <c r="AM989" s="115"/>
      <c r="AN989" s="115"/>
      <c r="AO989" s="115"/>
      <c r="AP989" s="115"/>
      <c r="AQ989" s="115"/>
      <c r="AR989" s="122"/>
      <c r="AS989" s="122"/>
      <c r="AT989" s="122"/>
      <c r="AU989" s="115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115"/>
      <c r="BF989" s="115"/>
      <c r="BG989" s="115"/>
      <c r="BH989" s="115"/>
      <c r="BI989" s="26">
        <v>45283</v>
      </c>
      <c r="BJ989" s="13" t="s">
        <v>162</v>
      </c>
      <c r="BM989" s="114"/>
    </row>
    <row r="990" spans="39:65" x14ac:dyDescent="0.4">
      <c r="AM990" s="115"/>
      <c r="AN990" s="115"/>
      <c r="AO990" s="115"/>
      <c r="AP990" s="115"/>
      <c r="AQ990" s="115"/>
      <c r="AR990" s="122"/>
      <c r="AS990" s="122"/>
      <c r="AT990" s="122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115"/>
      <c r="BF990" s="115"/>
      <c r="BG990" s="115"/>
      <c r="BH990" s="115"/>
      <c r="BI990" s="26">
        <v>45283</v>
      </c>
      <c r="BJ990" s="13" t="s">
        <v>162</v>
      </c>
      <c r="BM990" s="114"/>
    </row>
    <row r="991" spans="39:65" x14ac:dyDescent="0.4">
      <c r="AM991" s="115"/>
      <c r="AN991" s="115"/>
      <c r="AO991" s="115"/>
      <c r="AP991" s="115"/>
      <c r="AQ991" s="115"/>
      <c r="AR991" s="122"/>
      <c r="AS991" s="122"/>
      <c r="AT991" s="122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115"/>
      <c r="BF991" s="115"/>
      <c r="BG991" s="115"/>
      <c r="BH991" s="115"/>
      <c r="BI991" s="26">
        <v>45283</v>
      </c>
      <c r="BJ991" s="13" t="s">
        <v>162</v>
      </c>
      <c r="BM991" s="114"/>
    </row>
    <row r="992" spans="39:65" x14ac:dyDescent="0.4">
      <c r="AM992" s="115"/>
      <c r="AN992" s="115"/>
      <c r="AO992" s="115"/>
      <c r="AP992" s="115"/>
      <c r="AQ992" s="115"/>
      <c r="AR992" s="122"/>
      <c r="AS992" s="122"/>
      <c r="AT992" s="122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115"/>
      <c r="BF992" s="115"/>
      <c r="BG992" s="115"/>
      <c r="BH992" s="115"/>
      <c r="BI992" s="26">
        <v>45283</v>
      </c>
      <c r="BJ992" s="13" t="s">
        <v>162</v>
      </c>
      <c r="BM992" s="114"/>
    </row>
    <row r="993" spans="39:65" x14ac:dyDescent="0.4">
      <c r="AM993" s="115"/>
      <c r="AN993" s="115"/>
      <c r="AO993" s="115"/>
      <c r="AP993" s="115"/>
      <c r="AQ993" s="115"/>
      <c r="AR993" s="122"/>
      <c r="AS993" s="122"/>
      <c r="AT993" s="122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115"/>
      <c r="BF993" s="115"/>
      <c r="BG993" s="115"/>
      <c r="BH993" s="115"/>
      <c r="BI993" s="26">
        <v>45283</v>
      </c>
      <c r="BJ993" s="13" t="s">
        <v>162</v>
      </c>
      <c r="BM993" s="114"/>
    </row>
    <row r="994" spans="39:65" x14ac:dyDescent="0.4">
      <c r="AM994" s="115"/>
      <c r="AN994" s="115"/>
      <c r="AO994" s="115"/>
      <c r="AP994" s="115"/>
      <c r="AQ994" s="115"/>
      <c r="AR994" s="122"/>
      <c r="AS994" s="122"/>
      <c r="AT994" s="122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115"/>
      <c r="BF994" s="115"/>
      <c r="BG994" s="115"/>
      <c r="BH994" s="115"/>
      <c r="BI994" s="26">
        <v>45283</v>
      </c>
      <c r="BJ994" s="13" t="s">
        <v>162</v>
      </c>
      <c r="BM994" s="114"/>
    </row>
    <row r="995" spans="39:65" x14ac:dyDescent="0.4">
      <c r="AM995" s="115"/>
      <c r="AN995" s="115"/>
      <c r="AO995" s="115"/>
      <c r="AP995" s="115"/>
      <c r="AQ995" s="115"/>
      <c r="AR995" s="122"/>
      <c r="AS995" s="122"/>
      <c r="AT995" s="122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115"/>
      <c r="BF995" s="115"/>
      <c r="BG995" s="115"/>
      <c r="BH995" s="115"/>
      <c r="BI995" s="26">
        <v>45283</v>
      </c>
      <c r="BJ995" s="13" t="s">
        <v>163</v>
      </c>
      <c r="BM995" s="114"/>
    </row>
    <row r="996" spans="39:65" x14ac:dyDescent="0.4">
      <c r="AM996" s="115"/>
      <c r="AN996" s="115"/>
      <c r="AO996" s="115"/>
      <c r="AP996" s="115"/>
      <c r="AQ996" s="115"/>
      <c r="AR996" s="122"/>
      <c r="AS996" s="122"/>
      <c r="AT996" s="122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115"/>
      <c r="BF996" s="115"/>
      <c r="BG996" s="115"/>
      <c r="BH996" s="115"/>
      <c r="BI996" s="26">
        <v>45283</v>
      </c>
      <c r="BJ996" s="13" t="s">
        <v>163</v>
      </c>
      <c r="BM996" s="114"/>
    </row>
    <row r="997" spans="39:65" x14ac:dyDescent="0.4">
      <c r="AM997" s="115"/>
      <c r="AN997" s="115"/>
      <c r="AO997" s="115"/>
      <c r="AP997" s="115"/>
      <c r="AQ997" s="115"/>
      <c r="AR997" s="122"/>
      <c r="AS997" s="122"/>
      <c r="AT997" s="122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115"/>
      <c r="BF997" s="115"/>
      <c r="BG997" s="115"/>
      <c r="BH997" s="115"/>
      <c r="BI997" s="26">
        <v>45283</v>
      </c>
      <c r="BJ997" s="13" t="s">
        <v>163</v>
      </c>
      <c r="BM997" s="114"/>
    </row>
    <row r="998" spans="39:65" x14ac:dyDescent="0.4">
      <c r="AM998" s="115"/>
      <c r="AN998" s="115"/>
      <c r="AO998" s="115"/>
      <c r="AP998" s="115"/>
      <c r="AQ998" s="115"/>
      <c r="AR998" s="122"/>
      <c r="AS998" s="122"/>
      <c r="AT998" s="122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115"/>
      <c r="BF998" s="115"/>
      <c r="BG998" s="115"/>
      <c r="BH998" s="115" t="s">
        <v>161</v>
      </c>
      <c r="BI998" s="17">
        <f>SUBTOTAL(3,BI985:BI997)</f>
        <v>13</v>
      </c>
      <c r="BJ998" s="13">
        <f>SUBTOTAL(3,BJ985:BJ997)</f>
        <v>13</v>
      </c>
      <c r="BM998" s="114"/>
    </row>
    <row r="999" spans="39:65" x14ac:dyDescent="0.4">
      <c r="AM999" s="115"/>
      <c r="AN999" s="115"/>
      <c r="AO999" s="115"/>
      <c r="AP999" s="115"/>
      <c r="AQ999" s="115"/>
      <c r="AR999" s="122"/>
      <c r="AS999" s="122"/>
      <c r="AT999" s="122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115"/>
      <c r="BF999" s="115"/>
      <c r="BG999" s="115"/>
      <c r="BH999" s="115"/>
      <c r="BI999" s="26">
        <v>45285</v>
      </c>
      <c r="BJ999" s="13" t="s">
        <v>163</v>
      </c>
      <c r="BM999" s="114"/>
    </row>
    <row r="1000" spans="39:65" x14ac:dyDescent="0.4">
      <c r="AM1000" s="115"/>
      <c r="AN1000" s="115"/>
      <c r="AO1000" s="115"/>
      <c r="AP1000" s="115"/>
      <c r="AQ1000" s="115"/>
      <c r="AR1000" s="122"/>
      <c r="AS1000" s="122"/>
      <c r="AT1000" s="122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115"/>
      <c r="BF1000" s="115"/>
      <c r="BG1000" s="115"/>
      <c r="BH1000" s="115" t="s">
        <v>172</v>
      </c>
      <c r="BI1000" s="17">
        <f>SUBTOTAL(3,BI999:BI999)</f>
        <v>1</v>
      </c>
      <c r="BJ1000" s="13">
        <f>SUBTOTAL(3,BJ999:BJ999)</f>
        <v>1</v>
      </c>
      <c r="BM1000" s="114"/>
    </row>
    <row r="1001" spans="39:65" x14ac:dyDescent="0.4">
      <c r="AM1001" s="115"/>
      <c r="AN1001" s="115"/>
      <c r="AO1001" s="115"/>
      <c r="AP1001" s="115"/>
      <c r="AQ1001" s="115"/>
      <c r="AR1001" s="122"/>
      <c r="AS1001" s="122"/>
      <c r="AT1001" s="122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115"/>
      <c r="BF1001" s="115"/>
      <c r="BG1001" s="115"/>
      <c r="BH1001" s="115"/>
      <c r="BI1001" s="26">
        <v>45299</v>
      </c>
      <c r="BJ1001" s="13" t="s">
        <v>164</v>
      </c>
      <c r="BM1001" s="114"/>
    </row>
    <row r="1002" spans="39:65" x14ac:dyDescent="0.4">
      <c r="AM1002" s="115"/>
      <c r="AN1002" s="115"/>
      <c r="AO1002" s="115"/>
      <c r="AP1002" s="115"/>
      <c r="AQ1002" s="115"/>
      <c r="AR1002" s="122"/>
      <c r="AS1002" s="122"/>
      <c r="AT1002" s="122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15"/>
      <c r="BF1002" s="115"/>
      <c r="BG1002" s="115"/>
      <c r="BH1002" s="115"/>
      <c r="BI1002" s="26">
        <v>45299</v>
      </c>
      <c r="BJ1002" s="13" t="s">
        <v>162</v>
      </c>
      <c r="BM1002" s="114"/>
    </row>
    <row r="1003" spans="39:65" x14ac:dyDescent="0.4">
      <c r="AM1003" s="115"/>
      <c r="AN1003" s="115"/>
      <c r="AO1003" s="115"/>
      <c r="AP1003" s="115"/>
      <c r="AQ1003" s="115"/>
      <c r="AR1003" s="122"/>
      <c r="AS1003" s="122"/>
      <c r="AT1003" s="122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115"/>
      <c r="BF1003" s="115"/>
      <c r="BG1003" s="115"/>
      <c r="BH1003" s="115"/>
      <c r="BI1003" s="26">
        <v>45299</v>
      </c>
      <c r="BJ1003" s="13" t="s">
        <v>162</v>
      </c>
      <c r="BM1003" s="114"/>
    </row>
    <row r="1004" spans="39:65" x14ac:dyDescent="0.4">
      <c r="AM1004" s="115"/>
      <c r="AN1004" s="115"/>
      <c r="AO1004" s="115"/>
      <c r="AP1004" s="115"/>
      <c r="AQ1004" s="115"/>
      <c r="AR1004" s="122"/>
      <c r="AS1004" s="122"/>
      <c r="AT1004" s="122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115"/>
      <c r="BG1004" s="115"/>
      <c r="BH1004" s="115"/>
      <c r="BI1004" s="26">
        <v>45299</v>
      </c>
      <c r="BJ1004" s="15" t="s">
        <v>162</v>
      </c>
      <c r="BM1004" s="114"/>
    </row>
    <row r="1005" spans="39:65" x14ac:dyDescent="0.4">
      <c r="AM1005" s="115"/>
      <c r="AN1005" s="115"/>
      <c r="AO1005" s="115"/>
      <c r="AP1005" s="115"/>
      <c r="AQ1005" s="115"/>
      <c r="AR1005" s="122"/>
      <c r="AS1005" s="122"/>
      <c r="AT1005" s="122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115"/>
      <c r="BF1005" s="115"/>
      <c r="BG1005" s="115"/>
      <c r="BH1005" s="115" t="s">
        <v>173</v>
      </c>
      <c r="BI1005" s="17">
        <f>SUBTOTAL(3,BI1001:BI1004)</f>
        <v>4</v>
      </c>
      <c r="BJ1005" s="13">
        <f>SUBTOTAL(3,BJ1001:BJ1004)</f>
        <v>4</v>
      </c>
      <c r="BM1005" s="114"/>
    </row>
    <row r="1006" spans="39:65" x14ac:dyDescent="0.4">
      <c r="AM1006" s="115"/>
      <c r="AN1006" s="115"/>
      <c r="AO1006" s="115"/>
      <c r="AP1006" s="115"/>
      <c r="AQ1006" s="115"/>
      <c r="AR1006" s="122"/>
      <c r="AS1006" s="122"/>
      <c r="AT1006" s="122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115"/>
      <c r="BF1006" s="115"/>
      <c r="BG1006" s="115"/>
      <c r="BH1006" s="115" t="s">
        <v>145</v>
      </c>
      <c r="BI1006" s="17">
        <f>SUBTOTAL(3,BI2:BI1004)</f>
        <v>136</v>
      </c>
      <c r="BJ1006" s="13">
        <f>SUBTOTAL(3,BJ2:BJ1004)</f>
        <v>136</v>
      </c>
      <c r="BM1006" s="114"/>
    </row>
    <row r="1007" spans="39:65" x14ac:dyDescent="0.4">
      <c r="AM1007" s="115"/>
      <c r="AN1007" s="115"/>
      <c r="AO1007" s="115"/>
      <c r="AP1007" s="115"/>
      <c r="AQ1007" s="115"/>
      <c r="AR1007" s="122"/>
      <c r="AS1007" s="122"/>
      <c r="AT1007" s="122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115"/>
      <c r="BF1007" s="115" t="s">
        <v>145</v>
      </c>
      <c r="BG1007" s="115"/>
      <c r="BH1007" s="115"/>
      <c r="BI1007" s="26"/>
      <c r="BJ1007" s="13"/>
      <c r="BM1007" s="114"/>
    </row>
    <row r="1008" spans="39:65" x14ac:dyDescent="0.4">
      <c r="AM1008" s="115"/>
      <c r="AN1008" s="115"/>
      <c r="AO1008" s="115"/>
      <c r="AP1008" s="115"/>
      <c r="AQ1008" s="115"/>
      <c r="AR1008" s="122"/>
      <c r="AS1008" s="122"/>
      <c r="AT1008" s="122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115"/>
      <c r="BF1008" s="115"/>
      <c r="BG1008" s="115"/>
      <c r="BH1008" s="115"/>
      <c r="BI1008" s="17"/>
      <c r="BJ1008" s="13"/>
      <c r="BM1008" s="114"/>
    </row>
    <row r="1009" spans="39:65" x14ac:dyDescent="0.4">
      <c r="AM1009" s="115"/>
      <c r="AN1009" s="115"/>
      <c r="AO1009" s="115"/>
      <c r="AP1009" s="115"/>
      <c r="AQ1009" s="115"/>
      <c r="AR1009" s="122"/>
      <c r="AS1009" s="122"/>
      <c r="AT1009" s="122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115"/>
      <c r="BF1009" s="115"/>
      <c r="BG1009" s="115"/>
      <c r="BH1009" s="115"/>
      <c r="BI1009" s="26"/>
      <c r="BJ1009" s="13"/>
      <c r="BM1009" s="114"/>
    </row>
    <row r="1010" spans="39:65" x14ac:dyDescent="0.4">
      <c r="AM1010" s="115"/>
      <c r="AN1010" s="115"/>
      <c r="AO1010" s="115"/>
      <c r="AP1010" s="115"/>
      <c r="AQ1010" s="115"/>
      <c r="AR1010" s="122"/>
      <c r="AS1010" s="122"/>
      <c r="AT1010" s="122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115"/>
      <c r="BF1010" s="115"/>
      <c r="BG1010" s="115"/>
      <c r="BH1010" s="115"/>
      <c r="BI1010" s="17"/>
      <c r="BJ1010" s="13"/>
      <c r="BM1010" s="114"/>
    </row>
    <row r="1011" spans="39:65" x14ac:dyDescent="0.4">
      <c r="AM1011" s="115"/>
      <c r="AN1011" s="115"/>
      <c r="AO1011" s="115"/>
      <c r="AP1011" s="115"/>
      <c r="AQ1011" s="115"/>
      <c r="AR1011" s="122"/>
      <c r="AS1011" s="122"/>
      <c r="AT1011" s="122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115"/>
      <c r="BF1011" s="115"/>
      <c r="BG1011" s="115"/>
      <c r="BH1011" s="115"/>
      <c r="BI1011" s="26"/>
      <c r="BJ1011" s="13"/>
      <c r="BM1011" s="114"/>
    </row>
    <row r="1012" spans="39:65" x14ac:dyDescent="0.4">
      <c r="AM1012" s="115"/>
      <c r="AN1012" s="115"/>
      <c r="AO1012" s="115"/>
      <c r="AP1012" s="115"/>
      <c r="AQ1012" s="115"/>
      <c r="AR1012" s="122"/>
      <c r="AS1012" s="122"/>
      <c r="AT1012" s="122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15"/>
      <c r="BF1012" s="115"/>
      <c r="BG1012" s="115"/>
      <c r="BH1012" s="115"/>
      <c r="BI1012" s="26"/>
      <c r="BJ1012" s="13"/>
      <c r="BM1012" s="114"/>
    </row>
    <row r="1013" spans="39:65" x14ac:dyDescent="0.4">
      <c r="AM1013" s="115"/>
      <c r="AN1013" s="115"/>
      <c r="AO1013" s="115"/>
      <c r="AP1013" s="115"/>
      <c r="AQ1013" s="115"/>
      <c r="AR1013" s="122"/>
      <c r="AS1013" s="122"/>
      <c r="AT1013" s="122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115"/>
      <c r="BF1013" s="115"/>
      <c r="BG1013" s="115"/>
      <c r="BH1013" s="115"/>
      <c r="BI1013" s="26"/>
      <c r="BJ1013" s="13"/>
      <c r="BM1013" s="114"/>
    </row>
    <row r="1014" spans="39:65" x14ac:dyDescent="0.4">
      <c r="AM1014" s="115"/>
      <c r="AN1014" s="115"/>
      <c r="AO1014" s="115"/>
      <c r="AP1014" s="115"/>
      <c r="AQ1014" s="115"/>
      <c r="AR1014" s="122"/>
      <c r="AS1014" s="122"/>
      <c r="AT1014" s="122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115"/>
      <c r="BF1014" s="115"/>
      <c r="BG1014" s="115"/>
      <c r="BH1014" s="115"/>
      <c r="BI1014" s="17"/>
      <c r="BJ1014" s="13"/>
      <c r="BM1014" s="114"/>
    </row>
    <row r="1015" spans="39:65" x14ac:dyDescent="0.4">
      <c r="AM1015" s="115"/>
      <c r="AN1015" s="115"/>
      <c r="AO1015" s="115"/>
      <c r="AP1015" s="115"/>
      <c r="AQ1015" s="115"/>
      <c r="AR1015" s="122"/>
      <c r="AS1015" s="122"/>
      <c r="AT1015" s="122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115"/>
      <c r="BF1015" s="115"/>
      <c r="BG1015" s="115"/>
      <c r="BH1015" s="115"/>
      <c r="BI1015" s="26"/>
      <c r="BJ1015" s="13"/>
      <c r="BM1015" s="114"/>
    </row>
    <row r="1016" spans="39:65" x14ac:dyDescent="0.4">
      <c r="AM1016" s="115"/>
      <c r="AN1016" s="115"/>
      <c r="AO1016" s="115"/>
      <c r="AP1016" s="115"/>
      <c r="AQ1016" s="115"/>
      <c r="AR1016" s="122"/>
      <c r="AS1016" s="122"/>
      <c r="AT1016" s="122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115"/>
      <c r="BF1016" s="115"/>
      <c r="BG1016" s="115"/>
      <c r="BH1016" s="115"/>
      <c r="BI1016" s="17"/>
      <c r="BJ1016" s="13"/>
      <c r="BM1016" s="114"/>
    </row>
    <row r="1017" spans="39:65" x14ac:dyDescent="0.4">
      <c r="AM1017" s="115"/>
      <c r="AN1017" s="115"/>
      <c r="AO1017" s="115"/>
      <c r="AP1017" s="115"/>
      <c r="AQ1017" s="115"/>
      <c r="AR1017" s="122"/>
      <c r="AS1017" s="122"/>
      <c r="AT1017" s="122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115"/>
      <c r="BF1017" s="115"/>
      <c r="BG1017" s="115"/>
      <c r="BH1017" s="115"/>
      <c r="BI1017" s="26"/>
      <c r="BJ1017" s="13"/>
      <c r="BM1017" s="114"/>
    </row>
    <row r="1018" spans="39:65" x14ac:dyDescent="0.4">
      <c r="AM1018" s="115"/>
      <c r="AN1018" s="115"/>
      <c r="AO1018" s="115"/>
      <c r="AP1018" s="115"/>
      <c r="AQ1018" s="115"/>
      <c r="AR1018" s="122"/>
      <c r="AS1018" s="122"/>
      <c r="AT1018" s="122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115"/>
      <c r="BF1018" s="115"/>
      <c r="BG1018" s="115"/>
      <c r="BH1018" s="115"/>
      <c r="BI1018" s="17"/>
      <c r="BJ1018" s="13"/>
      <c r="BM1018" s="114"/>
    </row>
    <row r="1019" spans="39:65" x14ac:dyDescent="0.4">
      <c r="AM1019" s="115"/>
      <c r="AN1019" s="115"/>
      <c r="AO1019" s="115"/>
      <c r="AP1019" s="115"/>
      <c r="AQ1019" s="115"/>
      <c r="AR1019" s="122"/>
      <c r="AS1019" s="122"/>
      <c r="AT1019" s="122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115"/>
      <c r="BF1019" s="115"/>
      <c r="BG1019" s="115"/>
      <c r="BH1019" s="115"/>
      <c r="BI1019" s="17"/>
      <c r="BJ1019" s="13"/>
      <c r="BM1019" s="114"/>
    </row>
    <row r="1020" spans="39:65" x14ac:dyDescent="0.4">
      <c r="AM1020" s="115"/>
      <c r="AN1020" s="115"/>
      <c r="AO1020" s="115"/>
      <c r="AP1020" s="115"/>
      <c r="AQ1020" s="115"/>
      <c r="AR1020" s="122"/>
      <c r="AS1020" s="122"/>
      <c r="AT1020" s="122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115"/>
      <c r="BF1020" s="115"/>
      <c r="BG1020" s="115"/>
      <c r="BH1020" s="115"/>
      <c r="BI1020" s="17"/>
      <c r="BJ1020" s="13"/>
      <c r="BM1020" s="114"/>
    </row>
    <row r="1021" spans="39:65" x14ac:dyDescent="0.4">
      <c r="AM1021" s="115"/>
      <c r="AN1021" s="115"/>
      <c r="AO1021" s="115"/>
      <c r="AP1021" s="115"/>
      <c r="AQ1021" s="115"/>
      <c r="AR1021" s="122"/>
      <c r="AS1021" s="122"/>
      <c r="AT1021" s="122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15"/>
      <c r="BF1021" s="115"/>
      <c r="BG1021" s="115"/>
      <c r="BH1021" s="115"/>
      <c r="BI1021" s="26"/>
      <c r="BJ1021" s="13"/>
      <c r="BM1021" s="114"/>
    </row>
    <row r="1022" spans="39:65" x14ac:dyDescent="0.4">
      <c r="AM1022" s="115"/>
      <c r="AN1022" s="115"/>
      <c r="AO1022" s="115"/>
      <c r="AP1022" s="115"/>
      <c r="AQ1022" s="115"/>
      <c r="AR1022" s="122"/>
      <c r="AS1022" s="122"/>
      <c r="AT1022" s="122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115"/>
      <c r="BF1022" s="115"/>
      <c r="BG1022" s="115"/>
      <c r="BH1022" s="115"/>
      <c r="BI1022" s="17"/>
      <c r="BJ1022" s="13"/>
      <c r="BM1022" s="114"/>
    </row>
    <row r="1023" spans="39:65" x14ac:dyDescent="0.4">
      <c r="AM1023" s="115"/>
      <c r="AN1023" s="115"/>
      <c r="AO1023" s="115"/>
      <c r="AP1023" s="115"/>
      <c r="AQ1023" s="115"/>
      <c r="AR1023" s="122"/>
      <c r="AS1023" s="122"/>
      <c r="AT1023" s="122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115"/>
      <c r="BF1023" s="115"/>
      <c r="BG1023" s="115"/>
      <c r="BH1023" s="115"/>
      <c r="BI1023" s="26"/>
      <c r="BJ1023" s="13"/>
      <c r="BM1023" s="114"/>
    </row>
    <row r="1024" spans="39:65" x14ac:dyDescent="0.4">
      <c r="AM1024" s="115"/>
      <c r="AN1024" s="115"/>
      <c r="AO1024" s="115"/>
      <c r="AP1024" s="115"/>
      <c r="AQ1024" s="115"/>
      <c r="AR1024" s="122"/>
      <c r="AS1024" s="122"/>
      <c r="AT1024" s="122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15"/>
      <c r="BF1024" s="115"/>
      <c r="BG1024" s="115"/>
      <c r="BH1024" s="115"/>
      <c r="BI1024" s="17"/>
      <c r="BJ1024" s="13"/>
      <c r="BM1024" s="114"/>
    </row>
    <row r="1025" spans="39:65" x14ac:dyDescent="0.4">
      <c r="AM1025" s="115"/>
      <c r="AN1025" s="115"/>
      <c r="AO1025" s="115"/>
      <c r="AP1025" s="115"/>
      <c r="AQ1025" s="115"/>
      <c r="AR1025" s="122"/>
      <c r="AS1025" s="122"/>
      <c r="AT1025" s="122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115"/>
      <c r="BF1025" s="115"/>
      <c r="BG1025" s="115"/>
      <c r="BH1025" s="115"/>
      <c r="BI1025" s="26"/>
      <c r="BJ1025" s="25"/>
      <c r="BM1025" s="114"/>
    </row>
    <row r="1026" spans="39:65" x14ac:dyDescent="0.4">
      <c r="AM1026" s="115"/>
      <c r="AN1026" s="115"/>
      <c r="AO1026" s="115"/>
      <c r="AP1026" s="115"/>
      <c r="AQ1026" s="115"/>
      <c r="AR1026" s="122"/>
      <c r="AS1026" s="122"/>
      <c r="AT1026" s="122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115"/>
      <c r="BF1026" s="115"/>
      <c r="BG1026" s="115"/>
      <c r="BH1026" s="115"/>
      <c r="BI1026" s="17"/>
      <c r="BJ1026" s="13"/>
      <c r="BM1026" s="114"/>
    </row>
    <row r="1027" spans="39:65" x14ac:dyDescent="0.4">
      <c r="AM1027" s="115"/>
      <c r="AN1027" s="115"/>
      <c r="AO1027" s="115"/>
      <c r="AP1027" s="115"/>
      <c r="AQ1027" s="115"/>
      <c r="AR1027" s="122"/>
      <c r="AS1027" s="122"/>
      <c r="AT1027" s="122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15"/>
      <c r="BF1027" s="115"/>
      <c r="BG1027" s="115"/>
      <c r="BH1027" s="115"/>
      <c r="BI1027" s="17"/>
      <c r="BJ1027" s="13"/>
      <c r="BM1027" s="114"/>
    </row>
    <row r="1028" spans="39:65" x14ac:dyDescent="0.4">
      <c r="AM1028" s="115"/>
      <c r="AN1028" s="115"/>
      <c r="AO1028" s="115"/>
      <c r="AP1028" s="115"/>
      <c r="AQ1028" s="115"/>
      <c r="AR1028" s="122"/>
      <c r="AS1028" s="122"/>
      <c r="AT1028" s="122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15"/>
      <c r="BF1028" s="115"/>
      <c r="BG1028" s="115"/>
      <c r="BH1028" s="115"/>
      <c r="BI1028" s="26"/>
      <c r="BJ1028" s="15"/>
      <c r="BM1028" s="114"/>
    </row>
    <row r="1029" spans="39:65" x14ac:dyDescent="0.4">
      <c r="AM1029" s="115"/>
      <c r="AN1029" s="115"/>
      <c r="AO1029" s="115"/>
      <c r="AP1029" s="115"/>
      <c r="AQ1029" s="115"/>
      <c r="AR1029" s="122"/>
      <c r="AS1029" s="122"/>
      <c r="AT1029" s="122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115"/>
      <c r="BF1029" s="115"/>
      <c r="BG1029" s="115"/>
      <c r="BH1029" s="115"/>
      <c r="BI1029" s="26"/>
      <c r="BJ1029" s="15"/>
      <c r="BM1029" s="114"/>
    </row>
    <row r="1030" spans="39:65" x14ac:dyDescent="0.4">
      <c r="AM1030" s="115"/>
      <c r="AN1030" s="115"/>
      <c r="AO1030" s="115"/>
      <c r="AP1030" s="115"/>
      <c r="AQ1030" s="115"/>
      <c r="AR1030" s="122"/>
      <c r="AS1030" s="122"/>
      <c r="AT1030" s="122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115"/>
      <c r="BF1030" s="115"/>
      <c r="BG1030" s="115"/>
      <c r="BH1030" s="115"/>
      <c r="BI1030" s="26"/>
      <c r="BJ1030" s="15"/>
      <c r="BM1030" s="114"/>
    </row>
    <row r="1031" spans="39:65" x14ac:dyDescent="0.4">
      <c r="AM1031" s="115"/>
      <c r="AN1031" s="115"/>
      <c r="AO1031" s="115"/>
      <c r="AP1031" s="115"/>
      <c r="AQ1031" s="115"/>
      <c r="AR1031" s="122"/>
      <c r="AS1031" s="122"/>
      <c r="AT1031" s="122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15"/>
      <c r="BF1031" s="115"/>
      <c r="BG1031" s="115"/>
      <c r="BH1031" s="115"/>
      <c r="BI1031" s="26"/>
      <c r="BJ1031" s="15"/>
      <c r="BM1031" s="114"/>
    </row>
    <row r="1032" spans="39:65" x14ac:dyDescent="0.4">
      <c r="AM1032" s="115"/>
      <c r="AN1032" s="115"/>
      <c r="AO1032" s="115"/>
      <c r="AP1032" s="115"/>
      <c r="AQ1032" s="115"/>
      <c r="AR1032" s="122"/>
      <c r="AS1032" s="122"/>
      <c r="AT1032" s="122"/>
      <c r="AU1032" s="115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115"/>
      <c r="BF1032" s="115"/>
      <c r="BG1032" s="115"/>
      <c r="BH1032" s="115"/>
      <c r="BI1032" s="26"/>
      <c r="BJ1032" s="15"/>
      <c r="BM1032" s="114"/>
    </row>
    <row r="1033" spans="39:65" x14ac:dyDescent="0.4">
      <c r="AM1033" s="115"/>
      <c r="AN1033" s="115"/>
      <c r="AO1033" s="115"/>
      <c r="AP1033" s="115"/>
      <c r="AQ1033" s="115"/>
      <c r="AR1033" s="122"/>
      <c r="AS1033" s="122"/>
      <c r="AT1033" s="122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115"/>
      <c r="BF1033" s="115"/>
      <c r="BG1033" s="115"/>
      <c r="BH1033" s="115"/>
      <c r="BI1033" s="26"/>
      <c r="BJ1033" s="15"/>
      <c r="BM1033" s="114"/>
    </row>
    <row r="1034" spans="39:65" x14ac:dyDescent="0.4">
      <c r="AM1034" s="115"/>
      <c r="AN1034" s="115"/>
      <c r="AO1034" s="115"/>
      <c r="AP1034" s="115"/>
      <c r="AQ1034" s="115"/>
      <c r="AR1034" s="122"/>
      <c r="AS1034" s="122"/>
      <c r="AT1034" s="122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115"/>
      <c r="BF1034" s="115"/>
      <c r="BG1034" s="115"/>
      <c r="BH1034" s="115"/>
      <c r="BI1034" s="26"/>
      <c r="BJ1034" s="15"/>
      <c r="BM1034" s="114"/>
    </row>
    <row r="1035" spans="39:65" x14ac:dyDescent="0.4">
      <c r="AM1035" s="115"/>
      <c r="AN1035" s="115"/>
      <c r="AO1035" s="115"/>
      <c r="AP1035" s="115"/>
      <c r="AQ1035" s="115"/>
      <c r="AR1035" s="122"/>
      <c r="AS1035" s="122"/>
      <c r="AT1035" s="122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115"/>
      <c r="BF1035" s="115"/>
      <c r="BG1035" s="115"/>
      <c r="BH1035" s="115"/>
      <c r="BI1035" s="26"/>
      <c r="BJ1035" s="15"/>
      <c r="BM1035" s="114"/>
    </row>
    <row r="1036" spans="39:65" x14ac:dyDescent="0.4">
      <c r="AM1036" s="115"/>
      <c r="AN1036" s="115"/>
      <c r="AO1036" s="115"/>
      <c r="AP1036" s="115"/>
      <c r="AQ1036" s="115"/>
      <c r="AR1036" s="122"/>
      <c r="AS1036" s="122"/>
      <c r="AT1036" s="122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115"/>
      <c r="BF1036" s="115"/>
      <c r="BG1036" s="115"/>
      <c r="BH1036" s="115"/>
      <c r="BI1036" s="17"/>
      <c r="BJ1036" s="15"/>
      <c r="BM1036" s="114"/>
    </row>
    <row r="1037" spans="39:65" x14ac:dyDescent="0.4">
      <c r="AM1037" s="115"/>
      <c r="AN1037" s="115"/>
      <c r="AO1037" s="115"/>
      <c r="AP1037" s="115"/>
      <c r="AQ1037" s="115"/>
      <c r="AR1037" s="122"/>
      <c r="AS1037" s="122"/>
      <c r="AT1037" s="122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115"/>
      <c r="BF1037" s="115"/>
      <c r="BG1037" s="115"/>
      <c r="BH1037" s="115"/>
      <c r="BI1037" s="26"/>
      <c r="BJ1037" s="15"/>
      <c r="BM1037" s="114"/>
    </row>
    <row r="1038" spans="39:65" x14ac:dyDescent="0.4">
      <c r="AM1038" s="115"/>
      <c r="AN1038" s="115"/>
      <c r="AO1038" s="115"/>
      <c r="AP1038" s="115"/>
      <c r="AQ1038" s="115"/>
      <c r="AR1038" s="122"/>
      <c r="AS1038" s="122"/>
      <c r="AT1038" s="122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115"/>
      <c r="BF1038" s="115"/>
      <c r="BG1038" s="115"/>
      <c r="BH1038" s="115"/>
      <c r="BI1038" s="26"/>
      <c r="BJ1038" s="13"/>
      <c r="BM1038" s="114"/>
    </row>
    <row r="1039" spans="39:65" x14ac:dyDescent="0.4">
      <c r="AM1039" s="115"/>
      <c r="AN1039" s="115"/>
      <c r="AO1039" s="115"/>
      <c r="AP1039" s="115"/>
      <c r="AQ1039" s="115"/>
      <c r="AR1039" s="122"/>
      <c r="AS1039" s="122"/>
      <c r="AT1039" s="122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115"/>
      <c r="BF1039" s="115"/>
      <c r="BG1039" s="115"/>
      <c r="BH1039" s="115"/>
      <c r="BI1039" s="26"/>
      <c r="BJ1039" s="13"/>
      <c r="BM1039" s="114"/>
    </row>
    <row r="1040" spans="39:65" x14ac:dyDescent="0.4">
      <c r="AM1040" s="115"/>
      <c r="AN1040" s="115"/>
      <c r="AO1040" s="115"/>
      <c r="AP1040" s="115"/>
      <c r="AQ1040" s="115"/>
      <c r="AR1040" s="122"/>
      <c r="AS1040" s="122"/>
      <c r="AT1040" s="122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115"/>
      <c r="BF1040" s="115"/>
      <c r="BG1040" s="115"/>
      <c r="BH1040" s="115"/>
      <c r="BI1040" s="26"/>
      <c r="BJ1040" s="13"/>
      <c r="BM1040" s="114"/>
    </row>
    <row r="1041" spans="39:65" x14ac:dyDescent="0.4">
      <c r="AM1041" s="115"/>
      <c r="AN1041" s="115"/>
      <c r="AO1041" s="115"/>
      <c r="AP1041" s="115"/>
      <c r="AQ1041" s="115"/>
      <c r="AR1041" s="122"/>
      <c r="AS1041" s="122"/>
      <c r="AT1041" s="122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115"/>
      <c r="BF1041" s="115"/>
      <c r="BG1041" s="115"/>
      <c r="BH1041" s="115"/>
      <c r="BI1041" s="26"/>
      <c r="BJ1041" s="13"/>
      <c r="BM1041" s="114"/>
    </row>
    <row r="1042" spans="39:65" x14ac:dyDescent="0.4">
      <c r="AM1042" s="115"/>
      <c r="AN1042" s="115"/>
      <c r="AO1042" s="115"/>
      <c r="AP1042" s="115"/>
      <c r="AQ1042" s="115"/>
      <c r="AR1042" s="122"/>
      <c r="AS1042" s="122"/>
      <c r="AT1042" s="122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115"/>
      <c r="BF1042" s="115"/>
      <c r="BG1042" s="115"/>
      <c r="BH1042" s="115"/>
      <c r="BI1042" s="26"/>
      <c r="BJ1042" s="13"/>
      <c r="BM1042" s="114"/>
    </row>
    <row r="1043" spans="39:65" x14ac:dyDescent="0.4">
      <c r="AM1043" s="115"/>
      <c r="AN1043" s="115"/>
      <c r="AO1043" s="115"/>
      <c r="AP1043" s="115"/>
      <c r="AQ1043" s="115"/>
      <c r="AR1043" s="122"/>
      <c r="AS1043" s="122"/>
      <c r="AT1043" s="122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115"/>
      <c r="BF1043" s="115"/>
      <c r="BG1043" s="115"/>
      <c r="BH1043" s="115"/>
      <c r="BI1043" s="26"/>
      <c r="BJ1043" s="13"/>
      <c r="BM1043" s="114"/>
    </row>
    <row r="1044" spans="39:65" x14ac:dyDescent="0.4">
      <c r="AM1044" s="115"/>
      <c r="AN1044" s="115"/>
      <c r="AO1044" s="115"/>
      <c r="AP1044" s="115"/>
      <c r="AQ1044" s="115"/>
      <c r="AR1044" s="122"/>
      <c r="AS1044" s="122"/>
      <c r="AT1044" s="122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115"/>
      <c r="BF1044" s="115"/>
      <c r="BG1044" s="115"/>
      <c r="BH1044" s="115"/>
      <c r="BI1044" s="26"/>
      <c r="BJ1044" s="13"/>
      <c r="BM1044" s="114"/>
    </row>
    <row r="1045" spans="39:65" x14ac:dyDescent="0.4">
      <c r="AM1045" s="115"/>
      <c r="AN1045" s="115"/>
      <c r="AO1045" s="115"/>
      <c r="AP1045" s="115"/>
      <c r="AQ1045" s="115"/>
      <c r="AR1045" s="122"/>
      <c r="AS1045" s="122"/>
      <c r="AT1045" s="122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115"/>
      <c r="BF1045" s="115"/>
      <c r="BG1045" s="115"/>
      <c r="BH1045" s="115"/>
      <c r="BI1045" s="26"/>
      <c r="BJ1045" s="13"/>
      <c r="BM1045" s="114"/>
    </row>
    <row r="1046" spans="39:65" x14ac:dyDescent="0.4">
      <c r="AM1046" s="115"/>
      <c r="AN1046" s="115"/>
      <c r="AO1046" s="115"/>
      <c r="AP1046" s="115"/>
      <c r="AQ1046" s="115"/>
      <c r="AR1046" s="122"/>
      <c r="AS1046" s="122"/>
      <c r="AT1046" s="122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115"/>
      <c r="BG1046" s="115"/>
      <c r="BH1046" s="115"/>
      <c r="BI1046" s="26"/>
      <c r="BJ1046" s="13"/>
      <c r="BM1046" s="114"/>
    </row>
    <row r="1047" spans="39:65" x14ac:dyDescent="0.4">
      <c r="AM1047" s="115"/>
      <c r="AN1047" s="115"/>
      <c r="AO1047" s="115"/>
      <c r="AP1047" s="115"/>
      <c r="AQ1047" s="115"/>
      <c r="AR1047" s="122"/>
      <c r="AS1047" s="122"/>
      <c r="AT1047" s="122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115"/>
      <c r="BF1047" s="115"/>
      <c r="BG1047" s="115"/>
      <c r="BH1047" s="115"/>
      <c r="BI1047" s="26"/>
      <c r="BJ1047" s="13"/>
      <c r="BM1047" s="114"/>
    </row>
    <row r="1048" spans="39:65" x14ac:dyDescent="0.4">
      <c r="AM1048" s="115"/>
      <c r="AN1048" s="115"/>
      <c r="AO1048" s="115"/>
      <c r="AP1048" s="115"/>
      <c r="AQ1048" s="115"/>
      <c r="AR1048" s="122"/>
      <c r="AS1048" s="122"/>
      <c r="AT1048" s="122"/>
      <c r="AU1048" s="115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115"/>
      <c r="BF1048" s="115"/>
      <c r="BG1048" s="115"/>
      <c r="BH1048" s="115"/>
      <c r="BI1048" s="26"/>
      <c r="BJ1048" s="13"/>
      <c r="BM1048" s="114"/>
    </row>
    <row r="1049" spans="39:65" x14ac:dyDescent="0.4">
      <c r="AM1049" s="115"/>
      <c r="AN1049" s="115"/>
      <c r="AO1049" s="115"/>
      <c r="AP1049" s="115"/>
      <c r="AQ1049" s="115"/>
      <c r="AR1049" s="122"/>
      <c r="AS1049" s="122"/>
      <c r="AT1049" s="122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115"/>
      <c r="BF1049" s="115"/>
      <c r="BG1049" s="115"/>
      <c r="BH1049" s="115"/>
      <c r="BI1049" s="17"/>
      <c r="BJ1049" s="13"/>
      <c r="BM1049" s="114"/>
    </row>
    <row r="1050" spans="39:65" x14ac:dyDescent="0.4">
      <c r="AM1050" s="115"/>
      <c r="AN1050" s="115"/>
      <c r="AO1050" s="115"/>
      <c r="AP1050" s="115"/>
      <c r="AQ1050" s="115"/>
      <c r="AR1050" s="122"/>
      <c r="AS1050" s="122"/>
      <c r="AT1050" s="122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115"/>
      <c r="BF1050" s="115"/>
      <c r="BG1050" s="115"/>
      <c r="BH1050" s="115"/>
      <c r="BI1050" s="26"/>
      <c r="BJ1050" s="13"/>
      <c r="BM1050" s="114"/>
    </row>
    <row r="1051" spans="39:65" x14ac:dyDescent="0.4">
      <c r="AM1051" s="115"/>
      <c r="AN1051" s="115"/>
      <c r="AO1051" s="115"/>
      <c r="AP1051" s="115"/>
      <c r="AQ1051" s="115"/>
      <c r="AR1051" s="122"/>
      <c r="AS1051" s="122"/>
      <c r="AT1051" s="122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115"/>
      <c r="BF1051" s="115"/>
      <c r="BG1051" s="115"/>
      <c r="BH1051" s="115"/>
      <c r="BI1051" s="26"/>
      <c r="BJ1051" s="13"/>
      <c r="BM1051" s="114"/>
    </row>
    <row r="1052" spans="39:65" x14ac:dyDescent="0.4">
      <c r="AM1052" s="115"/>
      <c r="AN1052" s="115"/>
      <c r="AO1052" s="115"/>
      <c r="AP1052" s="115"/>
      <c r="AQ1052" s="115"/>
      <c r="AR1052" s="122"/>
      <c r="AS1052" s="122"/>
      <c r="AT1052" s="122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115"/>
      <c r="BF1052" s="115"/>
      <c r="BG1052" s="115"/>
      <c r="BH1052" s="115"/>
      <c r="BI1052" s="26"/>
      <c r="BJ1052" s="13"/>
      <c r="BM1052" s="114"/>
    </row>
    <row r="1053" spans="39:65" x14ac:dyDescent="0.4">
      <c r="AM1053" s="115"/>
      <c r="AN1053" s="115"/>
      <c r="AO1053" s="115"/>
      <c r="AP1053" s="115"/>
      <c r="AQ1053" s="115"/>
      <c r="AR1053" s="122"/>
      <c r="AS1053" s="122"/>
      <c r="AT1053" s="122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115"/>
      <c r="BF1053" s="115"/>
      <c r="BG1053" s="115"/>
      <c r="BH1053" s="115"/>
      <c r="BI1053" s="17"/>
      <c r="BJ1053" s="13"/>
      <c r="BM1053" s="114"/>
    </row>
    <row r="1054" spans="39:65" x14ac:dyDescent="0.4">
      <c r="AM1054" s="115"/>
      <c r="AN1054" s="115"/>
      <c r="AO1054" s="115"/>
      <c r="AP1054" s="115"/>
      <c r="AQ1054" s="115"/>
      <c r="AR1054" s="122"/>
      <c r="AS1054" s="122"/>
      <c r="AT1054" s="122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115"/>
      <c r="BF1054" s="115"/>
      <c r="BG1054" s="115"/>
      <c r="BH1054" s="115"/>
      <c r="BI1054" s="26"/>
      <c r="BJ1054" s="13"/>
      <c r="BM1054" s="114"/>
    </row>
    <row r="1055" spans="39:65" x14ac:dyDescent="0.4">
      <c r="AM1055" s="115"/>
      <c r="AN1055" s="115"/>
      <c r="AO1055" s="115"/>
      <c r="AP1055" s="115"/>
      <c r="AQ1055" s="115"/>
      <c r="AR1055" s="122"/>
      <c r="AS1055" s="122"/>
      <c r="AT1055" s="122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115"/>
      <c r="BF1055" s="115"/>
      <c r="BG1055" s="115"/>
      <c r="BH1055" s="115"/>
      <c r="BI1055" s="17"/>
      <c r="BJ1055" s="13"/>
      <c r="BM1055" s="114"/>
    </row>
    <row r="1056" spans="39:65" x14ac:dyDescent="0.4">
      <c r="AM1056" s="115"/>
      <c r="AN1056" s="115"/>
      <c r="AO1056" s="115"/>
      <c r="AP1056" s="115"/>
      <c r="AQ1056" s="115"/>
      <c r="AR1056" s="122"/>
      <c r="AS1056" s="122"/>
      <c r="AT1056" s="122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115"/>
      <c r="BF1056" s="115"/>
      <c r="BG1056" s="115"/>
      <c r="BH1056" s="115"/>
      <c r="BI1056" s="26"/>
      <c r="BJ1056" s="13"/>
      <c r="BM1056" s="114"/>
    </row>
    <row r="1057" spans="38:65" x14ac:dyDescent="0.4">
      <c r="AM1057" s="115"/>
      <c r="AN1057" s="115"/>
      <c r="AO1057" s="115"/>
      <c r="AP1057" s="115"/>
      <c r="AQ1057" s="115"/>
      <c r="AR1057" s="122"/>
      <c r="AS1057" s="122"/>
      <c r="AT1057" s="122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115"/>
      <c r="BF1057" s="115"/>
      <c r="BG1057" s="115"/>
      <c r="BH1057" s="115"/>
      <c r="BI1057" s="26"/>
      <c r="BJ1057" s="15"/>
      <c r="BM1057" s="114"/>
    </row>
    <row r="1058" spans="38:65" x14ac:dyDescent="0.4">
      <c r="AM1058" s="115"/>
      <c r="AN1058" s="115"/>
      <c r="AO1058" s="115"/>
      <c r="AP1058" s="115"/>
      <c r="AQ1058" s="115"/>
      <c r="AR1058" s="122"/>
      <c r="AS1058" s="122"/>
      <c r="AT1058" s="122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15"/>
      <c r="BF1058" s="115"/>
      <c r="BG1058" s="115"/>
      <c r="BH1058" s="115"/>
      <c r="BI1058" s="17"/>
      <c r="BJ1058" s="15"/>
      <c r="BM1058" s="114"/>
    </row>
    <row r="1059" spans="38:65" x14ac:dyDescent="0.4">
      <c r="AM1059" s="115"/>
      <c r="AN1059" s="115"/>
      <c r="AO1059" s="115"/>
      <c r="AP1059" s="115"/>
      <c r="AQ1059" s="115"/>
      <c r="AR1059" s="122"/>
      <c r="AS1059" s="122"/>
      <c r="AT1059" s="122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115"/>
      <c r="BF1059" s="115"/>
      <c r="BG1059" s="115"/>
      <c r="BH1059" s="115"/>
      <c r="BI1059" s="17"/>
      <c r="BJ1059" s="15"/>
      <c r="BM1059" s="114"/>
    </row>
    <row r="1060" spans="38:65" x14ac:dyDescent="0.4">
      <c r="AL1060" s="115"/>
      <c r="AM1060" s="115"/>
      <c r="AN1060" s="115"/>
      <c r="AO1060" s="115"/>
      <c r="AP1060" s="115"/>
      <c r="AQ1060" s="115"/>
      <c r="AR1060" s="122"/>
      <c r="AS1060" s="122"/>
      <c r="AT1060" s="122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115"/>
      <c r="BF1060" s="115"/>
      <c r="BG1060" s="115"/>
      <c r="BH1060" s="115"/>
      <c r="BI1060" s="26"/>
      <c r="BJ1060" s="15"/>
      <c r="BM1060" s="114"/>
    </row>
    <row r="1061" spans="38:65" x14ac:dyDescent="0.4">
      <c r="AL1061" s="115"/>
      <c r="AM1061" s="115"/>
      <c r="AN1061" s="115"/>
      <c r="AO1061" s="115"/>
      <c r="AP1061" s="115"/>
      <c r="AQ1061" s="115"/>
      <c r="AR1061" s="122"/>
      <c r="AS1061" s="122"/>
      <c r="AT1061" s="122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115"/>
      <c r="BF1061" s="115"/>
      <c r="BG1061" s="115"/>
      <c r="BH1061" s="115"/>
      <c r="BI1061" s="17"/>
      <c r="BJ1061" s="15"/>
      <c r="BM1061" s="114"/>
    </row>
    <row r="1062" spans="38:65" x14ac:dyDescent="0.4">
      <c r="AL1062" s="115"/>
      <c r="AM1062" s="115"/>
      <c r="AN1062" s="115"/>
      <c r="AO1062" s="115"/>
      <c r="AP1062" s="115"/>
      <c r="AQ1062" s="115"/>
      <c r="AR1062" s="122"/>
      <c r="AS1062" s="122"/>
      <c r="AT1062" s="122"/>
      <c r="AU1062" s="115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115"/>
      <c r="BF1062" s="115"/>
      <c r="BG1062" s="115"/>
      <c r="BH1062" s="115"/>
      <c r="BI1062" s="26"/>
      <c r="BJ1062" s="15"/>
      <c r="BM1062" s="114"/>
    </row>
    <row r="1063" spans="38:65" x14ac:dyDescent="0.4">
      <c r="AL1063" s="115"/>
      <c r="AM1063" s="115"/>
      <c r="AN1063" s="115"/>
      <c r="AO1063" s="115"/>
      <c r="AP1063" s="115"/>
      <c r="AQ1063" s="115"/>
      <c r="AR1063" s="122"/>
      <c r="AS1063" s="122"/>
      <c r="AT1063" s="122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115"/>
      <c r="BF1063" s="115"/>
      <c r="BG1063" s="115"/>
      <c r="BH1063" s="115"/>
      <c r="BI1063" s="26"/>
      <c r="BJ1063" s="15"/>
      <c r="BM1063" s="114"/>
    </row>
    <row r="1064" spans="38:65" x14ac:dyDescent="0.4">
      <c r="AL1064" s="115"/>
      <c r="AM1064" s="115"/>
      <c r="AN1064" s="115"/>
      <c r="AO1064" s="115"/>
      <c r="AP1064" s="115"/>
      <c r="AQ1064" s="115"/>
      <c r="AR1064" s="122"/>
      <c r="AS1064" s="122"/>
      <c r="AT1064" s="122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115"/>
      <c r="BF1064" s="115"/>
      <c r="BG1064" s="115"/>
      <c r="BH1064" s="115"/>
      <c r="BI1064" s="17"/>
      <c r="BJ1064" s="15"/>
      <c r="BM1064" s="114"/>
    </row>
    <row r="1065" spans="38:65" x14ac:dyDescent="0.4">
      <c r="AL1065" s="115"/>
      <c r="AM1065" s="115"/>
      <c r="AN1065" s="115"/>
      <c r="AO1065" s="115"/>
      <c r="AP1065" s="115"/>
      <c r="AQ1065" s="115"/>
      <c r="AR1065" s="122"/>
      <c r="AS1065" s="122"/>
      <c r="AT1065" s="122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115"/>
      <c r="BF1065" s="115"/>
      <c r="BG1065" s="115"/>
      <c r="BH1065" s="115"/>
      <c r="BI1065" s="26"/>
      <c r="BJ1065" s="15"/>
      <c r="BM1065" s="114"/>
    </row>
    <row r="1066" spans="38:65" x14ac:dyDescent="0.4">
      <c r="AL1066" s="115"/>
      <c r="AM1066" s="115"/>
      <c r="AN1066" s="115"/>
      <c r="AO1066" s="115"/>
      <c r="AP1066" s="115"/>
      <c r="AQ1066" s="115"/>
      <c r="AR1066" s="122"/>
      <c r="AS1066" s="122"/>
      <c r="AT1066" s="122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15"/>
      <c r="BF1066" s="115"/>
      <c r="BG1066" s="115"/>
      <c r="BH1066" s="115"/>
      <c r="BI1066" s="17"/>
      <c r="BJ1066" s="15"/>
      <c r="BM1066" s="114"/>
    </row>
    <row r="1067" spans="38:65" x14ac:dyDescent="0.4">
      <c r="AL1067" s="115"/>
      <c r="AM1067" s="115"/>
      <c r="AN1067" s="115"/>
      <c r="AO1067" s="115"/>
      <c r="AP1067" s="115"/>
      <c r="AQ1067" s="115"/>
      <c r="AR1067" s="122"/>
      <c r="AS1067" s="122"/>
      <c r="AT1067" s="122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115"/>
      <c r="BF1067" s="115"/>
      <c r="BG1067" s="115"/>
      <c r="BH1067" s="115"/>
      <c r="BI1067" s="17"/>
      <c r="BJ1067" s="15"/>
      <c r="BM1067" s="114"/>
    </row>
    <row r="1068" spans="38:65" x14ac:dyDescent="0.4">
      <c r="AL1068" s="115"/>
      <c r="AM1068" s="115"/>
      <c r="AN1068" s="115"/>
      <c r="AO1068" s="115"/>
      <c r="AP1068" s="115"/>
      <c r="AQ1068" s="115"/>
      <c r="AR1068" s="122"/>
      <c r="AS1068" s="122"/>
      <c r="AT1068" s="122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115"/>
      <c r="BF1068" s="115"/>
      <c r="BG1068" s="115"/>
      <c r="BH1068" s="115"/>
      <c r="BI1068" s="26"/>
      <c r="BJ1068" s="15"/>
      <c r="BM1068" s="114"/>
    </row>
    <row r="1069" spans="38:65" x14ac:dyDescent="0.4">
      <c r="AL1069" s="115"/>
      <c r="AM1069" s="115"/>
      <c r="AN1069" s="115"/>
      <c r="AO1069" s="115"/>
      <c r="AP1069" s="115"/>
      <c r="AQ1069" s="115"/>
      <c r="AR1069" s="122"/>
      <c r="AS1069" s="122"/>
      <c r="AT1069" s="122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115"/>
      <c r="BF1069" s="115"/>
      <c r="BG1069" s="115"/>
      <c r="BH1069" s="115"/>
      <c r="BI1069" s="26"/>
      <c r="BJ1069" s="15"/>
      <c r="BM1069" s="114"/>
    </row>
    <row r="1070" spans="38:65" x14ac:dyDescent="0.4">
      <c r="AL1070" s="115"/>
      <c r="AM1070" s="115"/>
      <c r="AN1070" s="115"/>
      <c r="AO1070" s="115"/>
      <c r="AP1070" s="115"/>
      <c r="AQ1070" s="115"/>
      <c r="AR1070" s="122"/>
      <c r="AS1070" s="122"/>
      <c r="AT1070" s="122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115"/>
      <c r="BF1070" s="115"/>
      <c r="BG1070" s="115"/>
      <c r="BH1070" s="115"/>
      <c r="BI1070" s="26"/>
      <c r="BJ1070" s="15"/>
      <c r="BM1070" s="114"/>
    </row>
    <row r="1071" spans="38:65" x14ac:dyDescent="0.4">
      <c r="AL1071" s="115"/>
      <c r="AM1071" s="115"/>
      <c r="AN1071" s="115"/>
      <c r="AO1071" s="115"/>
      <c r="AP1071" s="115"/>
      <c r="AQ1071" s="115"/>
      <c r="AR1071" s="122"/>
      <c r="AS1071" s="122"/>
      <c r="AT1071" s="122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115"/>
      <c r="BF1071" s="115"/>
      <c r="BG1071" s="115"/>
      <c r="BH1071" s="115"/>
      <c r="BI1071" s="26"/>
      <c r="BJ1071" s="15"/>
      <c r="BM1071" s="114"/>
    </row>
    <row r="1072" spans="38:65" x14ac:dyDescent="0.4">
      <c r="AL1072" s="115"/>
      <c r="AM1072" s="115"/>
      <c r="AN1072" s="115"/>
      <c r="AO1072" s="115"/>
      <c r="AP1072" s="115"/>
      <c r="AQ1072" s="115"/>
      <c r="AR1072" s="122"/>
      <c r="AS1072" s="122"/>
      <c r="AT1072" s="122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115"/>
      <c r="BF1072" s="115"/>
      <c r="BG1072" s="115"/>
      <c r="BH1072" s="115"/>
      <c r="BI1072" s="26"/>
      <c r="BJ1072" s="15"/>
      <c r="BM1072" s="114"/>
    </row>
    <row r="1073" spans="38:65" x14ac:dyDescent="0.4">
      <c r="AL1073" s="115"/>
      <c r="AM1073" s="115"/>
      <c r="AN1073" s="115"/>
      <c r="AO1073" s="115"/>
      <c r="AP1073" s="115"/>
      <c r="AQ1073" s="115"/>
      <c r="AR1073" s="122"/>
      <c r="AS1073" s="122"/>
      <c r="AT1073" s="122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115"/>
      <c r="BF1073" s="115"/>
      <c r="BG1073" s="115"/>
      <c r="BH1073" s="115"/>
      <c r="BI1073" s="26"/>
      <c r="BJ1073" s="15"/>
      <c r="BM1073" s="114"/>
    </row>
    <row r="1074" spans="38:65" x14ac:dyDescent="0.4">
      <c r="AL1074" s="115"/>
      <c r="AM1074" s="115"/>
      <c r="AN1074" s="115"/>
      <c r="AO1074" s="115"/>
      <c r="AP1074" s="115"/>
      <c r="AQ1074" s="115"/>
      <c r="AR1074" s="122"/>
      <c r="AS1074" s="122"/>
      <c r="AT1074" s="122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15"/>
      <c r="BF1074" s="115"/>
      <c r="BG1074" s="115"/>
      <c r="BH1074" s="115"/>
      <c r="BI1074" s="26"/>
      <c r="BJ1074" s="15"/>
      <c r="BM1074" s="114"/>
    </row>
    <row r="1075" spans="38:65" x14ac:dyDescent="0.4">
      <c r="AL1075" s="115"/>
      <c r="AM1075" s="115"/>
      <c r="AN1075" s="115"/>
      <c r="AO1075" s="115"/>
      <c r="AP1075" s="115"/>
      <c r="AQ1075" s="115"/>
      <c r="AR1075" s="122"/>
      <c r="AS1075" s="122"/>
      <c r="AT1075" s="122"/>
      <c r="AU1075" s="115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115"/>
      <c r="BF1075" s="115"/>
      <c r="BG1075" s="115"/>
      <c r="BH1075" s="115"/>
      <c r="BI1075" s="17"/>
      <c r="BJ1075" s="15"/>
      <c r="BM1075" s="114"/>
    </row>
    <row r="1076" spans="38:65" x14ac:dyDescent="0.4">
      <c r="AL1076" s="115"/>
      <c r="AM1076" s="115"/>
      <c r="AN1076" s="115"/>
      <c r="AO1076" s="115"/>
      <c r="AP1076" s="115"/>
      <c r="AQ1076" s="115"/>
      <c r="AR1076" s="122"/>
      <c r="AS1076" s="122"/>
      <c r="AT1076" s="122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115"/>
      <c r="BF1076" s="115"/>
      <c r="BG1076" s="115"/>
      <c r="BH1076" s="115"/>
      <c r="BI1076" s="26"/>
      <c r="BJ1076" s="15"/>
      <c r="BM1076" s="114"/>
    </row>
    <row r="1077" spans="38:65" x14ac:dyDescent="0.4">
      <c r="AL1077" s="115"/>
      <c r="AM1077" s="115"/>
      <c r="AN1077" s="115"/>
      <c r="AO1077" s="115"/>
      <c r="AP1077" s="115"/>
      <c r="AQ1077" s="115"/>
      <c r="AR1077" s="122"/>
      <c r="AS1077" s="122"/>
      <c r="AT1077" s="122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115"/>
      <c r="BF1077" s="115"/>
      <c r="BG1077" s="115"/>
      <c r="BH1077" s="115"/>
      <c r="BI1077" s="26"/>
      <c r="BJ1077" s="15"/>
      <c r="BM1077" s="114"/>
    </row>
    <row r="1078" spans="38:65" x14ac:dyDescent="0.4">
      <c r="AL1078" s="115"/>
      <c r="AM1078" s="115"/>
      <c r="AN1078" s="115"/>
      <c r="AO1078" s="115"/>
      <c r="AP1078" s="115"/>
      <c r="AQ1078" s="115"/>
      <c r="AR1078" s="122"/>
      <c r="AS1078" s="122"/>
      <c r="AT1078" s="122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115"/>
      <c r="BF1078" s="115"/>
      <c r="BG1078" s="115"/>
      <c r="BH1078" s="115"/>
      <c r="BI1078" s="26"/>
      <c r="BJ1078" s="15"/>
      <c r="BM1078" s="114"/>
    </row>
    <row r="1079" spans="38:65" x14ac:dyDescent="0.4">
      <c r="AL1079" s="115"/>
      <c r="AM1079" s="115"/>
      <c r="AN1079" s="115"/>
      <c r="AO1079" s="115"/>
      <c r="AP1079" s="115"/>
      <c r="AQ1079" s="115"/>
      <c r="AR1079" s="122"/>
      <c r="AS1079" s="122"/>
      <c r="AT1079" s="122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115"/>
      <c r="BF1079" s="115"/>
      <c r="BG1079" s="115"/>
      <c r="BH1079" s="115"/>
      <c r="BI1079" s="26"/>
      <c r="BJ1079" s="13"/>
      <c r="BM1079" s="114"/>
    </row>
    <row r="1080" spans="38:65" x14ac:dyDescent="0.4">
      <c r="AL1080" s="115"/>
      <c r="AM1080" s="115"/>
      <c r="AN1080" s="115"/>
      <c r="AO1080" s="115"/>
      <c r="AP1080" s="115"/>
      <c r="AQ1080" s="115"/>
      <c r="AR1080" s="122"/>
      <c r="AS1080" s="122"/>
      <c r="AT1080" s="122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115"/>
      <c r="BF1080" s="115"/>
      <c r="BG1080" s="115"/>
      <c r="BH1080" s="115"/>
      <c r="BI1080" s="17"/>
      <c r="BJ1080" s="13"/>
      <c r="BM1080" s="114"/>
    </row>
    <row r="1081" spans="38:65" x14ac:dyDescent="0.4">
      <c r="AL1081" s="115"/>
      <c r="AM1081" s="115"/>
      <c r="AN1081" s="115"/>
      <c r="AO1081" s="115"/>
      <c r="AP1081" s="115"/>
      <c r="AQ1081" s="115"/>
      <c r="AR1081" s="122"/>
      <c r="AS1081" s="122"/>
      <c r="AT1081" s="122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115"/>
      <c r="BF1081" s="115"/>
      <c r="BG1081" s="115"/>
      <c r="BH1081" s="115"/>
      <c r="BI1081" s="26"/>
      <c r="BJ1081" s="13"/>
      <c r="BM1081" s="114"/>
    </row>
    <row r="1082" spans="38:65" x14ac:dyDescent="0.4">
      <c r="AL1082" s="115"/>
      <c r="AM1082" s="115"/>
      <c r="AN1082" s="115"/>
      <c r="AO1082" s="115"/>
      <c r="AP1082" s="115"/>
      <c r="AQ1082" s="115"/>
      <c r="AR1082" s="122"/>
      <c r="AS1082" s="122"/>
      <c r="AT1082" s="122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15"/>
      <c r="BF1082" s="115"/>
      <c r="BG1082" s="115"/>
      <c r="BH1082" s="115"/>
      <c r="BI1082" s="26"/>
      <c r="BJ1082" s="13"/>
      <c r="BM1082" s="114"/>
    </row>
    <row r="1083" spans="38:65" x14ac:dyDescent="0.4">
      <c r="AL1083" s="115"/>
      <c r="AM1083" s="115"/>
      <c r="AN1083" s="115"/>
      <c r="AO1083" s="115"/>
      <c r="AP1083" s="115"/>
      <c r="AQ1083" s="115"/>
      <c r="AR1083" s="122"/>
      <c r="AS1083" s="122"/>
      <c r="AT1083" s="122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115"/>
      <c r="BF1083" s="115"/>
      <c r="BG1083" s="115"/>
      <c r="BH1083" s="115"/>
      <c r="BI1083" s="26"/>
      <c r="BJ1083" s="13"/>
      <c r="BM1083" s="114"/>
    </row>
    <row r="1084" spans="38:65" x14ac:dyDescent="0.4">
      <c r="AL1084" s="115"/>
      <c r="AM1084" s="115"/>
      <c r="AN1084" s="115"/>
      <c r="AO1084" s="115"/>
      <c r="AP1084" s="115"/>
      <c r="AQ1084" s="115"/>
      <c r="AR1084" s="122"/>
      <c r="AS1084" s="122"/>
      <c r="AT1084" s="122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115"/>
      <c r="BF1084" s="115"/>
      <c r="BG1084" s="115"/>
      <c r="BH1084" s="115"/>
      <c r="BI1084" s="26"/>
      <c r="BJ1084" s="13"/>
      <c r="BM1084" s="114"/>
    </row>
    <row r="1085" spans="38:65" x14ac:dyDescent="0.4">
      <c r="AL1085" s="115"/>
      <c r="AM1085" s="115"/>
      <c r="AN1085" s="115"/>
      <c r="AO1085" s="115"/>
      <c r="AP1085" s="115"/>
      <c r="AQ1085" s="115"/>
      <c r="AR1085" s="122"/>
      <c r="AS1085" s="122"/>
      <c r="AT1085" s="122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115"/>
      <c r="BF1085" s="115"/>
      <c r="BG1085" s="115"/>
      <c r="BH1085" s="115"/>
      <c r="BI1085" s="26"/>
      <c r="BJ1085" s="13"/>
      <c r="BM1085" s="114"/>
    </row>
    <row r="1086" spans="38:65" x14ac:dyDescent="0.4">
      <c r="AL1086" s="115"/>
      <c r="AM1086" s="115"/>
      <c r="AN1086" s="115"/>
      <c r="AO1086" s="115"/>
      <c r="AP1086" s="115"/>
      <c r="AQ1086" s="115"/>
      <c r="AR1086" s="122"/>
      <c r="AS1086" s="122"/>
      <c r="AT1086" s="122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115"/>
      <c r="BF1086" s="115"/>
      <c r="BG1086" s="115"/>
      <c r="BH1086" s="115"/>
      <c r="BI1086" s="26"/>
      <c r="BJ1086" s="13"/>
      <c r="BM1086" s="114"/>
    </row>
    <row r="1087" spans="38:65" x14ac:dyDescent="0.4">
      <c r="AL1087" s="115"/>
      <c r="AM1087" s="115"/>
      <c r="AN1087" s="115"/>
      <c r="AO1087" s="115"/>
      <c r="AP1087" s="115"/>
      <c r="AQ1087" s="115"/>
      <c r="AR1087" s="122"/>
      <c r="AS1087" s="122"/>
      <c r="AT1087" s="122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115"/>
      <c r="BF1087" s="115"/>
      <c r="BG1087" s="115"/>
      <c r="BH1087" s="115"/>
      <c r="BI1087" s="17"/>
      <c r="BJ1087" s="13"/>
      <c r="BM1087" s="114"/>
    </row>
    <row r="1088" spans="38:65" x14ac:dyDescent="0.4">
      <c r="AL1088" s="115"/>
      <c r="AM1088" s="115"/>
      <c r="AN1088" s="115"/>
      <c r="AO1088" s="115"/>
      <c r="AP1088" s="115"/>
      <c r="AQ1088" s="115"/>
      <c r="AR1088" s="122"/>
      <c r="AS1088" s="122"/>
      <c r="AT1088" s="122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115"/>
      <c r="BF1088" s="115"/>
      <c r="BG1088" s="115"/>
      <c r="BH1088" s="115"/>
      <c r="BI1088" s="26"/>
      <c r="BJ1088" s="13"/>
      <c r="BM1088" s="114"/>
    </row>
    <row r="1089" spans="5:65" x14ac:dyDescent="0.4">
      <c r="AL1089" s="115"/>
      <c r="AM1089" s="115"/>
      <c r="AN1089" s="115"/>
      <c r="AO1089" s="115"/>
      <c r="AP1089" s="115"/>
      <c r="AQ1089" s="115"/>
      <c r="AR1089" s="122"/>
      <c r="AS1089" s="122"/>
      <c r="AT1089" s="122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115"/>
      <c r="BF1089" s="115"/>
      <c r="BG1089" s="115"/>
      <c r="BH1089" s="115"/>
      <c r="BI1089" s="26"/>
      <c r="BJ1089" s="13"/>
      <c r="BM1089" s="114"/>
    </row>
    <row r="1090" spans="5:65" x14ac:dyDescent="0.4"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22"/>
      <c r="AS1090" s="122"/>
      <c r="AT1090" s="122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115"/>
      <c r="BF1090" s="115"/>
      <c r="BG1090" s="115"/>
      <c r="BH1090" s="115"/>
      <c r="BI1090" s="26"/>
      <c r="BJ1090" s="13"/>
      <c r="BM1090" s="114"/>
    </row>
    <row r="1091" spans="5:65" x14ac:dyDescent="0.4"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22"/>
      <c r="AS1091" s="122"/>
      <c r="AT1091" s="122"/>
      <c r="AU1091" s="115"/>
      <c r="AV1091" s="115"/>
      <c r="AW1091" s="115"/>
      <c r="AX1091" s="115"/>
      <c r="AY1091" s="115"/>
      <c r="AZ1091" s="115"/>
      <c r="BA1091" s="115"/>
      <c r="BB1091" s="115"/>
      <c r="BC1091" s="115"/>
      <c r="BD1091" s="115"/>
      <c r="BE1091" s="115"/>
      <c r="BF1091" s="115"/>
      <c r="BG1091" s="115"/>
      <c r="BH1091" s="115"/>
      <c r="BI1091" s="26"/>
      <c r="BJ1091" s="13"/>
      <c r="BM1091" s="114"/>
    </row>
    <row r="1092" spans="5:65" x14ac:dyDescent="0.4"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22"/>
      <c r="AS1092" s="122"/>
      <c r="AT1092" s="122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115"/>
      <c r="BF1092" s="115"/>
      <c r="BG1092" s="115"/>
      <c r="BH1092" s="115"/>
      <c r="BI1092" s="26"/>
      <c r="BJ1092" s="13"/>
      <c r="BM1092" s="114"/>
    </row>
    <row r="1093" spans="5:65" x14ac:dyDescent="0.4"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22"/>
      <c r="AS1093" s="122"/>
      <c r="AT1093" s="122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15"/>
      <c r="BF1093" s="115"/>
      <c r="BG1093" s="115"/>
      <c r="BH1093" s="115"/>
      <c r="BI1093" s="26"/>
      <c r="BJ1093" s="13"/>
      <c r="BM1093" s="114"/>
    </row>
    <row r="1094" spans="5:65" x14ac:dyDescent="0.4"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22"/>
      <c r="AS1094" s="122"/>
      <c r="AT1094" s="122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115"/>
      <c r="BF1094" s="115"/>
      <c r="BG1094" s="115"/>
      <c r="BH1094" s="115"/>
      <c r="BI1094" s="26"/>
      <c r="BJ1094" s="13"/>
      <c r="BM1094" s="114"/>
    </row>
    <row r="1095" spans="5:65" x14ac:dyDescent="0.4"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22"/>
      <c r="AS1095" s="122"/>
      <c r="AT1095" s="122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15"/>
      <c r="BF1095" s="115"/>
      <c r="BG1095" s="115"/>
      <c r="BH1095" s="115"/>
      <c r="BI1095" s="26"/>
      <c r="BJ1095" s="13"/>
      <c r="BM1095" s="114"/>
    </row>
    <row r="1096" spans="5:65" x14ac:dyDescent="0.4"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22"/>
      <c r="AS1096" s="122"/>
      <c r="AT1096" s="122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115"/>
      <c r="BF1096" s="115"/>
      <c r="BG1096" s="115"/>
      <c r="BH1096" s="115"/>
      <c r="BI1096" s="26"/>
      <c r="BJ1096" s="13"/>
      <c r="BM1096" s="114"/>
    </row>
    <row r="1097" spans="5:65" x14ac:dyDescent="0.4"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22"/>
      <c r="AS1097" s="122"/>
      <c r="AT1097" s="122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115"/>
      <c r="BF1097" s="115"/>
      <c r="BG1097" s="115"/>
      <c r="BH1097" s="115"/>
      <c r="BI1097" s="26"/>
      <c r="BJ1097" s="13"/>
      <c r="BM1097" s="114"/>
    </row>
    <row r="1098" spans="5:65" x14ac:dyDescent="0.4"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22"/>
      <c r="AS1098" s="122"/>
      <c r="AT1098" s="122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115"/>
      <c r="BF1098" s="115"/>
      <c r="BG1098" s="115"/>
      <c r="BH1098" s="115"/>
      <c r="BI1098" s="26"/>
      <c r="BJ1098" s="13"/>
      <c r="BM1098" s="114"/>
    </row>
    <row r="1099" spans="5:65" x14ac:dyDescent="0.4"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22"/>
      <c r="AS1099" s="122"/>
      <c r="AT1099" s="122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115"/>
      <c r="BF1099" s="115"/>
      <c r="BG1099" s="115"/>
      <c r="BH1099" s="115"/>
      <c r="BI1099" s="26"/>
      <c r="BJ1099" s="13"/>
      <c r="BM1099" s="114"/>
    </row>
    <row r="1100" spans="5:65" x14ac:dyDescent="0.4"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22"/>
      <c r="AS1100" s="122"/>
      <c r="AT1100" s="122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115"/>
      <c r="BF1100" s="115"/>
      <c r="BG1100" s="115"/>
      <c r="BH1100" s="115"/>
      <c r="BI1100" s="26"/>
      <c r="BJ1100" s="13"/>
      <c r="BM1100" s="114"/>
    </row>
    <row r="1101" spans="5:65" x14ac:dyDescent="0.4"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22"/>
      <c r="AS1101" s="122"/>
      <c r="AT1101" s="122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115"/>
      <c r="BF1101" s="115"/>
      <c r="BG1101" s="115"/>
      <c r="BH1101" s="115"/>
      <c r="BI1101" s="26"/>
      <c r="BJ1101" s="13"/>
      <c r="BM1101" s="114"/>
    </row>
    <row r="1102" spans="5:65" x14ac:dyDescent="0.4"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22"/>
      <c r="AS1102" s="122"/>
      <c r="AT1102" s="122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15"/>
      <c r="BF1102" s="115"/>
      <c r="BG1102" s="115"/>
      <c r="BH1102" s="115"/>
      <c r="BI1102" s="26"/>
      <c r="BJ1102" s="13"/>
      <c r="BM1102" s="114"/>
    </row>
    <row r="1103" spans="5:65" x14ac:dyDescent="0.4"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22"/>
      <c r="AS1103" s="122"/>
      <c r="AT1103" s="122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15"/>
      <c r="BF1103" s="115"/>
      <c r="BG1103" s="115"/>
      <c r="BH1103" s="115"/>
      <c r="BI1103" s="26"/>
      <c r="BJ1103" s="13"/>
      <c r="BM1103" s="114"/>
    </row>
    <row r="1104" spans="5:65" x14ac:dyDescent="0.4"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22"/>
      <c r="AS1104" s="122"/>
      <c r="AT1104" s="122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115"/>
      <c r="BF1104" s="115"/>
      <c r="BG1104" s="115"/>
      <c r="BH1104" s="115"/>
      <c r="BI1104" s="26"/>
      <c r="BJ1104" s="13"/>
      <c r="BM1104" s="114"/>
    </row>
    <row r="1105" spans="3:65" x14ac:dyDescent="0.4"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22"/>
      <c r="AS1105" s="122"/>
      <c r="AT1105" s="122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115"/>
      <c r="BF1105" s="115"/>
      <c r="BG1105" s="115"/>
      <c r="BH1105" s="115"/>
      <c r="BI1105" s="26"/>
      <c r="BJ1105" s="13"/>
      <c r="BM1105" s="114"/>
    </row>
    <row r="1106" spans="3:65" x14ac:dyDescent="0.4"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22"/>
      <c r="AS1106" s="122"/>
      <c r="AT1106" s="122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115"/>
      <c r="BF1106" s="115"/>
      <c r="BG1106" s="115"/>
      <c r="BH1106" s="115"/>
      <c r="BI1106" s="17"/>
      <c r="BJ1106" s="13"/>
      <c r="BM1106" s="114"/>
    </row>
    <row r="1107" spans="3:65" x14ac:dyDescent="0.4"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22"/>
      <c r="AS1107" s="122"/>
      <c r="AT1107" s="122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115"/>
      <c r="BF1107" s="115"/>
      <c r="BG1107" s="115"/>
      <c r="BH1107" s="115"/>
      <c r="BI1107" s="26"/>
      <c r="BJ1107" s="13"/>
      <c r="BM1107" s="114"/>
    </row>
    <row r="1108" spans="3:65" x14ac:dyDescent="0.4"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22"/>
      <c r="AS1108" s="122"/>
      <c r="AT1108" s="122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115"/>
      <c r="BF1108" s="115"/>
      <c r="BG1108" s="115"/>
      <c r="BH1108" s="115"/>
      <c r="BI1108" s="26"/>
      <c r="BJ1108" s="13"/>
      <c r="BM1108" s="114"/>
    </row>
    <row r="1109" spans="3:65" x14ac:dyDescent="0.4"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22"/>
      <c r="AS1109" s="122"/>
      <c r="AT1109" s="122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115"/>
      <c r="BF1109" s="115"/>
      <c r="BG1109" s="115"/>
      <c r="BH1109" s="115"/>
      <c r="BI1109" s="26"/>
      <c r="BJ1109" s="13"/>
      <c r="BM1109" s="114"/>
    </row>
    <row r="1110" spans="3:65" x14ac:dyDescent="0.4"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22"/>
      <c r="AS1110" s="122"/>
      <c r="AT1110" s="122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115"/>
      <c r="BF1110" s="115"/>
      <c r="BG1110" s="115"/>
      <c r="BH1110" s="115"/>
      <c r="BI1110" s="26"/>
      <c r="BJ1110" s="15"/>
      <c r="BM1110" s="114"/>
    </row>
    <row r="1111" spans="3:65" x14ac:dyDescent="0.4"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22"/>
      <c r="AS1111" s="122"/>
      <c r="AT1111" s="122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15"/>
      <c r="BG1111" s="115"/>
      <c r="BH1111" s="115"/>
      <c r="BI1111" s="26"/>
      <c r="BJ1111" s="15"/>
      <c r="BM1111" s="114"/>
    </row>
    <row r="1112" spans="3:65" x14ac:dyDescent="0.4"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22"/>
      <c r="AS1112" s="122"/>
      <c r="AT1112" s="122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115"/>
      <c r="BG1112" s="115"/>
      <c r="BH1112" s="115"/>
      <c r="BI1112" s="26"/>
      <c r="BJ1112" s="15"/>
      <c r="BM1112" s="114"/>
    </row>
    <row r="1113" spans="3:65" x14ac:dyDescent="0.4"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22"/>
      <c r="AS1113" s="122"/>
      <c r="AT1113" s="122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115"/>
      <c r="BG1113" s="115"/>
      <c r="BH1113" s="115"/>
      <c r="BI1113" s="26"/>
      <c r="BJ1113" s="13"/>
      <c r="BM1113" s="114"/>
    </row>
    <row r="1114" spans="3:65" x14ac:dyDescent="0.4"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22"/>
      <c r="AS1114" s="122"/>
      <c r="AT1114" s="122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115"/>
      <c r="BG1114" s="115"/>
      <c r="BH1114" s="115"/>
      <c r="BI1114" s="26"/>
      <c r="BJ1114" s="13"/>
      <c r="BM1114" s="114"/>
    </row>
    <row r="1115" spans="3:65" x14ac:dyDescent="0.4"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22"/>
      <c r="AS1115" s="122"/>
      <c r="AT1115" s="122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115"/>
      <c r="BG1115" s="115"/>
      <c r="BH1115" s="115"/>
      <c r="BI1115" s="26"/>
      <c r="BJ1115" s="13"/>
      <c r="BM1115" s="114"/>
    </row>
    <row r="1116" spans="3:65" x14ac:dyDescent="0.4"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22"/>
      <c r="AS1116" s="122"/>
      <c r="AT1116" s="122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115"/>
      <c r="BG1116" s="115"/>
      <c r="BH1116" s="115"/>
      <c r="BI1116" s="17"/>
      <c r="BJ1116" s="13"/>
      <c r="BM1116" s="114"/>
    </row>
    <row r="1117" spans="3:65" x14ac:dyDescent="0.4"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22"/>
      <c r="AS1117" s="122"/>
      <c r="AT1117" s="122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115"/>
      <c r="BG1117" s="115"/>
      <c r="BH1117" s="115"/>
      <c r="BI1117" s="26"/>
      <c r="BJ1117" s="13"/>
      <c r="BM1117" s="114"/>
    </row>
    <row r="1118" spans="3:65" x14ac:dyDescent="0.4"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22"/>
      <c r="AS1118" s="122"/>
      <c r="AT1118" s="122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115"/>
      <c r="BF1118" s="115"/>
      <c r="BG1118" s="115"/>
      <c r="BH1118" s="115"/>
      <c r="BI1118" s="26"/>
      <c r="BJ1118" s="25"/>
      <c r="BM1118" s="114"/>
    </row>
    <row r="1119" spans="3:65" x14ac:dyDescent="0.4"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22"/>
      <c r="AS1119" s="122"/>
      <c r="AT1119" s="122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115"/>
      <c r="BG1119" s="115"/>
      <c r="BH1119" s="115"/>
      <c r="BI1119" s="26"/>
      <c r="BJ1119" s="13"/>
      <c r="BM1119" s="114"/>
    </row>
    <row r="1120" spans="3:65" x14ac:dyDescent="0.4"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22"/>
      <c r="AS1120" s="122"/>
      <c r="AT1120" s="122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15"/>
      <c r="BG1120" s="115"/>
      <c r="BH1120" s="115"/>
      <c r="BI1120" s="26"/>
      <c r="BJ1120" s="13"/>
      <c r="BM1120" s="114"/>
    </row>
    <row r="1121" spans="1:65" x14ac:dyDescent="0.4"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15"/>
      <c r="AR1121" s="122"/>
      <c r="AS1121" s="122"/>
      <c r="AT1121" s="122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115"/>
      <c r="BG1121" s="115"/>
      <c r="BH1121" s="115"/>
      <c r="BI1121" s="26"/>
      <c r="BJ1121" s="13"/>
      <c r="BM1121" s="114"/>
    </row>
    <row r="1122" spans="1:65" x14ac:dyDescent="0.4"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22"/>
      <c r="AS1122" s="122"/>
      <c r="AT1122" s="122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15"/>
      <c r="BG1122" s="115"/>
      <c r="BH1122" s="115"/>
      <c r="BI1122" s="26"/>
      <c r="BJ1122" s="13"/>
      <c r="BM1122" s="114"/>
    </row>
    <row r="1123" spans="1:65" x14ac:dyDescent="0.4"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22"/>
      <c r="AS1123" s="122"/>
      <c r="AT1123" s="122"/>
      <c r="AU1123" s="115"/>
      <c r="AV1123" s="115"/>
      <c r="AW1123" s="115"/>
      <c r="AX1123" s="115"/>
      <c r="BI1123" s="26"/>
      <c r="BJ1123" s="13"/>
      <c r="BM1123" s="114"/>
    </row>
    <row r="1124" spans="1:65" x14ac:dyDescent="0.4"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22"/>
      <c r="AS1124" s="122"/>
      <c r="AT1124" s="122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15"/>
      <c r="BG1124" s="115"/>
      <c r="BH1124" s="115"/>
      <c r="BI1124" s="26"/>
      <c r="BJ1124" s="13"/>
      <c r="BM1124" s="114"/>
    </row>
    <row r="1125" spans="1:65" x14ac:dyDescent="0.4"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22"/>
      <c r="AS1125" s="122"/>
      <c r="AT1125" s="122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115"/>
      <c r="BG1125" s="115"/>
      <c r="BH1125" s="115"/>
      <c r="BI1125" s="17"/>
      <c r="BJ1125" s="13"/>
      <c r="BM1125" s="114"/>
    </row>
    <row r="1126" spans="1:65" x14ac:dyDescent="0.4"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22"/>
      <c r="AS1126" s="122"/>
      <c r="AT1126" s="122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115"/>
      <c r="BG1126" s="115"/>
      <c r="BH1126" s="115"/>
      <c r="BI1126" s="26"/>
      <c r="BJ1126" s="13"/>
      <c r="BM1126" s="114"/>
    </row>
    <row r="1127" spans="1:65" x14ac:dyDescent="0.4"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22"/>
      <c r="AS1127" s="122"/>
      <c r="AT1127" s="122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15"/>
      <c r="BG1127" s="115"/>
      <c r="BH1127" s="115"/>
      <c r="BI1127" s="26"/>
      <c r="BJ1127" s="15"/>
      <c r="BM1127" s="114"/>
    </row>
    <row r="1128" spans="1:65" x14ac:dyDescent="0.4"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22"/>
      <c r="AS1128" s="122"/>
      <c r="AT1128" s="122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115"/>
      <c r="BG1128" s="115"/>
      <c r="BH1128" s="115"/>
      <c r="BI1128" s="17"/>
      <c r="BJ1128" s="15"/>
      <c r="BM1128" s="114"/>
    </row>
    <row r="1129" spans="1:65" x14ac:dyDescent="0.4"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22"/>
      <c r="AS1129" s="122"/>
      <c r="AT1129" s="122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115"/>
      <c r="BG1129" s="115"/>
      <c r="BH1129" s="115"/>
      <c r="BI1129" s="26"/>
      <c r="BJ1129" s="15"/>
      <c r="BM1129" s="114"/>
    </row>
    <row r="1130" spans="1:65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22"/>
      <c r="AS1130" s="122"/>
      <c r="AT1130" s="122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115"/>
      <c r="BG1130" s="115"/>
      <c r="BH1130" s="115"/>
      <c r="BI1130" s="26"/>
      <c r="BJ1130" s="15"/>
      <c r="BM1130" s="114"/>
    </row>
    <row r="1131" spans="1:65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22"/>
      <c r="AS1131" s="122"/>
      <c r="AT1131" s="122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15"/>
      <c r="BG1131" s="115"/>
      <c r="BH1131" s="115"/>
      <c r="BI1131" s="17"/>
      <c r="BJ1131" s="13"/>
      <c r="BM1131" s="114"/>
    </row>
    <row r="1132" spans="1:65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22"/>
      <c r="AS1132" s="122"/>
      <c r="AT1132" s="122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15"/>
      <c r="BG1132" s="115"/>
      <c r="BH1132" s="115"/>
      <c r="BI1132" s="17"/>
      <c r="BJ1132" s="13"/>
      <c r="BM1132" s="114"/>
    </row>
    <row r="1133" spans="1:65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22"/>
      <c r="AS1133" s="122"/>
      <c r="AT1133" s="122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115"/>
      <c r="BG1133" s="115"/>
      <c r="BH1133" s="115"/>
      <c r="BI1133" s="26"/>
      <c r="BJ1133" s="13"/>
      <c r="BM1133" s="114"/>
    </row>
    <row r="1134" spans="1:65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22"/>
      <c r="AS1134" s="122"/>
      <c r="AT1134" s="122"/>
      <c r="AU1134" s="115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115"/>
      <c r="BG1134" s="115"/>
      <c r="BH1134" s="115"/>
      <c r="BI1134" s="26"/>
      <c r="BJ1134" s="13"/>
      <c r="BM1134" s="114"/>
    </row>
    <row r="1135" spans="1:65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22"/>
      <c r="AS1135" s="122"/>
      <c r="AT1135" s="122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115"/>
      <c r="BG1135" s="115"/>
      <c r="BH1135" s="115"/>
      <c r="BI1135" s="17"/>
      <c r="BJ1135" s="13"/>
      <c r="BM1135" s="114"/>
    </row>
    <row r="1136" spans="1:65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22"/>
      <c r="AS1136" s="122"/>
      <c r="AT1136" s="122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115"/>
      <c r="BG1136" s="115"/>
      <c r="BH1136" s="115"/>
      <c r="BI1136" s="26"/>
      <c r="BJ1136" s="15"/>
      <c r="BM1136" s="114"/>
    </row>
    <row r="1137" spans="1:65" x14ac:dyDescent="0.4">
      <c r="A1137" s="115"/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22"/>
      <c r="AS1137" s="122"/>
      <c r="AT1137" s="122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115"/>
      <c r="BG1137" s="115"/>
      <c r="BH1137" s="115"/>
      <c r="BI1137" s="26"/>
      <c r="BJ1137" s="15"/>
      <c r="BM1137" s="114"/>
    </row>
    <row r="1138" spans="1:65" x14ac:dyDescent="0.4">
      <c r="A1138" s="115"/>
      <c r="B1138" s="115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22"/>
      <c r="AS1138" s="122"/>
      <c r="AT1138" s="122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115"/>
      <c r="BG1138" s="115"/>
      <c r="BH1138" s="115"/>
      <c r="BI1138" s="26"/>
      <c r="BJ1138" s="15"/>
      <c r="BM1138" s="114"/>
    </row>
    <row r="1139" spans="1:65" x14ac:dyDescent="0.4">
      <c r="A1139" s="115"/>
      <c r="B1139" s="115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22"/>
      <c r="AS1139" s="122"/>
      <c r="AT1139" s="122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115"/>
      <c r="BG1139" s="115"/>
      <c r="BH1139" s="115"/>
      <c r="BI1139" s="26"/>
      <c r="BJ1139" s="13"/>
      <c r="BM1139" s="114"/>
    </row>
    <row r="1140" spans="1:65" x14ac:dyDescent="0.4">
      <c r="A1140" s="115"/>
      <c r="B1140" s="115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22"/>
      <c r="AS1140" s="122"/>
      <c r="AT1140" s="122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115"/>
      <c r="BE1140" s="115"/>
      <c r="BF1140" s="115"/>
      <c r="BG1140" s="115"/>
      <c r="BH1140" s="115"/>
      <c r="BI1140" s="26"/>
      <c r="BJ1140" s="25"/>
      <c r="BM1140" s="114"/>
    </row>
    <row r="1141" spans="1:65" x14ac:dyDescent="0.4">
      <c r="A1141" s="115"/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22"/>
      <c r="AS1141" s="122"/>
      <c r="AT1141" s="122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115"/>
      <c r="BF1141" s="115"/>
      <c r="BG1141" s="115"/>
      <c r="BH1141" s="115"/>
      <c r="BI1141" s="26"/>
      <c r="BJ1141" s="13"/>
      <c r="BM1141" s="114"/>
    </row>
    <row r="1142" spans="1:65" x14ac:dyDescent="0.4">
      <c r="A1142" s="115"/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22"/>
      <c r="AS1142" s="122"/>
      <c r="AT1142" s="122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115"/>
      <c r="BG1142" s="115"/>
      <c r="BH1142" s="115"/>
      <c r="BI1142" s="26"/>
      <c r="BJ1142" s="13"/>
      <c r="BM1142" s="114"/>
    </row>
    <row r="1143" spans="1:65" x14ac:dyDescent="0.4">
      <c r="A1143" s="115"/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22"/>
      <c r="AS1143" s="122"/>
      <c r="AT1143" s="122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115"/>
      <c r="BG1143" s="115"/>
      <c r="BH1143" s="115"/>
      <c r="BI1143" s="26"/>
      <c r="BJ1143" s="13"/>
      <c r="BM1143" s="114"/>
    </row>
    <row r="1144" spans="1:65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22"/>
      <c r="AS1144" s="122"/>
      <c r="AT1144" s="122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115"/>
      <c r="BG1144" s="115"/>
      <c r="BH1144" s="115"/>
      <c r="BI1144" s="26"/>
      <c r="BJ1144" s="13"/>
      <c r="BM1144" s="114"/>
    </row>
    <row r="1145" spans="1:65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22"/>
      <c r="AS1145" s="122"/>
      <c r="AT1145" s="122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15"/>
      <c r="BG1145" s="115"/>
      <c r="BH1145" s="115"/>
      <c r="BI1145" s="26"/>
      <c r="BJ1145" s="13"/>
      <c r="BM1145" s="114"/>
    </row>
    <row r="1146" spans="1:65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22"/>
      <c r="AS1146" s="122"/>
      <c r="AT1146" s="122"/>
      <c r="AU1146" s="115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115"/>
      <c r="BG1146" s="115"/>
      <c r="BH1146" s="115"/>
      <c r="BI1146" s="26"/>
      <c r="BJ1146" s="13"/>
      <c r="BM1146" s="114"/>
    </row>
    <row r="1147" spans="1:65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22"/>
      <c r="AS1147" s="122"/>
      <c r="AT1147" s="122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115"/>
      <c r="BG1147" s="115"/>
      <c r="BH1147" s="115"/>
      <c r="BI1147" s="26"/>
      <c r="BJ1147" s="13"/>
      <c r="BM1147" s="114"/>
    </row>
    <row r="1148" spans="1:65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22"/>
      <c r="AS1148" s="122"/>
      <c r="AT1148" s="122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115"/>
      <c r="BG1148" s="115"/>
      <c r="BH1148" s="115"/>
      <c r="BI1148" s="26"/>
      <c r="BJ1148" s="13"/>
      <c r="BM1148" s="114"/>
    </row>
    <row r="1149" spans="1:65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22"/>
      <c r="AS1149" s="122"/>
      <c r="AT1149" s="122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115"/>
      <c r="BG1149" s="115"/>
      <c r="BH1149" s="115"/>
      <c r="BI1149" s="26"/>
      <c r="BJ1149" s="13"/>
      <c r="BM1149" s="114"/>
    </row>
    <row r="1150" spans="1:65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22"/>
      <c r="AS1150" s="122"/>
      <c r="AT1150" s="122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115"/>
      <c r="BG1150" s="115"/>
      <c r="BH1150" s="115"/>
      <c r="BI1150" s="26"/>
      <c r="BJ1150" s="13"/>
      <c r="BM1150" s="114"/>
    </row>
    <row r="1151" spans="1:65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22"/>
      <c r="AS1151" s="122"/>
      <c r="AT1151" s="122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115"/>
      <c r="BG1151" s="115"/>
      <c r="BH1151" s="115"/>
      <c r="BI1151" s="26"/>
      <c r="BJ1151" s="15"/>
      <c r="BM1151" s="114"/>
    </row>
    <row r="1152" spans="1:65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22"/>
      <c r="AS1152" s="122"/>
      <c r="AT1152" s="122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15"/>
      <c r="BG1152" s="115"/>
      <c r="BH1152" s="115"/>
      <c r="BI1152" s="26"/>
      <c r="BJ1152" s="15"/>
      <c r="BM1152" s="114"/>
    </row>
    <row r="1153" spans="1:65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22"/>
      <c r="AS1153" s="122"/>
      <c r="AT1153" s="122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115"/>
      <c r="BG1153" s="115"/>
      <c r="BH1153" s="115"/>
      <c r="BI1153" s="26"/>
      <c r="BJ1153" s="15"/>
      <c r="BM1153" s="114"/>
    </row>
    <row r="1154" spans="1:65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22"/>
      <c r="AS1154" s="122"/>
      <c r="AT1154" s="122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115"/>
      <c r="BG1154" s="115"/>
      <c r="BH1154" s="115"/>
      <c r="BI1154" s="26"/>
      <c r="BJ1154" s="15"/>
      <c r="BM1154" s="114"/>
    </row>
    <row r="1155" spans="1:65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22"/>
      <c r="AS1155" s="122"/>
      <c r="AT1155" s="122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115"/>
      <c r="BG1155" s="115"/>
      <c r="BH1155" s="115"/>
      <c r="BI1155" s="26"/>
      <c r="BJ1155" s="13"/>
      <c r="BM1155" s="114"/>
    </row>
    <row r="1156" spans="1:65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22"/>
      <c r="AS1156" s="122"/>
      <c r="AT1156" s="122"/>
      <c r="AU1156" s="115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115"/>
      <c r="BG1156" s="115"/>
      <c r="BH1156" s="115"/>
      <c r="BI1156" s="26"/>
      <c r="BJ1156" s="15"/>
      <c r="BM1156" s="114"/>
    </row>
    <row r="1157" spans="1:65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22"/>
      <c r="AS1157" s="122"/>
      <c r="AT1157" s="122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115"/>
      <c r="BG1157" s="115"/>
      <c r="BH1157" s="115"/>
      <c r="BI1157" s="26"/>
      <c r="BJ1157" s="15"/>
      <c r="BM1157" s="114"/>
    </row>
    <row r="1158" spans="1:65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22"/>
      <c r="AS1158" s="122"/>
      <c r="AT1158" s="122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15"/>
      <c r="BG1158" s="115"/>
      <c r="BH1158" s="115"/>
      <c r="BI1158" s="26"/>
      <c r="BJ1158" s="15"/>
      <c r="BM1158" s="114"/>
    </row>
    <row r="1159" spans="1:65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22"/>
      <c r="AS1159" s="122"/>
      <c r="AT1159" s="122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115"/>
      <c r="BG1159" s="115"/>
      <c r="BH1159" s="115"/>
      <c r="BI1159" s="26"/>
      <c r="BJ1159" s="15"/>
      <c r="BM1159" s="114"/>
    </row>
    <row r="1160" spans="1:65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22"/>
      <c r="AS1160" s="122"/>
      <c r="AT1160" s="122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115"/>
      <c r="BG1160" s="115"/>
      <c r="BH1160" s="115"/>
      <c r="BI1160" s="26"/>
      <c r="BJ1160" s="15"/>
      <c r="BM1160" s="114"/>
    </row>
    <row r="1161" spans="1:65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22"/>
      <c r="AS1161" s="122"/>
      <c r="AT1161" s="122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15"/>
      <c r="BG1161" s="115"/>
      <c r="BH1161" s="115"/>
      <c r="BI1161" s="26"/>
      <c r="BJ1161" s="105"/>
      <c r="BM1161" s="114"/>
    </row>
    <row r="1162" spans="1:65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22"/>
      <c r="AS1162" s="122"/>
      <c r="AT1162" s="122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115"/>
      <c r="BG1162" s="115"/>
      <c r="BH1162" s="115"/>
      <c r="BI1162" s="17"/>
      <c r="BJ1162" s="15"/>
      <c r="BM1162" s="114"/>
    </row>
    <row r="1163" spans="1:65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22"/>
      <c r="AS1163" s="122"/>
      <c r="AT1163" s="122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115"/>
      <c r="BG1163" s="115"/>
      <c r="BH1163" s="115"/>
      <c r="BI1163" s="26"/>
      <c r="BJ1163" s="15"/>
      <c r="BM1163" s="114"/>
    </row>
    <row r="1164" spans="1:65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22"/>
      <c r="AS1164" s="122"/>
      <c r="AT1164" s="122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115"/>
      <c r="BG1164" s="115"/>
      <c r="BH1164" s="115"/>
      <c r="BI1164" s="26"/>
      <c r="BJ1164" s="15"/>
      <c r="BM1164" s="114"/>
    </row>
    <row r="1165" spans="1:65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22"/>
      <c r="AS1165" s="122"/>
      <c r="AT1165" s="122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115"/>
      <c r="BG1165" s="115"/>
      <c r="BH1165" s="115"/>
      <c r="BI1165" s="26"/>
      <c r="BJ1165" s="105"/>
      <c r="BM1165" s="114"/>
    </row>
    <row r="1166" spans="1:65" x14ac:dyDescent="0.4">
      <c r="BI1166" s="26"/>
      <c r="BJ1166" s="15"/>
      <c r="BM1166" s="114"/>
    </row>
    <row r="1167" spans="1:65" x14ac:dyDescent="0.4">
      <c r="AS1167" s="122"/>
      <c r="AT1167" s="122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115"/>
      <c r="BG1167" s="115"/>
      <c r="BH1167" s="115"/>
      <c r="BI1167" s="26"/>
      <c r="BJ1167" s="15"/>
      <c r="BM1167" s="114"/>
    </row>
    <row r="1168" spans="1:65" x14ac:dyDescent="0.4">
      <c r="AO1168" s="115"/>
      <c r="AP1168" s="115"/>
      <c r="AQ1168" s="115"/>
      <c r="AR1168" s="122"/>
      <c r="AS1168" s="122"/>
      <c r="AT1168" s="122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115"/>
      <c r="BG1168" s="115"/>
      <c r="BH1168" s="115"/>
      <c r="BI1168" s="26"/>
      <c r="BJ1168" s="15"/>
      <c r="BM1168" s="114"/>
    </row>
    <row r="1169" spans="2:65" x14ac:dyDescent="0.4"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22"/>
      <c r="AS1169" s="122"/>
      <c r="AT1169" s="122"/>
      <c r="AU1169" s="115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115"/>
      <c r="BG1169" s="115"/>
      <c r="BH1169" s="115"/>
      <c r="BI1169" s="26"/>
      <c r="BJ1169" s="15"/>
      <c r="BM1169" s="114"/>
    </row>
    <row r="1170" spans="2:65" x14ac:dyDescent="0.4"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22"/>
      <c r="AS1170" s="122"/>
      <c r="AT1170" s="122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115"/>
      <c r="BG1170" s="115"/>
      <c r="BH1170" s="115"/>
      <c r="BI1170" s="17"/>
      <c r="BJ1170" s="15"/>
      <c r="BM1170" s="114"/>
    </row>
    <row r="1171" spans="2:65" x14ac:dyDescent="0.4"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22"/>
      <c r="AS1171" s="122"/>
      <c r="AT1171" s="122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115"/>
      <c r="BG1171" s="115"/>
      <c r="BH1171" s="115"/>
      <c r="BI1171" s="26"/>
      <c r="BJ1171" s="15"/>
      <c r="BM1171" s="114"/>
    </row>
    <row r="1172" spans="2:65" x14ac:dyDescent="0.4"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22"/>
      <c r="AS1172" s="122"/>
      <c r="AT1172" s="122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15"/>
      <c r="BG1172" s="115"/>
      <c r="BH1172" s="115"/>
      <c r="BI1172" s="26"/>
      <c r="BJ1172" s="15"/>
      <c r="BM1172" s="114"/>
    </row>
    <row r="1173" spans="2:65" x14ac:dyDescent="0.4"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22"/>
      <c r="AS1173" s="122"/>
      <c r="AT1173" s="122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115"/>
      <c r="BG1173" s="115"/>
      <c r="BH1173" s="115"/>
      <c r="BI1173" s="26"/>
      <c r="BJ1173" s="15"/>
      <c r="BM1173" s="114"/>
    </row>
    <row r="1174" spans="2:65" x14ac:dyDescent="0.4"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22"/>
      <c r="AS1174" s="122"/>
      <c r="AT1174" s="122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15"/>
      <c r="BG1174" s="115"/>
      <c r="BH1174" s="115"/>
      <c r="BI1174" s="26"/>
      <c r="BJ1174" s="15"/>
      <c r="BM1174" s="114"/>
    </row>
    <row r="1175" spans="2:65" x14ac:dyDescent="0.4"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22"/>
      <c r="AS1175" s="122"/>
      <c r="AT1175" s="122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115"/>
      <c r="BG1175" s="115"/>
      <c r="BH1175" s="115"/>
      <c r="BI1175" s="26"/>
      <c r="BJ1175" s="15"/>
      <c r="BM1175" s="114"/>
    </row>
    <row r="1176" spans="2:65" x14ac:dyDescent="0.4"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22"/>
      <c r="AS1176" s="122"/>
      <c r="AT1176" s="122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26"/>
      <c r="BJ1176" s="15"/>
      <c r="BM1176" s="114"/>
    </row>
    <row r="1177" spans="2:65" x14ac:dyDescent="0.4"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22"/>
      <c r="AS1177" s="122"/>
      <c r="AT1177" s="122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26"/>
      <c r="BJ1177" s="15"/>
      <c r="BM1177" s="114"/>
    </row>
    <row r="1178" spans="2:65" x14ac:dyDescent="0.4"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22"/>
      <c r="AS1178" s="122"/>
      <c r="AT1178" s="122"/>
      <c r="AU1178" s="115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7"/>
      <c r="BJ1178" s="15"/>
      <c r="BM1178" s="114"/>
    </row>
    <row r="1179" spans="2:65" x14ac:dyDescent="0.4"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22"/>
      <c r="AS1179" s="122"/>
      <c r="AT1179" s="122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26"/>
      <c r="BJ1179" s="15"/>
      <c r="BM1179" s="114"/>
    </row>
    <row r="1180" spans="2:65" x14ac:dyDescent="0.4"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22"/>
      <c r="AS1180" s="122"/>
      <c r="AT1180" s="122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26"/>
      <c r="BJ1180" s="15"/>
      <c r="BM1180" s="114"/>
    </row>
    <row r="1181" spans="2:65" x14ac:dyDescent="0.4"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22"/>
      <c r="AS1181" s="122"/>
      <c r="AT1181" s="122"/>
      <c r="AU1181" s="115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26"/>
      <c r="BJ1181" s="15"/>
      <c r="BM1181" s="114"/>
    </row>
    <row r="1182" spans="2:65" x14ac:dyDescent="0.4"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22"/>
      <c r="AS1182" s="122"/>
      <c r="AT1182" s="122"/>
      <c r="AU1182" s="115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26"/>
      <c r="BJ1182" s="15"/>
      <c r="BM1182" s="114"/>
    </row>
    <row r="1183" spans="2:65" x14ac:dyDescent="0.4">
      <c r="B1183" s="115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22"/>
      <c r="AS1183" s="122"/>
      <c r="AT1183" s="122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115"/>
      <c r="BE1183" s="115"/>
      <c r="BF1183" s="115"/>
      <c r="BG1183" s="115"/>
      <c r="BH1183" s="115"/>
      <c r="BI1183" s="26"/>
      <c r="BJ1183" s="15"/>
      <c r="BM1183" s="114"/>
    </row>
    <row r="1184" spans="2:65" x14ac:dyDescent="0.4">
      <c r="B1184" s="115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22"/>
      <c r="AS1184" s="122"/>
      <c r="AT1184" s="122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115"/>
      <c r="BG1184" s="115"/>
      <c r="BH1184" s="115"/>
      <c r="BI1184" s="26"/>
      <c r="BJ1184" s="15"/>
      <c r="BM1184" s="114"/>
    </row>
    <row r="1185" spans="2:65" x14ac:dyDescent="0.4"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22"/>
      <c r="AS1185" s="122"/>
      <c r="AT1185" s="122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115"/>
      <c r="BG1185" s="115"/>
      <c r="BH1185" s="115"/>
      <c r="BI1185" s="26"/>
      <c r="BJ1185" s="15"/>
      <c r="BM1185" s="114"/>
    </row>
    <row r="1186" spans="2:65" x14ac:dyDescent="0.4"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22"/>
      <c r="AS1186" s="122"/>
      <c r="AT1186" s="122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115"/>
      <c r="BG1186" s="115"/>
      <c r="BH1186" s="115"/>
      <c r="BI1186" s="17"/>
      <c r="BJ1186" s="15"/>
      <c r="BM1186" s="114"/>
    </row>
    <row r="1187" spans="2:65" x14ac:dyDescent="0.4"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22"/>
      <c r="AS1187" s="122"/>
      <c r="AT1187" s="122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115"/>
      <c r="BG1187" s="115"/>
      <c r="BH1187" s="115"/>
      <c r="BI1187" s="26"/>
      <c r="BJ1187" s="15"/>
      <c r="BM1187" s="114"/>
    </row>
    <row r="1188" spans="2:65" x14ac:dyDescent="0.4"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22"/>
      <c r="AS1188" s="122"/>
      <c r="AT1188" s="122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115"/>
      <c r="BG1188" s="115"/>
      <c r="BH1188" s="115"/>
      <c r="BI1188" s="26"/>
      <c r="BJ1188" s="15"/>
      <c r="BM1188" s="114"/>
    </row>
    <row r="1189" spans="2:65" x14ac:dyDescent="0.4"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22"/>
      <c r="AS1189" s="122"/>
      <c r="AT1189" s="122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26"/>
      <c r="BJ1189" s="15"/>
      <c r="BM1189" s="114"/>
    </row>
    <row r="1190" spans="2:65" x14ac:dyDescent="0.4"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22"/>
      <c r="AS1190" s="122"/>
      <c r="AT1190" s="122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15"/>
      <c r="BG1190" s="115"/>
      <c r="BH1190" s="115"/>
      <c r="BI1190" s="26"/>
      <c r="BJ1190" s="15"/>
      <c r="BM1190" s="114"/>
    </row>
    <row r="1191" spans="2:65" x14ac:dyDescent="0.4"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22"/>
      <c r="AS1191" s="122"/>
      <c r="AT1191" s="122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115"/>
      <c r="BG1191" s="115"/>
      <c r="BH1191" s="115"/>
      <c r="BI1191" s="26"/>
      <c r="BJ1191" s="15"/>
      <c r="BM1191" s="114"/>
    </row>
    <row r="1192" spans="2:65" x14ac:dyDescent="0.4"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22"/>
      <c r="AS1192" s="122"/>
      <c r="AT1192" s="122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115"/>
      <c r="BG1192" s="115"/>
      <c r="BH1192" s="115"/>
      <c r="BI1192" s="26"/>
      <c r="BJ1192" s="15"/>
      <c r="BM1192" s="114"/>
    </row>
    <row r="1193" spans="2:65" x14ac:dyDescent="0.4"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22"/>
      <c r="AS1193" s="122"/>
      <c r="AT1193" s="122"/>
      <c r="AU1193" s="115"/>
      <c r="AV1193" s="115"/>
      <c r="AW1193" s="115"/>
      <c r="AX1193" s="115"/>
      <c r="AY1193" s="115"/>
      <c r="AZ1193" s="115"/>
      <c r="BA1193" s="115"/>
      <c r="BB1193" s="115"/>
      <c r="BC1193" s="115"/>
      <c r="BD1193" s="115"/>
      <c r="BE1193" s="115"/>
      <c r="BF1193" s="115"/>
      <c r="BG1193" s="115"/>
      <c r="BH1193" s="115"/>
      <c r="BI1193" s="26"/>
      <c r="BJ1193" s="15"/>
      <c r="BM1193" s="114"/>
    </row>
    <row r="1194" spans="2:65" x14ac:dyDescent="0.4"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22"/>
      <c r="AS1194" s="122"/>
      <c r="AT1194" s="122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15"/>
      <c r="BG1194" s="115"/>
      <c r="BH1194" s="115"/>
      <c r="BI1194" s="26"/>
      <c r="BJ1194" s="15"/>
      <c r="BM1194" s="114"/>
    </row>
    <row r="1195" spans="2:65" x14ac:dyDescent="0.4"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22"/>
      <c r="AS1195" s="122"/>
      <c r="AT1195" s="122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15"/>
      <c r="BG1195" s="115"/>
      <c r="BH1195" s="115"/>
      <c r="BI1195" s="17"/>
      <c r="BJ1195" s="15"/>
      <c r="BM1195" s="114"/>
    </row>
    <row r="1196" spans="2:65" x14ac:dyDescent="0.4"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22"/>
      <c r="AS1196" s="122"/>
      <c r="AT1196" s="122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15"/>
      <c r="BG1196" s="115"/>
      <c r="BH1196" s="115"/>
      <c r="BI1196" s="26"/>
      <c r="BJ1196" s="15"/>
      <c r="BM1196" s="114"/>
    </row>
    <row r="1197" spans="2:65" x14ac:dyDescent="0.4"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22"/>
      <c r="AS1197" s="122"/>
      <c r="AT1197" s="122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115"/>
      <c r="BG1197" s="115"/>
      <c r="BH1197" s="115"/>
      <c r="BI1197" s="17"/>
      <c r="BJ1197" s="15"/>
      <c r="BM1197" s="114"/>
    </row>
    <row r="1198" spans="2:65" x14ac:dyDescent="0.4"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22"/>
      <c r="AS1198" s="122"/>
      <c r="AT1198" s="122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15"/>
      <c r="BG1198" s="115"/>
      <c r="BH1198" s="115"/>
      <c r="BI1198" s="26"/>
      <c r="BJ1198" s="15"/>
      <c r="BM1198" s="114"/>
    </row>
    <row r="1199" spans="2:65" x14ac:dyDescent="0.4"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22"/>
      <c r="AS1199" s="122"/>
      <c r="AT1199" s="122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115"/>
      <c r="BG1199" s="115"/>
      <c r="BH1199" s="115"/>
      <c r="BI1199" s="17"/>
      <c r="BJ1199" s="15"/>
      <c r="BM1199" s="114"/>
    </row>
    <row r="1200" spans="2:65" x14ac:dyDescent="0.4"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22"/>
      <c r="AS1200" s="122"/>
      <c r="AT1200" s="122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15"/>
      <c r="BG1200" s="115"/>
      <c r="BH1200" s="115"/>
      <c r="BI1200" s="26"/>
      <c r="BJ1200" s="15"/>
      <c r="BM1200" s="114"/>
    </row>
    <row r="1201" spans="1:65" x14ac:dyDescent="0.4"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22"/>
      <c r="AS1201" s="122"/>
      <c r="AT1201" s="122"/>
      <c r="AU1201" s="115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15"/>
      <c r="BG1201" s="115"/>
      <c r="BH1201" s="115"/>
      <c r="BI1201" s="26"/>
      <c r="BJ1201" s="15"/>
      <c r="BM1201" s="114"/>
    </row>
    <row r="1202" spans="1:65" x14ac:dyDescent="0.4"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22"/>
      <c r="AS1202" s="122"/>
      <c r="AT1202" s="122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15"/>
      <c r="BG1202" s="115"/>
      <c r="BH1202" s="115"/>
      <c r="BI1202" s="17"/>
      <c r="BJ1202" s="15"/>
      <c r="BM1202" s="114"/>
    </row>
    <row r="1203" spans="1:65" x14ac:dyDescent="0.4"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22"/>
      <c r="AS1203" s="122"/>
      <c r="AT1203" s="122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115"/>
      <c r="BG1203" s="115"/>
      <c r="BH1203" s="115"/>
      <c r="BI1203" s="26"/>
      <c r="BJ1203" s="15"/>
      <c r="BM1203" s="114"/>
    </row>
    <row r="1204" spans="1:65" x14ac:dyDescent="0.4"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22"/>
      <c r="AS1204" s="122"/>
      <c r="AT1204" s="122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26"/>
      <c r="BJ1204" s="15"/>
      <c r="BM1204" s="114"/>
    </row>
    <row r="1205" spans="1:65" x14ac:dyDescent="0.4">
      <c r="A1205" s="115"/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22"/>
      <c r="AS1205" s="122"/>
      <c r="AT1205" s="122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26"/>
      <c r="BJ1205" s="105"/>
      <c r="BM1205" s="114"/>
    </row>
    <row r="1206" spans="1:65" x14ac:dyDescent="0.4">
      <c r="A1206" s="115"/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22"/>
      <c r="AS1206" s="122"/>
      <c r="AT1206" s="122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7"/>
      <c r="BJ1206" s="15"/>
      <c r="BM1206" s="114"/>
    </row>
    <row r="1207" spans="1:65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22"/>
      <c r="AS1207" s="122"/>
      <c r="AT1207" s="122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115"/>
      <c r="BG1207" s="115"/>
      <c r="BH1207" s="115"/>
      <c r="BI1207" s="17"/>
      <c r="BJ1207" s="15"/>
      <c r="BM1207" s="114"/>
    </row>
    <row r="1208" spans="1:65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22"/>
      <c r="AS1208" s="122"/>
      <c r="AT1208" s="122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115"/>
      <c r="BG1208" s="115"/>
      <c r="BH1208" s="115"/>
      <c r="BI1208" s="26"/>
      <c r="BJ1208" s="15"/>
      <c r="BM1208" s="114"/>
    </row>
    <row r="1209" spans="1:65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15"/>
      <c r="AR1209" s="122"/>
      <c r="AS1209" s="122"/>
      <c r="AT1209" s="122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115"/>
      <c r="BG1209" s="115"/>
      <c r="BH1209" s="115"/>
      <c r="BI1209" s="26"/>
      <c r="BJ1209" s="15"/>
      <c r="BM1209" s="114"/>
    </row>
    <row r="1210" spans="1:65" x14ac:dyDescent="0.4">
      <c r="A1210" s="115"/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22"/>
      <c r="AS1210" s="122"/>
      <c r="AT1210" s="122"/>
      <c r="AU1210" s="115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15"/>
      <c r="BG1210" s="115"/>
      <c r="BH1210" s="115"/>
      <c r="BI1210" s="26"/>
      <c r="BJ1210" s="15"/>
      <c r="BM1210" s="114"/>
    </row>
    <row r="1211" spans="1:65" x14ac:dyDescent="0.4">
      <c r="A1211" s="115"/>
      <c r="B1211" s="115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22"/>
      <c r="AS1211" s="122"/>
      <c r="AT1211" s="122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115"/>
      <c r="BG1211" s="115"/>
      <c r="BH1211" s="115"/>
      <c r="BI1211" s="26"/>
      <c r="BJ1211" s="15"/>
      <c r="BM1211" s="114"/>
    </row>
    <row r="1212" spans="1:65" x14ac:dyDescent="0.4">
      <c r="A1212" s="115"/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22"/>
      <c r="AS1212" s="122"/>
      <c r="AT1212" s="122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115"/>
      <c r="BG1212" s="115"/>
      <c r="BH1212" s="115"/>
      <c r="BI1212" s="26"/>
      <c r="BJ1212" s="15"/>
      <c r="BM1212" s="114"/>
    </row>
    <row r="1213" spans="1:65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22"/>
      <c r="AS1213" s="122"/>
      <c r="AT1213" s="122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15"/>
      <c r="BG1213" s="115"/>
      <c r="BH1213" s="115"/>
      <c r="BI1213" s="26"/>
      <c r="BJ1213" s="15"/>
      <c r="BM1213" s="114"/>
    </row>
    <row r="1214" spans="1:65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22"/>
      <c r="AS1214" s="122"/>
      <c r="AT1214" s="122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115"/>
      <c r="BG1214" s="115"/>
      <c r="BH1214" s="115"/>
      <c r="BI1214" s="26"/>
      <c r="BJ1214" s="15"/>
      <c r="BM1214" s="114"/>
    </row>
    <row r="1215" spans="1:65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22"/>
      <c r="AS1215" s="122"/>
      <c r="AT1215" s="122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115"/>
      <c r="BE1215" s="115"/>
      <c r="BF1215" s="115"/>
      <c r="BG1215" s="115"/>
      <c r="BH1215" s="115"/>
      <c r="BI1215" s="26"/>
      <c r="BJ1215" s="15"/>
      <c r="BM1215" s="114"/>
    </row>
    <row r="1216" spans="1:65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22"/>
      <c r="AS1216" s="122"/>
      <c r="AT1216" s="122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15"/>
      <c r="BG1216" s="115"/>
      <c r="BH1216" s="115"/>
      <c r="BI1216" s="26"/>
      <c r="BJ1216" s="105"/>
      <c r="BM1216" s="114"/>
    </row>
    <row r="1217" spans="1:65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22"/>
      <c r="AS1217" s="122"/>
      <c r="AT1217" s="122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115"/>
      <c r="BG1217" s="115"/>
      <c r="BH1217" s="115"/>
      <c r="BI1217" s="26"/>
      <c r="BJ1217" s="15"/>
      <c r="BM1217" s="114"/>
    </row>
    <row r="1218" spans="1:65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22"/>
      <c r="AS1218" s="122"/>
      <c r="AT1218" s="122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15"/>
      <c r="BG1218" s="115"/>
      <c r="BH1218" s="115"/>
      <c r="BI1218" s="26"/>
      <c r="BJ1218" s="15"/>
      <c r="BM1218" s="114"/>
    </row>
    <row r="1219" spans="1:65" x14ac:dyDescent="0.4">
      <c r="A1219" s="115"/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22"/>
      <c r="AS1219" s="122"/>
      <c r="AT1219" s="122"/>
      <c r="AU1219" s="115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115"/>
      <c r="BG1219" s="115"/>
      <c r="BH1219" s="115"/>
      <c r="BI1219" s="26"/>
      <c r="BJ1219" s="13"/>
      <c r="BM1219" s="114"/>
    </row>
    <row r="1220" spans="1:65" x14ac:dyDescent="0.4">
      <c r="A1220" s="115"/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22"/>
      <c r="AS1220" s="122"/>
      <c r="AT1220" s="122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115"/>
      <c r="BF1220" s="115"/>
      <c r="BG1220" s="115"/>
      <c r="BH1220" s="115"/>
      <c r="BI1220" s="17"/>
      <c r="BJ1220" s="13"/>
      <c r="BM1220" s="114"/>
    </row>
    <row r="1221" spans="1:65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22"/>
      <c r="AS1221" s="122"/>
      <c r="AT1221" s="122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115"/>
      <c r="BG1221" s="115"/>
      <c r="BH1221" s="115"/>
      <c r="BI1221" s="26"/>
      <c r="BJ1221" s="13"/>
      <c r="BM1221" s="114"/>
    </row>
    <row r="1222" spans="1:65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22"/>
      <c r="AS1222" s="122"/>
      <c r="AT1222" s="122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115"/>
      <c r="BG1222" s="115"/>
      <c r="BH1222" s="115"/>
      <c r="BI1222" s="26"/>
      <c r="BJ1222" s="13"/>
      <c r="BM1222" s="114"/>
    </row>
    <row r="1223" spans="1:65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22"/>
      <c r="AS1223" s="122"/>
      <c r="AT1223" s="122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115"/>
      <c r="BG1223" s="115"/>
      <c r="BH1223" s="115"/>
      <c r="BI1223" s="26"/>
      <c r="BJ1223" s="13"/>
      <c r="BM1223" s="114"/>
    </row>
    <row r="1224" spans="1:65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22"/>
      <c r="AS1224" s="122"/>
      <c r="AT1224" s="122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115"/>
      <c r="BG1224" s="115"/>
      <c r="BH1224" s="115"/>
      <c r="BI1224" s="26"/>
      <c r="BJ1224" s="13"/>
      <c r="BM1224" s="114"/>
    </row>
    <row r="1225" spans="1:65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22"/>
      <c r="AS1225" s="122"/>
      <c r="AT1225" s="122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115"/>
      <c r="BE1225" s="115"/>
      <c r="BF1225" s="115"/>
      <c r="BG1225" s="115"/>
      <c r="BH1225" s="115"/>
      <c r="BI1225" s="26"/>
      <c r="BJ1225" s="13"/>
      <c r="BM1225" s="114"/>
    </row>
    <row r="1226" spans="1:65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22"/>
      <c r="AS1226" s="122"/>
      <c r="AT1226" s="122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115"/>
      <c r="BG1226" s="115"/>
      <c r="BH1226" s="115"/>
      <c r="BI1226" s="26"/>
      <c r="BJ1226" s="13"/>
      <c r="BM1226" s="114"/>
    </row>
    <row r="1227" spans="1:65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22"/>
      <c r="AS1227" s="122"/>
      <c r="AT1227" s="122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115"/>
      <c r="BG1227" s="115"/>
      <c r="BH1227" s="115"/>
      <c r="BI1227" s="17"/>
      <c r="BJ1227" s="13"/>
      <c r="BM1227" s="114"/>
    </row>
    <row r="1228" spans="1:65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22"/>
      <c r="AS1228" s="122"/>
      <c r="AT1228" s="122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15"/>
      <c r="BF1228" s="115"/>
      <c r="BG1228" s="115"/>
      <c r="BH1228" s="115"/>
      <c r="BI1228" s="26"/>
      <c r="BJ1228" s="13"/>
      <c r="BM1228" s="114"/>
    </row>
    <row r="1229" spans="1:65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22"/>
      <c r="AS1229" s="122"/>
      <c r="AT1229" s="122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115"/>
      <c r="BG1229" s="115"/>
      <c r="BH1229" s="115"/>
      <c r="BI1229" s="26"/>
      <c r="BJ1229" s="13"/>
      <c r="BM1229" s="114"/>
    </row>
    <row r="1230" spans="1:65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22"/>
      <c r="AS1230" s="122"/>
      <c r="AT1230" s="122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115"/>
      <c r="BG1230" s="115"/>
      <c r="BH1230" s="115"/>
      <c r="BI1230" s="26"/>
      <c r="BJ1230" s="13"/>
      <c r="BM1230" s="114"/>
    </row>
    <row r="1231" spans="1:65" x14ac:dyDescent="0.4">
      <c r="A1231" s="115"/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22"/>
      <c r="AS1231" s="122"/>
      <c r="AT1231" s="122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115"/>
      <c r="BG1231" s="115"/>
      <c r="BH1231" s="115"/>
      <c r="BI1231" s="26"/>
      <c r="BJ1231" s="13"/>
      <c r="BM1231" s="114"/>
    </row>
    <row r="1232" spans="1:65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22"/>
      <c r="AS1232" s="122"/>
      <c r="AT1232" s="122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115"/>
      <c r="BF1232" s="115"/>
      <c r="BG1232" s="115"/>
      <c r="BH1232" s="115"/>
      <c r="BI1232" s="26"/>
      <c r="BJ1232" s="25"/>
      <c r="BM1232" s="114"/>
    </row>
    <row r="1233" spans="1:65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22"/>
      <c r="AS1233" s="122"/>
      <c r="AT1233" s="122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115"/>
      <c r="BG1233" s="115"/>
      <c r="BH1233" s="115"/>
      <c r="BI1233" s="17"/>
      <c r="BJ1233" s="13"/>
      <c r="BM1233" s="114"/>
    </row>
    <row r="1234" spans="1:65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22"/>
      <c r="AS1234" s="122"/>
      <c r="AT1234" s="122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115"/>
      <c r="BG1234" s="115"/>
      <c r="BH1234" s="115"/>
      <c r="BI1234" s="26"/>
      <c r="BJ1234" s="15"/>
      <c r="BM1234" s="114"/>
    </row>
    <row r="1235" spans="1:65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22"/>
      <c r="AS1235" s="122"/>
      <c r="AT1235" s="122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115"/>
      <c r="BG1235" s="115"/>
      <c r="BH1235" s="115"/>
      <c r="BI1235" s="26"/>
      <c r="BJ1235" s="15"/>
      <c r="BM1235" s="114"/>
    </row>
    <row r="1236" spans="1:65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22"/>
      <c r="AS1236" s="122"/>
      <c r="AT1236" s="122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115"/>
      <c r="BG1236" s="115"/>
      <c r="BH1236" s="115"/>
      <c r="BI1236" s="17"/>
      <c r="BJ1236" s="15"/>
      <c r="BM1236" s="114"/>
    </row>
    <row r="1237" spans="1:65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22"/>
      <c r="AS1237" s="122"/>
      <c r="AT1237" s="122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15"/>
      <c r="BF1237" s="115"/>
      <c r="BG1237" s="115"/>
      <c r="BH1237" s="115"/>
      <c r="BI1237" s="26"/>
      <c r="BJ1237" s="15"/>
      <c r="BM1237" s="114"/>
    </row>
    <row r="1238" spans="1:65" x14ac:dyDescent="0.4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22"/>
      <c r="AS1238" s="122"/>
      <c r="AT1238" s="122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115"/>
      <c r="BG1238" s="115"/>
      <c r="BH1238" s="115"/>
      <c r="BI1238" s="26"/>
      <c r="BJ1238" s="15"/>
      <c r="BM1238" s="114"/>
    </row>
    <row r="1239" spans="1:65" x14ac:dyDescent="0.4">
      <c r="A1239" s="115"/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22"/>
      <c r="AS1239" s="122"/>
      <c r="AT1239" s="122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15"/>
      <c r="BG1239" s="115"/>
      <c r="BH1239" s="115"/>
      <c r="BI1239" s="26"/>
      <c r="BJ1239" s="13"/>
      <c r="BM1239" s="114"/>
    </row>
    <row r="1240" spans="1:65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22"/>
      <c r="AS1240" s="122"/>
      <c r="AT1240" s="122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115"/>
      <c r="BF1240" s="115"/>
      <c r="BG1240" s="115"/>
      <c r="BH1240" s="115"/>
      <c r="BI1240" s="26"/>
      <c r="BJ1240" s="13"/>
      <c r="BM1240" s="114"/>
    </row>
    <row r="1241" spans="1:65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22"/>
      <c r="AS1241" s="122"/>
      <c r="AT1241" s="122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15"/>
      <c r="BF1241" s="115"/>
      <c r="BG1241" s="115"/>
      <c r="BH1241" s="115"/>
      <c r="BI1241" s="26"/>
      <c r="BJ1241" s="13"/>
      <c r="BM1241" s="114"/>
    </row>
    <row r="1242" spans="1:65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22"/>
      <c r="AS1242" s="122"/>
      <c r="AT1242" s="122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115"/>
      <c r="BF1242" s="115"/>
      <c r="BG1242" s="115"/>
      <c r="BH1242" s="115"/>
      <c r="BI1242" s="26"/>
      <c r="BJ1242" s="13"/>
      <c r="BM1242" s="114"/>
    </row>
    <row r="1243" spans="1:65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22"/>
      <c r="AS1243" s="122"/>
      <c r="AT1243" s="122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15"/>
      <c r="BF1243" s="115"/>
      <c r="BG1243" s="115"/>
      <c r="BH1243" s="115"/>
      <c r="BI1243" s="26"/>
      <c r="BJ1243" s="13"/>
      <c r="BM1243" s="114"/>
    </row>
    <row r="1244" spans="1:65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22"/>
      <c r="AS1244" s="122"/>
      <c r="AT1244" s="122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15"/>
      <c r="BG1244" s="115"/>
      <c r="BH1244" s="115"/>
      <c r="BI1244" s="26"/>
      <c r="BJ1244" s="13"/>
      <c r="BM1244" s="114"/>
    </row>
    <row r="1245" spans="1:65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22"/>
      <c r="AS1245" s="122"/>
      <c r="AT1245" s="122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115"/>
      <c r="BG1245" s="115"/>
      <c r="BH1245" s="115"/>
      <c r="BI1245" s="26"/>
      <c r="BJ1245" s="13"/>
      <c r="BM1245" s="114"/>
    </row>
    <row r="1246" spans="1:65" x14ac:dyDescent="0.4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22"/>
      <c r="AS1246" s="122"/>
      <c r="AT1246" s="122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15"/>
      <c r="BG1246" s="115"/>
      <c r="BH1246" s="115"/>
      <c r="BI1246" s="26"/>
      <c r="BJ1246" s="13"/>
      <c r="BM1246" s="114"/>
    </row>
    <row r="1247" spans="1:65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22"/>
      <c r="AS1247" s="122"/>
      <c r="AT1247" s="122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115"/>
      <c r="BG1247" s="115"/>
      <c r="BH1247" s="115"/>
      <c r="BI1247" s="17"/>
      <c r="BJ1247" s="13"/>
      <c r="BM1247" s="114"/>
    </row>
    <row r="1248" spans="1:65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22"/>
      <c r="AS1248" s="122"/>
      <c r="AT1248" s="122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115"/>
      <c r="BG1248" s="115"/>
      <c r="BH1248" s="115"/>
      <c r="BI1248" s="26"/>
      <c r="BJ1248" s="13"/>
      <c r="BM1248" s="114"/>
    </row>
    <row r="1249" spans="1:66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22"/>
      <c r="AS1249" s="122"/>
      <c r="AT1249" s="122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115"/>
      <c r="BG1249" s="115"/>
      <c r="BH1249" s="115"/>
      <c r="BI1249" s="17"/>
      <c r="BJ1249" s="13"/>
      <c r="BM1249" s="114"/>
    </row>
    <row r="1250" spans="1:66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22"/>
      <c r="AS1250" s="122"/>
      <c r="AT1250" s="122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115"/>
      <c r="BG1250" s="115"/>
      <c r="BH1250" s="115"/>
      <c r="BI1250" s="26"/>
      <c r="BJ1250" s="13"/>
      <c r="BM1250" s="114"/>
    </row>
    <row r="1251" spans="1:66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22"/>
      <c r="AS1251" s="122"/>
      <c r="AT1251" s="122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115"/>
      <c r="BG1251" s="115"/>
      <c r="BH1251" s="115"/>
      <c r="BI1251" s="26"/>
      <c r="BJ1251" s="13"/>
      <c r="BM1251" s="114"/>
    </row>
    <row r="1252" spans="1:66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22"/>
      <c r="AS1252" s="122"/>
      <c r="AT1252" s="122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115"/>
      <c r="BF1252" s="115"/>
      <c r="BG1252" s="115"/>
      <c r="BH1252" s="115"/>
      <c r="BI1252" s="26"/>
      <c r="BJ1252" s="13"/>
      <c r="BM1252" s="114"/>
    </row>
    <row r="1253" spans="1:66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22"/>
      <c r="AS1253" s="122"/>
      <c r="AT1253" s="122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115"/>
      <c r="BG1253" s="115"/>
      <c r="BH1253" s="115"/>
      <c r="BI1253" s="26"/>
      <c r="BJ1253" s="15"/>
      <c r="BM1253" s="114"/>
    </row>
    <row r="1254" spans="1:66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22"/>
      <c r="AS1254" s="122"/>
      <c r="AT1254" s="122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115"/>
      <c r="BG1254" s="115"/>
      <c r="BH1254" s="115"/>
      <c r="BI1254" s="26"/>
      <c r="BJ1254" s="15"/>
      <c r="BM1254" s="114"/>
    </row>
    <row r="1255" spans="1:66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22"/>
      <c r="AS1255" s="122"/>
      <c r="AT1255" s="122"/>
      <c r="AU1255" s="115"/>
      <c r="AV1255" s="115"/>
      <c r="AW1255" s="115"/>
      <c r="AX1255" s="115"/>
      <c r="AY1255" s="115"/>
      <c r="AZ1255" s="115"/>
      <c r="BA1255" s="115"/>
      <c r="BB1255" s="115"/>
      <c r="BC1255" s="115"/>
      <c r="BD1255" s="115"/>
      <c r="BE1255" s="115"/>
      <c r="BF1255" s="115"/>
      <c r="BG1255" s="115"/>
      <c r="BH1255" s="115"/>
      <c r="BI1255" s="26"/>
      <c r="BJ1255" s="15"/>
      <c r="BM1255" s="114"/>
    </row>
    <row r="1256" spans="1:66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22"/>
      <c r="AS1256" s="122"/>
      <c r="AT1256" s="122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115"/>
      <c r="BG1256" s="115"/>
      <c r="BH1256" s="115"/>
      <c r="BI1256" s="26"/>
      <c r="BJ1256" s="13"/>
      <c r="BM1256" s="114"/>
    </row>
    <row r="1257" spans="1:66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22"/>
      <c r="AS1257" s="122"/>
      <c r="AT1257" s="122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115"/>
      <c r="BG1257" s="115"/>
      <c r="BH1257" s="115"/>
      <c r="BI1257" s="26"/>
      <c r="BJ1257" s="15"/>
      <c r="BM1257" s="114"/>
    </row>
    <row r="1258" spans="1:66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22"/>
      <c r="AS1258" s="122"/>
      <c r="AT1258" s="122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115"/>
      <c r="BG1258" s="115"/>
      <c r="BH1258" s="115"/>
      <c r="BI1258" s="26"/>
      <c r="BJ1258" s="15"/>
      <c r="BM1258" s="114"/>
      <c r="BN1258" s="120"/>
    </row>
    <row r="1259" spans="1:66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22"/>
      <c r="AS1259" s="122"/>
      <c r="AT1259" s="122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115"/>
      <c r="BG1259" s="115"/>
      <c r="BH1259" s="115"/>
      <c r="BI1259" s="26"/>
      <c r="BJ1259" s="15"/>
      <c r="BM1259" s="114"/>
      <c r="BN1259" s="120"/>
    </row>
    <row r="1260" spans="1:66" x14ac:dyDescent="0.4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22"/>
      <c r="AS1260" s="122"/>
      <c r="AT1260" s="122"/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115"/>
      <c r="BF1260" s="115"/>
      <c r="BG1260" s="115"/>
      <c r="BH1260" s="115"/>
      <c r="BI1260" s="26"/>
      <c r="BJ1260" s="15"/>
      <c r="BM1260" s="114"/>
      <c r="BN1260" s="120"/>
    </row>
    <row r="1261" spans="1:66" x14ac:dyDescent="0.4">
      <c r="A1261" s="115"/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22"/>
      <c r="AS1261" s="122"/>
      <c r="AT1261" s="122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115"/>
      <c r="BG1261" s="115"/>
      <c r="BH1261" s="115"/>
      <c r="BI1261" s="26"/>
      <c r="BJ1261" s="15"/>
      <c r="BM1261" s="114"/>
      <c r="BN1261" s="120"/>
    </row>
    <row r="1262" spans="1:66" x14ac:dyDescent="0.4">
      <c r="A1262" s="115"/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22"/>
      <c r="AS1262" s="122"/>
      <c r="AT1262" s="122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115"/>
      <c r="BG1262" s="115"/>
      <c r="BH1262" s="115"/>
      <c r="BI1262" s="26"/>
      <c r="BJ1262" s="15"/>
      <c r="BM1262" s="114"/>
      <c r="BN1262" s="120"/>
    </row>
    <row r="1263" spans="1:66" x14ac:dyDescent="0.4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22"/>
      <c r="AS1263" s="122"/>
      <c r="AT1263" s="122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15"/>
      <c r="BG1263" s="115"/>
      <c r="BH1263" s="115"/>
      <c r="BI1263" s="26"/>
      <c r="BJ1263" s="15"/>
      <c r="BM1263" s="114"/>
      <c r="BN1263" s="120"/>
    </row>
    <row r="1264" spans="1:66" x14ac:dyDescent="0.4">
      <c r="A1264" s="115"/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22"/>
      <c r="AS1264" s="122"/>
      <c r="AT1264" s="122"/>
      <c r="AU1264" s="115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115"/>
      <c r="BF1264" s="115"/>
      <c r="BG1264" s="115"/>
      <c r="BH1264" s="115"/>
      <c r="BI1264" s="26"/>
      <c r="BJ1264" s="15"/>
      <c r="BM1264" s="114"/>
      <c r="BN1264" s="120"/>
    </row>
    <row r="1265" spans="1:69" x14ac:dyDescent="0.4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22"/>
      <c r="AS1265" s="122"/>
      <c r="AT1265" s="122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115"/>
      <c r="BF1265" s="115"/>
      <c r="BG1265" s="115"/>
      <c r="BH1265" s="115"/>
      <c r="BI1265" s="17"/>
      <c r="BJ1265" s="15"/>
      <c r="BM1265" s="114"/>
      <c r="BN1265" s="120"/>
    </row>
    <row r="1266" spans="1:69" x14ac:dyDescent="0.4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22"/>
      <c r="AS1266" s="122"/>
      <c r="AT1266" s="122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115"/>
      <c r="BG1266" s="115"/>
      <c r="BH1266" s="115"/>
      <c r="BI1266" s="26"/>
      <c r="BJ1266" s="15"/>
      <c r="BM1266" s="114"/>
      <c r="BN1266" s="120"/>
    </row>
    <row r="1267" spans="1:69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22"/>
      <c r="AS1267" s="122"/>
      <c r="AT1267" s="122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115"/>
      <c r="BF1267" s="115"/>
      <c r="BG1267" s="115"/>
      <c r="BH1267" s="115"/>
      <c r="BI1267" s="26"/>
      <c r="BJ1267" s="15"/>
      <c r="BM1267" s="114"/>
    </row>
    <row r="1268" spans="1:69" x14ac:dyDescent="0.4">
      <c r="BI1268" s="26"/>
      <c r="BJ1268" s="15"/>
      <c r="BM1268" s="114"/>
    </row>
    <row r="1269" spans="1:69" x14ac:dyDescent="0.4">
      <c r="AV1269" s="115"/>
      <c r="AW1269" s="115"/>
      <c r="AX1269" s="115"/>
      <c r="AY1269" s="115"/>
      <c r="AZ1269" s="115"/>
      <c r="BA1269" s="115"/>
      <c r="BB1269" s="115"/>
      <c r="BC1269" s="115"/>
      <c r="BD1269" s="115"/>
      <c r="BE1269" s="115"/>
      <c r="BF1269" s="115"/>
      <c r="BG1269" s="115"/>
      <c r="BH1269" s="115"/>
      <c r="BI1269" s="17"/>
      <c r="BJ1269" s="15"/>
      <c r="BM1269" s="114"/>
    </row>
    <row r="1270" spans="1:69" x14ac:dyDescent="0.4"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15"/>
      <c r="BG1270" s="115"/>
      <c r="BH1270" s="115"/>
      <c r="BI1270" s="17"/>
      <c r="BJ1270" s="15"/>
      <c r="BM1270" s="114"/>
    </row>
    <row r="1271" spans="1:69" x14ac:dyDescent="0.4">
      <c r="AT1271" s="122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115"/>
      <c r="BG1271" s="115"/>
      <c r="BH1271" s="115"/>
      <c r="BI1271" s="17"/>
      <c r="BJ1271" s="15"/>
      <c r="BM1271" s="114"/>
    </row>
    <row r="1272" spans="1:69" x14ac:dyDescent="0.4">
      <c r="AO1272" s="115"/>
      <c r="AP1272" s="115"/>
      <c r="AQ1272" s="115"/>
      <c r="AR1272" s="122"/>
      <c r="AS1272" s="122"/>
      <c r="AT1272" s="122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115"/>
      <c r="BG1272" s="115"/>
      <c r="BH1272" s="115"/>
      <c r="BI1272" s="26"/>
      <c r="BJ1272" s="15"/>
      <c r="BM1272" s="114"/>
    </row>
    <row r="1273" spans="1:69" x14ac:dyDescent="0.4">
      <c r="AO1273" s="115"/>
      <c r="AP1273" s="115"/>
      <c r="AQ1273" s="115"/>
      <c r="AR1273" s="122"/>
      <c r="AS1273" s="122"/>
      <c r="AT1273" s="122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115"/>
      <c r="BG1273" s="115"/>
      <c r="BH1273" s="115"/>
      <c r="BI1273" s="17"/>
      <c r="BJ1273" s="15"/>
      <c r="BM1273" s="114"/>
    </row>
    <row r="1274" spans="1:69" x14ac:dyDescent="0.4">
      <c r="AN1274" s="115"/>
      <c r="AO1274" s="115"/>
      <c r="AP1274" s="115"/>
      <c r="AQ1274" s="115"/>
      <c r="AR1274" s="122"/>
      <c r="AS1274" s="122"/>
      <c r="AT1274" s="122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115"/>
      <c r="BG1274" s="115"/>
      <c r="BH1274" s="115"/>
      <c r="BI1274" s="26"/>
      <c r="BJ1274" s="15"/>
      <c r="BM1274" s="114"/>
    </row>
    <row r="1275" spans="1:69" x14ac:dyDescent="0.4">
      <c r="AN1275" s="115"/>
      <c r="AO1275" s="115"/>
      <c r="AP1275" s="115"/>
      <c r="AQ1275" s="115"/>
      <c r="AR1275" s="122"/>
      <c r="AS1275" s="122"/>
      <c r="AT1275" s="122"/>
      <c r="AU1275" s="115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115"/>
      <c r="BF1275" s="115"/>
      <c r="BG1275" s="115"/>
      <c r="BH1275" s="115"/>
      <c r="BI1275" s="17"/>
      <c r="BJ1275" s="15"/>
      <c r="BM1275" s="114"/>
    </row>
    <row r="1276" spans="1:69" x14ac:dyDescent="0.4">
      <c r="AN1276" s="115"/>
      <c r="AO1276" s="115"/>
      <c r="AP1276" s="115"/>
      <c r="AQ1276" s="115"/>
      <c r="AR1276" s="122"/>
      <c r="AS1276" s="122"/>
      <c r="AT1276" s="122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115"/>
      <c r="BF1276" s="115"/>
      <c r="BG1276" s="115"/>
      <c r="BH1276" s="115"/>
      <c r="BI1276" s="17"/>
      <c r="BJ1276" s="15"/>
      <c r="BM1276" s="114"/>
    </row>
    <row r="1277" spans="1:69" x14ac:dyDescent="0.4">
      <c r="AN1277" s="115"/>
      <c r="AO1277" s="115"/>
      <c r="AP1277" s="115"/>
      <c r="AQ1277" s="115"/>
      <c r="AR1277" s="122"/>
      <c r="AS1277" s="122"/>
      <c r="AT1277" s="122"/>
      <c r="AU1277" s="115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115"/>
      <c r="BF1277" s="115"/>
      <c r="BG1277" s="115"/>
      <c r="BH1277" s="115"/>
      <c r="BI1277" s="17"/>
      <c r="BJ1277" s="15"/>
      <c r="BM1277" s="114"/>
    </row>
    <row r="1278" spans="1:69" x14ac:dyDescent="0.4">
      <c r="AN1278" s="115"/>
      <c r="AO1278" s="115"/>
      <c r="AP1278" s="115"/>
      <c r="AQ1278" s="115"/>
      <c r="AR1278" s="122"/>
      <c r="AS1278" s="122"/>
      <c r="AT1278" s="122"/>
      <c r="AU1278" s="115"/>
      <c r="AV1278" s="115"/>
      <c r="AW1278" s="115"/>
      <c r="AX1278" s="115"/>
      <c r="AY1278" s="115"/>
      <c r="AZ1278" s="115"/>
      <c r="BA1278" s="115"/>
      <c r="BB1278" s="115"/>
      <c r="BC1278" s="115"/>
      <c r="BD1278" s="115"/>
      <c r="BE1278" s="115"/>
      <c r="BF1278" s="115"/>
      <c r="BG1278" s="115"/>
      <c r="BH1278" s="115"/>
      <c r="BI1278" s="26"/>
      <c r="BJ1278" s="15"/>
      <c r="BM1278" s="114"/>
    </row>
    <row r="1279" spans="1:69" x14ac:dyDescent="0.4">
      <c r="AN1279" s="115"/>
      <c r="AO1279" s="115"/>
      <c r="AP1279" s="115"/>
      <c r="AQ1279" s="115"/>
      <c r="AR1279" s="122"/>
      <c r="AS1279" s="122"/>
      <c r="AT1279" s="122"/>
      <c r="AU1279" s="115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15"/>
      <c r="BF1279" s="115"/>
      <c r="BG1279" s="115"/>
      <c r="BH1279" s="115"/>
      <c r="BI1279" s="17"/>
      <c r="BJ1279" s="15"/>
      <c r="BM1279" s="114"/>
    </row>
    <row r="1280" spans="1:69" ht="19.5" x14ac:dyDescent="0.4">
      <c r="BI1280" s="26"/>
      <c r="BJ1280" s="15"/>
      <c r="BN1280" s="116"/>
      <c r="BO1280" s="116"/>
      <c r="BP1280" s="116"/>
      <c r="BQ1280" s="116"/>
    </row>
    <row r="1281" spans="1:69" ht="19.5" x14ac:dyDescent="0.4">
      <c r="AS1281" s="122"/>
      <c r="AT1281" s="122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15"/>
      <c r="BF1281" s="115"/>
      <c r="BG1281" s="115"/>
      <c r="BH1281" s="115"/>
      <c r="BI1281" s="17"/>
      <c r="BJ1281" s="15"/>
      <c r="BN1281" s="117"/>
      <c r="BO1281" s="116"/>
      <c r="BP1281" s="116"/>
      <c r="BQ1281" s="116"/>
    </row>
    <row r="1282" spans="1:69" ht="19.5" x14ac:dyDescent="0.4">
      <c r="AK1282" s="115"/>
      <c r="AL1282" s="115"/>
      <c r="AM1282" s="115"/>
      <c r="AN1282" s="115"/>
      <c r="AO1282" s="115"/>
      <c r="AP1282" s="115"/>
      <c r="AQ1282" s="115"/>
      <c r="AR1282" s="122"/>
      <c r="AS1282" s="122"/>
      <c r="AT1282" s="122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115"/>
      <c r="BF1282" s="115"/>
      <c r="BG1282" s="115"/>
      <c r="BH1282" s="115"/>
      <c r="BI1282" s="26"/>
      <c r="BJ1282" s="15"/>
      <c r="BN1282" s="117"/>
      <c r="BO1282" s="116"/>
      <c r="BP1282" s="116"/>
      <c r="BQ1282" s="116"/>
    </row>
    <row r="1283" spans="1:69" ht="19.5" x14ac:dyDescent="0.4"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22"/>
      <c r="AS1283" s="122"/>
      <c r="AT1283" s="122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115"/>
      <c r="BF1283" s="115"/>
      <c r="BG1283" s="115"/>
      <c r="BH1283" s="115"/>
      <c r="BI1283" s="26"/>
      <c r="BJ1283" s="13"/>
      <c r="BN1283" s="117"/>
      <c r="BO1283" s="116"/>
      <c r="BP1283" s="116"/>
      <c r="BQ1283" s="116"/>
    </row>
    <row r="1284" spans="1:69" ht="19.5" x14ac:dyDescent="0.4"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22"/>
      <c r="AS1284" s="122"/>
      <c r="AT1284" s="122"/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15"/>
      <c r="BF1284" s="115"/>
      <c r="BG1284" s="115"/>
      <c r="BH1284" s="115"/>
      <c r="BI1284" s="26"/>
      <c r="BJ1284" s="15"/>
      <c r="BN1284" s="117"/>
      <c r="BO1284" s="116"/>
      <c r="BP1284" s="116"/>
      <c r="BQ1284" s="116"/>
    </row>
    <row r="1285" spans="1:69" ht="19.5" x14ac:dyDescent="0.4"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22"/>
      <c r="AS1285" s="122"/>
      <c r="AT1285" s="122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15"/>
      <c r="BE1285" s="115"/>
      <c r="BF1285" s="115"/>
      <c r="BG1285" s="115"/>
      <c r="BH1285" s="115"/>
      <c r="BI1285" s="17"/>
      <c r="BJ1285" s="15"/>
      <c r="BN1285" s="117"/>
      <c r="BO1285" s="116"/>
      <c r="BP1285" s="116"/>
      <c r="BQ1285" s="116"/>
    </row>
    <row r="1286" spans="1:69" ht="19.5" x14ac:dyDescent="0.4"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22"/>
      <c r="AS1286" s="122"/>
      <c r="AT1286" s="122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115"/>
      <c r="BE1286" s="115"/>
      <c r="BF1286" s="115"/>
      <c r="BG1286" s="115"/>
      <c r="BH1286" s="115"/>
      <c r="BI1286" s="26"/>
      <c r="BJ1286" s="15"/>
      <c r="BN1286" s="117"/>
      <c r="BO1286" s="116"/>
      <c r="BP1286" s="116"/>
      <c r="BQ1286" s="116"/>
    </row>
    <row r="1287" spans="1:69" ht="19.5" x14ac:dyDescent="0.4"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22"/>
      <c r="AS1287" s="122"/>
      <c r="AT1287" s="122"/>
      <c r="AU1287" s="115"/>
      <c r="AV1287" s="115"/>
      <c r="AW1287" s="115"/>
      <c r="AX1287" s="115"/>
      <c r="AY1287" s="115"/>
      <c r="AZ1287" s="115"/>
      <c r="BA1287" s="115"/>
      <c r="BB1287" s="115"/>
      <c r="BC1287" s="115"/>
      <c r="BD1287" s="115"/>
      <c r="BE1287" s="115"/>
      <c r="BF1287" s="115"/>
      <c r="BG1287" s="115"/>
      <c r="BH1287" s="115"/>
      <c r="BI1287" s="26"/>
      <c r="BJ1287" s="15"/>
      <c r="BN1287" s="117"/>
      <c r="BO1287" s="116"/>
      <c r="BP1287" s="116"/>
      <c r="BQ1287" s="116"/>
    </row>
    <row r="1288" spans="1:69" ht="19.5" x14ac:dyDescent="0.4"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22"/>
      <c r="AS1288" s="122"/>
      <c r="AT1288" s="122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115"/>
      <c r="BF1288" s="115"/>
      <c r="BG1288" s="115"/>
      <c r="BH1288" s="115"/>
      <c r="BI1288" s="17"/>
      <c r="BJ1288" s="15"/>
      <c r="BN1288" s="117"/>
      <c r="BO1288" s="116"/>
      <c r="BP1288" s="116"/>
      <c r="BQ1288" s="116"/>
    </row>
    <row r="1289" spans="1:69" ht="19.5" x14ac:dyDescent="0.4"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22"/>
      <c r="AS1289" s="122"/>
      <c r="AT1289" s="122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15"/>
      <c r="BF1289" s="115"/>
      <c r="BG1289" s="115"/>
      <c r="BH1289" s="115"/>
      <c r="BI1289" s="26"/>
      <c r="BJ1289" s="15"/>
      <c r="BN1289" s="117"/>
      <c r="BO1289" s="116"/>
      <c r="BP1289" s="116"/>
      <c r="BQ1289" s="116"/>
    </row>
    <row r="1290" spans="1:69" ht="19.5" x14ac:dyDescent="0.4">
      <c r="BI1290" s="26"/>
      <c r="BJ1290" s="15"/>
      <c r="BN1290" s="117"/>
      <c r="BO1290" s="116"/>
      <c r="BP1290" s="116"/>
      <c r="BQ1290" s="116"/>
    </row>
    <row r="1291" spans="1:69" ht="19.5" x14ac:dyDescent="0.4">
      <c r="AS1291" s="122"/>
      <c r="AT1291" s="122"/>
      <c r="AU1291" s="115"/>
      <c r="AV1291" s="115"/>
      <c r="AW1291" s="115"/>
      <c r="AX1291" s="115"/>
      <c r="AY1291" s="115"/>
      <c r="AZ1291" s="115"/>
      <c r="BA1291" s="115"/>
      <c r="BB1291" s="115"/>
      <c r="BC1291" s="115"/>
      <c r="BD1291" s="115"/>
      <c r="BE1291" s="115"/>
      <c r="BF1291" s="115"/>
      <c r="BG1291" s="115"/>
      <c r="BH1291" s="115"/>
      <c r="BI1291" s="17"/>
      <c r="BJ1291" s="15"/>
      <c r="BN1291" s="117"/>
      <c r="BO1291" s="116"/>
      <c r="BP1291" s="116"/>
      <c r="BQ1291" s="116"/>
    </row>
    <row r="1292" spans="1:69" ht="19.5" x14ac:dyDescent="0.4">
      <c r="AP1292" s="115"/>
      <c r="AQ1292" s="115"/>
      <c r="AR1292" s="122"/>
      <c r="AS1292" s="122"/>
      <c r="AT1292" s="122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115"/>
      <c r="BF1292" s="115"/>
      <c r="BG1292" s="115"/>
      <c r="BH1292" s="115"/>
      <c r="BI1292" s="26"/>
      <c r="BJ1292" s="15"/>
      <c r="BN1292" s="117"/>
      <c r="BO1292" s="116"/>
      <c r="BP1292" s="116"/>
      <c r="BQ1292" s="116"/>
    </row>
    <row r="1293" spans="1:69" ht="19.5" x14ac:dyDescent="0.4">
      <c r="AP1293" s="115"/>
      <c r="AQ1293" s="115"/>
      <c r="AR1293" s="122"/>
      <c r="AS1293" s="122"/>
      <c r="AT1293" s="122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15"/>
      <c r="BF1293" s="115"/>
      <c r="BG1293" s="115"/>
      <c r="BH1293" s="115"/>
      <c r="BI1293" s="17"/>
      <c r="BJ1293" s="15"/>
      <c r="BN1293" s="117"/>
      <c r="BO1293" s="116"/>
      <c r="BP1293" s="116"/>
      <c r="BQ1293" s="116"/>
    </row>
    <row r="1294" spans="1:69" ht="19.5" x14ac:dyDescent="0.4">
      <c r="AO1294" s="115"/>
      <c r="AP1294" s="115"/>
      <c r="AQ1294" s="115"/>
      <c r="AR1294" s="122"/>
      <c r="AS1294" s="122"/>
      <c r="AT1294" s="122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115"/>
      <c r="BE1294" s="115"/>
      <c r="BF1294" s="115"/>
      <c r="BG1294" s="115"/>
      <c r="BH1294" s="115"/>
      <c r="BI1294" s="26"/>
      <c r="BJ1294" s="15"/>
      <c r="BN1294" s="117"/>
      <c r="BO1294" s="116"/>
      <c r="BP1294" s="116"/>
      <c r="BQ1294" s="116"/>
    </row>
    <row r="1295" spans="1:69" ht="19.5" x14ac:dyDescent="0.4">
      <c r="A1295" s="115"/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22"/>
      <c r="AS1295" s="122"/>
      <c r="AT1295" s="122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15"/>
      <c r="BF1295" s="115"/>
      <c r="BG1295" s="115"/>
      <c r="BH1295" s="115"/>
      <c r="BI1295" s="26"/>
      <c r="BJ1295" s="15"/>
      <c r="BN1295" s="117"/>
      <c r="BO1295" s="116"/>
      <c r="BP1295" s="116"/>
      <c r="BQ1295" s="116"/>
    </row>
    <row r="1296" spans="1:69" ht="19.5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22"/>
      <c r="AS1296" s="122"/>
      <c r="AT1296" s="122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115"/>
      <c r="BF1296" s="115"/>
      <c r="BG1296" s="115"/>
      <c r="BH1296" s="115"/>
      <c r="BI1296" s="26"/>
      <c r="BJ1296" s="15"/>
      <c r="BN1296" s="117"/>
      <c r="BO1296" s="116"/>
      <c r="BP1296" s="116"/>
      <c r="BQ1296" s="116"/>
    </row>
    <row r="1297" spans="1:69" ht="19.5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22"/>
      <c r="AS1297" s="122"/>
      <c r="AT1297" s="122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115"/>
      <c r="BE1297" s="115"/>
      <c r="BF1297" s="115"/>
      <c r="BG1297" s="115"/>
      <c r="BH1297" s="115"/>
      <c r="BI1297" s="26"/>
      <c r="BJ1297" s="15"/>
      <c r="BN1297" s="117"/>
      <c r="BO1297" s="116"/>
      <c r="BP1297" s="116"/>
      <c r="BQ1297" s="116"/>
    </row>
    <row r="1298" spans="1:69" ht="19.5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22"/>
      <c r="AS1298" s="122"/>
      <c r="AT1298" s="122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115"/>
      <c r="BF1298" s="115"/>
      <c r="BG1298" s="115"/>
      <c r="BH1298" s="115"/>
      <c r="BI1298" s="26"/>
      <c r="BJ1298" s="105"/>
      <c r="BN1298" s="117"/>
      <c r="BO1298" s="116"/>
      <c r="BP1298" s="116"/>
      <c r="BQ1298" s="116"/>
    </row>
    <row r="1299" spans="1:69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22"/>
      <c r="AS1299" s="122"/>
      <c r="AT1299" s="122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15"/>
      <c r="BF1299" s="115"/>
      <c r="BG1299" s="115"/>
      <c r="BH1299" s="115"/>
      <c r="BI1299" s="26"/>
      <c r="BJ1299" s="105"/>
      <c r="BN1299" s="117"/>
      <c r="BO1299" s="116"/>
      <c r="BP1299" s="116"/>
      <c r="BQ1299" s="116"/>
    </row>
    <row r="1300" spans="1:69" ht="19.5" x14ac:dyDescent="0.4">
      <c r="BI1300" s="26"/>
      <c r="BJ1300" s="13"/>
      <c r="BN1300" s="117"/>
      <c r="BO1300" s="116"/>
      <c r="BP1300" s="116"/>
      <c r="BQ1300" s="116"/>
    </row>
    <row r="1301" spans="1:69" ht="19.5" x14ac:dyDescent="0.4">
      <c r="AP1301" s="115"/>
      <c r="AQ1301" s="115"/>
      <c r="AR1301" s="122"/>
      <c r="AS1301" s="122"/>
      <c r="AT1301" s="122"/>
      <c r="AU1301" s="115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115"/>
      <c r="BF1301" s="115"/>
      <c r="BG1301" s="115"/>
      <c r="BH1301" s="115"/>
      <c r="BI1301" s="26"/>
      <c r="BJ1301" s="13"/>
      <c r="BN1301" s="117"/>
      <c r="BO1301" s="116"/>
      <c r="BP1301" s="116"/>
      <c r="BQ1301" s="116"/>
    </row>
    <row r="1302" spans="1:69" ht="19.5" x14ac:dyDescent="0.4">
      <c r="AK1302" s="115"/>
      <c r="AL1302" s="115"/>
      <c r="AM1302" s="115"/>
      <c r="AN1302" s="115"/>
      <c r="AO1302" s="115"/>
      <c r="AP1302" s="115"/>
      <c r="AQ1302" s="115"/>
      <c r="AR1302" s="122"/>
      <c r="AS1302" s="122"/>
      <c r="AT1302" s="122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15"/>
      <c r="BF1302" s="115"/>
      <c r="BG1302" s="115"/>
      <c r="BH1302" s="115"/>
      <c r="BI1302" s="26"/>
      <c r="BJ1302" s="13"/>
      <c r="BN1302" s="117"/>
      <c r="BO1302" s="116"/>
      <c r="BP1302" s="116"/>
      <c r="BQ1302" s="116"/>
    </row>
    <row r="1303" spans="1:69" ht="19.5" x14ac:dyDescent="0.4">
      <c r="BI1303" s="26"/>
      <c r="BJ1303" s="13"/>
      <c r="BN1303" s="117"/>
      <c r="BO1303" s="116"/>
      <c r="BP1303" s="116"/>
      <c r="BQ1303" s="116"/>
    </row>
    <row r="1304" spans="1:69" ht="19.5" x14ac:dyDescent="0.4"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22"/>
      <c r="AS1304" s="122"/>
      <c r="AT1304" s="122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15"/>
      <c r="BF1304" s="115"/>
      <c r="BG1304" s="115"/>
      <c r="BH1304" s="115"/>
      <c r="BI1304" s="26"/>
      <c r="BJ1304" s="13"/>
      <c r="BN1304" s="117"/>
      <c r="BO1304" s="116"/>
      <c r="BP1304" s="116"/>
      <c r="BQ1304" s="116"/>
    </row>
    <row r="1305" spans="1:69" ht="19.5" x14ac:dyDescent="0.4"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22"/>
      <c r="AS1305" s="122"/>
      <c r="AT1305" s="122"/>
      <c r="AU1305" s="115"/>
      <c r="AV1305" s="115"/>
      <c r="AW1305" s="115"/>
      <c r="AX1305" s="115"/>
      <c r="AY1305" s="115"/>
      <c r="AZ1305" s="115"/>
      <c r="BA1305" s="115"/>
      <c r="BB1305" s="115"/>
      <c r="BC1305" s="115"/>
      <c r="BD1305" s="115"/>
      <c r="BE1305" s="115"/>
      <c r="BF1305" s="115"/>
      <c r="BG1305" s="115"/>
      <c r="BH1305" s="115"/>
      <c r="BI1305" s="26"/>
      <c r="BJ1305" s="13"/>
      <c r="BN1305" s="117"/>
      <c r="BO1305" s="116"/>
      <c r="BP1305" s="116"/>
      <c r="BQ1305" s="116"/>
    </row>
    <row r="1306" spans="1:69" ht="19.5" x14ac:dyDescent="0.4"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22"/>
      <c r="AS1306" s="122"/>
      <c r="AT1306" s="122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15"/>
      <c r="BF1306" s="115"/>
      <c r="BG1306" s="115"/>
      <c r="BH1306" s="115"/>
      <c r="BI1306" s="26"/>
      <c r="BJ1306" s="13"/>
      <c r="BN1306" s="117"/>
      <c r="BO1306" s="116"/>
      <c r="BP1306" s="116"/>
      <c r="BQ1306" s="116"/>
    </row>
    <row r="1307" spans="1:69" ht="19.5" x14ac:dyDescent="0.4"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22"/>
      <c r="AS1307" s="122"/>
      <c r="AT1307" s="122"/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115"/>
      <c r="BF1307" s="115"/>
      <c r="BG1307" s="115"/>
      <c r="BH1307" s="115"/>
      <c r="BI1307" s="26"/>
      <c r="BJ1307" s="13"/>
      <c r="BN1307" s="117"/>
      <c r="BO1307" s="116"/>
      <c r="BP1307" s="116"/>
      <c r="BQ1307" s="116"/>
    </row>
    <row r="1308" spans="1:69" ht="19.5" x14ac:dyDescent="0.4"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22"/>
      <c r="AS1308" s="122"/>
      <c r="AT1308" s="122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15"/>
      <c r="BF1308" s="115"/>
      <c r="BG1308" s="115"/>
      <c r="BH1308" s="115"/>
      <c r="BI1308" s="26"/>
      <c r="BJ1308" s="13"/>
      <c r="BN1308" s="117"/>
      <c r="BO1308" s="116"/>
      <c r="BP1308" s="116"/>
      <c r="BQ1308" s="116"/>
    </row>
    <row r="1309" spans="1:69" ht="19.5" x14ac:dyDescent="0.4"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22"/>
      <c r="AS1309" s="122"/>
      <c r="AT1309" s="122"/>
      <c r="AU1309" s="115"/>
      <c r="AV1309" s="115"/>
      <c r="AW1309" s="115"/>
      <c r="AX1309" s="115"/>
      <c r="AY1309" s="115"/>
      <c r="AZ1309" s="115"/>
      <c r="BA1309" s="115"/>
      <c r="BB1309" s="115"/>
      <c r="BC1309" s="115"/>
      <c r="BD1309" s="115"/>
      <c r="BE1309" s="115"/>
      <c r="BF1309" s="115"/>
      <c r="BG1309" s="115"/>
      <c r="BH1309" s="115"/>
      <c r="BI1309" s="26"/>
      <c r="BJ1309" s="13"/>
      <c r="BN1309" s="117"/>
      <c r="BO1309" s="116"/>
      <c r="BP1309" s="116"/>
      <c r="BQ1309" s="116"/>
    </row>
    <row r="1310" spans="1:69" ht="19.5" x14ac:dyDescent="0.4"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22"/>
      <c r="AS1310" s="122"/>
      <c r="AT1310" s="122"/>
      <c r="AU1310" s="115"/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115"/>
      <c r="BF1310" s="115"/>
      <c r="BG1310" s="115"/>
      <c r="BH1310" s="115"/>
      <c r="BI1310" s="26"/>
      <c r="BJ1310" s="13"/>
      <c r="BN1310" s="117"/>
      <c r="BO1310" s="116"/>
      <c r="BP1310" s="116"/>
      <c r="BQ1310" s="116"/>
    </row>
    <row r="1311" spans="1:69" ht="19.5" x14ac:dyDescent="0.4"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22"/>
      <c r="AS1311" s="122"/>
      <c r="AT1311" s="122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115"/>
      <c r="BF1311" s="115"/>
      <c r="BG1311" s="115"/>
      <c r="BH1311" s="115"/>
      <c r="BI1311" s="26"/>
      <c r="BJ1311" s="13"/>
      <c r="BN1311" s="117"/>
      <c r="BO1311" s="116"/>
      <c r="BP1311" s="116"/>
      <c r="BQ1311" s="116"/>
    </row>
    <row r="1312" spans="1:69" ht="19.5" x14ac:dyDescent="0.4">
      <c r="BI1312" s="26"/>
      <c r="BJ1312" s="15"/>
      <c r="BN1312" s="117"/>
      <c r="BO1312" s="116"/>
      <c r="BP1312" s="116"/>
      <c r="BQ1312" s="116"/>
    </row>
    <row r="1313" spans="1:69" ht="19.5" x14ac:dyDescent="0.4"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22"/>
      <c r="AS1313" s="122"/>
      <c r="AT1313" s="122"/>
      <c r="AU1313" s="115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115"/>
      <c r="BF1313" s="115"/>
      <c r="BG1313" s="115"/>
      <c r="BH1313" s="115"/>
      <c r="BI1313" s="26"/>
      <c r="BJ1313" s="15"/>
      <c r="BN1313" s="117"/>
      <c r="BO1313" s="116"/>
      <c r="BP1313" s="116"/>
      <c r="BQ1313" s="116"/>
    </row>
    <row r="1314" spans="1:69" ht="19.5" x14ac:dyDescent="0.4"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22"/>
      <c r="AS1314" s="122"/>
      <c r="AT1314" s="122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115"/>
      <c r="BF1314" s="115"/>
      <c r="BG1314" s="115"/>
      <c r="BH1314" s="115"/>
      <c r="BI1314" s="17"/>
      <c r="BJ1314" s="15"/>
      <c r="BN1314" s="117"/>
      <c r="BO1314" s="116"/>
      <c r="BP1314" s="116"/>
      <c r="BQ1314" s="116"/>
    </row>
    <row r="1315" spans="1:69" ht="19.5" x14ac:dyDescent="0.4">
      <c r="BI1315" s="26"/>
      <c r="BJ1315" s="15"/>
      <c r="BN1315" s="117"/>
      <c r="BO1315" s="116"/>
      <c r="BP1315" s="116"/>
      <c r="BQ1315" s="116"/>
    </row>
    <row r="1316" spans="1:69" ht="19.5" x14ac:dyDescent="0.4">
      <c r="BI1316" s="26"/>
      <c r="BJ1316" s="13"/>
      <c r="BN1316" s="117"/>
      <c r="BO1316" s="116"/>
      <c r="BP1316" s="116"/>
      <c r="BQ1316" s="116"/>
    </row>
    <row r="1317" spans="1:69" ht="19.5" x14ac:dyDescent="0.4">
      <c r="AO1317" s="115"/>
      <c r="AP1317" s="115"/>
      <c r="AQ1317" s="115"/>
      <c r="AR1317" s="122"/>
      <c r="AS1317" s="122"/>
      <c r="AT1317" s="122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115"/>
      <c r="BE1317" s="115"/>
      <c r="BF1317" s="115"/>
      <c r="BG1317" s="115"/>
      <c r="BH1317" s="115"/>
      <c r="BI1317" s="26"/>
      <c r="BJ1317" s="13"/>
      <c r="BN1317" s="117"/>
      <c r="BO1317" s="116"/>
      <c r="BP1317" s="116"/>
      <c r="BQ1317" s="116"/>
    </row>
    <row r="1318" spans="1:69" ht="19.5" x14ac:dyDescent="0.4"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22"/>
      <c r="AS1318" s="122"/>
      <c r="AT1318" s="122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115"/>
      <c r="BF1318" s="115"/>
      <c r="BG1318" s="115"/>
      <c r="BH1318" s="115"/>
      <c r="BI1318" s="26"/>
      <c r="BJ1318" s="13"/>
      <c r="BN1318" s="117"/>
      <c r="BO1318" s="116"/>
      <c r="BP1318" s="116"/>
      <c r="BQ1318" s="116"/>
    </row>
    <row r="1319" spans="1:69" ht="19.5" x14ac:dyDescent="0.4"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22"/>
      <c r="AS1319" s="122"/>
      <c r="AT1319" s="122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115"/>
      <c r="BE1319" s="115"/>
      <c r="BF1319" s="115"/>
      <c r="BG1319" s="115"/>
      <c r="BH1319" s="115"/>
      <c r="BI1319" s="17"/>
      <c r="BJ1319" s="13"/>
      <c r="BN1319" s="117"/>
      <c r="BO1319" s="116"/>
      <c r="BP1319" s="116"/>
      <c r="BQ1319" s="116"/>
    </row>
    <row r="1320" spans="1:69" ht="19.5" x14ac:dyDescent="0.4"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22"/>
      <c r="AS1320" s="122"/>
      <c r="AT1320" s="122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115"/>
      <c r="BF1320" s="115"/>
      <c r="BG1320" s="115"/>
      <c r="BH1320" s="115"/>
      <c r="BI1320" s="26"/>
      <c r="BJ1320" s="25"/>
      <c r="BN1320" s="117"/>
      <c r="BO1320" s="116"/>
      <c r="BP1320" s="116"/>
      <c r="BQ1320" s="116"/>
    </row>
    <row r="1321" spans="1:69" ht="19.5" x14ac:dyDescent="0.4"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22"/>
      <c r="AS1321" s="122"/>
      <c r="AT1321" s="122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15"/>
      <c r="BF1321" s="115"/>
      <c r="BG1321" s="115"/>
      <c r="BH1321" s="115"/>
      <c r="BI1321" s="17"/>
      <c r="BJ1321" s="13"/>
      <c r="BN1321" s="117"/>
      <c r="BO1321" s="116"/>
      <c r="BP1321" s="116"/>
      <c r="BQ1321" s="116"/>
    </row>
    <row r="1322" spans="1:69" ht="19.5" x14ac:dyDescent="0.4"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22"/>
      <c r="AS1322" s="122"/>
      <c r="AT1322" s="122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115"/>
      <c r="BF1322" s="115"/>
      <c r="BG1322" s="115"/>
      <c r="BH1322" s="115"/>
      <c r="BI1322" s="26"/>
      <c r="BJ1322" s="13"/>
      <c r="BN1322" s="117"/>
      <c r="BO1322" s="116"/>
      <c r="BP1322" s="116"/>
      <c r="BQ1322" s="116"/>
    </row>
    <row r="1323" spans="1:69" ht="19.5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22"/>
      <c r="AS1323" s="122"/>
      <c r="AT1323" s="122"/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115"/>
      <c r="BF1323" s="115"/>
      <c r="BG1323" s="115"/>
      <c r="BH1323" s="115"/>
      <c r="BI1323" s="26"/>
      <c r="BJ1323" s="13"/>
      <c r="BN1323" s="117"/>
      <c r="BO1323" s="116"/>
      <c r="BP1323" s="116"/>
      <c r="BQ1323" s="116"/>
    </row>
    <row r="1324" spans="1:69" ht="19.5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22"/>
      <c r="AS1324" s="122"/>
      <c r="AT1324" s="122"/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15"/>
      <c r="BG1324" s="115"/>
      <c r="BH1324" s="115"/>
      <c r="BI1324" s="26"/>
      <c r="BJ1324" s="13"/>
      <c r="BN1324" s="117"/>
      <c r="BO1324" s="116"/>
      <c r="BP1324" s="116"/>
      <c r="BQ1324" s="116"/>
    </row>
    <row r="1325" spans="1:69" ht="19.5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22"/>
      <c r="AS1325" s="122"/>
      <c r="AT1325" s="122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115"/>
      <c r="BF1325" s="115"/>
      <c r="BG1325" s="115"/>
      <c r="BH1325" s="115"/>
      <c r="BI1325" s="26"/>
      <c r="BJ1325" s="13"/>
      <c r="BN1325" s="117"/>
      <c r="BO1325" s="116"/>
      <c r="BP1325" s="116"/>
      <c r="BQ1325" s="116"/>
    </row>
    <row r="1326" spans="1:69" ht="19.5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22"/>
      <c r="AS1326" s="122"/>
      <c r="AT1326" s="122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115"/>
      <c r="BF1326" s="115"/>
      <c r="BG1326" s="115"/>
      <c r="BH1326" s="115"/>
      <c r="BI1326" s="26"/>
      <c r="BJ1326" s="13"/>
      <c r="BN1326" s="117"/>
      <c r="BO1326" s="116"/>
      <c r="BP1326" s="116"/>
      <c r="BQ1326" s="116"/>
    </row>
    <row r="1327" spans="1:69" ht="19.5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22"/>
      <c r="AS1327" s="122"/>
      <c r="AT1327" s="122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115"/>
      <c r="BF1327" s="115"/>
      <c r="BG1327" s="115"/>
      <c r="BH1327" s="115"/>
      <c r="BI1327" s="26"/>
      <c r="BJ1327" s="13"/>
      <c r="BN1327" s="117"/>
      <c r="BO1327" s="116"/>
      <c r="BP1327" s="116"/>
      <c r="BQ1327" s="116"/>
    </row>
    <row r="1328" spans="1:69" ht="19.5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22"/>
      <c r="AS1328" s="122"/>
      <c r="AT1328" s="122"/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115"/>
      <c r="BE1328" s="115"/>
      <c r="BF1328" s="115"/>
      <c r="BG1328" s="115"/>
      <c r="BH1328" s="115"/>
      <c r="BI1328" s="26"/>
      <c r="BJ1328" s="13"/>
      <c r="BN1328" s="117"/>
      <c r="BO1328" s="116"/>
      <c r="BP1328" s="116"/>
      <c r="BQ1328" s="116"/>
    </row>
    <row r="1329" spans="1:69" ht="19.5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22"/>
      <c r="AS1329" s="122"/>
      <c r="AT1329" s="122"/>
      <c r="AU1329" s="115"/>
      <c r="AV1329" s="115"/>
      <c r="AW1329" s="115"/>
      <c r="AX1329" s="115"/>
      <c r="AY1329" s="115"/>
      <c r="AZ1329" s="115"/>
      <c r="BA1329" s="115"/>
      <c r="BB1329" s="115"/>
      <c r="BC1329" s="115"/>
      <c r="BD1329" s="115"/>
      <c r="BE1329" s="115"/>
      <c r="BF1329" s="115"/>
      <c r="BG1329" s="115"/>
      <c r="BH1329" s="115"/>
      <c r="BI1329" s="26"/>
      <c r="BJ1329" s="13"/>
      <c r="BN1329" s="117"/>
      <c r="BO1329" s="116"/>
      <c r="BP1329" s="116"/>
      <c r="BQ1329" s="116"/>
    </row>
    <row r="1330" spans="1:69" ht="19.5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22"/>
      <c r="AS1330" s="122"/>
      <c r="AT1330" s="122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15"/>
      <c r="BF1330" s="115"/>
      <c r="BG1330" s="115"/>
      <c r="BH1330" s="115"/>
      <c r="BI1330" s="26"/>
      <c r="BJ1330" s="15"/>
      <c r="BN1330" s="117"/>
      <c r="BO1330" s="116"/>
      <c r="BP1330" s="116"/>
      <c r="BQ1330" s="116"/>
    </row>
    <row r="1331" spans="1:69" ht="19.5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22"/>
      <c r="AS1331" s="122"/>
      <c r="AT1331" s="122"/>
      <c r="AU1331" s="115"/>
      <c r="AV1331" s="115"/>
      <c r="AW1331" s="115"/>
      <c r="AX1331" s="115"/>
      <c r="AY1331" s="115"/>
      <c r="AZ1331" s="115"/>
      <c r="BA1331" s="115"/>
      <c r="BB1331" s="115"/>
      <c r="BC1331" s="115"/>
      <c r="BD1331" s="115"/>
      <c r="BE1331" s="115"/>
      <c r="BF1331" s="115"/>
      <c r="BG1331" s="115"/>
      <c r="BH1331" s="115"/>
      <c r="BI1331" s="26"/>
      <c r="BJ1331" s="15"/>
      <c r="BN1331" s="117"/>
      <c r="BO1331" s="116"/>
      <c r="BP1331" s="116"/>
      <c r="BQ1331" s="116"/>
    </row>
    <row r="1332" spans="1:69" ht="19.5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22"/>
      <c r="AS1332" s="122"/>
      <c r="AT1332" s="122"/>
      <c r="AU1332" s="115"/>
      <c r="AV1332" s="115"/>
      <c r="AW1332" s="115"/>
      <c r="AX1332" s="115"/>
      <c r="AY1332" s="115"/>
      <c r="AZ1332" s="115"/>
      <c r="BA1332" s="115"/>
      <c r="BB1332" s="115"/>
      <c r="BC1332" s="115"/>
      <c r="BD1332" s="115"/>
      <c r="BE1332" s="115"/>
      <c r="BF1332" s="115"/>
      <c r="BG1332" s="115"/>
      <c r="BH1332" s="115"/>
      <c r="BI1332" s="26"/>
      <c r="BJ1332" s="15"/>
      <c r="BN1332" s="117"/>
      <c r="BO1332" s="116"/>
      <c r="BP1332" s="116"/>
      <c r="BQ1332" s="116"/>
    </row>
    <row r="1333" spans="1:69" ht="19.5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22"/>
      <c r="AS1333" s="122"/>
      <c r="AT1333" s="122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115"/>
      <c r="BE1333" s="115"/>
      <c r="BF1333" s="115"/>
      <c r="BG1333" s="115"/>
      <c r="BH1333" s="115"/>
      <c r="BI1333" s="26"/>
      <c r="BJ1333" s="15"/>
      <c r="BN1333" s="117"/>
      <c r="BO1333" s="116"/>
      <c r="BP1333" s="116"/>
      <c r="BQ1333" s="116"/>
    </row>
    <row r="1334" spans="1:69" ht="19.5" x14ac:dyDescent="0.4">
      <c r="A1334" s="115"/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22"/>
      <c r="AS1334" s="122"/>
      <c r="AT1334" s="122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115"/>
      <c r="BF1334" s="115"/>
      <c r="BG1334" s="115"/>
      <c r="BH1334" s="115"/>
      <c r="BI1334" s="26"/>
      <c r="BJ1334" s="25"/>
      <c r="BN1334" s="117"/>
      <c r="BO1334" s="116"/>
      <c r="BP1334" s="116"/>
      <c r="BQ1334" s="116"/>
    </row>
    <row r="1335" spans="1:69" ht="19.5" x14ac:dyDescent="0.4">
      <c r="BI1335" s="26"/>
      <c r="BJ1335" s="15"/>
      <c r="BN1335" s="117"/>
      <c r="BO1335" s="116"/>
      <c r="BP1335" s="116"/>
      <c r="BQ1335" s="116"/>
    </row>
    <row r="1336" spans="1:69" ht="19.5" x14ac:dyDescent="0.4">
      <c r="AQ1336" s="115"/>
      <c r="AR1336" s="122"/>
      <c r="AS1336" s="122"/>
      <c r="AT1336" s="122"/>
      <c r="AU1336" s="115"/>
      <c r="AV1336" s="115"/>
      <c r="AW1336" s="115"/>
      <c r="AX1336" s="115"/>
      <c r="AY1336" s="115"/>
      <c r="AZ1336" s="115"/>
      <c r="BA1336" s="115"/>
      <c r="BB1336" s="115"/>
      <c r="BC1336" s="115"/>
      <c r="BD1336" s="115"/>
      <c r="BE1336" s="115"/>
      <c r="BF1336" s="115"/>
      <c r="BG1336" s="115"/>
      <c r="BH1336" s="115"/>
      <c r="BI1336" s="26"/>
      <c r="BJ1336" s="15"/>
      <c r="BN1336" s="117"/>
      <c r="BO1336" s="116"/>
      <c r="BP1336" s="116"/>
      <c r="BQ1336" s="116"/>
    </row>
    <row r="1337" spans="1:69" ht="19.5" x14ac:dyDescent="0.4">
      <c r="AO1337" s="115"/>
      <c r="AP1337" s="115"/>
      <c r="AQ1337" s="115"/>
      <c r="AR1337" s="122"/>
      <c r="AS1337" s="122"/>
      <c r="AT1337" s="122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115"/>
      <c r="BF1337" s="115"/>
      <c r="BG1337" s="115"/>
      <c r="BH1337" s="115"/>
      <c r="BI1337" s="26"/>
      <c r="BJ1337" s="15"/>
      <c r="BN1337" s="117"/>
      <c r="BO1337" s="116"/>
      <c r="BP1337" s="116"/>
      <c r="BQ1337" s="116"/>
    </row>
    <row r="1338" spans="1:69" ht="19.5" x14ac:dyDescent="0.4">
      <c r="AO1338" s="115"/>
      <c r="AP1338" s="115"/>
      <c r="AQ1338" s="115"/>
      <c r="AR1338" s="122"/>
      <c r="AS1338" s="122"/>
      <c r="AT1338" s="122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115"/>
      <c r="BF1338" s="115"/>
      <c r="BG1338" s="115"/>
      <c r="BH1338" s="115"/>
      <c r="BI1338" s="17"/>
      <c r="BJ1338" s="15"/>
      <c r="BN1338" s="117"/>
      <c r="BO1338" s="116"/>
      <c r="BP1338" s="116"/>
      <c r="BQ1338" s="116"/>
    </row>
    <row r="1339" spans="1:69" ht="19.5" x14ac:dyDescent="0.4">
      <c r="AL1339" s="115"/>
      <c r="AM1339" s="115"/>
      <c r="AN1339" s="115"/>
      <c r="AO1339" s="115"/>
      <c r="AP1339" s="115"/>
      <c r="AQ1339" s="115"/>
      <c r="AR1339" s="122"/>
      <c r="AS1339" s="122"/>
      <c r="AT1339" s="122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15"/>
      <c r="BF1339" s="115"/>
      <c r="BG1339" s="115"/>
      <c r="BH1339" s="115"/>
      <c r="BI1339" s="26"/>
      <c r="BJ1339" s="15"/>
      <c r="BN1339" s="117"/>
      <c r="BO1339" s="116"/>
      <c r="BP1339" s="116"/>
      <c r="BQ1339" s="116"/>
    </row>
    <row r="1340" spans="1:69" ht="19.5" x14ac:dyDescent="0.4">
      <c r="AL1340" s="115"/>
      <c r="AM1340" s="115"/>
      <c r="AN1340" s="115"/>
      <c r="AO1340" s="115"/>
      <c r="AP1340" s="115"/>
      <c r="AQ1340" s="115"/>
      <c r="AR1340" s="122"/>
      <c r="AS1340" s="122"/>
      <c r="AT1340" s="122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115"/>
      <c r="BF1340" s="115"/>
      <c r="BG1340" s="115"/>
      <c r="BH1340" s="115"/>
      <c r="BI1340" s="17"/>
      <c r="BJ1340" s="15"/>
      <c r="BN1340" s="117"/>
      <c r="BO1340" s="116"/>
      <c r="BP1340" s="116"/>
      <c r="BQ1340" s="116"/>
    </row>
    <row r="1341" spans="1:69" ht="19.5" x14ac:dyDescent="0.4">
      <c r="AL1341" s="115"/>
      <c r="AM1341" s="115"/>
      <c r="AN1341" s="115"/>
      <c r="AO1341" s="115"/>
      <c r="AP1341" s="115"/>
      <c r="AQ1341" s="115"/>
      <c r="AR1341" s="122"/>
      <c r="AS1341" s="122"/>
      <c r="AT1341" s="122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15"/>
      <c r="BF1341" s="115"/>
      <c r="BG1341" s="115"/>
      <c r="BH1341" s="115"/>
      <c r="BI1341" s="26"/>
      <c r="BJ1341" s="15"/>
      <c r="BN1341" s="117"/>
      <c r="BO1341" s="116"/>
      <c r="BP1341" s="116"/>
      <c r="BQ1341" s="116"/>
    </row>
    <row r="1342" spans="1:69" ht="19.5" x14ac:dyDescent="0.4">
      <c r="AL1342" s="115"/>
      <c r="AM1342" s="115"/>
      <c r="AN1342" s="115"/>
      <c r="AO1342" s="115"/>
      <c r="AP1342" s="115"/>
      <c r="AQ1342" s="115"/>
      <c r="AR1342" s="122"/>
      <c r="AS1342" s="122"/>
      <c r="AT1342" s="122"/>
      <c r="AU1342" s="115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15"/>
      <c r="BF1342" s="115"/>
      <c r="BG1342" s="115"/>
      <c r="BH1342" s="115"/>
      <c r="BI1342" s="17"/>
      <c r="BJ1342" s="13"/>
      <c r="BN1342" s="117"/>
      <c r="BO1342" s="116"/>
      <c r="BP1342" s="116"/>
      <c r="BQ1342" s="116"/>
    </row>
    <row r="1343" spans="1:69" ht="19.5" x14ac:dyDescent="0.4">
      <c r="AL1343" s="115"/>
      <c r="AM1343" s="115"/>
      <c r="AN1343" s="115"/>
      <c r="AO1343" s="115"/>
      <c r="AP1343" s="115"/>
      <c r="AQ1343" s="115"/>
      <c r="AR1343" s="122"/>
      <c r="AS1343" s="122"/>
      <c r="AT1343" s="122"/>
      <c r="AU1343" s="115"/>
      <c r="AV1343" s="115"/>
      <c r="AW1343" s="115"/>
      <c r="AX1343" s="115"/>
      <c r="AY1343" s="115"/>
      <c r="AZ1343" s="115"/>
      <c r="BA1343" s="115"/>
      <c r="BB1343" s="115"/>
      <c r="BC1343" s="115"/>
      <c r="BD1343" s="115"/>
      <c r="BE1343" s="115"/>
      <c r="BF1343" s="115"/>
      <c r="BG1343" s="115"/>
      <c r="BH1343" s="115"/>
      <c r="BI1343" s="17"/>
      <c r="BJ1343" s="13"/>
      <c r="BN1343" s="117"/>
      <c r="BO1343" s="116"/>
      <c r="BP1343" s="116"/>
      <c r="BQ1343" s="116"/>
    </row>
    <row r="1344" spans="1:69" ht="19.5" x14ac:dyDescent="0.4">
      <c r="BI1344" s="26"/>
      <c r="BJ1344" s="13"/>
      <c r="BN1344" s="117"/>
      <c r="BO1344" s="116"/>
      <c r="BP1344" s="116"/>
      <c r="BQ1344" s="116"/>
    </row>
    <row r="1345" spans="1:69" ht="19.5" x14ac:dyDescent="0.4">
      <c r="AQ1345" s="115"/>
      <c r="AR1345" s="122"/>
      <c r="AS1345" s="122"/>
      <c r="AT1345" s="122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115"/>
      <c r="BF1345" s="115"/>
      <c r="BG1345" s="115"/>
      <c r="BH1345" s="115"/>
      <c r="BI1345" s="17"/>
      <c r="BJ1345" s="13"/>
      <c r="BN1345" s="117"/>
      <c r="BO1345" s="116"/>
      <c r="BP1345" s="116"/>
      <c r="BQ1345" s="116"/>
    </row>
    <row r="1346" spans="1:69" ht="19.5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22"/>
      <c r="AS1346" s="122"/>
      <c r="AT1346" s="122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15"/>
      <c r="BF1346" s="115"/>
      <c r="BG1346" s="115"/>
      <c r="BH1346" s="115"/>
      <c r="BI1346" s="26"/>
      <c r="BJ1346" s="13"/>
      <c r="BN1346" s="117"/>
      <c r="BO1346" s="116"/>
      <c r="BP1346" s="116"/>
      <c r="BQ1346" s="116"/>
    </row>
    <row r="1347" spans="1:69" ht="19.5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22"/>
      <c r="AS1347" s="122"/>
      <c r="AT1347" s="122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115"/>
      <c r="BF1347" s="115"/>
      <c r="BG1347" s="115"/>
      <c r="BH1347" s="115"/>
      <c r="BI1347" s="26"/>
      <c r="BJ1347" s="13"/>
      <c r="BN1347" s="117"/>
      <c r="BO1347" s="116"/>
      <c r="BP1347" s="116"/>
      <c r="BQ1347" s="116"/>
    </row>
    <row r="1348" spans="1:69" ht="19.5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22"/>
      <c r="AS1348" s="122"/>
      <c r="AT1348" s="122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115"/>
      <c r="BF1348" s="115"/>
      <c r="BG1348" s="115"/>
      <c r="BH1348" s="115"/>
      <c r="BI1348" s="26"/>
      <c r="BJ1348" s="13"/>
      <c r="BN1348" s="117"/>
      <c r="BO1348" s="116"/>
      <c r="BP1348" s="116"/>
      <c r="BQ1348" s="116"/>
    </row>
    <row r="1349" spans="1:69" ht="19.5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22"/>
      <c r="AS1349" s="122"/>
      <c r="AT1349" s="122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115"/>
      <c r="BF1349" s="115"/>
      <c r="BG1349" s="115"/>
      <c r="BH1349" s="115"/>
      <c r="BI1349" s="26"/>
      <c r="BJ1349" s="13"/>
      <c r="BN1349" s="117"/>
      <c r="BO1349" s="116"/>
      <c r="BP1349" s="116"/>
      <c r="BQ1349" s="116"/>
    </row>
    <row r="1350" spans="1:69" ht="19.5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22"/>
      <c r="AS1350" s="122"/>
      <c r="AT1350" s="122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115"/>
      <c r="BE1350" s="115"/>
      <c r="BF1350" s="115"/>
      <c r="BG1350" s="115"/>
      <c r="BH1350" s="115"/>
      <c r="BI1350" s="17"/>
      <c r="BJ1350" s="13"/>
      <c r="BN1350" s="117"/>
      <c r="BO1350" s="116"/>
      <c r="BP1350" s="116"/>
      <c r="BQ1350" s="116"/>
    </row>
    <row r="1351" spans="1:69" ht="19.5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22"/>
      <c r="AS1351" s="122"/>
      <c r="AT1351" s="122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115"/>
      <c r="BF1351" s="115"/>
      <c r="BG1351" s="115"/>
      <c r="BH1351" s="115"/>
      <c r="BI1351" s="26"/>
      <c r="BJ1351" s="13"/>
      <c r="BN1351" s="117"/>
      <c r="BO1351" s="116"/>
      <c r="BP1351" s="116"/>
      <c r="BQ1351" s="116"/>
    </row>
    <row r="1352" spans="1:69" ht="19.5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22"/>
      <c r="AS1352" s="122"/>
      <c r="AT1352" s="122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15"/>
      <c r="BE1352" s="115"/>
      <c r="BF1352" s="115"/>
      <c r="BG1352" s="115"/>
      <c r="BH1352" s="115"/>
      <c r="BI1352" s="26"/>
      <c r="BJ1352" s="15"/>
      <c r="BN1352" s="117"/>
      <c r="BO1352" s="116"/>
      <c r="BP1352" s="116"/>
      <c r="BQ1352" s="116"/>
    </row>
    <row r="1353" spans="1:69" ht="19.5" x14ac:dyDescent="0.4">
      <c r="BI1353" s="26"/>
      <c r="BJ1353" s="15"/>
      <c r="BN1353" s="117"/>
      <c r="BO1353" s="116"/>
      <c r="BP1353" s="116"/>
      <c r="BQ1353" s="116"/>
    </row>
    <row r="1354" spans="1:69" ht="19.5" x14ac:dyDescent="0.4">
      <c r="AP1354" s="115"/>
      <c r="AQ1354" s="115"/>
      <c r="AR1354" s="122"/>
      <c r="AS1354" s="122"/>
      <c r="AT1354" s="122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15"/>
      <c r="BF1354" s="115"/>
      <c r="BG1354" s="115"/>
      <c r="BH1354" s="115"/>
      <c r="BI1354" s="26"/>
      <c r="BJ1354" s="13"/>
      <c r="BN1354" s="117"/>
      <c r="BO1354" s="116"/>
      <c r="BP1354" s="116"/>
      <c r="BQ1354" s="116"/>
    </row>
    <row r="1355" spans="1:69" ht="19.5" x14ac:dyDescent="0.4">
      <c r="AN1355" s="115"/>
      <c r="AO1355" s="115"/>
      <c r="AP1355" s="115"/>
      <c r="AQ1355" s="115"/>
      <c r="AR1355" s="122"/>
      <c r="AS1355" s="122"/>
      <c r="AT1355" s="122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115"/>
      <c r="BE1355" s="115"/>
      <c r="BF1355" s="115"/>
      <c r="BG1355" s="115"/>
      <c r="BH1355" s="115"/>
      <c r="BI1355" s="26"/>
      <c r="BJ1355" s="15"/>
      <c r="BN1355" s="117"/>
      <c r="BO1355" s="116"/>
      <c r="BP1355" s="116"/>
      <c r="BQ1355" s="116"/>
    </row>
    <row r="1356" spans="1:69" ht="19.5" x14ac:dyDescent="0.4">
      <c r="AN1356" s="115"/>
      <c r="AO1356" s="115"/>
      <c r="AP1356" s="115"/>
      <c r="AQ1356" s="115"/>
      <c r="AR1356" s="122"/>
      <c r="AS1356" s="122"/>
      <c r="AT1356" s="122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15"/>
      <c r="BF1356" s="115"/>
      <c r="BG1356" s="115"/>
      <c r="BH1356" s="115"/>
      <c r="BI1356" s="26"/>
      <c r="BJ1356" s="15"/>
      <c r="BN1356" s="117"/>
      <c r="BO1356" s="116"/>
      <c r="BP1356" s="116"/>
      <c r="BQ1356" s="116"/>
    </row>
    <row r="1357" spans="1:69" ht="19.5" x14ac:dyDescent="0.4">
      <c r="AN1357" s="115"/>
      <c r="AO1357" s="115"/>
      <c r="AP1357" s="115"/>
      <c r="AQ1357" s="115"/>
      <c r="AR1357" s="122"/>
      <c r="AS1357" s="122"/>
      <c r="AT1357" s="122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115"/>
      <c r="BF1357" s="115"/>
      <c r="BG1357" s="115"/>
      <c r="BH1357" s="115"/>
      <c r="BI1357" s="17"/>
      <c r="BJ1357" s="15"/>
      <c r="BN1357" s="117"/>
      <c r="BO1357" s="116"/>
      <c r="BP1357" s="116"/>
      <c r="BQ1357" s="116"/>
    </row>
    <row r="1358" spans="1:69" ht="19.5" x14ac:dyDescent="0.4">
      <c r="AM1358" s="115"/>
      <c r="AN1358" s="115"/>
      <c r="AO1358" s="115"/>
      <c r="AP1358" s="115"/>
      <c r="AQ1358" s="115"/>
      <c r="AR1358" s="122"/>
      <c r="AS1358" s="122"/>
      <c r="AT1358" s="122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115"/>
      <c r="BF1358" s="115"/>
      <c r="BG1358" s="115"/>
      <c r="BH1358" s="115"/>
      <c r="BI1358" s="26"/>
      <c r="BJ1358" s="15"/>
      <c r="BN1358" s="117"/>
      <c r="BO1358" s="116"/>
      <c r="BP1358" s="116"/>
      <c r="BQ1358" s="116"/>
    </row>
    <row r="1359" spans="1:69" ht="19.5" x14ac:dyDescent="0.4">
      <c r="AM1359" s="115"/>
      <c r="AN1359" s="115"/>
      <c r="AO1359" s="115"/>
      <c r="AP1359" s="115"/>
      <c r="AQ1359" s="115"/>
      <c r="AR1359" s="122"/>
      <c r="AS1359" s="122"/>
      <c r="AT1359" s="122"/>
      <c r="AU1359" s="115"/>
      <c r="AV1359" s="115"/>
      <c r="AW1359" s="115"/>
      <c r="AX1359" s="115"/>
      <c r="AY1359" s="115"/>
      <c r="AZ1359" s="115"/>
      <c r="BA1359" s="115"/>
      <c r="BB1359" s="115"/>
      <c r="BC1359" s="115"/>
      <c r="BD1359" s="115"/>
      <c r="BE1359" s="115"/>
      <c r="BF1359" s="115"/>
      <c r="BG1359" s="115"/>
      <c r="BH1359" s="115"/>
      <c r="BI1359" s="26"/>
      <c r="BJ1359" s="15"/>
      <c r="BN1359" s="117"/>
      <c r="BO1359" s="116"/>
      <c r="BP1359" s="116"/>
      <c r="BQ1359" s="116"/>
    </row>
    <row r="1360" spans="1:69" ht="19.5" x14ac:dyDescent="0.4">
      <c r="AM1360" s="115"/>
      <c r="AN1360" s="115"/>
      <c r="AO1360" s="115"/>
      <c r="AP1360" s="115"/>
      <c r="AQ1360" s="115"/>
      <c r="AR1360" s="122"/>
      <c r="AS1360" s="122"/>
      <c r="AT1360" s="122"/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115"/>
      <c r="BE1360" s="115"/>
      <c r="BF1360" s="115"/>
      <c r="BG1360" s="115"/>
      <c r="BH1360" s="115"/>
      <c r="BI1360" s="26"/>
      <c r="BJ1360" s="105"/>
      <c r="BN1360" s="117"/>
      <c r="BO1360" s="116"/>
      <c r="BP1360" s="116"/>
      <c r="BQ1360" s="116"/>
    </row>
    <row r="1361" spans="1:69" ht="19.5" x14ac:dyDescent="0.4">
      <c r="AM1361" s="115"/>
      <c r="AN1361" s="115"/>
      <c r="AO1361" s="115"/>
      <c r="AP1361" s="115"/>
      <c r="AQ1361" s="115"/>
      <c r="AR1361" s="122"/>
      <c r="AS1361" s="122"/>
      <c r="AT1361" s="122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115"/>
      <c r="BE1361" s="115"/>
      <c r="BF1361" s="115"/>
      <c r="BG1361" s="115"/>
      <c r="BH1361" s="115"/>
      <c r="BI1361" s="17"/>
      <c r="BJ1361" s="15"/>
      <c r="BN1361" s="117"/>
      <c r="BO1361" s="116"/>
      <c r="BP1361" s="116"/>
      <c r="BQ1361" s="116"/>
    </row>
    <row r="1362" spans="1:69" ht="19.5" x14ac:dyDescent="0.4">
      <c r="AM1362" s="115"/>
      <c r="AN1362" s="115"/>
      <c r="AO1362" s="115"/>
      <c r="AP1362" s="115"/>
      <c r="AQ1362" s="115"/>
      <c r="AR1362" s="122"/>
      <c r="AS1362" s="122"/>
      <c r="AT1362" s="122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15"/>
      <c r="BE1362" s="115"/>
      <c r="BF1362" s="115"/>
      <c r="BG1362" s="115"/>
      <c r="BH1362" s="115"/>
      <c r="BI1362" s="26"/>
      <c r="BJ1362" s="15"/>
      <c r="BN1362" s="117"/>
      <c r="BO1362" s="116"/>
      <c r="BP1362" s="116"/>
      <c r="BQ1362" s="116"/>
    </row>
    <row r="1363" spans="1:69" ht="19.5" x14ac:dyDescent="0.4">
      <c r="AM1363" s="115"/>
      <c r="AN1363" s="115"/>
      <c r="AO1363" s="115"/>
      <c r="AP1363" s="115"/>
      <c r="AQ1363" s="115"/>
      <c r="AR1363" s="122"/>
      <c r="AS1363" s="122"/>
      <c r="AT1363" s="122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115"/>
      <c r="BF1363" s="115"/>
      <c r="BG1363" s="115"/>
      <c r="BH1363" s="115"/>
      <c r="BI1363" s="17"/>
      <c r="BJ1363" s="15"/>
      <c r="BN1363" s="117"/>
      <c r="BO1363" s="116"/>
      <c r="BP1363" s="116"/>
      <c r="BQ1363" s="116"/>
    </row>
    <row r="1364" spans="1:69" ht="19.5" x14ac:dyDescent="0.4"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22"/>
      <c r="AS1364" s="122"/>
      <c r="AT1364" s="122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15"/>
      <c r="BF1364" s="115"/>
      <c r="BG1364" s="115"/>
      <c r="BH1364" s="115"/>
      <c r="BI1364" s="26"/>
      <c r="BJ1364" s="15"/>
      <c r="BN1364" s="117"/>
      <c r="BO1364" s="116"/>
      <c r="BP1364" s="116"/>
      <c r="BQ1364" s="116"/>
    </row>
    <row r="1365" spans="1:69" ht="19.5" x14ac:dyDescent="0.4"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22"/>
      <c r="AS1365" s="122"/>
      <c r="AT1365" s="122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115"/>
      <c r="BF1365" s="115"/>
      <c r="BG1365" s="115"/>
      <c r="BH1365" s="115"/>
      <c r="BI1365" s="17"/>
      <c r="BJ1365" s="15"/>
      <c r="BN1365" s="117"/>
      <c r="BO1365" s="116"/>
      <c r="BP1365" s="116"/>
      <c r="BQ1365" s="116"/>
    </row>
    <row r="1366" spans="1:69" ht="19.5" x14ac:dyDescent="0.4"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22"/>
      <c r="AS1366" s="122"/>
      <c r="AT1366" s="122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15"/>
      <c r="BE1366" s="115"/>
      <c r="BF1366" s="115"/>
      <c r="BG1366" s="115"/>
      <c r="BH1366" s="115"/>
      <c r="BI1366" s="26"/>
      <c r="BJ1366" s="15"/>
      <c r="BN1366" s="117"/>
      <c r="BO1366" s="116"/>
      <c r="BP1366" s="116"/>
      <c r="BQ1366" s="116"/>
    </row>
    <row r="1367" spans="1:69" ht="19.5" x14ac:dyDescent="0.4"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22"/>
      <c r="AS1367" s="122"/>
      <c r="AT1367" s="122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115"/>
      <c r="BF1367" s="115"/>
      <c r="BG1367" s="115"/>
      <c r="BH1367" s="115"/>
      <c r="BI1367" s="17"/>
      <c r="BJ1367" s="15"/>
      <c r="BN1367" s="117"/>
      <c r="BO1367" s="116"/>
      <c r="BP1367" s="116"/>
      <c r="BQ1367" s="116"/>
    </row>
    <row r="1368" spans="1:69" ht="19.5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22"/>
      <c r="AS1368" s="122"/>
      <c r="AT1368" s="122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115"/>
      <c r="BF1368" s="115"/>
      <c r="BG1368" s="115"/>
      <c r="BH1368" s="115"/>
      <c r="BI1368" s="26"/>
      <c r="BJ1368" s="15"/>
      <c r="BN1368" s="117"/>
      <c r="BO1368" s="116"/>
      <c r="BP1368" s="116"/>
      <c r="BQ1368" s="116"/>
    </row>
    <row r="1369" spans="1:69" ht="19.5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22"/>
      <c r="AS1369" s="122"/>
      <c r="AT1369" s="122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115"/>
      <c r="BE1369" s="115"/>
      <c r="BF1369" s="115"/>
      <c r="BG1369" s="115"/>
      <c r="BH1369" s="115"/>
      <c r="BI1369" s="26"/>
      <c r="BJ1369" s="15"/>
      <c r="BN1369" s="117"/>
      <c r="BO1369" s="116"/>
      <c r="BP1369" s="116"/>
      <c r="BQ1369" s="116"/>
    </row>
    <row r="1370" spans="1:69" ht="19.5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22"/>
      <c r="AS1370" s="122"/>
      <c r="AT1370" s="122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115"/>
      <c r="BF1370" s="115"/>
      <c r="BG1370" s="115"/>
      <c r="BH1370" s="115"/>
      <c r="BI1370" s="26"/>
      <c r="BJ1370" s="15"/>
      <c r="BN1370" s="117"/>
      <c r="BO1370" s="116"/>
      <c r="BP1370" s="116"/>
      <c r="BQ1370" s="116"/>
    </row>
    <row r="1371" spans="1:69" ht="19.5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22"/>
      <c r="AS1371" s="122"/>
      <c r="AT1371" s="122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15"/>
      <c r="BF1371" s="115"/>
      <c r="BG1371" s="115"/>
      <c r="BH1371" s="115"/>
      <c r="BI1371" s="26"/>
      <c r="BJ1371" s="15"/>
      <c r="BN1371" s="117"/>
      <c r="BO1371" s="116"/>
      <c r="BP1371" s="116"/>
      <c r="BQ1371" s="116"/>
    </row>
    <row r="1372" spans="1:69" ht="19.5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22"/>
      <c r="AS1372" s="122"/>
      <c r="AT1372" s="122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15"/>
      <c r="BF1372" s="115"/>
      <c r="BG1372" s="115"/>
      <c r="BH1372" s="115"/>
      <c r="BI1372" s="26"/>
      <c r="BJ1372" s="15"/>
      <c r="BN1372" s="117"/>
      <c r="BO1372" s="116"/>
      <c r="BP1372" s="116"/>
      <c r="BQ1372" s="116"/>
    </row>
    <row r="1373" spans="1:69" ht="19.5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22"/>
      <c r="AS1373" s="122"/>
      <c r="AT1373" s="122"/>
      <c r="AU1373" s="115"/>
      <c r="AV1373" s="115"/>
      <c r="AW1373" s="115"/>
      <c r="AX1373" s="115"/>
      <c r="AY1373" s="115"/>
      <c r="AZ1373" s="115"/>
      <c r="BA1373" s="115"/>
      <c r="BB1373" s="115"/>
      <c r="BC1373" s="115"/>
      <c r="BD1373" s="115"/>
      <c r="BE1373" s="115"/>
      <c r="BF1373" s="115"/>
      <c r="BG1373" s="115"/>
      <c r="BH1373" s="115"/>
      <c r="BI1373" s="26"/>
      <c r="BJ1373" s="15"/>
      <c r="BN1373" s="117"/>
      <c r="BO1373" s="116"/>
      <c r="BP1373" s="116"/>
      <c r="BQ1373" s="116"/>
    </row>
    <row r="1374" spans="1:69" ht="19.5" x14ac:dyDescent="0.4">
      <c r="A1374" s="115"/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22"/>
      <c r="AS1374" s="122"/>
      <c r="AT1374" s="122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15"/>
      <c r="BF1374" s="115"/>
      <c r="BG1374" s="115"/>
      <c r="BH1374" s="115"/>
      <c r="BI1374" s="17"/>
      <c r="BJ1374" s="15"/>
      <c r="BN1374" s="117"/>
      <c r="BO1374" s="116"/>
      <c r="BP1374" s="116"/>
      <c r="BQ1374" s="116"/>
    </row>
    <row r="1375" spans="1:69" ht="19.5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22"/>
      <c r="AS1375" s="122"/>
      <c r="AT1375" s="122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15"/>
      <c r="BF1375" s="115"/>
      <c r="BG1375" s="115"/>
      <c r="BH1375" s="115"/>
      <c r="BI1375" s="26"/>
      <c r="BJ1375" s="15"/>
      <c r="BN1375" s="117"/>
      <c r="BO1375" s="116"/>
      <c r="BP1375" s="116"/>
      <c r="BQ1375" s="116"/>
    </row>
    <row r="1376" spans="1:69" ht="19.5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22"/>
      <c r="AS1376" s="122"/>
      <c r="AT1376" s="122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15"/>
      <c r="BF1376" s="115"/>
      <c r="BG1376" s="115"/>
      <c r="BH1376" s="115"/>
      <c r="BI1376" s="17"/>
      <c r="BJ1376" s="15"/>
      <c r="BN1376" s="117"/>
      <c r="BO1376" s="116"/>
      <c r="BP1376" s="116"/>
      <c r="BQ1376" s="116"/>
    </row>
    <row r="1377" spans="1:69" ht="19.5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22"/>
      <c r="AS1377" s="122"/>
      <c r="AT1377" s="122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15"/>
      <c r="BF1377" s="115"/>
      <c r="BG1377" s="115"/>
      <c r="BH1377" s="115"/>
      <c r="BI1377" s="26"/>
      <c r="BJ1377" s="15"/>
      <c r="BN1377" s="117"/>
      <c r="BO1377" s="116"/>
      <c r="BP1377" s="116"/>
      <c r="BQ1377" s="116"/>
    </row>
    <row r="1378" spans="1:69" ht="19.5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22"/>
      <c r="AS1378" s="122"/>
      <c r="AT1378" s="122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15"/>
      <c r="BF1378" s="115"/>
      <c r="BG1378" s="115"/>
      <c r="BH1378" s="115"/>
      <c r="BI1378" s="20"/>
      <c r="BJ1378" s="15"/>
      <c r="BN1378" s="117"/>
      <c r="BO1378" s="116"/>
      <c r="BP1378" s="116"/>
      <c r="BQ1378" s="116"/>
    </row>
    <row r="1379" spans="1:69" ht="19.5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22"/>
      <c r="AS1379" s="122"/>
      <c r="AT1379" s="122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15"/>
      <c r="BF1379" s="115"/>
      <c r="BG1379" s="115"/>
      <c r="BH1379" s="115"/>
      <c r="BI1379" s="20"/>
      <c r="BJ1379" s="15"/>
      <c r="BN1379" s="117"/>
      <c r="BO1379" s="116"/>
      <c r="BP1379" s="116"/>
      <c r="BQ1379" s="116"/>
    </row>
    <row r="1380" spans="1:69" ht="19.5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22"/>
      <c r="AS1380" s="122"/>
      <c r="AT1380" s="122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15"/>
      <c r="BF1380" s="115"/>
      <c r="BG1380" s="115"/>
      <c r="BH1380" s="115"/>
      <c r="BI1380" s="20"/>
      <c r="BJ1380" s="15"/>
      <c r="BN1380" s="117"/>
      <c r="BO1380" s="116"/>
      <c r="BP1380" s="116"/>
      <c r="BQ1380" s="116"/>
    </row>
    <row r="1381" spans="1:69" ht="19.5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22"/>
      <c r="AS1381" s="122"/>
      <c r="AT1381" s="122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15"/>
      <c r="BF1381" s="115"/>
      <c r="BG1381" s="115"/>
      <c r="BH1381" s="115"/>
      <c r="BI1381" s="20"/>
      <c r="BJ1381" s="15"/>
      <c r="BN1381" s="117"/>
      <c r="BO1381" s="116"/>
      <c r="BP1381" s="116"/>
      <c r="BQ1381" s="116"/>
    </row>
    <row r="1382" spans="1:69" ht="19.5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22"/>
      <c r="AS1382" s="122"/>
      <c r="AT1382" s="122"/>
      <c r="AU1382" s="115"/>
      <c r="AV1382" s="115"/>
      <c r="AW1382" s="115"/>
      <c r="AX1382" s="115"/>
      <c r="AY1382" s="115"/>
      <c r="AZ1382" s="115"/>
      <c r="BA1382" s="115"/>
      <c r="BB1382" s="115"/>
      <c r="BC1382" s="115"/>
      <c r="BD1382" s="115"/>
      <c r="BE1382" s="115"/>
      <c r="BF1382" s="115"/>
      <c r="BG1382" s="115"/>
      <c r="BH1382" s="115"/>
      <c r="BI1382" s="25"/>
      <c r="BJ1382" s="15"/>
      <c r="BN1382" s="117"/>
      <c r="BO1382" s="116"/>
      <c r="BP1382" s="116"/>
      <c r="BQ1382" s="116"/>
    </row>
    <row r="1383" spans="1:69" ht="19.5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22"/>
      <c r="AS1383" s="122"/>
      <c r="AT1383" s="122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115"/>
      <c r="BE1383" s="115"/>
      <c r="BF1383" s="115"/>
      <c r="BG1383" s="115"/>
      <c r="BH1383" s="115"/>
      <c r="BI1383" s="13"/>
      <c r="BJ1383" s="15"/>
      <c r="BN1383" s="117"/>
      <c r="BO1383" s="116"/>
      <c r="BP1383" s="116"/>
      <c r="BQ1383" s="116"/>
    </row>
    <row r="1384" spans="1:69" ht="19.5" x14ac:dyDescent="0.4">
      <c r="BI1384" s="25"/>
      <c r="BJ1384" s="15"/>
      <c r="BN1384" s="117"/>
      <c r="BO1384" s="116"/>
      <c r="BP1384" s="116"/>
      <c r="BQ1384" s="116"/>
    </row>
    <row r="1385" spans="1:69" ht="19.5" x14ac:dyDescent="0.4">
      <c r="AO1385" s="115"/>
      <c r="AP1385" s="115"/>
      <c r="AQ1385" s="115"/>
      <c r="AR1385" s="122"/>
      <c r="AS1385" s="122"/>
      <c r="AT1385" s="122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15"/>
      <c r="BF1385" s="115"/>
      <c r="BG1385" s="115"/>
      <c r="BH1385" s="115"/>
      <c r="BI1385" s="13"/>
      <c r="BJ1385" s="15"/>
      <c r="BN1385" s="117"/>
      <c r="BO1385" s="116"/>
      <c r="BP1385" s="116"/>
      <c r="BQ1385" s="116"/>
    </row>
    <row r="1386" spans="1:69" ht="19.5" x14ac:dyDescent="0.4"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22"/>
      <c r="AS1386" s="122"/>
      <c r="AT1386" s="122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15"/>
      <c r="BF1386" s="115"/>
      <c r="BG1386" s="115"/>
      <c r="BH1386" s="115"/>
      <c r="BI1386" s="25"/>
      <c r="BJ1386" s="15"/>
      <c r="BN1386" s="117"/>
      <c r="BO1386" s="116"/>
      <c r="BP1386" s="116"/>
      <c r="BQ1386" s="116"/>
    </row>
    <row r="1387" spans="1:69" ht="19.5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22"/>
      <c r="AS1387" s="122"/>
      <c r="AT1387" s="122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115"/>
      <c r="BF1387" s="115"/>
      <c r="BG1387" s="115"/>
      <c r="BH1387" s="115"/>
      <c r="BI1387" s="25"/>
      <c r="BJ1387" s="15"/>
      <c r="BN1387" s="117"/>
      <c r="BO1387" s="116"/>
      <c r="BP1387" s="116"/>
      <c r="BQ1387" s="116"/>
    </row>
    <row r="1388" spans="1:69" ht="19.5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22"/>
      <c r="AS1388" s="122"/>
      <c r="AT1388" s="122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15"/>
      <c r="BF1388" s="115"/>
      <c r="BG1388" s="115"/>
      <c r="BH1388" s="115"/>
      <c r="BI1388" s="13"/>
      <c r="BJ1388" s="15"/>
      <c r="BN1388" s="117"/>
      <c r="BO1388" s="116"/>
      <c r="BP1388" s="116"/>
      <c r="BQ1388" s="116"/>
    </row>
    <row r="1389" spans="1:69" ht="19.5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22"/>
      <c r="AS1389" s="122"/>
      <c r="AT1389" s="122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15"/>
      <c r="BF1389" s="115"/>
      <c r="BG1389" s="115"/>
      <c r="BH1389" s="115"/>
      <c r="BI1389" s="25"/>
      <c r="BJ1389" s="15"/>
      <c r="BN1389" s="117"/>
      <c r="BO1389" s="116"/>
      <c r="BP1389" s="116"/>
      <c r="BQ1389" s="116"/>
    </row>
    <row r="1390" spans="1:69" ht="19.5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22"/>
      <c r="AS1390" s="122"/>
      <c r="AT1390" s="122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15"/>
      <c r="BF1390" s="115"/>
      <c r="BG1390" s="115"/>
      <c r="BH1390" s="115"/>
      <c r="BI1390" s="13"/>
      <c r="BJ1390" s="15"/>
      <c r="BN1390" s="117"/>
      <c r="BO1390" s="116"/>
      <c r="BP1390" s="116"/>
      <c r="BQ1390" s="116"/>
    </row>
    <row r="1391" spans="1:69" ht="19.5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22"/>
      <c r="AS1391" s="122"/>
      <c r="AT1391" s="122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115"/>
      <c r="BE1391" s="115"/>
      <c r="BF1391" s="115"/>
      <c r="BG1391" s="115"/>
      <c r="BH1391" s="115"/>
      <c r="BI1391" s="25"/>
      <c r="BJ1391" s="15"/>
      <c r="BN1391" s="117"/>
      <c r="BO1391" s="116"/>
      <c r="BP1391" s="116"/>
      <c r="BQ1391" s="116"/>
    </row>
    <row r="1392" spans="1:69" ht="19.5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22"/>
      <c r="AS1392" s="122"/>
      <c r="AT1392" s="122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15"/>
      <c r="BF1392" s="115"/>
      <c r="BG1392" s="115"/>
      <c r="BH1392" s="115"/>
      <c r="BI1392" s="26"/>
      <c r="BJ1392" s="15"/>
      <c r="BN1392" s="117"/>
      <c r="BO1392" s="116"/>
      <c r="BP1392" s="116"/>
      <c r="BQ1392" s="116"/>
    </row>
    <row r="1393" spans="1:69" ht="19.5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22"/>
      <c r="AS1393" s="122"/>
      <c r="AT1393" s="122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115"/>
      <c r="BF1393" s="115"/>
      <c r="BG1393" s="115"/>
      <c r="BH1393" s="115"/>
      <c r="BI1393" s="17"/>
      <c r="BJ1393" s="13"/>
      <c r="BN1393" s="117"/>
      <c r="BO1393" s="116"/>
      <c r="BP1393" s="116"/>
      <c r="BQ1393" s="116"/>
    </row>
    <row r="1394" spans="1:69" ht="19.5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22"/>
      <c r="AS1394" s="122"/>
      <c r="AT1394" s="122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15"/>
      <c r="BF1394" s="115"/>
      <c r="BG1394" s="115"/>
      <c r="BH1394" s="115"/>
      <c r="BI1394" s="26"/>
      <c r="BJ1394" s="13"/>
      <c r="BN1394" s="117"/>
      <c r="BO1394" s="116"/>
      <c r="BP1394" s="116"/>
      <c r="BQ1394" s="116"/>
    </row>
    <row r="1395" spans="1:69" ht="19.5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22"/>
      <c r="AS1395" s="122"/>
      <c r="AT1395" s="122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15"/>
      <c r="BF1395" s="115"/>
      <c r="BG1395" s="115"/>
      <c r="BH1395" s="115"/>
      <c r="BI1395" s="17"/>
      <c r="BJ1395" s="13"/>
      <c r="BN1395" s="117"/>
      <c r="BO1395" s="116"/>
      <c r="BP1395" s="116"/>
      <c r="BQ1395" s="116"/>
    </row>
    <row r="1396" spans="1:69" ht="19.5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22"/>
      <c r="AS1396" s="122"/>
      <c r="AT1396" s="122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115"/>
      <c r="BF1396" s="115"/>
      <c r="BG1396" s="115"/>
      <c r="BH1396" s="115"/>
      <c r="BI1396" s="26"/>
      <c r="BJ1396" s="15"/>
      <c r="BN1396" s="117"/>
      <c r="BO1396" s="116"/>
      <c r="BP1396" s="116"/>
      <c r="BQ1396" s="116"/>
    </row>
    <row r="1397" spans="1:69" ht="19.5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22"/>
      <c r="AS1397" s="122"/>
      <c r="AT1397" s="122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15"/>
      <c r="BF1397" s="115"/>
      <c r="BG1397" s="115"/>
      <c r="BH1397" s="115"/>
      <c r="BI1397" s="17"/>
      <c r="BJ1397" s="15"/>
      <c r="BN1397" s="117"/>
      <c r="BO1397" s="116"/>
      <c r="BP1397" s="116"/>
      <c r="BQ1397" s="116"/>
    </row>
    <row r="1398" spans="1:69" ht="19.5" x14ac:dyDescent="0.4">
      <c r="BI1398" s="26"/>
      <c r="BJ1398" s="105"/>
      <c r="BN1398" s="117"/>
      <c r="BO1398" s="116"/>
      <c r="BP1398" s="116"/>
      <c r="BQ1398" s="116"/>
    </row>
    <row r="1399" spans="1:69" ht="19.5" x14ac:dyDescent="0.4">
      <c r="AO1399" s="115"/>
      <c r="AP1399" s="115"/>
      <c r="AQ1399" s="115"/>
      <c r="AR1399" s="122"/>
      <c r="AS1399" s="122"/>
      <c r="AT1399" s="122"/>
      <c r="AU1399" s="115"/>
      <c r="AV1399" s="115"/>
      <c r="AW1399" s="115"/>
      <c r="AX1399" s="115"/>
      <c r="AY1399" s="115"/>
      <c r="AZ1399" s="115"/>
      <c r="BA1399" s="115"/>
      <c r="BB1399" s="115"/>
      <c r="BC1399" s="115"/>
      <c r="BD1399" s="115"/>
      <c r="BE1399" s="115"/>
      <c r="BF1399" s="115"/>
      <c r="BG1399" s="115"/>
      <c r="BH1399" s="115"/>
      <c r="BI1399" s="17"/>
      <c r="BJ1399" s="15"/>
      <c r="BN1399" s="117"/>
      <c r="BO1399" s="116"/>
      <c r="BP1399" s="116"/>
      <c r="BQ1399" s="116"/>
    </row>
    <row r="1400" spans="1:69" ht="19.5" x14ac:dyDescent="0.4">
      <c r="AL1400" s="115"/>
      <c r="AM1400" s="115"/>
      <c r="AN1400" s="115"/>
      <c r="AO1400" s="115"/>
      <c r="AP1400" s="115"/>
      <c r="AQ1400" s="115"/>
      <c r="AR1400" s="122"/>
      <c r="AS1400" s="122"/>
      <c r="AT1400" s="122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15"/>
      <c r="BF1400" s="115"/>
      <c r="BG1400" s="115"/>
      <c r="BH1400" s="115"/>
      <c r="BI1400" s="26"/>
      <c r="BJ1400" s="15"/>
      <c r="BN1400" s="117"/>
      <c r="BO1400" s="116"/>
      <c r="BP1400" s="116"/>
      <c r="BQ1400" s="116"/>
    </row>
    <row r="1401" spans="1:69" ht="19.5" x14ac:dyDescent="0.4">
      <c r="AL1401" s="115"/>
      <c r="AM1401" s="115"/>
      <c r="AN1401" s="115"/>
      <c r="AO1401" s="115"/>
      <c r="AP1401" s="115"/>
      <c r="AQ1401" s="115"/>
      <c r="AR1401" s="122"/>
      <c r="AS1401" s="122"/>
      <c r="AT1401" s="122"/>
      <c r="AU1401" s="115"/>
      <c r="AV1401" s="115"/>
      <c r="AW1401" s="115"/>
      <c r="AX1401" s="115"/>
      <c r="AY1401" s="115"/>
      <c r="AZ1401" s="115"/>
      <c r="BA1401" s="115"/>
      <c r="BB1401" s="115"/>
      <c r="BC1401" s="115"/>
      <c r="BD1401" s="115"/>
      <c r="BE1401" s="115"/>
      <c r="BF1401" s="115"/>
      <c r="BG1401" s="115"/>
      <c r="BH1401" s="115"/>
      <c r="BI1401" s="17"/>
      <c r="BJ1401" s="15"/>
      <c r="BN1401" s="117"/>
      <c r="BO1401" s="116"/>
      <c r="BP1401" s="116"/>
      <c r="BQ1401" s="116"/>
    </row>
    <row r="1402" spans="1:69" ht="19.5" x14ac:dyDescent="0.4"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22"/>
      <c r="AS1402" s="122"/>
      <c r="AT1402" s="122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15"/>
      <c r="BF1402" s="115"/>
      <c r="BG1402" s="115"/>
      <c r="BH1402" s="115"/>
      <c r="BI1402" s="26"/>
      <c r="BJ1402" s="15"/>
      <c r="BN1402" s="117"/>
      <c r="BO1402" s="116"/>
      <c r="BP1402" s="116"/>
      <c r="BQ1402" s="116"/>
    </row>
    <row r="1403" spans="1:69" ht="19.5" x14ac:dyDescent="0.4"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22"/>
      <c r="AS1403" s="122"/>
      <c r="AT1403" s="122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115"/>
      <c r="BG1403" s="115"/>
      <c r="BH1403" s="115"/>
      <c r="BI1403" s="17"/>
      <c r="BJ1403" s="15"/>
      <c r="BN1403" s="117"/>
      <c r="BO1403" s="116"/>
      <c r="BP1403" s="116"/>
      <c r="BQ1403" s="116"/>
    </row>
    <row r="1404" spans="1:69" ht="19.5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22"/>
      <c r="AS1404" s="122"/>
      <c r="AT1404" s="122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115"/>
      <c r="BG1404" s="115"/>
      <c r="BH1404" s="115"/>
      <c r="BI1404" s="26"/>
      <c r="BJ1404" s="15"/>
      <c r="BN1404" s="117"/>
      <c r="BO1404" s="116"/>
      <c r="BP1404" s="116"/>
      <c r="BQ1404" s="116"/>
    </row>
    <row r="1405" spans="1:69" ht="19.5" x14ac:dyDescent="0.4">
      <c r="A1405" s="115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22"/>
      <c r="AS1405" s="122"/>
      <c r="AT1405" s="122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115"/>
      <c r="BF1405" s="115"/>
      <c r="BG1405" s="115"/>
      <c r="BH1405" s="115"/>
      <c r="BI1405" s="26"/>
      <c r="BJ1405" s="15"/>
      <c r="BN1405" s="117"/>
      <c r="BO1405" s="116"/>
      <c r="BP1405" s="116"/>
      <c r="BQ1405" s="116"/>
    </row>
    <row r="1406" spans="1:69" ht="19.5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22"/>
      <c r="AS1406" s="122"/>
      <c r="AT1406" s="122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115"/>
      <c r="BG1406" s="115"/>
      <c r="BH1406" s="115"/>
      <c r="BI1406" s="17"/>
      <c r="BJ1406" s="15"/>
      <c r="BN1406" s="117"/>
      <c r="BO1406" s="116"/>
      <c r="BP1406" s="116"/>
      <c r="BQ1406" s="116"/>
    </row>
    <row r="1407" spans="1:69" ht="19.5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22"/>
      <c r="AS1407" s="122"/>
      <c r="AT1407" s="122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115"/>
      <c r="BG1407" s="115"/>
      <c r="BH1407" s="115"/>
      <c r="BI1407" s="26"/>
      <c r="BJ1407" s="15"/>
      <c r="BN1407" s="117"/>
      <c r="BO1407" s="116"/>
      <c r="BP1407" s="116"/>
      <c r="BQ1407" s="116"/>
    </row>
    <row r="1408" spans="1:69" ht="19.5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22"/>
      <c r="AS1408" s="122"/>
      <c r="AT1408" s="122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115"/>
      <c r="BG1408" s="115"/>
      <c r="BH1408" s="115"/>
      <c r="BI1408" s="17"/>
      <c r="BJ1408" s="15"/>
      <c r="BN1408" s="117"/>
      <c r="BO1408" s="116"/>
      <c r="BP1408" s="116"/>
      <c r="BQ1408" s="116"/>
    </row>
    <row r="1409" spans="2:69" ht="19.5" x14ac:dyDescent="0.4">
      <c r="BI1409" s="26"/>
      <c r="BJ1409" s="15"/>
      <c r="BN1409" s="117"/>
      <c r="BO1409" s="116"/>
      <c r="BP1409" s="116"/>
      <c r="BQ1409" s="116"/>
    </row>
    <row r="1410" spans="2:69" ht="19.5" x14ac:dyDescent="0.4">
      <c r="AO1410" s="115"/>
      <c r="AP1410" s="115"/>
      <c r="AQ1410" s="115"/>
      <c r="AR1410" s="122"/>
      <c r="AS1410" s="122"/>
      <c r="AT1410" s="122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15"/>
      <c r="BF1410" s="115"/>
      <c r="BG1410" s="115"/>
      <c r="BH1410" s="115"/>
      <c r="BI1410" s="17"/>
      <c r="BJ1410" s="15"/>
      <c r="BN1410" s="117"/>
      <c r="BO1410" s="116"/>
      <c r="BP1410" s="116"/>
      <c r="BQ1410" s="116"/>
    </row>
    <row r="1411" spans="2:69" ht="19.5" x14ac:dyDescent="0.4">
      <c r="BI1411" s="26"/>
      <c r="BJ1411" s="15"/>
      <c r="BN1411" s="117"/>
      <c r="BO1411" s="116"/>
      <c r="BP1411" s="116"/>
      <c r="BQ1411" s="116"/>
    </row>
    <row r="1412" spans="2:69" ht="19.5" x14ac:dyDescent="0.4">
      <c r="AO1412" s="115"/>
      <c r="AP1412" s="115"/>
      <c r="AQ1412" s="115"/>
      <c r="AR1412" s="122"/>
      <c r="AS1412" s="122"/>
      <c r="AT1412" s="122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15"/>
      <c r="BG1412" s="115"/>
      <c r="BH1412" s="115"/>
      <c r="BI1412" s="17"/>
      <c r="BJ1412" s="15"/>
      <c r="BN1412" s="117"/>
      <c r="BO1412" s="116"/>
      <c r="BP1412" s="116"/>
      <c r="BQ1412" s="116"/>
    </row>
    <row r="1413" spans="2:69" ht="19.5" x14ac:dyDescent="0.4">
      <c r="BI1413" s="26"/>
      <c r="BJ1413" s="15"/>
      <c r="BN1413" s="117"/>
      <c r="BO1413" s="116"/>
      <c r="BP1413" s="116"/>
      <c r="BQ1413" s="116"/>
    </row>
    <row r="1414" spans="2:69" ht="19.5" x14ac:dyDescent="0.4">
      <c r="AO1414" s="115"/>
      <c r="AP1414" s="115"/>
      <c r="AQ1414" s="115"/>
      <c r="AR1414" s="122"/>
      <c r="AS1414" s="122"/>
      <c r="AT1414" s="122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115"/>
      <c r="BG1414" s="115"/>
      <c r="BH1414" s="115"/>
      <c r="BI1414" s="17"/>
      <c r="BJ1414" s="15"/>
      <c r="BN1414" s="117"/>
      <c r="BO1414" s="116"/>
      <c r="BP1414" s="116"/>
      <c r="BQ1414" s="116"/>
    </row>
    <row r="1415" spans="2:69" ht="19.5" x14ac:dyDescent="0.4"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22"/>
      <c r="AS1415" s="122"/>
      <c r="AT1415" s="122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115"/>
      <c r="BE1415" s="115"/>
      <c r="BF1415" s="115"/>
      <c r="BG1415" s="115"/>
      <c r="BH1415" s="115"/>
      <c r="BI1415" s="26"/>
      <c r="BJ1415" s="15"/>
      <c r="BN1415" s="117"/>
      <c r="BO1415" s="116"/>
      <c r="BP1415" s="116"/>
      <c r="BQ1415" s="116"/>
    </row>
    <row r="1416" spans="2:69" ht="19.5" x14ac:dyDescent="0.4"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22"/>
      <c r="AS1416" s="122"/>
      <c r="AT1416" s="122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115"/>
      <c r="BF1416" s="115"/>
      <c r="BG1416" s="115"/>
      <c r="BH1416" s="115"/>
      <c r="BI1416" s="17"/>
      <c r="BJ1416" s="15"/>
      <c r="BN1416" s="117"/>
      <c r="BO1416" s="116"/>
      <c r="BP1416" s="116"/>
      <c r="BQ1416" s="116"/>
    </row>
    <row r="1417" spans="2:69" ht="19.5" x14ac:dyDescent="0.4"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22"/>
      <c r="AS1417" s="122"/>
      <c r="AT1417" s="122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115"/>
      <c r="BG1417" s="115"/>
      <c r="BH1417" s="115"/>
      <c r="BI1417" s="26"/>
      <c r="BJ1417" s="15"/>
      <c r="BN1417" s="117"/>
      <c r="BO1417" s="116"/>
      <c r="BP1417" s="116"/>
      <c r="BQ1417" s="116"/>
    </row>
    <row r="1418" spans="2:69" ht="19.5" x14ac:dyDescent="0.4">
      <c r="BI1418" s="26"/>
      <c r="BJ1418" s="15"/>
      <c r="BN1418" s="117"/>
      <c r="BO1418" s="116"/>
      <c r="BP1418" s="116"/>
      <c r="BQ1418" s="116"/>
    </row>
    <row r="1419" spans="2:69" ht="19.5" x14ac:dyDescent="0.4">
      <c r="AO1419" s="115"/>
      <c r="AP1419" s="115"/>
      <c r="AQ1419" s="115"/>
      <c r="AR1419" s="122"/>
      <c r="AS1419" s="122"/>
      <c r="AT1419" s="122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15"/>
      <c r="BF1419" s="115"/>
      <c r="BG1419" s="115"/>
      <c r="BH1419" s="115"/>
      <c r="BI1419" s="17"/>
      <c r="BJ1419" s="15"/>
      <c r="BN1419" s="117"/>
      <c r="BO1419" s="116"/>
      <c r="BP1419" s="116"/>
      <c r="BQ1419" s="116"/>
    </row>
    <row r="1420" spans="2:69" ht="19.5" x14ac:dyDescent="0.4">
      <c r="AM1420" s="115"/>
      <c r="AN1420" s="115"/>
      <c r="AO1420" s="115"/>
      <c r="AP1420" s="115"/>
      <c r="AQ1420" s="115"/>
      <c r="AR1420" s="122"/>
      <c r="AS1420" s="122"/>
      <c r="AT1420" s="122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15"/>
      <c r="BF1420" s="115"/>
      <c r="BG1420" s="115"/>
      <c r="BH1420" s="115"/>
      <c r="BI1420" s="26"/>
      <c r="BJ1420" s="15"/>
      <c r="BN1420" s="117"/>
      <c r="BO1420" s="116"/>
      <c r="BP1420" s="116"/>
      <c r="BQ1420" s="116"/>
    </row>
    <row r="1421" spans="2:69" ht="19.5" x14ac:dyDescent="0.4">
      <c r="AM1421" s="115"/>
      <c r="AN1421" s="115"/>
      <c r="AO1421" s="115"/>
      <c r="AP1421" s="115"/>
      <c r="AQ1421" s="115"/>
      <c r="AR1421" s="122"/>
      <c r="AS1421" s="122"/>
      <c r="AT1421" s="122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115"/>
      <c r="BF1421" s="115"/>
      <c r="BG1421" s="115"/>
      <c r="BH1421" s="115"/>
      <c r="BI1421" s="17"/>
      <c r="BJ1421" s="13"/>
      <c r="BN1421" s="117"/>
      <c r="BO1421" s="116"/>
      <c r="BP1421" s="116"/>
      <c r="BQ1421" s="116"/>
    </row>
    <row r="1422" spans="2:69" ht="19.5" x14ac:dyDescent="0.4">
      <c r="AL1422" s="115"/>
      <c r="AM1422" s="115"/>
      <c r="AN1422" s="115"/>
      <c r="AO1422" s="115"/>
      <c r="AP1422" s="115"/>
      <c r="AQ1422" s="115"/>
      <c r="AR1422" s="122"/>
      <c r="AS1422" s="122"/>
      <c r="AT1422" s="122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15"/>
      <c r="BF1422" s="115"/>
      <c r="BG1422" s="115"/>
      <c r="BH1422" s="115"/>
      <c r="BI1422" s="26"/>
      <c r="BJ1422" s="13"/>
      <c r="BN1422" s="117"/>
      <c r="BO1422" s="116"/>
      <c r="BP1422" s="116"/>
      <c r="BQ1422" s="116"/>
    </row>
    <row r="1423" spans="2:69" ht="19.5" x14ac:dyDescent="0.4">
      <c r="AL1423" s="115"/>
      <c r="AM1423" s="115"/>
      <c r="AN1423" s="115"/>
      <c r="AO1423" s="115"/>
      <c r="AP1423" s="115"/>
      <c r="AQ1423" s="115"/>
      <c r="AR1423" s="122"/>
      <c r="AS1423" s="122"/>
      <c r="AT1423" s="122"/>
      <c r="AU1423" s="115"/>
      <c r="AV1423" s="115"/>
      <c r="AW1423" s="115"/>
      <c r="AX1423" s="115"/>
      <c r="AY1423" s="115"/>
      <c r="AZ1423" s="115"/>
      <c r="BA1423" s="115"/>
      <c r="BB1423" s="115"/>
      <c r="BC1423" s="115"/>
      <c r="BD1423" s="115"/>
      <c r="BE1423" s="115"/>
      <c r="BF1423" s="115"/>
      <c r="BG1423" s="115"/>
      <c r="BH1423" s="115"/>
      <c r="BI1423" s="17"/>
      <c r="BJ1423" s="13"/>
      <c r="BN1423" s="117"/>
      <c r="BO1423" s="116"/>
      <c r="BP1423" s="116"/>
      <c r="BQ1423" s="116"/>
    </row>
    <row r="1424" spans="2:69" ht="19.5" x14ac:dyDescent="0.4"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22"/>
      <c r="AS1424" s="122"/>
      <c r="AT1424" s="122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115"/>
      <c r="BG1424" s="115"/>
      <c r="BH1424" s="115"/>
      <c r="BI1424" s="26"/>
      <c r="BJ1424" s="15"/>
      <c r="BN1424" s="117"/>
      <c r="BO1424" s="116"/>
      <c r="BP1424" s="116"/>
      <c r="BQ1424" s="116"/>
    </row>
    <row r="1425" spans="1:69" ht="19.5" x14ac:dyDescent="0.4"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22"/>
      <c r="AS1425" s="122"/>
      <c r="AT1425" s="122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115"/>
      <c r="BG1425" s="115"/>
      <c r="BH1425" s="115"/>
      <c r="BI1425" s="17"/>
      <c r="BJ1425" s="15"/>
      <c r="BN1425" s="117"/>
      <c r="BO1425" s="116"/>
      <c r="BP1425" s="116"/>
      <c r="BQ1425" s="116"/>
    </row>
    <row r="1426" spans="1:69" ht="19.5" x14ac:dyDescent="0.4"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22"/>
      <c r="AS1426" s="122"/>
      <c r="AT1426" s="122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15"/>
      <c r="BF1426" s="115"/>
      <c r="BG1426" s="115"/>
      <c r="BH1426" s="115"/>
      <c r="BI1426" s="26"/>
      <c r="BJ1426" s="105"/>
      <c r="BN1426" s="117"/>
      <c r="BO1426" s="116"/>
      <c r="BP1426" s="116"/>
      <c r="BQ1426" s="116"/>
    </row>
    <row r="1427" spans="1:69" ht="19.5" x14ac:dyDescent="0.4"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22"/>
      <c r="AS1427" s="122"/>
      <c r="AT1427" s="122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15"/>
      <c r="BF1427" s="115"/>
      <c r="BG1427" s="115"/>
      <c r="BH1427" s="115"/>
      <c r="BI1427" s="17"/>
      <c r="BJ1427" s="15"/>
      <c r="BN1427" s="117"/>
      <c r="BO1427" s="116"/>
      <c r="BP1427" s="116"/>
      <c r="BQ1427" s="116"/>
    </row>
    <row r="1428" spans="1:69" ht="19.5" x14ac:dyDescent="0.4"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22"/>
      <c r="AS1428" s="122"/>
      <c r="AT1428" s="122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15"/>
      <c r="BF1428" s="115"/>
      <c r="BG1428" s="115"/>
      <c r="BH1428" s="115"/>
      <c r="BI1428" s="26"/>
      <c r="BJ1428" s="15"/>
      <c r="BN1428" s="117"/>
      <c r="BO1428" s="116"/>
      <c r="BP1428" s="116"/>
      <c r="BQ1428" s="116"/>
    </row>
    <row r="1429" spans="1:69" ht="19.5" x14ac:dyDescent="0.4"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22"/>
      <c r="AS1429" s="122"/>
      <c r="AT1429" s="122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15"/>
      <c r="BG1429" s="115"/>
      <c r="BH1429" s="115"/>
      <c r="BI1429" s="26"/>
      <c r="BJ1429" s="15"/>
      <c r="BN1429" s="117"/>
      <c r="BO1429" s="116"/>
      <c r="BP1429" s="116"/>
      <c r="BQ1429" s="116"/>
    </row>
    <row r="1430" spans="1:69" ht="19.5" x14ac:dyDescent="0.4">
      <c r="BI1430" s="26"/>
      <c r="BJ1430" s="15"/>
      <c r="BN1430" s="117"/>
      <c r="BO1430" s="116"/>
      <c r="BP1430" s="116"/>
      <c r="BQ1430" s="116"/>
    </row>
    <row r="1431" spans="1:69" ht="19.5" x14ac:dyDescent="0.4">
      <c r="AN1431" s="115"/>
      <c r="AO1431" s="115"/>
      <c r="AP1431" s="115"/>
      <c r="AQ1431" s="115"/>
      <c r="AR1431" s="122"/>
      <c r="AS1431" s="122"/>
      <c r="AT1431" s="122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15"/>
      <c r="BG1431" s="115"/>
      <c r="BH1431" s="115"/>
      <c r="BI1431" s="26"/>
      <c r="BJ1431" s="15"/>
      <c r="BN1431" s="117"/>
      <c r="BO1431" s="116"/>
      <c r="BP1431" s="116"/>
      <c r="BQ1431" s="116"/>
    </row>
    <row r="1432" spans="1:69" ht="19.5" x14ac:dyDescent="0.4">
      <c r="A1432" s="115"/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22"/>
      <c r="AS1432" s="122"/>
      <c r="AT1432" s="122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15"/>
      <c r="BF1432" s="115"/>
      <c r="BG1432" s="115"/>
      <c r="BH1432" s="115"/>
      <c r="BI1432" s="26"/>
      <c r="BJ1432" s="15"/>
      <c r="BN1432" s="117"/>
      <c r="BO1432" s="116"/>
      <c r="BP1432" s="116"/>
      <c r="BQ1432" s="116"/>
    </row>
    <row r="1433" spans="1:69" ht="19.5" x14ac:dyDescent="0.4">
      <c r="A1433" s="115"/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22"/>
      <c r="AS1433" s="122"/>
      <c r="AT1433" s="122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15"/>
      <c r="BG1433" s="115"/>
      <c r="BH1433" s="115"/>
      <c r="BI1433" s="26"/>
      <c r="BJ1433" s="15"/>
      <c r="BN1433" s="117"/>
      <c r="BO1433" s="116"/>
      <c r="BP1433" s="116"/>
      <c r="BQ1433" s="116"/>
    </row>
    <row r="1434" spans="1:69" ht="19.5" x14ac:dyDescent="0.4">
      <c r="A1434" s="115"/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22"/>
      <c r="AS1434" s="122"/>
      <c r="AT1434" s="122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15"/>
      <c r="BF1434" s="115"/>
      <c r="BG1434" s="115"/>
      <c r="BH1434" s="115"/>
      <c r="BI1434" s="17"/>
      <c r="BJ1434" s="15"/>
      <c r="BN1434" s="117"/>
      <c r="BO1434" s="116"/>
      <c r="BP1434" s="116"/>
      <c r="BQ1434" s="116"/>
    </row>
    <row r="1435" spans="1:69" ht="19.5" x14ac:dyDescent="0.4">
      <c r="BI1435" s="26"/>
      <c r="BJ1435" s="15"/>
      <c r="BN1435" s="117"/>
      <c r="BO1435" s="116"/>
      <c r="BP1435" s="116"/>
      <c r="BQ1435" s="116"/>
    </row>
    <row r="1436" spans="1:69" ht="19.5" x14ac:dyDescent="0.4">
      <c r="AO1436" s="115"/>
      <c r="AP1436" s="115"/>
      <c r="AQ1436" s="115"/>
      <c r="AR1436" s="122"/>
      <c r="AS1436" s="122"/>
      <c r="AT1436" s="122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115"/>
      <c r="BG1436" s="115"/>
      <c r="BH1436" s="115"/>
      <c r="BI1436" s="17"/>
      <c r="BJ1436" s="15"/>
      <c r="BN1436" s="117"/>
      <c r="BO1436" s="116"/>
      <c r="BP1436" s="116"/>
      <c r="BQ1436" s="116"/>
    </row>
    <row r="1437" spans="1:69" ht="19.5" x14ac:dyDescent="0.4">
      <c r="AN1437" s="115"/>
      <c r="AO1437" s="115"/>
      <c r="AP1437" s="115"/>
      <c r="AQ1437" s="115"/>
      <c r="AR1437" s="122"/>
      <c r="AS1437" s="122"/>
      <c r="AT1437" s="122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115"/>
      <c r="BH1437" s="115"/>
      <c r="BI1437" s="26"/>
      <c r="BJ1437" s="15"/>
      <c r="BN1437" s="117"/>
      <c r="BO1437" s="116"/>
      <c r="BP1437" s="116"/>
      <c r="BQ1437" s="116"/>
    </row>
    <row r="1438" spans="1:69" ht="19.5" x14ac:dyDescent="0.4"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22"/>
      <c r="AS1438" s="122"/>
      <c r="AT1438" s="122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15"/>
      <c r="BF1438" s="115"/>
      <c r="BG1438" s="115"/>
      <c r="BH1438" s="115"/>
      <c r="BI1438" s="26"/>
      <c r="BJ1438" s="15"/>
      <c r="BN1438" s="117"/>
      <c r="BO1438" s="116"/>
      <c r="BP1438" s="116"/>
      <c r="BQ1438" s="116"/>
    </row>
    <row r="1439" spans="1:69" ht="19.5" x14ac:dyDescent="0.4"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22"/>
      <c r="AS1439" s="122"/>
      <c r="AT1439" s="122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115"/>
      <c r="BG1439" s="115"/>
      <c r="BH1439" s="115"/>
      <c r="BI1439" s="26"/>
      <c r="BJ1439" s="15"/>
      <c r="BN1439" s="117"/>
      <c r="BO1439" s="116"/>
      <c r="BP1439" s="116"/>
      <c r="BQ1439" s="116"/>
    </row>
    <row r="1440" spans="1:69" ht="19.5" x14ac:dyDescent="0.4"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22"/>
      <c r="AS1440" s="122"/>
      <c r="AT1440" s="122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115"/>
      <c r="BG1440" s="115"/>
      <c r="BH1440" s="115"/>
      <c r="BI1440" s="26"/>
      <c r="BJ1440" s="15"/>
      <c r="BN1440" s="117"/>
      <c r="BO1440" s="116"/>
      <c r="BP1440" s="116"/>
      <c r="BQ1440" s="116"/>
    </row>
    <row r="1441" spans="1:69" ht="19.5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22"/>
      <c r="AS1441" s="122"/>
      <c r="AT1441" s="122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15"/>
      <c r="BE1441" s="115"/>
      <c r="BF1441" s="115"/>
      <c r="BG1441" s="115"/>
      <c r="BH1441" s="115"/>
      <c r="BI1441" s="26"/>
      <c r="BJ1441" s="15"/>
      <c r="BN1441" s="117"/>
      <c r="BO1441" s="116"/>
      <c r="BP1441" s="116"/>
      <c r="BQ1441" s="116"/>
    </row>
    <row r="1442" spans="1:69" ht="19.5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22"/>
      <c r="AS1442" s="122"/>
      <c r="AT1442" s="122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115"/>
      <c r="BG1442" s="115"/>
      <c r="BH1442" s="115"/>
      <c r="BI1442" s="26"/>
      <c r="BJ1442" s="15"/>
      <c r="BN1442" s="117"/>
      <c r="BO1442" s="116"/>
      <c r="BP1442" s="116"/>
      <c r="BQ1442" s="116"/>
    </row>
    <row r="1443" spans="1:69" ht="19.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22"/>
      <c r="AS1443" s="122"/>
      <c r="AT1443" s="122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15"/>
      <c r="BE1443" s="115"/>
      <c r="BF1443" s="115"/>
      <c r="BG1443" s="115"/>
      <c r="BH1443" s="115"/>
      <c r="BI1443" s="17"/>
      <c r="BJ1443" s="15"/>
      <c r="BN1443" s="117"/>
      <c r="BO1443" s="116"/>
      <c r="BP1443" s="116"/>
      <c r="BQ1443" s="116"/>
    </row>
    <row r="1444" spans="1:69" ht="19.5" x14ac:dyDescent="0.4">
      <c r="BI1444" s="26"/>
      <c r="BJ1444" s="15"/>
      <c r="BN1444" s="117"/>
      <c r="BO1444" s="116"/>
      <c r="BP1444" s="116"/>
      <c r="BQ1444" s="116"/>
    </row>
    <row r="1445" spans="1:69" ht="19.5" x14ac:dyDescent="0.4">
      <c r="AO1445" s="115"/>
      <c r="AP1445" s="115"/>
      <c r="AQ1445" s="115"/>
      <c r="AR1445" s="122"/>
      <c r="AS1445" s="122"/>
      <c r="AT1445" s="122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115"/>
      <c r="BG1445" s="115"/>
      <c r="BH1445" s="115"/>
      <c r="BI1445" s="17"/>
      <c r="BJ1445" s="13"/>
      <c r="BN1445" s="117"/>
      <c r="BO1445" s="116"/>
      <c r="BP1445" s="116"/>
      <c r="BQ1445" s="116"/>
    </row>
    <row r="1446" spans="1:69" ht="19.5" x14ac:dyDescent="0.4">
      <c r="AO1446" s="115"/>
      <c r="AP1446" s="115"/>
      <c r="AQ1446" s="115"/>
      <c r="AR1446" s="122"/>
      <c r="AS1446" s="122"/>
      <c r="AT1446" s="122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115"/>
      <c r="BG1446" s="115"/>
      <c r="BH1446" s="115"/>
      <c r="BI1446" s="17"/>
      <c r="BJ1446" s="13"/>
      <c r="BN1446" s="117"/>
      <c r="BO1446" s="116"/>
      <c r="BP1446" s="116"/>
      <c r="BQ1446" s="116"/>
    </row>
    <row r="1447" spans="1:69" ht="19.5" x14ac:dyDescent="0.4">
      <c r="BI1447" s="26"/>
      <c r="BJ1447" s="13"/>
      <c r="BN1447" s="117"/>
      <c r="BO1447" s="116"/>
      <c r="BP1447" s="116"/>
      <c r="BQ1447" s="116"/>
    </row>
    <row r="1448" spans="1:69" ht="19.5" x14ac:dyDescent="0.4">
      <c r="BI1448" s="26"/>
      <c r="BJ1448" s="13"/>
      <c r="BN1448" s="116"/>
      <c r="BO1448" s="116"/>
      <c r="BP1448" s="116"/>
      <c r="BQ1448" s="116"/>
    </row>
    <row r="1449" spans="1:69" ht="19.5" x14ac:dyDescent="0.4"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22"/>
      <c r="AS1449" s="122"/>
      <c r="AT1449" s="122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15"/>
      <c r="BG1449" s="115"/>
      <c r="BH1449" s="115"/>
      <c r="BI1449" s="26"/>
      <c r="BJ1449" s="13"/>
      <c r="BN1449" s="118"/>
      <c r="BO1449" s="118"/>
      <c r="BP1449" s="118"/>
      <c r="BQ1449" s="118"/>
    </row>
    <row r="1450" spans="1:69" ht="19.5" x14ac:dyDescent="0.4"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22"/>
      <c r="AS1450" s="122"/>
      <c r="AT1450" s="122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115"/>
      <c r="BG1450" s="115"/>
      <c r="BH1450" s="115"/>
      <c r="BI1450" s="26"/>
      <c r="BJ1450" s="13"/>
      <c r="BN1450" s="118"/>
      <c r="BO1450" s="118"/>
      <c r="BP1450" s="118"/>
      <c r="BQ1450" s="118"/>
    </row>
    <row r="1451" spans="1:69" ht="19.5" x14ac:dyDescent="0.4"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22"/>
      <c r="AS1451" s="122"/>
      <c r="AT1451" s="122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15"/>
      <c r="BG1451" s="115"/>
      <c r="BH1451" s="115"/>
      <c r="BI1451" s="26"/>
      <c r="BJ1451" s="13"/>
      <c r="BN1451" s="118"/>
      <c r="BO1451" s="118"/>
      <c r="BP1451" s="118"/>
      <c r="BQ1451" s="118"/>
    </row>
    <row r="1452" spans="1:69" ht="19.5" x14ac:dyDescent="0.4"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22"/>
      <c r="AS1452" s="122"/>
      <c r="AT1452" s="122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15"/>
      <c r="BG1452" s="115"/>
      <c r="BH1452" s="115"/>
      <c r="BI1452" s="26"/>
      <c r="BJ1452" s="15"/>
      <c r="BN1452" s="118"/>
      <c r="BO1452" s="118"/>
      <c r="BP1452" s="118"/>
      <c r="BQ1452" s="118"/>
    </row>
    <row r="1453" spans="1:69" ht="19.5" x14ac:dyDescent="0.4"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22"/>
      <c r="AS1453" s="122"/>
      <c r="AT1453" s="122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15"/>
      <c r="BH1453" s="115"/>
      <c r="BI1453" s="26"/>
      <c r="BJ1453" s="15"/>
      <c r="BN1453" s="118"/>
      <c r="BO1453" s="118"/>
      <c r="BP1453" s="118"/>
      <c r="BQ1453" s="118"/>
    </row>
    <row r="1454" spans="1:69" ht="19.5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22"/>
      <c r="AS1454" s="122"/>
      <c r="AT1454" s="122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115"/>
      <c r="BG1454" s="115"/>
      <c r="BH1454" s="115"/>
      <c r="BI1454" s="26"/>
      <c r="BJ1454" s="15"/>
      <c r="BN1454" s="118"/>
      <c r="BO1454" s="118"/>
      <c r="BP1454" s="118"/>
      <c r="BQ1454" s="118"/>
    </row>
    <row r="1455" spans="1:69" ht="19.5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22"/>
      <c r="AS1455" s="122"/>
      <c r="AT1455" s="122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115"/>
      <c r="BG1455" s="115"/>
      <c r="BH1455" s="115"/>
      <c r="BI1455" s="26"/>
      <c r="BJ1455" s="15"/>
      <c r="BN1455" s="118"/>
      <c r="BO1455" s="118"/>
      <c r="BP1455" s="118"/>
      <c r="BQ1455" s="118"/>
    </row>
    <row r="1456" spans="1:69" ht="20.25" customHeight="1" x14ac:dyDescent="0.4">
      <c r="A1456" s="115"/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22"/>
      <c r="AS1456" s="122"/>
      <c r="AT1456" s="122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15"/>
      <c r="BH1456" s="115"/>
      <c r="BI1456" s="26"/>
      <c r="BJ1456" s="15"/>
      <c r="BN1456" s="118"/>
      <c r="BO1456" s="118"/>
      <c r="BP1456" s="118"/>
      <c r="BQ1456" s="118"/>
    </row>
    <row r="1457" spans="3:62" x14ac:dyDescent="0.4">
      <c r="BI1457" s="26"/>
      <c r="BJ1457" s="15"/>
    </row>
    <row r="1458" spans="3:62" x14ac:dyDescent="0.4">
      <c r="BI1458" s="26"/>
      <c r="BJ1458" s="13"/>
    </row>
    <row r="1459" spans="3:62" x14ac:dyDescent="0.4">
      <c r="AM1459" s="115"/>
      <c r="AN1459" s="115"/>
      <c r="AO1459" s="115"/>
      <c r="AP1459" s="115"/>
      <c r="AQ1459" s="115"/>
      <c r="AR1459" s="122"/>
      <c r="AS1459" s="122"/>
      <c r="AT1459" s="122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115"/>
      <c r="BH1459" s="115"/>
      <c r="BI1459" s="26"/>
      <c r="BJ1459" s="13"/>
    </row>
    <row r="1460" spans="3:62" x14ac:dyDescent="0.4">
      <c r="AM1460" s="115"/>
      <c r="AN1460" s="115"/>
      <c r="AO1460" s="115"/>
      <c r="AP1460" s="115"/>
      <c r="AQ1460" s="115"/>
      <c r="AR1460" s="122"/>
      <c r="AS1460" s="122"/>
      <c r="AT1460" s="122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15"/>
      <c r="BH1460" s="115"/>
      <c r="BI1460" s="17"/>
      <c r="BJ1460" s="13"/>
    </row>
    <row r="1461" spans="3:62" x14ac:dyDescent="0.4"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22"/>
      <c r="AS1461" s="122"/>
      <c r="AT1461" s="122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15"/>
      <c r="BF1461" s="115"/>
      <c r="BG1461" s="115"/>
      <c r="BH1461" s="115"/>
      <c r="BI1461" s="26"/>
      <c r="BJ1461" s="13"/>
    </row>
    <row r="1462" spans="3:62" x14ac:dyDescent="0.4"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22"/>
      <c r="AS1462" s="122"/>
      <c r="AT1462" s="122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115"/>
      <c r="BG1462" s="115"/>
      <c r="BH1462" s="115"/>
      <c r="BI1462" s="26"/>
      <c r="BJ1462" s="13"/>
    </row>
    <row r="1463" spans="3:62" x14ac:dyDescent="0.4">
      <c r="BI1463" s="26"/>
      <c r="BJ1463" s="13"/>
    </row>
    <row r="1464" spans="3:62" x14ac:dyDescent="0.4"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22"/>
      <c r="AS1464" s="122"/>
      <c r="AT1464" s="122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15"/>
      <c r="BF1464" s="115"/>
      <c r="BG1464" s="115"/>
      <c r="BH1464" s="115"/>
      <c r="BI1464" s="26"/>
      <c r="BJ1464" s="13"/>
    </row>
    <row r="1465" spans="3:62" x14ac:dyDescent="0.4"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22"/>
      <c r="AS1465" s="122"/>
      <c r="AT1465" s="122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15"/>
      <c r="BG1465" s="115"/>
      <c r="BH1465" s="115"/>
      <c r="BI1465" s="26"/>
      <c r="BJ1465" s="13"/>
    </row>
    <row r="1466" spans="3:62" x14ac:dyDescent="0.4">
      <c r="BI1466" s="26"/>
      <c r="BJ1466" s="13"/>
    </row>
    <row r="1467" spans="3:62" x14ac:dyDescent="0.4"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22"/>
      <c r="AS1467" s="122"/>
      <c r="AT1467" s="122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115"/>
      <c r="BH1467" s="115"/>
      <c r="BI1467" s="26"/>
      <c r="BJ1467" s="13"/>
    </row>
    <row r="1468" spans="3:62" x14ac:dyDescent="0.4">
      <c r="BI1468" s="26"/>
      <c r="BJ1468" s="13"/>
    </row>
    <row r="1469" spans="3:62" x14ac:dyDescent="0.4">
      <c r="AL1469" s="115"/>
      <c r="AM1469" s="115"/>
      <c r="AN1469" s="115"/>
      <c r="AO1469" s="115"/>
      <c r="AP1469" s="115"/>
      <c r="AQ1469" s="115"/>
      <c r="AR1469" s="122"/>
      <c r="AS1469" s="122"/>
      <c r="AT1469" s="122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115"/>
      <c r="BH1469" s="115"/>
      <c r="BI1469" s="26"/>
      <c r="BJ1469" s="13"/>
    </row>
    <row r="1470" spans="3:62" x14ac:dyDescent="0.4">
      <c r="BI1470" s="26"/>
      <c r="BJ1470" s="13"/>
    </row>
    <row r="1471" spans="3:62" x14ac:dyDescent="0.4"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22"/>
      <c r="AS1471" s="122"/>
      <c r="AT1471" s="122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15"/>
      <c r="BH1471" s="115"/>
      <c r="BI1471" s="26"/>
      <c r="BJ1471" s="15"/>
    </row>
    <row r="1472" spans="3:62" x14ac:dyDescent="0.4"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22"/>
      <c r="AS1472" s="122"/>
      <c r="AT1472" s="122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15"/>
      <c r="BI1472" s="26"/>
      <c r="BJ1472" s="15"/>
    </row>
    <row r="1473" spans="1:62" x14ac:dyDescent="0.4"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22"/>
      <c r="AS1473" s="122"/>
      <c r="AT1473" s="122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26"/>
      <c r="BJ1473" s="15"/>
    </row>
    <row r="1474" spans="1:62" x14ac:dyDescent="0.4">
      <c r="BI1474" s="26"/>
      <c r="BJ1474" s="13"/>
    </row>
    <row r="1475" spans="1:62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22"/>
      <c r="AS1475" s="122"/>
      <c r="AT1475" s="122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15"/>
      <c r="BH1475" s="115"/>
      <c r="BI1475" s="26"/>
      <c r="BJ1475" s="15"/>
    </row>
    <row r="1476" spans="1:62" x14ac:dyDescent="0.4">
      <c r="BI1476" s="26"/>
      <c r="BJ1476" s="15"/>
    </row>
    <row r="1477" spans="1:62" x14ac:dyDescent="0.4">
      <c r="BI1477" s="26"/>
      <c r="BJ1477" s="15"/>
    </row>
    <row r="1478" spans="1:62" x14ac:dyDescent="0.4"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22"/>
      <c r="AS1478" s="122"/>
      <c r="AT1478" s="122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115"/>
      <c r="BI1478" s="26"/>
      <c r="BJ1478" s="15"/>
    </row>
    <row r="1479" spans="1:62" x14ac:dyDescent="0.4"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22"/>
      <c r="AS1479" s="122"/>
      <c r="AT1479" s="122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26"/>
      <c r="BJ1479" s="15"/>
    </row>
    <row r="1480" spans="1:62" x14ac:dyDescent="0.4">
      <c r="BI1480" s="26"/>
      <c r="BJ1480" s="15"/>
    </row>
    <row r="1481" spans="1:62" x14ac:dyDescent="0.4">
      <c r="AK1481" s="115"/>
      <c r="AL1481" s="115"/>
      <c r="AM1481" s="115"/>
      <c r="AN1481" s="115"/>
      <c r="AO1481" s="115"/>
      <c r="AP1481" s="115"/>
      <c r="AQ1481" s="115"/>
      <c r="AR1481" s="122"/>
      <c r="AS1481" s="122"/>
      <c r="AT1481" s="122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26"/>
      <c r="BJ1481" s="15"/>
    </row>
    <row r="1482" spans="1:62" x14ac:dyDescent="0.4"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22"/>
      <c r="AS1482" s="122"/>
      <c r="AT1482" s="122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26"/>
      <c r="BJ1482" s="15"/>
    </row>
    <row r="1483" spans="1:62" x14ac:dyDescent="0.4"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22"/>
      <c r="AS1483" s="122"/>
      <c r="AT1483" s="122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15"/>
      <c r="BG1483" s="115"/>
      <c r="BH1483" s="115"/>
      <c r="BI1483" s="26"/>
      <c r="BJ1483" s="15"/>
    </row>
    <row r="1484" spans="1:62" x14ac:dyDescent="0.4"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22"/>
      <c r="AS1484" s="122"/>
      <c r="AT1484" s="122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115"/>
      <c r="BH1484" s="115"/>
      <c r="BI1484" s="26"/>
      <c r="BJ1484" s="15"/>
    </row>
    <row r="1485" spans="1:62" x14ac:dyDescent="0.4"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22"/>
      <c r="AS1485" s="122"/>
      <c r="AT1485" s="122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115"/>
      <c r="BG1485" s="115"/>
      <c r="BH1485" s="115"/>
      <c r="BI1485" s="26"/>
      <c r="BJ1485" s="15"/>
    </row>
    <row r="1486" spans="1:62" x14ac:dyDescent="0.4">
      <c r="BI1486" s="26"/>
      <c r="BJ1486" s="15"/>
    </row>
    <row r="1487" spans="1:62" x14ac:dyDescent="0.4">
      <c r="AN1487" s="115"/>
      <c r="AO1487" s="115"/>
      <c r="AP1487" s="115"/>
      <c r="AQ1487" s="115"/>
      <c r="AR1487" s="122"/>
      <c r="AS1487" s="122"/>
      <c r="AT1487" s="122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15"/>
      <c r="BH1487" s="115"/>
      <c r="BI1487" s="17"/>
      <c r="BJ1487" s="15"/>
    </row>
    <row r="1488" spans="1:62" x14ac:dyDescent="0.4">
      <c r="BI1488" s="26"/>
      <c r="BJ1488" s="15"/>
    </row>
    <row r="1489" spans="1:62" x14ac:dyDescent="0.4">
      <c r="AL1489" s="115"/>
      <c r="AM1489" s="115"/>
      <c r="AN1489" s="115"/>
      <c r="AO1489" s="115"/>
      <c r="AP1489" s="115"/>
      <c r="AQ1489" s="115"/>
      <c r="AR1489" s="122"/>
      <c r="AS1489" s="122"/>
      <c r="AT1489" s="122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15"/>
      <c r="BH1489" s="115"/>
      <c r="BI1489" s="26"/>
      <c r="BJ1489" s="15"/>
    </row>
    <row r="1490" spans="1:62" x14ac:dyDescent="0.4">
      <c r="BI1490" s="26"/>
      <c r="BJ1490" s="15"/>
    </row>
    <row r="1491" spans="1:62" x14ac:dyDescent="0.4">
      <c r="BI1491" s="26"/>
      <c r="BJ1491" s="15"/>
    </row>
    <row r="1492" spans="1:62" x14ac:dyDescent="0.4"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22"/>
      <c r="AS1492" s="122"/>
      <c r="AT1492" s="122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26"/>
      <c r="BJ1492" s="15"/>
    </row>
    <row r="1493" spans="1:62" x14ac:dyDescent="0.4"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22"/>
      <c r="AS1493" s="122"/>
      <c r="AT1493" s="122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15"/>
      <c r="BF1493" s="115"/>
      <c r="BG1493" s="115"/>
      <c r="BH1493" s="115"/>
      <c r="BI1493" s="26"/>
      <c r="BJ1493" s="15"/>
    </row>
    <row r="1494" spans="1:62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22"/>
      <c r="AS1494" s="122"/>
      <c r="AT1494" s="122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15"/>
      <c r="BI1494" s="26"/>
      <c r="BJ1494" s="15"/>
    </row>
    <row r="1495" spans="1:62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22"/>
      <c r="AS1495" s="122"/>
      <c r="AT1495" s="122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115"/>
      <c r="BI1495" s="26"/>
      <c r="BJ1495" s="15"/>
    </row>
    <row r="1496" spans="1:62" x14ac:dyDescent="0.4">
      <c r="BI1496" s="26"/>
      <c r="BJ1496" s="15"/>
    </row>
    <row r="1497" spans="1:62" x14ac:dyDescent="0.4">
      <c r="AN1497" s="115"/>
      <c r="AO1497" s="115"/>
      <c r="AP1497" s="115"/>
      <c r="AQ1497" s="115"/>
      <c r="AR1497" s="122"/>
      <c r="AS1497" s="122"/>
      <c r="AT1497" s="122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15"/>
      <c r="BI1497" s="17"/>
      <c r="BJ1497" s="15"/>
    </row>
    <row r="1498" spans="1:62" x14ac:dyDescent="0.4">
      <c r="BI1498" s="26"/>
      <c r="BJ1498" s="15"/>
    </row>
    <row r="1499" spans="1:62" x14ac:dyDescent="0.4"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22"/>
      <c r="AS1499" s="122"/>
      <c r="AT1499" s="122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26"/>
      <c r="BJ1499" s="15"/>
    </row>
    <row r="1500" spans="1:62" x14ac:dyDescent="0.4"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22"/>
      <c r="AS1500" s="122"/>
      <c r="AT1500" s="122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15"/>
      <c r="BG1500" s="115"/>
      <c r="BH1500" s="115"/>
      <c r="BI1500" s="26"/>
      <c r="BJ1500" s="15"/>
    </row>
    <row r="1501" spans="1:62" x14ac:dyDescent="0.4"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22"/>
      <c r="AS1501" s="122"/>
      <c r="AT1501" s="122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7"/>
      <c r="BJ1501" s="15"/>
    </row>
    <row r="1502" spans="1:62" x14ac:dyDescent="0.4">
      <c r="BI1502" s="26"/>
      <c r="BJ1502" s="15"/>
    </row>
    <row r="1503" spans="1:62" x14ac:dyDescent="0.4"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22"/>
      <c r="AS1503" s="122"/>
      <c r="AT1503" s="122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115"/>
      <c r="BI1503" s="26"/>
      <c r="BJ1503" s="15"/>
    </row>
    <row r="1504" spans="1:62" x14ac:dyDescent="0.4"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22"/>
      <c r="AS1504" s="122"/>
      <c r="AT1504" s="122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115"/>
      <c r="BI1504" s="17"/>
      <c r="BJ1504" s="15"/>
    </row>
    <row r="1505" spans="3:62" x14ac:dyDescent="0.4">
      <c r="BI1505" s="26"/>
      <c r="BJ1505" s="15"/>
    </row>
    <row r="1506" spans="3:62" x14ac:dyDescent="0.4">
      <c r="AN1506" s="115"/>
      <c r="AO1506" s="115"/>
      <c r="AP1506" s="115"/>
      <c r="AQ1506" s="115"/>
      <c r="AR1506" s="122"/>
      <c r="AS1506" s="122"/>
      <c r="AT1506" s="122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7"/>
      <c r="BJ1506" s="15"/>
    </row>
    <row r="1507" spans="3:62" x14ac:dyDescent="0.4"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22"/>
      <c r="AS1507" s="122"/>
      <c r="AT1507" s="122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115"/>
      <c r="BI1507" s="26"/>
      <c r="BJ1507" s="15"/>
    </row>
    <row r="1508" spans="3:62" x14ac:dyDescent="0.4"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22"/>
      <c r="AS1508" s="122"/>
      <c r="AT1508" s="122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15"/>
      <c r="BI1508" s="17"/>
      <c r="BJ1508" s="15"/>
    </row>
    <row r="1509" spans="3:62" x14ac:dyDescent="0.4">
      <c r="BI1509" s="26"/>
      <c r="BJ1509" s="15"/>
    </row>
    <row r="1510" spans="3:62" x14ac:dyDescent="0.4">
      <c r="BI1510" s="26"/>
      <c r="BJ1510" s="15"/>
    </row>
    <row r="1511" spans="3:62" x14ac:dyDescent="0.4">
      <c r="AM1511" s="115"/>
      <c r="AN1511" s="115"/>
      <c r="AO1511" s="115"/>
      <c r="AP1511" s="115"/>
      <c r="AQ1511" s="115"/>
      <c r="AR1511" s="122"/>
      <c r="AS1511" s="122"/>
      <c r="AT1511" s="122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15"/>
      <c r="BI1511" s="26"/>
      <c r="BJ1511" s="15"/>
    </row>
    <row r="1512" spans="3:62" x14ac:dyDescent="0.4">
      <c r="AK1512" s="115"/>
      <c r="AL1512" s="115"/>
      <c r="AM1512" s="115"/>
      <c r="AN1512" s="115"/>
      <c r="AO1512" s="115"/>
      <c r="AP1512" s="115"/>
      <c r="AQ1512" s="115"/>
      <c r="AR1512" s="122"/>
      <c r="AS1512" s="122"/>
      <c r="AT1512" s="122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115"/>
      <c r="BI1512" s="26"/>
      <c r="BJ1512" s="15"/>
    </row>
    <row r="1513" spans="3:62" x14ac:dyDescent="0.4">
      <c r="AK1513" s="115"/>
      <c r="AL1513" s="115"/>
      <c r="AM1513" s="115"/>
      <c r="AN1513" s="115"/>
      <c r="AO1513" s="115"/>
      <c r="AP1513" s="115"/>
      <c r="AQ1513" s="115"/>
      <c r="AR1513" s="122"/>
      <c r="AS1513" s="122"/>
      <c r="AT1513" s="122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115"/>
      <c r="BH1513" s="115"/>
      <c r="BI1513" s="26"/>
      <c r="BJ1513" s="15"/>
    </row>
    <row r="1514" spans="3:62" x14ac:dyDescent="0.4"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22"/>
      <c r="AS1514" s="122"/>
      <c r="AT1514" s="122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26"/>
      <c r="BJ1514" s="15"/>
    </row>
    <row r="1515" spans="3:62" x14ac:dyDescent="0.4"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22"/>
      <c r="AS1515" s="122"/>
      <c r="AT1515" s="122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15"/>
      <c r="BI1515" s="26"/>
      <c r="BJ1515" s="15"/>
    </row>
    <row r="1516" spans="3:62" x14ac:dyDescent="0.4">
      <c r="BI1516" s="26"/>
      <c r="BJ1516" s="15"/>
    </row>
    <row r="1517" spans="3:62" x14ac:dyDescent="0.4">
      <c r="AM1517" s="115"/>
      <c r="AN1517" s="115"/>
      <c r="AO1517" s="115"/>
      <c r="AP1517" s="115"/>
      <c r="AQ1517" s="115"/>
      <c r="AR1517" s="122"/>
      <c r="AS1517" s="122"/>
      <c r="AT1517" s="122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26"/>
      <c r="BJ1517" s="15"/>
    </row>
    <row r="1518" spans="3:62" x14ac:dyDescent="0.4">
      <c r="BI1518" s="26"/>
      <c r="BJ1518" s="15"/>
    </row>
    <row r="1519" spans="3:62" x14ac:dyDescent="0.4">
      <c r="AN1519" s="115"/>
      <c r="AO1519" s="115"/>
      <c r="AP1519" s="115"/>
      <c r="AQ1519" s="115"/>
      <c r="AR1519" s="122"/>
      <c r="AS1519" s="122"/>
      <c r="AT1519" s="122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115"/>
      <c r="BI1519" s="17"/>
      <c r="BJ1519" s="15"/>
    </row>
    <row r="1520" spans="3:62" x14ac:dyDescent="0.4">
      <c r="AM1520" s="115"/>
      <c r="AN1520" s="115"/>
      <c r="AO1520" s="115"/>
      <c r="AP1520" s="115"/>
      <c r="AQ1520" s="115"/>
      <c r="AR1520" s="122"/>
      <c r="AS1520" s="122"/>
      <c r="AT1520" s="122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26"/>
      <c r="BJ1520" s="15"/>
    </row>
    <row r="1521" spans="3:62" x14ac:dyDescent="0.4"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22"/>
      <c r="AS1521" s="122"/>
      <c r="AT1521" s="122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15"/>
      <c r="BH1521" s="115"/>
      <c r="BI1521" s="26"/>
      <c r="BJ1521" s="15"/>
    </row>
    <row r="1522" spans="3:62" x14ac:dyDescent="0.4"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22"/>
      <c r="AS1522" s="122"/>
      <c r="AT1522" s="122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115"/>
      <c r="BI1522" s="17"/>
      <c r="BJ1522" s="15"/>
    </row>
    <row r="1523" spans="3:62" x14ac:dyDescent="0.4">
      <c r="BI1523" s="26"/>
      <c r="BJ1523" s="15"/>
    </row>
    <row r="1524" spans="3:62" x14ac:dyDescent="0.4">
      <c r="AN1524" s="115"/>
      <c r="AO1524" s="115"/>
      <c r="AP1524" s="115"/>
      <c r="AQ1524" s="115"/>
      <c r="AR1524" s="122"/>
      <c r="AS1524" s="122"/>
      <c r="AT1524" s="122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7"/>
      <c r="BJ1524" s="15"/>
    </row>
    <row r="1525" spans="3:62" x14ac:dyDescent="0.4">
      <c r="AM1525" s="115"/>
      <c r="AN1525" s="115"/>
      <c r="AO1525" s="115"/>
      <c r="AP1525" s="115"/>
      <c r="AQ1525" s="115"/>
      <c r="AR1525" s="122"/>
      <c r="AS1525" s="122"/>
      <c r="AT1525" s="122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26"/>
      <c r="BJ1525" s="15"/>
    </row>
    <row r="1526" spans="3:62" x14ac:dyDescent="0.4">
      <c r="AM1526" s="115"/>
      <c r="AN1526" s="115"/>
      <c r="AO1526" s="115"/>
      <c r="AP1526" s="115"/>
      <c r="AQ1526" s="115"/>
      <c r="AR1526" s="122"/>
      <c r="AS1526" s="122"/>
      <c r="AT1526" s="122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115"/>
      <c r="BG1526" s="115"/>
      <c r="BH1526" s="115"/>
      <c r="BI1526" s="17"/>
      <c r="BJ1526" s="15"/>
    </row>
    <row r="1527" spans="3:62" x14ac:dyDescent="0.4">
      <c r="AM1527" s="115"/>
      <c r="AN1527" s="115"/>
      <c r="AO1527" s="115"/>
      <c r="AP1527" s="115"/>
      <c r="AQ1527" s="115"/>
      <c r="AR1527" s="122"/>
      <c r="AS1527" s="122"/>
      <c r="AT1527" s="122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7"/>
      <c r="BJ1527" s="15"/>
    </row>
    <row r="1528" spans="3:62" x14ac:dyDescent="0.4"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22"/>
      <c r="AS1528" s="122"/>
      <c r="AT1528" s="122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26"/>
      <c r="BJ1528" s="15"/>
    </row>
    <row r="1529" spans="3:62" x14ac:dyDescent="0.4"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22"/>
      <c r="AS1529" s="122"/>
      <c r="AT1529" s="122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26"/>
      <c r="BJ1529" s="15"/>
    </row>
    <row r="1530" spans="3:62" x14ac:dyDescent="0.4"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22"/>
      <c r="AS1530" s="122"/>
      <c r="AT1530" s="122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26"/>
      <c r="BJ1530" s="15"/>
    </row>
    <row r="1531" spans="3:62" x14ac:dyDescent="0.4"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22"/>
      <c r="AS1531" s="122"/>
      <c r="AT1531" s="122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15"/>
      <c r="BI1531" s="26"/>
      <c r="BJ1531" s="15"/>
    </row>
    <row r="1532" spans="3:62" x14ac:dyDescent="0.4"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22"/>
      <c r="AS1532" s="122"/>
      <c r="AT1532" s="122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26"/>
      <c r="BJ1532" s="15"/>
    </row>
    <row r="1533" spans="3:62" x14ac:dyDescent="0.4"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22"/>
      <c r="AS1533" s="122"/>
      <c r="AT1533" s="122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115"/>
      <c r="BI1533" s="17"/>
      <c r="BJ1533" s="15"/>
    </row>
    <row r="1534" spans="3:62" x14ac:dyDescent="0.4">
      <c r="BI1534" s="26"/>
      <c r="BJ1534" s="15"/>
    </row>
    <row r="1535" spans="3:62" x14ac:dyDescent="0.4">
      <c r="AM1535" s="115"/>
      <c r="AN1535" s="115"/>
      <c r="AO1535" s="115"/>
      <c r="AP1535" s="115"/>
      <c r="AQ1535" s="115"/>
      <c r="AR1535" s="122"/>
      <c r="AS1535" s="122"/>
      <c r="AT1535" s="122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15"/>
      <c r="BH1535" s="115"/>
      <c r="BI1535" s="17"/>
      <c r="BJ1535" s="13"/>
    </row>
    <row r="1536" spans="3:62" x14ac:dyDescent="0.4">
      <c r="AM1536" s="115"/>
      <c r="AN1536" s="115"/>
      <c r="AO1536" s="115"/>
      <c r="AP1536" s="115"/>
      <c r="AQ1536" s="115"/>
      <c r="AR1536" s="122"/>
      <c r="AS1536" s="122"/>
      <c r="AT1536" s="122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7"/>
      <c r="BJ1536" s="13"/>
    </row>
    <row r="1537" spans="3:62" x14ac:dyDescent="0.4">
      <c r="AK1537" s="115"/>
      <c r="AL1537" s="115"/>
      <c r="AM1537" s="115"/>
      <c r="AN1537" s="115"/>
      <c r="AO1537" s="115"/>
      <c r="AP1537" s="115"/>
      <c r="AQ1537" s="115"/>
      <c r="AR1537" s="122"/>
      <c r="AS1537" s="122"/>
      <c r="AT1537" s="122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26"/>
      <c r="BJ1537" s="13"/>
    </row>
    <row r="1538" spans="3:62" x14ac:dyDescent="0.4">
      <c r="AK1538" s="115"/>
      <c r="AL1538" s="115"/>
      <c r="AM1538" s="115"/>
      <c r="AN1538" s="115"/>
      <c r="AO1538" s="115"/>
      <c r="AP1538" s="115"/>
      <c r="AQ1538" s="115"/>
      <c r="AR1538" s="122"/>
      <c r="AS1538" s="122"/>
      <c r="AT1538" s="122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7"/>
      <c r="BJ1538" s="13"/>
    </row>
    <row r="1539" spans="3:62" x14ac:dyDescent="0.4">
      <c r="BI1539" s="26"/>
      <c r="BJ1539" s="13"/>
    </row>
    <row r="1540" spans="3:62" x14ac:dyDescent="0.4">
      <c r="AL1540" s="115"/>
      <c r="AM1540" s="115"/>
      <c r="AN1540" s="115"/>
      <c r="AO1540" s="115"/>
      <c r="AP1540" s="115"/>
      <c r="AQ1540" s="115"/>
      <c r="AR1540" s="122"/>
      <c r="AS1540" s="122"/>
      <c r="AT1540" s="122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7"/>
      <c r="BJ1540" s="13"/>
    </row>
    <row r="1541" spans="3:62" x14ac:dyDescent="0.4">
      <c r="BI1541" s="26"/>
      <c r="BJ1541" s="13"/>
    </row>
    <row r="1542" spans="3:62" x14ac:dyDescent="0.4">
      <c r="BI1542" s="26"/>
      <c r="BJ1542" s="13"/>
    </row>
    <row r="1543" spans="3:62" x14ac:dyDescent="0.4"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22"/>
      <c r="AS1543" s="122"/>
      <c r="AT1543" s="122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26"/>
      <c r="BJ1543" s="13"/>
    </row>
    <row r="1544" spans="3:62" x14ac:dyDescent="0.4"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22"/>
      <c r="AS1544" s="122"/>
      <c r="AT1544" s="122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26"/>
      <c r="BJ1544" s="13"/>
    </row>
    <row r="1545" spans="3:62" x14ac:dyDescent="0.4">
      <c r="BI1545" s="26"/>
      <c r="BJ1545" s="13"/>
    </row>
    <row r="1546" spans="3:62" x14ac:dyDescent="0.4">
      <c r="BI1546" s="26"/>
      <c r="BJ1546" s="13"/>
    </row>
    <row r="1547" spans="3:62" x14ac:dyDescent="0.4"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22"/>
      <c r="AS1547" s="122"/>
      <c r="AT1547" s="122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26"/>
      <c r="BJ1547" s="13"/>
    </row>
    <row r="1548" spans="3:62" x14ac:dyDescent="0.4">
      <c r="BI1548" s="26"/>
      <c r="BJ1548" s="105"/>
    </row>
    <row r="1549" spans="3:62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22"/>
      <c r="AS1549" s="122"/>
      <c r="AT1549" s="122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26"/>
      <c r="BJ1549" s="15"/>
    </row>
    <row r="1550" spans="3:62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22"/>
      <c r="AS1550" s="122"/>
      <c r="AT1550" s="122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7"/>
      <c r="BJ1550" s="15"/>
    </row>
    <row r="1551" spans="3:62" x14ac:dyDescent="0.4">
      <c r="BI1551" s="26"/>
      <c r="BJ1551" s="15"/>
    </row>
    <row r="1552" spans="3:62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22"/>
      <c r="AS1552" s="122"/>
      <c r="AT1552" s="122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26"/>
      <c r="BJ1552" s="15"/>
    </row>
    <row r="1553" spans="2:62" x14ac:dyDescent="0.4"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22"/>
      <c r="AS1553" s="122"/>
      <c r="AT1553" s="122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26"/>
      <c r="BJ1553" s="15"/>
    </row>
    <row r="1554" spans="2:62" x14ac:dyDescent="0.4"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22"/>
      <c r="AS1554" s="122"/>
      <c r="AT1554" s="122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26"/>
      <c r="BJ1554" s="13"/>
    </row>
    <row r="1555" spans="2:62" x14ac:dyDescent="0.4">
      <c r="BI1555" s="26"/>
      <c r="BJ1555" s="15"/>
    </row>
    <row r="1556" spans="2:62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22"/>
      <c r="AS1556" s="122"/>
      <c r="AT1556" s="122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26"/>
      <c r="BJ1556" s="15"/>
    </row>
    <row r="1557" spans="2:62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22"/>
      <c r="AS1557" s="122"/>
      <c r="AT1557" s="122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26"/>
      <c r="BJ1557" s="15"/>
    </row>
    <row r="1558" spans="2:62" x14ac:dyDescent="0.4"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22"/>
      <c r="AS1558" s="122"/>
      <c r="AT1558" s="122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26"/>
      <c r="BJ1558" s="15"/>
    </row>
    <row r="1559" spans="2:62" x14ac:dyDescent="0.4"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22"/>
      <c r="AS1559" s="122"/>
      <c r="AT1559" s="122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26"/>
      <c r="BJ1559" s="15"/>
    </row>
    <row r="1560" spans="2:62" x14ac:dyDescent="0.4"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22"/>
      <c r="AS1560" s="122"/>
      <c r="AT1560" s="122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26"/>
      <c r="BJ1560" s="15"/>
    </row>
    <row r="1561" spans="2:62" x14ac:dyDescent="0.4"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22"/>
      <c r="AS1561" s="122"/>
      <c r="AT1561" s="122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26"/>
      <c r="BJ1561" s="15"/>
    </row>
    <row r="1562" spans="2:62" ht="19.5" customHeight="1" x14ac:dyDescent="0.4"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22"/>
      <c r="AS1562" s="122"/>
      <c r="AT1562" s="122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26"/>
      <c r="BJ1562" s="15"/>
    </row>
    <row r="1563" spans="2:62" ht="19.5" customHeight="1" x14ac:dyDescent="0.4"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22"/>
      <c r="AS1563" s="122"/>
      <c r="AT1563" s="122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26"/>
      <c r="BJ1563" s="15"/>
    </row>
    <row r="1564" spans="2:62" x14ac:dyDescent="0.4">
      <c r="BI1564" s="26"/>
      <c r="BJ1564" s="15"/>
    </row>
    <row r="1565" spans="2:62" x14ac:dyDescent="0.4"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22"/>
      <c r="AS1565" s="122"/>
      <c r="AT1565" s="122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26"/>
      <c r="BJ1565" s="15"/>
    </row>
    <row r="1566" spans="2:62" x14ac:dyDescent="0.4"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22"/>
      <c r="AS1566" s="122"/>
      <c r="AT1566" s="122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26"/>
      <c r="BJ1566" s="15"/>
    </row>
    <row r="1567" spans="2:62" x14ac:dyDescent="0.4"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22"/>
      <c r="AS1567" s="122"/>
      <c r="AT1567" s="122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7"/>
      <c r="BJ1567" s="15"/>
    </row>
    <row r="1568" spans="2:62" x14ac:dyDescent="0.4">
      <c r="BI1568" s="26"/>
      <c r="BJ1568" s="15"/>
    </row>
    <row r="1569" spans="1:62" x14ac:dyDescent="0.4">
      <c r="AL1569" s="115"/>
      <c r="AM1569" s="115"/>
      <c r="AN1569" s="115"/>
      <c r="AO1569" s="115"/>
      <c r="AP1569" s="115"/>
      <c r="AQ1569" s="115"/>
      <c r="AR1569" s="122"/>
      <c r="AS1569" s="122"/>
      <c r="AT1569" s="122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7"/>
      <c r="BJ1569" s="15"/>
    </row>
    <row r="1570" spans="1:62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22"/>
      <c r="AS1570" s="122"/>
      <c r="AT1570" s="122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26"/>
      <c r="BJ1570" s="15"/>
    </row>
    <row r="1571" spans="1:62" x14ac:dyDescent="0.4">
      <c r="BI1571" s="26"/>
      <c r="BJ1571" s="15"/>
    </row>
    <row r="1572" spans="1:62" x14ac:dyDescent="0.4">
      <c r="BI1572" s="26"/>
      <c r="BJ1572" s="15"/>
    </row>
    <row r="1573" spans="1:62" x14ac:dyDescent="0.4">
      <c r="AK1573" s="115"/>
      <c r="AL1573" s="115"/>
      <c r="AM1573" s="115"/>
      <c r="AN1573" s="115"/>
      <c r="AO1573" s="115"/>
      <c r="AP1573" s="115"/>
      <c r="AQ1573" s="115"/>
      <c r="AR1573" s="122"/>
      <c r="AS1573" s="122"/>
      <c r="AT1573" s="122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26"/>
      <c r="BJ1573" s="15"/>
    </row>
    <row r="1574" spans="1:62" x14ac:dyDescent="0.4">
      <c r="BI1574" s="26"/>
      <c r="BJ1574" s="15"/>
    </row>
    <row r="1575" spans="1:62" x14ac:dyDescent="0.4">
      <c r="AL1575" s="115"/>
      <c r="AM1575" s="115"/>
      <c r="AN1575" s="115"/>
      <c r="AO1575" s="115"/>
      <c r="AP1575" s="115"/>
      <c r="AQ1575" s="115"/>
      <c r="AR1575" s="122"/>
      <c r="AS1575" s="122"/>
      <c r="AT1575" s="122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7"/>
      <c r="BJ1575" s="15"/>
    </row>
    <row r="1576" spans="1:62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22"/>
      <c r="AS1576" s="122"/>
      <c r="AT1576" s="122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26"/>
      <c r="BJ1576" s="15"/>
    </row>
    <row r="1577" spans="1:62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22"/>
      <c r="AS1577" s="122"/>
      <c r="AT1577" s="122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7"/>
      <c r="BJ1577" s="13"/>
    </row>
    <row r="1578" spans="1:62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22"/>
      <c r="AS1578" s="122"/>
      <c r="AT1578" s="122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7"/>
      <c r="BJ1578" s="13"/>
    </row>
    <row r="1579" spans="1:62" x14ac:dyDescent="0.4">
      <c r="BI1579" s="26"/>
      <c r="BJ1579" s="13"/>
    </row>
    <row r="1580" spans="1:62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22"/>
      <c r="AS1580" s="122"/>
      <c r="AT1580" s="122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26"/>
      <c r="BJ1580" s="15"/>
    </row>
    <row r="1581" spans="1:62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22"/>
      <c r="AS1581" s="122"/>
      <c r="AT1581" s="122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26"/>
      <c r="BJ1581" s="15"/>
    </row>
    <row r="1582" spans="1:62" x14ac:dyDescent="0.4">
      <c r="BI1582" s="26"/>
      <c r="BJ1582" s="15"/>
    </row>
    <row r="1583" spans="1:62" x14ac:dyDescent="0.4"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22"/>
      <c r="AS1583" s="122"/>
      <c r="AT1583" s="122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26"/>
      <c r="BJ1583" s="15"/>
    </row>
    <row r="1584" spans="1:62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22"/>
      <c r="AS1584" s="122"/>
      <c r="AT1584" s="122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26"/>
      <c r="BJ1584" s="15"/>
    </row>
    <row r="1585" spans="1:62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22"/>
      <c r="AS1585" s="122"/>
      <c r="AT1585" s="122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26"/>
      <c r="BJ1585" s="15"/>
    </row>
    <row r="1586" spans="1:62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22"/>
      <c r="AS1586" s="122"/>
      <c r="AT1586" s="122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26"/>
      <c r="BJ1586" s="15"/>
    </row>
    <row r="1587" spans="1:62" x14ac:dyDescent="0.4">
      <c r="BI1587" s="26"/>
      <c r="BJ1587" s="15"/>
    </row>
    <row r="1588" spans="1:62" x14ac:dyDescent="0.4"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22"/>
      <c r="AS1588" s="122"/>
      <c r="AT1588" s="122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26"/>
      <c r="BJ1588" s="15"/>
    </row>
    <row r="1589" spans="1:62" x14ac:dyDescent="0.4">
      <c r="BI1589" s="26"/>
      <c r="BJ1589" s="15"/>
    </row>
    <row r="1590" spans="1:62" x14ac:dyDescent="0.4"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22"/>
      <c r="AS1590" s="122"/>
      <c r="AT1590" s="122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26"/>
      <c r="BJ1590" s="15"/>
    </row>
    <row r="1591" spans="1:62" x14ac:dyDescent="0.4"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22"/>
      <c r="AS1591" s="122"/>
      <c r="AT1591" s="122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26"/>
      <c r="BJ1591" s="15"/>
    </row>
    <row r="1592" spans="1:62" x14ac:dyDescent="0.4"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22"/>
      <c r="AS1592" s="122"/>
      <c r="AT1592" s="122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7"/>
      <c r="BJ1592" s="15"/>
    </row>
    <row r="1593" spans="1:62" x14ac:dyDescent="0.4">
      <c r="BI1593" s="26"/>
      <c r="BJ1593" s="15"/>
    </row>
    <row r="1594" spans="1:62" x14ac:dyDescent="0.4">
      <c r="BI1594" s="26"/>
      <c r="BJ1594" s="15"/>
    </row>
    <row r="1595" spans="1:62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22"/>
      <c r="AS1595" s="122"/>
      <c r="AT1595" s="122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26"/>
      <c r="BJ1595" s="15"/>
    </row>
    <row r="1596" spans="1:62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22"/>
      <c r="AS1596" s="122"/>
      <c r="AT1596" s="122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7"/>
      <c r="BJ1596" s="15"/>
    </row>
    <row r="1597" spans="1:62" x14ac:dyDescent="0.4">
      <c r="BI1597" s="26"/>
      <c r="BJ1597" s="15"/>
    </row>
    <row r="1598" spans="1:62" ht="17.25" customHeight="1" x14ac:dyDescent="0.4"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22"/>
      <c r="AS1598" s="122"/>
      <c r="AT1598" s="122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26"/>
      <c r="BJ1598" s="15"/>
    </row>
    <row r="1599" spans="1:62" x14ac:dyDescent="0.4">
      <c r="BI1599" s="26"/>
      <c r="BJ1599" s="15"/>
    </row>
    <row r="1600" spans="1:62" x14ac:dyDescent="0.4">
      <c r="AK1600" s="115"/>
      <c r="AL1600" s="115"/>
      <c r="AM1600" s="115"/>
      <c r="AN1600" s="115"/>
      <c r="AO1600" s="115"/>
      <c r="AP1600" s="115"/>
      <c r="AQ1600" s="115"/>
      <c r="AR1600" s="122"/>
      <c r="AS1600" s="122"/>
      <c r="AT1600" s="122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7"/>
      <c r="BJ1600" s="15"/>
    </row>
    <row r="1601" spans="1:62" ht="16.5" customHeight="1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22"/>
      <c r="AS1601" s="122"/>
      <c r="AT1601" s="122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26"/>
      <c r="BJ1601" s="15"/>
    </row>
    <row r="1602" spans="1:62" ht="22.5" customHeight="1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22"/>
      <c r="AS1602" s="122"/>
      <c r="AT1602" s="122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26"/>
      <c r="BJ1602" s="15"/>
    </row>
    <row r="1603" spans="1:62" x14ac:dyDescent="0.4">
      <c r="BI1603" s="26"/>
      <c r="BJ1603" s="15"/>
    </row>
    <row r="1604" spans="1:62" x14ac:dyDescent="0.4">
      <c r="BI1604" s="26"/>
      <c r="BJ1604" s="105"/>
    </row>
    <row r="1605" spans="1:62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22"/>
      <c r="AS1605" s="122"/>
      <c r="AT1605" s="122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26"/>
      <c r="BJ1605" s="15"/>
    </row>
    <row r="1606" spans="1:62" x14ac:dyDescent="0.4">
      <c r="BI1606" s="26"/>
      <c r="BJ1606" s="15"/>
    </row>
    <row r="1607" spans="1:62" x14ac:dyDescent="0.4">
      <c r="BI1607" s="26"/>
      <c r="BJ1607" s="15"/>
    </row>
    <row r="1608" spans="1:62" x14ac:dyDescent="0.4">
      <c r="BI1608" s="26"/>
      <c r="BJ1608" s="15"/>
    </row>
    <row r="1609" spans="1:62" x14ac:dyDescent="0.4">
      <c r="BI1609" s="26"/>
      <c r="BJ1609" s="15"/>
    </row>
    <row r="1610" spans="1:62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22"/>
      <c r="AS1610" s="122"/>
      <c r="AT1610" s="122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26"/>
      <c r="BJ1610" s="15"/>
    </row>
    <row r="1611" spans="1:62" x14ac:dyDescent="0.4">
      <c r="BI1611" s="26"/>
      <c r="BJ1611" s="15"/>
    </row>
    <row r="1612" spans="1:62" x14ac:dyDescent="0.4">
      <c r="BI1612" s="26"/>
      <c r="BJ1612" s="15"/>
    </row>
    <row r="1613" spans="1:62" x14ac:dyDescent="0.4">
      <c r="BI1613" s="26"/>
      <c r="BJ1613" s="15"/>
    </row>
    <row r="1614" spans="1:62" x14ac:dyDescent="0.4">
      <c r="BI1614" s="26"/>
      <c r="BJ1614" s="15"/>
    </row>
    <row r="1615" spans="1:62" ht="18.75" customHeight="1" x14ac:dyDescent="0.4"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22"/>
      <c r="AS1615" s="122"/>
      <c r="AT1615" s="122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26"/>
      <c r="BJ1615" s="15"/>
    </row>
    <row r="1616" spans="1:62" x14ac:dyDescent="0.4">
      <c r="BI1616" s="26"/>
      <c r="BJ1616" s="15"/>
    </row>
    <row r="1617" spans="1:62" x14ac:dyDescent="0.4">
      <c r="BI1617" s="26"/>
      <c r="BJ1617" s="15"/>
    </row>
    <row r="1618" spans="1:62" x14ac:dyDescent="0.4"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22"/>
      <c r="AS1618" s="122"/>
      <c r="AT1618" s="122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26"/>
      <c r="BJ1618" s="15"/>
    </row>
    <row r="1619" spans="1:62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22"/>
      <c r="AS1619" s="122"/>
      <c r="AT1619" s="122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26"/>
      <c r="BJ1619" s="15"/>
    </row>
    <row r="1620" spans="1:62" x14ac:dyDescent="0.4">
      <c r="BI1620" s="26"/>
      <c r="BJ1620" s="15"/>
    </row>
    <row r="1621" spans="1:62" x14ac:dyDescent="0.4">
      <c r="AK1621" s="115"/>
      <c r="AL1621" s="115"/>
      <c r="AM1621" s="115"/>
      <c r="AN1621" s="115"/>
      <c r="AO1621" s="115"/>
      <c r="AP1621" s="115"/>
      <c r="AQ1621" s="115"/>
      <c r="AR1621" s="122"/>
      <c r="AS1621" s="122"/>
      <c r="AT1621" s="122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7"/>
      <c r="BJ1621" s="15"/>
    </row>
    <row r="1622" spans="1:62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22"/>
      <c r="AS1622" s="122"/>
      <c r="AT1622" s="122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26"/>
      <c r="BJ1622" s="15"/>
    </row>
    <row r="1623" spans="1:62" x14ac:dyDescent="0.4">
      <c r="BI1623" s="26"/>
      <c r="BJ1623" s="15"/>
    </row>
    <row r="1624" spans="1:62" x14ac:dyDescent="0.4">
      <c r="AK1624" s="115"/>
      <c r="AL1624" s="115"/>
      <c r="AM1624" s="115"/>
      <c r="AN1624" s="115"/>
      <c r="AO1624" s="115"/>
      <c r="AP1624" s="115"/>
      <c r="AQ1624" s="115"/>
      <c r="AR1624" s="122"/>
      <c r="AS1624" s="122"/>
      <c r="AT1624" s="122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7"/>
      <c r="BJ1624" s="15"/>
    </row>
    <row r="1625" spans="1:62" x14ac:dyDescent="0.4">
      <c r="BI1625" s="26"/>
      <c r="BJ1625" s="15"/>
    </row>
    <row r="1626" spans="1:62" x14ac:dyDescent="0.4"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22"/>
      <c r="AS1626" s="122"/>
      <c r="AT1626" s="122"/>
      <c r="AU1626" s="115"/>
      <c r="AV1626" s="115"/>
      <c r="AW1626" s="115"/>
      <c r="AX1626" s="115"/>
      <c r="AY1626" s="115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26"/>
      <c r="BJ1626" s="15"/>
    </row>
    <row r="1627" spans="1:62" x14ac:dyDescent="0.4">
      <c r="A1627" s="115"/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22"/>
      <c r="AS1627" s="122"/>
      <c r="AT1627" s="122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26"/>
      <c r="BJ1627" s="15"/>
    </row>
    <row r="1628" spans="1:62" x14ac:dyDescent="0.4">
      <c r="A1628" s="115"/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22"/>
      <c r="AS1628" s="122"/>
      <c r="AT1628" s="122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26"/>
      <c r="BJ1628" s="15"/>
    </row>
    <row r="1629" spans="1:62" x14ac:dyDescent="0.4">
      <c r="BI1629" s="26"/>
      <c r="BJ1629" s="15"/>
    </row>
    <row r="1630" spans="1:62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22"/>
      <c r="AS1630" s="122"/>
      <c r="AT1630" s="122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26"/>
      <c r="BJ1630" s="15"/>
    </row>
    <row r="1631" spans="1:62" x14ac:dyDescent="0.4">
      <c r="BI1631" s="26"/>
      <c r="BJ1631" s="15"/>
    </row>
    <row r="1632" spans="1:62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22"/>
      <c r="AS1632" s="122"/>
      <c r="AT1632" s="122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26"/>
      <c r="BJ1632" s="15"/>
    </row>
    <row r="1633" spans="1:62" x14ac:dyDescent="0.4">
      <c r="BI1633" s="26"/>
      <c r="BJ1633" s="15"/>
    </row>
    <row r="1634" spans="1:62" x14ac:dyDescent="0.4">
      <c r="BI1634" s="26"/>
      <c r="BJ1634" s="15"/>
    </row>
    <row r="1635" spans="1:62" x14ac:dyDescent="0.4">
      <c r="BI1635" s="26"/>
      <c r="BJ1635" s="15"/>
    </row>
    <row r="1636" spans="1:62" x14ac:dyDescent="0.4">
      <c r="BI1636" s="26"/>
      <c r="BJ1636" s="15"/>
    </row>
    <row r="1637" spans="1:62" x14ac:dyDescent="0.4">
      <c r="BI1637" s="26"/>
      <c r="BJ1637" s="15"/>
    </row>
    <row r="1638" spans="1:62" x14ac:dyDescent="0.4">
      <c r="BI1638" s="26"/>
      <c r="BJ1638" s="15"/>
    </row>
    <row r="1639" spans="1:62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22"/>
      <c r="AS1639" s="122"/>
      <c r="AT1639" s="122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26"/>
      <c r="BJ1639" s="15"/>
    </row>
    <row r="1640" spans="1:62" x14ac:dyDescent="0.4">
      <c r="BI1640" s="26"/>
      <c r="BJ1640" s="15"/>
    </row>
    <row r="1641" spans="1:62" x14ac:dyDescent="0.4">
      <c r="BI1641" s="26"/>
      <c r="BJ1641" s="15"/>
    </row>
    <row r="1642" spans="1:62" x14ac:dyDescent="0.4">
      <c r="BI1642" s="26"/>
      <c r="BJ1642" s="15"/>
    </row>
    <row r="1643" spans="1:62" x14ac:dyDescent="0.4">
      <c r="BI1643" s="26"/>
      <c r="BJ1643" s="15"/>
    </row>
    <row r="1644" spans="1:62" x14ac:dyDescent="0.4">
      <c r="BI1644" s="26"/>
      <c r="BJ1644" s="15"/>
    </row>
    <row r="1645" spans="1:62" x14ac:dyDescent="0.4">
      <c r="AK1645" s="115"/>
      <c r="AL1645" s="115"/>
      <c r="AM1645" s="115"/>
      <c r="AN1645" s="115"/>
      <c r="AO1645" s="115"/>
      <c r="AP1645" s="115"/>
      <c r="AQ1645" s="115"/>
      <c r="AR1645" s="122"/>
      <c r="AS1645" s="122"/>
      <c r="AT1645" s="122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7"/>
      <c r="BJ1645" s="15"/>
    </row>
    <row r="1646" spans="1:62" x14ac:dyDescent="0.4">
      <c r="AK1646" s="115"/>
      <c r="AL1646" s="115"/>
      <c r="AM1646" s="115"/>
      <c r="AN1646" s="115"/>
      <c r="AO1646" s="115"/>
      <c r="AP1646" s="115"/>
      <c r="AQ1646" s="115"/>
      <c r="AR1646" s="122"/>
      <c r="AS1646" s="122"/>
      <c r="AT1646" s="122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7"/>
      <c r="BJ1646" s="15"/>
    </row>
    <row r="1647" spans="1:62" x14ac:dyDescent="0.4">
      <c r="BI1647" s="26"/>
      <c r="BJ1647" s="15"/>
    </row>
    <row r="1648" spans="1:62" x14ac:dyDescent="0.4">
      <c r="BI1648" s="26"/>
      <c r="BJ1648" s="15"/>
    </row>
    <row r="1649" spans="1:62" x14ac:dyDescent="0.4">
      <c r="A1649" s="115"/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22"/>
      <c r="AS1649" s="122"/>
      <c r="AT1649" s="122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26"/>
      <c r="BJ1649" s="15"/>
    </row>
    <row r="1650" spans="1:62" x14ac:dyDescent="0.4">
      <c r="A1650" s="115"/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22"/>
      <c r="AS1650" s="122"/>
      <c r="AT1650" s="122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26"/>
      <c r="BJ1650" s="13"/>
    </row>
    <row r="1651" spans="1:62" x14ac:dyDescent="0.4">
      <c r="BI1651" s="26"/>
      <c r="BJ1651" s="15"/>
    </row>
    <row r="1652" spans="1:62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22"/>
      <c r="AS1652" s="122"/>
      <c r="AT1652" s="122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26"/>
      <c r="BJ1652" s="15"/>
    </row>
    <row r="1653" spans="1:62" x14ac:dyDescent="0.4">
      <c r="BI1653" s="26"/>
      <c r="BJ1653" s="15"/>
    </row>
    <row r="1654" spans="1:62" x14ac:dyDescent="0.4">
      <c r="BI1654" s="26"/>
      <c r="BJ1654" s="15"/>
    </row>
    <row r="1655" spans="1:62" x14ac:dyDescent="0.4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22"/>
      <c r="AS1655" s="122"/>
      <c r="AT1655" s="122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26"/>
      <c r="BJ1655" s="15"/>
    </row>
    <row r="1656" spans="1:62" x14ac:dyDescent="0.4">
      <c r="BI1656" s="26"/>
      <c r="BJ1656" s="13"/>
    </row>
    <row r="1657" spans="1:62" x14ac:dyDescent="0.4">
      <c r="BI1657" s="26"/>
      <c r="BJ1657" s="13"/>
    </row>
    <row r="1658" spans="1:62" x14ac:dyDescent="0.4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22"/>
      <c r="AS1658" s="122"/>
      <c r="AT1658" s="122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26"/>
      <c r="BJ1658" s="13"/>
    </row>
    <row r="1659" spans="1:62" x14ac:dyDescent="0.4">
      <c r="BI1659" s="26"/>
      <c r="BJ1659" s="13"/>
    </row>
    <row r="1660" spans="1:62" x14ac:dyDescent="0.4">
      <c r="BI1660" s="26"/>
      <c r="BJ1660" s="13"/>
    </row>
    <row r="1661" spans="1:62" x14ac:dyDescent="0.4">
      <c r="BI1661" s="26"/>
      <c r="BJ1661" s="13"/>
    </row>
    <row r="1662" spans="1:62" x14ac:dyDescent="0.4">
      <c r="BI1662" s="26"/>
      <c r="BJ1662" s="13"/>
    </row>
    <row r="1663" spans="1:62" x14ac:dyDescent="0.4">
      <c r="BI1663" s="26"/>
      <c r="BJ1663" s="13"/>
    </row>
    <row r="1664" spans="1:62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22"/>
      <c r="AS1664" s="122"/>
      <c r="AT1664" s="122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26"/>
      <c r="BJ1664" s="25"/>
    </row>
    <row r="1665" spans="1:62" x14ac:dyDescent="0.4">
      <c r="BI1665" s="26"/>
      <c r="BJ1665" s="13"/>
    </row>
    <row r="1666" spans="1:62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22"/>
      <c r="AS1666" s="122"/>
      <c r="AT1666" s="122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26"/>
      <c r="BJ1666" s="13"/>
    </row>
    <row r="1667" spans="1:62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22"/>
      <c r="AS1667" s="122"/>
      <c r="AT1667" s="122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26"/>
      <c r="BJ1667" s="13"/>
    </row>
    <row r="1668" spans="1:62" x14ac:dyDescent="0.4">
      <c r="BI1668" s="26"/>
      <c r="BJ1668" s="15"/>
    </row>
    <row r="1669" spans="1:62" x14ac:dyDescent="0.4">
      <c r="BI1669" s="26"/>
      <c r="BJ1669" s="15"/>
    </row>
    <row r="1670" spans="1:62" x14ac:dyDescent="0.4">
      <c r="BI1670" s="26"/>
      <c r="BJ1670" s="15"/>
    </row>
    <row r="1671" spans="1:62" x14ac:dyDescent="0.4">
      <c r="BI1671" s="26"/>
      <c r="BJ1671" s="13"/>
    </row>
    <row r="1672" spans="1:62" x14ac:dyDescent="0.4">
      <c r="BI1672" s="26"/>
      <c r="BJ1672" s="15"/>
    </row>
    <row r="1673" spans="1:62" x14ac:dyDescent="0.4"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22"/>
      <c r="AS1673" s="122"/>
      <c r="AT1673" s="122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7"/>
      <c r="BJ1673" s="15"/>
    </row>
    <row r="1674" spans="1:62" x14ac:dyDescent="0.4">
      <c r="BI1674" s="26"/>
      <c r="BJ1674" s="15"/>
    </row>
    <row r="1675" spans="1:62" x14ac:dyDescent="0.4"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22"/>
      <c r="AS1675" s="122"/>
      <c r="AT1675" s="122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7"/>
      <c r="BJ1675" s="15"/>
    </row>
    <row r="1676" spans="1:62" x14ac:dyDescent="0.4">
      <c r="BI1676" s="26"/>
      <c r="BJ1676" s="15"/>
    </row>
    <row r="1677" spans="1:62" x14ac:dyDescent="0.4">
      <c r="BI1677" s="26"/>
      <c r="BJ1677" s="15"/>
    </row>
    <row r="1678" spans="1:62" x14ac:dyDescent="0.4"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22"/>
      <c r="AS1678" s="122"/>
      <c r="AT1678" s="122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7"/>
      <c r="BJ1678" s="15"/>
    </row>
    <row r="1679" spans="1:62" x14ac:dyDescent="0.4">
      <c r="BI1679" s="26"/>
      <c r="BJ1679" s="15"/>
    </row>
    <row r="1680" spans="1:62" x14ac:dyDescent="0.4">
      <c r="BI1680" s="26"/>
      <c r="BJ1680" s="15"/>
    </row>
    <row r="1681" spans="2:62" x14ac:dyDescent="0.4">
      <c r="BI1681" s="26"/>
      <c r="BJ1681" s="105"/>
    </row>
    <row r="1682" spans="2:62" x14ac:dyDescent="0.4">
      <c r="BI1682" s="26"/>
      <c r="BJ1682" s="15"/>
    </row>
    <row r="1683" spans="2:62" x14ac:dyDescent="0.4">
      <c r="BI1683" s="26"/>
      <c r="BJ1683" s="15"/>
    </row>
    <row r="1684" spans="2:62" x14ac:dyDescent="0.4">
      <c r="BI1684" s="26"/>
      <c r="BJ1684" s="15"/>
    </row>
    <row r="1685" spans="2:62" x14ac:dyDescent="0.4">
      <c r="BI1685" s="26"/>
      <c r="BJ1685" s="15"/>
    </row>
    <row r="1686" spans="2:62" x14ac:dyDescent="0.4">
      <c r="BI1686" s="26"/>
      <c r="BJ1686" s="15"/>
    </row>
    <row r="1687" spans="2:62" x14ac:dyDescent="0.4"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22"/>
      <c r="AS1687" s="122"/>
      <c r="AT1687" s="122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9"/>
      <c r="BJ1687" s="119"/>
    </row>
    <row r="1688" spans="2:62" x14ac:dyDescent="0.4"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22"/>
      <c r="AS1688" s="122"/>
      <c r="AT1688" s="122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9"/>
      <c r="BJ1688" s="119"/>
    </row>
  </sheetData>
  <sortState xmlns:xlrd2="http://schemas.microsoft.com/office/spreadsheetml/2017/richdata2" ref="J2:K151">
    <sortCondition ref="J2:J151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2025-09-11T05:16:48Z</cp:lastPrinted>
  <dcterms:created xsi:type="dcterms:W3CDTF">2020-05-08T06:29:04Z</dcterms:created>
  <dcterms:modified xsi:type="dcterms:W3CDTF">2025-09-11T09:42:48Z</dcterms:modified>
</cp:coreProperties>
</file>