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811C0DD3-08E2-43F4-AC30-AFF252EA82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4" l="1"/>
  <c r="D32" i="4"/>
  <c r="C32" i="4"/>
  <c r="B32" i="4"/>
  <c r="O195" i="4"/>
  <c r="N195" i="4"/>
  <c r="O190" i="4"/>
  <c r="N190" i="4"/>
  <c r="O188" i="4"/>
  <c r="N188" i="4"/>
  <c r="O186" i="4"/>
  <c r="N186" i="4"/>
  <c r="O181" i="4"/>
  <c r="N181" i="4"/>
  <c r="O179" i="4"/>
  <c r="N179" i="4"/>
  <c r="O166" i="4"/>
  <c r="N166" i="4"/>
  <c r="O164" i="4"/>
  <c r="N164" i="4"/>
  <c r="O160" i="4"/>
  <c r="N160" i="4"/>
  <c r="O151" i="4"/>
  <c r="N151" i="4"/>
  <c r="O148" i="4"/>
  <c r="N148" i="4"/>
  <c r="O146" i="4"/>
  <c r="N146" i="4"/>
  <c r="O141" i="4"/>
  <c r="N141" i="4"/>
  <c r="O130" i="4"/>
  <c r="N130" i="4"/>
  <c r="O123" i="4"/>
  <c r="N123" i="4"/>
  <c r="O95" i="4"/>
  <c r="N95" i="4"/>
  <c r="O82" i="4"/>
  <c r="N82" i="4"/>
  <c r="O72" i="4"/>
  <c r="N72" i="4"/>
  <c r="O61" i="4"/>
  <c r="N61" i="4"/>
  <c r="O48" i="4"/>
  <c r="N48" i="4"/>
  <c r="O46" i="4"/>
  <c r="N46" i="4"/>
  <c r="O38" i="4"/>
  <c r="N38" i="4"/>
  <c r="O32" i="4"/>
  <c r="N32" i="4"/>
  <c r="O30" i="4"/>
  <c r="N30" i="4"/>
  <c r="O27" i="4"/>
  <c r="N27" i="4"/>
  <c r="O21" i="4"/>
  <c r="N21" i="4"/>
  <c r="O11" i="4"/>
  <c r="N11" i="4"/>
  <c r="O8" i="4"/>
  <c r="N8" i="4"/>
  <c r="O5" i="4"/>
  <c r="N5" i="4"/>
  <c r="O3" i="4"/>
  <c r="O196" i="4" s="1"/>
  <c r="N3" i="4"/>
  <c r="N196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D25" i="3"/>
  <c r="C25" i="3"/>
  <c r="D26" i="3" s="1"/>
  <c r="B25" i="3"/>
  <c r="AE159" i="3"/>
  <c r="AD159" i="3"/>
  <c r="AE154" i="3"/>
  <c r="AD154" i="3"/>
  <c r="AE152" i="3"/>
  <c r="AD152" i="3"/>
  <c r="AE138" i="3"/>
  <c r="AD138" i="3"/>
  <c r="AE124" i="3"/>
  <c r="AD124" i="3"/>
  <c r="AE117" i="3"/>
  <c r="AD117" i="3"/>
  <c r="AE104" i="3"/>
  <c r="AD104" i="3"/>
  <c r="AE98" i="3"/>
  <c r="AD98" i="3"/>
  <c r="AE80" i="3"/>
  <c r="AD80" i="3"/>
  <c r="AE78" i="3"/>
  <c r="AD78" i="3"/>
  <c r="AE72" i="3"/>
  <c r="AD72" i="3"/>
  <c r="AE49" i="3"/>
  <c r="AD49" i="3"/>
  <c r="AE35" i="3"/>
  <c r="AD35" i="3"/>
  <c r="AE31" i="3"/>
  <c r="AD31" i="3"/>
  <c r="AE25" i="3"/>
  <c r="AD25" i="3"/>
  <c r="AE22" i="3"/>
  <c r="AD22" i="3"/>
  <c r="AE17" i="3"/>
  <c r="AD17" i="3"/>
  <c r="AE15" i="3"/>
  <c r="AD15" i="3"/>
  <c r="AE13" i="3"/>
  <c r="AD13" i="3"/>
  <c r="AE7" i="3"/>
  <c r="AD7" i="3"/>
  <c r="AE5" i="3"/>
  <c r="AD5" i="3"/>
  <c r="AE3" i="3"/>
  <c r="AD3" i="3"/>
  <c r="B61" i="1"/>
  <c r="A241" i="1"/>
  <c r="A151" i="1"/>
  <c r="AB43" i="1"/>
  <c r="AD160" i="3" l="1"/>
  <c r="AE160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<sst xmlns="http://schemas.openxmlformats.org/spreadsheetml/2006/main" count="2500" uniqueCount="405">
  <si>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</si>
  <si>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</si>
  <si>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</si>
  <si>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</si>
  <si>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</si>
  <si>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</si>
  <si>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</si>
  <si>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</si>
  <si>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</si>
  <si>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</si>
  <si>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</si>
  <si>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</si>
  <si>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</si>
  <si>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</si>
  <si>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</si>
  <si>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</si>
  <si>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</si>
  <si>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</si>
  <si>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</si>
  <si>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</si>
  <si>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</si>
  <si>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</si>
  <si>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</si>
  <si>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</si>
  <si>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</si>
  <si>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</si>
  <si>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</si>
  <si>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</si>
  <si>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</si>
  <si>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</si>
  <si>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</si>
  <si>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</si>
  <si>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</si>
  <si>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</si>
  <si>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</si>
  <si>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</si>
  <si>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</si>
  <si>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</si>
  <si>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</si>
  <si>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</si>
  <si>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</si>
  <si>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</si>
  <si>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</si>
  <si>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</si>
  <si>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</si>
  <si>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</si>
  <si>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</si>
  <si>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</si>
  <si>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</si>
  <si>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</si>
  <si>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</si>
  <si>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</si>
  <si>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</si>
  <si>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</si>
  <si>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</si>
  <si>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</si>
  <si>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</si>
  <si>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</si>
  <si>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</si>
  <si>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</si>
  <si>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</si>
  <si>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</si>
  <si>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</si>
  <si>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</si>
  <si>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</si>
  <si>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</si>
  <si>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</si>
  <si>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</si>
  <si>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</si>
  <si>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</si>
  <si>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</si>
  <si>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</si>
  <si>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</si>
  <si>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</si>
  <si>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</si>
  <si>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</si>
  <si>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</si>
  <si>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</si>
  <si>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</si>
  <si>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</si>
  <si>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</si>
  <si>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</si>
  <si>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</si>
  <si>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</si>
  <si>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</si>
  <si>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</si>
  <si>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</si>
  <si>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</si>
  <si>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</si>
  <si>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</si>
  <si>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</si>
  <si>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</si>
  <si>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</si>
  <si>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</si>
  <si>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</si>
  <si>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</si>
  <si>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</si>
  <si>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</si>
  <si>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</si>
  <si>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</si>
  <si>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</si>
  <si>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</si>
  <si>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</si>
  <si>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</si>
  <si>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</si>
  <si>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</si>
  <si>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</si>
  <si>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</si>
  <si>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</si>
  <si>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</si>
  <si>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</si>
  <si>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</si>
  <si>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</si>
  <si>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</si>
  <si>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</si>
  <si>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</si>
  <si>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</si>
  <si>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</si>
  <si>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</si>
  <si>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</si>
  <si>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</si>
  <si>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</si>
  <si>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</si>
  <si>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</si>
  <si>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</si>
  <si>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</si>
  <si>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</si>
  <si>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</si>
  <si>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</si>
  <si>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</si>
  <si>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</si>
  <si>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</si>
  <si>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</si>
  <si>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</si>
  <si>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</si>
  <si>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</si>
  <si>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</si>
  <si>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</si>
  <si>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</si>
  <si>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</si>
  <si>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</si>
  <si>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</si>
  <si>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</si>
  <si>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</si>
  <si>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</si>
  <si>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</si>
  <si>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</si>
  <si>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</si>
  <si>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</si>
  <si>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</si>
  <si>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</si>
  <si>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</si>
  <si>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</si>
  <si>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</si>
  <si>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</si>
  <si>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</si>
  <si>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</si>
  <si>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</si>
  <si>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</si>
  <si>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</si>
  <si>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</si>
  <si>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</si>
  <si>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AYG062</t>
    <phoneticPr fontId="1"/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</si>
  <si>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</si>
  <si>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</si>
  <si>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</si>
  <si>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</si>
  <si>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</si>
  <si>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</si>
  <si>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</si>
  <si>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</si>
  <si>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</si>
  <si>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</si>
  <si>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</si>
  <si>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</si>
  <si>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</si>
  <si>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M032</t>
    <phoneticPr fontId="1"/>
  </si>
  <si>
    <t>S</t>
    <phoneticPr fontId="1"/>
  </si>
  <si>
    <t>A913</t>
    <phoneticPr fontId="1"/>
  </si>
  <si>
    <t>A700</t>
    <phoneticPr fontId="1"/>
  </si>
  <si>
    <t>M079</t>
    <phoneticPr fontId="1"/>
  </si>
  <si>
    <t>E</t>
    <phoneticPr fontId="1"/>
  </si>
  <si>
    <t>A335</t>
    <phoneticPr fontId="1"/>
  </si>
  <si>
    <t>M037</t>
    <phoneticPr fontId="1"/>
  </si>
  <si>
    <t>A997</t>
    <phoneticPr fontId="1"/>
  </si>
  <si>
    <t>A623</t>
    <phoneticPr fontId="1"/>
  </si>
  <si>
    <t>M078</t>
    <phoneticPr fontId="1"/>
  </si>
  <si>
    <t>A550</t>
    <phoneticPr fontId="1"/>
  </si>
  <si>
    <t>2024/8/16 個数</t>
  </si>
  <si>
    <t>A545</t>
    <phoneticPr fontId="1"/>
  </si>
  <si>
    <t>M050</t>
    <phoneticPr fontId="1"/>
  </si>
  <si>
    <t>2024/8/18 個数</t>
  </si>
  <si>
    <t>2024/8/27 個数</t>
  </si>
  <si>
    <t>2024/8/28 個数</t>
  </si>
  <si>
    <t>2024/9/4 個数</t>
  </si>
  <si>
    <t>A523</t>
    <phoneticPr fontId="1"/>
  </si>
  <si>
    <t>A501</t>
    <phoneticPr fontId="1"/>
  </si>
  <si>
    <t>A529</t>
    <phoneticPr fontId="1"/>
  </si>
  <si>
    <t>M074</t>
    <phoneticPr fontId="1"/>
  </si>
  <si>
    <t>A505</t>
    <phoneticPr fontId="1"/>
  </si>
  <si>
    <t>M070</t>
    <phoneticPr fontId="1"/>
  </si>
  <si>
    <t>A611</t>
    <phoneticPr fontId="1"/>
  </si>
  <si>
    <t>2024/8/26 個数</t>
  </si>
  <si>
    <t>2024/8/30 個数</t>
  </si>
  <si>
    <t>2024/8/31 個数</t>
  </si>
  <si>
    <t>2024/9/1 個数</t>
  </si>
  <si>
    <t>2024/9/2 個数</t>
  </si>
  <si>
    <t>2024/9/3 個数</t>
  </si>
  <si>
    <t>2024/9/8 個数</t>
  </si>
  <si>
    <t>2024/9/10 個数</t>
  </si>
  <si>
    <t>AYG085</t>
    <phoneticPr fontId="1"/>
  </si>
  <si>
    <t>06070495</t>
    <phoneticPr fontId="1"/>
  </si>
  <si>
    <t>A123</t>
    <phoneticPr fontId="1"/>
  </si>
  <si>
    <t>06070496</t>
    <phoneticPr fontId="1"/>
  </si>
  <si>
    <t>06070527</t>
    <phoneticPr fontId="1"/>
  </si>
  <si>
    <t>A318</t>
    <phoneticPr fontId="1"/>
  </si>
  <si>
    <t>06070528</t>
    <phoneticPr fontId="1"/>
  </si>
  <si>
    <t>06070539</t>
    <phoneticPr fontId="1"/>
  </si>
  <si>
    <t>06070541</t>
    <phoneticPr fontId="1"/>
  </si>
  <si>
    <t>06070457</t>
    <phoneticPr fontId="1"/>
  </si>
  <si>
    <t>06070497</t>
    <phoneticPr fontId="1"/>
  </si>
  <si>
    <t>06070529</t>
    <phoneticPr fontId="1"/>
  </si>
  <si>
    <t>06070530</t>
    <phoneticPr fontId="1"/>
  </si>
  <si>
    <t>06070538</t>
    <phoneticPr fontId="1"/>
  </si>
  <si>
    <t>06070540</t>
    <phoneticPr fontId="1"/>
  </si>
  <si>
    <t>06070542</t>
    <phoneticPr fontId="1"/>
  </si>
  <si>
    <t>06070557</t>
    <phoneticPr fontId="1"/>
  </si>
  <si>
    <t>06070560</t>
    <phoneticPr fontId="1"/>
  </si>
  <si>
    <t>06070561</t>
    <phoneticPr fontId="1"/>
  </si>
  <si>
    <t>06070562</t>
    <phoneticPr fontId="1"/>
  </si>
  <si>
    <t>06070565</t>
    <phoneticPr fontId="1"/>
  </si>
  <si>
    <t>C</t>
    <phoneticPr fontId="1"/>
  </si>
  <si>
    <t>06070566</t>
    <phoneticPr fontId="1"/>
  </si>
  <si>
    <t>06070571</t>
    <phoneticPr fontId="1"/>
  </si>
  <si>
    <t>06070572</t>
    <phoneticPr fontId="1"/>
  </si>
  <si>
    <t>06070573</t>
    <phoneticPr fontId="1"/>
  </si>
  <si>
    <t>06070589</t>
    <phoneticPr fontId="1"/>
  </si>
  <si>
    <t>06080028</t>
    <phoneticPr fontId="1"/>
  </si>
  <si>
    <t>06080031</t>
    <phoneticPr fontId="1"/>
  </si>
  <si>
    <t>06080066</t>
    <phoneticPr fontId="1"/>
  </si>
  <si>
    <t>A330</t>
    <phoneticPr fontId="1"/>
  </si>
  <si>
    <t>06080065</t>
    <phoneticPr fontId="1"/>
  </si>
  <si>
    <t>06080049</t>
    <phoneticPr fontId="1"/>
  </si>
  <si>
    <t>06080067</t>
    <phoneticPr fontId="1"/>
  </si>
  <si>
    <t>06080050</t>
    <phoneticPr fontId="1"/>
  </si>
  <si>
    <t>06080051</t>
    <phoneticPr fontId="1"/>
  </si>
  <si>
    <t>06080052</t>
    <phoneticPr fontId="1"/>
  </si>
  <si>
    <t>06080053</t>
    <phoneticPr fontId="1"/>
  </si>
  <si>
    <t>06070445</t>
    <phoneticPr fontId="1"/>
  </si>
  <si>
    <t>06070447</t>
    <phoneticPr fontId="1"/>
  </si>
  <si>
    <t>06070446</t>
    <phoneticPr fontId="1"/>
  </si>
  <si>
    <t>06080068</t>
    <phoneticPr fontId="1"/>
  </si>
  <si>
    <t>06080073</t>
    <phoneticPr fontId="1"/>
  </si>
  <si>
    <t>06080069</t>
    <phoneticPr fontId="1"/>
  </si>
  <si>
    <t>06080071</t>
    <phoneticPr fontId="1"/>
  </si>
  <si>
    <t>06080070</t>
    <phoneticPr fontId="1"/>
  </si>
  <si>
    <t>06080072</t>
    <phoneticPr fontId="1"/>
  </si>
  <si>
    <t>06080046</t>
    <phoneticPr fontId="1"/>
  </si>
  <si>
    <t>A199</t>
    <phoneticPr fontId="1"/>
  </si>
  <si>
    <t>06080047</t>
    <phoneticPr fontId="1"/>
  </si>
  <si>
    <t>06080037</t>
    <phoneticPr fontId="1"/>
  </si>
  <si>
    <t>M100</t>
    <phoneticPr fontId="1"/>
  </si>
  <si>
    <t>06080048</t>
    <phoneticPr fontId="1"/>
  </si>
  <si>
    <t>06070370</t>
    <phoneticPr fontId="1"/>
  </si>
  <si>
    <t>06070371</t>
    <phoneticPr fontId="1"/>
  </si>
  <si>
    <t>06070372</t>
    <phoneticPr fontId="1"/>
  </si>
  <si>
    <t>06070373</t>
    <phoneticPr fontId="1"/>
  </si>
  <si>
    <t>06070374</t>
    <phoneticPr fontId="1"/>
  </si>
  <si>
    <t>06070375</t>
    <phoneticPr fontId="1"/>
  </si>
  <si>
    <t>06070415</t>
    <phoneticPr fontId="1"/>
  </si>
  <si>
    <t>06070466</t>
    <phoneticPr fontId="1"/>
  </si>
  <si>
    <t>06070503</t>
    <phoneticPr fontId="1"/>
  </si>
  <si>
    <t>P</t>
    <phoneticPr fontId="1"/>
  </si>
  <si>
    <t>06070511</t>
    <phoneticPr fontId="1"/>
  </si>
  <si>
    <t>06070512</t>
    <phoneticPr fontId="1"/>
  </si>
  <si>
    <t>06070460</t>
    <phoneticPr fontId="1"/>
  </si>
  <si>
    <t>06070489</t>
    <phoneticPr fontId="1"/>
  </si>
  <si>
    <t>06070490</t>
    <phoneticPr fontId="1"/>
  </si>
  <si>
    <t>06070508</t>
    <phoneticPr fontId="1"/>
  </si>
  <si>
    <t>06070509</t>
    <phoneticPr fontId="1"/>
  </si>
  <si>
    <t>06070510</t>
    <phoneticPr fontId="1"/>
  </si>
  <si>
    <t>06070524</t>
    <phoneticPr fontId="1"/>
  </si>
  <si>
    <t>06070456</t>
    <phoneticPr fontId="1"/>
  </si>
  <si>
    <t>06070461</t>
    <phoneticPr fontId="1"/>
  </si>
  <si>
    <t>06070491</t>
    <phoneticPr fontId="1"/>
  </si>
  <si>
    <t>06070504</t>
    <phoneticPr fontId="1"/>
  </si>
  <si>
    <t>06070505</t>
    <phoneticPr fontId="1"/>
  </si>
  <si>
    <t>06070506</t>
    <phoneticPr fontId="1"/>
  </si>
  <si>
    <t>06070526</t>
    <phoneticPr fontId="1"/>
  </si>
  <si>
    <t>A250</t>
    <phoneticPr fontId="1"/>
  </si>
  <si>
    <t>06070531</t>
    <phoneticPr fontId="1"/>
  </si>
  <si>
    <t>06070532</t>
    <phoneticPr fontId="1"/>
  </si>
  <si>
    <t>06070533</t>
    <phoneticPr fontId="1"/>
  </si>
  <si>
    <t>06070534</t>
    <phoneticPr fontId="1"/>
  </si>
  <si>
    <t>06070535</t>
    <phoneticPr fontId="1"/>
  </si>
  <si>
    <t>06070536</t>
    <phoneticPr fontId="1"/>
  </si>
  <si>
    <t>06070537</t>
    <phoneticPr fontId="1"/>
  </si>
  <si>
    <t>06070478</t>
    <phoneticPr fontId="1"/>
  </si>
  <si>
    <t>06070553</t>
    <phoneticPr fontId="1"/>
  </si>
  <si>
    <t>06070517</t>
    <phoneticPr fontId="1"/>
  </si>
  <si>
    <t>06070552</t>
    <phoneticPr fontId="1"/>
  </si>
  <si>
    <t>06070520</t>
    <phoneticPr fontId="1"/>
  </si>
  <si>
    <t>06070514</t>
    <phoneticPr fontId="1"/>
  </si>
  <si>
    <t>06070513</t>
    <phoneticPr fontId="1"/>
  </si>
  <si>
    <t>06070523</t>
    <phoneticPr fontId="1"/>
  </si>
  <si>
    <t>06070516</t>
    <phoneticPr fontId="1"/>
  </si>
  <si>
    <t>06070519</t>
    <phoneticPr fontId="1"/>
  </si>
  <si>
    <t>06070518</t>
    <phoneticPr fontId="1"/>
  </si>
  <si>
    <t>06070521</t>
    <phoneticPr fontId="1"/>
  </si>
  <si>
    <t>06070515</t>
    <phoneticPr fontId="1"/>
  </si>
  <si>
    <t>06050153</t>
    <phoneticPr fontId="1"/>
  </si>
  <si>
    <t>A755</t>
    <phoneticPr fontId="1"/>
  </si>
  <si>
    <t>06070396</t>
    <phoneticPr fontId="1"/>
  </si>
  <si>
    <t>06070397</t>
    <phoneticPr fontId="1"/>
  </si>
  <si>
    <t>A775</t>
    <phoneticPr fontId="1"/>
  </si>
  <si>
    <t>06070399</t>
    <phoneticPr fontId="1"/>
  </si>
  <si>
    <t>06070498</t>
    <phoneticPr fontId="1"/>
  </si>
  <si>
    <t>06080001</t>
    <phoneticPr fontId="1"/>
  </si>
  <si>
    <t>06080045</t>
    <phoneticPr fontId="1"/>
  </si>
  <si>
    <t>06080074</t>
    <phoneticPr fontId="1"/>
  </si>
  <si>
    <t>06080075</t>
    <phoneticPr fontId="1"/>
  </si>
  <si>
    <t>06080076</t>
    <phoneticPr fontId="1"/>
  </si>
  <si>
    <t>06080077</t>
    <phoneticPr fontId="1"/>
  </si>
  <si>
    <t>A630</t>
    <phoneticPr fontId="1"/>
  </si>
  <si>
    <t>06080078</t>
    <phoneticPr fontId="1"/>
  </si>
  <si>
    <t>06080079</t>
    <phoneticPr fontId="1"/>
  </si>
  <si>
    <t>06080082</t>
    <phoneticPr fontId="1"/>
  </si>
  <si>
    <t>06080088</t>
    <phoneticPr fontId="1"/>
  </si>
  <si>
    <t>06070414</t>
    <phoneticPr fontId="1"/>
  </si>
  <si>
    <t>06070428</t>
    <phoneticPr fontId="1"/>
  </si>
  <si>
    <t>06070459</t>
    <phoneticPr fontId="1"/>
  </si>
  <si>
    <t>06070462</t>
    <phoneticPr fontId="1"/>
  </si>
  <si>
    <t>06070464</t>
    <phoneticPr fontId="1"/>
  </si>
  <si>
    <t>06070465</t>
    <phoneticPr fontId="1"/>
  </si>
  <si>
    <t>06070470</t>
    <phoneticPr fontId="1"/>
  </si>
  <si>
    <t>06070471</t>
    <phoneticPr fontId="1"/>
  </si>
  <si>
    <t>06070472</t>
    <phoneticPr fontId="1"/>
  </si>
  <si>
    <t>06070479</t>
    <phoneticPr fontId="1"/>
  </si>
  <si>
    <t>06070480</t>
    <phoneticPr fontId="1"/>
  </si>
  <si>
    <t>06070484</t>
    <phoneticPr fontId="1"/>
  </si>
  <si>
    <t>06070485</t>
    <phoneticPr fontId="1"/>
  </si>
  <si>
    <t>06070487</t>
    <phoneticPr fontId="1"/>
  </si>
  <si>
    <t>06070525</t>
    <phoneticPr fontId="1"/>
  </si>
  <si>
    <t>06080009</t>
    <phoneticPr fontId="1"/>
  </si>
  <si>
    <t>06080010</t>
  </si>
  <si>
    <t>06080011</t>
  </si>
  <si>
    <t>06080012</t>
  </si>
  <si>
    <t>06080014</t>
    <phoneticPr fontId="1"/>
  </si>
  <si>
    <t>06080015</t>
  </si>
  <si>
    <t>06080016</t>
  </si>
  <si>
    <t>06080017</t>
  </si>
  <si>
    <t>06080018</t>
  </si>
  <si>
    <t>06080019</t>
  </si>
  <si>
    <t>06080020</t>
  </si>
  <si>
    <t>06080021</t>
  </si>
  <si>
    <t>06080022</t>
  </si>
  <si>
    <t>06080023</t>
  </si>
  <si>
    <t>A336</t>
    <phoneticPr fontId="1"/>
  </si>
  <si>
    <t>06070172</t>
    <phoneticPr fontId="1"/>
  </si>
  <si>
    <t>06070243</t>
    <phoneticPr fontId="1"/>
  </si>
  <si>
    <t>06070398</t>
    <phoneticPr fontId="1"/>
  </si>
  <si>
    <t>06070475</t>
    <phoneticPr fontId="1"/>
  </si>
  <si>
    <t>06070476</t>
    <phoneticPr fontId="1"/>
  </si>
  <si>
    <t>06070486</t>
    <phoneticPr fontId="1"/>
  </si>
  <si>
    <t>06070500</t>
    <phoneticPr fontId="1"/>
  </si>
  <si>
    <t>06070555</t>
    <phoneticPr fontId="1"/>
  </si>
  <si>
    <t>06070558</t>
    <phoneticPr fontId="1"/>
  </si>
  <si>
    <t>06070559</t>
    <phoneticPr fontId="1"/>
  </si>
  <si>
    <t>06070567</t>
    <phoneticPr fontId="1"/>
  </si>
  <si>
    <t>06070568</t>
    <phoneticPr fontId="1"/>
  </si>
  <si>
    <t>06070569</t>
    <phoneticPr fontId="1"/>
  </si>
  <si>
    <t>06080002</t>
    <phoneticPr fontId="1"/>
  </si>
  <si>
    <t>06080006</t>
    <phoneticPr fontId="1"/>
  </si>
  <si>
    <t>06070377</t>
    <phoneticPr fontId="1"/>
  </si>
  <si>
    <t>06070499</t>
    <phoneticPr fontId="1"/>
  </si>
  <si>
    <t>06070400</t>
    <phoneticPr fontId="1"/>
  </si>
  <si>
    <t>06070401</t>
    <phoneticPr fontId="1"/>
  </si>
  <si>
    <t>06070412</t>
    <phoneticPr fontId="1"/>
  </si>
  <si>
    <t>06070413</t>
    <phoneticPr fontId="1"/>
  </si>
  <si>
    <t>06070501</t>
    <phoneticPr fontId="1"/>
  </si>
  <si>
    <t>06070502</t>
    <phoneticPr fontId="1"/>
  </si>
  <si>
    <t>06070554</t>
    <phoneticPr fontId="1"/>
  </si>
  <si>
    <t>06070556</t>
    <phoneticPr fontId="1"/>
  </si>
  <si>
    <t>06080008</t>
    <phoneticPr fontId="1"/>
  </si>
  <si>
    <t>A255</t>
    <phoneticPr fontId="1"/>
  </si>
  <si>
    <t>06080013</t>
    <phoneticPr fontId="1"/>
  </si>
  <si>
    <t>06080027</t>
    <phoneticPr fontId="1"/>
  </si>
  <si>
    <t>06080029</t>
    <phoneticPr fontId="1"/>
  </si>
  <si>
    <t>2024/8/29 個数</t>
  </si>
  <si>
    <t>2024/9/5 個数</t>
  </si>
  <si>
    <t>2024/9/6 個数</t>
  </si>
  <si>
    <t>2024/9/7 個数</t>
  </si>
  <si>
    <t>2024/9/9 個数</t>
  </si>
  <si>
    <t>2024/9/11 個数</t>
  </si>
  <si>
    <t>2024/9/12 個数</t>
  </si>
  <si>
    <t>2024/9/13 個数</t>
  </si>
  <si>
    <t>2024/9/15 個数</t>
  </si>
  <si>
    <t>2024/9/16 個数</t>
  </si>
  <si>
    <t>2024/9/17 個数</t>
  </si>
  <si>
    <t>2024/9/18 個数</t>
  </si>
  <si>
    <t>2024/9/19 個数</t>
  </si>
  <si>
    <t>2024/9/25 個数</t>
  </si>
  <si>
    <t>2024/9/26 個数</t>
  </si>
  <si>
    <t>2024/9/27 個数</t>
  </si>
  <si>
    <t>2024/9/28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</si>
</sst>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57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78"/>
  <sheetViews>
    <sheetView tabSelected="1" zoomScale="106" zoomScaleNormal="106" workbookViewId="0">
      <selection activeCell="I6" sqref="I6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210</v>
      </c>
      <c r="B1" s="24">
        <v>45510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3" t="s">
        <v>105</v>
      </c>
      <c r="Y2" s="139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0">
        <v>1</v>
      </c>
      <c r="B3" s="130">
        <v>25.2</v>
      </c>
      <c r="C3" s="85" t="s">
        <v>263</v>
      </c>
      <c r="D3" s="109" t="s">
        <v>179</v>
      </c>
      <c r="E3" s="15" t="s">
        <v>60</v>
      </c>
      <c r="F3" s="14"/>
      <c r="G3" s="12" t="s">
        <v>177</v>
      </c>
      <c r="H3" s="13"/>
      <c r="I3" s="13"/>
      <c r="J3" s="13">
        <v>1</v>
      </c>
      <c r="K3" s="13"/>
      <c r="L3" s="13">
        <v>1</v>
      </c>
      <c r="M3" s="13"/>
      <c r="N3" s="13"/>
      <c r="O3" s="13"/>
      <c r="P3" s="13"/>
      <c r="Q3" s="13"/>
      <c r="R3" s="13"/>
      <c r="S3" s="13"/>
      <c r="T3" s="25">
        <v>45543</v>
      </c>
      <c r="U3" s="13" t="s">
        <v>146</v>
      </c>
      <c r="V3">
        <v>1</v>
      </c>
      <c r="X3" s="51" t="s">
        <v>106</v>
      </c>
      <c r="Y3" s="52">
        <f>COUNTIF(U3:U27,"K")</f>
        <v>8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1"/>
      <c r="B4" s="131"/>
      <c r="C4" s="85" t="s">
        <v>264</v>
      </c>
      <c r="D4" s="109" t="s">
        <v>179</v>
      </c>
      <c r="E4" s="15" t="s">
        <v>60</v>
      </c>
      <c r="F4" s="16"/>
      <c r="G4" s="12" t="s">
        <v>177</v>
      </c>
      <c r="H4" s="15"/>
      <c r="I4" s="13"/>
      <c r="J4" s="15">
        <v>1</v>
      </c>
      <c r="K4" s="15"/>
      <c r="L4" s="17">
        <v>1</v>
      </c>
      <c r="M4" s="17"/>
      <c r="N4" s="13"/>
      <c r="O4" s="17"/>
      <c r="P4" s="17"/>
      <c r="Q4" s="17"/>
      <c r="R4" s="17"/>
      <c r="S4" s="15"/>
      <c r="T4" s="25">
        <v>45543</v>
      </c>
      <c r="U4" s="13" t="s">
        <v>146</v>
      </c>
      <c r="V4">
        <v>2</v>
      </c>
      <c r="X4" s="51" t="s">
        <v>107</v>
      </c>
      <c r="Y4" s="52">
        <f>COUNTIF(U3:U27,"R")</f>
        <v>2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1"/>
      <c r="B5" s="131"/>
      <c r="C5" s="85" t="s">
        <v>265</v>
      </c>
      <c r="D5" s="109" t="s">
        <v>179</v>
      </c>
      <c r="E5" s="15" t="s">
        <v>60</v>
      </c>
      <c r="F5" s="16"/>
      <c r="G5" s="12" t="s">
        <v>177</v>
      </c>
      <c r="H5" s="13"/>
      <c r="I5" s="13"/>
      <c r="J5" s="15">
        <v>1</v>
      </c>
      <c r="K5" s="15"/>
      <c r="L5" s="17">
        <v>1</v>
      </c>
      <c r="M5" s="17"/>
      <c r="N5" s="13"/>
      <c r="O5" s="17"/>
      <c r="P5" s="17"/>
      <c r="Q5" s="17"/>
      <c r="R5" s="17"/>
      <c r="S5" s="15"/>
      <c r="T5" s="25">
        <v>45543</v>
      </c>
      <c r="U5" s="13" t="s">
        <v>146</v>
      </c>
      <c r="V5">
        <v>3</v>
      </c>
      <c r="X5" s="53" t="s">
        <v>108</v>
      </c>
      <c r="Y5" s="54">
        <f>COUNTIF(U3:U27,"J")</f>
        <v>1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1"/>
      <c r="B6" s="131"/>
      <c r="C6" s="85" t="s">
        <v>266</v>
      </c>
      <c r="D6" s="109" t="s">
        <v>179</v>
      </c>
      <c r="E6" s="15" t="s">
        <v>60</v>
      </c>
      <c r="F6" s="16"/>
      <c r="G6" s="12" t="s">
        <v>177</v>
      </c>
      <c r="H6" s="15"/>
      <c r="I6" s="13"/>
      <c r="J6" s="13">
        <v>1</v>
      </c>
      <c r="K6" s="15"/>
      <c r="L6" s="17">
        <v>1</v>
      </c>
      <c r="M6" s="17"/>
      <c r="N6" s="13"/>
      <c r="O6" s="17"/>
      <c r="P6" s="17"/>
      <c r="Q6" s="17"/>
      <c r="R6" s="17"/>
      <c r="S6" s="15"/>
      <c r="T6" s="25">
        <v>45543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1"/>
      <c r="B7" s="131"/>
      <c r="C7" s="85" t="s">
        <v>267</v>
      </c>
      <c r="D7" s="109" t="s">
        <v>179</v>
      </c>
      <c r="E7" s="15" t="s">
        <v>60</v>
      </c>
      <c r="F7" s="16"/>
      <c r="G7" s="12" t="s">
        <v>177</v>
      </c>
      <c r="H7" s="15"/>
      <c r="I7" s="13"/>
      <c r="J7" s="15">
        <v>1</v>
      </c>
      <c r="K7" s="15"/>
      <c r="L7" s="17">
        <v>1</v>
      </c>
      <c r="M7" s="17"/>
      <c r="N7" s="13"/>
      <c r="O7" s="17"/>
      <c r="P7" s="17"/>
      <c r="Q7" s="17"/>
      <c r="R7" s="17"/>
      <c r="S7" s="15"/>
      <c r="T7" s="25">
        <v>45543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1"/>
      <c r="B8" s="131"/>
      <c r="C8" s="85" t="s">
        <v>268</v>
      </c>
      <c r="D8" s="109" t="s">
        <v>179</v>
      </c>
      <c r="E8" s="15" t="s">
        <v>60</v>
      </c>
      <c r="F8" s="16"/>
      <c r="G8" s="12" t="s">
        <v>177</v>
      </c>
      <c r="H8" s="13"/>
      <c r="I8" s="13"/>
      <c r="J8" s="15">
        <v>1</v>
      </c>
      <c r="K8" s="15"/>
      <c r="L8" s="17">
        <v>1</v>
      </c>
      <c r="M8" s="17"/>
      <c r="N8" s="13"/>
      <c r="O8" s="17"/>
      <c r="P8" s="17"/>
      <c r="Q8" s="17"/>
      <c r="R8" s="17"/>
      <c r="S8" s="15"/>
      <c r="T8" s="25">
        <v>45543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1"/>
      <c r="B9" s="131"/>
      <c r="C9" s="85" t="s">
        <v>269</v>
      </c>
      <c r="D9" s="109" t="s">
        <v>176</v>
      </c>
      <c r="E9" s="15" t="s">
        <v>75</v>
      </c>
      <c r="F9" s="16"/>
      <c r="G9" s="12" t="s">
        <v>177</v>
      </c>
      <c r="H9" s="15" t="s">
        <v>147</v>
      </c>
      <c r="I9" s="13"/>
      <c r="J9" s="15"/>
      <c r="K9" s="15"/>
      <c r="L9" s="17"/>
      <c r="M9" s="17"/>
      <c r="N9" s="13"/>
      <c r="O9" s="17"/>
      <c r="P9" s="17"/>
      <c r="Q9" s="17"/>
      <c r="R9" s="17"/>
      <c r="S9" s="15"/>
      <c r="T9" s="25">
        <v>45532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1"/>
      <c r="B10" s="131"/>
      <c r="C10" s="85" t="s">
        <v>270</v>
      </c>
      <c r="D10" s="109" t="s">
        <v>186</v>
      </c>
      <c r="E10" s="15" t="s">
        <v>41</v>
      </c>
      <c r="F10" s="16"/>
      <c r="G10" s="12" t="s">
        <v>177</v>
      </c>
      <c r="H10" s="15"/>
      <c r="I10" s="13"/>
      <c r="J10" s="15"/>
      <c r="K10" s="15"/>
      <c r="L10" s="17"/>
      <c r="M10" s="17"/>
      <c r="N10" s="13">
        <v>1</v>
      </c>
      <c r="O10" s="17"/>
      <c r="P10" s="17"/>
      <c r="Q10" s="17">
        <v>1</v>
      </c>
      <c r="R10" s="17"/>
      <c r="S10" s="15"/>
      <c r="T10" s="25">
        <v>45541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1"/>
      <c r="B11" s="131"/>
      <c r="C11" s="85" t="s">
        <v>271</v>
      </c>
      <c r="D11" s="109" t="s">
        <v>186</v>
      </c>
      <c r="E11" s="15" t="s">
        <v>40</v>
      </c>
      <c r="F11" s="16"/>
      <c r="G11" s="12" t="s">
        <v>272</v>
      </c>
      <c r="H11" s="15"/>
      <c r="I11" s="13"/>
      <c r="J11" s="15"/>
      <c r="K11" s="15"/>
      <c r="L11" s="17"/>
      <c r="M11" s="17"/>
      <c r="N11" s="13"/>
      <c r="O11" s="17">
        <v>1</v>
      </c>
      <c r="P11" s="17">
        <v>1</v>
      </c>
      <c r="Q11" s="17"/>
      <c r="R11" s="17"/>
      <c r="S11" s="15"/>
      <c r="T11" s="25">
        <v>45533</v>
      </c>
      <c r="U11" s="13" t="s">
        <v>148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1"/>
      <c r="B12" s="131"/>
      <c r="C12" s="85" t="s">
        <v>273</v>
      </c>
      <c r="D12" s="109" t="s">
        <v>179</v>
      </c>
      <c r="E12" s="15" t="s">
        <v>60</v>
      </c>
      <c r="F12" s="16"/>
      <c r="G12" s="12" t="s">
        <v>177</v>
      </c>
      <c r="H12" s="15"/>
      <c r="I12" s="15"/>
      <c r="J12" s="15">
        <v>1</v>
      </c>
      <c r="K12" s="15"/>
      <c r="L12" s="17">
        <v>1</v>
      </c>
      <c r="M12" s="17"/>
      <c r="N12" s="17"/>
      <c r="O12" s="17"/>
      <c r="P12" s="17"/>
      <c r="Q12" s="17"/>
      <c r="R12" s="17"/>
      <c r="S12" s="15"/>
      <c r="T12" s="25">
        <v>45539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1"/>
      <c r="B13" s="131"/>
      <c r="C13" s="85" t="s">
        <v>274</v>
      </c>
      <c r="D13" s="109" t="s">
        <v>179</v>
      </c>
      <c r="E13" s="15" t="s">
        <v>60</v>
      </c>
      <c r="F13" s="16"/>
      <c r="G13" s="12" t="s">
        <v>177</v>
      </c>
      <c r="H13" s="15"/>
      <c r="I13" s="15"/>
      <c r="J13" s="15">
        <v>1</v>
      </c>
      <c r="K13" s="15"/>
      <c r="L13" s="17">
        <v>1</v>
      </c>
      <c r="M13" s="17"/>
      <c r="N13" s="17"/>
      <c r="O13" s="17"/>
      <c r="P13" s="17"/>
      <c r="Q13" s="17"/>
      <c r="R13" s="17"/>
      <c r="S13" s="15"/>
      <c r="T13" s="25">
        <v>45539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1"/>
      <c r="B14" s="131"/>
      <c r="C14" s="85"/>
      <c r="D14" s="109"/>
      <c r="E14" s="15"/>
      <c r="F14" s="16"/>
      <c r="G14" s="12"/>
      <c r="H14" s="15"/>
      <c r="I14" s="15"/>
      <c r="J14" s="15"/>
      <c r="K14" s="15"/>
      <c r="L14" s="17"/>
      <c r="M14" s="17"/>
      <c r="N14" s="17"/>
      <c r="O14" s="17"/>
      <c r="P14" s="17"/>
      <c r="Q14" s="17"/>
      <c r="R14" s="17"/>
      <c r="S14" s="15"/>
      <c r="T14" s="25"/>
      <c r="U14" s="13"/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1"/>
      <c r="B15" s="131"/>
      <c r="C15" s="85"/>
      <c r="D15" s="109"/>
      <c r="E15" s="15"/>
      <c r="F15" s="16"/>
      <c r="G15" s="12"/>
      <c r="H15" s="15"/>
      <c r="I15" s="15"/>
      <c r="J15" s="15"/>
      <c r="K15" s="15"/>
      <c r="L15" s="17"/>
      <c r="M15" s="17"/>
      <c r="N15" s="17"/>
      <c r="O15" s="17"/>
      <c r="P15" s="17"/>
      <c r="Q15" s="17"/>
      <c r="R15" s="17"/>
      <c r="S15" s="15"/>
      <c r="T15" s="25"/>
      <c r="U15" s="13"/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1"/>
      <c r="B16" s="131"/>
      <c r="C16" s="85"/>
      <c r="D16" s="109"/>
      <c r="E16" s="15"/>
      <c r="F16" s="16"/>
      <c r="G16" s="12"/>
      <c r="H16" s="15"/>
      <c r="I16" s="15"/>
      <c r="J16" s="15"/>
      <c r="K16" s="15"/>
      <c r="L16" s="17"/>
      <c r="M16" s="17"/>
      <c r="N16" s="17"/>
      <c r="O16" s="17"/>
      <c r="P16" s="17"/>
      <c r="Q16" s="17"/>
      <c r="R16" s="17"/>
      <c r="S16" s="15"/>
      <c r="T16" s="25"/>
      <c r="U16" s="13"/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1"/>
      <c r="B17" s="131"/>
      <c r="C17" s="85"/>
      <c r="D17" s="106"/>
      <c r="E17" s="15"/>
      <c r="F17" s="16"/>
      <c r="G17" s="15"/>
      <c r="H17" s="15"/>
      <c r="I17" s="15"/>
      <c r="J17" s="15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5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1"/>
      <c r="B18" s="131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1"/>
      <c r="B19" s="131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1"/>
      <c r="B20" s="131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1"/>
      <c r="B21" s="131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1"/>
      <c r="B22" s="131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1"/>
      <c r="B23" s="131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1"/>
      <c r="B24" s="131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1"/>
      <c r="B25" s="131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260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1"/>
      <c r="B26" s="131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2"/>
      <c r="B27" s="132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164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11</v>
      </c>
      <c r="D28" s="112"/>
      <c r="E28" s="29"/>
      <c r="F28" s="29" t="s">
        <v>34</v>
      </c>
      <c r="G28" s="29">
        <f>COUNTIF(G3:G27,"S")</f>
        <v>10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8</v>
      </c>
      <c r="K28" s="29">
        <f t="shared" si="0"/>
        <v>0</v>
      </c>
      <c r="L28" s="29">
        <f t="shared" si="0"/>
        <v>8</v>
      </c>
      <c r="M28" s="29">
        <f t="shared" si="0"/>
        <v>0</v>
      </c>
      <c r="N28" s="29">
        <f t="shared" si="0"/>
        <v>1</v>
      </c>
      <c r="O28" s="29">
        <f t="shared" si="0"/>
        <v>1</v>
      </c>
      <c r="P28" s="29">
        <f t="shared" si="0"/>
        <v>1</v>
      </c>
      <c r="Q28" s="29">
        <f t="shared" si="0"/>
        <v>1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35" t="s">
        <v>104</v>
      </c>
      <c r="AB28" s="136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1</v>
      </c>
      <c r="H29" s="29">
        <f>COUNTIF(H3:H27,"R")</f>
        <v>1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20</v>
      </c>
      <c r="T29" s="29"/>
      <c r="U29" s="29"/>
      <c r="X29" t="s">
        <v>136</v>
      </c>
      <c r="AA29" s="137"/>
      <c r="AB29" s="138"/>
      <c r="AC29" s="151">
        <f>SUM(AC28:AE28)</f>
        <v>0</v>
      </c>
      <c r="AD29" s="152"/>
      <c r="AE29" s="153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AYG085</v>
      </c>
      <c r="B31" s="24">
        <f>B1</f>
        <v>45510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3" t="s">
        <v>119</v>
      </c>
      <c r="Y32" s="139"/>
      <c r="AA32" s="146" t="s">
        <v>47</v>
      </c>
      <c r="AB32" s="147"/>
    </row>
    <row r="33" spans="1:29" ht="19.5" thickTop="1" x14ac:dyDescent="0.4">
      <c r="A33" s="140">
        <v>2</v>
      </c>
      <c r="B33" s="130">
        <v>22.4</v>
      </c>
      <c r="C33" s="85" t="s">
        <v>275</v>
      </c>
      <c r="D33" s="109" t="s">
        <v>176</v>
      </c>
      <c r="E33" s="109" t="s">
        <v>36</v>
      </c>
      <c r="F33" s="16"/>
      <c r="G33" s="12" t="s">
        <v>177</v>
      </c>
      <c r="H33" s="15"/>
      <c r="I33" s="15"/>
      <c r="J33" s="15"/>
      <c r="K33" s="15"/>
      <c r="L33" s="17"/>
      <c r="M33" s="17">
        <v>1</v>
      </c>
      <c r="N33" s="17">
        <v>1</v>
      </c>
      <c r="O33" s="17"/>
      <c r="P33" s="17"/>
      <c r="Q33" s="17">
        <v>1</v>
      </c>
      <c r="R33" s="17"/>
      <c r="S33" s="15"/>
      <c r="T33" s="25">
        <v>45534</v>
      </c>
      <c r="U33" s="13" t="s">
        <v>147</v>
      </c>
      <c r="V33">
        <v>1</v>
      </c>
      <c r="X33" s="51" t="s">
        <v>106</v>
      </c>
      <c r="Y33" s="52">
        <f>COUNTIF(U33:U57,"K")</f>
        <v>6</v>
      </c>
      <c r="AA33" s="31" t="s">
        <v>46</v>
      </c>
      <c r="AB33" s="32">
        <f>J28+J178+J148+J118+J208+J238+J268+J298+J328+J358</f>
        <v>47</v>
      </c>
    </row>
    <row r="34" spans="1:29" x14ac:dyDescent="0.4">
      <c r="A34" s="141"/>
      <c r="B34" s="131"/>
      <c r="C34" s="85" t="s">
        <v>276</v>
      </c>
      <c r="D34" s="109" t="s">
        <v>179</v>
      </c>
      <c r="E34" s="109" t="s">
        <v>59</v>
      </c>
      <c r="F34" s="16"/>
      <c r="G34" s="12" t="s">
        <v>177</v>
      </c>
      <c r="H34" s="15" t="s">
        <v>181</v>
      </c>
      <c r="I34" s="13"/>
      <c r="J34" s="15">
        <v>2</v>
      </c>
      <c r="K34" s="15"/>
      <c r="L34" s="17"/>
      <c r="M34" s="17"/>
      <c r="N34" s="17"/>
      <c r="O34" s="17"/>
      <c r="P34" s="17"/>
      <c r="Q34" s="17"/>
      <c r="R34" s="17"/>
      <c r="S34" s="15"/>
      <c r="T34" s="25">
        <v>45543</v>
      </c>
      <c r="U34" s="13" t="s">
        <v>142</v>
      </c>
      <c r="V34">
        <v>2</v>
      </c>
      <c r="X34" s="51" t="s">
        <v>107</v>
      </c>
      <c r="Y34" s="52">
        <f>COUNTIF(U33:U57,"R")</f>
        <v>1</v>
      </c>
      <c r="AA34" s="31" t="s">
        <v>48</v>
      </c>
      <c r="AB34" s="32">
        <f>K28+K178+K148+K118+K208+K238+K268+K298+K328+K358</f>
        <v>37</v>
      </c>
    </row>
    <row r="35" spans="1:29" ht="19.5" thickBot="1" x14ac:dyDescent="0.45">
      <c r="A35" s="141"/>
      <c r="B35" s="131"/>
      <c r="C35" s="85" t="s">
        <v>277</v>
      </c>
      <c r="D35" s="109" t="s">
        <v>179</v>
      </c>
      <c r="E35" s="109" t="s">
        <v>59</v>
      </c>
      <c r="F35" s="16"/>
      <c r="G35" s="12" t="s">
        <v>177</v>
      </c>
      <c r="H35" s="13"/>
      <c r="I35" s="13"/>
      <c r="J35" s="15">
        <v>2</v>
      </c>
      <c r="K35" s="15"/>
      <c r="L35" s="17"/>
      <c r="M35" s="17"/>
      <c r="N35" s="17"/>
      <c r="O35" s="17"/>
      <c r="P35" s="17"/>
      <c r="Q35" s="17"/>
      <c r="R35" s="17"/>
      <c r="S35" s="15"/>
      <c r="T35" s="25">
        <v>45543</v>
      </c>
      <c r="U35" s="13" t="s">
        <v>146</v>
      </c>
      <c r="V35">
        <v>3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19</v>
      </c>
    </row>
    <row r="36" spans="1:29" x14ac:dyDescent="0.4">
      <c r="A36" s="141"/>
      <c r="B36" s="131"/>
      <c r="C36" s="85" t="s">
        <v>278</v>
      </c>
      <c r="D36" s="109" t="s">
        <v>179</v>
      </c>
      <c r="E36" s="109" t="s">
        <v>39</v>
      </c>
      <c r="F36" s="16"/>
      <c r="G36" s="12" t="s">
        <v>177</v>
      </c>
      <c r="H36" s="15"/>
      <c r="I36" s="13"/>
      <c r="J36" s="13">
        <v>1</v>
      </c>
      <c r="K36" s="15"/>
      <c r="L36" s="17">
        <v>1</v>
      </c>
      <c r="M36" s="17"/>
      <c r="N36" s="17"/>
      <c r="O36" s="17"/>
      <c r="P36" s="17"/>
      <c r="Q36" s="17"/>
      <c r="R36" s="17"/>
      <c r="S36" s="15"/>
      <c r="T36" s="25">
        <v>45544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31</v>
      </c>
    </row>
    <row r="37" spans="1:29" x14ac:dyDescent="0.4">
      <c r="A37" s="141"/>
      <c r="B37" s="131"/>
      <c r="C37" s="85" t="s">
        <v>279</v>
      </c>
      <c r="D37" s="109" t="s">
        <v>179</v>
      </c>
      <c r="E37" s="109" t="s">
        <v>39</v>
      </c>
      <c r="F37" s="16"/>
      <c r="G37" s="12" t="s">
        <v>177</v>
      </c>
      <c r="H37" s="15"/>
      <c r="I37" s="15"/>
      <c r="J37" s="15">
        <v>1</v>
      </c>
      <c r="K37" s="15"/>
      <c r="L37" s="17">
        <v>1</v>
      </c>
      <c r="M37" s="17"/>
      <c r="N37" s="17"/>
      <c r="O37" s="17"/>
      <c r="P37" s="17"/>
      <c r="Q37" s="17"/>
      <c r="R37" s="17"/>
      <c r="S37" s="15"/>
      <c r="T37" s="25">
        <v>45544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30</v>
      </c>
    </row>
    <row r="38" spans="1:29" x14ac:dyDescent="0.4">
      <c r="A38" s="141"/>
      <c r="B38" s="131"/>
      <c r="C38" s="85" t="s">
        <v>280</v>
      </c>
      <c r="D38" s="109" t="s">
        <v>179</v>
      </c>
      <c r="E38" s="109" t="s">
        <v>39</v>
      </c>
      <c r="F38" s="16"/>
      <c r="G38" s="12" t="s">
        <v>177</v>
      </c>
      <c r="H38" s="13"/>
      <c r="I38" s="15"/>
      <c r="J38" s="15">
        <v>1</v>
      </c>
      <c r="K38" s="15"/>
      <c r="L38" s="17">
        <v>1</v>
      </c>
      <c r="M38" s="17"/>
      <c r="N38" s="17"/>
      <c r="O38" s="17"/>
      <c r="P38" s="17"/>
      <c r="Q38" s="17"/>
      <c r="R38" s="17"/>
      <c r="S38" s="15"/>
      <c r="T38" s="25">
        <v>45544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13</v>
      </c>
    </row>
    <row r="39" spans="1:29" x14ac:dyDescent="0.4">
      <c r="A39" s="141"/>
      <c r="B39" s="131"/>
      <c r="C39" s="85" t="s">
        <v>281</v>
      </c>
      <c r="D39" s="109" t="s">
        <v>179</v>
      </c>
      <c r="E39" s="109" t="s">
        <v>59</v>
      </c>
      <c r="F39" s="16"/>
      <c r="G39" s="12" t="s">
        <v>177</v>
      </c>
      <c r="H39" s="15" t="s">
        <v>181</v>
      </c>
      <c r="I39" s="15"/>
      <c r="J39" s="15">
        <v>2</v>
      </c>
      <c r="K39" s="15"/>
      <c r="L39" s="17"/>
      <c r="M39" s="17"/>
      <c r="N39" s="17"/>
      <c r="O39" s="17"/>
      <c r="P39" s="17"/>
      <c r="Q39" s="17"/>
      <c r="R39" s="17"/>
      <c r="S39" s="15"/>
      <c r="T39" s="25">
        <v>45545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16</v>
      </c>
    </row>
    <row r="40" spans="1:29" x14ac:dyDescent="0.4">
      <c r="A40" s="141"/>
      <c r="B40" s="131"/>
      <c r="C40" s="85"/>
      <c r="D40" s="109"/>
      <c r="E40" s="109"/>
      <c r="F40" s="16"/>
      <c r="G40" s="12"/>
      <c r="H40" s="15"/>
      <c r="I40" s="15"/>
      <c r="J40" s="15"/>
      <c r="K40" s="15"/>
      <c r="L40" s="17"/>
      <c r="M40" s="17"/>
      <c r="N40" s="17"/>
      <c r="O40" s="17"/>
      <c r="P40" s="17"/>
      <c r="Q40" s="17"/>
      <c r="R40" s="17"/>
      <c r="S40" s="15"/>
      <c r="T40" s="25"/>
      <c r="U40" s="13"/>
      <c r="V40">
        <v>8</v>
      </c>
      <c r="AA40" s="31" t="s">
        <v>54</v>
      </c>
      <c r="AB40" s="32">
        <f>Q28+Q178+Q148+Q118+Q208+Q238+Q268+Q298+Q328+Q358</f>
        <v>30</v>
      </c>
    </row>
    <row r="41" spans="1:29" x14ac:dyDescent="0.4">
      <c r="A41" s="141"/>
      <c r="B41" s="131"/>
      <c r="C41" s="85"/>
      <c r="D41" s="109"/>
      <c r="E41" s="109"/>
      <c r="F41" s="16"/>
      <c r="G41" s="12"/>
      <c r="H41" s="15"/>
      <c r="I41" s="15"/>
      <c r="J41" s="15"/>
      <c r="K41" s="15"/>
      <c r="L41" s="17"/>
      <c r="M41" s="17"/>
      <c r="N41" s="17"/>
      <c r="O41" s="17"/>
      <c r="P41" s="17"/>
      <c r="Q41" s="17"/>
      <c r="R41" s="17"/>
      <c r="S41" s="15"/>
      <c r="T41" s="25"/>
      <c r="U41" s="13"/>
      <c r="V41">
        <v>9</v>
      </c>
      <c r="AA41" s="31" t="s">
        <v>55</v>
      </c>
      <c r="AB41" s="32">
        <f>R28+R178+R148+R118+R208+R238+R268+R298+R328+R358</f>
        <v>7</v>
      </c>
      <c r="AC41" t="s">
        <v>123</v>
      </c>
    </row>
    <row r="42" spans="1:29" ht="19.5" thickBot="1" x14ac:dyDescent="0.45">
      <c r="A42" s="141"/>
      <c r="B42" s="131"/>
      <c r="C42" s="85"/>
      <c r="D42" s="109"/>
      <c r="E42" s="109"/>
      <c r="F42" s="16"/>
      <c r="G42" s="12"/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/>
      <c r="T42" s="25"/>
      <c r="U42" s="13"/>
      <c r="V42">
        <v>10</v>
      </c>
      <c r="AA42" s="33" t="s">
        <v>56</v>
      </c>
      <c r="AB42" s="34">
        <f>S28+S178+S148+S118+S208+S238+S268+S298+S328+S358</f>
        <v>0</v>
      </c>
      <c r="AC42" s="73">
        <f>SUM(AB33:AB42)</f>
        <v>230</v>
      </c>
    </row>
    <row r="43" spans="1:29" ht="19.5" thickBot="1" x14ac:dyDescent="0.45">
      <c r="A43" s="141"/>
      <c r="B43" s="131"/>
      <c r="C43" s="85"/>
      <c r="D43" s="109"/>
      <c r="E43" s="109"/>
      <c r="F43" s="16"/>
      <c r="G43" s="12"/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/>
      <c r="U43" s="13"/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1"/>
      <c r="B44" s="131"/>
      <c r="C44" s="85"/>
      <c r="D44" s="109"/>
      <c r="E44" s="109"/>
      <c r="F44" s="16"/>
      <c r="G44" s="12"/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/>
      <c r="U44" s="13"/>
      <c r="V44">
        <v>12</v>
      </c>
      <c r="AA44" s="103" t="s">
        <v>66</v>
      </c>
      <c r="AB44" s="104">
        <f>H28+H58+H88+H118+H148+H178+H208+H238+H268+H298+H328+H358</f>
        <v>5</v>
      </c>
    </row>
    <row r="45" spans="1:29" x14ac:dyDescent="0.4">
      <c r="A45" s="141"/>
      <c r="B45" s="131"/>
      <c r="C45" s="85"/>
      <c r="D45" s="109"/>
      <c r="E45" s="109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5</v>
      </c>
    </row>
    <row r="46" spans="1:29" x14ac:dyDescent="0.4">
      <c r="A46" s="141"/>
      <c r="B46" s="131"/>
      <c r="C46" s="85"/>
      <c r="D46" s="109"/>
      <c r="E46" s="109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1"/>
      <c r="B47" s="131"/>
      <c r="C47" s="85"/>
      <c r="D47" s="109"/>
      <c r="E47" s="109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1"/>
      <c r="B48" s="131"/>
      <c r="C48" s="85"/>
      <c r="D48" s="109"/>
      <c r="E48" s="110"/>
      <c r="F48" s="16"/>
      <c r="G48" s="12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3"/>
      <c r="V48" s="73">
        <v>16</v>
      </c>
    </row>
    <row r="49" spans="1:28" x14ac:dyDescent="0.4">
      <c r="A49" s="141"/>
      <c r="B49" s="131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144</v>
      </c>
    </row>
    <row r="50" spans="1:28" ht="19.5" thickBot="1" x14ac:dyDescent="0.45">
      <c r="A50" s="141"/>
      <c r="B50" s="131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3</v>
      </c>
    </row>
    <row r="51" spans="1:28" ht="19.5" thickBot="1" x14ac:dyDescent="0.45">
      <c r="A51" s="141"/>
      <c r="B51" s="131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1"/>
      <c r="B52" s="131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48">
        <v>76</v>
      </c>
    </row>
    <row r="53" spans="1:28" ht="19.5" thickBot="1" x14ac:dyDescent="0.45">
      <c r="A53" s="141"/>
      <c r="B53" s="131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49"/>
    </row>
    <row r="54" spans="1:28" ht="19.5" thickBot="1" x14ac:dyDescent="0.45">
      <c r="A54" s="141"/>
      <c r="B54" s="131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1"/>
      <c r="B55" s="131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3" t="s">
        <v>73</v>
      </c>
      <c r="AB55" s="45"/>
    </row>
    <row r="56" spans="1:28" ht="19.5" thickBot="1" x14ac:dyDescent="0.45">
      <c r="A56" s="141"/>
      <c r="B56" s="131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4"/>
      <c r="AB56" s="46"/>
    </row>
    <row r="57" spans="1:28" ht="19.5" thickBot="1" x14ac:dyDescent="0.45">
      <c r="A57" s="142"/>
      <c r="B57" s="132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3"/>
      <c r="AB57" s="45">
        <v>7</v>
      </c>
    </row>
    <row r="58" spans="1:28" ht="19.5" thickBot="1" x14ac:dyDescent="0.45">
      <c r="A58" s="27"/>
      <c r="B58" s="28"/>
      <c r="C58" s="88">
        <f>COUNTA(C33:C57)</f>
        <v>7</v>
      </c>
      <c r="D58" s="112"/>
      <c r="E58" s="29"/>
      <c r="F58" s="29" t="s">
        <v>34</v>
      </c>
      <c r="G58" s="29">
        <f>COUNTIF(G33:G57,"S")</f>
        <v>7</v>
      </c>
      <c r="H58" s="29">
        <f>COUNTIF(H33:H57,"E")</f>
        <v>2</v>
      </c>
      <c r="I58" s="29">
        <f>SUM(I33:I57)</f>
        <v>0</v>
      </c>
      <c r="J58" s="29">
        <f t="shared" ref="J58:S58" si="1">SUM(J33:J57)</f>
        <v>9</v>
      </c>
      <c r="K58" s="29">
        <f t="shared" si="1"/>
        <v>0</v>
      </c>
      <c r="L58" s="29">
        <f t="shared" si="1"/>
        <v>3</v>
      </c>
      <c r="M58" s="29">
        <f t="shared" si="1"/>
        <v>1</v>
      </c>
      <c r="N58" s="29">
        <f t="shared" si="1"/>
        <v>1</v>
      </c>
      <c r="O58" s="29">
        <f t="shared" si="1"/>
        <v>0</v>
      </c>
      <c r="P58" s="29">
        <f t="shared" si="1"/>
        <v>0</v>
      </c>
      <c r="Q58" s="29">
        <f t="shared" si="1"/>
        <v>1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34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15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AYG085</v>
      </c>
      <c r="B61" s="24">
        <f>B1</f>
        <v>45510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3" t="s">
        <v>118</v>
      </c>
      <c r="Y62" s="139"/>
    </row>
    <row r="63" spans="1:28" ht="20.25" thickTop="1" thickBot="1" x14ac:dyDescent="0.45">
      <c r="A63" s="140">
        <v>3</v>
      </c>
      <c r="B63" s="143">
        <v>23.2</v>
      </c>
      <c r="C63" s="85" t="s">
        <v>282</v>
      </c>
      <c r="D63" s="109" t="s">
        <v>185</v>
      </c>
      <c r="E63" s="15" t="s">
        <v>36</v>
      </c>
      <c r="F63" s="14"/>
      <c r="G63" s="12" t="s">
        <v>177</v>
      </c>
      <c r="H63" s="13"/>
      <c r="I63" s="13"/>
      <c r="J63" s="13"/>
      <c r="K63" s="13"/>
      <c r="L63" s="13"/>
      <c r="M63" s="13">
        <v>1</v>
      </c>
      <c r="N63" s="13"/>
      <c r="O63" s="13"/>
      <c r="P63" s="13"/>
      <c r="Q63" s="13">
        <v>1</v>
      </c>
      <c r="R63" s="13"/>
      <c r="S63" s="13"/>
      <c r="T63" s="25">
        <v>45535</v>
      </c>
      <c r="U63" s="13" t="s">
        <v>147</v>
      </c>
      <c r="V63">
        <v>1</v>
      </c>
      <c r="X63" s="51" t="s">
        <v>106</v>
      </c>
      <c r="Y63" s="52">
        <f>COUNTIF(U63:U87,"K")</f>
        <v>8</v>
      </c>
      <c r="AA63" s="59" t="s">
        <v>120</v>
      </c>
      <c r="AB63" s="60" t="s">
        <v>121</v>
      </c>
    </row>
    <row r="64" spans="1:28" x14ac:dyDescent="0.4">
      <c r="A64" s="141"/>
      <c r="B64" s="144"/>
      <c r="C64" s="85" t="s">
        <v>283</v>
      </c>
      <c r="D64" s="109" t="s">
        <v>176</v>
      </c>
      <c r="E64" s="15" t="s">
        <v>75</v>
      </c>
      <c r="F64" s="16"/>
      <c r="G64" s="12" t="s">
        <v>177</v>
      </c>
      <c r="H64" s="15"/>
      <c r="I64" s="15"/>
      <c r="J64" s="13"/>
      <c r="K64" s="15"/>
      <c r="L64" s="13"/>
      <c r="M64" s="17"/>
      <c r="N64" s="17"/>
      <c r="O64" s="17"/>
      <c r="P64" s="17"/>
      <c r="Q64" s="17"/>
      <c r="R64" s="17"/>
      <c r="S64" s="15">
        <v>1</v>
      </c>
      <c r="T64" s="25">
        <v>45534</v>
      </c>
      <c r="U64" s="13" t="s">
        <v>147</v>
      </c>
      <c r="V64">
        <v>2</v>
      </c>
      <c r="X64" s="51" t="s">
        <v>107</v>
      </c>
      <c r="Y64" s="52">
        <f>COUNTIF(U63:U87,"R")</f>
        <v>3</v>
      </c>
      <c r="AA64" s="47" t="s">
        <v>81</v>
      </c>
      <c r="AB64" s="48" t="s">
        <v>60</v>
      </c>
    </row>
    <row r="65" spans="1:28" ht="19.5" thickBot="1" x14ac:dyDescent="0.45">
      <c r="A65" s="141"/>
      <c r="B65" s="144"/>
      <c r="C65" s="85" t="s">
        <v>284</v>
      </c>
      <c r="D65" s="109" t="s">
        <v>184</v>
      </c>
      <c r="E65" s="15" t="s">
        <v>75</v>
      </c>
      <c r="F65" s="16"/>
      <c r="G65" s="12" t="s">
        <v>177</v>
      </c>
      <c r="H65" s="15"/>
      <c r="I65" s="15"/>
      <c r="J65" s="13"/>
      <c r="K65" s="15"/>
      <c r="L65" s="13"/>
      <c r="M65" s="17"/>
      <c r="N65" s="17"/>
      <c r="O65" s="17"/>
      <c r="P65" s="17"/>
      <c r="Q65" s="17"/>
      <c r="R65" s="17"/>
      <c r="S65" s="15"/>
      <c r="T65" s="25">
        <v>45543</v>
      </c>
      <c r="U65" s="13" t="s">
        <v>147</v>
      </c>
      <c r="V65">
        <v>3</v>
      </c>
      <c r="X65" s="53" t="s">
        <v>108</v>
      </c>
      <c r="Y65" s="54">
        <f>COUNTIF(U63:U87,"J")</f>
        <v>3</v>
      </c>
      <c r="AA65" s="49" t="s">
        <v>82</v>
      </c>
      <c r="AB65" s="50" t="s">
        <v>39</v>
      </c>
    </row>
    <row r="66" spans="1:28" x14ac:dyDescent="0.4">
      <c r="A66" s="141"/>
      <c r="B66" s="144"/>
      <c r="C66" s="85" t="s">
        <v>285</v>
      </c>
      <c r="D66" s="109" t="s">
        <v>182</v>
      </c>
      <c r="E66" s="15" t="s">
        <v>44</v>
      </c>
      <c r="F66" s="16"/>
      <c r="G66" s="12" t="s">
        <v>177</v>
      </c>
      <c r="H66" s="13"/>
      <c r="I66" s="15"/>
      <c r="J66" s="13"/>
      <c r="K66" s="15"/>
      <c r="L66" s="13"/>
      <c r="M66" s="17"/>
      <c r="N66" s="17"/>
      <c r="O66" s="17"/>
      <c r="P66" s="17"/>
      <c r="Q66" s="17"/>
      <c r="R66" s="17"/>
      <c r="S66" s="15"/>
      <c r="T66" s="25">
        <v>45533</v>
      </c>
      <c r="U66" s="13" t="s">
        <v>142</v>
      </c>
      <c r="V66">
        <v>4</v>
      </c>
      <c r="AA66" s="49" t="s">
        <v>83</v>
      </c>
      <c r="AB66" s="50" t="s">
        <v>38</v>
      </c>
    </row>
    <row r="67" spans="1:28" x14ac:dyDescent="0.4">
      <c r="A67" s="141"/>
      <c r="B67" s="144"/>
      <c r="C67" s="85" t="s">
        <v>286</v>
      </c>
      <c r="D67" s="109" t="s">
        <v>182</v>
      </c>
      <c r="E67" s="15" t="s">
        <v>75</v>
      </c>
      <c r="F67" s="16"/>
      <c r="G67" s="12" t="s">
        <v>177</v>
      </c>
      <c r="H67" s="15"/>
      <c r="I67" s="15"/>
      <c r="J67" s="13"/>
      <c r="K67" s="15"/>
      <c r="L67" s="13"/>
      <c r="M67" s="17"/>
      <c r="N67" s="17"/>
      <c r="O67" s="17"/>
      <c r="P67" s="17"/>
      <c r="Q67" s="17"/>
      <c r="R67" s="17"/>
      <c r="S67" s="15">
        <v>1</v>
      </c>
      <c r="T67" s="25">
        <v>45533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41"/>
      <c r="B68" s="144"/>
      <c r="C68" s="85" t="s">
        <v>287</v>
      </c>
      <c r="D68" s="109" t="s">
        <v>182</v>
      </c>
      <c r="E68" s="15" t="s">
        <v>36</v>
      </c>
      <c r="F68" s="16"/>
      <c r="G68" s="12" t="s">
        <v>177</v>
      </c>
      <c r="H68" s="15"/>
      <c r="I68" s="15"/>
      <c r="J68" s="13">
        <v>1</v>
      </c>
      <c r="K68" s="15">
        <v>1</v>
      </c>
      <c r="L68" s="13"/>
      <c r="M68" s="17"/>
      <c r="N68" s="17"/>
      <c r="O68" s="17"/>
      <c r="P68" s="17"/>
      <c r="Q68" s="17"/>
      <c r="R68" s="17"/>
      <c r="S68" s="15"/>
      <c r="T68" s="25">
        <v>45533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41"/>
      <c r="B69" s="144"/>
      <c r="C69" s="85" t="s">
        <v>288</v>
      </c>
      <c r="D69" s="109" t="s">
        <v>189</v>
      </c>
      <c r="E69" s="15" t="s">
        <v>37</v>
      </c>
      <c r="F69" s="16"/>
      <c r="G69" s="12" t="s">
        <v>177</v>
      </c>
      <c r="H69" s="15"/>
      <c r="I69" s="15"/>
      <c r="J69" s="13">
        <v>1</v>
      </c>
      <c r="K69" s="15"/>
      <c r="L69" s="13"/>
      <c r="M69" s="17"/>
      <c r="N69" s="17"/>
      <c r="O69" s="17"/>
      <c r="P69" s="17"/>
      <c r="Q69" s="17"/>
      <c r="R69" s="17"/>
      <c r="S69" s="15"/>
      <c r="T69" s="25">
        <v>45536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1"/>
      <c r="B70" s="144"/>
      <c r="C70" s="85" t="s">
        <v>290</v>
      </c>
      <c r="D70" s="109" t="s">
        <v>289</v>
      </c>
      <c r="E70" s="15" t="s">
        <v>41</v>
      </c>
      <c r="F70" s="16"/>
      <c r="G70" s="12" t="s">
        <v>177</v>
      </c>
      <c r="H70" s="15"/>
      <c r="I70" s="15"/>
      <c r="J70" s="13">
        <v>1</v>
      </c>
      <c r="K70" s="15"/>
      <c r="L70" s="13"/>
      <c r="M70" s="17"/>
      <c r="N70" s="17"/>
      <c r="O70" s="17"/>
      <c r="P70" s="17"/>
      <c r="Q70" s="17"/>
      <c r="R70" s="17"/>
      <c r="S70" s="15"/>
      <c r="T70" s="25">
        <v>45540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41"/>
      <c r="B71" s="144"/>
      <c r="C71" s="85" t="s">
        <v>291</v>
      </c>
      <c r="D71" s="109" t="s">
        <v>289</v>
      </c>
      <c r="E71" s="15" t="s">
        <v>42</v>
      </c>
      <c r="F71" s="16"/>
      <c r="G71" s="12" t="s">
        <v>177</v>
      </c>
      <c r="H71" s="15"/>
      <c r="I71" s="15"/>
      <c r="J71" s="13"/>
      <c r="K71" s="15"/>
      <c r="L71" s="13"/>
      <c r="M71" s="17"/>
      <c r="N71" s="17"/>
      <c r="O71" s="17"/>
      <c r="P71" s="17"/>
      <c r="Q71" s="17"/>
      <c r="R71" s="17"/>
      <c r="S71" s="15">
        <v>1</v>
      </c>
      <c r="T71" s="25">
        <v>45540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41"/>
      <c r="B72" s="144"/>
      <c r="C72" s="85" t="s">
        <v>292</v>
      </c>
      <c r="D72" s="109" t="s">
        <v>289</v>
      </c>
      <c r="E72" s="15" t="s">
        <v>40</v>
      </c>
      <c r="F72" s="16"/>
      <c r="G72" s="12" t="s">
        <v>177</v>
      </c>
      <c r="H72" s="15"/>
      <c r="I72" s="15"/>
      <c r="J72" s="13"/>
      <c r="K72" s="15"/>
      <c r="L72" s="13"/>
      <c r="M72" s="17"/>
      <c r="N72" s="17"/>
      <c r="O72" s="17">
        <v>1</v>
      </c>
      <c r="P72" s="17">
        <v>1</v>
      </c>
      <c r="Q72" s="17"/>
      <c r="R72" s="17"/>
      <c r="S72" s="15"/>
      <c r="T72" s="25">
        <v>45540</v>
      </c>
      <c r="U72" s="13" t="s">
        <v>148</v>
      </c>
      <c r="V72">
        <v>10</v>
      </c>
      <c r="AA72" s="49" t="s">
        <v>89</v>
      </c>
      <c r="AB72" s="50" t="s">
        <v>36</v>
      </c>
    </row>
    <row r="73" spans="1:28" x14ac:dyDescent="0.4">
      <c r="A73" s="141"/>
      <c r="B73" s="144"/>
      <c r="C73" s="85" t="s">
        <v>293</v>
      </c>
      <c r="D73" s="109" t="s">
        <v>289</v>
      </c>
      <c r="E73" s="15" t="s">
        <v>41</v>
      </c>
      <c r="F73" s="16"/>
      <c r="G73" s="15" t="s">
        <v>177</v>
      </c>
      <c r="H73" s="15"/>
      <c r="I73" s="15"/>
      <c r="J73" s="15">
        <v>1</v>
      </c>
      <c r="K73" s="15"/>
      <c r="L73" s="17"/>
      <c r="M73" s="17"/>
      <c r="N73" s="17"/>
      <c r="O73" s="17"/>
      <c r="P73" s="17"/>
      <c r="Q73" s="17"/>
      <c r="R73" s="17"/>
      <c r="S73" s="15"/>
      <c r="T73" s="25">
        <v>45540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41"/>
      <c r="B74" s="144"/>
      <c r="C74" s="85" t="s">
        <v>294</v>
      </c>
      <c r="D74" s="109" t="s">
        <v>289</v>
      </c>
      <c r="E74" s="15" t="s">
        <v>42</v>
      </c>
      <c r="F74" s="16"/>
      <c r="G74" s="15" t="s">
        <v>177</v>
      </c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>
        <v>1</v>
      </c>
      <c r="T74" s="25">
        <v>45540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41"/>
      <c r="B75" s="144"/>
      <c r="C75" s="85" t="s">
        <v>295</v>
      </c>
      <c r="D75" s="109" t="s">
        <v>289</v>
      </c>
      <c r="E75" s="15" t="s">
        <v>40</v>
      </c>
      <c r="F75" s="16"/>
      <c r="G75" s="15" t="s">
        <v>177</v>
      </c>
      <c r="H75" s="15"/>
      <c r="I75" s="15"/>
      <c r="J75" s="15"/>
      <c r="K75" s="15"/>
      <c r="L75" s="17"/>
      <c r="M75" s="17"/>
      <c r="N75" s="17"/>
      <c r="O75" s="17">
        <v>1</v>
      </c>
      <c r="P75" s="17">
        <v>1</v>
      </c>
      <c r="Q75" s="17"/>
      <c r="R75" s="17"/>
      <c r="S75" s="15"/>
      <c r="T75" s="25">
        <v>45540</v>
      </c>
      <c r="U75" s="15" t="s">
        <v>148</v>
      </c>
      <c r="V75">
        <v>13</v>
      </c>
      <c r="AA75" s="49" t="s">
        <v>92</v>
      </c>
      <c r="AB75" s="50" t="s">
        <v>40</v>
      </c>
    </row>
    <row r="76" spans="1:28" x14ac:dyDescent="0.4">
      <c r="A76" s="141"/>
      <c r="B76" s="144"/>
      <c r="C76" s="85" t="s">
        <v>296</v>
      </c>
      <c r="D76" s="109" t="s">
        <v>176</v>
      </c>
      <c r="E76" s="15" t="s">
        <v>40</v>
      </c>
      <c r="F76" s="16"/>
      <c r="G76" s="15" t="s">
        <v>177</v>
      </c>
      <c r="H76" s="15"/>
      <c r="I76" s="15"/>
      <c r="J76" s="15"/>
      <c r="K76" s="15"/>
      <c r="L76" s="17"/>
      <c r="M76" s="17"/>
      <c r="N76" s="17"/>
      <c r="O76" s="17">
        <v>1</v>
      </c>
      <c r="P76" s="17">
        <v>1</v>
      </c>
      <c r="Q76" s="17">
        <v>1</v>
      </c>
      <c r="R76" s="17">
        <v>1</v>
      </c>
      <c r="S76" s="15"/>
      <c r="T76" s="25">
        <v>45545</v>
      </c>
      <c r="U76" s="15" t="s">
        <v>148</v>
      </c>
      <c r="V76">
        <v>14</v>
      </c>
      <c r="AA76" s="49" t="s">
        <v>93</v>
      </c>
      <c r="AB76" s="50" t="s">
        <v>57</v>
      </c>
    </row>
    <row r="77" spans="1:28" x14ac:dyDescent="0.4">
      <c r="A77" s="141"/>
      <c r="B77" s="144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1"/>
      <c r="B78" s="144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1"/>
      <c r="B79" s="144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1"/>
      <c r="B80" s="144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1"/>
      <c r="B81" s="144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1"/>
      <c r="B82" s="144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1"/>
      <c r="B83" s="144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1"/>
      <c r="B84" s="144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1"/>
      <c r="B85" s="144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1"/>
      <c r="B86" s="144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2"/>
      <c r="B87" s="145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14</v>
      </c>
      <c r="D88" s="112"/>
      <c r="E88" s="29"/>
      <c r="F88" s="29" t="s">
        <v>34</v>
      </c>
      <c r="G88" s="29">
        <f>COUNTIF(G63:G87,"S")</f>
        <v>14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1</v>
      </c>
      <c r="L88" s="29">
        <f t="shared" si="2"/>
        <v>0</v>
      </c>
      <c r="M88" s="29">
        <f t="shared" si="2"/>
        <v>1</v>
      </c>
      <c r="N88" s="29">
        <f t="shared" si="2"/>
        <v>0</v>
      </c>
      <c r="O88" s="29">
        <f t="shared" si="2"/>
        <v>3</v>
      </c>
      <c r="P88" s="29">
        <f t="shared" si="2"/>
        <v>3</v>
      </c>
      <c r="Q88" s="29">
        <f t="shared" si="2"/>
        <v>2</v>
      </c>
      <c r="R88" s="29">
        <f t="shared" si="2"/>
        <v>1</v>
      </c>
      <c r="S88" s="29">
        <f t="shared" si="2"/>
        <v>4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15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AYG085</v>
      </c>
      <c r="B91" s="24">
        <f>B1</f>
        <v>45510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3" t="s">
        <v>117</v>
      </c>
      <c r="Y92" s="139"/>
    </row>
    <row r="93" spans="1:28" ht="20.25" thickTop="1" thickBot="1" x14ac:dyDescent="0.45">
      <c r="A93" s="140">
        <v>4</v>
      </c>
      <c r="B93" s="130">
        <v>24</v>
      </c>
      <c r="C93" s="85" t="s">
        <v>297</v>
      </c>
      <c r="D93" s="109" t="s">
        <v>178</v>
      </c>
      <c r="E93" s="15" t="s">
        <v>37</v>
      </c>
      <c r="F93" s="14"/>
      <c r="G93" s="12" t="s">
        <v>177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45532</v>
      </c>
      <c r="U93" s="13" t="s">
        <v>146</v>
      </c>
      <c r="V93">
        <v>1</v>
      </c>
      <c r="X93" s="51" t="s">
        <v>106</v>
      </c>
      <c r="Y93" s="52">
        <f>COUNTIF(U93:U117,"K")</f>
        <v>12</v>
      </c>
      <c r="AA93" s="59" t="s">
        <v>120</v>
      </c>
      <c r="AB93" s="60" t="s">
        <v>121</v>
      </c>
    </row>
    <row r="94" spans="1:28" x14ac:dyDescent="0.4">
      <c r="A94" s="141"/>
      <c r="B94" s="131"/>
      <c r="C94" s="85" t="s">
        <v>298</v>
      </c>
      <c r="D94" s="109" t="s">
        <v>184</v>
      </c>
      <c r="E94" s="15" t="s">
        <v>36</v>
      </c>
      <c r="F94" s="16"/>
      <c r="G94" s="12" t="s">
        <v>177</v>
      </c>
      <c r="H94" s="15"/>
      <c r="I94" s="15"/>
      <c r="J94" s="15">
        <v>1</v>
      </c>
      <c r="K94" s="15">
        <v>1</v>
      </c>
      <c r="L94" s="17"/>
      <c r="M94" s="17"/>
      <c r="N94" s="17"/>
      <c r="O94" s="17"/>
      <c r="P94" s="17"/>
      <c r="Q94" s="17"/>
      <c r="R94" s="17"/>
      <c r="S94" s="15"/>
      <c r="T94" s="25">
        <v>45544</v>
      </c>
      <c r="U94" s="15" t="s">
        <v>146</v>
      </c>
      <c r="V94">
        <v>2</v>
      </c>
      <c r="X94" s="51" t="s">
        <v>107</v>
      </c>
      <c r="Y94" s="52">
        <f>COUNTIF(U93:U117,"R")</f>
        <v>1</v>
      </c>
      <c r="AA94" s="47" t="s">
        <v>81</v>
      </c>
      <c r="AB94" s="48" t="s">
        <v>60</v>
      </c>
    </row>
    <row r="95" spans="1:28" ht="19.5" thickBot="1" x14ac:dyDescent="0.45">
      <c r="A95" s="141"/>
      <c r="B95" s="131"/>
      <c r="C95" s="85" t="s">
        <v>299</v>
      </c>
      <c r="D95" s="109" t="s">
        <v>240</v>
      </c>
      <c r="E95" s="15" t="s">
        <v>38</v>
      </c>
      <c r="F95" s="16"/>
      <c r="G95" s="12" t="s">
        <v>177</v>
      </c>
      <c r="H95" s="15" t="s">
        <v>181</v>
      </c>
      <c r="I95" s="15"/>
      <c r="J95" s="15"/>
      <c r="K95" s="15"/>
      <c r="L95" s="17"/>
      <c r="M95" s="17"/>
      <c r="N95" s="17">
        <v>1</v>
      </c>
      <c r="O95" s="17"/>
      <c r="P95" s="17"/>
      <c r="Q95" s="17">
        <v>1</v>
      </c>
      <c r="R95" s="17"/>
      <c r="S95" s="15"/>
      <c r="T95" s="25">
        <v>45537</v>
      </c>
      <c r="U95" s="15" t="s">
        <v>147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41"/>
      <c r="B96" s="131"/>
      <c r="C96" s="85" t="s">
        <v>300</v>
      </c>
      <c r="D96" s="109" t="s">
        <v>240</v>
      </c>
      <c r="E96" s="15" t="s">
        <v>44</v>
      </c>
      <c r="F96" s="16"/>
      <c r="G96" s="12" t="s">
        <v>177</v>
      </c>
      <c r="H96" s="15"/>
      <c r="I96" s="15"/>
      <c r="J96" s="15"/>
      <c r="K96" s="15">
        <v>1</v>
      </c>
      <c r="L96" s="17"/>
      <c r="M96" s="17"/>
      <c r="N96" s="17"/>
      <c r="O96" s="17"/>
      <c r="P96" s="17"/>
      <c r="Q96" s="17"/>
      <c r="R96" s="17"/>
      <c r="S96" s="15"/>
      <c r="T96" s="25">
        <v>45542</v>
      </c>
      <c r="U96" s="15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1"/>
      <c r="B97" s="131"/>
      <c r="C97" s="85" t="s">
        <v>301</v>
      </c>
      <c r="D97" s="109" t="s">
        <v>240</v>
      </c>
      <c r="E97" s="15" t="s">
        <v>38</v>
      </c>
      <c r="F97" s="16"/>
      <c r="G97" s="12" t="s">
        <v>177</v>
      </c>
      <c r="H97" s="15"/>
      <c r="I97" s="15"/>
      <c r="J97" s="15"/>
      <c r="K97" s="15"/>
      <c r="L97" s="17"/>
      <c r="M97" s="17"/>
      <c r="N97" s="17"/>
      <c r="O97" s="17"/>
      <c r="P97" s="17"/>
      <c r="Q97" s="17"/>
      <c r="R97" s="17"/>
      <c r="S97" s="15"/>
      <c r="T97" s="25">
        <v>45542</v>
      </c>
      <c r="U97" s="15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1"/>
      <c r="B98" s="131"/>
      <c r="C98" s="85" t="s">
        <v>302</v>
      </c>
      <c r="D98" s="109" t="s">
        <v>240</v>
      </c>
      <c r="E98" s="15" t="s">
        <v>38</v>
      </c>
      <c r="F98" s="16"/>
      <c r="G98" s="12" t="s">
        <v>177</v>
      </c>
      <c r="H98" s="13"/>
      <c r="I98" s="15"/>
      <c r="J98" s="15"/>
      <c r="K98" s="15"/>
      <c r="L98" s="17"/>
      <c r="M98" s="17"/>
      <c r="N98" s="17"/>
      <c r="O98" s="17"/>
      <c r="P98" s="17"/>
      <c r="Q98" s="17"/>
      <c r="R98" s="17"/>
      <c r="S98" s="15"/>
      <c r="T98" s="25">
        <v>45542</v>
      </c>
      <c r="U98" s="15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1"/>
      <c r="B99" s="131"/>
      <c r="C99" s="85" t="s">
        <v>303</v>
      </c>
      <c r="D99" s="109" t="s">
        <v>240</v>
      </c>
      <c r="E99" s="15" t="s">
        <v>38</v>
      </c>
      <c r="F99" s="16"/>
      <c r="G99" s="12" t="s">
        <v>177</v>
      </c>
      <c r="H99" s="15"/>
      <c r="I99" s="15"/>
      <c r="J99" s="15"/>
      <c r="K99" s="15"/>
      <c r="L99" s="17"/>
      <c r="M99" s="17"/>
      <c r="N99" s="17"/>
      <c r="O99" s="17"/>
      <c r="P99" s="17"/>
      <c r="Q99" s="17"/>
      <c r="R99" s="17"/>
      <c r="S99" s="15"/>
      <c r="T99" s="25">
        <v>45542</v>
      </c>
      <c r="U99" s="15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1"/>
      <c r="B100" s="131"/>
      <c r="C100" s="85" t="s">
        <v>304</v>
      </c>
      <c r="D100" s="109" t="s">
        <v>240</v>
      </c>
      <c r="E100" s="15" t="s">
        <v>38</v>
      </c>
      <c r="F100" s="16"/>
      <c r="G100" s="12" t="s">
        <v>177</v>
      </c>
      <c r="H100" s="15"/>
      <c r="I100" s="15"/>
      <c r="J100" s="15"/>
      <c r="K100" s="15"/>
      <c r="L100" s="17"/>
      <c r="M100" s="17"/>
      <c r="N100" s="17"/>
      <c r="O100" s="17"/>
      <c r="P100" s="17"/>
      <c r="Q100" s="17"/>
      <c r="R100" s="17"/>
      <c r="S100" s="15"/>
      <c r="T100" s="25">
        <v>45542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41"/>
      <c r="B101" s="131"/>
      <c r="C101" s="85" t="s">
        <v>305</v>
      </c>
      <c r="D101" s="109" t="s">
        <v>240</v>
      </c>
      <c r="E101" s="15" t="s">
        <v>44</v>
      </c>
      <c r="F101" s="16"/>
      <c r="G101" s="12" t="s">
        <v>177</v>
      </c>
      <c r="H101" s="15"/>
      <c r="I101" s="15"/>
      <c r="J101" s="15"/>
      <c r="K101" s="15">
        <v>1</v>
      </c>
      <c r="L101" s="17"/>
      <c r="M101" s="17"/>
      <c r="N101" s="17"/>
      <c r="O101" s="17"/>
      <c r="P101" s="17"/>
      <c r="Q101" s="17"/>
      <c r="R101" s="17"/>
      <c r="S101" s="15"/>
      <c r="T101" s="25">
        <v>45542</v>
      </c>
      <c r="U101" s="15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41"/>
      <c r="B102" s="131"/>
      <c r="C102" s="85" t="s">
        <v>306</v>
      </c>
      <c r="D102" s="109" t="s">
        <v>240</v>
      </c>
      <c r="E102" s="15" t="s">
        <v>38</v>
      </c>
      <c r="F102" s="16"/>
      <c r="G102" s="12" t="s">
        <v>177</v>
      </c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>
        <v>45542</v>
      </c>
      <c r="U102" s="15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41"/>
      <c r="B103" s="131"/>
      <c r="C103" s="85" t="s">
        <v>307</v>
      </c>
      <c r="D103" s="109" t="s">
        <v>240</v>
      </c>
      <c r="E103" s="15" t="s">
        <v>38</v>
      </c>
      <c r="F103" s="16"/>
      <c r="G103" s="12" t="s">
        <v>177</v>
      </c>
      <c r="H103" s="15"/>
      <c r="I103" s="15"/>
      <c r="J103" s="15"/>
      <c r="K103" s="15">
        <v>1</v>
      </c>
      <c r="L103" s="17"/>
      <c r="M103" s="17"/>
      <c r="N103" s="17"/>
      <c r="O103" s="17"/>
      <c r="P103" s="17"/>
      <c r="Q103" s="17"/>
      <c r="R103" s="17"/>
      <c r="S103" s="15"/>
      <c r="T103" s="25">
        <v>45542</v>
      </c>
      <c r="U103" s="15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41"/>
      <c r="B104" s="131"/>
      <c r="C104" s="85" t="s">
        <v>308</v>
      </c>
      <c r="D104" s="109" t="s">
        <v>240</v>
      </c>
      <c r="E104" s="15" t="s">
        <v>38</v>
      </c>
      <c r="F104" s="16"/>
      <c r="G104" s="12" t="s">
        <v>177</v>
      </c>
      <c r="H104" s="15"/>
      <c r="I104" s="15"/>
      <c r="J104" s="15"/>
      <c r="K104" s="15">
        <v>1</v>
      </c>
      <c r="L104" s="17"/>
      <c r="M104" s="17"/>
      <c r="N104" s="17"/>
      <c r="O104" s="17"/>
      <c r="P104" s="17"/>
      <c r="Q104" s="17"/>
      <c r="R104" s="17"/>
      <c r="S104" s="15"/>
      <c r="T104" s="25">
        <v>45542</v>
      </c>
      <c r="U104" s="15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41"/>
      <c r="B105" s="131"/>
      <c r="C105" s="85" t="s">
        <v>309</v>
      </c>
      <c r="D105" s="109" t="s">
        <v>240</v>
      </c>
      <c r="E105" s="15" t="s">
        <v>44</v>
      </c>
      <c r="F105" s="16"/>
      <c r="G105" s="12" t="s">
        <v>177</v>
      </c>
      <c r="H105" s="15"/>
      <c r="I105" s="15"/>
      <c r="J105" s="15"/>
      <c r="K105" s="15">
        <v>1</v>
      </c>
      <c r="L105" s="17"/>
      <c r="M105" s="17"/>
      <c r="N105" s="17"/>
      <c r="O105" s="17"/>
      <c r="P105" s="17"/>
      <c r="Q105" s="17"/>
      <c r="R105" s="17"/>
      <c r="S105" s="15"/>
      <c r="T105" s="25">
        <v>45542</v>
      </c>
      <c r="U105" s="15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41"/>
      <c r="B106" s="131"/>
      <c r="C106" s="85"/>
      <c r="D106" s="109"/>
      <c r="E106" s="15"/>
      <c r="F106" s="16"/>
      <c r="G106" s="12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41"/>
      <c r="B107" s="131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41"/>
      <c r="B108" s="131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1"/>
      <c r="B109" s="131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1"/>
      <c r="B110" s="131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1"/>
      <c r="B111" s="131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1"/>
      <c r="B112" s="131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1"/>
      <c r="B113" s="131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1"/>
      <c r="B114" s="131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1"/>
      <c r="B115" s="131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19.5" thickBot="1" x14ac:dyDescent="0.45">
      <c r="A116" s="141"/>
      <c r="B116" s="131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2"/>
      <c r="B117" s="132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13</v>
      </c>
      <c r="D118" s="112"/>
      <c r="E118" s="29"/>
      <c r="F118" s="29" t="s">
        <v>34</v>
      </c>
      <c r="G118" s="29">
        <f>COUNTIF(G93:G117,"S")</f>
        <v>13</v>
      </c>
      <c r="H118" s="29">
        <f>COUNTIF(H93:H117,"E")</f>
        <v>1</v>
      </c>
      <c r="I118" s="29">
        <f>SUM(I93:I117)</f>
        <v>0</v>
      </c>
      <c r="J118" s="29">
        <f t="shared" ref="J118" si="3">SUM(J93:J117)</f>
        <v>2</v>
      </c>
      <c r="K118" s="29">
        <f t="shared" ref="K118" si="4">SUM(K93:K117)</f>
        <v>7</v>
      </c>
      <c r="L118" s="29">
        <f t="shared" ref="L118" si="5">SUM(L93:L117)</f>
        <v>0</v>
      </c>
      <c r="M118" s="29">
        <f t="shared" ref="M118" si="6">SUM(M93:M117)</f>
        <v>0</v>
      </c>
      <c r="N118" s="29">
        <f t="shared" ref="N118" si="7">SUM(N93:N117)</f>
        <v>1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1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11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AYG085</v>
      </c>
      <c r="B121" s="24">
        <f>B1</f>
        <v>45510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3" t="s">
        <v>116</v>
      </c>
      <c r="Y122" s="139"/>
    </row>
    <row r="123" spans="1:28" ht="20.25" thickTop="1" thickBot="1" x14ac:dyDescent="0.45">
      <c r="A123" s="140">
        <v>5</v>
      </c>
      <c r="B123" s="130">
        <v>21.6</v>
      </c>
      <c r="C123" s="85" t="s">
        <v>328</v>
      </c>
      <c r="D123" s="106" t="s">
        <v>178</v>
      </c>
      <c r="E123" s="106" t="s">
        <v>36</v>
      </c>
      <c r="F123" s="14"/>
      <c r="G123" s="12" t="s">
        <v>177</v>
      </c>
      <c r="H123" s="13"/>
      <c r="I123" s="13"/>
      <c r="J123" s="13"/>
      <c r="K123" s="13"/>
      <c r="L123" s="13"/>
      <c r="M123" s="13">
        <v>1</v>
      </c>
      <c r="N123" s="13"/>
      <c r="O123" s="13"/>
      <c r="P123" s="13"/>
      <c r="Q123" s="13">
        <v>1</v>
      </c>
      <c r="R123" s="13"/>
      <c r="S123" s="13"/>
      <c r="T123" s="25">
        <v>45532</v>
      </c>
      <c r="U123" s="13" t="s">
        <v>147</v>
      </c>
      <c r="V123">
        <v>1</v>
      </c>
      <c r="X123" s="51" t="s">
        <v>106</v>
      </c>
      <c r="Y123" s="52">
        <f>COUNTIF(U123:U147,"K")</f>
        <v>5</v>
      </c>
      <c r="AA123" s="59" t="s">
        <v>120</v>
      </c>
      <c r="AB123" s="60" t="s">
        <v>121</v>
      </c>
    </row>
    <row r="124" spans="1:28" x14ac:dyDescent="0.4">
      <c r="A124" s="141"/>
      <c r="B124" s="131"/>
      <c r="C124" s="85" t="s">
        <v>329</v>
      </c>
      <c r="D124" s="106" t="s">
        <v>190</v>
      </c>
      <c r="E124" s="106" t="s">
        <v>36</v>
      </c>
      <c r="F124" s="16"/>
      <c r="G124" s="12" t="s">
        <v>177</v>
      </c>
      <c r="H124" s="15"/>
      <c r="I124" s="15"/>
      <c r="J124" s="15">
        <v>1</v>
      </c>
      <c r="K124" s="15">
        <v>1</v>
      </c>
      <c r="L124" s="17"/>
      <c r="M124" s="17"/>
      <c r="N124" s="17"/>
      <c r="O124" s="17"/>
      <c r="P124" s="17"/>
      <c r="Q124" s="17"/>
      <c r="R124" s="17"/>
      <c r="S124" s="15"/>
      <c r="T124" s="25">
        <v>45562</v>
      </c>
      <c r="U124" s="13" t="s">
        <v>146</v>
      </c>
      <c r="V124">
        <v>2</v>
      </c>
      <c r="X124" s="51" t="s">
        <v>107</v>
      </c>
      <c r="Y124" s="52">
        <f>COUNTIF(U123:U147,"R")</f>
        <v>8</v>
      </c>
      <c r="AA124" s="47" t="s">
        <v>81</v>
      </c>
      <c r="AB124" s="48" t="s">
        <v>60</v>
      </c>
    </row>
    <row r="125" spans="1:28" ht="19.5" thickBot="1" x14ac:dyDescent="0.45">
      <c r="A125" s="141"/>
      <c r="B125" s="131"/>
      <c r="C125" s="85" t="s">
        <v>330</v>
      </c>
      <c r="D125" s="106" t="s">
        <v>176</v>
      </c>
      <c r="E125" s="106" t="s">
        <v>36</v>
      </c>
      <c r="F125" s="16"/>
      <c r="G125" s="12" t="s">
        <v>177</v>
      </c>
      <c r="H125" s="13"/>
      <c r="I125" s="15"/>
      <c r="J125" s="15">
        <v>1</v>
      </c>
      <c r="K125" s="15">
        <v>1</v>
      </c>
      <c r="L125" s="17"/>
      <c r="M125" s="17"/>
      <c r="N125" s="17"/>
      <c r="O125" s="17"/>
      <c r="P125" s="17"/>
      <c r="Q125" s="17"/>
      <c r="R125" s="17"/>
      <c r="S125" s="15"/>
      <c r="T125" s="25">
        <v>45545</v>
      </c>
      <c r="U125" s="13" t="s">
        <v>146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41"/>
      <c r="B126" s="131"/>
      <c r="C126" s="85" t="s">
        <v>331</v>
      </c>
      <c r="D126" s="106" t="s">
        <v>176</v>
      </c>
      <c r="E126" s="106" t="s">
        <v>74</v>
      </c>
      <c r="F126" s="16"/>
      <c r="G126" s="12" t="s">
        <v>177</v>
      </c>
      <c r="H126" s="15"/>
      <c r="I126" s="15"/>
      <c r="J126" s="15"/>
      <c r="K126" s="15"/>
      <c r="L126" s="17"/>
      <c r="M126" s="17">
        <v>1</v>
      </c>
      <c r="N126" s="17">
        <v>1</v>
      </c>
      <c r="O126" s="17"/>
      <c r="P126" s="17"/>
      <c r="Q126" s="17">
        <v>1</v>
      </c>
      <c r="R126" s="17"/>
      <c r="S126" s="15"/>
      <c r="T126" s="25">
        <v>45545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41"/>
      <c r="B127" s="131"/>
      <c r="C127" s="85" t="s">
        <v>332</v>
      </c>
      <c r="D127" s="106" t="s">
        <v>176</v>
      </c>
      <c r="E127" s="106" t="s">
        <v>37</v>
      </c>
      <c r="F127" s="16"/>
      <c r="G127" s="12" t="s">
        <v>177</v>
      </c>
      <c r="H127" s="15"/>
      <c r="I127" s="15"/>
      <c r="J127" s="15"/>
      <c r="K127" s="15"/>
      <c r="L127" s="17"/>
      <c r="M127" s="17">
        <v>1</v>
      </c>
      <c r="N127" s="17">
        <v>1</v>
      </c>
      <c r="O127" s="17"/>
      <c r="P127" s="17"/>
      <c r="Q127" s="17">
        <v>1</v>
      </c>
      <c r="R127" s="17"/>
      <c r="S127" s="15"/>
      <c r="T127" s="25">
        <v>45545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41"/>
      <c r="B128" s="131"/>
      <c r="C128" s="85" t="s">
        <v>333</v>
      </c>
      <c r="D128" s="106" t="s">
        <v>176</v>
      </c>
      <c r="E128" s="106" t="s">
        <v>36</v>
      </c>
      <c r="F128" s="16"/>
      <c r="G128" s="12" t="s">
        <v>177</v>
      </c>
      <c r="H128" s="13"/>
      <c r="I128" s="15"/>
      <c r="J128" s="15"/>
      <c r="K128" s="15"/>
      <c r="L128" s="17"/>
      <c r="M128" s="17">
        <v>1</v>
      </c>
      <c r="N128" s="17">
        <v>1</v>
      </c>
      <c r="O128" s="17"/>
      <c r="P128" s="17"/>
      <c r="Q128" s="17">
        <v>1</v>
      </c>
      <c r="R128" s="17"/>
      <c r="S128" s="15"/>
      <c r="T128" s="25">
        <v>45545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41"/>
      <c r="B129" s="131"/>
      <c r="C129" s="85" t="s">
        <v>334</v>
      </c>
      <c r="D129" s="106" t="s">
        <v>186</v>
      </c>
      <c r="E129" s="106" t="s">
        <v>36</v>
      </c>
      <c r="F129" s="16"/>
      <c r="G129" s="12" t="s">
        <v>177</v>
      </c>
      <c r="H129" s="15"/>
      <c r="I129" s="15"/>
      <c r="J129" s="15"/>
      <c r="K129" s="15"/>
      <c r="L129" s="17"/>
      <c r="M129" s="17">
        <v>1</v>
      </c>
      <c r="N129" s="17">
        <v>1</v>
      </c>
      <c r="O129" s="17"/>
      <c r="P129" s="17"/>
      <c r="Q129" s="17">
        <v>1</v>
      </c>
      <c r="R129" s="17"/>
      <c r="S129" s="15"/>
      <c r="T129" s="25">
        <v>45531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41"/>
      <c r="B130" s="131"/>
      <c r="C130" s="85" t="s">
        <v>335</v>
      </c>
      <c r="D130" s="106" t="s">
        <v>186</v>
      </c>
      <c r="E130" s="106" t="s">
        <v>40</v>
      </c>
      <c r="F130" s="16"/>
      <c r="G130" s="12" t="s">
        <v>177</v>
      </c>
      <c r="H130" s="15"/>
      <c r="I130" s="15"/>
      <c r="J130" s="15"/>
      <c r="K130" s="15"/>
      <c r="L130" s="17"/>
      <c r="M130" s="17"/>
      <c r="N130" s="17"/>
      <c r="O130" s="17">
        <v>1</v>
      </c>
      <c r="P130" s="17">
        <v>1</v>
      </c>
      <c r="Q130" s="17"/>
      <c r="R130" s="17"/>
      <c r="S130" s="15"/>
      <c r="T130" s="25">
        <v>45531</v>
      </c>
      <c r="U130" s="13" t="s">
        <v>148</v>
      </c>
      <c r="V130">
        <v>8</v>
      </c>
      <c r="AA130" s="49" t="s">
        <v>87</v>
      </c>
      <c r="AB130" s="50" t="s">
        <v>37</v>
      </c>
    </row>
    <row r="131" spans="1:28" x14ac:dyDescent="0.4">
      <c r="A131" s="141"/>
      <c r="B131" s="131"/>
      <c r="C131" s="85" t="s">
        <v>336</v>
      </c>
      <c r="D131" s="106" t="s">
        <v>186</v>
      </c>
      <c r="E131" s="106" t="s">
        <v>74</v>
      </c>
      <c r="F131" s="16"/>
      <c r="G131" s="12" t="s">
        <v>177</v>
      </c>
      <c r="H131" s="15"/>
      <c r="I131" s="15"/>
      <c r="J131" s="15"/>
      <c r="K131" s="15"/>
      <c r="L131" s="17"/>
      <c r="M131" s="17"/>
      <c r="N131" s="17">
        <v>1</v>
      </c>
      <c r="O131" s="17"/>
      <c r="P131" s="17"/>
      <c r="Q131" s="17">
        <v>1</v>
      </c>
      <c r="R131" s="17"/>
      <c r="S131" s="15"/>
      <c r="T131" s="25">
        <v>45530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41"/>
      <c r="B132" s="131"/>
      <c r="C132" s="85" t="s">
        <v>337</v>
      </c>
      <c r="D132" s="106" t="s">
        <v>176</v>
      </c>
      <c r="E132" s="106" t="s">
        <v>36</v>
      </c>
      <c r="F132" s="106"/>
      <c r="G132" s="12" t="s">
        <v>177</v>
      </c>
      <c r="H132" s="15"/>
      <c r="I132" s="15"/>
      <c r="J132" s="15">
        <v>1</v>
      </c>
      <c r="K132" s="15">
        <v>1</v>
      </c>
      <c r="L132" s="17"/>
      <c r="M132" s="17"/>
      <c r="N132" s="17"/>
      <c r="O132" s="17"/>
      <c r="P132" s="17"/>
      <c r="Q132" s="17"/>
      <c r="R132" s="17"/>
      <c r="S132" s="15"/>
      <c r="T132" s="25">
        <v>45539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41"/>
      <c r="B133" s="131"/>
      <c r="C133" s="85" t="s">
        <v>338</v>
      </c>
      <c r="D133" s="106" t="s">
        <v>176</v>
      </c>
      <c r="E133" s="106" t="s">
        <v>40</v>
      </c>
      <c r="F133" s="16"/>
      <c r="G133" s="12" t="s">
        <v>177</v>
      </c>
      <c r="H133" s="15"/>
      <c r="I133" s="15"/>
      <c r="J133" s="15"/>
      <c r="K133" s="15"/>
      <c r="L133" s="17"/>
      <c r="M133" s="17"/>
      <c r="N133" s="17"/>
      <c r="O133" s="17">
        <v>1</v>
      </c>
      <c r="P133" s="17">
        <v>1</v>
      </c>
      <c r="Q133" s="17">
        <v>1</v>
      </c>
      <c r="R133" s="17">
        <v>1</v>
      </c>
      <c r="S133" s="15"/>
      <c r="T133" s="25">
        <v>45539</v>
      </c>
      <c r="U133" s="13" t="s">
        <v>148</v>
      </c>
      <c r="V133">
        <v>11</v>
      </c>
      <c r="AA133" s="49" t="s">
        <v>90</v>
      </c>
      <c r="AB133" s="50" t="s">
        <v>58</v>
      </c>
    </row>
    <row r="134" spans="1:28" x14ac:dyDescent="0.4">
      <c r="A134" s="141"/>
      <c r="B134" s="131"/>
      <c r="C134" s="85" t="s">
        <v>339</v>
      </c>
      <c r="D134" s="106" t="s">
        <v>176</v>
      </c>
      <c r="E134" s="106" t="s">
        <v>36</v>
      </c>
      <c r="F134" s="16"/>
      <c r="G134" s="12" t="s">
        <v>177</v>
      </c>
      <c r="H134" s="15"/>
      <c r="I134" s="15"/>
      <c r="J134" s="15">
        <v>1</v>
      </c>
      <c r="K134" s="15">
        <v>1</v>
      </c>
      <c r="L134" s="17"/>
      <c r="M134" s="17"/>
      <c r="N134" s="17"/>
      <c r="O134" s="17"/>
      <c r="P134" s="17"/>
      <c r="Q134" s="17"/>
      <c r="R134" s="17"/>
      <c r="S134" s="15"/>
      <c r="T134" s="25">
        <v>45548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41"/>
      <c r="B135" s="131"/>
      <c r="C135" s="85" t="s">
        <v>340</v>
      </c>
      <c r="D135" s="106" t="s">
        <v>176</v>
      </c>
      <c r="E135" s="106" t="s">
        <v>36</v>
      </c>
      <c r="F135" s="16"/>
      <c r="G135" s="12" t="s">
        <v>177</v>
      </c>
      <c r="H135" s="15"/>
      <c r="I135" s="15"/>
      <c r="J135" s="15">
        <v>1</v>
      </c>
      <c r="K135" s="15">
        <v>1</v>
      </c>
      <c r="L135" s="17"/>
      <c r="M135" s="17"/>
      <c r="N135" s="17"/>
      <c r="O135" s="17"/>
      <c r="P135" s="17"/>
      <c r="Q135" s="17"/>
      <c r="R135" s="17"/>
      <c r="S135" s="15"/>
      <c r="T135" s="25">
        <v>45548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41"/>
      <c r="B136" s="131"/>
      <c r="C136" s="85" t="s">
        <v>341</v>
      </c>
      <c r="D136" s="106" t="s">
        <v>176</v>
      </c>
      <c r="E136" s="106" t="s">
        <v>36</v>
      </c>
      <c r="F136" s="16"/>
      <c r="G136" s="12" t="s">
        <v>177</v>
      </c>
      <c r="H136" s="15"/>
      <c r="I136" s="15"/>
      <c r="J136" s="15"/>
      <c r="K136" s="15"/>
      <c r="L136" s="17"/>
      <c r="M136" s="17">
        <v>1</v>
      </c>
      <c r="N136" s="17">
        <v>1</v>
      </c>
      <c r="O136" s="17"/>
      <c r="P136" s="17"/>
      <c r="Q136" s="17">
        <v>1</v>
      </c>
      <c r="R136" s="17"/>
      <c r="S136" s="15"/>
      <c r="T136" s="25">
        <v>45553</v>
      </c>
      <c r="U136" s="13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41"/>
      <c r="B137" s="131"/>
      <c r="C137" s="85" t="s">
        <v>342</v>
      </c>
      <c r="D137" s="106" t="s">
        <v>189</v>
      </c>
      <c r="E137" s="106" t="s">
        <v>74</v>
      </c>
      <c r="F137" s="16"/>
      <c r="G137" s="12" t="s">
        <v>177</v>
      </c>
      <c r="H137" s="15"/>
      <c r="I137" s="15"/>
      <c r="J137" s="15"/>
      <c r="K137" s="15"/>
      <c r="L137" s="17"/>
      <c r="M137" s="17">
        <v>1</v>
      </c>
      <c r="N137" s="17"/>
      <c r="O137" s="17"/>
      <c r="P137" s="17"/>
      <c r="Q137" s="17">
        <v>1</v>
      </c>
      <c r="R137" s="17"/>
      <c r="S137" s="15"/>
      <c r="T137" s="25">
        <v>45543</v>
      </c>
      <c r="U137" s="13" t="s">
        <v>147</v>
      </c>
      <c r="V137">
        <v>15</v>
      </c>
      <c r="AA137" s="49" t="s">
        <v>94</v>
      </c>
      <c r="AB137" s="50" t="s">
        <v>41</v>
      </c>
    </row>
    <row r="138" spans="1:28" x14ac:dyDescent="0.4">
      <c r="A138" s="141"/>
      <c r="B138" s="131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1"/>
      <c r="B139" s="131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1"/>
      <c r="B140" s="131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1"/>
      <c r="B141" s="131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1"/>
      <c r="B142" s="131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1"/>
      <c r="B143" s="131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1"/>
      <c r="B144" s="131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1"/>
      <c r="B145" s="131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1"/>
      <c r="B146" s="131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2"/>
      <c r="B147" s="132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15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5</v>
      </c>
      <c r="K148" s="29">
        <f t="shared" ref="K148" si="14">SUM(K123:K147)</f>
        <v>5</v>
      </c>
      <c r="L148" s="29">
        <f t="shared" ref="L148" si="15">SUM(L123:L147)</f>
        <v>0</v>
      </c>
      <c r="M148" s="29">
        <f t="shared" ref="M148" si="16">SUM(M123:M147)</f>
        <v>7</v>
      </c>
      <c r="N148" s="29">
        <f t="shared" ref="N148" si="17">SUM(N123:N147)</f>
        <v>6</v>
      </c>
      <c r="O148" s="29">
        <f t="shared" ref="O148" si="18">SUM(O123:O147)</f>
        <v>2</v>
      </c>
      <c r="P148" s="29">
        <f t="shared" ref="P148" si="19">SUM(P123:P147)</f>
        <v>2</v>
      </c>
      <c r="Q148" s="29">
        <f t="shared" ref="Q148" si="20">SUM(Q123:Q147)</f>
        <v>9</v>
      </c>
      <c r="R148" s="29">
        <f t="shared" ref="R148" si="21">SUM(R123:R147)</f>
        <v>1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37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AYG085</v>
      </c>
      <c r="B151" s="24">
        <f>B1</f>
        <v>45510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3" t="s">
        <v>115</v>
      </c>
      <c r="Y152" s="139"/>
    </row>
    <row r="153" spans="1:28" ht="20.25" thickTop="1" thickBot="1" x14ac:dyDescent="0.45">
      <c r="A153" s="140">
        <v>6</v>
      </c>
      <c r="B153" s="143">
        <v>16.399999999999999</v>
      </c>
      <c r="C153" s="85" t="s">
        <v>343</v>
      </c>
      <c r="D153" s="106" t="s">
        <v>357</v>
      </c>
      <c r="E153" s="15" t="s">
        <v>37</v>
      </c>
      <c r="F153" s="14"/>
      <c r="G153" s="12" t="s">
        <v>177</v>
      </c>
      <c r="H153" s="13"/>
      <c r="I153" s="13"/>
      <c r="J153" s="13">
        <v>1</v>
      </c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5">
        <v>45536</v>
      </c>
      <c r="U153" s="13" t="s">
        <v>146</v>
      </c>
      <c r="V153">
        <v>1</v>
      </c>
      <c r="X153" s="51" t="s">
        <v>106</v>
      </c>
      <c r="Y153" s="52">
        <f>COUNTIF(U153:U177,"K")</f>
        <v>3</v>
      </c>
      <c r="AA153" s="59" t="s">
        <v>120</v>
      </c>
      <c r="AB153" s="60" t="s">
        <v>121</v>
      </c>
    </row>
    <row r="154" spans="1:28" x14ac:dyDescent="0.4">
      <c r="A154" s="141"/>
      <c r="B154" s="144"/>
      <c r="C154" s="85" t="s">
        <v>344</v>
      </c>
      <c r="D154" s="106" t="s">
        <v>357</v>
      </c>
      <c r="E154" s="15" t="s">
        <v>36</v>
      </c>
      <c r="F154" s="16"/>
      <c r="G154" s="15" t="s">
        <v>177</v>
      </c>
      <c r="H154" s="15"/>
      <c r="I154" s="15"/>
      <c r="J154" s="15"/>
      <c r="K154" s="15"/>
      <c r="L154" s="17"/>
      <c r="M154" s="17">
        <v>1</v>
      </c>
      <c r="N154" s="17">
        <v>1</v>
      </c>
      <c r="O154" s="17"/>
      <c r="P154" s="17"/>
      <c r="Q154" s="17"/>
      <c r="R154" s="17"/>
      <c r="S154" s="15"/>
      <c r="T154" s="25">
        <v>45536</v>
      </c>
      <c r="U154" s="15" t="s">
        <v>147</v>
      </c>
      <c r="V154">
        <v>2</v>
      </c>
      <c r="X154" s="51" t="s">
        <v>107</v>
      </c>
      <c r="Y154" s="52">
        <f>COUNTIF(U153:U177,"R")</f>
        <v>7</v>
      </c>
      <c r="AA154" s="47" t="s">
        <v>81</v>
      </c>
      <c r="AB154" s="48" t="s">
        <v>60</v>
      </c>
    </row>
    <row r="155" spans="1:28" ht="19.5" thickBot="1" x14ac:dyDescent="0.45">
      <c r="A155" s="141"/>
      <c r="B155" s="144"/>
      <c r="C155" s="85" t="s">
        <v>345</v>
      </c>
      <c r="D155" s="106" t="s">
        <v>357</v>
      </c>
      <c r="E155" s="15" t="s">
        <v>36</v>
      </c>
      <c r="F155" s="16"/>
      <c r="G155" s="15" t="s">
        <v>177</v>
      </c>
      <c r="H155" s="13"/>
      <c r="I155" s="15"/>
      <c r="J155" s="15"/>
      <c r="K155" s="15"/>
      <c r="L155" s="17"/>
      <c r="M155" s="17">
        <v>1</v>
      </c>
      <c r="N155" s="17"/>
      <c r="O155" s="17"/>
      <c r="P155" s="17"/>
      <c r="Q155" s="17">
        <v>1</v>
      </c>
      <c r="R155" s="17"/>
      <c r="S155" s="15"/>
      <c r="T155" s="25">
        <v>45536</v>
      </c>
      <c r="U155" s="15" t="s">
        <v>147</v>
      </c>
      <c r="V155">
        <v>3</v>
      </c>
      <c r="X155" s="53" t="s">
        <v>108</v>
      </c>
      <c r="Y155" s="54">
        <f>COUNTIF(U153:U177,"J")</f>
        <v>4</v>
      </c>
      <c r="AA155" s="49" t="s">
        <v>82</v>
      </c>
      <c r="AB155" s="50" t="s">
        <v>39</v>
      </c>
    </row>
    <row r="156" spans="1:28" x14ac:dyDescent="0.4">
      <c r="A156" s="141"/>
      <c r="B156" s="144"/>
      <c r="C156" s="85" t="s">
        <v>346</v>
      </c>
      <c r="D156" s="106" t="s">
        <v>357</v>
      </c>
      <c r="E156" s="15" t="s">
        <v>75</v>
      </c>
      <c r="F156" s="16"/>
      <c r="G156" s="15" t="s">
        <v>177</v>
      </c>
      <c r="H156" s="15"/>
      <c r="I156" s="15"/>
      <c r="J156" s="15"/>
      <c r="K156" s="15"/>
      <c r="L156" s="17"/>
      <c r="M156" s="17"/>
      <c r="N156" s="17"/>
      <c r="O156" s="17"/>
      <c r="P156" s="17"/>
      <c r="Q156" s="17"/>
      <c r="R156" s="17"/>
      <c r="S156" s="15"/>
      <c r="T156" s="25">
        <v>45536</v>
      </c>
      <c r="U156" s="15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41"/>
      <c r="B157" s="144"/>
      <c r="C157" s="85" t="s">
        <v>347</v>
      </c>
      <c r="D157" s="106" t="s">
        <v>182</v>
      </c>
      <c r="E157" s="15" t="s">
        <v>39</v>
      </c>
      <c r="F157" s="16"/>
      <c r="G157" s="15" t="s">
        <v>177</v>
      </c>
      <c r="H157" s="15"/>
      <c r="I157" s="15"/>
      <c r="J157" s="15">
        <v>1</v>
      </c>
      <c r="K157" s="15"/>
      <c r="L157" s="17"/>
      <c r="M157" s="17"/>
      <c r="N157" s="17"/>
      <c r="O157" s="17"/>
      <c r="P157" s="17"/>
      <c r="Q157" s="17"/>
      <c r="R157" s="17"/>
      <c r="S157" s="15"/>
      <c r="T157" s="25">
        <v>45537</v>
      </c>
      <c r="U157" s="15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1"/>
      <c r="B158" s="144"/>
      <c r="C158" s="85" t="s">
        <v>348</v>
      </c>
      <c r="D158" s="106" t="s">
        <v>182</v>
      </c>
      <c r="E158" s="15" t="s">
        <v>40</v>
      </c>
      <c r="F158" s="16"/>
      <c r="G158" s="13" t="s">
        <v>177</v>
      </c>
      <c r="H158" s="13"/>
      <c r="I158" s="15"/>
      <c r="J158" s="15"/>
      <c r="K158" s="15"/>
      <c r="L158" s="17"/>
      <c r="M158" s="17"/>
      <c r="N158" s="17"/>
      <c r="O158" s="17">
        <v>1</v>
      </c>
      <c r="P158" s="17">
        <v>2</v>
      </c>
      <c r="Q158" s="17"/>
      <c r="R158" s="17">
        <v>1</v>
      </c>
      <c r="S158" s="15"/>
      <c r="T158" s="25">
        <v>45537</v>
      </c>
      <c r="U158" s="15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1"/>
      <c r="B159" s="144"/>
      <c r="C159" s="85" t="s">
        <v>349</v>
      </c>
      <c r="D159" s="106" t="s">
        <v>182</v>
      </c>
      <c r="E159" s="15" t="s">
        <v>36</v>
      </c>
      <c r="F159" s="16"/>
      <c r="G159" s="15" t="s">
        <v>177</v>
      </c>
      <c r="H159" s="15"/>
      <c r="I159" s="15"/>
      <c r="J159" s="15"/>
      <c r="K159" s="15"/>
      <c r="L159" s="17"/>
      <c r="M159" s="17">
        <v>1</v>
      </c>
      <c r="N159" s="17">
        <v>1</v>
      </c>
      <c r="O159" s="17"/>
      <c r="P159" s="17"/>
      <c r="Q159" s="17">
        <v>1</v>
      </c>
      <c r="R159" s="17"/>
      <c r="S159" s="15"/>
      <c r="T159" s="25">
        <v>45537</v>
      </c>
      <c r="U159" s="15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41"/>
      <c r="B160" s="144"/>
      <c r="C160" s="85" t="s">
        <v>350</v>
      </c>
      <c r="D160" s="106" t="s">
        <v>182</v>
      </c>
      <c r="E160" s="15" t="s">
        <v>36</v>
      </c>
      <c r="F160" s="16"/>
      <c r="G160" s="15" t="s">
        <v>177</v>
      </c>
      <c r="H160" s="15"/>
      <c r="I160" s="15"/>
      <c r="J160" s="15"/>
      <c r="K160" s="15"/>
      <c r="L160" s="17"/>
      <c r="M160" s="17">
        <v>1</v>
      </c>
      <c r="N160" s="17">
        <v>1</v>
      </c>
      <c r="O160" s="17"/>
      <c r="P160" s="17"/>
      <c r="Q160" s="17">
        <v>1</v>
      </c>
      <c r="R160" s="17"/>
      <c r="S160" s="15"/>
      <c r="T160" s="25">
        <v>45550</v>
      </c>
      <c r="U160" s="15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41"/>
      <c r="B161" s="144"/>
      <c r="C161" s="85" t="s">
        <v>351</v>
      </c>
      <c r="D161" s="106" t="s">
        <v>182</v>
      </c>
      <c r="E161" s="15" t="s">
        <v>40</v>
      </c>
      <c r="F161" s="16"/>
      <c r="G161" s="15" t="s">
        <v>177</v>
      </c>
      <c r="H161" s="15"/>
      <c r="I161" s="15"/>
      <c r="J161" s="15"/>
      <c r="K161" s="15"/>
      <c r="L161" s="17"/>
      <c r="M161" s="17"/>
      <c r="N161" s="17"/>
      <c r="O161" s="17">
        <v>1</v>
      </c>
      <c r="P161" s="17">
        <v>2</v>
      </c>
      <c r="Q161" s="17"/>
      <c r="R161" s="17">
        <v>1</v>
      </c>
      <c r="S161" s="15"/>
      <c r="T161" s="25">
        <v>45550</v>
      </c>
      <c r="U161" s="15" t="s">
        <v>148</v>
      </c>
      <c r="V161">
        <v>9</v>
      </c>
      <c r="AA161" s="49" t="s">
        <v>88</v>
      </c>
      <c r="AB161" s="50" t="s">
        <v>74</v>
      </c>
    </row>
    <row r="162" spans="1:28" x14ac:dyDescent="0.4">
      <c r="A162" s="141"/>
      <c r="B162" s="144"/>
      <c r="C162" s="85" t="s">
        <v>352</v>
      </c>
      <c r="D162" s="106" t="s">
        <v>182</v>
      </c>
      <c r="E162" s="15" t="s">
        <v>40</v>
      </c>
      <c r="F162" s="16"/>
      <c r="G162" s="15" t="s">
        <v>177</v>
      </c>
      <c r="H162" s="15"/>
      <c r="I162" s="15"/>
      <c r="J162" s="15"/>
      <c r="K162" s="15"/>
      <c r="L162" s="17"/>
      <c r="M162" s="17"/>
      <c r="N162" s="17"/>
      <c r="O162" s="17">
        <v>1</v>
      </c>
      <c r="P162" s="17">
        <v>2</v>
      </c>
      <c r="Q162" s="17"/>
      <c r="R162" s="17">
        <v>1</v>
      </c>
      <c r="S162" s="15"/>
      <c r="T162" s="25">
        <v>45550</v>
      </c>
      <c r="U162" s="15" t="s">
        <v>148</v>
      </c>
      <c r="V162">
        <v>10</v>
      </c>
      <c r="AA162" s="49" t="s">
        <v>89</v>
      </c>
      <c r="AB162" s="50" t="s">
        <v>36</v>
      </c>
    </row>
    <row r="163" spans="1:28" x14ac:dyDescent="0.4">
      <c r="A163" s="141"/>
      <c r="B163" s="144"/>
      <c r="C163" s="85" t="s">
        <v>353</v>
      </c>
      <c r="D163" s="106" t="s">
        <v>182</v>
      </c>
      <c r="E163" s="15" t="s">
        <v>40</v>
      </c>
      <c r="F163" s="16"/>
      <c r="G163" s="15" t="s">
        <v>177</v>
      </c>
      <c r="H163" s="15"/>
      <c r="I163" s="15"/>
      <c r="J163" s="15"/>
      <c r="K163" s="15"/>
      <c r="L163" s="17"/>
      <c r="M163" s="17"/>
      <c r="N163" s="17"/>
      <c r="O163" s="17">
        <v>1</v>
      </c>
      <c r="P163" s="17">
        <v>2</v>
      </c>
      <c r="Q163" s="17"/>
      <c r="R163" s="17">
        <v>1</v>
      </c>
      <c r="S163" s="15"/>
      <c r="T163" s="25">
        <v>45550</v>
      </c>
      <c r="U163" s="15" t="s">
        <v>148</v>
      </c>
      <c r="V163">
        <v>11</v>
      </c>
      <c r="AA163" s="49" t="s">
        <v>90</v>
      </c>
      <c r="AB163" s="50" t="s">
        <v>58</v>
      </c>
    </row>
    <row r="164" spans="1:28" x14ac:dyDescent="0.4">
      <c r="A164" s="141"/>
      <c r="B164" s="144"/>
      <c r="C164" s="85" t="s">
        <v>354</v>
      </c>
      <c r="D164" s="106" t="s">
        <v>182</v>
      </c>
      <c r="E164" s="15" t="s">
        <v>40</v>
      </c>
      <c r="F164" s="16"/>
      <c r="G164" s="15" t="s">
        <v>177</v>
      </c>
      <c r="H164" s="15"/>
      <c r="I164" s="15"/>
      <c r="J164" s="15"/>
      <c r="K164" s="15"/>
      <c r="L164" s="17"/>
      <c r="M164" s="17"/>
      <c r="N164" s="17"/>
      <c r="O164" s="17">
        <v>1</v>
      </c>
      <c r="P164" s="17">
        <v>1</v>
      </c>
      <c r="Q164" s="17"/>
      <c r="R164" s="17"/>
      <c r="S164" s="15"/>
      <c r="T164" s="25">
        <v>45550</v>
      </c>
      <c r="U164" s="15" t="s">
        <v>148</v>
      </c>
      <c r="V164">
        <v>12</v>
      </c>
      <c r="AA164" s="49" t="s">
        <v>91</v>
      </c>
      <c r="AB164" s="50" t="s">
        <v>75</v>
      </c>
    </row>
    <row r="165" spans="1:28" x14ac:dyDescent="0.4">
      <c r="A165" s="141"/>
      <c r="B165" s="144"/>
      <c r="C165" s="85" t="s">
        <v>355</v>
      </c>
      <c r="D165" s="106" t="s">
        <v>182</v>
      </c>
      <c r="E165" s="15" t="s">
        <v>36</v>
      </c>
      <c r="F165" s="16"/>
      <c r="G165" s="15" t="s">
        <v>177</v>
      </c>
      <c r="H165" s="15"/>
      <c r="I165" s="15"/>
      <c r="J165" s="15"/>
      <c r="K165" s="15"/>
      <c r="L165" s="17"/>
      <c r="M165" s="17">
        <v>1</v>
      </c>
      <c r="N165" s="17">
        <v>1</v>
      </c>
      <c r="O165" s="17"/>
      <c r="P165" s="17"/>
      <c r="Q165" s="17">
        <v>1</v>
      </c>
      <c r="R165" s="17"/>
      <c r="S165" s="15"/>
      <c r="T165" s="25">
        <v>45537</v>
      </c>
      <c r="U165" s="105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41"/>
      <c r="B166" s="144"/>
      <c r="C166" s="85" t="s">
        <v>356</v>
      </c>
      <c r="D166" s="106" t="s">
        <v>182</v>
      </c>
      <c r="E166" s="15" t="s">
        <v>36</v>
      </c>
      <c r="F166" s="16"/>
      <c r="G166" s="15" t="s">
        <v>177</v>
      </c>
      <c r="H166" s="15"/>
      <c r="I166" s="15"/>
      <c r="J166" s="15"/>
      <c r="K166" s="15"/>
      <c r="L166" s="17"/>
      <c r="M166" s="17">
        <v>1</v>
      </c>
      <c r="N166" s="17">
        <v>1</v>
      </c>
      <c r="O166" s="17"/>
      <c r="P166" s="17"/>
      <c r="Q166" s="17">
        <v>1</v>
      </c>
      <c r="R166" s="17"/>
      <c r="S166" s="15"/>
      <c r="T166" s="25">
        <v>45550</v>
      </c>
      <c r="U166" s="15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41"/>
      <c r="B167" s="144"/>
      <c r="C167" s="85"/>
      <c r="D167" s="106"/>
      <c r="E167" s="15"/>
      <c r="F167" s="16"/>
      <c r="G167" s="15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25"/>
      <c r="V167">
        <v>15</v>
      </c>
      <c r="AA167" s="49" t="s">
        <v>94</v>
      </c>
      <c r="AB167" s="50" t="s">
        <v>41</v>
      </c>
    </row>
    <row r="168" spans="1:28" x14ac:dyDescent="0.4">
      <c r="A168" s="141"/>
      <c r="B168" s="144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41"/>
      <c r="B169" s="144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1"/>
      <c r="B170" s="144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1"/>
      <c r="B171" s="144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1"/>
      <c r="B172" s="144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1"/>
      <c r="B173" s="144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1"/>
      <c r="B174" s="144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1"/>
      <c r="B175" s="144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1"/>
      <c r="B176" s="144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2"/>
      <c r="B177" s="145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14</v>
      </c>
      <c r="D178" s="112"/>
      <c r="E178" s="29"/>
      <c r="F178" s="29" t="s">
        <v>34</v>
      </c>
      <c r="G178" s="29">
        <f>COUNTIF(G153:G177,"S")</f>
        <v>14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2</v>
      </c>
      <c r="K178" s="29">
        <f t="shared" ref="K178" si="24">SUM(K153:K177)</f>
        <v>1</v>
      </c>
      <c r="L178" s="29">
        <f t="shared" ref="L178" si="25">SUM(L153:L177)</f>
        <v>0</v>
      </c>
      <c r="M178" s="29">
        <f t="shared" ref="M178" si="26">SUM(M153:M177)</f>
        <v>6</v>
      </c>
      <c r="N178" s="29">
        <f t="shared" ref="N178" si="27">SUM(N153:N177)</f>
        <v>5</v>
      </c>
      <c r="O178" s="29">
        <f t="shared" ref="O178" si="28">SUM(O153:O177)</f>
        <v>5</v>
      </c>
      <c r="P178" s="29">
        <f t="shared" ref="P178" si="29">SUM(P153:P177)</f>
        <v>9</v>
      </c>
      <c r="Q178" s="29">
        <f t="shared" ref="Q178" si="30">SUM(Q153:Q177)</f>
        <v>5</v>
      </c>
      <c r="R178" s="29">
        <f t="shared" ref="R178" si="31">SUM(R153:R177)</f>
        <v>4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37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175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3" t="s">
        <v>114</v>
      </c>
      <c r="Y182" s="139"/>
    </row>
    <row r="183" spans="1:28" ht="20.25" thickTop="1" thickBot="1" x14ac:dyDescent="0.45">
      <c r="A183" s="140">
        <v>7</v>
      </c>
      <c r="B183" s="143">
        <v>22.4</v>
      </c>
      <c r="C183" s="85" t="s">
        <v>211</v>
      </c>
      <c r="D183" s="110" t="s">
        <v>212</v>
      </c>
      <c r="E183" s="18" t="s">
        <v>37</v>
      </c>
      <c r="F183" s="16"/>
      <c r="G183" s="18" t="s">
        <v>177</v>
      </c>
      <c r="H183" s="15"/>
      <c r="I183" s="15"/>
      <c r="J183" s="18"/>
      <c r="K183" s="15"/>
      <c r="L183" s="19"/>
      <c r="M183" s="19">
        <v>1</v>
      </c>
      <c r="N183" s="19">
        <v>1</v>
      </c>
      <c r="O183" s="19"/>
      <c r="P183" s="19"/>
      <c r="Q183" s="19">
        <v>1</v>
      </c>
      <c r="R183" s="19"/>
      <c r="S183" s="15"/>
      <c r="T183" s="25">
        <v>45543</v>
      </c>
      <c r="U183" s="15" t="s">
        <v>147</v>
      </c>
      <c r="V183">
        <v>1</v>
      </c>
      <c r="X183" s="51" t="s">
        <v>106</v>
      </c>
      <c r="Y183" s="52">
        <f>COUNTIF(U183:U207,"K")</f>
        <v>9</v>
      </c>
      <c r="AA183" s="59" t="s">
        <v>120</v>
      </c>
      <c r="AB183" s="60" t="s">
        <v>121</v>
      </c>
    </row>
    <row r="184" spans="1:28" x14ac:dyDescent="0.4">
      <c r="A184" s="141"/>
      <c r="B184" s="144"/>
      <c r="C184" s="85" t="s">
        <v>213</v>
      </c>
      <c r="D184" s="106" t="s">
        <v>212</v>
      </c>
      <c r="E184" s="15" t="s">
        <v>75</v>
      </c>
      <c r="F184" s="16"/>
      <c r="G184" s="18" t="s">
        <v>177</v>
      </c>
      <c r="H184" s="15" t="s">
        <v>147</v>
      </c>
      <c r="I184" s="15"/>
      <c r="J184" s="18"/>
      <c r="K184" s="15"/>
      <c r="L184" s="19"/>
      <c r="M184" s="19"/>
      <c r="N184" s="19"/>
      <c r="O184" s="19"/>
      <c r="P184" s="19"/>
      <c r="Q184" s="19"/>
      <c r="R184" s="19"/>
      <c r="S184" s="15"/>
      <c r="T184" s="25">
        <v>45543</v>
      </c>
      <c r="U184" s="15" t="s">
        <v>147</v>
      </c>
      <c r="V184">
        <v>2</v>
      </c>
      <c r="X184" s="51" t="s">
        <v>107</v>
      </c>
      <c r="Y184" s="52">
        <f>COUNTIF(U183:U207,"R")</f>
        <v>4</v>
      </c>
      <c r="AA184" s="47" t="s">
        <v>81</v>
      </c>
      <c r="AB184" s="48" t="s">
        <v>60</v>
      </c>
    </row>
    <row r="185" spans="1:28" ht="19.5" thickBot="1" x14ac:dyDescent="0.45">
      <c r="A185" s="141"/>
      <c r="B185" s="144"/>
      <c r="C185" s="85" t="s">
        <v>214</v>
      </c>
      <c r="D185" s="106" t="s">
        <v>215</v>
      </c>
      <c r="E185" s="15" t="s">
        <v>38</v>
      </c>
      <c r="F185" s="16"/>
      <c r="G185" s="18" t="s">
        <v>177</v>
      </c>
      <c r="H185" s="15"/>
      <c r="I185" s="15"/>
      <c r="J185" s="15">
        <v>1</v>
      </c>
      <c r="K185" s="15">
        <v>1</v>
      </c>
      <c r="L185" s="17"/>
      <c r="M185" s="17"/>
      <c r="N185" s="17"/>
      <c r="O185" s="17"/>
      <c r="P185" s="17"/>
      <c r="Q185" s="17"/>
      <c r="R185" s="17"/>
      <c r="S185" s="15"/>
      <c r="T185" s="25">
        <v>45563</v>
      </c>
      <c r="U185" s="15" t="s">
        <v>142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41"/>
      <c r="B186" s="144"/>
      <c r="C186" s="85" t="s">
        <v>216</v>
      </c>
      <c r="D186" s="106" t="s">
        <v>215</v>
      </c>
      <c r="E186" s="13" t="s">
        <v>38</v>
      </c>
      <c r="F186" s="16"/>
      <c r="G186" s="18" t="s">
        <v>177</v>
      </c>
      <c r="H186" s="15"/>
      <c r="I186" s="15"/>
      <c r="J186" s="15"/>
      <c r="K186" s="15">
        <v>1</v>
      </c>
      <c r="L186" s="17"/>
      <c r="M186" s="17"/>
      <c r="N186" s="17"/>
      <c r="O186" s="17"/>
      <c r="P186" s="17"/>
      <c r="Q186" s="17"/>
      <c r="R186" s="17"/>
      <c r="S186" s="15"/>
      <c r="T186" s="25">
        <v>45563</v>
      </c>
      <c r="U186" s="2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1"/>
      <c r="B187" s="144"/>
      <c r="C187" s="85" t="s">
        <v>217</v>
      </c>
      <c r="D187" s="106" t="s">
        <v>197</v>
      </c>
      <c r="E187" s="13" t="s">
        <v>39</v>
      </c>
      <c r="F187" s="16"/>
      <c r="G187" s="18" t="s">
        <v>177</v>
      </c>
      <c r="H187" s="15"/>
      <c r="I187" s="15"/>
      <c r="J187" s="15">
        <v>1</v>
      </c>
      <c r="K187" s="15">
        <v>1</v>
      </c>
      <c r="L187" s="17"/>
      <c r="M187" s="17"/>
      <c r="N187" s="17"/>
      <c r="O187" s="17"/>
      <c r="P187" s="17"/>
      <c r="Q187" s="17"/>
      <c r="R187" s="17"/>
      <c r="S187" s="15"/>
      <c r="T187" s="25">
        <v>45543</v>
      </c>
      <c r="U187" s="2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1"/>
      <c r="B188" s="144"/>
      <c r="C188" s="85" t="s">
        <v>218</v>
      </c>
      <c r="D188" s="106" t="s">
        <v>197</v>
      </c>
      <c r="E188" s="13" t="s">
        <v>39</v>
      </c>
      <c r="F188" s="16"/>
      <c r="G188" s="18" t="s">
        <v>177</v>
      </c>
      <c r="H188" s="13"/>
      <c r="I188" s="15"/>
      <c r="J188" s="15">
        <v>1</v>
      </c>
      <c r="K188" s="15">
        <v>1</v>
      </c>
      <c r="L188" s="17"/>
      <c r="M188" s="17"/>
      <c r="N188" s="17"/>
      <c r="O188" s="17"/>
      <c r="P188" s="17"/>
      <c r="Q188" s="17"/>
      <c r="R188" s="17"/>
      <c r="S188" s="15"/>
      <c r="T188" s="25">
        <v>45543</v>
      </c>
      <c r="U188" s="2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41"/>
      <c r="B189" s="144"/>
      <c r="C189" s="85" t="s">
        <v>219</v>
      </c>
      <c r="D189" s="106" t="s">
        <v>195</v>
      </c>
      <c r="E189" s="13" t="s">
        <v>37</v>
      </c>
      <c r="F189" s="16"/>
      <c r="G189" s="18" t="s">
        <v>177</v>
      </c>
      <c r="H189" s="15"/>
      <c r="I189" s="15"/>
      <c r="J189" s="15"/>
      <c r="K189" s="15"/>
      <c r="L189" s="17"/>
      <c r="M189" s="17">
        <v>1</v>
      </c>
      <c r="N189" s="17">
        <v>1</v>
      </c>
      <c r="O189" s="17"/>
      <c r="P189" s="17"/>
      <c r="Q189" s="17"/>
      <c r="R189" s="17"/>
      <c r="S189" s="15"/>
      <c r="T189" s="25">
        <v>45553</v>
      </c>
      <c r="U189" s="2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41"/>
      <c r="B190" s="144"/>
      <c r="C190" s="85" t="s">
        <v>220</v>
      </c>
      <c r="D190" s="106" t="s">
        <v>195</v>
      </c>
      <c r="E190" s="13" t="s">
        <v>37</v>
      </c>
      <c r="F190" s="16"/>
      <c r="G190" s="18" t="s">
        <v>177</v>
      </c>
      <c r="H190" s="15"/>
      <c r="I190" s="15"/>
      <c r="J190" s="15"/>
      <c r="K190" s="15"/>
      <c r="L190" s="17"/>
      <c r="M190" s="17">
        <v>1</v>
      </c>
      <c r="N190" s="17">
        <v>1</v>
      </c>
      <c r="O190" s="17"/>
      <c r="P190" s="17"/>
      <c r="Q190" s="17">
        <v>1</v>
      </c>
      <c r="R190" s="17"/>
      <c r="S190" s="15"/>
      <c r="T190" s="25">
        <v>45553</v>
      </c>
      <c r="U190" s="2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41"/>
      <c r="B191" s="144"/>
      <c r="C191" s="85" t="s">
        <v>221</v>
      </c>
      <c r="D191" s="106" t="s">
        <v>215</v>
      </c>
      <c r="E191" s="13" t="s">
        <v>38</v>
      </c>
      <c r="F191" s="16"/>
      <c r="G191" s="18" t="s">
        <v>177</v>
      </c>
      <c r="H191" s="15"/>
      <c r="I191" s="15"/>
      <c r="J191" s="15"/>
      <c r="K191" s="15"/>
      <c r="L191" s="17"/>
      <c r="M191" s="17"/>
      <c r="N191" s="17"/>
      <c r="O191" s="17"/>
      <c r="P191" s="17"/>
      <c r="Q191" s="17"/>
      <c r="R191" s="17"/>
      <c r="S191" s="15"/>
      <c r="T191" s="25">
        <v>45563</v>
      </c>
      <c r="U191" s="2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41"/>
      <c r="B192" s="144"/>
      <c r="C192" s="85" t="s">
        <v>222</v>
      </c>
      <c r="D192" s="106" t="s">
        <v>215</v>
      </c>
      <c r="E192" s="13" t="s">
        <v>38</v>
      </c>
      <c r="F192" s="16"/>
      <c r="G192" s="18" t="s">
        <v>177</v>
      </c>
      <c r="H192" s="15"/>
      <c r="I192" s="15"/>
      <c r="J192" s="15">
        <v>1</v>
      </c>
      <c r="K192" s="15">
        <v>1</v>
      </c>
      <c r="L192" s="17"/>
      <c r="M192" s="17"/>
      <c r="N192" s="17"/>
      <c r="O192" s="17"/>
      <c r="P192" s="17"/>
      <c r="Q192" s="17"/>
      <c r="R192" s="17"/>
      <c r="S192" s="15"/>
      <c r="T192" s="25">
        <v>45563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41"/>
      <c r="B193" s="144"/>
      <c r="C193" s="85" t="s">
        <v>223</v>
      </c>
      <c r="D193" s="106" t="s">
        <v>197</v>
      </c>
      <c r="E193" s="13" t="s">
        <v>39</v>
      </c>
      <c r="F193" s="16"/>
      <c r="G193" s="18" t="s">
        <v>177</v>
      </c>
      <c r="H193" s="15"/>
      <c r="I193" s="15"/>
      <c r="J193" s="15">
        <v>1</v>
      </c>
      <c r="K193" s="15">
        <v>1</v>
      </c>
      <c r="L193" s="17"/>
      <c r="M193" s="17"/>
      <c r="N193" s="17"/>
      <c r="O193" s="17"/>
      <c r="P193" s="17"/>
      <c r="Q193" s="17"/>
      <c r="R193" s="17"/>
      <c r="S193" s="15"/>
      <c r="T193" s="25">
        <v>45543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41"/>
      <c r="B194" s="144"/>
      <c r="C194" s="85" t="s">
        <v>224</v>
      </c>
      <c r="D194" s="106" t="s">
        <v>197</v>
      </c>
      <c r="E194" s="13" t="s">
        <v>39</v>
      </c>
      <c r="F194" s="16"/>
      <c r="G194" s="18" t="s">
        <v>177</v>
      </c>
      <c r="H194" s="15"/>
      <c r="I194" s="15"/>
      <c r="J194" s="15">
        <v>1</v>
      </c>
      <c r="K194" s="15">
        <v>1</v>
      </c>
      <c r="L194" s="17"/>
      <c r="M194" s="17"/>
      <c r="N194" s="17"/>
      <c r="O194" s="17"/>
      <c r="P194" s="17"/>
      <c r="Q194" s="17"/>
      <c r="R194" s="17"/>
      <c r="S194" s="15"/>
      <c r="T194" s="25">
        <v>45543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41"/>
      <c r="B195" s="144"/>
      <c r="C195" s="85" t="s">
        <v>225</v>
      </c>
      <c r="D195" s="106" t="s">
        <v>197</v>
      </c>
      <c r="E195" s="15" t="s">
        <v>39</v>
      </c>
      <c r="F195" s="16"/>
      <c r="G195" s="18" t="s">
        <v>177</v>
      </c>
      <c r="H195" s="15"/>
      <c r="I195" s="15"/>
      <c r="J195" s="15">
        <v>1</v>
      </c>
      <c r="K195" s="15">
        <v>1</v>
      </c>
      <c r="L195" s="17"/>
      <c r="M195" s="17"/>
      <c r="N195" s="17"/>
      <c r="O195" s="17"/>
      <c r="P195" s="17"/>
      <c r="Q195" s="17"/>
      <c r="R195" s="17"/>
      <c r="S195" s="15"/>
      <c r="T195" s="25">
        <v>45543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41"/>
      <c r="B196" s="144"/>
      <c r="C196" s="85"/>
      <c r="D196" s="106"/>
      <c r="E196" s="15"/>
      <c r="F196" s="16"/>
      <c r="G196" s="18"/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41"/>
      <c r="B197" s="144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41"/>
      <c r="B198" s="144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1"/>
      <c r="B199" s="144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1"/>
      <c r="B200" s="144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1"/>
      <c r="B201" s="144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1"/>
      <c r="B202" s="144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1"/>
      <c r="B203" s="144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1"/>
      <c r="B204" s="144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1"/>
      <c r="B205" s="144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1"/>
      <c r="B206" s="144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2"/>
      <c r="B207" s="145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13</v>
      </c>
      <c r="D208" s="112"/>
      <c r="E208" s="29"/>
      <c r="F208" s="29" t="s">
        <v>34</v>
      </c>
      <c r="G208" s="29">
        <f>COUNTIF(G183:G207,"S")</f>
        <v>13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7</v>
      </c>
      <c r="K208" s="29">
        <f t="shared" ref="K208" si="34">SUM(K183:K207)</f>
        <v>8</v>
      </c>
      <c r="L208" s="29">
        <f t="shared" ref="L208" si="35">SUM(L183:L207)</f>
        <v>0</v>
      </c>
      <c r="M208" s="29">
        <f t="shared" ref="M208" si="36">SUM(M183:M207)</f>
        <v>3</v>
      </c>
      <c r="N208" s="29">
        <f t="shared" ref="N208" si="37">SUM(N183:N207)</f>
        <v>3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2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1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23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AYG085</v>
      </c>
      <c r="B211" s="24">
        <f>B1</f>
        <v>45510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3" t="s">
        <v>113</v>
      </c>
      <c r="Y212" s="139"/>
    </row>
    <row r="213" spans="1:28" ht="20.25" thickTop="1" thickBot="1" x14ac:dyDescent="0.45">
      <c r="A213" s="140">
        <v>8</v>
      </c>
      <c r="B213" s="143">
        <v>18.600000000000001</v>
      </c>
      <c r="C213" s="85" t="s">
        <v>226</v>
      </c>
      <c r="D213" s="106" t="s">
        <v>176</v>
      </c>
      <c r="E213" s="15" t="s">
        <v>37</v>
      </c>
      <c r="F213" s="16"/>
      <c r="G213" s="15" t="s">
        <v>177</v>
      </c>
      <c r="H213" s="15"/>
      <c r="I213" s="15"/>
      <c r="J213" s="15"/>
      <c r="K213" s="15"/>
      <c r="L213" s="17"/>
      <c r="M213" s="17">
        <v>1</v>
      </c>
      <c r="N213" s="17">
        <v>1</v>
      </c>
      <c r="O213" s="17"/>
      <c r="P213" s="17"/>
      <c r="Q213" s="17"/>
      <c r="R213" s="17"/>
      <c r="S213" s="15"/>
      <c r="T213" s="25">
        <v>45545</v>
      </c>
      <c r="U213" s="15" t="s">
        <v>147</v>
      </c>
      <c r="V213">
        <v>1</v>
      </c>
      <c r="X213" s="51" t="s">
        <v>106</v>
      </c>
      <c r="Y213" s="52">
        <f>COUNTIF(U213:U237,"K")</f>
        <v>2</v>
      </c>
      <c r="AA213" s="59" t="s">
        <v>120</v>
      </c>
      <c r="AB213" s="60" t="s">
        <v>121</v>
      </c>
    </row>
    <row r="214" spans="1:28" x14ac:dyDescent="0.4">
      <c r="A214" s="141"/>
      <c r="B214" s="144"/>
      <c r="C214" s="85" t="s">
        <v>227</v>
      </c>
      <c r="D214" s="106" t="s">
        <v>176</v>
      </c>
      <c r="E214" s="15" t="s">
        <v>37</v>
      </c>
      <c r="F214" s="16"/>
      <c r="G214" s="15" t="s">
        <v>177</v>
      </c>
      <c r="H214" s="15"/>
      <c r="I214" s="15"/>
      <c r="J214" s="15"/>
      <c r="K214" s="15"/>
      <c r="L214" s="17"/>
      <c r="M214" s="17">
        <v>1</v>
      </c>
      <c r="N214" s="17">
        <v>1</v>
      </c>
      <c r="O214" s="17"/>
      <c r="P214" s="17"/>
      <c r="Q214" s="17">
        <v>1</v>
      </c>
      <c r="R214" s="17"/>
      <c r="S214" s="15"/>
      <c r="T214" s="25">
        <v>45543</v>
      </c>
      <c r="U214" s="15" t="s">
        <v>147</v>
      </c>
      <c r="V214">
        <v>2</v>
      </c>
      <c r="X214" s="51" t="s">
        <v>107</v>
      </c>
      <c r="Y214" s="52">
        <f>COUNTIF(U213:U237,"R")</f>
        <v>8</v>
      </c>
      <c r="AA214" s="47" t="s">
        <v>81</v>
      </c>
      <c r="AB214" s="48" t="s">
        <v>60</v>
      </c>
    </row>
    <row r="215" spans="1:28" ht="19.5" thickBot="1" x14ac:dyDescent="0.45">
      <c r="A215" s="141"/>
      <c r="B215" s="144"/>
      <c r="C215" s="85" t="s">
        <v>228</v>
      </c>
      <c r="D215" s="106" t="s">
        <v>176</v>
      </c>
      <c r="E215" s="15" t="s">
        <v>40</v>
      </c>
      <c r="F215" s="16"/>
      <c r="G215" s="15" t="s">
        <v>177</v>
      </c>
      <c r="H215" s="15"/>
      <c r="I215" s="15"/>
      <c r="J215" s="15"/>
      <c r="K215" s="15"/>
      <c r="L215" s="17"/>
      <c r="M215" s="17"/>
      <c r="N215" s="17"/>
      <c r="O215" s="17">
        <v>1</v>
      </c>
      <c r="P215" s="17">
        <v>1</v>
      </c>
      <c r="Q215" s="17">
        <v>1</v>
      </c>
      <c r="R215" s="17">
        <v>1</v>
      </c>
      <c r="S215" s="15"/>
      <c r="T215" s="25">
        <v>45543</v>
      </c>
      <c r="U215" s="15" t="s">
        <v>148</v>
      </c>
      <c r="V215">
        <v>3</v>
      </c>
      <c r="X215" s="53" t="s">
        <v>108</v>
      </c>
      <c r="Y215" s="54">
        <f>COUNTIF(U213:U237,"J")</f>
        <v>2</v>
      </c>
      <c r="AA215" s="49" t="s">
        <v>82</v>
      </c>
      <c r="AB215" s="50" t="s">
        <v>39</v>
      </c>
    </row>
    <row r="216" spans="1:28" x14ac:dyDescent="0.4">
      <c r="A216" s="141"/>
      <c r="B216" s="144"/>
      <c r="C216" s="85" t="s">
        <v>229</v>
      </c>
      <c r="D216" s="106" t="s">
        <v>176</v>
      </c>
      <c r="E216" s="15" t="s">
        <v>38</v>
      </c>
      <c r="F216" s="16"/>
      <c r="G216" s="15" t="s">
        <v>177</v>
      </c>
      <c r="H216" s="15"/>
      <c r="I216" s="15"/>
      <c r="J216" s="15">
        <v>1</v>
      </c>
      <c r="K216" s="15"/>
      <c r="L216" s="19"/>
      <c r="M216" s="19"/>
      <c r="N216" s="19"/>
      <c r="O216" s="19"/>
      <c r="P216" s="19"/>
      <c r="Q216" s="19"/>
      <c r="R216" s="19"/>
      <c r="S216" s="15"/>
      <c r="T216" s="25">
        <v>45546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1"/>
      <c r="B217" s="144"/>
      <c r="C217" s="85" t="s">
        <v>230</v>
      </c>
      <c r="D217" s="106" t="s">
        <v>186</v>
      </c>
      <c r="E217" s="15" t="s">
        <v>57</v>
      </c>
      <c r="F217" s="16"/>
      <c r="G217" s="15" t="s">
        <v>231</v>
      </c>
      <c r="H217" s="15"/>
      <c r="I217" s="15"/>
      <c r="J217" s="18"/>
      <c r="K217" s="15"/>
      <c r="L217" s="19"/>
      <c r="M217" s="19"/>
      <c r="N217" s="19"/>
      <c r="O217" s="19"/>
      <c r="P217" s="19"/>
      <c r="Q217" s="19"/>
      <c r="R217" s="19"/>
      <c r="S217" s="15"/>
      <c r="T217" s="25">
        <v>45532</v>
      </c>
      <c r="U217" s="15" t="s">
        <v>147</v>
      </c>
      <c r="V217">
        <v>5</v>
      </c>
      <c r="AA217" s="49" t="s">
        <v>84</v>
      </c>
      <c r="AB217" s="50" t="s">
        <v>44</v>
      </c>
    </row>
    <row r="218" spans="1:28" x14ac:dyDescent="0.4">
      <c r="A218" s="141"/>
      <c r="B218" s="144"/>
      <c r="C218" s="85" t="s">
        <v>232</v>
      </c>
      <c r="D218" s="106" t="s">
        <v>186</v>
      </c>
      <c r="E218" s="15" t="s">
        <v>57</v>
      </c>
      <c r="F218" s="16"/>
      <c r="G218" s="15" t="s">
        <v>231</v>
      </c>
      <c r="H218" s="15" t="s">
        <v>147</v>
      </c>
      <c r="I218" s="15"/>
      <c r="J218" s="18"/>
      <c r="K218" s="15"/>
      <c r="L218" s="19"/>
      <c r="M218" s="19"/>
      <c r="N218" s="19"/>
      <c r="O218" s="19"/>
      <c r="P218" s="19"/>
      <c r="Q218" s="19"/>
      <c r="R218" s="19"/>
      <c r="S218" s="15"/>
      <c r="T218" s="25">
        <v>45532</v>
      </c>
      <c r="U218" s="15" t="s">
        <v>147</v>
      </c>
      <c r="V218">
        <v>6</v>
      </c>
      <c r="AA218" s="49" t="s">
        <v>85</v>
      </c>
      <c r="AB218" s="50" t="s">
        <v>43</v>
      </c>
    </row>
    <row r="219" spans="1:28" x14ac:dyDescent="0.4">
      <c r="A219" s="141"/>
      <c r="B219" s="144"/>
      <c r="C219" s="85" t="s">
        <v>233</v>
      </c>
      <c r="D219" s="106" t="s">
        <v>186</v>
      </c>
      <c r="E219" s="15" t="s">
        <v>37</v>
      </c>
      <c r="F219" s="16"/>
      <c r="G219" s="15" t="s">
        <v>177</v>
      </c>
      <c r="H219" s="15"/>
      <c r="I219" s="15"/>
      <c r="J219" s="18"/>
      <c r="K219" s="15"/>
      <c r="L219" s="19"/>
      <c r="M219" s="19">
        <v>1</v>
      </c>
      <c r="N219" s="19">
        <v>1</v>
      </c>
      <c r="O219" s="19"/>
      <c r="P219" s="19"/>
      <c r="Q219" s="19"/>
      <c r="R219" s="19"/>
      <c r="S219" s="15"/>
      <c r="T219" s="25">
        <v>45561</v>
      </c>
      <c r="U219" s="15" t="s">
        <v>147</v>
      </c>
      <c r="V219">
        <v>7</v>
      </c>
      <c r="AA219" s="49" t="s">
        <v>86</v>
      </c>
      <c r="AB219" s="50" t="s">
        <v>45</v>
      </c>
    </row>
    <row r="220" spans="1:28" x14ac:dyDescent="0.4">
      <c r="A220" s="141"/>
      <c r="B220" s="144"/>
      <c r="C220" s="85" t="s">
        <v>234</v>
      </c>
      <c r="D220" s="106" t="s">
        <v>186</v>
      </c>
      <c r="E220" s="15" t="s">
        <v>40</v>
      </c>
      <c r="F220" s="16"/>
      <c r="G220" s="15" t="s">
        <v>177</v>
      </c>
      <c r="H220" s="15"/>
      <c r="I220" s="15"/>
      <c r="J220" s="18"/>
      <c r="K220" s="15"/>
      <c r="L220" s="19"/>
      <c r="M220" s="19"/>
      <c r="N220" s="19"/>
      <c r="O220" s="19">
        <v>1</v>
      </c>
      <c r="P220" s="19">
        <v>1</v>
      </c>
      <c r="Q220" s="19"/>
      <c r="R220" s="19"/>
      <c r="S220" s="15"/>
      <c r="T220" s="25">
        <v>45530</v>
      </c>
      <c r="U220" s="15" t="s">
        <v>148</v>
      </c>
      <c r="V220">
        <v>8</v>
      </c>
      <c r="AA220" s="49" t="s">
        <v>87</v>
      </c>
      <c r="AB220" s="50" t="s">
        <v>37</v>
      </c>
    </row>
    <row r="221" spans="1:28" x14ac:dyDescent="0.4">
      <c r="A221" s="141"/>
      <c r="B221" s="144"/>
      <c r="C221" s="85" t="s">
        <v>235</v>
      </c>
      <c r="D221" s="106" t="s">
        <v>186</v>
      </c>
      <c r="E221" s="15" t="s">
        <v>37</v>
      </c>
      <c r="F221" s="16"/>
      <c r="G221" s="15" t="s">
        <v>177</v>
      </c>
      <c r="H221" s="15"/>
      <c r="I221" s="15"/>
      <c r="J221" s="18"/>
      <c r="K221" s="15"/>
      <c r="L221" s="19"/>
      <c r="M221" s="19">
        <v>1</v>
      </c>
      <c r="N221" s="19">
        <v>1</v>
      </c>
      <c r="O221" s="19"/>
      <c r="P221" s="19"/>
      <c r="Q221" s="19">
        <v>1</v>
      </c>
      <c r="R221" s="19"/>
      <c r="S221" s="15"/>
      <c r="T221" s="25">
        <v>45551</v>
      </c>
      <c r="U221" s="15" t="s">
        <v>147</v>
      </c>
      <c r="V221">
        <v>9</v>
      </c>
      <c r="AA221" s="49" t="s">
        <v>88</v>
      </c>
      <c r="AB221" s="50" t="s">
        <v>74</v>
      </c>
    </row>
    <row r="222" spans="1:28" x14ac:dyDescent="0.4">
      <c r="A222" s="141"/>
      <c r="B222" s="144"/>
      <c r="C222" s="85" t="s">
        <v>236</v>
      </c>
      <c r="D222" s="106" t="s">
        <v>215</v>
      </c>
      <c r="E222" s="15" t="s">
        <v>38</v>
      </c>
      <c r="F222" s="16"/>
      <c r="G222" s="15" t="s">
        <v>177</v>
      </c>
      <c r="H222" s="15"/>
      <c r="I222" s="15"/>
      <c r="J222" s="15"/>
      <c r="K222" s="15">
        <v>1</v>
      </c>
      <c r="L222" s="17"/>
      <c r="M222" s="17"/>
      <c r="N222" s="17"/>
      <c r="O222" s="17"/>
      <c r="P222" s="17"/>
      <c r="Q222" s="17"/>
      <c r="R222" s="17"/>
      <c r="S222" s="15"/>
      <c r="T222" s="25">
        <v>45543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41"/>
      <c r="B223" s="144"/>
      <c r="C223" s="85" t="s">
        <v>237</v>
      </c>
      <c r="D223" s="106" t="s">
        <v>176</v>
      </c>
      <c r="E223" s="15" t="s">
        <v>37</v>
      </c>
      <c r="F223" s="16"/>
      <c r="G223" s="15" t="s">
        <v>177</v>
      </c>
      <c r="H223" s="15"/>
      <c r="I223" s="15"/>
      <c r="J223" s="15"/>
      <c r="K223" s="15"/>
      <c r="L223" s="17"/>
      <c r="M223" s="17">
        <v>1</v>
      </c>
      <c r="N223" s="17">
        <v>1</v>
      </c>
      <c r="O223" s="17"/>
      <c r="P223" s="17"/>
      <c r="Q223" s="17">
        <v>1</v>
      </c>
      <c r="R223" s="17"/>
      <c r="S223" s="15"/>
      <c r="T223" s="25">
        <v>45546</v>
      </c>
      <c r="U223" s="15" t="s">
        <v>147</v>
      </c>
      <c r="V223">
        <v>11</v>
      </c>
      <c r="AA223" s="49" t="s">
        <v>90</v>
      </c>
      <c r="AB223" s="50" t="s">
        <v>58</v>
      </c>
    </row>
    <row r="224" spans="1:28" x14ac:dyDescent="0.4">
      <c r="A224" s="141"/>
      <c r="B224" s="144"/>
      <c r="C224" s="85" t="s">
        <v>238</v>
      </c>
      <c r="D224" s="106" t="s">
        <v>196</v>
      </c>
      <c r="E224" s="15" t="s">
        <v>75</v>
      </c>
      <c r="F224" s="16"/>
      <c r="G224" s="15" t="s">
        <v>177</v>
      </c>
      <c r="H224" s="15" t="s">
        <v>147</v>
      </c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>
        <v>45546</v>
      </c>
      <c r="U224" s="15" t="s">
        <v>147</v>
      </c>
      <c r="V224">
        <v>12</v>
      </c>
      <c r="AA224" s="49" t="s">
        <v>91</v>
      </c>
      <c r="AB224" s="50" t="s">
        <v>75</v>
      </c>
    </row>
    <row r="225" spans="1:28" x14ac:dyDescent="0.4">
      <c r="A225" s="141"/>
      <c r="B225" s="144"/>
      <c r="C225" s="85"/>
      <c r="D225" s="106"/>
      <c r="E225" s="13"/>
      <c r="F225" s="16"/>
      <c r="G225" s="15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5"/>
      <c r="V225">
        <v>13</v>
      </c>
      <c r="AA225" s="49" t="s">
        <v>92</v>
      </c>
      <c r="AB225" s="50" t="s">
        <v>40</v>
      </c>
    </row>
    <row r="226" spans="1:28" x14ac:dyDescent="0.4">
      <c r="A226" s="141"/>
      <c r="B226" s="144"/>
      <c r="C226" s="85"/>
      <c r="D226" s="106"/>
      <c r="E226" s="13"/>
      <c r="F226" s="16"/>
      <c r="G226" s="15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5"/>
      <c r="V226">
        <v>14</v>
      </c>
      <c r="AA226" s="49" t="s">
        <v>93</v>
      </c>
      <c r="AB226" s="50" t="s">
        <v>57</v>
      </c>
    </row>
    <row r="227" spans="1:28" x14ac:dyDescent="0.4">
      <c r="A227" s="141"/>
      <c r="B227" s="144"/>
      <c r="C227" s="85"/>
      <c r="D227" s="109"/>
      <c r="E227" s="15"/>
      <c r="F227" s="16"/>
      <c r="G227" s="15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6"/>
      <c r="U227" s="15"/>
      <c r="V227">
        <v>15</v>
      </c>
      <c r="AA227" s="49" t="s">
        <v>94</v>
      </c>
      <c r="AB227" s="50" t="s">
        <v>41</v>
      </c>
    </row>
    <row r="228" spans="1:28" x14ac:dyDescent="0.4">
      <c r="A228" s="141"/>
      <c r="B228" s="144"/>
      <c r="C228" s="85"/>
      <c r="D228" s="109"/>
      <c r="E228" s="15"/>
      <c r="F228" s="16"/>
      <c r="G228" s="15"/>
      <c r="H228" s="15"/>
      <c r="I228" s="15"/>
      <c r="J228" s="15"/>
      <c r="K228" s="15"/>
      <c r="L228" s="19"/>
      <c r="M228" s="19"/>
      <c r="N228" s="19"/>
      <c r="O228" s="19"/>
      <c r="P228" s="19"/>
      <c r="Q228" s="19"/>
      <c r="R228" s="19"/>
      <c r="S228" s="15"/>
      <c r="T228" s="26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41"/>
      <c r="B229" s="144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41"/>
      <c r="B230" s="144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1"/>
      <c r="B231" s="144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1"/>
      <c r="B232" s="144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19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1"/>
      <c r="B233" s="144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19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1"/>
      <c r="B234" s="144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1"/>
      <c r="B235" s="144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1"/>
      <c r="B236" s="144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2"/>
      <c r="B237" s="145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12</v>
      </c>
      <c r="D238" s="112"/>
      <c r="E238" s="29"/>
      <c r="F238" s="29" t="s">
        <v>34</v>
      </c>
      <c r="G238" s="29">
        <f>COUNTIF(G213:G237,"S")</f>
        <v>10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1</v>
      </c>
      <c r="K238" s="29">
        <f t="shared" ref="K238" si="44">SUM(K213:K237)</f>
        <v>1</v>
      </c>
      <c r="L238" s="29">
        <f t="shared" ref="L238" si="45">SUM(L213:L237)</f>
        <v>0</v>
      </c>
      <c r="M238" s="29">
        <f t="shared" ref="M238" si="46">SUM(M213:M237)</f>
        <v>5</v>
      </c>
      <c r="N238" s="29">
        <f t="shared" ref="N238" si="47">SUM(N213:N237)</f>
        <v>5</v>
      </c>
      <c r="O238" s="29">
        <f t="shared" ref="O238" si="48">SUM(O213:O237)</f>
        <v>2</v>
      </c>
      <c r="P238" s="29">
        <f t="shared" ref="P238" si="49">SUM(P213:P237)</f>
        <v>2</v>
      </c>
      <c r="Q238" s="29">
        <f t="shared" ref="Q238" si="50">SUM(Q213:Q237)</f>
        <v>4</v>
      </c>
      <c r="R238" s="29">
        <f t="shared" ref="R238" si="51">SUM(R213:R237)</f>
        <v>1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2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21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AYG085</v>
      </c>
      <c r="B241" s="24">
        <f>B1</f>
        <v>45510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0" t="s">
        <v>112</v>
      </c>
      <c r="Y242" s="150"/>
    </row>
    <row r="243" spans="1:28" ht="20.25" thickTop="1" thickBot="1" x14ac:dyDescent="0.45">
      <c r="A243" s="140">
        <v>9</v>
      </c>
      <c r="B243" s="143">
        <v>21</v>
      </c>
      <c r="C243" s="85" t="s">
        <v>373</v>
      </c>
      <c r="D243" s="109" t="s">
        <v>200</v>
      </c>
      <c r="E243" s="13" t="s">
        <v>43</v>
      </c>
      <c r="F243" s="14"/>
      <c r="G243" s="12" t="s">
        <v>177</v>
      </c>
      <c r="H243" s="13"/>
      <c r="I243" s="13"/>
      <c r="J243" s="13">
        <v>1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26">
        <v>45532</v>
      </c>
      <c r="U243" s="13" t="s">
        <v>146</v>
      </c>
      <c r="V243">
        <v>1</v>
      </c>
      <c r="X243" t="s">
        <v>106</v>
      </c>
      <c r="Y243">
        <f>COUNTIF(U243:U267,"K")</f>
        <v>7</v>
      </c>
      <c r="AA243" s="59" t="s">
        <v>120</v>
      </c>
      <c r="AB243" s="60" t="s">
        <v>121</v>
      </c>
    </row>
    <row r="244" spans="1:28" x14ac:dyDescent="0.4">
      <c r="A244" s="141"/>
      <c r="B244" s="144"/>
      <c r="C244" s="85" t="s">
        <v>374</v>
      </c>
      <c r="D244" s="109" t="s">
        <v>176</v>
      </c>
      <c r="E244" s="13" t="s">
        <v>37</v>
      </c>
      <c r="F244" s="16"/>
      <c r="G244" s="12" t="s">
        <v>177</v>
      </c>
      <c r="H244" s="15"/>
      <c r="I244" s="15"/>
      <c r="J244" s="15"/>
      <c r="K244" s="15"/>
      <c r="L244" s="17"/>
      <c r="M244" s="17">
        <v>1</v>
      </c>
      <c r="N244" s="17">
        <v>1</v>
      </c>
      <c r="O244" s="17"/>
      <c r="P244" s="17"/>
      <c r="Q244" s="17">
        <v>1</v>
      </c>
      <c r="R244" s="17"/>
      <c r="S244" s="15"/>
      <c r="T244" s="26">
        <v>45543</v>
      </c>
      <c r="U244" s="13" t="s">
        <v>146</v>
      </c>
      <c r="V244">
        <v>2</v>
      </c>
      <c r="X244" t="s">
        <v>107</v>
      </c>
      <c r="Y244">
        <f>COUNTIF(U243:U267,"R")</f>
        <v>5</v>
      </c>
      <c r="AA244" s="47" t="s">
        <v>81</v>
      </c>
      <c r="AB244" s="48" t="s">
        <v>60</v>
      </c>
    </row>
    <row r="245" spans="1:28" x14ac:dyDescent="0.4">
      <c r="A245" s="141"/>
      <c r="B245" s="144"/>
      <c r="C245" s="85" t="s">
        <v>375</v>
      </c>
      <c r="D245" s="109" t="s">
        <v>201</v>
      </c>
      <c r="E245" s="13" t="s">
        <v>43</v>
      </c>
      <c r="F245" s="16"/>
      <c r="G245" s="12" t="s">
        <v>177</v>
      </c>
      <c r="H245" s="15"/>
      <c r="I245" s="15"/>
      <c r="J245" s="15">
        <v>1</v>
      </c>
      <c r="K245" s="15"/>
      <c r="L245" s="17"/>
      <c r="M245" s="17"/>
      <c r="N245" s="17"/>
      <c r="O245" s="17"/>
      <c r="P245" s="17"/>
      <c r="Q245" s="17"/>
      <c r="R245" s="17"/>
      <c r="S245" s="15"/>
      <c r="T245" s="26">
        <v>45539</v>
      </c>
      <c r="U245" s="13" t="s">
        <v>146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41"/>
      <c r="B246" s="144"/>
      <c r="C246" s="85" t="s">
        <v>376</v>
      </c>
      <c r="D246" s="109" t="s">
        <v>201</v>
      </c>
      <c r="E246" s="13" t="s">
        <v>40</v>
      </c>
      <c r="F246" s="16"/>
      <c r="G246" s="12" t="s">
        <v>177</v>
      </c>
      <c r="H246" s="15"/>
      <c r="I246" s="15"/>
      <c r="J246" s="15"/>
      <c r="K246" s="15"/>
      <c r="L246" s="17"/>
      <c r="M246" s="17"/>
      <c r="N246" s="17"/>
      <c r="O246" s="17">
        <v>1</v>
      </c>
      <c r="P246" s="17">
        <v>1</v>
      </c>
      <c r="Q246" s="17"/>
      <c r="R246" s="17"/>
      <c r="S246" s="15"/>
      <c r="T246" s="26">
        <v>45539</v>
      </c>
      <c r="U246" s="13" t="s">
        <v>148</v>
      </c>
      <c r="V246">
        <v>4</v>
      </c>
      <c r="AA246" s="49" t="s">
        <v>83</v>
      </c>
      <c r="AB246" s="50" t="s">
        <v>38</v>
      </c>
    </row>
    <row r="247" spans="1:28" x14ac:dyDescent="0.4">
      <c r="A247" s="141"/>
      <c r="B247" s="144"/>
      <c r="C247" s="85" t="s">
        <v>377</v>
      </c>
      <c r="D247" s="109" t="s">
        <v>179</v>
      </c>
      <c r="E247" s="13" t="s">
        <v>60</v>
      </c>
      <c r="F247" s="16"/>
      <c r="G247" s="12" t="s">
        <v>177</v>
      </c>
      <c r="H247" s="15"/>
      <c r="I247" s="15"/>
      <c r="J247" s="15">
        <v>1</v>
      </c>
      <c r="K247" s="15"/>
      <c r="L247" s="17">
        <v>1</v>
      </c>
      <c r="M247" s="17"/>
      <c r="N247" s="17"/>
      <c r="O247" s="17"/>
      <c r="P247" s="17"/>
      <c r="Q247" s="17"/>
      <c r="R247" s="17"/>
      <c r="S247" s="15"/>
      <c r="T247" s="26">
        <v>45543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41"/>
      <c r="B248" s="144"/>
      <c r="C248" s="85" t="s">
        <v>378</v>
      </c>
      <c r="D248" s="109" t="s">
        <v>179</v>
      </c>
      <c r="E248" s="13" t="s">
        <v>60</v>
      </c>
      <c r="F248" s="16"/>
      <c r="G248" s="12" t="s">
        <v>177</v>
      </c>
      <c r="H248" s="13"/>
      <c r="I248" s="15"/>
      <c r="J248" s="15">
        <v>1</v>
      </c>
      <c r="K248" s="15"/>
      <c r="L248" s="17">
        <v>1</v>
      </c>
      <c r="M248" s="17"/>
      <c r="N248" s="17"/>
      <c r="O248" s="17"/>
      <c r="P248" s="17"/>
      <c r="Q248" s="17"/>
      <c r="R248" s="17"/>
      <c r="S248" s="15"/>
      <c r="T248" s="26">
        <v>45543</v>
      </c>
      <c r="U248" s="1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41"/>
      <c r="B249" s="144"/>
      <c r="C249" s="85" t="s">
        <v>379</v>
      </c>
      <c r="D249" s="109" t="s">
        <v>183</v>
      </c>
      <c r="E249" s="13" t="s">
        <v>36</v>
      </c>
      <c r="F249" s="16"/>
      <c r="G249" s="12" t="s">
        <v>177</v>
      </c>
      <c r="H249" s="15"/>
      <c r="I249" s="15"/>
      <c r="J249" s="15"/>
      <c r="K249" s="15"/>
      <c r="L249" s="17"/>
      <c r="M249" s="17">
        <v>1</v>
      </c>
      <c r="N249" s="17">
        <v>1</v>
      </c>
      <c r="O249" s="17"/>
      <c r="P249" s="17"/>
      <c r="Q249" s="17">
        <v>1</v>
      </c>
      <c r="R249" s="17"/>
      <c r="S249" s="15"/>
      <c r="T249" s="26">
        <v>45538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41"/>
      <c r="B250" s="144"/>
      <c r="C250" s="85" t="s">
        <v>380</v>
      </c>
      <c r="D250" s="109" t="s">
        <v>186</v>
      </c>
      <c r="E250" s="13" t="s">
        <v>58</v>
      </c>
      <c r="F250" s="16"/>
      <c r="G250" s="12" t="s">
        <v>177</v>
      </c>
      <c r="H250" s="15" t="s">
        <v>147</v>
      </c>
      <c r="I250" s="15"/>
      <c r="J250" s="15"/>
      <c r="K250" s="15"/>
      <c r="L250" s="17"/>
      <c r="M250" s="17"/>
      <c r="N250" s="17"/>
      <c r="O250" s="17"/>
      <c r="P250" s="17"/>
      <c r="Q250" s="17"/>
      <c r="R250" s="17"/>
      <c r="S250" s="15"/>
      <c r="T250" s="26">
        <v>45532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41"/>
      <c r="B251" s="144"/>
      <c r="C251" s="85" t="s">
        <v>381</v>
      </c>
      <c r="D251" s="109" t="s">
        <v>179</v>
      </c>
      <c r="E251" s="13" t="s">
        <v>38</v>
      </c>
      <c r="F251" s="16"/>
      <c r="G251" s="12" t="s">
        <v>177</v>
      </c>
      <c r="H251" s="15"/>
      <c r="I251" s="15"/>
      <c r="J251" s="15">
        <v>1</v>
      </c>
      <c r="K251" s="15"/>
      <c r="L251" s="17"/>
      <c r="M251" s="17"/>
      <c r="N251" s="17"/>
      <c r="O251" s="17"/>
      <c r="P251" s="17"/>
      <c r="Q251" s="17"/>
      <c r="R251" s="17"/>
      <c r="S251" s="15"/>
      <c r="T251" s="26">
        <v>45539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41"/>
      <c r="B252" s="144"/>
      <c r="C252" s="85" t="s">
        <v>382</v>
      </c>
      <c r="D252" s="109" t="s">
        <v>176</v>
      </c>
      <c r="E252" s="13" t="s">
        <v>36</v>
      </c>
      <c r="F252" s="16"/>
      <c r="G252" s="12" t="s">
        <v>177</v>
      </c>
      <c r="H252" s="15"/>
      <c r="I252" s="15"/>
      <c r="J252" s="15"/>
      <c r="K252" s="15"/>
      <c r="L252" s="17"/>
      <c r="M252" s="17">
        <v>1</v>
      </c>
      <c r="N252" s="17">
        <v>1</v>
      </c>
      <c r="O252" s="17"/>
      <c r="P252" s="17"/>
      <c r="Q252" s="17"/>
      <c r="R252" s="17"/>
      <c r="S252" s="15"/>
      <c r="T252" s="26">
        <v>45553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41"/>
      <c r="B253" s="144"/>
      <c r="C253" s="85" t="s">
        <v>383</v>
      </c>
      <c r="D253" s="109" t="s">
        <v>186</v>
      </c>
      <c r="E253" s="13" t="s">
        <v>57</v>
      </c>
      <c r="F253" s="16"/>
      <c r="G253" s="12" t="s">
        <v>177</v>
      </c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6">
        <v>45522</v>
      </c>
      <c r="U253" s="13" t="s">
        <v>147</v>
      </c>
      <c r="V253">
        <v>11</v>
      </c>
      <c r="AA253" s="49" t="s">
        <v>90</v>
      </c>
      <c r="AB253" s="50" t="s">
        <v>58</v>
      </c>
    </row>
    <row r="254" spans="1:28" x14ac:dyDescent="0.4">
      <c r="A254" s="141"/>
      <c r="B254" s="144"/>
      <c r="C254" s="85" t="s">
        <v>385</v>
      </c>
      <c r="D254" s="109" t="s">
        <v>384</v>
      </c>
      <c r="E254" s="13" t="s">
        <v>40</v>
      </c>
      <c r="F254" s="16"/>
      <c r="G254" s="12" t="s">
        <v>177</v>
      </c>
      <c r="H254" s="15"/>
      <c r="I254" s="15"/>
      <c r="J254" s="15"/>
      <c r="K254" s="15"/>
      <c r="L254" s="17"/>
      <c r="M254" s="17"/>
      <c r="N254" s="17"/>
      <c r="O254" s="17">
        <v>1</v>
      </c>
      <c r="P254" s="17"/>
      <c r="Q254" s="17"/>
      <c r="R254" s="17"/>
      <c r="S254" s="15"/>
      <c r="T254" s="26">
        <v>45542</v>
      </c>
      <c r="U254" s="13" t="s">
        <v>148</v>
      </c>
      <c r="V254">
        <v>12</v>
      </c>
      <c r="AA254" s="49" t="s">
        <v>91</v>
      </c>
      <c r="AB254" s="50" t="s">
        <v>75</v>
      </c>
    </row>
    <row r="255" spans="1:28" x14ac:dyDescent="0.4">
      <c r="A255" s="141"/>
      <c r="B255" s="144"/>
      <c r="C255" s="85" t="s">
        <v>386</v>
      </c>
      <c r="D255" s="109" t="s">
        <v>176</v>
      </c>
      <c r="E255" s="13" t="s">
        <v>36</v>
      </c>
      <c r="F255" s="16"/>
      <c r="G255" s="12" t="s">
        <v>177</v>
      </c>
      <c r="H255" s="15"/>
      <c r="I255" s="15"/>
      <c r="J255" s="15"/>
      <c r="K255" s="15"/>
      <c r="L255" s="17"/>
      <c r="M255" s="17">
        <v>1</v>
      </c>
      <c r="N255" s="17">
        <v>1</v>
      </c>
      <c r="O255" s="17"/>
      <c r="P255" s="17"/>
      <c r="Q255" s="17">
        <v>1</v>
      </c>
      <c r="R255" s="17"/>
      <c r="S255" s="15"/>
      <c r="T255" s="26">
        <v>45539</v>
      </c>
      <c r="U255" s="13" t="s">
        <v>147</v>
      </c>
      <c r="V255">
        <v>13</v>
      </c>
      <c r="AA255" s="49" t="s">
        <v>92</v>
      </c>
      <c r="AB255" s="50" t="s">
        <v>40</v>
      </c>
    </row>
    <row r="256" spans="1:28" x14ac:dyDescent="0.4">
      <c r="A256" s="141"/>
      <c r="B256" s="144"/>
      <c r="C256" s="85" t="s">
        <v>387</v>
      </c>
      <c r="D256" s="109" t="s">
        <v>176</v>
      </c>
      <c r="E256" s="13" t="s">
        <v>38</v>
      </c>
      <c r="F256" s="16"/>
      <c r="G256" s="15" t="s">
        <v>177</v>
      </c>
      <c r="H256" s="15"/>
      <c r="I256" s="15"/>
      <c r="J256" s="15">
        <v>1</v>
      </c>
      <c r="K256" s="15"/>
      <c r="L256" s="17"/>
      <c r="M256" s="17"/>
      <c r="N256" s="17"/>
      <c r="O256" s="17"/>
      <c r="P256" s="17"/>
      <c r="Q256" s="17"/>
      <c r="R256" s="17"/>
      <c r="S256" s="15"/>
      <c r="T256" s="26">
        <v>45543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41"/>
      <c r="B257" s="144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1"/>
      <c r="B258" s="144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1"/>
      <c r="B259" s="144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41"/>
      <c r="B260" s="144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1"/>
      <c r="B261" s="144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1"/>
      <c r="B262" s="144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1"/>
      <c r="B263" s="144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1"/>
      <c r="B264" s="144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1"/>
      <c r="B265" s="144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1"/>
      <c r="B266" s="144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2"/>
      <c r="B267" s="145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14</v>
      </c>
      <c r="D268" s="112"/>
      <c r="E268" s="29"/>
      <c r="F268" s="29" t="s">
        <v>34</v>
      </c>
      <c r="G268" s="29">
        <f>COUNTIF(G243:G267,"S")</f>
        <v>14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6</v>
      </c>
      <c r="K268" s="29">
        <f t="shared" ref="K268" si="54">SUM(K243:K267)</f>
        <v>0</v>
      </c>
      <c r="L268" s="29">
        <f t="shared" ref="L268" si="55">SUM(L243:L267)</f>
        <v>2</v>
      </c>
      <c r="M268" s="29">
        <f t="shared" ref="M268" si="56">SUM(M243:M267)</f>
        <v>4</v>
      </c>
      <c r="N268" s="29">
        <f t="shared" ref="N268" si="57">SUM(N243:N267)</f>
        <v>4</v>
      </c>
      <c r="O268" s="29">
        <f t="shared" ref="O268" si="58">SUM(O243:O267)</f>
        <v>2</v>
      </c>
      <c r="P268" s="29">
        <f t="shared" ref="P268" si="59">SUM(P243:P267)</f>
        <v>1</v>
      </c>
      <c r="Q268" s="29">
        <f t="shared" ref="Q268" si="60">SUM(Q243:Q267)</f>
        <v>3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1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22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AYG085</v>
      </c>
      <c r="B271" s="24">
        <f>B1</f>
        <v>45510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3" t="s">
        <v>111</v>
      </c>
      <c r="Y272" s="139"/>
    </row>
    <row r="273" spans="1:28" ht="20.25" thickTop="1" thickBot="1" x14ac:dyDescent="0.45">
      <c r="A273" s="140">
        <v>10</v>
      </c>
      <c r="B273" s="143">
        <v>17</v>
      </c>
      <c r="C273" s="85" t="s">
        <v>239</v>
      </c>
      <c r="D273" s="109" t="s">
        <v>240</v>
      </c>
      <c r="E273" s="13" t="s">
        <v>38</v>
      </c>
      <c r="F273" s="14"/>
      <c r="G273" s="12" t="s">
        <v>177</v>
      </c>
      <c r="H273" s="13" t="s">
        <v>181</v>
      </c>
      <c r="I273" s="13"/>
      <c r="J273" s="13"/>
      <c r="K273" s="13">
        <v>1</v>
      </c>
      <c r="L273" s="13"/>
      <c r="M273" s="13"/>
      <c r="N273" s="13"/>
      <c r="O273" s="13"/>
      <c r="P273" s="13"/>
      <c r="Q273" s="13"/>
      <c r="R273" s="13"/>
      <c r="S273" s="13"/>
      <c r="T273" s="26">
        <v>45540</v>
      </c>
      <c r="U273" s="13" t="s">
        <v>146</v>
      </c>
      <c r="V273">
        <v>1</v>
      </c>
      <c r="X273" s="51" t="s">
        <v>106</v>
      </c>
      <c r="Y273" s="52">
        <f>COUNTIF(U273:U297,"K")</f>
        <v>11</v>
      </c>
      <c r="AA273" s="59" t="s">
        <v>120</v>
      </c>
      <c r="AB273" s="60" t="s">
        <v>121</v>
      </c>
    </row>
    <row r="274" spans="1:28" x14ac:dyDescent="0.4">
      <c r="A274" s="141"/>
      <c r="B274" s="144"/>
      <c r="C274" s="85" t="s">
        <v>241</v>
      </c>
      <c r="D274" s="109" t="s">
        <v>240</v>
      </c>
      <c r="E274" s="13" t="s">
        <v>38</v>
      </c>
      <c r="F274" s="16"/>
      <c r="G274" s="12" t="s">
        <v>177</v>
      </c>
      <c r="H274" s="15" t="s">
        <v>181</v>
      </c>
      <c r="I274" s="15"/>
      <c r="J274" s="15"/>
      <c r="K274" s="15">
        <v>1</v>
      </c>
      <c r="L274" s="17"/>
      <c r="M274" s="17"/>
      <c r="N274" s="17"/>
      <c r="O274" s="17"/>
      <c r="P274" s="17"/>
      <c r="Q274" s="17"/>
      <c r="R274" s="17"/>
      <c r="S274" s="15"/>
      <c r="T274" s="26">
        <v>45540</v>
      </c>
      <c r="U274" s="13" t="s">
        <v>146</v>
      </c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1"/>
      <c r="B275" s="144"/>
      <c r="C275" s="85" t="s">
        <v>242</v>
      </c>
      <c r="D275" s="109" t="s">
        <v>240</v>
      </c>
      <c r="E275" s="13" t="s">
        <v>38</v>
      </c>
      <c r="F275" s="16"/>
      <c r="G275" s="12" t="s">
        <v>177</v>
      </c>
      <c r="H275" s="15"/>
      <c r="I275" s="15"/>
      <c r="J275" s="15"/>
      <c r="K275" s="15">
        <v>1</v>
      </c>
      <c r="L275" s="17"/>
      <c r="M275" s="17"/>
      <c r="N275" s="17"/>
      <c r="O275" s="17"/>
      <c r="P275" s="17"/>
      <c r="Q275" s="17"/>
      <c r="R275" s="17"/>
      <c r="S275" s="15"/>
      <c r="T275" s="26">
        <v>45541</v>
      </c>
      <c r="U275" s="13" t="s">
        <v>146</v>
      </c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1"/>
      <c r="B276" s="144"/>
      <c r="C276" s="85" t="s">
        <v>243</v>
      </c>
      <c r="D276" s="109" t="s">
        <v>240</v>
      </c>
      <c r="E276" s="13" t="s">
        <v>38</v>
      </c>
      <c r="F276" s="16"/>
      <c r="G276" s="12" t="s">
        <v>177</v>
      </c>
      <c r="H276" s="15"/>
      <c r="I276" s="15"/>
      <c r="J276" s="15"/>
      <c r="K276" s="15">
        <v>1</v>
      </c>
      <c r="L276" s="17"/>
      <c r="M276" s="17"/>
      <c r="N276" s="17"/>
      <c r="O276" s="17"/>
      <c r="P276" s="17"/>
      <c r="Q276" s="17"/>
      <c r="R276" s="17"/>
      <c r="S276" s="15"/>
      <c r="T276" s="26">
        <v>45540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41"/>
      <c r="B277" s="144"/>
      <c r="C277" s="85" t="s">
        <v>244</v>
      </c>
      <c r="D277" s="109" t="s">
        <v>240</v>
      </c>
      <c r="E277" s="13" t="s">
        <v>38</v>
      </c>
      <c r="F277" s="16"/>
      <c r="G277" s="12" t="s">
        <v>177</v>
      </c>
      <c r="H277" s="15"/>
      <c r="I277" s="15"/>
      <c r="J277" s="15"/>
      <c r="K277" s="15">
        <v>1</v>
      </c>
      <c r="L277" s="17"/>
      <c r="M277" s="17"/>
      <c r="N277" s="17"/>
      <c r="O277" s="17"/>
      <c r="P277" s="17"/>
      <c r="Q277" s="17"/>
      <c r="R277" s="17"/>
      <c r="S277" s="15"/>
      <c r="T277" s="26">
        <v>45541</v>
      </c>
      <c r="U277" s="13" t="s">
        <v>146</v>
      </c>
      <c r="V277">
        <v>5</v>
      </c>
      <c r="AA277" s="49" t="s">
        <v>84</v>
      </c>
      <c r="AB277" s="50" t="s">
        <v>44</v>
      </c>
    </row>
    <row r="278" spans="1:28" x14ac:dyDescent="0.4">
      <c r="A278" s="141"/>
      <c r="B278" s="144"/>
      <c r="C278" s="85" t="s">
        <v>245</v>
      </c>
      <c r="D278" s="109" t="s">
        <v>240</v>
      </c>
      <c r="E278" s="13" t="s">
        <v>38</v>
      </c>
      <c r="F278" s="16"/>
      <c r="G278" s="12" t="s">
        <v>177</v>
      </c>
      <c r="H278" s="13"/>
      <c r="I278" s="15"/>
      <c r="J278" s="15"/>
      <c r="K278" s="15">
        <v>1</v>
      </c>
      <c r="L278" s="17"/>
      <c r="M278" s="17"/>
      <c r="N278" s="17"/>
      <c r="O278" s="17"/>
      <c r="P278" s="17"/>
      <c r="Q278" s="17"/>
      <c r="R278" s="17"/>
      <c r="S278" s="15"/>
      <c r="T278" s="26">
        <v>45541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41"/>
      <c r="B279" s="144"/>
      <c r="C279" s="85" t="s">
        <v>246</v>
      </c>
      <c r="D279" s="109" t="s">
        <v>240</v>
      </c>
      <c r="E279" s="13" t="s">
        <v>38</v>
      </c>
      <c r="F279" s="16"/>
      <c r="G279" s="12" t="s">
        <v>177</v>
      </c>
      <c r="H279" s="15"/>
      <c r="I279" s="15"/>
      <c r="J279" s="15"/>
      <c r="K279" s="15">
        <v>1</v>
      </c>
      <c r="L279" s="17"/>
      <c r="M279" s="17"/>
      <c r="N279" s="17"/>
      <c r="O279" s="17"/>
      <c r="P279" s="17"/>
      <c r="Q279" s="17"/>
      <c r="R279" s="17"/>
      <c r="S279" s="15"/>
      <c r="T279" s="26">
        <v>45541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41"/>
      <c r="B280" s="144"/>
      <c r="C280" s="85" t="s">
        <v>247</v>
      </c>
      <c r="D280" s="109" t="s">
        <v>240</v>
      </c>
      <c r="E280" s="13" t="s">
        <v>38</v>
      </c>
      <c r="F280" s="16"/>
      <c r="G280" s="12" t="s">
        <v>177</v>
      </c>
      <c r="H280" s="15"/>
      <c r="I280" s="15"/>
      <c r="J280" s="15"/>
      <c r="K280" s="15">
        <v>1</v>
      </c>
      <c r="L280" s="17"/>
      <c r="M280" s="17"/>
      <c r="N280" s="17"/>
      <c r="O280" s="17"/>
      <c r="P280" s="17"/>
      <c r="Q280" s="17"/>
      <c r="R280" s="17"/>
      <c r="S280" s="15"/>
      <c r="T280" s="26">
        <v>45541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41"/>
      <c r="B281" s="144"/>
      <c r="C281" s="85" t="s">
        <v>248</v>
      </c>
      <c r="D281" s="109" t="s">
        <v>179</v>
      </c>
      <c r="E281" s="13" t="s">
        <v>39</v>
      </c>
      <c r="F281" s="16"/>
      <c r="G281" s="12" t="s">
        <v>177</v>
      </c>
      <c r="H281" s="15"/>
      <c r="I281" s="15"/>
      <c r="J281" s="15">
        <v>1</v>
      </c>
      <c r="K281" s="15"/>
      <c r="L281" s="17">
        <v>1</v>
      </c>
      <c r="M281" s="17"/>
      <c r="N281" s="17"/>
      <c r="O281" s="17"/>
      <c r="P281" s="17"/>
      <c r="Q281" s="17"/>
      <c r="R281" s="17"/>
      <c r="S281" s="15"/>
      <c r="T281" s="26">
        <v>45539</v>
      </c>
      <c r="U281" s="13" t="s">
        <v>146</v>
      </c>
      <c r="V281">
        <v>9</v>
      </c>
      <c r="AA281" s="49" t="s">
        <v>88</v>
      </c>
      <c r="AB281" s="50" t="s">
        <v>74</v>
      </c>
    </row>
    <row r="282" spans="1:28" x14ac:dyDescent="0.4">
      <c r="A282" s="141"/>
      <c r="B282" s="144"/>
      <c r="C282" s="85" t="s">
        <v>249</v>
      </c>
      <c r="D282" s="109" t="s">
        <v>179</v>
      </c>
      <c r="E282" s="13" t="s">
        <v>39</v>
      </c>
      <c r="F282" s="16"/>
      <c r="G282" s="12" t="s">
        <v>177</v>
      </c>
      <c r="H282" s="15"/>
      <c r="I282" s="15"/>
      <c r="J282" s="15">
        <v>1</v>
      </c>
      <c r="K282" s="15"/>
      <c r="L282" s="17">
        <v>1</v>
      </c>
      <c r="M282" s="17"/>
      <c r="N282" s="17"/>
      <c r="O282" s="17"/>
      <c r="P282" s="17"/>
      <c r="Q282" s="17"/>
      <c r="R282" s="17"/>
      <c r="S282" s="15"/>
      <c r="T282" s="26">
        <v>45539</v>
      </c>
      <c r="U282" s="13" t="s">
        <v>146</v>
      </c>
      <c r="V282">
        <v>10</v>
      </c>
      <c r="AA282" s="49" t="s">
        <v>89</v>
      </c>
      <c r="AB282" s="50" t="s">
        <v>36</v>
      </c>
    </row>
    <row r="283" spans="1:28" x14ac:dyDescent="0.4">
      <c r="A283" s="141"/>
      <c r="B283" s="144"/>
      <c r="C283" s="85" t="s">
        <v>250</v>
      </c>
      <c r="D283" s="109" t="s">
        <v>179</v>
      </c>
      <c r="E283" s="13" t="s">
        <v>39</v>
      </c>
      <c r="F283" s="16"/>
      <c r="G283" s="12" t="s">
        <v>177</v>
      </c>
      <c r="H283" s="15"/>
      <c r="I283" s="15"/>
      <c r="J283" s="15">
        <v>1</v>
      </c>
      <c r="K283" s="15"/>
      <c r="L283" s="17">
        <v>1</v>
      </c>
      <c r="M283" s="17"/>
      <c r="N283" s="17"/>
      <c r="O283" s="17"/>
      <c r="P283" s="17"/>
      <c r="Q283" s="17"/>
      <c r="R283" s="17"/>
      <c r="S283" s="15"/>
      <c r="T283" s="26">
        <v>45539</v>
      </c>
      <c r="U283" s="13" t="s">
        <v>146</v>
      </c>
      <c r="V283">
        <v>11</v>
      </c>
      <c r="AA283" s="49" t="s">
        <v>90</v>
      </c>
      <c r="AB283" s="50" t="s">
        <v>58</v>
      </c>
    </row>
    <row r="284" spans="1:28" x14ac:dyDescent="0.4">
      <c r="A284" s="141"/>
      <c r="B284" s="144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1"/>
      <c r="B285" s="144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1"/>
      <c r="B286" s="144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41"/>
      <c r="B287" s="144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1"/>
      <c r="B288" s="144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1"/>
      <c r="B289" s="144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1"/>
      <c r="B290" s="144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1"/>
      <c r="B291" s="144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1"/>
      <c r="B292" s="144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1"/>
      <c r="B293" s="144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1"/>
      <c r="B294" s="144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1"/>
      <c r="B295" s="144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1"/>
      <c r="B296" s="144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2"/>
      <c r="B297" s="145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11</v>
      </c>
      <c r="D298" s="112"/>
      <c r="E298" s="29"/>
      <c r="F298" s="29" t="s">
        <v>34</v>
      </c>
      <c r="G298" s="29">
        <f>COUNTIF(G273:G297,"S")</f>
        <v>11</v>
      </c>
      <c r="H298" s="29">
        <f>COUNTIF(H273:H297,"E")</f>
        <v>2</v>
      </c>
      <c r="I298" s="29">
        <f>SUM(I273:I297)</f>
        <v>0</v>
      </c>
      <c r="J298" s="29">
        <f t="shared" ref="J298" si="63">SUM(J273:J297)</f>
        <v>3</v>
      </c>
      <c r="K298" s="29">
        <f t="shared" ref="K298" si="64">SUM(K273:K297)</f>
        <v>8</v>
      </c>
      <c r="L298" s="29">
        <f t="shared" ref="L298" si="65">SUM(L273:L297)</f>
        <v>3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14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AYG085</v>
      </c>
      <c r="B301" s="24">
        <f>B1</f>
        <v>45510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3" t="s">
        <v>110</v>
      </c>
      <c r="Y302" s="139"/>
    </row>
    <row r="303" spans="1:28" ht="20.25" thickTop="1" thickBot="1" x14ac:dyDescent="0.45">
      <c r="A303" s="140">
        <v>11</v>
      </c>
      <c r="B303" s="143">
        <v>16.399999999999999</v>
      </c>
      <c r="C303" s="85" t="s">
        <v>251</v>
      </c>
      <c r="D303" s="109" t="s">
        <v>179</v>
      </c>
      <c r="E303" s="13" t="s">
        <v>39</v>
      </c>
      <c r="F303" s="14"/>
      <c r="G303" s="12" t="s">
        <v>177</v>
      </c>
      <c r="H303" s="13"/>
      <c r="I303" s="13"/>
      <c r="J303" s="13">
        <v>1</v>
      </c>
      <c r="K303" s="13"/>
      <c r="L303" s="13">
        <v>1</v>
      </c>
      <c r="M303" s="13"/>
      <c r="N303" s="13"/>
      <c r="O303" s="13"/>
      <c r="P303" s="13"/>
      <c r="Q303" s="13"/>
      <c r="R303" s="13"/>
      <c r="S303" s="13"/>
      <c r="T303" s="26">
        <v>45553</v>
      </c>
      <c r="U303" s="13" t="s">
        <v>146</v>
      </c>
      <c r="V303">
        <v>1</v>
      </c>
      <c r="X303" s="51" t="s">
        <v>106</v>
      </c>
      <c r="Y303" s="52">
        <f>COUNTIF(U303:U327,"K")</f>
        <v>8</v>
      </c>
      <c r="AA303" s="59" t="s">
        <v>120</v>
      </c>
      <c r="AB303" s="60" t="s">
        <v>121</v>
      </c>
    </row>
    <row r="304" spans="1:28" x14ac:dyDescent="0.4">
      <c r="A304" s="141"/>
      <c r="B304" s="144"/>
      <c r="C304" s="85" t="s">
        <v>252</v>
      </c>
      <c r="D304" s="109" t="s">
        <v>179</v>
      </c>
      <c r="E304" s="13" t="s">
        <v>39</v>
      </c>
      <c r="F304" s="16"/>
      <c r="G304" s="12" t="s">
        <v>177</v>
      </c>
      <c r="H304" s="15"/>
      <c r="I304" s="15"/>
      <c r="J304" s="15">
        <v>1</v>
      </c>
      <c r="K304" s="15"/>
      <c r="L304" s="17">
        <v>1</v>
      </c>
      <c r="M304" s="13"/>
      <c r="N304" s="13"/>
      <c r="O304" s="17"/>
      <c r="P304" s="17"/>
      <c r="Q304" s="17"/>
      <c r="R304" s="17"/>
      <c r="S304" s="15"/>
      <c r="T304" s="26">
        <v>45553</v>
      </c>
      <c r="U304" s="13" t="s">
        <v>146</v>
      </c>
      <c r="V304">
        <v>2</v>
      </c>
      <c r="X304" s="51" t="s">
        <v>107</v>
      </c>
      <c r="Y304" s="52">
        <f>COUNTIF(U303:U327,"R")</f>
        <v>2</v>
      </c>
      <c r="AA304" s="47" t="s">
        <v>81</v>
      </c>
      <c r="AB304" s="48" t="s">
        <v>60</v>
      </c>
    </row>
    <row r="305" spans="1:28" ht="19.5" thickBot="1" x14ac:dyDescent="0.45">
      <c r="A305" s="141"/>
      <c r="B305" s="144"/>
      <c r="C305" s="85" t="s">
        <v>253</v>
      </c>
      <c r="D305" s="109" t="s">
        <v>179</v>
      </c>
      <c r="E305" s="13" t="s">
        <v>39</v>
      </c>
      <c r="F305" s="16"/>
      <c r="G305" s="12" t="s">
        <v>177</v>
      </c>
      <c r="H305" s="15"/>
      <c r="I305" s="15"/>
      <c r="J305" s="15">
        <v>1</v>
      </c>
      <c r="K305" s="15"/>
      <c r="L305" s="17">
        <v>1</v>
      </c>
      <c r="M305" s="13"/>
      <c r="N305" s="13"/>
      <c r="O305" s="17"/>
      <c r="P305" s="17"/>
      <c r="Q305" s="17"/>
      <c r="R305" s="17"/>
      <c r="S305" s="15"/>
      <c r="T305" s="26">
        <v>45550</v>
      </c>
      <c r="U305" s="13" t="s">
        <v>146</v>
      </c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1"/>
      <c r="B306" s="144"/>
      <c r="C306" s="85" t="s">
        <v>254</v>
      </c>
      <c r="D306" s="109" t="s">
        <v>179</v>
      </c>
      <c r="E306" s="13" t="s">
        <v>39</v>
      </c>
      <c r="F306" s="16"/>
      <c r="G306" s="12" t="s">
        <v>177</v>
      </c>
      <c r="H306" s="15"/>
      <c r="I306" s="15"/>
      <c r="J306" s="15">
        <v>1</v>
      </c>
      <c r="K306" s="15"/>
      <c r="L306" s="17">
        <v>1</v>
      </c>
      <c r="M306" s="13"/>
      <c r="N306" s="13"/>
      <c r="O306" s="17"/>
      <c r="P306" s="17"/>
      <c r="Q306" s="17"/>
      <c r="R306" s="17"/>
      <c r="S306" s="15"/>
      <c r="T306" s="26">
        <v>45553</v>
      </c>
      <c r="U306" s="13" t="s">
        <v>146</v>
      </c>
      <c r="V306">
        <v>4</v>
      </c>
      <c r="AA306" s="49" t="s">
        <v>83</v>
      </c>
      <c r="AB306" s="50" t="s">
        <v>38</v>
      </c>
    </row>
    <row r="307" spans="1:28" x14ac:dyDescent="0.4">
      <c r="A307" s="141"/>
      <c r="B307" s="144"/>
      <c r="C307" s="85" t="s">
        <v>255</v>
      </c>
      <c r="D307" s="109" t="s">
        <v>179</v>
      </c>
      <c r="E307" s="13" t="s">
        <v>39</v>
      </c>
      <c r="F307" s="16"/>
      <c r="G307" s="12" t="s">
        <v>177</v>
      </c>
      <c r="H307" s="15"/>
      <c r="I307" s="15"/>
      <c r="J307" s="15">
        <v>1</v>
      </c>
      <c r="K307" s="15"/>
      <c r="L307" s="17">
        <v>1</v>
      </c>
      <c r="M307" s="13"/>
      <c r="N307" s="13"/>
      <c r="O307" s="17"/>
      <c r="P307" s="17"/>
      <c r="Q307" s="17"/>
      <c r="R307" s="17"/>
      <c r="S307" s="15"/>
      <c r="T307" s="26">
        <v>45553</v>
      </c>
      <c r="U307" s="13" t="s">
        <v>146</v>
      </c>
      <c r="V307">
        <v>5</v>
      </c>
      <c r="AA307" s="49" t="s">
        <v>84</v>
      </c>
      <c r="AB307" s="50" t="s">
        <v>44</v>
      </c>
    </row>
    <row r="308" spans="1:28" x14ac:dyDescent="0.4">
      <c r="A308" s="141"/>
      <c r="B308" s="144"/>
      <c r="C308" s="85" t="s">
        <v>256</v>
      </c>
      <c r="D308" s="109" t="s">
        <v>179</v>
      </c>
      <c r="E308" s="13" t="s">
        <v>39</v>
      </c>
      <c r="F308" s="16"/>
      <c r="G308" s="12" t="s">
        <v>177</v>
      </c>
      <c r="H308" s="13"/>
      <c r="I308" s="15"/>
      <c r="J308" s="15">
        <v>1</v>
      </c>
      <c r="K308" s="15"/>
      <c r="L308" s="17">
        <v>1</v>
      </c>
      <c r="M308" s="13"/>
      <c r="N308" s="13"/>
      <c r="O308" s="17"/>
      <c r="P308" s="17"/>
      <c r="Q308" s="17"/>
      <c r="R308" s="17"/>
      <c r="S308" s="15"/>
      <c r="T308" s="26">
        <v>45553</v>
      </c>
      <c r="U308" s="13" t="s">
        <v>146</v>
      </c>
      <c r="V308">
        <v>6</v>
      </c>
      <c r="AA308" s="49" t="s">
        <v>85</v>
      </c>
      <c r="AB308" s="50" t="s">
        <v>43</v>
      </c>
    </row>
    <row r="309" spans="1:28" x14ac:dyDescent="0.4">
      <c r="A309" s="141"/>
      <c r="B309" s="144"/>
      <c r="C309" s="85" t="s">
        <v>257</v>
      </c>
      <c r="D309" s="109" t="s">
        <v>258</v>
      </c>
      <c r="E309" s="13" t="s">
        <v>75</v>
      </c>
      <c r="F309" s="16"/>
      <c r="G309" s="12" t="s">
        <v>177</v>
      </c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>
        <v>45545</v>
      </c>
      <c r="U309" s="13" t="s">
        <v>147</v>
      </c>
      <c r="V309">
        <v>7</v>
      </c>
      <c r="AA309" s="49" t="s">
        <v>86</v>
      </c>
      <c r="AB309" s="50" t="s">
        <v>45</v>
      </c>
    </row>
    <row r="310" spans="1:28" x14ac:dyDescent="0.4">
      <c r="A310" s="141"/>
      <c r="B310" s="144"/>
      <c r="C310" s="85" t="s">
        <v>259</v>
      </c>
      <c r="D310" s="109" t="s">
        <v>258</v>
      </c>
      <c r="E310" s="13" t="s">
        <v>75</v>
      </c>
      <c r="F310" s="16"/>
      <c r="G310" s="12" t="s">
        <v>177</v>
      </c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>
        <v>45545</v>
      </c>
      <c r="U310" s="13" t="s">
        <v>147</v>
      </c>
      <c r="V310">
        <v>8</v>
      </c>
      <c r="AA310" s="49" t="s">
        <v>87</v>
      </c>
      <c r="AB310" s="50" t="s">
        <v>37</v>
      </c>
    </row>
    <row r="311" spans="1:28" x14ac:dyDescent="0.4">
      <c r="A311" s="141"/>
      <c r="B311" s="144"/>
      <c r="C311" s="85" t="s">
        <v>260</v>
      </c>
      <c r="D311" s="109" t="s">
        <v>189</v>
      </c>
      <c r="E311" s="13" t="s">
        <v>36</v>
      </c>
      <c r="F311" s="16"/>
      <c r="G311" s="12" t="s">
        <v>177</v>
      </c>
      <c r="H311" s="15"/>
      <c r="I311" s="15"/>
      <c r="J311" s="15">
        <v>1</v>
      </c>
      <c r="K311" s="15">
        <v>1</v>
      </c>
      <c r="L311" s="17"/>
      <c r="M311" s="13"/>
      <c r="N311" s="13"/>
      <c r="O311" s="17"/>
      <c r="P311" s="17"/>
      <c r="Q311" s="17"/>
      <c r="R311" s="17"/>
      <c r="S311" s="15"/>
      <c r="T311" s="26">
        <v>45550</v>
      </c>
      <c r="U311" s="13" t="s">
        <v>146</v>
      </c>
      <c r="V311">
        <v>9</v>
      </c>
      <c r="AA311" s="49" t="s">
        <v>88</v>
      </c>
      <c r="AB311" s="50" t="s">
        <v>74</v>
      </c>
    </row>
    <row r="312" spans="1:28" x14ac:dyDescent="0.4">
      <c r="A312" s="141"/>
      <c r="B312" s="144"/>
      <c r="C312" s="85" t="s">
        <v>262</v>
      </c>
      <c r="D312" s="109" t="s">
        <v>261</v>
      </c>
      <c r="E312" s="13" t="s">
        <v>41</v>
      </c>
      <c r="F312" s="16"/>
      <c r="G312" s="12" t="s">
        <v>177</v>
      </c>
      <c r="H312" s="15"/>
      <c r="I312" s="15"/>
      <c r="J312" s="15">
        <v>1</v>
      </c>
      <c r="K312" s="15"/>
      <c r="L312" s="17"/>
      <c r="M312" s="13"/>
      <c r="N312" s="13"/>
      <c r="O312" s="17"/>
      <c r="P312" s="17"/>
      <c r="Q312" s="17"/>
      <c r="R312" s="17"/>
      <c r="S312" s="15"/>
      <c r="T312" s="26">
        <v>45545</v>
      </c>
      <c r="U312" s="13" t="s">
        <v>146</v>
      </c>
      <c r="V312">
        <v>10</v>
      </c>
      <c r="AA312" s="49" t="s">
        <v>89</v>
      </c>
      <c r="AB312" s="50" t="s">
        <v>36</v>
      </c>
    </row>
    <row r="313" spans="1:28" x14ac:dyDescent="0.4">
      <c r="A313" s="141"/>
      <c r="B313" s="144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1"/>
      <c r="B314" s="144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1"/>
      <c r="B315" s="144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1"/>
      <c r="B316" s="144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1"/>
      <c r="B317" s="144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1"/>
      <c r="B318" s="144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1"/>
      <c r="B319" s="144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1"/>
      <c r="B320" s="144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1"/>
      <c r="B321" s="144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1"/>
      <c r="B322" s="144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1"/>
      <c r="B323" s="144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1"/>
      <c r="B324" s="144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1"/>
      <c r="B325" s="144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1"/>
      <c r="B326" s="144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2"/>
      <c r="B327" s="145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10</v>
      </c>
      <c r="D328" s="112"/>
      <c r="E328" s="29"/>
      <c r="F328" s="29" t="s">
        <v>34</v>
      </c>
      <c r="G328" s="29">
        <f>COUNTIF(G303:G327,"S")</f>
        <v>10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8</v>
      </c>
      <c r="K328" s="29">
        <f t="shared" ref="K328" si="74">SUM(K303:K327)</f>
        <v>1</v>
      </c>
      <c r="L328" s="29">
        <f t="shared" ref="L328" si="75">SUM(L303:L327)</f>
        <v>6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15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AYG085</v>
      </c>
      <c r="B331" s="24">
        <f>B151</f>
        <v>45510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3" t="s">
        <v>109</v>
      </c>
      <c r="Y332" s="139"/>
    </row>
    <row r="333" spans="1:28" ht="20.25" thickTop="1" thickBot="1" x14ac:dyDescent="0.45">
      <c r="A333" s="140">
        <v>12</v>
      </c>
      <c r="B333" s="143">
        <v>21</v>
      </c>
      <c r="C333" s="86" t="s">
        <v>310</v>
      </c>
      <c r="D333" s="109" t="s">
        <v>240</v>
      </c>
      <c r="E333" s="13" t="s">
        <v>44</v>
      </c>
      <c r="F333" s="14"/>
      <c r="G333" s="12" t="s">
        <v>177</v>
      </c>
      <c r="H333" s="13"/>
      <c r="I333" s="13"/>
      <c r="J333" s="13"/>
      <c r="K333" s="13">
        <v>1</v>
      </c>
      <c r="L333" s="13"/>
      <c r="M333" s="13"/>
      <c r="N333" s="13"/>
      <c r="O333" s="13"/>
      <c r="P333" s="13"/>
      <c r="Q333" s="13"/>
      <c r="R333" s="13"/>
      <c r="S333" s="13"/>
      <c r="T333" s="26">
        <v>45540</v>
      </c>
      <c r="U333" s="13" t="s">
        <v>146</v>
      </c>
      <c r="V333">
        <v>1</v>
      </c>
      <c r="X333" s="51" t="s">
        <v>106</v>
      </c>
      <c r="Y333" s="52">
        <f>COUNTIF(U333:U356,"K")</f>
        <v>7</v>
      </c>
      <c r="AA333" s="59" t="s">
        <v>120</v>
      </c>
      <c r="AB333" s="60" t="s">
        <v>121</v>
      </c>
    </row>
    <row r="334" spans="1:28" x14ac:dyDescent="0.4">
      <c r="A334" s="141"/>
      <c r="B334" s="144"/>
      <c r="C334" s="86" t="s">
        <v>312</v>
      </c>
      <c r="D334" s="109" t="s">
        <v>311</v>
      </c>
      <c r="E334" s="15" t="s">
        <v>39</v>
      </c>
      <c r="F334" s="16"/>
      <c r="G334" s="15" t="s">
        <v>177</v>
      </c>
      <c r="H334" s="15"/>
      <c r="I334" s="15"/>
      <c r="J334" s="15">
        <v>1</v>
      </c>
      <c r="K334" s="15">
        <v>1</v>
      </c>
      <c r="L334" s="17"/>
      <c r="M334" s="17"/>
      <c r="N334" s="17"/>
      <c r="O334" s="17"/>
      <c r="P334" s="17"/>
      <c r="Q334" s="17"/>
      <c r="R334" s="17"/>
      <c r="S334" s="15"/>
      <c r="T334" s="26">
        <v>45560</v>
      </c>
      <c r="U334" s="13" t="s">
        <v>146</v>
      </c>
      <c r="V334">
        <v>2</v>
      </c>
      <c r="X334" s="51" t="s">
        <v>107</v>
      </c>
      <c r="Y334" s="52">
        <f>COUNTIF(U333:U356,"R")</f>
        <v>7</v>
      </c>
      <c r="AA334" s="47" t="s">
        <v>81</v>
      </c>
      <c r="AB334" s="48" t="s">
        <v>60</v>
      </c>
    </row>
    <row r="335" spans="1:28" ht="19.5" thickBot="1" x14ac:dyDescent="0.45">
      <c r="A335" s="141"/>
      <c r="B335" s="144"/>
      <c r="C335" s="86" t="s">
        <v>313</v>
      </c>
      <c r="D335" s="109" t="s">
        <v>314</v>
      </c>
      <c r="E335" s="15" t="s">
        <v>44</v>
      </c>
      <c r="F335" s="16"/>
      <c r="G335" s="15" t="s">
        <v>177</v>
      </c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>
        <v>45560</v>
      </c>
      <c r="U335" s="13" t="s">
        <v>146</v>
      </c>
      <c r="V335">
        <v>3</v>
      </c>
      <c r="X335" s="53" t="s">
        <v>108</v>
      </c>
      <c r="Y335" s="54">
        <f>COUNTIF(U333:U356,"J")</f>
        <v>1</v>
      </c>
      <c r="AA335" s="49" t="s">
        <v>82</v>
      </c>
      <c r="AB335" s="50" t="s">
        <v>39</v>
      </c>
    </row>
    <row r="336" spans="1:28" x14ac:dyDescent="0.4">
      <c r="A336" s="141"/>
      <c r="B336" s="144"/>
      <c r="C336" s="86" t="s">
        <v>315</v>
      </c>
      <c r="D336" s="109" t="s">
        <v>311</v>
      </c>
      <c r="E336" s="15" t="s">
        <v>38</v>
      </c>
      <c r="F336" s="16"/>
      <c r="G336" s="15" t="s">
        <v>177</v>
      </c>
      <c r="H336" s="15"/>
      <c r="I336" s="15"/>
      <c r="J336" s="15"/>
      <c r="K336" s="15">
        <v>1</v>
      </c>
      <c r="L336" s="17"/>
      <c r="M336" s="17"/>
      <c r="N336" s="17"/>
      <c r="O336" s="17"/>
      <c r="P336" s="17"/>
      <c r="Q336" s="17"/>
      <c r="R336" s="17"/>
      <c r="S336" s="15"/>
      <c r="T336" s="26">
        <v>45560</v>
      </c>
      <c r="U336" s="13" t="s">
        <v>146</v>
      </c>
      <c r="V336">
        <v>4</v>
      </c>
      <c r="AA336" s="49" t="s">
        <v>83</v>
      </c>
      <c r="AB336" s="50" t="s">
        <v>38</v>
      </c>
    </row>
    <row r="337" spans="1:28" x14ac:dyDescent="0.4">
      <c r="A337" s="141"/>
      <c r="B337" s="144"/>
      <c r="C337" s="86" t="s">
        <v>316</v>
      </c>
      <c r="D337" s="109" t="s">
        <v>176</v>
      </c>
      <c r="E337" s="15" t="s">
        <v>36</v>
      </c>
      <c r="F337" s="16"/>
      <c r="G337" s="15" t="s">
        <v>177</v>
      </c>
      <c r="H337" s="15"/>
      <c r="I337" s="15"/>
      <c r="J337" s="15"/>
      <c r="K337" s="15"/>
      <c r="L337" s="17"/>
      <c r="M337" s="17">
        <v>1</v>
      </c>
      <c r="N337" s="17">
        <v>1</v>
      </c>
      <c r="O337" s="17"/>
      <c r="P337" s="17"/>
      <c r="Q337" s="17">
        <v>1</v>
      </c>
      <c r="R337" s="17"/>
      <c r="S337" s="15"/>
      <c r="T337" s="26">
        <v>45542</v>
      </c>
      <c r="U337" s="13" t="s">
        <v>147</v>
      </c>
      <c r="V337">
        <v>5</v>
      </c>
      <c r="AA337" s="49" t="s">
        <v>84</v>
      </c>
      <c r="AB337" s="50" t="s">
        <v>44</v>
      </c>
    </row>
    <row r="338" spans="1:28" x14ac:dyDescent="0.4">
      <c r="A338" s="141"/>
      <c r="B338" s="144"/>
      <c r="C338" s="86" t="s">
        <v>317</v>
      </c>
      <c r="D338" s="109" t="s">
        <v>198</v>
      </c>
      <c r="E338" s="15" t="s">
        <v>75</v>
      </c>
      <c r="F338" s="16"/>
      <c r="G338" s="15" t="s">
        <v>177</v>
      </c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>
        <v>45533</v>
      </c>
      <c r="U338" s="13" t="s">
        <v>147</v>
      </c>
      <c r="V338">
        <v>6</v>
      </c>
      <c r="AA338" s="49" t="s">
        <v>85</v>
      </c>
      <c r="AB338" s="50" t="s">
        <v>43</v>
      </c>
    </row>
    <row r="339" spans="1:28" x14ac:dyDescent="0.4">
      <c r="A339" s="141"/>
      <c r="B339" s="144"/>
      <c r="C339" s="86" t="s">
        <v>318</v>
      </c>
      <c r="D339" s="109" t="s">
        <v>180</v>
      </c>
      <c r="E339" s="15" t="s">
        <v>36</v>
      </c>
      <c r="F339" s="16"/>
      <c r="G339" s="15" t="s">
        <v>177</v>
      </c>
      <c r="H339" s="15"/>
      <c r="I339" s="15"/>
      <c r="J339" s="15"/>
      <c r="K339" s="15"/>
      <c r="L339" s="17"/>
      <c r="M339" s="17">
        <v>1</v>
      </c>
      <c r="N339" s="17">
        <v>1</v>
      </c>
      <c r="O339" s="17"/>
      <c r="P339" s="17"/>
      <c r="Q339" s="17"/>
      <c r="R339" s="17"/>
      <c r="S339" s="15"/>
      <c r="T339" s="26">
        <v>45551</v>
      </c>
      <c r="U339" s="13" t="s">
        <v>147</v>
      </c>
      <c r="V339">
        <v>7</v>
      </c>
      <c r="AA339" s="49" t="s">
        <v>86</v>
      </c>
      <c r="AB339" s="50" t="s">
        <v>45</v>
      </c>
    </row>
    <row r="340" spans="1:28" x14ac:dyDescent="0.4">
      <c r="A340" s="141"/>
      <c r="B340" s="144"/>
      <c r="C340" s="86" t="s">
        <v>319</v>
      </c>
      <c r="D340" s="109" t="s">
        <v>187</v>
      </c>
      <c r="E340" s="15" t="s">
        <v>44</v>
      </c>
      <c r="F340" s="16"/>
      <c r="G340" s="15" t="s">
        <v>177</v>
      </c>
      <c r="H340" s="15"/>
      <c r="I340" s="15"/>
      <c r="J340" s="15">
        <v>1</v>
      </c>
      <c r="K340" s="15">
        <v>1</v>
      </c>
      <c r="L340" s="17"/>
      <c r="M340" s="17"/>
      <c r="N340" s="17"/>
      <c r="O340" s="17"/>
      <c r="P340" s="17"/>
      <c r="Q340" s="17"/>
      <c r="R340" s="17"/>
      <c r="S340" s="15"/>
      <c r="T340" s="26">
        <v>45553</v>
      </c>
      <c r="U340" s="13" t="s">
        <v>146</v>
      </c>
      <c r="V340">
        <v>8</v>
      </c>
      <c r="AA340" s="49" t="s">
        <v>87</v>
      </c>
      <c r="AB340" s="50" t="s">
        <v>37</v>
      </c>
    </row>
    <row r="341" spans="1:28" x14ac:dyDescent="0.4">
      <c r="A341" s="141"/>
      <c r="B341" s="144"/>
      <c r="C341" s="86" t="s">
        <v>320</v>
      </c>
      <c r="D341" s="109" t="s">
        <v>187</v>
      </c>
      <c r="E341" s="15" t="s">
        <v>37</v>
      </c>
      <c r="F341" s="16"/>
      <c r="G341" s="15" t="s">
        <v>177</v>
      </c>
      <c r="H341" s="15"/>
      <c r="I341" s="15"/>
      <c r="J341" s="15"/>
      <c r="K341" s="15"/>
      <c r="L341" s="17"/>
      <c r="M341" s="17">
        <v>1</v>
      </c>
      <c r="N341" s="17"/>
      <c r="O341" s="17"/>
      <c r="P341" s="17"/>
      <c r="Q341" s="17"/>
      <c r="R341" s="17"/>
      <c r="S341" s="15"/>
      <c r="T341" s="26">
        <v>45547</v>
      </c>
      <c r="U341" s="13" t="s">
        <v>147</v>
      </c>
      <c r="V341">
        <v>9</v>
      </c>
      <c r="AA341" s="49" t="s">
        <v>88</v>
      </c>
      <c r="AB341" s="50" t="s">
        <v>74</v>
      </c>
    </row>
    <row r="342" spans="1:28" x14ac:dyDescent="0.4">
      <c r="A342" s="141"/>
      <c r="B342" s="144"/>
      <c r="C342" s="86" t="s">
        <v>321</v>
      </c>
      <c r="D342" s="109" t="s">
        <v>187</v>
      </c>
      <c r="E342" s="15" t="s">
        <v>37</v>
      </c>
      <c r="F342" s="16"/>
      <c r="G342" s="15" t="s">
        <v>177</v>
      </c>
      <c r="H342" s="15"/>
      <c r="I342" s="15"/>
      <c r="J342" s="15"/>
      <c r="K342" s="15"/>
      <c r="L342" s="17"/>
      <c r="M342" s="17">
        <v>1</v>
      </c>
      <c r="N342" s="17">
        <v>1</v>
      </c>
      <c r="O342" s="17"/>
      <c r="P342" s="17"/>
      <c r="Q342" s="17">
        <v>1</v>
      </c>
      <c r="R342" s="17"/>
      <c r="S342" s="15"/>
      <c r="T342" s="26">
        <v>45554</v>
      </c>
      <c r="U342" s="13" t="s">
        <v>147</v>
      </c>
      <c r="V342">
        <v>10</v>
      </c>
      <c r="AA342" s="49" t="s">
        <v>89</v>
      </c>
      <c r="AB342" s="50" t="s">
        <v>36</v>
      </c>
    </row>
    <row r="343" spans="1:28" x14ac:dyDescent="0.4">
      <c r="A343" s="141"/>
      <c r="B343" s="144"/>
      <c r="C343" s="86" t="s">
        <v>322</v>
      </c>
      <c r="D343" s="109" t="s">
        <v>323</v>
      </c>
      <c r="E343" s="15" t="s">
        <v>37</v>
      </c>
      <c r="F343" s="16"/>
      <c r="G343" s="15" t="s">
        <v>272</v>
      </c>
      <c r="H343" s="15"/>
      <c r="I343" s="15"/>
      <c r="J343" s="15"/>
      <c r="K343" s="15"/>
      <c r="L343" s="17"/>
      <c r="M343" s="17">
        <v>1</v>
      </c>
      <c r="N343" s="17">
        <v>1</v>
      </c>
      <c r="O343" s="17"/>
      <c r="P343" s="17"/>
      <c r="Q343" s="17">
        <v>1</v>
      </c>
      <c r="R343" s="17"/>
      <c r="S343" s="15"/>
      <c r="T343" s="26">
        <v>45544</v>
      </c>
      <c r="U343" s="15" t="s">
        <v>147</v>
      </c>
      <c r="V343">
        <v>11</v>
      </c>
      <c r="AA343" s="49" t="s">
        <v>90</v>
      </c>
      <c r="AB343" s="50" t="s">
        <v>58</v>
      </c>
    </row>
    <row r="344" spans="1:28" x14ac:dyDescent="0.4">
      <c r="A344" s="141"/>
      <c r="B344" s="144"/>
      <c r="C344" s="86" t="s">
        <v>324</v>
      </c>
      <c r="D344" s="109" t="s">
        <v>323</v>
      </c>
      <c r="E344" s="15" t="s">
        <v>37</v>
      </c>
      <c r="F344" s="16"/>
      <c r="G344" s="15" t="s">
        <v>272</v>
      </c>
      <c r="H344" s="15"/>
      <c r="I344" s="15"/>
      <c r="J344" s="15"/>
      <c r="K344" s="15"/>
      <c r="L344" s="17"/>
      <c r="M344" s="17">
        <v>1</v>
      </c>
      <c r="N344" s="17">
        <v>1</v>
      </c>
      <c r="O344" s="17"/>
      <c r="P344" s="17"/>
      <c r="Q344" s="17">
        <v>1</v>
      </c>
      <c r="R344" s="17"/>
      <c r="S344" s="15"/>
      <c r="T344" s="26">
        <v>45544</v>
      </c>
      <c r="U344" s="15" t="s">
        <v>147</v>
      </c>
      <c r="V344">
        <v>12</v>
      </c>
      <c r="AA344" s="49" t="s">
        <v>91</v>
      </c>
      <c r="AB344" s="50" t="s">
        <v>75</v>
      </c>
    </row>
    <row r="345" spans="1:28" x14ac:dyDescent="0.4">
      <c r="A345" s="141"/>
      <c r="B345" s="144"/>
      <c r="C345" s="86" t="s">
        <v>325</v>
      </c>
      <c r="D345" s="109" t="s">
        <v>289</v>
      </c>
      <c r="E345" s="15" t="s">
        <v>78</v>
      </c>
      <c r="F345" s="16"/>
      <c r="G345" s="15" t="s">
        <v>177</v>
      </c>
      <c r="H345" s="15"/>
      <c r="I345" s="15"/>
      <c r="J345" s="15">
        <v>2</v>
      </c>
      <c r="K345" s="15">
        <v>1</v>
      </c>
      <c r="L345" s="17"/>
      <c r="M345" s="17"/>
      <c r="N345" s="17"/>
      <c r="O345" s="17"/>
      <c r="P345" s="17"/>
      <c r="Q345" s="17"/>
      <c r="R345" s="17"/>
      <c r="S345" s="15"/>
      <c r="T345" s="26">
        <v>45553</v>
      </c>
      <c r="U345" s="15" t="s">
        <v>146</v>
      </c>
      <c r="V345">
        <v>13</v>
      </c>
      <c r="AA345" s="49" t="s">
        <v>92</v>
      </c>
      <c r="AB345" s="50" t="s">
        <v>40</v>
      </c>
    </row>
    <row r="346" spans="1:28" x14ac:dyDescent="0.4">
      <c r="A346" s="141"/>
      <c r="B346" s="144"/>
      <c r="C346" s="86" t="s">
        <v>326</v>
      </c>
      <c r="D346" s="109" t="s">
        <v>176</v>
      </c>
      <c r="E346" s="15" t="s">
        <v>40</v>
      </c>
      <c r="F346" s="16"/>
      <c r="G346" s="15" t="s">
        <v>177</v>
      </c>
      <c r="H346" s="15"/>
      <c r="I346" s="15"/>
      <c r="J346" s="15"/>
      <c r="K346" s="15"/>
      <c r="L346" s="17"/>
      <c r="M346" s="17"/>
      <c r="N346" s="17"/>
      <c r="O346" s="17">
        <v>1</v>
      </c>
      <c r="P346" s="17">
        <v>1</v>
      </c>
      <c r="Q346" s="17">
        <v>1</v>
      </c>
      <c r="R346" s="17">
        <v>1</v>
      </c>
      <c r="S346" s="15"/>
      <c r="T346" s="26">
        <v>45553</v>
      </c>
      <c r="U346" s="15" t="s">
        <v>148</v>
      </c>
      <c r="V346">
        <v>14</v>
      </c>
      <c r="AA346" s="49" t="s">
        <v>93</v>
      </c>
      <c r="AB346" s="50" t="s">
        <v>57</v>
      </c>
    </row>
    <row r="347" spans="1:28" x14ac:dyDescent="0.4">
      <c r="A347" s="141"/>
      <c r="B347" s="144"/>
      <c r="C347" s="86" t="s">
        <v>327</v>
      </c>
      <c r="D347" s="109" t="s">
        <v>185</v>
      </c>
      <c r="E347" s="15" t="s">
        <v>74</v>
      </c>
      <c r="F347" s="16"/>
      <c r="G347" s="15" t="s">
        <v>177</v>
      </c>
      <c r="H347" s="15"/>
      <c r="I347" s="15"/>
      <c r="J347" s="15">
        <v>1</v>
      </c>
      <c r="K347" s="15">
        <v>1</v>
      </c>
      <c r="L347" s="17"/>
      <c r="M347" s="17"/>
      <c r="N347" s="17"/>
      <c r="O347" s="17"/>
      <c r="P347" s="17"/>
      <c r="Q347" s="17"/>
      <c r="R347" s="17"/>
      <c r="S347" s="15"/>
      <c r="T347" s="26">
        <v>45552</v>
      </c>
      <c r="U347" s="15" t="s">
        <v>146</v>
      </c>
      <c r="V347">
        <v>15</v>
      </c>
      <c r="AA347" s="49" t="s">
        <v>94</v>
      </c>
      <c r="AB347" s="50" t="s">
        <v>41</v>
      </c>
    </row>
    <row r="348" spans="1:28" x14ac:dyDescent="0.4">
      <c r="A348" s="141"/>
      <c r="B348" s="144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1"/>
      <c r="B349" s="144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1"/>
      <c r="B350" s="144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1"/>
      <c r="B351" s="144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1"/>
      <c r="B352" s="144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1"/>
      <c r="B353" s="144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1"/>
      <c r="B354" s="144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1"/>
      <c r="B355" s="144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1"/>
      <c r="B356" s="144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2"/>
      <c r="B357" s="145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15</v>
      </c>
      <c r="D358" s="112"/>
      <c r="E358" s="29"/>
      <c r="F358" s="29" t="s">
        <v>34</v>
      </c>
      <c r="G358" s="29">
        <f>COUNTIF(G333:G357,"S")</f>
        <v>13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5</v>
      </c>
      <c r="K358" s="29">
        <f t="shared" si="83"/>
        <v>6</v>
      </c>
      <c r="L358" s="29">
        <f t="shared" si="83"/>
        <v>0</v>
      </c>
      <c r="M358" s="29">
        <f t="shared" si="83"/>
        <v>6</v>
      </c>
      <c r="N358" s="29">
        <f t="shared" si="83"/>
        <v>5</v>
      </c>
      <c r="O358" s="29">
        <f t="shared" si="83"/>
        <v>1</v>
      </c>
      <c r="P358" s="29">
        <f t="shared" si="83"/>
        <v>1</v>
      </c>
      <c r="Q358" s="29">
        <f t="shared" si="83"/>
        <v>5</v>
      </c>
      <c r="R358" s="29">
        <f t="shared" si="83"/>
        <v>1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2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30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175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3" t="s">
        <v>138</v>
      </c>
      <c r="Y362" s="139"/>
    </row>
    <row r="363" spans="1:28" ht="19.5" thickTop="1" x14ac:dyDescent="0.4">
      <c r="A363" s="140">
        <v>13</v>
      </c>
      <c r="B363" s="143">
        <v>18.399999999999999</v>
      </c>
      <c r="C363" s="86" t="s">
        <v>358</v>
      </c>
      <c r="D363" s="109" t="s">
        <v>189</v>
      </c>
      <c r="E363" s="13" t="s">
        <v>74</v>
      </c>
      <c r="F363" s="14"/>
      <c r="G363" s="12" t="s">
        <v>177</v>
      </c>
      <c r="H363" s="13"/>
      <c r="I363" s="13"/>
      <c r="J363" s="13">
        <v>1</v>
      </c>
      <c r="K363" s="13">
        <v>1</v>
      </c>
      <c r="L363" s="13"/>
      <c r="M363" s="13"/>
      <c r="N363" s="13"/>
      <c r="O363" s="13"/>
      <c r="P363" s="13"/>
      <c r="Q363" s="13"/>
      <c r="R363" s="13"/>
      <c r="S363" s="13"/>
      <c r="T363" s="26">
        <v>45532</v>
      </c>
      <c r="U363" s="15" t="s">
        <v>146</v>
      </c>
      <c r="V363">
        <v>1</v>
      </c>
      <c r="X363" s="51" t="s">
        <v>106</v>
      </c>
      <c r="Y363" s="52">
        <f>COUNTIF(U362:U386,"K")</f>
        <v>3</v>
      </c>
    </row>
    <row r="364" spans="1:28" x14ac:dyDescent="0.4">
      <c r="A364" s="141"/>
      <c r="B364" s="144"/>
      <c r="C364" s="86" t="s">
        <v>359</v>
      </c>
      <c r="D364" s="106" t="s">
        <v>176</v>
      </c>
      <c r="E364" s="15" t="s">
        <v>36</v>
      </c>
      <c r="F364" s="16"/>
      <c r="G364" s="15" t="s">
        <v>177</v>
      </c>
      <c r="H364" s="15"/>
      <c r="I364" s="15"/>
      <c r="J364" s="15"/>
      <c r="K364" s="15"/>
      <c r="L364" s="17"/>
      <c r="M364" s="17">
        <v>1</v>
      </c>
      <c r="N364" s="17">
        <v>1</v>
      </c>
      <c r="O364" s="17"/>
      <c r="P364" s="17"/>
      <c r="Q364" s="17">
        <v>1</v>
      </c>
      <c r="R364" s="17"/>
      <c r="S364" s="15"/>
      <c r="T364" s="26">
        <v>45543</v>
      </c>
      <c r="U364" s="15" t="s">
        <v>147</v>
      </c>
      <c r="V364">
        <v>2</v>
      </c>
      <c r="X364" s="51" t="s">
        <v>107</v>
      </c>
      <c r="Y364" s="52">
        <f>COUNTIF(U362:U386,"R")</f>
        <v>12</v>
      </c>
    </row>
    <row r="365" spans="1:28" ht="19.5" thickBot="1" x14ac:dyDescent="0.45">
      <c r="A365" s="141"/>
      <c r="B365" s="144"/>
      <c r="C365" s="86" t="s">
        <v>360</v>
      </c>
      <c r="D365" s="109" t="s">
        <v>311</v>
      </c>
      <c r="E365" s="15" t="s">
        <v>39</v>
      </c>
      <c r="F365" s="16"/>
      <c r="G365" s="15" t="s">
        <v>177</v>
      </c>
      <c r="H365" s="15"/>
      <c r="I365" s="15"/>
      <c r="J365" s="15">
        <v>1</v>
      </c>
      <c r="K365" s="15"/>
      <c r="L365" s="17"/>
      <c r="M365" s="17"/>
      <c r="N365" s="17"/>
      <c r="O365" s="17"/>
      <c r="P365" s="17"/>
      <c r="Q365" s="17"/>
      <c r="R365" s="17"/>
      <c r="S365" s="15"/>
      <c r="T365" s="26">
        <v>45560</v>
      </c>
      <c r="U365" s="15" t="s">
        <v>146</v>
      </c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1"/>
      <c r="B366" s="144"/>
      <c r="C366" s="86" t="s">
        <v>361</v>
      </c>
      <c r="D366" s="109" t="s">
        <v>199</v>
      </c>
      <c r="E366" s="15" t="s">
        <v>74</v>
      </c>
      <c r="F366" s="16"/>
      <c r="G366" s="15" t="s">
        <v>177</v>
      </c>
      <c r="H366" s="15"/>
      <c r="I366" s="15"/>
      <c r="J366" s="15"/>
      <c r="K366" s="15"/>
      <c r="L366" s="17"/>
      <c r="M366" s="17">
        <v>1</v>
      </c>
      <c r="N366" s="17">
        <v>1</v>
      </c>
      <c r="O366" s="17"/>
      <c r="P366" s="17"/>
      <c r="Q366" s="17">
        <v>1</v>
      </c>
      <c r="R366" s="17"/>
      <c r="S366" s="15"/>
      <c r="T366" s="26">
        <v>45537</v>
      </c>
      <c r="U366" s="15" t="s">
        <v>147</v>
      </c>
      <c r="V366">
        <v>4</v>
      </c>
    </row>
    <row r="367" spans="1:28" x14ac:dyDescent="0.4">
      <c r="A367" s="141"/>
      <c r="B367" s="144"/>
      <c r="C367" s="86" t="s">
        <v>362</v>
      </c>
      <c r="D367" s="109" t="s">
        <v>199</v>
      </c>
      <c r="E367" s="15" t="s">
        <v>58</v>
      </c>
      <c r="F367" s="16"/>
      <c r="G367" s="15" t="s">
        <v>177</v>
      </c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>
        <v>45537</v>
      </c>
      <c r="U367" s="15" t="s">
        <v>147</v>
      </c>
      <c r="V367">
        <v>5</v>
      </c>
    </row>
    <row r="368" spans="1:28" x14ac:dyDescent="0.4">
      <c r="A368" s="141"/>
      <c r="B368" s="144"/>
      <c r="C368" s="86" t="s">
        <v>363</v>
      </c>
      <c r="D368" s="109" t="s">
        <v>176</v>
      </c>
      <c r="E368" s="15" t="s">
        <v>37</v>
      </c>
      <c r="F368" s="16"/>
      <c r="G368" s="15" t="s">
        <v>177</v>
      </c>
      <c r="H368" s="13"/>
      <c r="I368" s="15"/>
      <c r="J368" s="15">
        <v>1</v>
      </c>
      <c r="K368" s="15">
        <v>1</v>
      </c>
      <c r="L368" s="17"/>
      <c r="M368" s="17"/>
      <c r="N368" s="17"/>
      <c r="O368" s="17"/>
      <c r="P368" s="17"/>
      <c r="Q368" s="17"/>
      <c r="R368" s="17"/>
      <c r="S368" s="15"/>
      <c r="T368" s="26">
        <v>45539</v>
      </c>
      <c r="U368" s="15" t="s">
        <v>146</v>
      </c>
      <c r="V368">
        <v>6</v>
      </c>
    </row>
    <row r="369" spans="1:22" x14ac:dyDescent="0.4">
      <c r="A369" s="141"/>
      <c r="B369" s="144"/>
      <c r="C369" s="86" t="s">
        <v>364</v>
      </c>
      <c r="D369" s="109" t="s">
        <v>183</v>
      </c>
      <c r="E369" s="15" t="s">
        <v>37</v>
      </c>
      <c r="F369" s="16"/>
      <c r="G369" s="15" t="s">
        <v>177</v>
      </c>
      <c r="H369" s="15"/>
      <c r="I369" s="15"/>
      <c r="J369" s="15"/>
      <c r="K369" s="15"/>
      <c r="L369" s="17"/>
      <c r="M369" s="17">
        <v>1</v>
      </c>
      <c r="N369" s="17">
        <v>1</v>
      </c>
      <c r="O369" s="17"/>
      <c r="P369" s="17"/>
      <c r="Q369" s="17">
        <v>1</v>
      </c>
      <c r="R369" s="17"/>
      <c r="S369" s="15"/>
      <c r="T369" s="26">
        <v>45532</v>
      </c>
      <c r="U369" s="15" t="s">
        <v>147</v>
      </c>
      <c r="V369">
        <v>7</v>
      </c>
    </row>
    <row r="370" spans="1:22" x14ac:dyDescent="0.4">
      <c r="A370" s="141"/>
      <c r="B370" s="144"/>
      <c r="C370" s="86" t="s">
        <v>365</v>
      </c>
      <c r="D370" s="109" t="s">
        <v>176</v>
      </c>
      <c r="E370" s="15" t="s">
        <v>37</v>
      </c>
      <c r="F370" s="16"/>
      <c r="G370" s="15" t="s">
        <v>177</v>
      </c>
      <c r="H370" s="15"/>
      <c r="I370" s="15"/>
      <c r="J370" s="15"/>
      <c r="K370" s="15"/>
      <c r="L370" s="17"/>
      <c r="M370" s="17">
        <v>1</v>
      </c>
      <c r="N370" s="17">
        <v>1</v>
      </c>
      <c r="O370" s="17"/>
      <c r="P370" s="17"/>
      <c r="Q370" s="17">
        <v>1</v>
      </c>
      <c r="R370" s="17"/>
      <c r="S370" s="15"/>
      <c r="T370" s="26">
        <v>45546</v>
      </c>
      <c r="U370" s="15" t="s">
        <v>147</v>
      </c>
      <c r="V370">
        <v>8</v>
      </c>
    </row>
    <row r="371" spans="1:22" x14ac:dyDescent="0.4">
      <c r="A371" s="141"/>
      <c r="B371" s="144"/>
      <c r="C371" s="86" t="s">
        <v>366</v>
      </c>
      <c r="D371" s="109" t="s">
        <v>176</v>
      </c>
      <c r="E371" s="15" t="s">
        <v>36</v>
      </c>
      <c r="F371" s="16"/>
      <c r="G371" s="15" t="s">
        <v>177</v>
      </c>
      <c r="H371" s="15"/>
      <c r="I371" s="15"/>
      <c r="J371" s="15"/>
      <c r="K371" s="15"/>
      <c r="L371" s="17"/>
      <c r="M371" s="17">
        <v>1</v>
      </c>
      <c r="N371" s="17">
        <v>1</v>
      </c>
      <c r="O371" s="17"/>
      <c r="P371" s="17"/>
      <c r="Q371" s="17"/>
      <c r="R371" s="17"/>
      <c r="S371" s="15"/>
      <c r="T371" s="26">
        <v>45543</v>
      </c>
      <c r="U371" s="15" t="s">
        <v>147</v>
      </c>
      <c r="V371">
        <v>9</v>
      </c>
    </row>
    <row r="372" spans="1:22" x14ac:dyDescent="0.4">
      <c r="A372" s="141"/>
      <c r="B372" s="144"/>
      <c r="C372" s="86" t="s">
        <v>367</v>
      </c>
      <c r="D372" s="109" t="s">
        <v>176</v>
      </c>
      <c r="E372" s="15" t="s">
        <v>36</v>
      </c>
      <c r="F372" s="16"/>
      <c r="G372" s="15" t="s">
        <v>177</v>
      </c>
      <c r="H372" s="15"/>
      <c r="I372" s="15"/>
      <c r="J372" s="15"/>
      <c r="K372" s="15"/>
      <c r="L372" s="17"/>
      <c r="M372" s="17">
        <v>1</v>
      </c>
      <c r="N372" s="17">
        <v>1</v>
      </c>
      <c r="O372" s="17"/>
      <c r="P372" s="17"/>
      <c r="Q372" s="17"/>
      <c r="R372" s="17"/>
      <c r="S372" s="15"/>
      <c r="T372" s="26">
        <v>45543</v>
      </c>
      <c r="U372" s="15" t="s">
        <v>147</v>
      </c>
      <c r="V372">
        <v>10</v>
      </c>
    </row>
    <row r="373" spans="1:22" x14ac:dyDescent="0.4">
      <c r="A373" s="141"/>
      <c r="B373" s="144"/>
      <c r="C373" s="86" t="s">
        <v>368</v>
      </c>
      <c r="D373" s="109" t="s">
        <v>186</v>
      </c>
      <c r="E373" s="15" t="s">
        <v>37</v>
      </c>
      <c r="F373" s="16"/>
      <c r="G373" s="15" t="s">
        <v>177</v>
      </c>
      <c r="H373" s="15"/>
      <c r="I373" s="15"/>
      <c r="J373" s="15"/>
      <c r="K373" s="15"/>
      <c r="L373" s="17"/>
      <c r="M373" s="17">
        <v>1</v>
      </c>
      <c r="N373" s="17">
        <v>1</v>
      </c>
      <c r="O373" s="17"/>
      <c r="P373" s="17"/>
      <c r="Q373" s="17">
        <v>1</v>
      </c>
      <c r="R373" s="17"/>
      <c r="S373" s="15"/>
      <c r="T373" s="26">
        <v>45541</v>
      </c>
      <c r="U373" s="15" t="s">
        <v>147</v>
      </c>
      <c r="V373">
        <v>11</v>
      </c>
    </row>
    <row r="374" spans="1:22" x14ac:dyDescent="0.4">
      <c r="A374" s="141"/>
      <c r="B374" s="144"/>
      <c r="C374" s="86" t="s">
        <v>369</v>
      </c>
      <c r="D374" s="109" t="s">
        <v>186</v>
      </c>
      <c r="E374" s="15" t="s">
        <v>36</v>
      </c>
      <c r="F374" s="16"/>
      <c r="G374" s="15" t="s">
        <v>177</v>
      </c>
      <c r="H374" s="15"/>
      <c r="I374" s="15"/>
      <c r="J374" s="15"/>
      <c r="K374" s="15"/>
      <c r="L374" s="17"/>
      <c r="M374" s="17">
        <v>1</v>
      </c>
      <c r="N374" s="17">
        <v>1</v>
      </c>
      <c r="O374" s="17"/>
      <c r="P374" s="17"/>
      <c r="Q374" s="17">
        <v>1</v>
      </c>
      <c r="R374" s="17"/>
      <c r="S374" s="15"/>
      <c r="T374" s="26">
        <v>45541</v>
      </c>
      <c r="U374" s="15" t="s">
        <v>147</v>
      </c>
      <c r="V374">
        <v>12</v>
      </c>
    </row>
    <row r="375" spans="1:22" x14ac:dyDescent="0.4">
      <c r="A375" s="141"/>
      <c r="B375" s="144"/>
      <c r="C375" s="86" t="s">
        <v>370</v>
      </c>
      <c r="D375" s="106" t="s">
        <v>186</v>
      </c>
      <c r="E375" s="15" t="s">
        <v>75</v>
      </c>
      <c r="F375" s="16"/>
      <c r="G375" s="15" t="s">
        <v>177</v>
      </c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>
        <v>45551</v>
      </c>
      <c r="U375" s="15" t="s">
        <v>147</v>
      </c>
      <c r="V375">
        <v>13</v>
      </c>
    </row>
    <row r="376" spans="1:22" x14ac:dyDescent="0.4">
      <c r="A376" s="141"/>
      <c r="B376" s="144"/>
      <c r="C376" s="86" t="s">
        <v>371</v>
      </c>
      <c r="D376" s="106" t="s">
        <v>198</v>
      </c>
      <c r="E376" s="15" t="s">
        <v>37</v>
      </c>
      <c r="F376" s="16"/>
      <c r="G376" s="15" t="s">
        <v>177</v>
      </c>
      <c r="H376" s="15"/>
      <c r="I376" s="15"/>
      <c r="J376" s="15"/>
      <c r="K376" s="15"/>
      <c r="L376" s="17"/>
      <c r="M376" s="17">
        <v>1</v>
      </c>
      <c r="N376" s="17">
        <v>1</v>
      </c>
      <c r="O376" s="17"/>
      <c r="P376" s="17"/>
      <c r="Q376" s="17">
        <v>1</v>
      </c>
      <c r="R376" s="17"/>
      <c r="S376" s="15"/>
      <c r="T376" s="26">
        <v>45541</v>
      </c>
      <c r="U376" s="15" t="s">
        <v>147</v>
      </c>
      <c r="V376">
        <v>14</v>
      </c>
    </row>
    <row r="377" spans="1:22" x14ac:dyDescent="0.4">
      <c r="A377" s="141"/>
      <c r="B377" s="144"/>
      <c r="C377" s="86" t="s">
        <v>372</v>
      </c>
      <c r="D377" s="106" t="s">
        <v>198</v>
      </c>
      <c r="E377" s="15" t="s">
        <v>36</v>
      </c>
      <c r="F377" s="16"/>
      <c r="G377" s="15" t="s">
        <v>177</v>
      </c>
      <c r="H377" s="15"/>
      <c r="I377" s="15"/>
      <c r="J377" s="15"/>
      <c r="K377" s="15"/>
      <c r="L377" s="17"/>
      <c r="M377" s="17">
        <v>1</v>
      </c>
      <c r="N377" s="17">
        <v>1</v>
      </c>
      <c r="O377" s="17"/>
      <c r="P377" s="17"/>
      <c r="Q377" s="17">
        <v>1</v>
      </c>
      <c r="R377" s="17"/>
      <c r="S377" s="15"/>
      <c r="T377" s="26">
        <v>45520</v>
      </c>
      <c r="U377" s="15" t="s">
        <v>147</v>
      </c>
      <c r="V377">
        <v>15</v>
      </c>
    </row>
    <row r="378" spans="1:22" x14ac:dyDescent="0.4">
      <c r="A378" s="141"/>
      <c r="B378" s="144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1"/>
      <c r="B379" s="144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1"/>
      <c r="B380" s="144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1"/>
      <c r="B381" s="144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1"/>
      <c r="B382" s="144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1"/>
      <c r="B383" s="144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1"/>
      <c r="B384" s="144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1"/>
      <c r="B385" s="144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1"/>
      <c r="B386" s="144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2"/>
      <c r="B387" s="145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15</v>
      </c>
      <c r="D388" s="112"/>
      <c r="E388" s="29"/>
      <c r="F388" s="29" t="s">
        <v>34</v>
      </c>
      <c r="G388" s="29">
        <f>COUNTIF(G363:G387,"S")</f>
        <v>15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3</v>
      </c>
      <c r="K388" s="29">
        <f t="shared" si="84"/>
        <v>2</v>
      </c>
      <c r="L388" s="29">
        <f t="shared" si="84"/>
        <v>0</v>
      </c>
      <c r="M388" s="29">
        <f t="shared" si="84"/>
        <v>10</v>
      </c>
      <c r="N388" s="29">
        <f t="shared" si="84"/>
        <v>10</v>
      </c>
      <c r="O388" s="29">
        <f t="shared" si="84"/>
        <v>0</v>
      </c>
      <c r="P388" s="29">
        <f t="shared" si="84"/>
        <v>0</v>
      </c>
      <c r="Q388" s="29">
        <f t="shared" si="84"/>
        <v>8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175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3" t="s">
        <v>139</v>
      </c>
      <c r="Y392" s="139"/>
    </row>
    <row r="393" spans="1:25" ht="19.5" thickTop="1" x14ac:dyDescent="0.4">
      <c r="A393" s="140">
        <v>14</v>
      </c>
      <c r="B393" s="143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1"/>
      <c r="B394" s="144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1"/>
      <c r="B395" s="144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1"/>
      <c r="B396" s="144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1"/>
      <c r="B397" s="144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1"/>
      <c r="B398" s="144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1"/>
      <c r="B399" s="144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1"/>
      <c r="B400" s="144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1"/>
      <c r="B401" s="144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1"/>
      <c r="B402" s="144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1"/>
      <c r="B403" s="144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1"/>
      <c r="B404" s="144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1"/>
      <c r="B405" s="144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1"/>
      <c r="B406" s="144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1"/>
      <c r="B407" s="144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1"/>
      <c r="B408" s="144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1"/>
      <c r="B409" s="144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1"/>
      <c r="B410" s="144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1"/>
      <c r="B411" s="144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1"/>
      <c r="B412" s="144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1"/>
      <c r="B413" s="144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1"/>
      <c r="B414" s="144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1"/>
      <c r="B415" s="144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1"/>
      <c r="B416" s="144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2"/>
      <c r="B417" s="145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175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3" t="s">
        <v>140</v>
      </c>
      <c r="Y422" s="139"/>
    </row>
    <row r="423" spans="1:25" ht="19.5" thickTop="1" x14ac:dyDescent="0.4">
      <c r="A423" s="140">
        <v>15</v>
      </c>
      <c r="B423" s="143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1"/>
      <c r="B424" s="144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1"/>
      <c r="B425" s="144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1"/>
      <c r="B426" s="144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1"/>
      <c r="B427" s="144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1"/>
      <c r="B428" s="144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1"/>
      <c r="B429" s="144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1"/>
      <c r="B430" s="144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1"/>
      <c r="B431" s="144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1"/>
      <c r="B432" s="144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1"/>
      <c r="B433" s="144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1"/>
      <c r="B434" s="144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1"/>
      <c r="B435" s="144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1"/>
      <c r="B436" s="144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1"/>
      <c r="B437" s="144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1"/>
      <c r="B438" s="144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1"/>
      <c r="B439" s="144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1"/>
      <c r="B440" s="144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1"/>
      <c r="B441" s="144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1"/>
      <c r="B442" s="144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1"/>
      <c r="B443" s="144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1"/>
      <c r="B444" s="144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1"/>
      <c r="B445" s="144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1"/>
      <c r="B446" s="144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2"/>
      <c r="B447" s="145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175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3" t="s">
        <v>105</v>
      </c>
      <c r="Y451" s="139"/>
    </row>
    <row r="452" spans="1:25" ht="19.5" thickTop="1" x14ac:dyDescent="0.4">
      <c r="A452" s="140">
        <v>16</v>
      </c>
      <c r="B452" s="130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1"/>
      <c r="B453" s="131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1"/>
      <c r="B454" s="131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1"/>
      <c r="B455" s="131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1"/>
      <c r="B456" s="131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1"/>
      <c r="B457" s="131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1"/>
      <c r="B458" s="131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1"/>
      <c r="B459" s="131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1"/>
      <c r="B460" s="131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1"/>
      <c r="B461" s="131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1"/>
      <c r="B462" s="131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1"/>
      <c r="B463" s="131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1"/>
      <c r="B464" s="131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1"/>
      <c r="B465" s="131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1"/>
      <c r="B466" s="131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1"/>
      <c r="B467" s="131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1"/>
      <c r="B468" s="131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1"/>
      <c r="B469" s="131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1"/>
      <c r="B470" s="131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1"/>
      <c r="B471" s="131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1"/>
      <c r="B472" s="131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1"/>
      <c r="B473" s="131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1"/>
      <c r="B474" s="131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1"/>
      <c r="B475" s="131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2"/>
      <c r="B476" s="132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scale="14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4" t="s">
        <v>47</v>
      </c>
      <c r="C26" s="154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5"/>
      <c r="C27" s="155"/>
      <c r="D27" s="156">
        <f>SUM(D26:F26)</f>
        <v>116</v>
      </c>
      <c r="E27" s="156"/>
      <c r="F27" s="156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6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L842"/>
  <sheetViews>
    <sheetView topLeftCell="C1" zoomScaleNormal="100" workbookViewId="0">
      <selection activeCell="AD1" sqref="AD1:AE1"/>
    </sheetView>
  </sheetViews>
  <sheetFormatPr defaultRowHeight="18.75" x14ac:dyDescent="0.4"/>
  <cols>
    <col min="1" max="1" width="10.875" customWidth="1"/>
    <col min="2" max="2" width="12" customWidth="1"/>
    <col min="3" max="3" width="13.375" customWidth="1"/>
    <col min="4" max="4" width="9.75" customWidth="1"/>
    <col min="5" max="11" width="16.625" customWidth="1"/>
    <col min="12" max="12" width="11" customWidth="1"/>
    <col min="13" max="13" width="10.5" style="121" customWidth="1"/>
    <col min="14" max="14" width="10.25" style="121" customWidth="1"/>
    <col min="15" max="15" width="10.875" style="121" customWidth="1"/>
    <col min="16" max="29" width="16.625" customWidth="1"/>
    <col min="30" max="30" width="20.5" customWidth="1"/>
    <col min="35" max="35" width="12.375" customWidth="1"/>
    <col min="36" max="36" width="11.25" customWidth="1"/>
    <col min="37" max="37" width="10.5" customWidth="1"/>
    <col min="38" max="38" width="10.25" customWidth="1"/>
  </cols>
  <sheetData>
    <row r="1" spans="1:34" x14ac:dyDescent="0.4">
      <c r="A1" s="120" t="s">
        <v>162</v>
      </c>
      <c r="B1" s="121"/>
      <c r="C1" s="121"/>
      <c r="D1" s="121"/>
      <c r="L1" s="120"/>
      <c r="AD1" t="s">
        <v>143</v>
      </c>
      <c r="AE1" t="s">
        <v>144</v>
      </c>
    </row>
    <row r="2" spans="1:34" ht="19.5" x14ac:dyDescent="0.4">
      <c r="A2" s="116"/>
      <c r="B2" s="123" t="s">
        <v>146</v>
      </c>
      <c r="C2" s="123" t="s">
        <v>147</v>
      </c>
      <c r="D2" s="123" t="s">
        <v>148</v>
      </c>
      <c r="L2" s="116"/>
      <c r="M2" s="123"/>
      <c r="N2" s="123"/>
      <c r="O2" s="123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25">
        <v>45258</v>
      </c>
      <c r="AE2" s="13" t="s">
        <v>163</v>
      </c>
      <c r="AH2" s="114"/>
    </row>
    <row r="3" spans="1:34" ht="19.5" x14ac:dyDescent="0.4">
      <c r="A3" s="117">
        <v>45258</v>
      </c>
      <c r="B3" s="123">
        <v>1</v>
      </c>
      <c r="C3" s="123"/>
      <c r="D3" s="123"/>
      <c r="L3" s="117"/>
      <c r="M3" s="123"/>
      <c r="N3" s="123"/>
      <c r="O3" s="123"/>
      <c r="T3" s="115"/>
      <c r="U3" s="115"/>
      <c r="V3" s="115"/>
      <c r="W3" s="115"/>
      <c r="X3" s="115"/>
      <c r="Y3" s="115"/>
      <c r="Z3" s="115"/>
      <c r="AA3" s="115"/>
      <c r="AB3" s="115"/>
      <c r="AC3" s="115" t="s">
        <v>149</v>
      </c>
      <c r="AD3" s="13">
        <f>SUBTOTAL(3,AD2:AD2)</f>
        <v>1</v>
      </c>
      <c r="AE3" s="13">
        <f>SUBTOTAL(3,AE2:AE2)</f>
        <v>1</v>
      </c>
      <c r="AH3" s="114"/>
    </row>
    <row r="4" spans="1:34" ht="19.5" x14ac:dyDescent="0.4">
      <c r="A4" s="117">
        <v>45263</v>
      </c>
      <c r="B4" s="123">
        <v>1</v>
      </c>
      <c r="C4" s="123"/>
      <c r="D4" s="123"/>
      <c r="L4" s="117"/>
      <c r="M4" s="123"/>
      <c r="N4" s="123"/>
      <c r="O4" s="123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25">
        <v>45263</v>
      </c>
      <c r="AE4" s="13" t="s">
        <v>163</v>
      </c>
      <c r="AH4" s="114"/>
    </row>
    <row r="5" spans="1:34" ht="19.5" x14ac:dyDescent="0.4">
      <c r="A5" s="117">
        <v>45264</v>
      </c>
      <c r="B5" s="123">
        <v>1</v>
      </c>
      <c r="C5" s="123"/>
      <c r="D5" s="123"/>
      <c r="L5" s="117"/>
      <c r="M5" s="123"/>
      <c r="N5" s="123"/>
      <c r="O5" s="123"/>
      <c r="T5" s="115"/>
      <c r="U5" s="115"/>
      <c r="V5" s="115"/>
      <c r="W5" s="115"/>
      <c r="X5" s="115"/>
      <c r="Y5" s="115"/>
      <c r="Z5" s="115"/>
      <c r="AA5" s="115"/>
      <c r="AB5" s="115"/>
      <c r="AC5" s="115" t="s">
        <v>150</v>
      </c>
      <c r="AD5" s="13">
        <f>SUBTOTAL(3,AD4:AD4)</f>
        <v>1</v>
      </c>
      <c r="AE5" s="13">
        <f>SUBTOTAL(3,AE4:AE4)</f>
        <v>1</v>
      </c>
      <c r="AH5" s="114"/>
    </row>
    <row r="6" spans="1:34" ht="19.5" x14ac:dyDescent="0.4">
      <c r="A6" s="117">
        <v>45265</v>
      </c>
      <c r="B6" s="123">
        <v>4</v>
      </c>
      <c r="C6" s="123">
        <v>1</v>
      </c>
      <c r="D6" s="123"/>
      <c r="L6" s="117"/>
      <c r="M6" s="123"/>
      <c r="N6" s="123"/>
      <c r="O6" s="123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25">
        <v>45264</v>
      </c>
      <c r="AE6" s="13" t="s">
        <v>163</v>
      </c>
      <c r="AH6" s="114"/>
    </row>
    <row r="7" spans="1:34" ht="19.5" x14ac:dyDescent="0.4">
      <c r="A7" s="117">
        <v>45266</v>
      </c>
      <c r="B7" s="123">
        <v>1</v>
      </c>
      <c r="C7" s="123"/>
      <c r="D7" s="123"/>
      <c r="L7" s="117"/>
      <c r="M7" s="123"/>
      <c r="N7" s="123"/>
      <c r="O7" s="123"/>
      <c r="T7" s="115"/>
      <c r="U7" s="115"/>
      <c r="V7" s="115"/>
      <c r="W7" s="115"/>
      <c r="X7" s="115"/>
      <c r="Y7" s="115"/>
      <c r="Z7" s="115"/>
      <c r="AA7" s="115"/>
      <c r="AB7" s="115"/>
      <c r="AC7" s="115" t="s">
        <v>154</v>
      </c>
      <c r="AD7" s="13">
        <f>SUBTOTAL(3,AD6:AD6)</f>
        <v>1</v>
      </c>
      <c r="AE7" s="13">
        <f>SUBTOTAL(3,AE6:AE6)</f>
        <v>1</v>
      </c>
      <c r="AH7" s="114"/>
    </row>
    <row r="8" spans="1:34" ht="19.5" x14ac:dyDescent="0.4">
      <c r="A8" s="117">
        <v>45267</v>
      </c>
      <c r="B8" s="123">
        <v>1</v>
      </c>
      <c r="C8" s="123"/>
      <c r="D8" s="123"/>
      <c r="L8" s="117"/>
      <c r="M8" s="123"/>
      <c r="N8" s="123"/>
      <c r="O8" s="123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25">
        <v>45265</v>
      </c>
      <c r="AE8" s="13" t="s">
        <v>163</v>
      </c>
      <c r="AH8" s="114"/>
    </row>
    <row r="9" spans="1:34" ht="19.5" x14ac:dyDescent="0.4">
      <c r="A9" s="117">
        <v>45268</v>
      </c>
      <c r="B9" s="123">
        <v>2</v>
      </c>
      <c r="C9" s="123">
        <v>2</v>
      </c>
      <c r="D9" s="123"/>
      <c r="L9" s="117"/>
      <c r="M9" s="123"/>
      <c r="N9" s="123"/>
      <c r="O9" s="123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25">
        <v>45265</v>
      </c>
      <c r="AE9" s="25" t="s">
        <v>163</v>
      </c>
      <c r="AH9" s="114"/>
    </row>
    <row r="10" spans="1:34" ht="19.5" x14ac:dyDescent="0.4">
      <c r="A10" s="117">
        <v>45269</v>
      </c>
      <c r="B10" s="123"/>
      <c r="C10" s="123">
        <v>2</v>
      </c>
      <c r="D10" s="123"/>
      <c r="L10" s="117"/>
      <c r="M10" s="123"/>
      <c r="N10" s="123"/>
      <c r="O10" s="123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25">
        <v>45265</v>
      </c>
      <c r="AE10" s="13" t="s">
        <v>163</v>
      </c>
      <c r="AH10" s="114"/>
    </row>
    <row r="11" spans="1:34" ht="19.5" x14ac:dyDescent="0.4">
      <c r="A11" s="117">
        <v>45270</v>
      </c>
      <c r="B11" s="123">
        <v>2</v>
      </c>
      <c r="C11" s="123">
        <v>1</v>
      </c>
      <c r="D11" s="123">
        <v>2</v>
      </c>
      <c r="L11" s="117"/>
      <c r="M11" s="123"/>
      <c r="N11" s="123"/>
      <c r="O11" s="123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25">
        <v>45265</v>
      </c>
      <c r="AE11" s="13" t="s">
        <v>163</v>
      </c>
      <c r="AH11" s="114"/>
    </row>
    <row r="12" spans="1:34" ht="19.5" x14ac:dyDescent="0.4">
      <c r="A12" s="117">
        <v>45271</v>
      </c>
      <c r="B12" s="123">
        <v>1</v>
      </c>
      <c r="C12" s="123">
        <v>2</v>
      </c>
      <c r="D12" s="123"/>
      <c r="L12" s="117"/>
      <c r="M12" s="123"/>
      <c r="N12" s="123"/>
      <c r="O12" s="123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25">
        <v>45265</v>
      </c>
      <c r="AE12" s="13" t="s">
        <v>164</v>
      </c>
      <c r="AH12" s="114"/>
    </row>
    <row r="13" spans="1:34" ht="19.5" x14ac:dyDescent="0.4">
      <c r="A13" s="117">
        <v>45272</v>
      </c>
      <c r="B13" s="123">
        <v>13</v>
      </c>
      <c r="C13" s="123"/>
      <c r="D13" s="123"/>
      <c r="L13" s="117"/>
      <c r="M13" s="123"/>
      <c r="N13" s="123"/>
      <c r="O13" s="123"/>
      <c r="T13" s="115"/>
      <c r="U13" s="115"/>
      <c r="V13" s="115"/>
      <c r="W13" s="115"/>
      <c r="X13" s="115"/>
      <c r="Y13" s="115"/>
      <c r="Z13" s="115"/>
      <c r="AA13" s="115"/>
      <c r="AB13" s="115"/>
      <c r="AC13" s="115" t="s">
        <v>155</v>
      </c>
      <c r="AD13" s="13">
        <f>SUBTOTAL(3,AD8:AD12)</f>
        <v>5</v>
      </c>
      <c r="AE13" s="13">
        <f>SUBTOTAL(3,AE8:AE12)</f>
        <v>5</v>
      </c>
      <c r="AH13" s="114"/>
    </row>
    <row r="14" spans="1:34" ht="19.5" x14ac:dyDescent="0.4">
      <c r="A14" s="117">
        <v>45273</v>
      </c>
      <c r="B14" s="123">
        <v>17</v>
      </c>
      <c r="C14" s="123">
        <v>1</v>
      </c>
      <c r="D14" s="123">
        <v>4</v>
      </c>
      <c r="L14" s="117"/>
      <c r="M14" s="123"/>
      <c r="N14" s="123"/>
      <c r="O14" s="123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25">
        <v>45266</v>
      </c>
      <c r="AE14" s="25" t="s">
        <v>163</v>
      </c>
      <c r="AH14" s="114"/>
    </row>
    <row r="15" spans="1:34" ht="19.5" x14ac:dyDescent="0.4">
      <c r="A15" s="117">
        <v>45274</v>
      </c>
      <c r="B15" s="123">
        <v>4</v>
      </c>
      <c r="C15" s="123">
        <v>1</v>
      </c>
      <c r="D15" s="123"/>
      <c r="L15" s="117"/>
      <c r="M15" s="123"/>
      <c r="N15" s="123"/>
      <c r="O15" s="123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 t="s">
        <v>156</v>
      </c>
      <c r="AD15" s="13">
        <f>SUBTOTAL(3,AD14:AD14)</f>
        <v>1</v>
      </c>
      <c r="AE15" s="13">
        <f>SUBTOTAL(3,AE14:AE14)</f>
        <v>1</v>
      </c>
      <c r="AH15" s="114"/>
    </row>
    <row r="16" spans="1:34" ht="19.5" x14ac:dyDescent="0.4">
      <c r="A16" s="117">
        <v>45275</v>
      </c>
      <c r="B16" s="123"/>
      <c r="C16" s="123">
        <v>1</v>
      </c>
      <c r="D16" s="123"/>
      <c r="L16" s="117"/>
      <c r="M16" s="123"/>
      <c r="N16" s="123"/>
      <c r="O16" s="123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25">
        <v>45267</v>
      </c>
      <c r="AE16" s="13" t="s">
        <v>142</v>
      </c>
      <c r="AH16" s="114"/>
    </row>
    <row r="17" spans="1:34" ht="19.5" x14ac:dyDescent="0.4">
      <c r="A17" s="117">
        <v>45276</v>
      </c>
      <c r="B17" s="123">
        <v>17</v>
      </c>
      <c r="C17" s="123"/>
      <c r="D17" s="123">
        <v>1</v>
      </c>
      <c r="L17" s="117"/>
      <c r="M17" s="123"/>
      <c r="N17" s="123"/>
      <c r="O17" s="123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 t="s">
        <v>157</v>
      </c>
      <c r="AD17" s="13">
        <f>SUBTOTAL(3,AD16:AD16)</f>
        <v>1</v>
      </c>
      <c r="AE17" s="13">
        <f>SUBTOTAL(3,AE16:AE16)</f>
        <v>1</v>
      </c>
      <c r="AH17" s="114"/>
    </row>
    <row r="18" spans="1:34" ht="19.5" x14ac:dyDescent="0.4">
      <c r="A18" s="117">
        <v>45277</v>
      </c>
      <c r="B18" s="123">
        <v>5</v>
      </c>
      <c r="C18" s="123"/>
      <c r="D18" s="123"/>
      <c r="L18" s="117"/>
      <c r="M18" s="123"/>
      <c r="N18" s="123"/>
      <c r="O18" s="123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25">
        <v>45268</v>
      </c>
      <c r="AE18" s="13" t="s">
        <v>163</v>
      </c>
      <c r="AH18" s="114"/>
    </row>
    <row r="19" spans="1:34" ht="19.5" x14ac:dyDescent="0.4">
      <c r="A19" s="117">
        <v>45278</v>
      </c>
      <c r="B19" s="123">
        <v>5</v>
      </c>
      <c r="C19" s="123">
        <v>5</v>
      </c>
      <c r="D19" s="123">
        <v>2</v>
      </c>
      <c r="L19" s="117"/>
      <c r="M19" s="123"/>
      <c r="N19" s="123"/>
      <c r="O19" s="123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25">
        <v>45268</v>
      </c>
      <c r="AE19" s="13" t="s">
        <v>163</v>
      </c>
      <c r="AH19" s="114"/>
    </row>
    <row r="20" spans="1:34" ht="19.5" x14ac:dyDescent="0.4">
      <c r="A20" s="117">
        <v>45279</v>
      </c>
      <c r="B20" s="123">
        <v>6</v>
      </c>
      <c r="C20" s="123"/>
      <c r="D20" s="123"/>
      <c r="L20" s="117"/>
      <c r="M20" s="123"/>
      <c r="N20" s="123"/>
      <c r="O20" s="123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25">
        <v>45268</v>
      </c>
      <c r="AE20" s="13" t="s">
        <v>164</v>
      </c>
      <c r="AH20" s="114"/>
    </row>
    <row r="21" spans="1:34" ht="19.5" x14ac:dyDescent="0.4">
      <c r="A21" s="117">
        <v>45280</v>
      </c>
      <c r="B21" s="123">
        <v>13</v>
      </c>
      <c r="C21" s="123"/>
      <c r="D21" s="123"/>
      <c r="L21" s="117"/>
      <c r="M21" s="123"/>
      <c r="N21" s="123"/>
      <c r="O21" s="123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25">
        <v>45268</v>
      </c>
      <c r="AE21" s="13" t="s">
        <v>164</v>
      </c>
      <c r="AH21" s="114"/>
    </row>
    <row r="22" spans="1:34" ht="19.5" x14ac:dyDescent="0.4">
      <c r="A22" s="117">
        <v>45283</v>
      </c>
      <c r="B22" s="123">
        <v>10</v>
      </c>
      <c r="C22" s="123">
        <v>3</v>
      </c>
      <c r="D22" s="123"/>
      <c r="L22" s="117"/>
      <c r="M22" s="123"/>
      <c r="N22" s="123"/>
      <c r="O22" s="123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 t="s">
        <v>158</v>
      </c>
      <c r="AD22" s="13">
        <f>SUBTOTAL(3,AD18:AD21)</f>
        <v>4</v>
      </c>
      <c r="AE22" s="13">
        <f>SUBTOTAL(3,AE18:AE21)</f>
        <v>4</v>
      </c>
      <c r="AH22" s="114"/>
    </row>
    <row r="23" spans="1:34" ht="19.5" x14ac:dyDescent="0.4">
      <c r="A23" s="117">
        <v>45285</v>
      </c>
      <c r="B23" s="123"/>
      <c r="C23" s="123">
        <v>1</v>
      </c>
      <c r="D23" s="123"/>
      <c r="L23" s="117"/>
      <c r="M23" s="123"/>
      <c r="N23" s="123"/>
      <c r="O23" s="123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25">
        <v>45269</v>
      </c>
      <c r="AE23" s="13" t="s">
        <v>164</v>
      </c>
      <c r="AH23" s="114"/>
    </row>
    <row r="24" spans="1:34" ht="19.5" x14ac:dyDescent="0.4">
      <c r="A24" s="117">
        <v>44934</v>
      </c>
      <c r="B24" s="123">
        <v>3</v>
      </c>
      <c r="C24" s="123">
        <v>1</v>
      </c>
      <c r="D24" s="123"/>
      <c r="L24" s="117"/>
      <c r="M24" s="123"/>
      <c r="N24" s="123"/>
      <c r="O24" s="123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25">
        <v>45269</v>
      </c>
      <c r="AE24" s="13" t="s">
        <v>164</v>
      </c>
      <c r="AH24" s="114"/>
    </row>
    <row r="25" spans="1:34" ht="19.5" x14ac:dyDescent="0.4">
      <c r="A25" s="117"/>
      <c r="B25" s="123">
        <f>SUM(B3:B24)</f>
        <v>107</v>
      </c>
      <c r="C25" s="123">
        <f>SUM(C3:C24)</f>
        <v>21</v>
      </c>
      <c r="D25" s="123">
        <f>SUM(D3:D24)</f>
        <v>9</v>
      </c>
      <c r="L25" s="117"/>
      <c r="M25" s="123"/>
      <c r="N25" s="123"/>
      <c r="O25" s="123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 t="s">
        <v>159</v>
      </c>
      <c r="AD25" s="13">
        <f>SUBTOTAL(3,AD23:AD24)</f>
        <v>2</v>
      </c>
      <c r="AE25" s="13">
        <f>SUBTOTAL(3,AE23:AE24)</f>
        <v>2</v>
      </c>
      <c r="AH25" s="114"/>
    </row>
    <row r="26" spans="1:34" ht="19.5" x14ac:dyDescent="0.4">
      <c r="A26" s="117"/>
      <c r="B26" s="123"/>
      <c r="C26" s="123"/>
      <c r="D26" s="123">
        <f>SUM(B25:D25)</f>
        <v>137</v>
      </c>
      <c r="L26" s="117"/>
      <c r="M26" s="123"/>
      <c r="N26" s="123"/>
      <c r="O26" s="123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25">
        <v>45270</v>
      </c>
      <c r="AE26" s="13" t="s">
        <v>165</v>
      </c>
      <c r="AH26" s="114"/>
    </row>
    <row r="27" spans="1:34" ht="19.5" x14ac:dyDescent="0.4">
      <c r="A27" s="117"/>
      <c r="B27" s="123"/>
      <c r="C27" s="123"/>
      <c r="D27" s="123"/>
      <c r="L27" s="117"/>
      <c r="M27" s="123"/>
      <c r="N27" s="123"/>
      <c r="O27" s="123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25">
        <v>45270</v>
      </c>
      <c r="AE27" s="13" t="s">
        <v>165</v>
      </c>
      <c r="AH27" s="114"/>
    </row>
    <row r="28" spans="1:34" ht="19.5" x14ac:dyDescent="0.4">
      <c r="A28" s="117"/>
      <c r="B28" s="123"/>
      <c r="C28" s="123"/>
      <c r="D28" s="123"/>
      <c r="L28" s="117"/>
      <c r="M28" s="123"/>
      <c r="N28" s="123"/>
      <c r="O28" s="123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25">
        <v>45270</v>
      </c>
      <c r="AE28" s="13" t="s">
        <v>163</v>
      </c>
      <c r="AH28" s="114"/>
    </row>
    <row r="29" spans="1:34" ht="19.5" x14ac:dyDescent="0.4">
      <c r="A29" s="117"/>
      <c r="B29" s="123"/>
      <c r="C29" s="123"/>
      <c r="D29" s="123"/>
      <c r="L29" s="117"/>
      <c r="M29" s="123"/>
      <c r="N29" s="123"/>
      <c r="O29" s="123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25">
        <v>45270</v>
      </c>
      <c r="AE29" s="13" t="s">
        <v>163</v>
      </c>
      <c r="AH29" s="114"/>
    </row>
    <row r="30" spans="1:34" ht="19.5" x14ac:dyDescent="0.4">
      <c r="A30" s="117"/>
      <c r="B30" s="123"/>
      <c r="C30" s="123"/>
      <c r="D30" s="123"/>
      <c r="L30" s="117"/>
      <c r="M30" s="123"/>
      <c r="N30" s="123"/>
      <c r="O30" s="123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25">
        <v>45270</v>
      </c>
      <c r="AE30" s="13" t="s">
        <v>164</v>
      </c>
      <c r="AH30" s="114"/>
    </row>
    <row r="31" spans="1:34" ht="19.5" x14ac:dyDescent="0.4">
      <c r="A31" s="117"/>
      <c r="B31" s="123"/>
      <c r="C31" s="123"/>
      <c r="D31" s="123"/>
      <c r="L31" s="117"/>
      <c r="M31" s="123"/>
      <c r="N31" s="123"/>
      <c r="O31" s="123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 t="s">
        <v>151</v>
      </c>
      <c r="AD31" s="13">
        <f>SUBTOTAL(3,AD26:AD30)</f>
        <v>5</v>
      </c>
      <c r="AE31" s="13">
        <f>SUBTOTAL(3,AE26:AE30)</f>
        <v>5</v>
      </c>
      <c r="AH31" s="114"/>
    </row>
    <row r="32" spans="1:34" ht="19.5" x14ac:dyDescent="0.4">
      <c r="A32" s="117"/>
      <c r="B32" s="123"/>
      <c r="C32" s="123"/>
      <c r="D32" s="123"/>
      <c r="L32" s="117"/>
      <c r="M32" s="123"/>
      <c r="N32" s="123"/>
      <c r="O32" s="123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25">
        <v>45271</v>
      </c>
      <c r="AE32" s="13" t="s">
        <v>163</v>
      </c>
      <c r="AH32" s="114"/>
    </row>
    <row r="33" spans="1:34" ht="19.5" x14ac:dyDescent="0.4">
      <c r="A33" s="117"/>
      <c r="B33" s="123"/>
      <c r="C33" s="123"/>
      <c r="D33" s="123"/>
      <c r="L33" s="117"/>
      <c r="M33" s="123"/>
      <c r="N33" s="123"/>
      <c r="O33" s="123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25">
        <v>45271</v>
      </c>
      <c r="AE33" s="13" t="s">
        <v>164</v>
      </c>
      <c r="AH33" s="114"/>
    </row>
    <row r="34" spans="1:34" ht="19.5" x14ac:dyDescent="0.4">
      <c r="A34" s="117"/>
      <c r="B34" s="123"/>
      <c r="C34" s="123"/>
      <c r="D34" s="123"/>
      <c r="L34" s="117"/>
      <c r="M34" s="123"/>
      <c r="N34" s="123"/>
      <c r="O34" s="123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25">
        <v>45271</v>
      </c>
      <c r="AE34" s="13" t="s">
        <v>164</v>
      </c>
      <c r="AH34" s="114"/>
    </row>
    <row r="35" spans="1:34" ht="19.5" x14ac:dyDescent="0.4">
      <c r="A35" s="117"/>
      <c r="B35" s="123"/>
      <c r="C35" s="123"/>
      <c r="D35" s="123"/>
      <c r="L35" s="117"/>
      <c r="M35" s="123"/>
      <c r="N35" s="123"/>
      <c r="O35" s="123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 t="s">
        <v>166</v>
      </c>
      <c r="AD35" s="13">
        <f>SUBTOTAL(3,AD32:AD34)</f>
        <v>3</v>
      </c>
      <c r="AE35" s="13">
        <f>SUBTOTAL(3,AE32:AE34)</f>
        <v>3</v>
      </c>
      <c r="AH35" s="114"/>
    </row>
    <row r="36" spans="1:34" ht="19.5" x14ac:dyDescent="0.4">
      <c r="A36" s="117"/>
      <c r="B36" s="123"/>
      <c r="C36" s="123"/>
      <c r="D36" s="123"/>
      <c r="L36" s="117"/>
      <c r="M36" s="123"/>
      <c r="N36" s="123"/>
      <c r="O36" s="123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25">
        <v>45272</v>
      </c>
      <c r="AE36" s="13" t="s">
        <v>163</v>
      </c>
      <c r="AH36" s="114"/>
    </row>
    <row r="37" spans="1:34" ht="19.5" x14ac:dyDescent="0.4">
      <c r="A37" s="117"/>
      <c r="B37" s="123"/>
      <c r="C37" s="123"/>
      <c r="D37" s="123"/>
      <c r="L37" s="117"/>
      <c r="M37" s="123"/>
      <c r="N37" s="123"/>
      <c r="O37" s="123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25">
        <v>45272</v>
      </c>
      <c r="AE37" s="13" t="s">
        <v>163</v>
      </c>
      <c r="AH37" s="114"/>
    </row>
    <row r="38" spans="1:34" ht="19.5" x14ac:dyDescent="0.4">
      <c r="A38" s="117"/>
      <c r="B38" s="123"/>
      <c r="C38" s="123"/>
      <c r="D38" s="123"/>
      <c r="L38" s="117"/>
      <c r="M38" s="123"/>
      <c r="N38" s="123"/>
      <c r="O38" s="123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25">
        <v>45272</v>
      </c>
      <c r="AE38" s="13" t="s">
        <v>163</v>
      </c>
      <c r="AH38" s="114"/>
    </row>
    <row r="39" spans="1:34" ht="19.5" x14ac:dyDescent="0.4">
      <c r="L39" s="117"/>
      <c r="M39" s="123"/>
      <c r="N39" s="123"/>
      <c r="O39" s="123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25">
        <v>45272</v>
      </c>
      <c r="AE39" s="13" t="s">
        <v>163</v>
      </c>
      <c r="AH39" s="114"/>
    </row>
    <row r="40" spans="1:34" ht="19.5" x14ac:dyDescent="0.4">
      <c r="L40" s="117"/>
      <c r="M40" s="123"/>
      <c r="N40" s="123"/>
      <c r="O40" s="123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25">
        <v>45272</v>
      </c>
      <c r="AE40" s="13" t="s">
        <v>163</v>
      </c>
      <c r="AH40" s="114"/>
    </row>
    <row r="41" spans="1:34" ht="19.5" x14ac:dyDescent="0.4">
      <c r="L41" s="117"/>
      <c r="M41" s="123"/>
      <c r="N41" s="123"/>
      <c r="O41" s="123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25">
        <v>45272</v>
      </c>
      <c r="AE41" s="15" t="s">
        <v>163</v>
      </c>
      <c r="AH41" s="114"/>
    </row>
    <row r="42" spans="1:34" ht="19.5" x14ac:dyDescent="0.4">
      <c r="L42" s="117"/>
      <c r="M42" s="123"/>
      <c r="N42" s="123"/>
      <c r="O42" s="123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25">
        <v>45272</v>
      </c>
      <c r="AE42" s="15" t="s">
        <v>163</v>
      </c>
      <c r="AH42" s="114"/>
    </row>
    <row r="43" spans="1:34" ht="19.5" x14ac:dyDescent="0.4">
      <c r="L43" s="117"/>
      <c r="M43" s="123"/>
      <c r="N43" s="123"/>
      <c r="O43" s="123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25">
        <v>45272</v>
      </c>
      <c r="AE43" s="15" t="s">
        <v>163</v>
      </c>
      <c r="AH43" s="114"/>
    </row>
    <row r="44" spans="1:34" ht="19.5" x14ac:dyDescent="0.4">
      <c r="L44" s="117"/>
      <c r="M44" s="123"/>
      <c r="N44" s="123"/>
      <c r="O44" s="123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25">
        <v>45272</v>
      </c>
      <c r="AE44" s="15" t="s">
        <v>163</v>
      </c>
      <c r="AH44" s="114"/>
    </row>
    <row r="45" spans="1:34" ht="19.5" x14ac:dyDescent="0.4">
      <c r="L45" s="117"/>
      <c r="M45" s="123"/>
      <c r="N45" s="123"/>
      <c r="O45" s="123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25">
        <v>45272</v>
      </c>
      <c r="AE45" s="15" t="s">
        <v>163</v>
      </c>
      <c r="AH45" s="114"/>
    </row>
    <row r="46" spans="1:34" ht="19.5" x14ac:dyDescent="0.4">
      <c r="L46" s="117"/>
      <c r="M46" s="123"/>
      <c r="N46" s="123"/>
      <c r="O46" s="123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25">
        <v>45272</v>
      </c>
      <c r="AE46" s="15" t="s">
        <v>163</v>
      </c>
      <c r="AH46" s="114"/>
    </row>
    <row r="47" spans="1:34" ht="19.5" x14ac:dyDescent="0.4">
      <c r="L47" s="117"/>
      <c r="M47" s="123"/>
      <c r="N47" s="123"/>
      <c r="O47" s="123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25">
        <v>45272</v>
      </c>
      <c r="AE47" s="15" t="s">
        <v>163</v>
      </c>
      <c r="AH47" s="114"/>
    </row>
    <row r="48" spans="1:34" ht="19.5" x14ac:dyDescent="0.4">
      <c r="L48" s="117"/>
      <c r="M48" s="123"/>
      <c r="N48" s="123"/>
      <c r="O48" s="123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25">
        <v>45272</v>
      </c>
      <c r="AE48" s="15" t="s">
        <v>163</v>
      </c>
      <c r="AH48" s="114"/>
    </row>
    <row r="49" spans="12:34" ht="19.5" x14ac:dyDescent="0.4">
      <c r="L49" s="117"/>
      <c r="M49" s="123"/>
      <c r="N49" s="123"/>
      <c r="O49" s="123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 t="s">
        <v>167</v>
      </c>
      <c r="AD49" s="13">
        <f>SUBTOTAL(3,AD36:AD48)</f>
        <v>13</v>
      </c>
      <c r="AE49" s="15">
        <f>SUBTOTAL(3,AE36:AE48)</f>
        <v>13</v>
      </c>
      <c r="AH49" s="114"/>
    </row>
    <row r="50" spans="12:34" ht="19.5" x14ac:dyDescent="0.4">
      <c r="L50" s="117"/>
      <c r="M50" s="123"/>
      <c r="N50" s="123"/>
      <c r="O50" s="123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25">
        <v>45273</v>
      </c>
      <c r="AE50" s="105" t="s">
        <v>165</v>
      </c>
      <c r="AH50" s="114"/>
    </row>
    <row r="51" spans="12:34" ht="19.5" x14ac:dyDescent="0.4">
      <c r="L51" s="117"/>
      <c r="M51" s="123"/>
      <c r="N51" s="123"/>
      <c r="O51" s="123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25">
        <v>45273</v>
      </c>
      <c r="AE51" s="15" t="s">
        <v>165</v>
      </c>
      <c r="AH51" s="114"/>
    </row>
    <row r="52" spans="12:34" ht="19.5" x14ac:dyDescent="0.4">
      <c r="L52" s="117"/>
      <c r="M52" s="123"/>
      <c r="N52" s="123"/>
      <c r="O52" s="123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25">
        <v>45273</v>
      </c>
      <c r="AE52" s="13" t="s">
        <v>165</v>
      </c>
      <c r="AH52" s="114"/>
    </row>
    <row r="53" spans="12:34" ht="19.5" x14ac:dyDescent="0.4">
      <c r="L53" s="117"/>
      <c r="M53" s="123"/>
      <c r="N53" s="123"/>
      <c r="O53" s="123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25">
        <v>45273</v>
      </c>
      <c r="AE53" s="15" t="s">
        <v>165</v>
      </c>
      <c r="AH53" s="114"/>
    </row>
    <row r="54" spans="12:34" ht="19.5" x14ac:dyDescent="0.4">
      <c r="L54" s="117"/>
      <c r="M54" s="123"/>
      <c r="N54" s="123"/>
      <c r="O54" s="123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25">
        <v>45273</v>
      </c>
      <c r="AE54" s="15" t="s">
        <v>163</v>
      </c>
      <c r="AH54" s="114"/>
    </row>
    <row r="55" spans="12:34" ht="19.5" x14ac:dyDescent="0.4">
      <c r="L55" s="117"/>
      <c r="M55" s="123"/>
      <c r="N55" s="123"/>
      <c r="O55" s="123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25">
        <v>45273</v>
      </c>
      <c r="AE55" s="15" t="s">
        <v>163</v>
      </c>
      <c r="AH55" s="114"/>
    </row>
    <row r="56" spans="12:34" ht="19.5" x14ac:dyDescent="0.4">
      <c r="L56" s="117"/>
      <c r="M56" s="123"/>
      <c r="N56" s="123"/>
      <c r="O56" s="123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25">
        <v>45273</v>
      </c>
      <c r="AE56" s="15" t="s">
        <v>163</v>
      </c>
      <c r="AH56" s="114"/>
    </row>
    <row r="57" spans="12:34" ht="19.5" x14ac:dyDescent="0.4">
      <c r="L57" s="117"/>
      <c r="M57" s="123"/>
      <c r="N57" s="123"/>
      <c r="O57" s="123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25">
        <v>45273</v>
      </c>
      <c r="AE57" s="15" t="s">
        <v>163</v>
      </c>
      <c r="AH57" s="114"/>
    </row>
    <row r="58" spans="12:34" ht="19.5" x14ac:dyDescent="0.4">
      <c r="L58" s="117"/>
      <c r="M58" s="123"/>
      <c r="N58" s="123"/>
      <c r="O58" s="123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25">
        <v>45273</v>
      </c>
      <c r="AE58" s="15" t="s">
        <v>163</v>
      </c>
      <c r="AH58" s="114"/>
    </row>
    <row r="59" spans="12:34" ht="19.5" x14ac:dyDescent="0.4">
      <c r="L59" s="117"/>
      <c r="M59" s="123"/>
      <c r="N59" s="123"/>
      <c r="O59" s="123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25">
        <v>45273</v>
      </c>
      <c r="AE59" s="15" t="s">
        <v>163</v>
      </c>
      <c r="AH59" s="114"/>
    </row>
    <row r="60" spans="12:34" ht="19.5" x14ac:dyDescent="0.4">
      <c r="L60" s="117"/>
      <c r="M60" s="123"/>
      <c r="N60" s="123"/>
      <c r="O60" s="123"/>
      <c r="P60" s="115"/>
      <c r="Q60" s="115"/>
      <c r="R60" s="115"/>
      <c r="S60" s="115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25">
        <v>45273</v>
      </c>
      <c r="AE60" s="15" t="s">
        <v>163</v>
      </c>
      <c r="AH60" s="114"/>
    </row>
    <row r="61" spans="12:34" ht="19.5" x14ac:dyDescent="0.4">
      <c r="L61" s="117"/>
      <c r="M61" s="123"/>
      <c r="N61" s="123"/>
      <c r="O61" s="123"/>
      <c r="P61" s="115"/>
      <c r="Q61" s="115"/>
      <c r="R61" s="115"/>
      <c r="S61" s="115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25">
        <v>45273</v>
      </c>
      <c r="AE61" s="15" t="s">
        <v>163</v>
      </c>
      <c r="AH61" s="114"/>
    </row>
    <row r="62" spans="12:34" ht="19.5" x14ac:dyDescent="0.4">
      <c r="L62" s="117"/>
      <c r="M62" s="123"/>
      <c r="N62" s="123"/>
      <c r="O62" s="123"/>
      <c r="P62" s="115"/>
      <c r="Q62" s="115"/>
      <c r="R62" s="115"/>
      <c r="S62" s="115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25">
        <v>45273</v>
      </c>
      <c r="AE62" s="15" t="s">
        <v>163</v>
      </c>
      <c r="AH62" s="114"/>
    </row>
    <row r="63" spans="12:34" ht="19.5" x14ac:dyDescent="0.4">
      <c r="L63" s="117"/>
      <c r="M63" s="123"/>
      <c r="N63" s="123"/>
      <c r="O63" s="123"/>
      <c r="P63" s="115"/>
      <c r="Q63" s="115"/>
      <c r="R63" s="115"/>
      <c r="S63" s="115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25">
        <v>45273</v>
      </c>
      <c r="AE63" s="15" t="s">
        <v>163</v>
      </c>
      <c r="AH63" s="114"/>
    </row>
    <row r="64" spans="12:34" ht="19.5" x14ac:dyDescent="0.4">
      <c r="L64" s="117"/>
      <c r="M64" s="123"/>
      <c r="N64" s="123"/>
      <c r="O64" s="123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25">
        <v>45273</v>
      </c>
      <c r="AE64" s="13" t="s">
        <v>163</v>
      </c>
      <c r="AH64" s="114"/>
    </row>
    <row r="65" spans="12:34" ht="19.5" x14ac:dyDescent="0.4">
      <c r="L65" s="117"/>
      <c r="M65" s="123"/>
      <c r="N65" s="123"/>
      <c r="O65" s="123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25">
        <v>45273</v>
      </c>
      <c r="AE65" s="15" t="s">
        <v>163</v>
      </c>
      <c r="AH65" s="114"/>
    </row>
    <row r="66" spans="12:34" ht="19.5" x14ac:dyDescent="0.4">
      <c r="L66" s="117"/>
      <c r="M66" s="123"/>
      <c r="N66" s="123"/>
      <c r="O66" s="123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25">
        <v>45273</v>
      </c>
      <c r="AE66" s="15" t="s">
        <v>163</v>
      </c>
      <c r="AH66" s="114"/>
    </row>
    <row r="67" spans="12:34" ht="19.5" x14ac:dyDescent="0.4">
      <c r="L67" s="117"/>
      <c r="M67" s="123"/>
      <c r="N67" s="123"/>
      <c r="O67" s="123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25">
        <v>45273</v>
      </c>
      <c r="AE67" s="15" t="s">
        <v>163</v>
      </c>
      <c r="AH67" s="114"/>
    </row>
    <row r="68" spans="12:34" ht="19.5" x14ac:dyDescent="0.4">
      <c r="L68" s="117"/>
      <c r="M68" s="123"/>
      <c r="N68" s="123"/>
      <c r="O68" s="123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25">
        <v>45273</v>
      </c>
      <c r="AE68" s="15" t="s">
        <v>163</v>
      </c>
      <c r="AH68" s="114"/>
    </row>
    <row r="69" spans="12:34" ht="19.5" x14ac:dyDescent="0.4">
      <c r="L69" s="117"/>
      <c r="M69" s="123"/>
      <c r="N69" s="123"/>
      <c r="O69" s="123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25">
        <v>45273</v>
      </c>
      <c r="AE69" s="15" t="s">
        <v>163</v>
      </c>
      <c r="AH69" s="114"/>
    </row>
    <row r="70" spans="12:34" ht="19.5" x14ac:dyDescent="0.4">
      <c r="L70" s="117"/>
      <c r="M70" s="123"/>
      <c r="N70" s="123"/>
      <c r="O70" s="123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25">
        <v>45273</v>
      </c>
      <c r="AE70" s="15" t="s">
        <v>163</v>
      </c>
      <c r="AH70" s="114"/>
    </row>
    <row r="71" spans="12:34" ht="19.5" x14ac:dyDescent="0.4">
      <c r="L71" s="117"/>
      <c r="M71" s="123"/>
      <c r="N71" s="123"/>
      <c r="O71" s="123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25">
        <v>45273</v>
      </c>
      <c r="AE71" s="13" t="s">
        <v>164</v>
      </c>
      <c r="AH71" s="114"/>
    </row>
    <row r="72" spans="12:34" ht="19.5" x14ac:dyDescent="0.4">
      <c r="L72" s="117"/>
      <c r="M72" s="123"/>
      <c r="N72" s="123"/>
      <c r="O72" s="123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 t="s">
        <v>152</v>
      </c>
      <c r="AD72" s="13">
        <f>SUBTOTAL(3,AD50:AD71)</f>
        <v>22</v>
      </c>
      <c r="AE72" s="13">
        <f>SUBTOTAL(3,AE50:AE71)</f>
        <v>22</v>
      </c>
      <c r="AH72" s="114"/>
    </row>
    <row r="73" spans="12:34" ht="19.5" x14ac:dyDescent="0.4">
      <c r="L73" s="117"/>
      <c r="M73" s="123"/>
      <c r="N73" s="123"/>
      <c r="O73" s="123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25">
        <v>45274</v>
      </c>
      <c r="AE73" s="15" t="s">
        <v>163</v>
      </c>
      <c r="AH73" s="114"/>
    </row>
    <row r="74" spans="12:34" ht="19.5" x14ac:dyDescent="0.4">
      <c r="L74" s="117"/>
      <c r="M74" s="123"/>
      <c r="N74" s="123"/>
      <c r="O74" s="123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25">
        <v>45274</v>
      </c>
      <c r="AE74" s="15" t="s">
        <v>163</v>
      </c>
      <c r="AH74" s="114"/>
    </row>
    <row r="75" spans="12:34" ht="19.5" x14ac:dyDescent="0.4">
      <c r="L75" s="117"/>
      <c r="M75" s="123"/>
      <c r="N75" s="123"/>
      <c r="O75" s="123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25">
        <v>45274</v>
      </c>
      <c r="AE75" s="15" t="s">
        <v>163</v>
      </c>
      <c r="AH75" s="114"/>
    </row>
    <row r="76" spans="12:34" ht="19.5" x14ac:dyDescent="0.4">
      <c r="L76" s="117"/>
      <c r="M76" s="123"/>
      <c r="N76" s="123"/>
      <c r="O76" s="123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25">
        <v>45274</v>
      </c>
      <c r="AE76" s="15" t="s">
        <v>163</v>
      </c>
      <c r="AH76" s="114"/>
    </row>
    <row r="77" spans="12:34" ht="19.5" x14ac:dyDescent="0.4">
      <c r="L77" s="117"/>
      <c r="M77" s="123"/>
      <c r="N77" s="123"/>
      <c r="O77" s="123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25">
        <v>45274</v>
      </c>
      <c r="AE77" s="15" t="s">
        <v>164</v>
      </c>
      <c r="AH77" s="114"/>
    </row>
    <row r="78" spans="12:34" ht="19.5" x14ac:dyDescent="0.4">
      <c r="L78" s="117"/>
      <c r="M78" s="123"/>
      <c r="N78" s="123"/>
      <c r="O78" s="123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 t="s">
        <v>168</v>
      </c>
      <c r="AD78" s="13">
        <f>SUBTOTAL(3,AD73:AD77)</f>
        <v>5</v>
      </c>
      <c r="AE78" s="15">
        <f>SUBTOTAL(3,AE73:AE77)</f>
        <v>5</v>
      </c>
      <c r="AH78" s="114"/>
    </row>
    <row r="79" spans="12:34" ht="19.5" x14ac:dyDescent="0.4">
      <c r="L79" s="117"/>
      <c r="M79" s="123"/>
      <c r="N79" s="123"/>
      <c r="O79" s="123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25">
        <v>45275</v>
      </c>
      <c r="AE79" s="15" t="s">
        <v>164</v>
      </c>
      <c r="AH79" s="114"/>
    </row>
    <row r="80" spans="12:34" ht="19.5" x14ac:dyDescent="0.4">
      <c r="L80" s="117"/>
      <c r="M80" s="123"/>
      <c r="N80" s="123"/>
      <c r="O80" s="123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 t="s">
        <v>169</v>
      </c>
      <c r="AD80" s="13">
        <f>SUBTOTAL(3,AD79:AD79)</f>
        <v>1</v>
      </c>
      <c r="AE80" s="15">
        <f>SUBTOTAL(3,AE79:AE79)</f>
        <v>1</v>
      </c>
      <c r="AH80" s="114"/>
    </row>
    <row r="81" spans="11:34" ht="19.5" x14ac:dyDescent="0.4">
      <c r="L81" s="117"/>
      <c r="M81" s="123"/>
      <c r="N81" s="123"/>
      <c r="O81" s="123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25">
        <v>45276</v>
      </c>
      <c r="AE81" s="15" t="s">
        <v>165</v>
      </c>
      <c r="AH81" s="114"/>
    </row>
    <row r="82" spans="11:34" ht="19.5" x14ac:dyDescent="0.4">
      <c r="L82" s="117"/>
      <c r="M82" s="123"/>
      <c r="N82" s="123"/>
      <c r="O82" s="123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25">
        <v>45276</v>
      </c>
      <c r="AE82" s="15" t="s">
        <v>163</v>
      </c>
      <c r="AH82" s="114"/>
    </row>
    <row r="83" spans="11:34" ht="19.5" x14ac:dyDescent="0.4">
      <c r="L83" s="117"/>
      <c r="M83" s="123"/>
      <c r="N83" s="123"/>
      <c r="O83" s="123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25">
        <v>45276</v>
      </c>
      <c r="AE83" s="15" t="s">
        <v>163</v>
      </c>
      <c r="AH83" s="114"/>
    </row>
    <row r="84" spans="11:34" ht="19.5" x14ac:dyDescent="0.4">
      <c r="L84" s="117"/>
      <c r="M84" s="123"/>
      <c r="N84" s="123"/>
      <c r="O84" s="123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25">
        <v>45276</v>
      </c>
      <c r="AE84" s="15" t="s">
        <v>163</v>
      </c>
      <c r="AH84" s="114"/>
    </row>
    <row r="85" spans="11:34" ht="19.5" x14ac:dyDescent="0.4">
      <c r="L85" s="117"/>
      <c r="M85" s="123"/>
      <c r="N85" s="123"/>
      <c r="O85" s="123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25">
        <v>45276</v>
      </c>
      <c r="AE85" s="15" t="s">
        <v>163</v>
      </c>
      <c r="AH85" s="114"/>
    </row>
    <row r="86" spans="11:34" ht="19.5" x14ac:dyDescent="0.4">
      <c r="L86" s="117"/>
      <c r="M86" s="123"/>
      <c r="N86" s="123"/>
      <c r="O86" s="123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25">
        <v>45276</v>
      </c>
      <c r="AE86" s="15" t="s">
        <v>163</v>
      </c>
      <c r="AH86" s="114"/>
    </row>
    <row r="87" spans="11:34" ht="19.5" x14ac:dyDescent="0.4">
      <c r="L87" s="117"/>
      <c r="M87" s="123"/>
      <c r="N87" s="123"/>
      <c r="O87" s="123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25">
        <v>45276</v>
      </c>
      <c r="AE87" s="15" t="s">
        <v>163</v>
      </c>
      <c r="AH87" s="114"/>
    </row>
    <row r="88" spans="11:34" ht="19.5" x14ac:dyDescent="0.4">
      <c r="K88" s="115"/>
      <c r="L88" s="117"/>
      <c r="M88" s="123"/>
      <c r="N88" s="123"/>
      <c r="O88" s="123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25">
        <v>45276</v>
      </c>
      <c r="AE88" s="15" t="s">
        <v>163</v>
      </c>
      <c r="AH88" s="114"/>
    </row>
    <row r="89" spans="11:34" ht="19.5" x14ac:dyDescent="0.4">
      <c r="K89" s="115"/>
      <c r="L89" s="117"/>
      <c r="M89" s="123"/>
      <c r="N89" s="123"/>
      <c r="O89" s="123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25">
        <v>45276</v>
      </c>
      <c r="AE89" s="15" t="s">
        <v>163</v>
      </c>
      <c r="AH89" s="114"/>
    </row>
    <row r="90" spans="11:34" ht="19.5" x14ac:dyDescent="0.4">
      <c r="K90" s="115"/>
      <c r="L90" s="117"/>
      <c r="M90" s="123"/>
      <c r="N90" s="123"/>
      <c r="O90" s="123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25">
        <v>45276</v>
      </c>
      <c r="AE90" s="15" t="s">
        <v>163</v>
      </c>
      <c r="AH90" s="114"/>
    </row>
    <row r="91" spans="11:34" ht="19.5" x14ac:dyDescent="0.4">
      <c r="K91" s="115"/>
      <c r="L91" s="117"/>
      <c r="M91" s="123"/>
      <c r="N91" s="123"/>
      <c r="O91" s="123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25">
        <v>45276</v>
      </c>
      <c r="AE91" s="15" t="s">
        <v>163</v>
      </c>
      <c r="AH91" s="114"/>
    </row>
    <row r="92" spans="11:34" ht="19.5" x14ac:dyDescent="0.4">
      <c r="K92" s="115"/>
      <c r="L92" s="117"/>
      <c r="M92" s="123"/>
      <c r="N92" s="123"/>
      <c r="O92" s="123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25">
        <v>45276</v>
      </c>
      <c r="AE92" s="15" t="s">
        <v>163</v>
      </c>
      <c r="AH92" s="114"/>
    </row>
    <row r="93" spans="11:34" ht="19.5" x14ac:dyDescent="0.4">
      <c r="K93" s="115"/>
      <c r="L93" s="117"/>
      <c r="M93" s="123"/>
      <c r="N93" s="123"/>
      <c r="O93" s="123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25">
        <v>45276</v>
      </c>
      <c r="AE93" s="15" t="s">
        <v>163</v>
      </c>
      <c r="AH93" s="114"/>
    </row>
    <row r="94" spans="11:34" ht="19.5" x14ac:dyDescent="0.4">
      <c r="K94" s="115"/>
      <c r="L94" s="117"/>
      <c r="M94" s="123"/>
      <c r="N94" s="123"/>
      <c r="O94" s="123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25">
        <v>45276</v>
      </c>
      <c r="AE94" s="15" t="s">
        <v>163</v>
      </c>
      <c r="AH94" s="114"/>
    </row>
    <row r="95" spans="11:34" ht="19.5" x14ac:dyDescent="0.4">
      <c r="K95" s="115"/>
      <c r="L95" s="117"/>
      <c r="M95" s="123"/>
      <c r="N95" s="123"/>
      <c r="O95" s="123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25">
        <v>45276</v>
      </c>
      <c r="AE95" s="15" t="s">
        <v>163</v>
      </c>
      <c r="AH95" s="114"/>
    </row>
    <row r="96" spans="11:34" ht="19.5" x14ac:dyDescent="0.4">
      <c r="K96" s="115"/>
      <c r="L96" s="117"/>
      <c r="M96" s="123"/>
      <c r="N96" s="123"/>
      <c r="O96" s="123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25">
        <v>45276</v>
      </c>
      <c r="AE96" s="15" t="s">
        <v>163</v>
      </c>
      <c r="AH96" s="114"/>
    </row>
    <row r="97" spans="11:34" ht="19.5" x14ac:dyDescent="0.4">
      <c r="K97" s="115"/>
      <c r="L97" s="117"/>
      <c r="M97" s="123"/>
      <c r="N97" s="123"/>
      <c r="O97" s="123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25">
        <v>45276</v>
      </c>
      <c r="AE97" s="15" t="s">
        <v>163</v>
      </c>
      <c r="AH97" s="114"/>
    </row>
    <row r="98" spans="11:34" ht="19.5" x14ac:dyDescent="0.4">
      <c r="K98" s="115"/>
      <c r="L98" s="117"/>
      <c r="M98" s="123"/>
      <c r="N98" s="123"/>
      <c r="O98" s="123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 t="s">
        <v>170</v>
      </c>
      <c r="AD98" s="13">
        <f>SUBTOTAL(3,AD81:AD97)</f>
        <v>17</v>
      </c>
      <c r="AE98" s="15">
        <f>SUBTOTAL(3,AE81:AE97)</f>
        <v>17</v>
      </c>
      <c r="AH98" s="114"/>
    </row>
    <row r="99" spans="11:34" ht="19.5" x14ac:dyDescent="0.4">
      <c r="K99" s="115"/>
      <c r="L99" s="117"/>
      <c r="M99" s="123"/>
      <c r="N99" s="123"/>
      <c r="O99" s="123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25">
        <v>45277</v>
      </c>
      <c r="AE99" s="15" t="s">
        <v>163</v>
      </c>
      <c r="AH99" s="114"/>
    </row>
    <row r="100" spans="11:34" ht="19.5" x14ac:dyDescent="0.4">
      <c r="K100" s="115"/>
      <c r="L100" s="117"/>
      <c r="M100" s="123"/>
      <c r="N100" s="123"/>
      <c r="O100" s="123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25">
        <v>45277</v>
      </c>
      <c r="AE100" s="15" t="s">
        <v>163</v>
      </c>
      <c r="AH100" s="114"/>
    </row>
    <row r="101" spans="11:34" ht="19.5" x14ac:dyDescent="0.4">
      <c r="K101" s="115"/>
      <c r="L101" s="117"/>
      <c r="M101" s="123"/>
      <c r="N101" s="123"/>
      <c r="O101" s="123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26">
        <v>45277</v>
      </c>
      <c r="AE101" s="13" t="s">
        <v>163</v>
      </c>
      <c r="AH101" s="114"/>
    </row>
    <row r="102" spans="11:34" ht="19.5" x14ac:dyDescent="0.4">
      <c r="K102" s="115"/>
      <c r="L102" s="117"/>
      <c r="M102" s="123"/>
      <c r="N102" s="123"/>
      <c r="O102" s="123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26">
        <v>45277</v>
      </c>
      <c r="AE102" s="15" t="s">
        <v>163</v>
      </c>
      <c r="AH102" s="114"/>
    </row>
    <row r="103" spans="11:34" ht="19.5" x14ac:dyDescent="0.4">
      <c r="K103" s="115"/>
      <c r="L103" s="117"/>
      <c r="M103" s="123"/>
      <c r="N103" s="123"/>
      <c r="O103" s="123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26">
        <v>45277</v>
      </c>
      <c r="AE103" s="15" t="s">
        <v>163</v>
      </c>
      <c r="AH103" s="114"/>
    </row>
    <row r="104" spans="11:34" ht="19.5" x14ac:dyDescent="0.4">
      <c r="K104" s="115"/>
      <c r="L104" s="117"/>
      <c r="M104" s="123"/>
      <c r="N104" s="123"/>
      <c r="O104" s="123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 t="s">
        <v>160</v>
      </c>
      <c r="AD104" s="17">
        <f>SUBTOTAL(3,AD99:AD103)</f>
        <v>5</v>
      </c>
      <c r="AE104" s="15">
        <f>SUBTOTAL(3,AE99:AE103)</f>
        <v>5</v>
      </c>
      <c r="AH104" s="114"/>
    </row>
    <row r="105" spans="11:34" ht="19.5" x14ac:dyDescent="0.4">
      <c r="K105" s="115"/>
      <c r="L105" s="117"/>
      <c r="M105" s="123"/>
      <c r="N105" s="123"/>
      <c r="O105" s="123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26">
        <v>45278</v>
      </c>
      <c r="AE105" s="15" t="s">
        <v>165</v>
      </c>
      <c r="AH105" s="114"/>
    </row>
    <row r="106" spans="11:34" ht="19.5" x14ac:dyDescent="0.4">
      <c r="K106" s="115"/>
      <c r="L106" s="117"/>
      <c r="M106" s="123"/>
      <c r="N106" s="123"/>
      <c r="O106" s="123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26">
        <v>45278</v>
      </c>
      <c r="AE106" s="15" t="s">
        <v>165</v>
      </c>
      <c r="AH106" s="114"/>
    </row>
    <row r="107" spans="11:34" ht="19.5" x14ac:dyDescent="0.4">
      <c r="K107" s="115"/>
      <c r="L107" s="117"/>
      <c r="M107" s="123"/>
      <c r="N107" s="123"/>
      <c r="O107" s="123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26">
        <v>45278</v>
      </c>
      <c r="AE107" s="15" t="s">
        <v>163</v>
      </c>
      <c r="AH107" s="114"/>
    </row>
    <row r="108" spans="11:34" ht="19.5" x14ac:dyDescent="0.4">
      <c r="K108" s="115"/>
      <c r="L108" s="117"/>
      <c r="M108" s="123"/>
      <c r="N108" s="123"/>
      <c r="O108" s="123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26">
        <v>45278</v>
      </c>
      <c r="AE108" s="15" t="s">
        <v>142</v>
      </c>
      <c r="AH108" s="114"/>
    </row>
    <row r="109" spans="11:34" ht="19.5" x14ac:dyDescent="0.4">
      <c r="K109" s="115"/>
      <c r="L109" s="117"/>
      <c r="M109" s="123"/>
      <c r="N109" s="123"/>
      <c r="O109" s="123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26">
        <v>45278</v>
      </c>
      <c r="AE109" s="15" t="s">
        <v>163</v>
      </c>
      <c r="AH109" s="114"/>
    </row>
    <row r="110" spans="11:34" ht="19.5" x14ac:dyDescent="0.4">
      <c r="K110" s="115"/>
      <c r="L110" s="117"/>
      <c r="M110" s="123"/>
      <c r="N110" s="123"/>
      <c r="O110" s="123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26">
        <v>45278</v>
      </c>
      <c r="AE110" s="15" t="s">
        <v>163</v>
      </c>
      <c r="AH110" s="114"/>
    </row>
    <row r="111" spans="11:34" ht="19.5" x14ac:dyDescent="0.4">
      <c r="K111" s="115"/>
      <c r="L111" s="117"/>
      <c r="M111" s="123"/>
      <c r="N111" s="123"/>
      <c r="O111" s="123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26">
        <v>45278</v>
      </c>
      <c r="AE111" s="15" t="s">
        <v>163</v>
      </c>
      <c r="AH111" s="114"/>
    </row>
    <row r="112" spans="11:34" ht="19.5" x14ac:dyDescent="0.4">
      <c r="K112" s="115"/>
      <c r="L112" s="117"/>
      <c r="M112" s="123"/>
      <c r="N112" s="123"/>
      <c r="O112" s="123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26">
        <v>45278</v>
      </c>
      <c r="AE112" s="15" t="s">
        <v>164</v>
      </c>
      <c r="AH112" s="114"/>
    </row>
    <row r="113" spans="11:34" ht="19.5" x14ac:dyDescent="0.4">
      <c r="K113" s="115"/>
      <c r="L113" s="117"/>
      <c r="M113" s="123"/>
      <c r="N113" s="123"/>
      <c r="O113" s="123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26">
        <v>45278</v>
      </c>
      <c r="AE113" s="105" t="s">
        <v>164</v>
      </c>
      <c r="AH113" s="114"/>
    </row>
    <row r="114" spans="11:34" ht="19.5" x14ac:dyDescent="0.4">
      <c r="K114" s="115"/>
      <c r="L114" s="117"/>
      <c r="M114" s="123"/>
      <c r="N114" s="123"/>
      <c r="O114" s="123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26">
        <v>45278</v>
      </c>
      <c r="AE114" s="15" t="s">
        <v>164</v>
      </c>
      <c r="AH114" s="114"/>
    </row>
    <row r="115" spans="11:34" ht="19.5" x14ac:dyDescent="0.4">
      <c r="K115" s="115"/>
      <c r="L115" s="117"/>
      <c r="M115" s="123"/>
      <c r="N115" s="123"/>
      <c r="O115" s="123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26">
        <v>45278</v>
      </c>
      <c r="AE115" s="15" t="s">
        <v>164</v>
      </c>
      <c r="AH115" s="114"/>
    </row>
    <row r="116" spans="11:34" ht="19.5" x14ac:dyDescent="0.4">
      <c r="K116" s="115"/>
      <c r="L116" s="117"/>
      <c r="M116" s="123"/>
      <c r="N116" s="123"/>
      <c r="O116" s="12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26">
        <v>45278</v>
      </c>
      <c r="AE116" s="15" t="s">
        <v>164</v>
      </c>
      <c r="AH116" s="114"/>
    </row>
    <row r="117" spans="11:34" ht="19.5" x14ac:dyDescent="0.4">
      <c r="K117" s="115"/>
      <c r="L117" s="117"/>
      <c r="M117" s="123"/>
      <c r="N117" s="123"/>
      <c r="O117" s="12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 t="s">
        <v>153</v>
      </c>
      <c r="AD117" s="17">
        <f>SUBTOTAL(3,AD105:AD116)</f>
        <v>12</v>
      </c>
      <c r="AE117" s="13">
        <f>SUBTOTAL(3,AE105:AE116)</f>
        <v>12</v>
      </c>
      <c r="AH117" s="114"/>
    </row>
    <row r="118" spans="11:34" ht="19.5" x14ac:dyDescent="0.4">
      <c r="K118" s="115"/>
      <c r="L118" s="117"/>
      <c r="M118" s="123"/>
      <c r="N118" s="123"/>
      <c r="O118" s="12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26">
        <v>45279</v>
      </c>
      <c r="AE118" s="25" t="s">
        <v>163</v>
      </c>
      <c r="AH118" s="114"/>
    </row>
    <row r="119" spans="11:34" ht="19.5" x14ac:dyDescent="0.4">
      <c r="K119" s="115"/>
      <c r="L119" s="117"/>
      <c r="M119" s="123"/>
      <c r="N119" s="123"/>
      <c r="O119" s="12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26">
        <v>45279</v>
      </c>
      <c r="AE119" s="13" t="s">
        <v>163</v>
      </c>
      <c r="AH119" s="114"/>
    </row>
    <row r="120" spans="11:34" ht="19.5" x14ac:dyDescent="0.4">
      <c r="K120" s="115"/>
      <c r="L120" s="117"/>
      <c r="M120" s="123"/>
      <c r="N120" s="123"/>
      <c r="O120" s="12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26">
        <v>45279</v>
      </c>
      <c r="AE120" s="13" t="s">
        <v>163</v>
      </c>
      <c r="AH120" s="114"/>
    </row>
    <row r="121" spans="11:34" ht="19.5" x14ac:dyDescent="0.4">
      <c r="K121" s="115"/>
      <c r="L121" s="117"/>
      <c r="M121" s="123"/>
      <c r="N121" s="123"/>
      <c r="O121" s="12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26">
        <v>45279</v>
      </c>
      <c r="AE121" s="13" t="s">
        <v>163</v>
      </c>
      <c r="AH121" s="114"/>
    </row>
    <row r="122" spans="11:34" ht="19.5" x14ac:dyDescent="0.4">
      <c r="K122" s="115"/>
      <c r="L122" s="117"/>
      <c r="M122" s="123"/>
      <c r="N122" s="123"/>
      <c r="O122" s="12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26">
        <v>45279</v>
      </c>
      <c r="AE122" s="13" t="s">
        <v>163</v>
      </c>
      <c r="AH122" s="114"/>
    </row>
    <row r="123" spans="11:34" ht="19.5" x14ac:dyDescent="0.4">
      <c r="K123" s="115"/>
      <c r="L123" s="117"/>
      <c r="M123" s="123"/>
      <c r="N123" s="123"/>
      <c r="O123" s="12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26">
        <v>45279</v>
      </c>
      <c r="AE123" s="13" t="s">
        <v>163</v>
      </c>
      <c r="AH123" s="114"/>
    </row>
    <row r="124" spans="11:34" ht="19.5" x14ac:dyDescent="0.4">
      <c r="K124" s="115"/>
      <c r="L124" s="117"/>
      <c r="M124" s="123"/>
      <c r="N124" s="123"/>
      <c r="O124" s="12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 t="s">
        <v>171</v>
      </c>
      <c r="AD124" s="17">
        <f>SUBTOTAL(3,AD118:AD123)</f>
        <v>6</v>
      </c>
      <c r="AE124" s="13">
        <f>SUBTOTAL(3,AE118:AE123)</f>
        <v>6</v>
      </c>
      <c r="AH124" s="114"/>
    </row>
    <row r="125" spans="11:34" ht="19.5" x14ac:dyDescent="0.4">
      <c r="K125" s="115"/>
      <c r="L125" s="117"/>
      <c r="M125" s="123"/>
      <c r="N125" s="123"/>
      <c r="O125" s="12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26">
        <v>45280</v>
      </c>
      <c r="AE125" s="13" t="s">
        <v>163</v>
      </c>
      <c r="AH125" s="114"/>
    </row>
    <row r="126" spans="11:34" ht="19.5" x14ac:dyDescent="0.4">
      <c r="K126" s="115"/>
      <c r="L126" s="116"/>
      <c r="M126" s="123"/>
      <c r="N126" s="123"/>
      <c r="O126" s="12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26">
        <v>45280</v>
      </c>
      <c r="AE126" s="13" t="s">
        <v>163</v>
      </c>
      <c r="AH126" s="114"/>
    </row>
    <row r="127" spans="11:34" ht="19.5" x14ac:dyDescent="0.4">
      <c r="K127" s="115"/>
      <c r="L127" s="116"/>
      <c r="M127" s="123"/>
      <c r="N127" s="123"/>
      <c r="O127" s="12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26">
        <v>45280</v>
      </c>
      <c r="AE127" s="13" t="s">
        <v>163</v>
      </c>
      <c r="AH127" s="114"/>
    </row>
    <row r="128" spans="11:34" ht="19.5" x14ac:dyDescent="0.4">
      <c r="K128" s="115"/>
      <c r="L128" s="116"/>
      <c r="M128" s="123"/>
      <c r="N128" s="123"/>
      <c r="O128" s="12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26">
        <v>45280</v>
      </c>
      <c r="AE128" s="13" t="s">
        <v>163</v>
      </c>
      <c r="AH128" s="114"/>
    </row>
    <row r="129" spans="8:34" ht="19.5" x14ac:dyDescent="0.4">
      <c r="K129" s="115"/>
      <c r="L129" s="116"/>
      <c r="M129" s="123"/>
      <c r="N129" s="123"/>
      <c r="O129" s="12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26">
        <v>45280</v>
      </c>
      <c r="AE129" s="13" t="s">
        <v>163</v>
      </c>
      <c r="AH129" s="114"/>
    </row>
    <row r="130" spans="8:34" ht="19.5" x14ac:dyDescent="0.4">
      <c r="K130" s="115"/>
      <c r="L130" s="116"/>
      <c r="M130" s="123"/>
      <c r="N130" s="123"/>
      <c r="O130" s="12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26">
        <v>45280</v>
      </c>
      <c r="AE130" s="13" t="s">
        <v>163</v>
      </c>
      <c r="AH130" s="114"/>
    </row>
    <row r="131" spans="8:34" ht="19.5" x14ac:dyDescent="0.4">
      <c r="K131" s="115"/>
      <c r="L131" s="116"/>
      <c r="M131" s="123"/>
      <c r="N131" s="123"/>
      <c r="O131" s="12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26">
        <v>45280</v>
      </c>
      <c r="AE131" s="13" t="s">
        <v>163</v>
      </c>
      <c r="AH131" s="114"/>
    </row>
    <row r="132" spans="8:34" ht="19.5" x14ac:dyDescent="0.4">
      <c r="K132" s="115"/>
      <c r="L132" s="116"/>
      <c r="M132" s="123"/>
      <c r="N132" s="123"/>
      <c r="O132" s="12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26">
        <v>45280</v>
      </c>
      <c r="AE132" s="13" t="s">
        <v>163</v>
      </c>
      <c r="AH132" s="114"/>
    </row>
    <row r="133" spans="8:34" ht="19.5" x14ac:dyDescent="0.4">
      <c r="J133" s="115"/>
      <c r="K133" s="115"/>
      <c r="L133" s="116"/>
      <c r="M133" s="123"/>
      <c r="N133" s="123"/>
      <c r="O133" s="12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26">
        <v>45280</v>
      </c>
      <c r="AE133" s="13" t="s">
        <v>163</v>
      </c>
      <c r="AH133" s="114"/>
    </row>
    <row r="134" spans="8:34" ht="19.5" x14ac:dyDescent="0.4">
      <c r="J134" s="115"/>
      <c r="K134" s="115"/>
      <c r="L134" s="116"/>
      <c r="M134" s="123"/>
      <c r="N134" s="123"/>
      <c r="O134" s="12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26">
        <v>45280</v>
      </c>
      <c r="AE134" s="13" t="s">
        <v>163</v>
      </c>
      <c r="AH134" s="114"/>
    </row>
    <row r="135" spans="8:34" ht="19.5" x14ac:dyDescent="0.4">
      <c r="H135" s="115"/>
      <c r="I135" s="115"/>
      <c r="J135" s="115"/>
      <c r="K135" s="115"/>
      <c r="L135" s="116"/>
      <c r="M135" s="123"/>
      <c r="N135" s="123"/>
      <c r="O135" s="12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26">
        <v>45280</v>
      </c>
      <c r="AE135" s="13" t="s">
        <v>163</v>
      </c>
      <c r="AH135" s="114"/>
    </row>
    <row r="136" spans="8:34" x14ac:dyDescent="0.4">
      <c r="H136" s="115"/>
      <c r="I136" s="115"/>
      <c r="J136" s="115"/>
      <c r="K136" s="115"/>
      <c r="L136" s="115"/>
      <c r="M136" s="122"/>
      <c r="N136" s="122"/>
      <c r="O136" s="122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26">
        <v>45280</v>
      </c>
      <c r="AE136" s="13" t="s">
        <v>163</v>
      </c>
      <c r="AH136" s="114"/>
    </row>
    <row r="137" spans="8:34" x14ac:dyDescent="0.4">
      <c r="H137" s="115"/>
      <c r="I137" s="115"/>
      <c r="J137" s="115"/>
      <c r="K137" s="115"/>
      <c r="L137" s="115"/>
      <c r="M137" s="122"/>
      <c r="N137" s="122"/>
      <c r="O137" s="122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26">
        <v>45280</v>
      </c>
      <c r="AE137" s="13" t="s">
        <v>163</v>
      </c>
      <c r="AH137" s="114"/>
    </row>
    <row r="138" spans="8:34" x14ac:dyDescent="0.4">
      <c r="H138" s="115"/>
      <c r="I138" s="115"/>
      <c r="J138" s="115"/>
      <c r="K138" s="115"/>
      <c r="L138" s="115"/>
      <c r="M138" s="122"/>
      <c r="N138" s="122"/>
      <c r="O138" s="122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 t="s">
        <v>172</v>
      </c>
      <c r="AD138" s="17">
        <f>SUBTOTAL(3,AD125:AD137)</f>
        <v>13</v>
      </c>
      <c r="AE138" s="13">
        <f>SUBTOTAL(3,AE125:AE137)</f>
        <v>13</v>
      </c>
      <c r="AH138" s="114"/>
    </row>
    <row r="139" spans="8:34" x14ac:dyDescent="0.4">
      <c r="H139" s="115"/>
      <c r="I139" s="115"/>
      <c r="J139" s="115"/>
      <c r="K139" s="115"/>
      <c r="L139" s="115"/>
      <c r="M139" s="122"/>
      <c r="N139" s="122"/>
      <c r="O139" s="122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26">
        <v>45283</v>
      </c>
      <c r="AE139" s="13" t="s">
        <v>163</v>
      </c>
      <c r="AH139" s="114"/>
    </row>
    <row r="140" spans="8:34" x14ac:dyDescent="0.4">
      <c r="H140" s="115"/>
      <c r="I140" s="115"/>
      <c r="J140" s="115"/>
      <c r="K140" s="115"/>
      <c r="L140" s="115"/>
      <c r="M140" s="122"/>
      <c r="N140" s="122"/>
      <c r="O140" s="122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26">
        <v>45283</v>
      </c>
      <c r="AE140" s="13" t="s">
        <v>163</v>
      </c>
      <c r="AH140" s="114"/>
    </row>
    <row r="141" spans="8:34" x14ac:dyDescent="0.4">
      <c r="H141" s="115"/>
      <c r="I141" s="115"/>
      <c r="J141" s="115"/>
      <c r="K141" s="115"/>
      <c r="L141" s="115"/>
      <c r="M141" s="122"/>
      <c r="N141" s="122"/>
      <c r="O141" s="122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26">
        <v>45283</v>
      </c>
      <c r="AE141" s="13" t="s">
        <v>163</v>
      </c>
      <c r="AH141" s="114"/>
    </row>
    <row r="142" spans="8:34" x14ac:dyDescent="0.4">
      <c r="H142" s="115"/>
      <c r="I142" s="115"/>
      <c r="J142" s="115"/>
      <c r="K142" s="115"/>
      <c r="L142" s="115"/>
      <c r="M142" s="122"/>
      <c r="N142" s="122"/>
      <c r="O142" s="122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26">
        <v>45283</v>
      </c>
      <c r="AE142" s="13" t="s">
        <v>163</v>
      </c>
      <c r="AH142" s="114"/>
    </row>
    <row r="143" spans="8:34" x14ac:dyDescent="0.4">
      <c r="H143" s="115"/>
      <c r="I143" s="115"/>
      <c r="J143" s="115"/>
      <c r="K143" s="115"/>
      <c r="L143" s="115"/>
      <c r="M143" s="122"/>
      <c r="N143" s="122"/>
      <c r="O143" s="122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26">
        <v>45283</v>
      </c>
      <c r="AE143" s="13" t="s">
        <v>163</v>
      </c>
      <c r="AH143" s="114"/>
    </row>
    <row r="144" spans="8:34" x14ac:dyDescent="0.4">
      <c r="H144" s="115"/>
      <c r="I144" s="115"/>
      <c r="J144" s="115"/>
      <c r="K144" s="115"/>
      <c r="L144" s="115"/>
      <c r="M144" s="122"/>
      <c r="N144" s="122"/>
      <c r="O144" s="122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26">
        <v>45283</v>
      </c>
      <c r="AE144" s="13" t="s">
        <v>163</v>
      </c>
      <c r="AH144" s="114"/>
    </row>
    <row r="145" spans="8:34" x14ac:dyDescent="0.4">
      <c r="H145" s="115"/>
      <c r="I145" s="115"/>
      <c r="J145" s="115"/>
      <c r="K145" s="115"/>
      <c r="L145" s="115"/>
      <c r="M145" s="122"/>
      <c r="N145" s="122"/>
      <c r="O145" s="122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26">
        <v>45283</v>
      </c>
      <c r="AE145" s="13" t="s">
        <v>163</v>
      </c>
      <c r="AH145" s="114"/>
    </row>
    <row r="146" spans="8:34" x14ac:dyDescent="0.4">
      <c r="H146" s="115"/>
      <c r="I146" s="115"/>
      <c r="J146" s="115"/>
      <c r="K146" s="115"/>
      <c r="L146" s="115"/>
      <c r="M146" s="122"/>
      <c r="N146" s="122"/>
      <c r="O146" s="122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26">
        <v>45283</v>
      </c>
      <c r="AE146" s="13" t="s">
        <v>163</v>
      </c>
      <c r="AH146" s="114"/>
    </row>
    <row r="147" spans="8:34" x14ac:dyDescent="0.4">
      <c r="H147" s="115"/>
      <c r="I147" s="115"/>
      <c r="J147" s="115"/>
      <c r="K147" s="115"/>
      <c r="L147" s="115"/>
      <c r="M147" s="122"/>
      <c r="N147" s="122"/>
      <c r="O147" s="122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26">
        <v>45283</v>
      </c>
      <c r="AE147" s="13" t="s">
        <v>163</v>
      </c>
      <c r="AH147" s="114"/>
    </row>
    <row r="148" spans="8:34" x14ac:dyDescent="0.4">
      <c r="H148" s="115"/>
      <c r="I148" s="115"/>
      <c r="J148" s="115"/>
      <c r="K148" s="115"/>
      <c r="L148" s="115"/>
      <c r="M148" s="122"/>
      <c r="N148" s="122"/>
      <c r="O148" s="122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26">
        <v>45283</v>
      </c>
      <c r="AE148" s="13" t="s">
        <v>163</v>
      </c>
      <c r="AH148" s="114"/>
    </row>
    <row r="149" spans="8:34" x14ac:dyDescent="0.4">
      <c r="H149" s="115"/>
      <c r="I149" s="115"/>
      <c r="J149" s="115"/>
      <c r="K149" s="115"/>
      <c r="L149" s="115"/>
      <c r="M149" s="122"/>
      <c r="N149" s="122"/>
      <c r="O149" s="122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26">
        <v>45283</v>
      </c>
      <c r="AE149" s="13" t="s">
        <v>164</v>
      </c>
      <c r="AH149" s="114"/>
    </row>
    <row r="150" spans="8:34" x14ac:dyDescent="0.4">
      <c r="H150" s="115"/>
      <c r="I150" s="115"/>
      <c r="J150" s="115"/>
      <c r="K150" s="115"/>
      <c r="L150" s="115"/>
      <c r="M150" s="122"/>
      <c r="N150" s="122"/>
      <c r="O150" s="122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26">
        <v>45283</v>
      </c>
      <c r="AE150" s="13" t="s">
        <v>164</v>
      </c>
      <c r="AH150" s="114"/>
    </row>
    <row r="151" spans="8:34" x14ac:dyDescent="0.4">
      <c r="H151" s="115"/>
      <c r="I151" s="115"/>
      <c r="J151" s="115"/>
      <c r="K151" s="115"/>
      <c r="L151" s="115"/>
      <c r="M151" s="122"/>
      <c r="N151" s="122"/>
      <c r="O151" s="122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26">
        <v>45283</v>
      </c>
      <c r="AE151" s="13" t="s">
        <v>164</v>
      </c>
      <c r="AH151" s="114"/>
    </row>
    <row r="152" spans="8:34" x14ac:dyDescent="0.4">
      <c r="H152" s="115"/>
      <c r="I152" s="115"/>
      <c r="J152" s="115"/>
      <c r="K152" s="115"/>
      <c r="L152" s="115"/>
      <c r="M152" s="122"/>
      <c r="N152" s="122"/>
      <c r="O152" s="122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 t="s">
        <v>161</v>
      </c>
      <c r="AD152" s="17">
        <f>SUBTOTAL(3,AD139:AD151)</f>
        <v>13</v>
      </c>
      <c r="AE152" s="13">
        <f>SUBTOTAL(3,AE139:AE151)</f>
        <v>13</v>
      </c>
      <c r="AH152" s="114"/>
    </row>
    <row r="153" spans="8:34" x14ac:dyDescent="0.4">
      <c r="H153" s="115"/>
      <c r="I153" s="115"/>
      <c r="J153" s="115"/>
      <c r="K153" s="115"/>
      <c r="L153" s="115"/>
      <c r="M153" s="122"/>
      <c r="N153" s="122"/>
      <c r="O153" s="122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26">
        <v>45285</v>
      </c>
      <c r="AE153" s="13" t="s">
        <v>164</v>
      </c>
      <c r="AH153" s="114"/>
    </row>
    <row r="154" spans="8:34" x14ac:dyDescent="0.4">
      <c r="H154" s="115"/>
      <c r="I154" s="115"/>
      <c r="J154" s="115"/>
      <c r="K154" s="115"/>
      <c r="L154" s="115"/>
      <c r="M154" s="122"/>
      <c r="N154" s="122"/>
      <c r="O154" s="122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 t="s">
        <v>173</v>
      </c>
      <c r="AD154" s="17">
        <f>SUBTOTAL(3,AD153:AD153)</f>
        <v>1</v>
      </c>
      <c r="AE154" s="13">
        <f>SUBTOTAL(3,AE153:AE153)</f>
        <v>1</v>
      </c>
      <c r="AH154" s="114"/>
    </row>
    <row r="155" spans="8:34" x14ac:dyDescent="0.4">
      <c r="H155" s="115"/>
      <c r="I155" s="115"/>
      <c r="J155" s="115"/>
      <c r="K155" s="115"/>
      <c r="L155" s="115"/>
      <c r="M155" s="122"/>
      <c r="N155" s="122"/>
      <c r="O155" s="122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26">
        <v>45299</v>
      </c>
      <c r="AE155" s="13" t="s">
        <v>165</v>
      </c>
      <c r="AH155" s="114"/>
    </row>
    <row r="156" spans="8:34" x14ac:dyDescent="0.4">
      <c r="H156" s="115"/>
      <c r="I156" s="115"/>
      <c r="J156" s="115"/>
      <c r="K156" s="115"/>
      <c r="L156" s="115"/>
      <c r="M156" s="122"/>
      <c r="N156" s="122"/>
      <c r="O156" s="122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26">
        <v>45299</v>
      </c>
      <c r="AE156" s="13" t="s">
        <v>163</v>
      </c>
      <c r="AH156" s="114"/>
    </row>
    <row r="157" spans="8:34" x14ac:dyDescent="0.4">
      <c r="H157" s="115"/>
      <c r="I157" s="115"/>
      <c r="J157" s="115"/>
      <c r="K157" s="115"/>
      <c r="L157" s="115"/>
      <c r="M157" s="122"/>
      <c r="N157" s="122"/>
      <c r="O157" s="122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26">
        <v>45299</v>
      </c>
      <c r="AE157" s="13" t="s">
        <v>163</v>
      </c>
      <c r="AH157" s="114"/>
    </row>
    <row r="158" spans="8:34" x14ac:dyDescent="0.4">
      <c r="H158" s="115"/>
      <c r="I158" s="115"/>
      <c r="J158" s="115"/>
      <c r="K158" s="115"/>
      <c r="L158" s="115"/>
      <c r="M158" s="122"/>
      <c r="N158" s="122"/>
      <c r="O158" s="122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26">
        <v>45299</v>
      </c>
      <c r="AE158" s="15" t="s">
        <v>163</v>
      </c>
      <c r="AH158" s="114"/>
    </row>
    <row r="159" spans="8:34" x14ac:dyDescent="0.4">
      <c r="H159" s="115"/>
      <c r="I159" s="115"/>
      <c r="J159" s="115"/>
      <c r="K159" s="115"/>
      <c r="L159" s="115"/>
      <c r="M159" s="122"/>
      <c r="N159" s="122"/>
      <c r="O159" s="122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 t="s">
        <v>174</v>
      </c>
      <c r="AD159" s="17">
        <f>SUBTOTAL(3,AD155:AD158)</f>
        <v>4</v>
      </c>
      <c r="AE159" s="13">
        <f>SUBTOTAL(3,AE155:AE158)</f>
        <v>4</v>
      </c>
      <c r="AH159" s="114"/>
    </row>
    <row r="160" spans="8:34" x14ac:dyDescent="0.4">
      <c r="H160" s="115"/>
      <c r="I160" s="115"/>
      <c r="J160" s="115"/>
      <c r="K160" s="115"/>
      <c r="L160" s="115"/>
      <c r="M160" s="122"/>
      <c r="N160" s="122"/>
      <c r="O160" s="122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 t="s">
        <v>145</v>
      </c>
      <c r="AD160" s="17">
        <f>SUBTOTAL(3,AD2:AD158)</f>
        <v>136</v>
      </c>
      <c r="AE160" s="13">
        <f>SUBTOTAL(3,AE2:AE158)</f>
        <v>136</v>
      </c>
      <c r="AH160" s="114"/>
    </row>
    <row r="161" spans="8:34" x14ac:dyDescent="0.4">
      <c r="H161" s="115"/>
      <c r="I161" s="115"/>
      <c r="J161" s="115"/>
      <c r="K161" s="115"/>
      <c r="L161" s="115"/>
      <c r="M161" s="122"/>
      <c r="N161" s="122"/>
      <c r="O161" s="122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 t="s">
        <v>145</v>
      </c>
      <c r="AB161" s="115"/>
      <c r="AC161" s="115"/>
      <c r="AD161" s="26"/>
      <c r="AE161" s="13"/>
      <c r="AH161" s="114"/>
    </row>
    <row r="162" spans="8:34" x14ac:dyDescent="0.4">
      <c r="H162" s="115"/>
      <c r="I162" s="115"/>
      <c r="J162" s="115"/>
      <c r="K162" s="115"/>
      <c r="L162" s="115"/>
      <c r="M162" s="122"/>
      <c r="N162" s="122"/>
      <c r="O162" s="122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7"/>
      <c r="AE162" s="13"/>
      <c r="AH162" s="114"/>
    </row>
    <row r="163" spans="8:34" x14ac:dyDescent="0.4">
      <c r="H163" s="115"/>
      <c r="I163" s="115"/>
      <c r="J163" s="115"/>
      <c r="K163" s="115"/>
      <c r="L163" s="115"/>
      <c r="M163" s="122"/>
      <c r="N163" s="122"/>
      <c r="O163" s="122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26"/>
      <c r="AE163" s="13"/>
      <c r="AH163" s="114"/>
    </row>
    <row r="164" spans="8:34" x14ac:dyDescent="0.4">
      <c r="H164" s="115"/>
      <c r="I164" s="115"/>
      <c r="J164" s="115"/>
      <c r="K164" s="115"/>
      <c r="L164" s="115"/>
      <c r="M164" s="122"/>
      <c r="N164" s="122"/>
      <c r="O164" s="122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7"/>
      <c r="AE164" s="13"/>
      <c r="AH164" s="114"/>
    </row>
    <row r="165" spans="8:34" x14ac:dyDescent="0.4">
      <c r="H165" s="115"/>
      <c r="I165" s="115"/>
      <c r="J165" s="115"/>
      <c r="K165" s="115"/>
      <c r="L165" s="115"/>
      <c r="M165" s="122"/>
      <c r="N165" s="122"/>
      <c r="O165" s="122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26"/>
      <c r="AE165" s="13"/>
      <c r="AH165" s="114"/>
    </row>
    <row r="166" spans="8:34" x14ac:dyDescent="0.4">
      <c r="H166" s="115"/>
      <c r="I166" s="115"/>
      <c r="J166" s="115"/>
      <c r="K166" s="115"/>
      <c r="L166" s="115"/>
      <c r="M166" s="122"/>
      <c r="N166" s="122"/>
      <c r="O166" s="122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26"/>
      <c r="AE166" s="13"/>
      <c r="AH166" s="114"/>
    </row>
    <row r="167" spans="8:34" x14ac:dyDescent="0.4">
      <c r="H167" s="115"/>
      <c r="I167" s="115"/>
      <c r="J167" s="115"/>
      <c r="K167" s="115"/>
      <c r="L167" s="115"/>
      <c r="M167" s="122"/>
      <c r="N167" s="122"/>
      <c r="O167" s="122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26"/>
      <c r="AE167" s="13"/>
      <c r="AH167" s="114"/>
    </row>
    <row r="168" spans="8:34" x14ac:dyDescent="0.4">
      <c r="H168" s="115"/>
      <c r="I168" s="115"/>
      <c r="J168" s="115"/>
      <c r="K168" s="115"/>
      <c r="L168" s="115"/>
      <c r="M168" s="122"/>
      <c r="N168" s="122"/>
      <c r="O168" s="122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7"/>
      <c r="AE168" s="13"/>
      <c r="AH168" s="114"/>
    </row>
    <row r="169" spans="8:34" x14ac:dyDescent="0.4">
      <c r="H169" s="115"/>
      <c r="I169" s="115"/>
      <c r="J169" s="115"/>
      <c r="K169" s="115"/>
      <c r="L169" s="115"/>
      <c r="M169" s="122"/>
      <c r="N169" s="122"/>
      <c r="O169" s="122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26"/>
      <c r="AE169" s="13"/>
      <c r="AH169" s="114"/>
    </row>
    <row r="170" spans="8:34" x14ac:dyDescent="0.4">
      <c r="H170" s="115"/>
      <c r="I170" s="115"/>
      <c r="J170" s="115"/>
      <c r="K170" s="115"/>
      <c r="L170" s="115"/>
      <c r="M170" s="122"/>
      <c r="N170" s="122"/>
      <c r="O170" s="122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7"/>
      <c r="AE170" s="13"/>
      <c r="AH170" s="114"/>
    </row>
    <row r="171" spans="8:34" x14ac:dyDescent="0.4">
      <c r="H171" s="115"/>
      <c r="I171" s="115"/>
      <c r="J171" s="115"/>
      <c r="K171" s="115"/>
      <c r="L171" s="115"/>
      <c r="M171" s="122"/>
      <c r="N171" s="122"/>
      <c r="O171" s="122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26"/>
      <c r="AE171" s="13"/>
      <c r="AH171" s="114"/>
    </row>
    <row r="172" spans="8:34" x14ac:dyDescent="0.4">
      <c r="H172" s="115"/>
      <c r="I172" s="115"/>
      <c r="J172" s="115"/>
      <c r="K172" s="115"/>
      <c r="L172" s="115"/>
      <c r="M172" s="122"/>
      <c r="N172" s="122"/>
      <c r="O172" s="122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7"/>
      <c r="AE172" s="13"/>
      <c r="AH172" s="114"/>
    </row>
    <row r="173" spans="8:34" x14ac:dyDescent="0.4">
      <c r="H173" s="115"/>
      <c r="I173" s="115"/>
      <c r="J173" s="115"/>
      <c r="K173" s="115"/>
      <c r="L173" s="115"/>
      <c r="M173" s="122"/>
      <c r="N173" s="122"/>
      <c r="O173" s="122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7"/>
      <c r="AE173" s="13"/>
      <c r="AH173" s="114"/>
    </row>
    <row r="174" spans="8:34" x14ac:dyDescent="0.4">
      <c r="H174" s="115"/>
      <c r="I174" s="115"/>
      <c r="J174" s="115"/>
      <c r="K174" s="115"/>
      <c r="L174" s="115"/>
      <c r="M174" s="122"/>
      <c r="N174" s="122"/>
      <c r="O174" s="122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7"/>
      <c r="AE174" s="13"/>
      <c r="AH174" s="114"/>
    </row>
    <row r="175" spans="8:34" x14ac:dyDescent="0.4">
      <c r="H175" s="115"/>
      <c r="I175" s="115"/>
      <c r="J175" s="115"/>
      <c r="K175" s="115"/>
      <c r="L175" s="115"/>
      <c r="M175" s="122"/>
      <c r="N175" s="122"/>
      <c r="O175" s="122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26"/>
      <c r="AE175" s="13"/>
      <c r="AH175" s="114"/>
    </row>
    <row r="176" spans="8:34" x14ac:dyDescent="0.4">
      <c r="H176" s="115"/>
      <c r="I176" s="115"/>
      <c r="J176" s="115"/>
      <c r="K176" s="115"/>
      <c r="L176" s="115"/>
      <c r="M176" s="122"/>
      <c r="N176" s="122"/>
      <c r="O176" s="122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7"/>
      <c r="AE176" s="13"/>
      <c r="AH176" s="114"/>
    </row>
    <row r="177" spans="8:34" x14ac:dyDescent="0.4">
      <c r="H177" s="115"/>
      <c r="I177" s="115"/>
      <c r="J177" s="115"/>
      <c r="K177" s="115"/>
      <c r="L177" s="115"/>
      <c r="M177" s="122"/>
      <c r="N177" s="122"/>
      <c r="O177" s="122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26"/>
      <c r="AE177" s="13"/>
      <c r="AH177" s="114"/>
    </row>
    <row r="178" spans="8:34" x14ac:dyDescent="0.4">
      <c r="H178" s="115"/>
      <c r="I178" s="115"/>
      <c r="J178" s="115"/>
      <c r="K178" s="115"/>
      <c r="L178" s="115"/>
      <c r="M178" s="122"/>
      <c r="N178" s="122"/>
      <c r="O178" s="122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7"/>
      <c r="AE178" s="13"/>
      <c r="AH178" s="114"/>
    </row>
    <row r="179" spans="8:34" x14ac:dyDescent="0.4">
      <c r="H179" s="115"/>
      <c r="I179" s="115"/>
      <c r="J179" s="115"/>
      <c r="K179" s="115"/>
      <c r="L179" s="115"/>
      <c r="M179" s="122"/>
      <c r="N179" s="122"/>
      <c r="O179" s="122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26"/>
      <c r="AE179" s="25"/>
      <c r="AH179" s="114"/>
    </row>
    <row r="180" spans="8:34" x14ac:dyDescent="0.4">
      <c r="H180" s="115"/>
      <c r="I180" s="115"/>
      <c r="J180" s="115"/>
      <c r="K180" s="115"/>
      <c r="L180" s="115"/>
      <c r="M180" s="122"/>
      <c r="N180" s="122"/>
      <c r="O180" s="122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7"/>
      <c r="AE180" s="13"/>
      <c r="AH180" s="114"/>
    </row>
    <row r="181" spans="8:34" x14ac:dyDescent="0.4">
      <c r="H181" s="115"/>
      <c r="I181" s="115"/>
      <c r="J181" s="115"/>
      <c r="K181" s="115"/>
      <c r="L181" s="115"/>
      <c r="M181" s="122"/>
      <c r="N181" s="122"/>
      <c r="O181" s="122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7"/>
      <c r="AE181" s="13"/>
      <c r="AH181" s="114"/>
    </row>
    <row r="182" spans="8:34" x14ac:dyDescent="0.4">
      <c r="H182" s="115"/>
      <c r="I182" s="115"/>
      <c r="J182" s="115"/>
      <c r="K182" s="115"/>
      <c r="L182" s="115"/>
      <c r="M182" s="122"/>
      <c r="N182" s="122"/>
      <c r="O182" s="122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26"/>
      <c r="AE182" s="15"/>
      <c r="AH182" s="114"/>
    </row>
    <row r="183" spans="8:34" x14ac:dyDescent="0.4">
      <c r="H183" s="115"/>
      <c r="I183" s="115"/>
      <c r="J183" s="115"/>
      <c r="K183" s="115"/>
      <c r="L183" s="115"/>
      <c r="M183" s="122"/>
      <c r="N183" s="122"/>
      <c r="O183" s="122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26"/>
      <c r="AE183" s="15"/>
      <c r="AH183" s="114"/>
    </row>
    <row r="184" spans="8:34" x14ac:dyDescent="0.4">
      <c r="H184" s="115"/>
      <c r="I184" s="115"/>
      <c r="J184" s="115"/>
      <c r="K184" s="115"/>
      <c r="L184" s="115"/>
      <c r="M184" s="122"/>
      <c r="N184" s="122"/>
      <c r="O184" s="122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26"/>
      <c r="AE184" s="15"/>
      <c r="AH184" s="114"/>
    </row>
    <row r="185" spans="8:34" x14ac:dyDescent="0.4">
      <c r="H185" s="115"/>
      <c r="I185" s="115"/>
      <c r="J185" s="115"/>
      <c r="K185" s="115"/>
      <c r="L185" s="115"/>
      <c r="M185" s="122"/>
      <c r="N185" s="122"/>
      <c r="O185" s="122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26"/>
      <c r="AE185" s="15"/>
      <c r="AH185" s="114"/>
    </row>
    <row r="186" spans="8:34" x14ac:dyDescent="0.4">
      <c r="H186" s="115"/>
      <c r="I186" s="115"/>
      <c r="J186" s="115"/>
      <c r="K186" s="115"/>
      <c r="L186" s="115"/>
      <c r="M186" s="122"/>
      <c r="N186" s="122"/>
      <c r="O186" s="122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26"/>
      <c r="AE186" s="15"/>
      <c r="AH186" s="114"/>
    </row>
    <row r="187" spans="8:34" x14ac:dyDescent="0.4">
      <c r="H187" s="115"/>
      <c r="I187" s="115"/>
      <c r="J187" s="115"/>
      <c r="K187" s="115"/>
      <c r="L187" s="115"/>
      <c r="M187" s="122"/>
      <c r="N187" s="122"/>
      <c r="O187" s="122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26"/>
      <c r="AE187" s="15"/>
      <c r="AH187" s="114"/>
    </row>
    <row r="188" spans="8:34" x14ac:dyDescent="0.4">
      <c r="H188" s="115"/>
      <c r="I188" s="115"/>
      <c r="J188" s="115"/>
      <c r="K188" s="115"/>
      <c r="L188" s="115"/>
      <c r="M188" s="122"/>
      <c r="N188" s="122"/>
      <c r="O188" s="122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26"/>
      <c r="AE188" s="15"/>
      <c r="AH188" s="114"/>
    </row>
    <row r="189" spans="8:34" x14ac:dyDescent="0.4">
      <c r="H189" s="115"/>
      <c r="I189" s="115"/>
      <c r="J189" s="115"/>
      <c r="K189" s="115"/>
      <c r="L189" s="115"/>
      <c r="M189" s="122"/>
      <c r="N189" s="122"/>
      <c r="O189" s="122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26"/>
      <c r="AE189" s="15"/>
      <c r="AH189" s="114"/>
    </row>
    <row r="190" spans="8:34" x14ac:dyDescent="0.4">
      <c r="H190" s="115"/>
      <c r="I190" s="115"/>
      <c r="J190" s="115"/>
      <c r="K190" s="115"/>
      <c r="L190" s="115"/>
      <c r="M190" s="122"/>
      <c r="N190" s="122"/>
      <c r="O190" s="122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7"/>
      <c r="AE190" s="15"/>
      <c r="AH190" s="114"/>
    </row>
    <row r="191" spans="8:34" x14ac:dyDescent="0.4">
      <c r="H191" s="115"/>
      <c r="I191" s="115"/>
      <c r="J191" s="115"/>
      <c r="K191" s="115"/>
      <c r="L191" s="115"/>
      <c r="M191" s="122"/>
      <c r="N191" s="122"/>
      <c r="O191" s="122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26"/>
      <c r="AE191" s="15"/>
      <c r="AH191" s="114"/>
    </row>
    <row r="192" spans="8:34" x14ac:dyDescent="0.4">
      <c r="H192" s="115"/>
      <c r="I192" s="115"/>
      <c r="J192" s="115"/>
      <c r="K192" s="115"/>
      <c r="L192" s="115"/>
      <c r="M192" s="122"/>
      <c r="N192" s="122"/>
      <c r="O192" s="122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26"/>
      <c r="AE192" s="13"/>
      <c r="AH192" s="114"/>
    </row>
    <row r="193" spans="8:34" x14ac:dyDescent="0.4">
      <c r="H193" s="115"/>
      <c r="I193" s="115"/>
      <c r="J193" s="115"/>
      <c r="K193" s="115"/>
      <c r="L193" s="115"/>
      <c r="M193" s="122"/>
      <c r="N193" s="122"/>
      <c r="O193" s="122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26"/>
      <c r="AE193" s="13"/>
      <c r="AH193" s="114"/>
    </row>
    <row r="194" spans="8:34" x14ac:dyDescent="0.4">
      <c r="H194" s="115"/>
      <c r="I194" s="115"/>
      <c r="J194" s="115"/>
      <c r="K194" s="115"/>
      <c r="L194" s="115"/>
      <c r="M194" s="122"/>
      <c r="N194" s="122"/>
      <c r="O194" s="122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26"/>
      <c r="AE194" s="13"/>
      <c r="AH194" s="114"/>
    </row>
    <row r="195" spans="8:34" x14ac:dyDescent="0.4">
      <c r="H195" s="115"/>
      <c r="I195" s="115"/>
      <c r="J195" s="115"/>
      <c r="K195" s="115"/>
      <c r="L195" s="115"/>
      <c r="M195" s="122"/>
      <c r="N195" s="122"/>
      <c r="O195" s="122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26"/>
      <c r="AE195" s="13"/>
      <c r="AH195" s="114"/>
    </row>
    <row r="196" spans="8:34" x14ac:dyDescent="0.4">
      <c r="H196" s="115"/>
      <c r="I196" s="115"/>
      <c r="J196" s="115"/>
      <c r="K196" s="115"/>
      <c r="L196" s="115"/>
      <c r="M196" s="122"/>
      <c r="N196" s="122"/>
      <c r="O196" s="122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26"/>
      <c r="AE196" s="13"/>
      <c r="AH196" s="114"/>
    </row>
    <row r="197" spans="8:34" x14ac:dyDescent="0.4">
      <c r="H197" s="115"/>
      <c r="I197" s="115"/>
      <c r="J197" s="115"/>
      <c r="K197" s="115"/>
      <c r="L197" s="115"/>
      <c r="M197" s="122"/>
      <c r="N197" s="122"/>
      <c r="O197" s="122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26"/>
      <c r="AE197" s="13"/>
      <c r="AH197" s="114"/>
    </row>
    <row r="198" spans="8:34" x14ac:dyDescent="0.4">
      <c r="H198" s="115"/>
      <c r="I198" s="115"/>
      <c r="J198" s="115"/>
      <c r="K198" s="115"/>
      <c r="L198" s="115"/>
      <c r="M198" s="122"/>
      <c r="N198" s="122"/>
      <c r="O198" s="122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26"/>
      <c r="AE198" s="13"/>
      <c r="AH198" s="114"/>
    </row>
    <row r="199" spans="8:34" x14ac:dyDescent="0.4">
      <c r="H199" s="115"/>
      <c r="I199" s="115"/>
      <c r="J199" s="115"/>
      <c r="K199" s="115"/>
      <c r="L199" s="115"/>
      <c r="M199" s="122"/>
      <c r="N199" s="122"/>
      <c r="O199" s="122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26"/>
      <c r="AE199" s="13"/>
      <c r="AH199" s="114"/>
    </row>
    <row r="200" spans="8:34" x14ac:dyDescent="0.4">
      <c r="H200" s="115"/>
      <c r="I200" s="115"/>
      <c r="J200" s="115"/>
      <c r="K200" s="115"/>
      <c r="L200" s="115"/>
      <c r="M200" s="122"/>
      <c r="N200" s="122"/>
      <c r="O200" s="122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26"/>
      <c r="AE200" s="13"/>
      <c r="AH200" s="114"/>
    </row>
    <row r="201" spans="8:34" x14ac:dyDescent="0.4">
      <c r="H201" s="115"/>
      <c r="I201" s="115"/>
      <c r="J201" s="115"/>
      <c r="K201" s="115"/>
      <c r="L201" s="115"/>
      <c r="M201" s="122"/>
      <c r="N201" s="122"/>
      <c r="O201" s="122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26"/>
      <c r="AE201" s="13"/>
      <c r="AH201" s="114"/>
    </row>
    <row r="202" spans="8:34" x14ac:dyDescent="0.4">
      <c r="H202" s="115"/>
      <c r="I202" s="115"/>
      <c r="J202" s="115"/>
      <c r="K202" s="115"/>
      <c r="L202" s="115"/>
      <c r="M202" s="122"/>
      <c r="N202" s="122"/>
      <c r="O202" s="122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26"/>
      <c r="AE202" s="13"/>
      <c r="AH202" s="114"/>
    </row>
    <row r="203" spans="8:34" x14ac:dyDescent="0.4">
      <c r="H203" s="115"/>
      <c r="I203" s="115"/>
      <c r="J203" s="115"/>
      <c r="K203" s="115"/>
      <c r="L203" s="115"/>
      <c r="M203" s="122"/>
      <c r="N203" s="122"/>
      <c r="O203" s="122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7"/>
      <c r="AE203" s="13"/>
      <c r="AH203" s="114"/>
    </row>
    <row r="204" spans="8:34" x14ac:dyDescent="0.4">
      <c r="H204" s="115"/>
      <c r="I204" s="115"/>
      <c r="J204" s="115"/>
      <c r="K204" s="115"/>
      <c r="L204" s="115"/>
      <c r="M204" s="122"/>
      <c r="N204" s="122"/>
      <c r="O204" s="122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26"/>
      <c r="AE204" s="13"/>
      <c r="AH204" s="114"/>
    </row>
    <row r="205" spans="8:34" x14ac:dyDescent="0.4">
      <c r="H205" s="115"/>
      <c r="I205" s="115"/>
      <c r="J205" s="115"/>
      <c r="K205" s="115"/>
      <c r="L205" s="115"/>
      <c r="M205" s="122"/>
      <c r="N205" s="122"/>
      <c r="O205" s="122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26"/>
      <c r="AE205" s="13"/>
      <c r="AH205" s="114"/>
    </row>
    <row r="206" spans="8:34" x14ac:dyDescent="0.4">
      <c r="H206" s="115"/>
      <c r="I206" s="115"/>
      <c r="J206" s="115"/>
      <c r="K206" s="115"/>
      <c r="L206" s="115"/>
      <c r="M206" s="122"/>
      <c r="N206" s="122"/>
      <c r="O206" s="122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26"/>
      <c r="AE206" s="13"/>
      <c r="AH206" s="114"/>
    </row>
    <row r="207" spans="8:34" x14ac:dyDescent="0.4">
      <c r="H207" s="115"/>
      <c r="I207" s="115"/>
      <c r="J207" s="115"/>
      <c r="K207" s="115"/>
      <c r="L207" s="115"/>
      <c r="M207" s="122"/>
      <c r="N207" s="122"/>
      <c r="O207" s="122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7"/>
      <c r="AE207" s="13"/>
      <c r="AH207" s="114"/>
    </row>
    <row r="208" spans="8:34" x14ac:dyDescent="0.4">
      <c r="H208" s="115"/>
      <c r="I208" s="115"/>
      <c r="J208" s="115"/>
      <c r="K208" s="115"/>
      <c r="L208" s="115"/>
      <c r="M208" s="122"/>
      <c r="N208" s="122"/>
      <c r="O208" s="122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26"/>
      <c r="AE208" s="13"/>
      <c r="AH208" s="114"/>
    </row>
    <row r="209" spans="7:34" x14ac:dyDescent="0.4">
      <c r="H209" s="115"/>
      <c r="I209" s="115"/>
      <c r="J209" s="115"/>
      <c r="K209" s="115"/>
      <c r="L209" s="115"/>
      <c r="M209" s="122"/>
      <c r="N209" s="122"/>
      <c r="O209" s="122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7"/>
      <c r="AE209" s="13"/>
      <c r="AH209" s="114"/>
    </row>
    <row r="210" spans="7:34" x14ac:dyDescent="0.4">
      <c r="H210" s="115"/>
      <c r="I210" s="115"/>
      <c r="J210" s="115"/>
      <c r="K210" s="115"/>
      <c r="L210" s="115"/>
      <c r="M210" s="122"/>
      <c r="N210" s="122"/>
      <c r="O210" s="122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26"/>
      <c r="AE210" s="13"/>
      <c r="AH210" s="114"/>
    </row>
    <row r="211" spans="7:34" x14ac:dyDescent="0.4">
      <c r="H211" s="115"/>
      <c r="I211" s="115"/>
      <c r="J211" s="115"/>
      <c r="K211" s="115"/>
      <c r="L211" s="115"/>
      <c r="M211" s="122"/>
      <c r="N211" s="122"/>
      <c r="O211" s="122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26"/>
      <c r="AE211" s="15"/>
      <c r="AH211" s="114"/>
    </row>
    <row r="212" spans="7:34" x14ac:dyDescent="0.4">
      <c r="H212" s="115"/>
      <c r="I212" s="115"/>
      <c r="J212" s="115"/>
      <c r="K212" s="115"/>
      <c r="L212" s="115"/>
      <c r="M212" s="122"/>
      <c r="N212" s="122"/>
      <c r="O212" s="122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7"/>
      <c r="AE212" s="15"/>
      <c r="AH212" s="114"/>
    </row>
    <row r="213" spans="7:34" x14ac:dyDescent="0.4">
      <c r="H213" s="115"/>
      <c r="I213" s="115"/>
      <c r="J213" s="115"/>
      <c r="K213" s="115"/>
      <c r="L213" s="115"/>
      <c r="M213" s="122"/>
      <c r="N213" s="122"/>
      <c r="O213" s="122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7"/>
      <c r="AE213" s="15"/>
      <c r="AH213" s="114"/>
    </row>
    <row r="214" spans="7:34" x14ac:dyDescent="0.4">
      <c r="G214" s="115"/>
      <c r="H214" s="115"/>
      <c r="I214" s="115"/>
      <c r="J214" s="115"/>
      <c r="K214" s="115"/>
      <c r="L214" s="115"/>
      <c r="M214" s="122"/>
      <c r="N214" s="122"/>
      <c r="O214" s="122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26"/>
      <c r="AE214" s="15"/>
      <c r="AH214" s="114"/>
    </row>
    <row r="215" spans="7:34" x14ac:dyDescent="0.4">
      <c r="G215" s="115"/>
      <c r="H215" s="115"/>
      <c r="I215" s="115"/>
      <c r="J215" s="115"/>
      <c r="K215" s="115"/>
      <c r="L215" s="115"/>
      <c r="M215" s="122"/>
      <c r="N215" s="122"/>
      <c r="O215" s="122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7"/>
      <c r="AE215" s="15"/>
      <c r="AH215" s="114"/>
    </row>
    <row r="216" spans="7:34" x14ac:dyDescent="0.4">
      <c r="G216" s="115"/>
      <c r="H216" s="115"/>
      <c r="I216" s="115"/>
      <c r="J216" s="115"/>
      <c r="K216" s="115"/>
      <c r="L216" s="115"/>
      <c r="M216" s="122"/>
      <c r="N216" s="122"/>
      <c r="O216" s="122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26"/>
      <c r="AE216" s="15"/>
      <c r="AH216" s="114"/>
    </row>
    <row r="217" spans="7:34" x14ac:dyDescent="0.4">
      <c r="G217" s="115"/>
      <c r="H217" s="115"/>
      <c r="I217" s="115"/>
      <c r="J217" s="115"/>
      <c r="K217" s="115"/>
      <c r="L217" s="115"/>
      <c r="M217" s="122"/>
      <c r="N217" s="122"/>
      <c r="O217" s="122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26"/>
      <c r="AE217" s="15"/>
      <c r="AH217" s="114"/>
    </row>
    <row r="218" spans="7:34" x14ac:dyDescent="0.4">
      <c r="G218" s="115"/>
      <c r="H218" s="115"/>
      <c r="I218" s="115"/>
      <c r="J218" s="115"/>
      <c r="K218" s="115"/>
      <c r="L218" s="115"/>
      <c r="M218" s="122"/>
      <c r="N218" s="122"/>
      <c r="O218" s="122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7"/>
      <c r="AE218" s="15"/>
      <c r="AH218" s="114"/>
    </row>
    <row r="219" spans="7:34" x14ac:dyDescent="0.4">
      <c r="G219" s="115"/>
      <c r="H219" s="115"/>
      <c r="I219" s="115"/>
      <c r="J219" s="115"/>
      <c r="K219" s="115"/>
      <c r="L219" s="115"/>
      <c r="M219" s="122"/>
      <c r="N219" s="122"/>
      <c r="O219" s="122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26"/>
      <c r="AE219" s="15"/>
      <c r="AH219" s="114"/>
    </row>
    <row r="220" spans="7:34" x14ac:dyDescent="0.4">
      <c r="G220" s="115"/>
      <c r="H220" s="115"/>
      <c r="I220" s="115"/>
      <c r="J220" s="115"/>
      <c r="K220" s="115"/>
      <c r="L220" s="115"/>
      <c r="M220" s="122"/>
      <c r="N220" s="122"/>
      <c r="O220" s="122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7"/>
      <c r="AE220" s="15"/>
      <c r="AH220" s="114"/>
    </row>
    <row r="221" spans="7:34" x14ac:dyDescent="0.4">
      <c r="G221" s="115"/>
      <c r="H221" s="115"/>
      <c r="I221" s="115"/>
      <c r="J221" s="115"/>
      <c r="K221" s="115"/>
      <c r="L221" s="115"/>
      <c r="M221" s="122"/>
      <c r="N221" s="122"/>
      <c r="O221" s="122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7"/>
      <c r="AE221" s="15"/>
      <c r="AH221" s="114"/>
    </row>
    <row r="222" spans="7:34" x14ac:dyDescent="0.4">
      <c r="G222" s="115"/>
      <c r="H222" s="115"/>
      <c r="I222" s="115"/>
      <c r="J222" s="115"/>
      <c r="K222" s="115"/>
      <c r="L222" s="115"/>
      <c r="M222" s="122"/>
      <c r="N222" s="122"/>
      <c r="O222" s="122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6"/>
      <c r="AE222" s="15"/>
      <c r="AH222" s="114"/>
    </row>
    <row r="223" spans="7:34" x14ac:dyDescent="0.4">
      <c r="G223" s="115"/>
      <c r="H223" s="115"/>
      <c r="I223" s="115"/>
      <c r="J223" s="115"/>
      <c r="K223" s="115"/>
      <c r="L223" s="115"/>
      <c r="M223" s="122"/>
      <c r="N223" s="122"/>
      <c r="O223" s="122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26"/>
      <c r="AE223" s="15"/>
      <c r="AH223" s="114"/>
    </row>
    <row r="224" spans="7:34" x14ac:dyDescent="0.4">
      <c r="G224" s="115"/>
      <c r="H224" s="115"/>
      <c r="I224" s="115"/>
      <c r="J224" s="115"/>
      <c r="K224" s="115"/>
      <c r="L224" s="115"/>
      <c r="M224" s="122"/>
      <c r="N224" s="122"/>
      <c r="O224" s="122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26"/>
      <c r="AE224" s="15"/>
      <c r="AH224" s="114"/>
    </row>
    <row r="225" spans="7:34" x14ac:dyDescent="0.4">
      <c r="G225" s="115"/>
      <c r="H225" s="115"/>
      <c r="I225" s="115"/>
      <c r="J225" s="115"/>
      <c r="K225" s="115"/>
      <c r="L225" s="115"/>
      <c r="M225" s="122"/>
      <c r="N225" s="122"/>
      <c r="O225" s="122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26"/>
      <c r="AE225" s="15"/>
      <c r="AH225" s="114"/>
    </row>
    <row r="226" spans="7:34" x14ac:dyDescent="0.4">
      <c r="G226" s="115"/>
      <c r="H226" s="115"/>
      <c r="I226" s="115"/>
      <c r="J226" s="115"/>
      <c r="K226" s="115"/>
      <c r="L226" s="115"/>
      <c r="M226" s="122"/>
      <c r="N226" s="122"/>
      <c r="O226" s="122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26"/>
      <c r="AE226" s="15"/>
      <c r="AH226" s="114"/>
    </row>
    <row r="227" spans="7:34" x14ac:dyDescent="0.4">
      <c r="G227" s="115"/>
      <c r="H227" s="115"/>
      <c r="I227" s="115"/>
      <c r="J227" s="115"/>
      <c r="K227" s="115"/>
      <c r="L227" s="115"/>
      <c r="M227" s="122"/>
      <c r="N227" s="122"/>
      <c r="O227" s="122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26"/>
      <c r="AE227" s="15"/>
      <c r="AH227" s="114"/>
    </row>
    <row r="228" spans="7:34" x14ac:dyDescent="0.4">
      <c r="G228" s="115"/>
      <c r="H228" s="115"/>
      <c r="I228" s="115"/>
      <c r="J228" s="115"/>
      <c r="K228" s="115"/>
      <c r="L228" s="115"/>
      <c r="M228" s="122"/>
      <c r="N228" s="122"/>
      <c r="O228" s="122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26"/>
      <c r="AE228" s="15"/>
      <c r="AH228" s="114"/>
    </row>
    <row r="229" spans="7:34" x14ac:dyDescent="0.4">
      <c r="G229" s="115"/>
      <c r="H229" s="115"/>
      <c r="I229" s="115"/>
      <c r="J229" s="115"/>
      <c r="K229" s="115"/>
      <c r="L229" s="115"/>
      <c r="M229" s="122"/>
      <c r="N229" s="122"/>
      <c r="O229" s="122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7"/>
      <c r="AE229" s="15"/>
      <c r="AH229" s="114"/>
    </row>
    <row r="230" spans="7:34" x14ac:dyDescent="0.4">
      <c r="G230" s="115"/>
      <c r="H230" s="115"/>
      <c r="I230" s="115"/>
      <c r="J230" s="115"/>
      <c r="K230" s="115"/>
      <c r="L230" s="115"/>
      <c r="M230" s="122"/>
      <c r="N230" s="122"/>
      <c r="O230" s="122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26"/>
      <c r="AE230" s="15"/>
      <c r="AH230" s="114"/>
    </row>
    <row r="231" spans="7:34" x14ac:dyDescent="0.4">
      <c r="G231" s="115"/>
      <c r="H231" s="115"/>
      <c r="I231" s="115"/>
      <c r="J231" s="115"/>
      <c r="K231" s="115"/>
      <c r="L231" s="115"/>
      <c r="M231" s="122"/>
      <c r="N231" s="122"/>
      <c r="O231" s="122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26"/>
      <c r="AE231" s="15"/>
      <c r="AH231" s="114"/>
    </row>
    <row r="232" spans="7:34" x14ac:dyDescent="0.4">
      <c r="G232" s="115"/>
      <c r="H232" s="115"/>
      <c r="I232" s="115"/>
      <c r="J232" s="115"/>
      <c r="K232" s="115"/>
      <c r="L232" s="115"/>
      <c r="M232" s="122"/>
      <c r="N232" s="122"/>
      <c r="O232" s="122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26"/>
      <c r="AE232" s="15"/>
      <c r="AH232" s="114"/>
    </row>
    <row r="233" spans="7:34" x14ac:dyDescent="0.4">
      <c r="G233" s="115"/>
      <c r="H233" s="115"/>
      <c r="I233" s="115"/>
      <c r="J233" s="115"/>
      <c r="K233" s="115"/>
      <c r="L233" s="115"/>
      <c r="M233" s="122"/>
      <c r="N233" s="122"/>
      <c r="O233" s="122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26"/>
      <c r="AE233" s="13"/>
      <c r="AH233" s="114"/>
    </row>
    <row r="234" spans="7:34" x14ac:dyDescent="0.4">
      <c r="G234" s="115"/>
      <c r="H234" s="115"/>
      <c r="I234" s="115"/>
      <c r="J234" s="115"/>
      <c r="K234" s="115"/>
      <c r="L234" s="115"/>
      <c r="M234" s="122"/>
      <c r="N234" s="122"/>
      <c r="O234" s="122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7"/>
      <c r="AE234" s="13"/>
      <c r="AH234" s="114"/>
    </row>
    <row r="235" spans="7:34" x14ac:dyDescent="0.4">
      <c r="G235" s="115"/>
      <c r="H235" s="115"/>
      <c r="I235" s="115"/>
      <c r="J235" s="115"/>
      <c r="K235" s="115"/>
      <c r="L235" s="115"/>
      <c r="M235" s="122"/>
      <c r="N235" s="122"/>
      <c r="O235" s="122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26"/>
      <c r="AE235" s="13"/>
      <c r="AH235" s="114"/>
    </row>
    <row r="236" spans="7:34" x14ac:dyDescent="0.4">
      <c r="G236" s="115"/>
      <c r="H236" s="115"/>
      <c r="I236" s="115"/>
      <c r="J236" s="115"/>
      <c r="K236" s="115"/>
      <c r="L236" s="115"/>
      <c r="M236" s="122"/>
      <c r="N236" s="122"/>
      <c r="O236" s="122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26"/>
      <c r="AE236" s="13"/>
      <c r="AH236" s="114"/>
    </row>
    <row r="237" spans="7:34" x14ac:dyDescent="0.4">
      <c r="G237" s="115"/>
      <c r="H237" s="115"/>
      <c r="I237" s="115"/>
      <c r="J237" s="115"/>
      <c r="K237" s="115"/>
      <c r="L237" s="115"/>
      <c r="M237" s="122"/>
      <c r="N237" s="122"/>
      <c r="O237" s="122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26"/>
      <c r="AE237" s="13"/>
      <c r="AH237" s="114"/>
    </row>
    <row r="238" spans="7:34" x14ac:dyDescent="0.4">
      <c r="G238" s="115"/>
      <c r="H238" s="115"/>
      <c r="I238" s="115"/>
      <c r="J238" s="115"/>
      <c r="K238" s="115"/>
      <c r="L238" s="115"/>
      <c r="M238" s="122"/>
      <c r="N238" s="122"/>
      <c r="O238" s="122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26"/>
      <c r="AE238" s="13"/>
      <c r="AH238" s="114"/>
    </row>
    <row r="239" spans="7:34" x14ac:dyDescent="0.4">
      <c r="G239" s="115"/>
      <c r="H239" s="115"/>
      <c r="I239" s="115"/>
      <c r="J239" s="115"/>
      <c r="K239" s="115"/>
      <c r="L239" s="115"/>
      <c r="M239" s="122"/>
      <c r="N239" s="122"/>
      <c r="O239" s="122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26"/>
      <c r="AE239" s="13"/>
      <c r="AH239" s="114"/>
    </row>
    <row r="240" spans="7:34" x14ac:dyDescent="0.4">
      <c r="G240" s="115"/>
      <c r="H240" s="115"/>
      <c r="I240" s="115"/>
      <c r="J240" s="115"/>
      <c r="K240" s="115"/>
      <c r="L240" s="115"/>
      <c r="M240" s="122"/>
      <c r="N240" s="122"/>
      <c r="O240" s="122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26"/>
      <c r="AE240" s="13"/>
      <c r="AH240" s="114"/>
    </row>
    <row r="241" spans="5:34" x14ac:dyDescent="0.4">
      <c r="G241" s="115"/>
      <c r="H241" s="115"/>
      <c r="I241" s="115"/>
      <c r="J241" s="115"/>
      <c r="K241" s="115"/>
      <c r="L241" s="115"/>
      <c r="M241" s="122"/>
      <c r="N241" s="122"/>
      <c r="O241" s="122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7"/>
      <c r="AE241" s="13"/>
      <c r="AH241" s="114"/>
    </row>
    <row r="242" spans="5:34" x14ac:dyDescent="0.4">
      <c r="G242" s="115"/>
      <c r="H242" s="115"/>
      <c r="I242" s="115"/>
      <c r="J242" s="115"/>
      <c r="K242" s="115"/>
      <c r="L242" s="115"/>
      <c r="M242" s="122"/>
      <c r="N242" s="122"/>
      <c r="O242" s="122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26"/>
      <c r="AE242" s="13"/>
      <c r="AH242" s="114"/>
    </row>
    <row r="243" spans="5:34" x14ac:dyDescent="0.4">
      <c r="G243" s="115"/>
      <c r="H243" s="115"/>
      <c r="I243" s="115"/>
      <c r="J243" s="115"/>
      <c r="K243" s="115"/>
      <c r="L243" s="115"/>
      <c r="M243" s="122"/>
      <c r="N243" s="122"/>
      <c r="O243" s="122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26"/>
      <c r="AE243" s="13"/>
      <c r="AH243" s="114"/>
    </row>
    <row r="244" spans="5:34" x14ac:dyDescent="0.4">
      <c r="E244" s="115"/>
      <c r="F244" s="115"/>
      <c r="G244" s="115"/>
      <c r="H244" s="115"/>
      <c r="I244" s="115"/>
      <c r="J244" s="115"/>
      <c r="K244" s="115"/>
      <c r="L244" s="115"/>
      <c r="M244" s="122"/>
      <c r="N244" s="122"/>
      <c r="O244" s="122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26"/>
      <c r="AE244" s="13"/>
      <c r="AH244" s="114"/>
    </row>
    <row r="245" spans="5:34" x14ac:dyDescent="0.4">
      <c r="E245" s="115"/>
      <c r="F245" s="115"/>
      <c r="G245" s="115"/>
      <c r="H245" s="115"/>
      <c r="I245" s="115"/>
      <c r="J245" s="115"/>
      <c r="K245" s="115"/>
      <c r="L245" s="115"/>
      <c r="M245" s="122"/>
      <c r="N245" s="122"/>
      <c r="O245" s="122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26"/>
      <c r="AE245" s="13"/>
      <c r="AH245" s="114"/>
    </row>
    <row r="246" spans="5:34" x14ac:dyDescent="0.4">
      <c r="E246" s="115"/>
      <c r="F246" s="115"/>
      <c r="G246" s="115"/>
      <c r="H246" s="115"/>
      <c r="I246" s="115"/>
      <c r="J246" s="115"/>
      <c r="K246" s="115"/>
      <c r="L246" s="115"/>
      <c r="M246" s="122"/>
      <c r="N246" s="122"/>
      <c r="O246" s="122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26"/>
      <c r="AE246" s="13"/>
      <c r="AH246" s="114"/>
    </row>
    <row r="247" spans="5:34" x14ac:dyDescent="0.4">
      <c r="E247" s="115"/>
      <c r="F247" s="115"/>
      <c r="G247" s="115"/>
      <c r="H247" s="115"/>
      <c r="I247" s="115"/>
      <c r="J247" s="115"/>
      <c r="K247" s="115"/>
      <c r="L247" s="115"/>
      <c r="M247" s="122"/>
      <c r="N247" s="122"/>
      <c r="O247" s="122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26"/>
      <c r="AE247" s="13"/>
      <c r="AH247" s="114"/>
    </row>
    <row r="248" spans="5:34" x14ac:dyDescent="0.4">
      <c r="E248" s="115"/>
      <c r="F248" s="115"/>
      <c r="G248" s="115"/>
      <c r="H248" s="115"/>
      <c r="I248" s="115"/>
      <c r="J248" s="115"/>
      <c r="K248" s="115"/>
      <c r="L248" s="115"/>
      <c r="M248" s="122"/>
      <c r="N248" s="122"/>
      <c r="O248" s="122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26"/>
      <c r="AE248" s="13"/>
      <c r="AH248" s="114"/>
    </row>
    <row r="249" spans="5:34" x14ac:dyDescent="0.4">
      <c r="E249" s="115"/>
      <c r="F249" s="115"/>
      <c r="G249" s="115"/>
      <c r="H249" s="115"/>
      <c r="I249" s="115"/>
      <c r="J249" s="115"/>
      <c r="K249" s="115"/>
      <c r="L249" s="115"/>
      <c r="M249" s="122"/>
      <c r="N249" s="122"/>
      <c r="O249" s="122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26"/>
      <c r="AE249" s="13"/>
      <c r="AH249" s="114"/>
    </row>
    <row r="250" spans="5:34" x14ac:dyDescent="0.4">
      <c r="E250" s="115"/>
      <c r="F250" s="115"/>
      <c r="G250" s="115"/>
      <c r="H250" s="115"/>
      <c r="I250" s="115"/>
      <c r="J250" s="115"/>
      <c r="K250" s="115"/>
      <c r="L250" s="115"/>
      <c r="M250" s="122"/>
      <c r="N250" s="122"/>
      <c r="O250" s="122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26"/>
      <c r="AE250" s="13"/>
      <c r="AH250" s="114"/>
    </row>
    <row r="251" spans="5:34" x14ac:dyDescent="0.4">
      <c r="E251" s="115"/>
      <c r="F251" s="115"/>
      <c r="G251" s="115"/>
      <c r="H251" s="115"/>
      <c r="I251" s="115"/>
      <c r="J251" s="115"/>
      <c r="K251" s="115"/>
      <c r="L251" s="115"/>
      <c r="M251" s="122"/>
      <c r="N251" s="122"/>
      <c r="O251" s="122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26"/>
      <c r="AE251" s="13"/>
      <c r="AH251" s="114"/>
    </row>
    <row r="252" spans="5:34" x14ac:dyDescent="0.4">
      <c r="E252" s="115"/>
      <c r="F252" s="115"/>
      <c r="G252" s="115"/>
      <c r="H252" s="115"/>
      <c r="I252" s="115"/>
      <c r="J252" s="115"/>
      <c r="K252" s="115"/>
      <c r="L252" s="115"/>
      <c r="M252" s="122"/>
      <c r="N252" s="122"/>
      <c r="O252" s="122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26"/>
      <c r="AE252" s="13"/>
      <c r="AH252" s="114"/>
    </row>
    <row r="253" spans="5:34" x14ac:dyDescent="0.4">
      <c r="E253" s="115"/>
      <c r="F253" s="115"/>
      <c r="G253" s="115"/>
      <c r="H253" s="115"/>
      <c r="I253" s="115"/>
      <c r="J253" s="115"/>
      <c r="K253" s="115"/>
      <c r="L253" s="115"/>
      <c r="M253" s="122"/>
      <c r="N253" s="122"/>
      <c r="O253" s="122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26"/>
      <c r="AE253" s="13"/>
      <c r="AH253" s="114"/>
    </row>
    <row r="254" spans="5:34" x14ac:dyDescent="0.4">
      <c r="E254" s="115"/>
      <c r="F254" s="115"/>
      <c r="G254" s="115"/>
      <c r="H254" s="115"/>
      <c r="I254" s="115"/>
      <c r="J254" s="115"/>
      <c r="K254" s="115"/>
      <c r="L254" s="115"/>
      <c r="M254" s="122"/>
      <c r="N254" s="122"/>
      <c r="O254" s="122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26"/>
      <c r="AE254" s="13"/>
      <c r="AH254" s="114"/>
    </row>
    <row r="255" spans="5:34" x14ac:dyDescent="0.4">
      <c r="E255" s="115"/>
      <c r="F255" s="115"/>
      <c r="G255" s="115"/>
      <c r="H255" s="115"/>
      <c r="I255" s="115"/>
      <c r="J255" s="115"/>
      <c r="K255" s="115"/>
      <c r="L255" s="115"/>
      <c r="M255" s="122"/>
      <c r="N255" s="122"/>
      <c r="O255" s="122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26"/>
      <c r="AE255" s="13"/>
      <c r="AH255" s="114"/>
    </row>
    <row r="256" spans="5:34" x14ac:dyDescent="0.4">
      <c r="E256" s="115"/>
      <c r="F256" s="115"/>
      <c r="G256" s="115"/>
      <c r="H256" s="115"/>
      <c r="I256" s="115"/>
      <c r="J256" s="115"/>
      <c r="K256" s="115"/>
      <c r="L256" s="115"/>
      <c r="M256" s="122"/>
      <c r="N256" s="122"/>
      <c r="O256" s="122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26"/>
      <c r="AE256" s="13"/>
      <c r="AH256" s="114"/>
    </row>
    <row r="257" spans="3:34" x14ac:dyDescent="0.4">
      <c r="E257" s="115"/>
      <c r="F257" s="115"/>
      <c r="G257" s="115"/>
      <c r="H257" s="115"/>
      <c r="I257" s="115"/>
      <c r="J257" s="115"/>
      <c r="K257" s="115"/>
      <c r="L257" s="115"/>
      <c r="M257" s="122"/>
      <c r="N257" s="122"/>
      <c r="O257" s="122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26"/>
      <c r="AE257" s="13"/>
      <c r="AH257" s="114"/>
    </row>
    <row r="258" spans="3:34" x14ac:dyDescent="0.4">
      <c r="E258" s="115"/>
      <c r="F258" s="115"/>
      <c r="G258" s="115"/>
      <c r="H258" s="115"/>
      <c r="I258" s="115"/>
      <c r="J258" s="115"/>
      <c r="K258" s="115"/>
      <c r="L258" s="115"/>
      <c r="M258" s="122"/>
      <c r="N258" s="122"/>
      <c r="O258" s="122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26"/>
      <c r="AE258" s="13"/>
      <c r="AH258" s="114"/>
    </row>
    <row r="259" spans="3:34" x14ac:dyDescent="0.4">
      <c r="E259" s="115"/>
      <c r="F259" s="115"/>
      <c r="G259" s="115"/>
      <c r="H259" s="115"/>
      <c r="I259" s="115"/>
      <c r="J259" s="115"/>
      <c r="K259" s="115"/>
      <c r="L259" s="115"/>
      <c r="M259" s="122"/>
      <c r="N259" s="122"/>
      <c r="O259" s="122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26"/>
      <c r="AE259" s="13"/>
      <c r="AH259" s="114"/>
    </row>
    <row r="260" spans="3:34" x14ac:dyDescent="0.4">
      <c r="E260" s="115"/>
      <c r="F260" s="115"/>
      <c r="G260" s="115"/>
      <c r="H260" s="115"/>
      <c r="I260" s="115"/>
      <c r="J260" s="115"/>
      <c r="K260" s="115"/>
      <c r="L260" s="115"/>
      <c r="M260" s="122"/>
      <c r="N260" s="122"/>
      <c r="O260" s="122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7"/>
      <c r="AE260" s="13"/>
      <c r="AH260" s="114"/>
    </row>
    <row r="261" spans="3:34" x14ac:dyDescent="0.4">
      <c r="E261" s="115"/>
      <c r="F261" s="115"/>
      <c r="G261" s="115"/>
      <c r="H261" s="115"/>
      <c r="I261" s="115"/>
      <c r="J261" s="115"/>
      <c r="K261" s="115"/>
      <c r="L261" s="115"/>
      <c r="M261" s="122"/>
      <c r="N261" s="122"/>
      <c r="O261" s="122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26"/>
      <c r="AE261" s="13"/>
      <c r="AH261" s="114"/>
    </row>
    <row r="262" spans="3:34" x14ac:dyDescent="0.4">
      <c r="E262" s="115"/>
      <c r="F262" s="115"/>
      <c r="G262" s="115"/>
      <c r="H262" s="115"/>
      <c r="I262" s="115"/>
      <c r="J262" s="115"/>
      <c r="K262" s="115"/>
      <c r="L262" s="115"/>
      <c r="M262" s="122"/>
      <c r="N262" s="122"/>
      <c r="O262" s="122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26"/>
      <c r="AE262" s="13"/>
      <c r="AH262" s="114"/>
    </row>
    <row r="263" spans="3:34" x14ac:dyDescent="0.4">
      <c r="D263" s="115"/>
      <c r="E263" s="115"/>
      <c r="F263" s="115"/>
      <c r="G263" s="115"/>
      <c r="H263" s="115"/>
      <c r="I263" s="115"/>
      <c r="J263" s="115"/>
      <c r="K263" s="115"/>
      <c r="L263" s="115"/>
      <c r="M263" s="122"/>
      <c r="N263" s="122"/>
      <c r="O263" s="122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26"/>
      <c r="AE263" s="13"/>
      <c r="AH263" s="114"/>
    </row>
    <row r="264" spans="3:34" x14ac:dyDescent="0.4">
      <c r="D264" s="115"/>
      <c r="E264" s="115"/>
      <c r="F264" s="115"/>
      <c r="G264" s="115"/>
      <c r="H264" s="115"/>
      <c r="I264" s="115"/>
      <c r="J264" s="115"/>
      <c r="K264" s="115"/>
      <c r="L264" s="115"/>
      <c r="M264" s="122"/>
      <c r="N264" s="122"/>
      <c r="O264" s="122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26"/>
      <c r="AE264" s="15"/>
      <c r="AH264" s="114"/>
    </row>
    <row r="265" spans="3:34" x14ac:dyDescent="0.4">
      <c r="D265" s="115"/>
      <c r="E265" s="115"/>
      <c r="F265" s="115"/>
      <c r="G265" s="115"/>
      <c r="H265" s="115"/>
      <c r="I265" s="115"/>
      <c r="J265" s="115"/>
      <c r="K265" s="115"/>
      <c r="L265" s="115"/>
      <c r="M265" s="122"/>
      <c r="N265" s="122"/>
      <c r="O265" s="122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26"/>
      <c r="AE265" s="15"/>
      <c r="AH265" s="114"/>
    </row>
    <row r="266" spans="3:34" x14ac:dyDescent="0.4"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22"/>
      <c r="N266" s="122"/>
      <c r="O266" s="122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26"/>
      <c r="AE266" s="15"/>
      <c r="AH266" s="114"/>
    </row>
    <row r="267" spans="3:34" x14ac:dyDescent="0.4"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22"/>
      <c r="N267" s="122"/>
      <c r="O267" s="122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26"/>
      <c r="AE267" s="13"/>
      <c r="AH267" s="114"/>
    </row>
    <row r="268" spans="3:34" x14ac:dyDescent="0.4"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22"/>
      <c r="N268" s="122"/>
      <c r="O268" s="122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26"/>
      <c r="AE268" s="13"/>
      <c r="AH268" s="114"/>
    </row>
    <row r="269" spans="3:34" x14ac:dyDescent="0.4"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22"/>
      <c r="N269" s="122"/>
      <c r="O269" s="122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26"/>
      <c r="AE269" s="13"/>
      <c r="AH269" s="114"/>
    </row>
    <row r="270" spans="3:34" x14ac:dyDescent="0.4"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22"/>
      <c r="N270" s="122"/>
      <c r="O270" s="122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7"/>
      <c r="AE270" s="13"/>
      <c r="AH270" s="114"/>
    </row>
    <row r="271" spans="3:34" x14ac:dyDescent="0.4"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22"/>
      <c r="N271" s="122"/>
      <c r="O271" s="122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26"/>
      <c r="AE271" s="13"/>
      <c r="AH271" s="114"/>
    </row>
    <row r="272" spans="3:34" x14ac:dyDescent="0.4"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22"/>
      <c r="N272" s="122"/>
      <c r="O272" s="122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26"/>
      <c r="AE272" s="25"/>
      <c r="AH272" s="114"/>
    </row>
    <row r="273" spans="1:34" x14ac:dyDescent="0.4"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22"/>
      <c r="N273" s="122"/>
      <c r="O273" s="122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26"/>
      <c r="AE273" s="13"/>
      <c r="AH273" s="114"/>
    </row>
    <row r="274" spans="1:34" x14ac:dyDescent="0.4"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22"/>
      <c r="N274" s="122"/>
      <c r="O274" s="122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26"/>
      <c r="AE274" s="13"/>
      <c r="AH274" s="114"/>
    </row>
    <row r="275" spans="1:34" x14ac:dyDescent="0.4"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22"/>
      <c r="N275" s="122"/>
      <c r="O275" s="122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26"/>
      <c r="AE275" s="13"/>
      <c r="AH275" s="114"/>
    </row>
    <row r="276" spans="1:34" x14ac:dyDescent="0.4"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22"/>
      <c r="N276" s="122"/>
      <c r="O276" s="122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26"/>
      <c r="AE276" s="13"/>
      <c r="AH276" s="114"/>
    </row>
    <row r="277" spans="1:34" x14ac:dyDescent="0.4"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22"/>
      <c r="N277" s="122"/>
      <c r="O277" s="122"/>
      <c r="P277" s="115"/>
      <c r="Q277" s="115"/>
      <c r="R277" s="115"/>
      <c r="S277" s="115"/>
      <c r="AD277" s="26"/>
      <c r="AE277" s="13"/>
      <c r="AH277" s="114"/>
    </row>
    <row r="278" spans="1:34" x14ac:dyDescent="0.4"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22"/>
      <c r="N278" s="122"/>
      <c r="O278" s="122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26"/>
      <c r="AE278" s="13"/>
      <c r="AH278" s="114"/>
    </row>
    <row r="279" spans="1:34" x14ac:dyDescent="0.4"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22"/>
      <c r="N279" s="122"/>
      <c r="O279" s="122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7"/>
      <c r="AE279" s="13"/>
      <c r="AH279" s="114"/>
    </row>
    <row r="280" spans="1:34" x14ac:dyDescent="0.4"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22"/>
      <c r="N280" s="122"/>
      <c r="O280" s="122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26"/>
      <c r="AE280" s="13"/>
      <c r="AH280" s="114"/>
    </row>
    <row r="281" spans="1:34" x14ac:dyDescent="0.4"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22"/>
      <c r="N281" s="122"/>
      <c r="O281" s="122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26"/>
      <c r="AE281" s="15"/>
      <c r="AH281" s="114"/>
    </row>
    <row r="282" spans="1:34" x14ac:dyDescent="0.4"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22"/>
      <c r="N282" s="122"/>
      <c r="O282" s="122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7"/>
      <c r="AE282" s="15"/>
      <c r="AH282" s="114"/>
    </row>
    <row r="283" spans="1:34" x14ac:dyDescent="0.4"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22"/>
      <c r="N283" s="122"/>
      <c r="O283" s="122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26"/>
      <c r="AE283" s="15"/>
      <c r="AH283" s="114"/>
    </row>
    <row r="284" spans="1:34" x14ac:dyDescent="0.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22"/>
      <c r="N284" s="122"/>
      <c r="O284" s="122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26"/>
      <c r="AE284" s="15"/>
      <c r="AH284" s="114"/>
    </row>
    <row r="285" spans="1:34" x14ac:dyDescent="0.4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22"/>
      <c r="N285" s="122"/>
      <c r="O285" s="122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7"/>
      <c r="AE285" s="13"/>
      <c r="AH285" s="114"/>
    </row>
    <row r="286" spans="1:34" x14ac:dyDescent="0.4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22"/>
      <c r="N286" s="122"/>
      <c r="O286" s="122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7"/>
      <c r="AE286" s="13"/>
      <c r="AH286" s="114"/>
    </row>
    <row r="287" spans="1:34" x14ac:dyDescent="0.4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22"/>
      <c r="N287" s="122"/>
      <c r="O287" s="122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26"/>
      <c r="AE287" s="13"/>
      <c r="AH287" s="114"/>
    </row>
    <row r="288" spans="1:34" x14ac:dyDescent="0.4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22"/>
      <c r="N288" s="122"/>
      <c r="O288" s="122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26"/>
      <c r="AE288" s="13"/>
      <c r="AH288" s="114"/>
    </row>
    <row r="289" spans="1:34" x14ac:dyDescent="0.4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22"/>
      <c r="N289" s="122"/>
      <c r="O289" s="122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7"/>
      <c r="AE289" s="13"/>
      <c r="AH289" s="114"/>
    </row>
    <row r="290" spans="1:34" x14ac:dyDescent="0.4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22"/>
      <c r="N290" s="122"/>
      <c r="O290" s="122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26"/>
      <c r="AE290" s="15"/>
      <c r="AH290" s="114"/>
    </row>
    <row r="291" spans="1:34" x14ac:dyDescent="0.4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22"/>
      <c r="N291" s="122"/>
      <c r="O291" s="122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26"/>
      <c r="AE291" s="15"/>
      <c r="AH291" s="114"/>
    </row>
    <row r="292" spans="1:34" x14ac:dyDescent="0.4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22"/>
      <c r="N292" s="122"/>
      <c r="O292" s="122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26"/>
      <c r="AE292" s="15"/>
      <c r="AH292" s="114"/>
    </row>
    <row r="293" spans="1:34" x14ac:dyDescent="0.4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22"/>
      <c r="N293" s="122"/>
      <c r="O293" s="122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26"/>
      <c r="AE293" s="13"/>
      <c r="AH293" s="114"/>
    </row>
    <row r="294" spans="1:34" x14ac:dyDescent="0.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22"/>
      <c r="N294" s="122"/>
      <c r="O294" s="122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26"/>
      <c r="AE294" s="25"/>
      <c r="AH294" s="114"/>
    </row>
    <row r="295" spans="1:34" x14ac:dyDescent="0.4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22"/>
      <c r="N295" s="122"/>
      <c r="O295" s="122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26"/>
      <c r="AE295" s="13"/>
      <c r="AH295" s="114"/>
    </row>
    <row r="296" spans="1:34" x14ac:dyDescent="0.4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22"/>
      <c r="N296" s="122"/>
      <c r="O296" s="122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26"/>
      <c r="AE296" s="13"/>
      <c r="AH296" s="114"/>
    </row>
    <row r="297" spans="1:34" x14ac:dyDescent="0.4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22"/>
      <c r="N297" s="122"/>
      <c r="O297" s="122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26"/>
      <c r="AE297" s="13"/>
      <c r="AH297" s="114"/>
    </row>
    <row r="298" spans="1:34" x14ac:dyDescent="0.4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22"/>
      <c r="N298" s="122"/>
      <c r="O298" s="122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26"/>
      <c r="AE298" s="13"/>
      <c r="AH298" s="114"/>
    </row>
    <row r="299" spans="1:34" x14ac:dyDescent="0.4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22"/>
      <c r="N299" s="122"/>
      <c r="O299" s="122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26"/>
      <c r="AE299" s="13"/>
      <c r="AH299" s="114"/>
    </row>
    <row r="300" spans="1:34" x14ac:dyDescent="0.4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22"/>
      <c r="N300" s="122"/>
      <c r="O300" s="122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26"/>
      <c r="AE300" s="13"/>
      <c r="AH300" s="114"/>
    </row>
    <row r="301" spans="1:34" x14ac:dyDescent="0.4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22"/>
      <c r="N301" s="122"/>
      <c r="O301" s="122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26"/>
      <c r="AE301" s="13"/>
      <c r="AH301" s="114"/>
    </row>
    <row r="302" spans="1:34" x14ac:dyDescent="0.4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22"/>
      <c r="N302" s="122"/>
      <c r="O302" s="122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26"/>
      <c r="AE302" s="13"/>
      <c r="AH302" s="114"/>
    </row>
    <row r="303" spans="1:34" x14ac:dyDescent="0.4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22"/>
      <c r="N303" s="122"/>
      <c r="O303" s="122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26"/>
      <c r="AE303" s="13"/>
      <c r="AH303" s="114"/>
    </row>
    <row r="304" spans="1:34" x14ac:dyDescent="0.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22"/>
      <c r="N304" s="122"/>
      <c r="O304" s="122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26"/>
      <c r="AE304" s="13"/>
      <c r="AH304" s="114"/>
    </row>
    <row r="305" spans="1:34" x14ac:dyDescent="0.4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22"/>
      <c r="N305" s="122"/>
      <c r="O305" s="122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26"/>
      <c r="AE305" s="15"/>
      <c r="AH305" s="114"/>
    </row>
    <row r="306" spans="1:34" x14ac:dyDescent="0.4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22"/>
      <c r="N306" s="122"/>
      <c r="O306" s="122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26"/>
      <c r="AE306" s="15"/>
      <c r="AH306" s="114"/>
    </row>
    <row r="307" spans="1:34" x14ac:dyDescent="0.4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22"/>
      <c r="N307" s="122"/>
      <c r="O307" s="122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26"/>
      <c r="AE307" s="15"/>
      <c r="AH307" s="114"/>
    </row>
    <row r="308" spans="1:34" x14ac:dyDescent="0.4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22"/>
      <c r="N308" s="122"/>
      <c r="O308" s="122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26"/>
      <c r="AE308" s="15"/>
      <c r="AH308" s="114"/>
    </row>
    <row r="309" spans="1:34" x14ac:dyDescent="0.4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22"/>
      <c r="N309" s="122"/>
      <c r="O309" s="122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26"/>
      <c r="AE309" s="13"/>
      <c r="AH309" s="114"/>
    </row>
    <row r="310" spans="1:34" x14ac:dyDescent="0.4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22"/>
      <c r="N310" s="122"/>
      <c r="O310" s="122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26"/>
      <c r="AE310" s="15"/>
      <c r="AH310" s="114"/>
    </row>
    <row r="311" spans="1:34" x14ac:dyDescent="0.4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22"/>
      <c r="N311" s="122"/>
      <c r="O311" s="122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26"/>
      <c r="AE311" s="15"/>
      <c r="AH311" s="114"/>
    </row>
    <row r="312" spans="1:34" x14ac:dyDescent="0.4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22"/>
      <c r="N312" s="122"/>
      <c r="O312" s="122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26"/>
      <c r="AE312" s="15"/>
      <c r="AH312" s="114"/>
    </row>
    <row r="313" spans="1:34" x14ac:dyDescent="0.4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22"/>
      <c r="N313" s="122"/>
      <c r="O313" s="122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26"/>
      <c r="AE313" s="15"/>
      <c r="AH313" s="114"/>
    </row>
    <row r="314" spans="1:34" x14ac:dyDescent="0.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22"/>
      <c r="N314" s="122"/>
      <c r="O314" s="122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26"/>
      <c r="AE314" s="15"/>
      <c r="AH314" s="114"/>
    </row>
    <row r="315" spans="1:34" x14ac:dyDescent="0.4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22"/>
      <c r="N315" s="122"/>
      <c r="O315" s="122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26"/>
      <c r="AE315" s="105"/>
      <c r="AH315" s="114"/>
    </row>
    <row r="316" spans="1:34" x14ac:dyDescent="0.4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22"/>
      <c r="N316" s="122"/>
      <c r="O316" s="122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7"/>
      <c r="AE316" s="15"/>
      <c r="AH316" s="114"/>
    </row>
    <row r="317" spans="1:34" x14ac:dyDescent="0.4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22"/>
      <c r="N317" s="122"/>
      <c r="O317" s="122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26"/>
      <c r="AE317" s="15"/>
      <c r="AH317" s="114"/>
    </row>
    <row r="318" spans="1:34" x14ac:dyDescent="0.4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22"/>
      <c r="N318" s="122"/>
      <c r="O318" s="122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26"/>
      <c r="AE318" s="15"/>
      <c r="AH318" s="114"/>
    </row>
    <row r="319" spans="1:34" x14ac:dyDescent="0.4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22"/>
      <c r="N319" s="122"/>
      <c r="O319" s="122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26"/>
      <c r="AE319" s="105"/>
      <c r="AH319" s="114"/>
    </row>
    <row r="320" spans="1:34" x14ac:dyDescent="0.4">
      <c r="AD320" s="26"/>
      <c r="AE320" s="15"/>
      <c r="AH320" s="114"/>
    </row>
    <row r="321" spans="2:34" x14ac:dyDescent="0.4">
      <c r="N321" s="122"/>
      <c r="O321" s="122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26"/>
      <c r="AE321" s="15"/>
      <c r="AH321" s="114"/>
    </row>
    <row r="322" spans="2:34" x14ac:dyDescent="0.4">
      <c r="J322" s="115"/>
      <c r="K322" s="115"/>
      <c r="L322" s="115"/>
      <c r="M322" s="122"/>
      <c r="N322" s="122"/>
      <c r="O322" s="122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26"/>
      <c r="AE322" s="15"/>
      <c r="AH322" s="114"/>
    </row>
    <row r="323" spans="2:34" x14ac:dyDescent="0.4"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22"/>
      <c r="N323" s="122"/>
      <c r="O323" s="122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26"/>
      <c r="AE323" s="15"/>
      <c r="AH323" s="114"/>
    </row>
    <row r="324" spans="2:34" x14ac:dyDescent="0.4"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22"/>
      <c r="N324" s="122"/>
      <c r="O324" s="122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7"/>
      <c r="AE324" s="15"/>
      <c r="AH324" s="114"/>
    </row>
    <row r="325" spans="2:34" x14ac:dyDescent="0.4"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22"/>
      <c r="N325" s="122"/>
      <c r="O325" s="122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26"/>
      <c r="AE325" s="15"/>
      <c r="AH325" s="114"/>
    </row>
    <row r="326" spans="2:34" x14ac:dyDescent="0.4"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22"/>
      <c r="N326" s="122"/>
      <c r="O326" s="122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26"/>
      <c r="AE326" s="15"/>
      <c r="AH326" s="114"/>
    </row>
    <row r="327" spans="2:34" x14ac:dyDescent="0.4"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22"/>
      <c r="N327" s="122"/>
      <c r="O327" s="122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26"/>
      <c r="AE327" s="15"/>
      <c r="AH327" s="114"/>
    </row>
    <row r="328" spans="2:34" x14ac:dyDescent="0.4"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22"/>
      <c r="N328" s="122"/>
      <c r="O328" s="122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6"/>
      <c r="AE328" s="15"/>
      <c r="AH328" s="114"/>
    </row>
    <row r="329" spans="2:34" x14ac:dyDescent="0.4"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22"/>
      <c r="N329" s="122"/>
      <c r="O329" s="122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26"/>
      <c r="AE329" s="15"/>
      <c r="AH329" s="114"/>
    </row>
    <row r="330" spans="2:34" x14ac:dyDescent="0.4"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22"/>
      <c r="N330" s="122"/>
      <c r="O330" s="122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26"/>
      <c r="AE330" s="15"/>
      <c r="AH330" s="114"/>
    </row>
    <row r="331" spans="2:34" x14ac:dyDescent="0.4"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22"/>
      <c r="N331" s="122"/>
      <c r="O331" s="122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26"/>
      <c r="AE331" s="15"/>
      <c r="AH331" s="114"/>
    </row>
    <row r="332" spans="2:34" x14ac:dyDescent="0.4"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22"/>
      <c r="N332" s="122"/>
      <c r="O332" s="122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7"/>
      <c r="AE332" s="15"/>
      <c r="AH332" s="114"/>
    </row>
    <row r="333" spans="2:34" x14ac:dyDescent="0.4"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22"/>
      <c r="N333" s="122"/>
      <c r="O333" s="122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26"/>
      <c r="AE333" s="15"/>
      <c r="AH333" s="114"/>
    </row>
    <row r="334" spans="2:34" x14ac:dyDescent="0.4"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22"/>
      <c r="N334" s="122"/>
      <c r="O334" s="122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26"/>
      <c r="AE334" s="15"/>
      <c r="AH334" s="114"/>
    </row>
    <row r="335" spans="2:34" x14ac:dyDescent="0.4"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22"/>
      <c r="N335" s="122"/>
      <c r="O335" s="122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26"/>
      <c r="AE335" s="15"/>
      <c r="AH335" s="114"/>
    </row>
    <row r="336" spans="2:34" x14ac:dyDescent="0.4"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22"/>
      <c r="N336" s="122"/>
      <c r="O336" s="122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26"/>
      <c r="AE336" s="15"/>
      <c r="AH336" s="114"/>
    </row>
    <row r="337" spans="2:34" x14ac:dyDescent="0.4"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22"/>
      <c r="N337" s="122"/>
      <c r="O337" s="122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26"/>
      <c r="AE337" s="15"/>
      <c r="AH337" s="114"/>
    </row>
    <row r="338" spans="2:34" x14ac:dyDescent="0.4"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22"/>
      <c r="N338" s="122"/>
      <c r="O338" s="122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26"/>
      <c r="AE338" s="15"/>
      <c r="AH338" s="114"/>
    </row>
    <row r="339" spans="2:34" x14ac:dyDescent="0.4"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22"/>
      <c r="N339" s="122"/>
      <c r="O339" s="122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26"/>
      <c r="AE339" s="15"/>
      <c r="AH339" s="114"/>
    </row>
    <row r="340" spans="2:34" x14ac:dyDescent="0.4"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22"/>
      <c r="N340" s="122"/>
      <c r="O340" s="122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7"/>
      <c r="AE340" s="15"/>
      <c r="AH340" s="114"/>
    </row>
    <row r="341" spans="2:34" x14ac:dyDescent="0.4"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22"/>
      <c r="N341" s="122"/>
      <c r="O341" s="122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26"/>
      <c r="AE341" s="15"/>
      <c r="AH341" s="114"/>
    </row>
    <row r="342" spans="2:34" x14ac:dyDescent="0.4"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22"/>
      <c r="N342" s="122"/>
      <c r="O342" s="122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26"/>
      <c r="AE342" s="15"/>
      <c r="AH342" s="114"/>
    </row>
    <row r="343" spans="2:34" x14ac:dyDescent="0.4"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22"/>
      <c r="N343" s="122"/>
      <c r="O343" s="122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26"/>
      <c r="AE343" s="15"/>
      <c r="AH343" s="114"/>
    </row>
    <row r="344" spans="2:34" x14ac:dyDescent="0.4"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22"/>
      <c r="N344" s="122"/>
      <c r="O344" s="122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26"/>
      <c r="AE344" s="15"/>
      <c r="AH344" s="114"/>
    </row>
    <row r="345" spans="2:34" x14ac:dyDescent="0.4"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22"/>
      <c r="N345" s="122"/>
      <c r="O345" s="122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26"/>
      <c r="AE345" s="15"/>
      <c r="AH345" s="114"/>
    </row>
    <row r="346" spans="2:34" x14ac:dyDescent="0.4"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22"/>
      <c r="N346" s="122"/>
      <c r="O346" s="122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26"/>
      <c r="AE346" s="15"/>
      <c r="AH346" s="114"/>
    </row>
    <row r="347" spans="2:34" x14ac:dyDescent="0.4"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22"/>
      <c r="N347" s="122"/>
      <c r="O347" s="122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26"/>
      <c r="AE347" s="15"/>
      <c r="AH347" s="114"/>
    </row>
    <row r="348" spans="2:34" x14ac:dyDescent="0.4"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22"/>
      <c r="N348" s="122"/>
      <c r="O348" s="122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26"/>
      <c r="AE348" s="15"/>
      <c r="AH348" s="114"/>
    </row>
    <row r="349" spans="2:34" x14ac:dyDescent="0.4"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22"/>
      <c r="N349" s="122"/>
      <c r="O349" s="122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7"/>
      <c r="AE349" s="15"/>
      <c r="AH349" s="114"/>
    </row>
    <row r="350" spans="2:34" x14ac:dyDescent="0.4"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22"/>
      <c r="N350" s="122"/>
      <c r="O350" s="122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26"/>
      <c r="AE350" s="15"/>
      <c r="AH350" s="114"/>
    </row>
    <row r="351" spans="2:34" x14ac:dyDescent="0.4"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22"/>
      <c r="N351" s="122"/>
      <c r="O351" s="122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7"/>
      <c r="AE351" s="15"/>
      <c r="AH351" s="114"/>
    </row>
    <row r="352" spans="2:34" x14ac:dyDescent="0.4"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22"/>
      <c r="N352" s="122"/>
      <c r="O352" s="122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26"/>
      <c r="AE352" s="15"/>
      <c r="AH352" s="114"/>
    </row>
    <row r="353" spans="1:34" x14ac:dyDescent="0.4"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22"/>
      <c r="N353" s="122"/>
      <c r="O353" s="122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7"/>
      <c r="AE353" s="15"/>
      <c r="AH353" s="114"/>
    </row>
    <row r="354" spans="1:34" x14ac:dyDescent="0.4"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22"/>
      <c r="N354" s="122"/>
      <c r="O354" s="122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26"/>
      <c r="AE354" s="15"/>
      <c r="AH354" s="114"/>
    </row>
    <row r="355" spans="1:34" x14ac:dyDescent="0.4"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22"/>
      <c r="N355" s="122"/>
      <c r="O355" s="122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26"/>
      <c r="AE355" s="15"/>
      <c r="AH355" s="114"/>
    </row>
    <row r="356" spans="1:34" x14ac:dyDescent="0.4"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22"/>
      <c r="N356" s="122"/>
      <c r="O356" s="122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7"/>
      <c r="AE356" s="15"/>
      <c r="AH356" s="114"/>
    </row>
    <row r="357" spans="1:34" x14ac:dyDescent="0.4"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22"/>
      <c r="N357" s="122"/>
      <c r="O357" s="122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26"/>
      <c r="AE357" s="15"/>
      <c r="AH357" s="114"/>
    </row>
    <row r="358" spans="1:34" x14ac:dyDescent="0.4"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22"/>
      <c r="N358" s="122"/>
      <c r="O358" s="122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26"/>
      <c r="AE358" s="15"/>
      <c r="AH358" s="114"/>
    </row>
    <row r="359" spans="1:34" x14ac:dyDescent="0.4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22"/>
      <c r="N359" s="122"/>
      <c r="O359" s="122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26"/>
      <c r="AE359" s="105"/>
      <c r="AH359" s="114"/>
    </row>
    <row r="360" spans="1:34" x14ac:dyDescent="0.4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22"/>
      <c r="N360" s="122"/>
      <c r="O360" s="122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7"/>
      <c r="AE360" s="15"/>
      <c r="AH360" s="114"/>
    </row>
    <row r="361" spans="1:34" x14ac:dyDescent="0.4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22"/>
      <c r="N361" s="122"/>
      <c r="O361" s="122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7"/>
      <c r="AE361" s="15"/>
      <c r="AH361" s="114"/>
    </row>
    <row r="362" spans="1:34" x14ac:dyDescent="0.4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22"/>
      <c r="N362" s="122"/>
      <c r="O362" s="122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6"/>
      <c r="AE362" s="15"/>
      <c r="AH362" s="114"/>
    </row>
    <row r="363" spans="1:34" x14ac:dyDescent="0.4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22"/>
      <c r="N363" s="122"/>
      <c r="O363" s="122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26"/>
      <c r="AE363" s="15"/>
      <c r="AH363" s="114"/>
    </row>
    <row r="364" spans="1:34" x14ac:dyDescent="0.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22"/>
      <c r="N364" s="122"/>
      <c r="O364" s="122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26"/>
      <c r="AE364" s="15"/>
      <c r="AH364" s="114"/>
    </row>
    <row r="365" spans="1:34" x14ac:dyDescent="0.4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22"/>
      <c r="N365" s="122"/>
      <c r="O365" s="122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26"/>
      <c r="AE365" s="15"/>
      <c r="AH365" s="114"/>
    </row>
    <row r="366" spans="1:34" x14ac:dyDescent="0.4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22"/>
      <c r="N366" s="122"/>
      <c r="O366" s="122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26"/>
      <c r="AE366" s="15"/>
      <c r="AH366" s="114"/>
    </row>
    <row r="367" spans="1:34" x14ac:dyDescent="0.4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22"/>
      <c r="N367" s="122"/>
      <c r="O367" s="122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26"/>
      <c r="AE367" s="15"/>
      <c r="AH367" s="114"/>
    </row>
    <row r="368" spans="1:34" x14ac:dyDescent="0.4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22"/>
      <c r="N368" s="122"/>
      <c r="O368" s="122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26"/>
      <c r="AE368" s="15"/>
      <c r="AH368" s="114"/>
    </row>
    <row r="369" spans="1:34" x14ac:dyDescent="0.4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22"/>
      <c r="N369" s="122"/>
      <c r="O369" s="122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26"/>
      <c r="AE369" s="15"/>
      <c r="AH369" s="114"/>
    </row>
    <row r="370" spans="1:34" x14ac:dyDescent="0.4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22"/>
      <c r="N370" s="122"/>
      <c r="O370" s="122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26"/>
      <c r="AE370" s="105"/>
      <c r="AH370" s="114"/>
    </row>
    <row r="371" spans="1:34" x14ac:dyDescent="0.4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22"/>
      <c r="N371" s="122"/>
      <c r="O371" s="122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26"/>
      <c r="AE371" s="15"/>
      <c r="AH371" s="114"/>
    </row>
    <row r="372" spans="1:34" x14ac:dyDescent="0.4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22"/>
      <c r="N372" s="122"/>
      <c r="O372" s="122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26"/>
      <c r="AE372" s="15"/>
      <c r="AH372" s="114"/>
    </row>
    <row r="373" spans="1:34" x14ac:dyDescent="0.4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22"/>
      <c r="N373" s="122"/>
      <c r="O373" s="122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26"/>
      <c r="AE373" s="13"/>
      <c r="AH373" s="114"/>
    </row>
    <row r="374" spans="1:34" x14ac:dyDescent="0.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22"/>
      <c r="N374" s="122"/>
      <c r="O374" s="122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7"/>
      <c r="AE374" s="13"/>
      <c r="AH374" s="114"/>
    </row>
    <row r="375" spans="1:34" x14ac:dyDescent="0.4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22"/>
      <c r="N375" s="122"/>
      <c r="O375" s="122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26"/>
      <c r="AE375" s="13"/>
      <c r="AH375" s="114"/>
    </row>
    <row r="376" spans="1:34" x14ac:dyDescent="0.4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22"/>
      <c r="N376" s="122"/>
      <c r="O376" s="122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26"/>
      <c r="AE376" s="13"/>
      <c r="AH376" s="114"/>
    </row>
    <row r="377" spans="1:34" x14ac:dyDescent="0.4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22"/>
      <c r="N377" s="122"/>
      <c r="O377" s="122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26"/>
      <c r="AE377" s="13"/>
      <c r="AH377" s="114"/>
    </row>
    <row r="378" spans="1:34" x14ac:dyDescent="0.4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22"/>
      <c r="N378" s="122"/>
      <c r="O378" s="122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26"/>
      <c r="AE378" s="13"/>
      <c r="AH378" s="114"/>
    </row>
    <row r="379" spans="1:34" x14ac:dyDescent="0.4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22"/>
      <c r="N379" s="122"/>
      <c r="O379" s="122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26"/>
      <c r="AE379" s="13"/>
      <c r="AH379" s="114"/>
    </row>
    <row r="380" spans="1:34" x14ac:dyDescent="0.4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22"/>
      <c r="N380" s="122"/>
      <c r="O380" s="122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26"/>
      <c r="AE380" s="13"/>
      <c r="AH380" s="114"/>
    </row>
    <row r="381" spans="1:34" x14ac:dyDescent="0.4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22"/>
      <c r="N381" s="122"/>
      <c r="O381" s="122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7"/>
      <c r="AE381" s="13"/>
      <c r="AH381" s="114"/>
    </row>
    <row r="382" spans="1:34" x14ac:dyDescent="0.4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22"/>
      <c r="N382" s="122"/>
      <c r="O382" s="122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26"/>
      <c r="AE382" s="13"/>
      <c r="AH382" s="114"/>
    </row>
    <row r="383" spans="1:34" x14ac:dyDescent="0.4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22"/>
      <c r="N383" s="122"/>
      <c r="O383" s="122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26"/>
      <c r="AE383" s="13"/>
      <c r="AH383" s="114"/>
    </row>
    <row r="384" spans="1:34" x14ac:dyDescent="0.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22"/>
      <c r="N384" s="122"/>
      <c r="O384" s="122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26"/>
      <c r="AE384" s="13"/>
      <c r="AH384" s="114"/>
    </row>
    <row r="385" spans="1:34" x14ac:dyDescent="0.4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22"/>
      <c r="N385" s="122"/>
      <c r="O385" s="122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26"/>
      <c r="AE385" s="13"/>
      <c r="AH385" s="114"/>
    </row>
    <row r="386" spans="1:34" x14ac:dyDescent="0.4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22"/>
      <c r="N386" s="122"/>
      <c r="O386" s="122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26"/>
      <c r="AE386" s="25"/>
      <c r="AH386" s="114"/>
    </row>
    <row r="387" spans="1:34" x14ac:dyDescent="0.4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22"/>
      <c r="N387" s="122"/>
      <c r="O387" s="122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7"/>
      <c r="AE387" s="13"/>
      <c r="AH387" s="114"/>
    </row>
    <row r="388" spans="1:34" x14ac:dyDescent="0.4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22"/>
      <c r="N388" s="122"/>
      <c r="O388" s="122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26"/>
      <c r="AE388" s="15"/>
      <c r="AH388" s="114"/>
    </row>
    <row r="389" spans="1:34" x14ac:dyDescent="0.4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22"/>
      <c r="N389" s="122"/>
      <c r="O389" s="122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26"/>
      <c r="AE389" s="15"/>
      <c r="AH389" s="114"/>
    </row>
    <row r="390" spans="1:34" x14ac:dyDescent="0.4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22"/>
      <c r="N390" s="122"/>
      <c r="O390" s="122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7"/>
      <c r="AE390" s="15"/>
      <c r="AH390" s="114"/>
    </row>
    <row r="391" spans="1:34" x14ac:dyDescent="0.4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22"/>
      <c r="N391" s="122"/>
      <c r="O391" s="122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26"/>
      <c r="AE391" s="15"/>
      <c r="AH391" s="114"/>
    </row>
    <row r="392" spans="1:34" x14ac:dyDescent="0.4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22"/>
      <c r="N392" s="122"/>
      <c r="O392" s="122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26"/>
      <c r="AE392" s="15"/>
      <c r="AH392" s="114"/>
    </row>
    <row r="393" spans="1:34" x14ac:dyDescent="0.4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22"/>
      <c r="N393" s="122"/>
      <c r="O393" s="122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26"/>
      <c r="AE393" s="13"/>
      <c r="AH393" s="114"/>
    </row>
    <row r="394" spans="1:34" x14ac:dyDescent="0.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22"/>
      <c r="N394" s="122"/>
      <c r="O394" s="122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26"/>
      <c r="AE394" s="13"/>
      <c r="AH394" s="114"/>
    </row>
    <row r="395" spans="1:34" x14ac:dyDescent="0.4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22"/>
      <c r="N395" s="122"/>
      <c r="O395" s="122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26"/>
      <c r="AE395" s="13"/>
      <c r="AH395" s="114"/>
    </row>
    <row r="396" spans="1:34" x14ac:dyDescent="0.4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22"/>
      <c r="N396" s="122"/>
      <c r="O396" s="122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26"/>
      <c r="AE396" s="13"/>
      <c r="AH396" s="114"/>
    </row>
    <row r="397" spans="1:34" x14ac:dyDescent="0.4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22"/>
      <c r="N397" s="122"/>
      <c r="O397" s="122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26"/>
      <c r="AE397" s="13"/>
      <c r="AH397" s="114"/>
    </row>
    <row r="398" spans="1:34" x14ac:dyDescent="0.4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22"/>
      <c r="N398" s="122"/>
      <c r="O398" s="122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26"/>
      <c r="AE398" s="13"/>
      <c r="AH398" s="114"/>
    </row>
    <row r="399" spans="1:34" x14ac:dyDescent="0.4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22"/>
      <c r="N399" s="122"/>
      <c r="O399" s="122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26"/>
      <c r="AE399" s="13"/>
      <c r="AH399" s="114"/>
    </row>
    <row r="400" spans="1:34" x14ac:dyDescent="0.4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22"/>
      <c r="N400" s="122"/>
      <c r="O400" s="122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26"/>
      <c r="AE400" s="13"/>
      <c r="AH400" s="114"/>
    </row>
    <row r="401" spans="1:35" x14ac:dyDescent="0.4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22"/>
      <c r="N401" s="122"/>
      <c r="O401" s="122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7"/>
      <c r="AE401" s="13"/>
      <c r="AH401" s="114"/>
    </row>
    <row r="402" spans="1:35" x14ac:dyDescent="0.4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22"/>
      <c r="N402" s="122"/>
      <c r="O402" s="122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26"/>
      <c r="AE402" s="13"/>
      <c r="AH402" s="114"/>
    </row>
    <row r="403" spans="1:35" x14ac:dyDescent="0.4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22"/>
      <c r="N403" s="122"/>
      <c r="O403" s="122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7"/>
      <c r="AE403" s="13"/>
      <c r="AH403" s="114"/>
    </row>
    <row r="404" spans="1:35" x14ac:dyDescent="0.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22"/>
      <c r="N404" s="122"/>
      <c r="O404" s="122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26"/>
      <c r="AE404" s="13"/>
      <c r="AH404" s="114"/>
    </row>
    <row r="405" spans="1:35" x14ac:dyDescent="0.4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22"/>
      <c r="N405" s="122"/>
      <c r="O405" s="122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26"/>
      <c r="AE405" s="13"/>
      <c r="AH405" s="114"/>
    </row>
    <row r="406" spans="1:35" x14ac:dyDescent="0.4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22"/>
      <c r="N406" s="122"/>
      <c r="O406" s="122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26"/>
      <c r="AE406" s="13"/>
      <c r="AH406" s="114"/>
    </row>
    <row r="407" spans="1:35" x14ac:dyDescent="0.4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22"/>
      <c r="N407" s="122"/>
      <c r="O407" s="122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26"/>
      <c r="AE407" s="15"/>
      <c r="AH407" s="114"/>
    </row>
    <row r="408" spans="1:35" x14ac:dyDescent="0.4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22"/>
      <c r="N408" s="122"/>
      <c r="O408" s="122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26"/>
      <c r="AE408" s="15"/>
      <c r="AH408" s="114"/>
    </row>
    <row r="409" spans="1:35" x14ac:dyDescent="0.4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22"/>
      <c r="N409" s="122"/>
      <c r="O409" s="122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26"/>
      <c r="AE409" s="15"/>
      <c r="AH409" s="114"/>
    </row>
    <row r="410" spans="1:35" x14ac:dyDescent="0.4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22"/>
      <c r="N410" s="122"/>
      <c r="O410" s="122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26"/>
      <c r="AE410" s="13"/>
      <c r="AH410" s="114"/>
    </row>
    <row r="411" spans="1:35" x14ac:dyDescent="0.4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22"/>
      <c r="N411" s="122"/>
      <c r="O411" s="122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26"/>
      <c r="AE411" s="15"/>
      <c r="AH411" s="114"/>
    </row>
    <row r="412" spans="1:35" x14ac:dyDescent="0.4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22"/>
      <c r="N412" s="122"/>
      <c r="O412" s="122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26"/>
      <c r="AE412" s="15"/>
      <c r="AH412" s="114"/>
      <c r="AI412" s="120"/>
    </row>
    <row r="413" spans="1:35" x14ac:dyDescent="0.4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22"/>
      <c r="N413" s="122"/>
      <c r="O413" s="122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26"/>
      <c r="AE413" s="15"/>
      <c r="AH413" s="114"/>
      <c r="AI413" s="120"/>
    </row>
    <row r="414" spans="1:35" x14ac:dyDescent="0.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22"/>
      <c r="N414" s="122"/>
      <c r="O414" s="122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26"/>
      <c r="AE414" s="15"/>
      <c r="AH414" s="114"/>
      <c r="AI414" s="120"/>
    </row>
    <row r="415" spans="1:35" x14ac:dyDescent="0.4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22"/>
      <c r="N415" s="122"/>
      <c r="O415" s="122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26"/>
      <c r="AE415" s="15"/>
      <c r="AH415" s="114"/>
      <c r="AI415" s="120"/>
    </row>
    <row r="416" spans="1:35" x14ac:dyDescent="0.4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22"/>
      <c r="N416" s="122"/>
      <c r="O416" s="122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26"/>
      <c r="AE416" s="15"/>
      <c r="AH416" s="114"/>
      <c r="AI416" s="120"/>
    </row>
    <row r="417" spans="1:35" x14ac:dyDescent="0.4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22"/>
      <c r="N417" s="122"/>
      <c r="O417" s="122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26"/>
      <c r="AE417" s="15"/>
      <c r="AH417" s="114"/>
      <c r="AI417" s="120"/>
    </row>
    <row r="418" spans="1:35" x14ac:dyDescent="0.4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22"/>
      <c r="N418" s="122"/>
      <c r="O418" s="122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26"/>
      <c r="AE418" s="15"/>
      <c r="AH418" s="114"/>
      <c r="AI418" s="120"/>
    </row>
    <row r="419" spans="1:35" x14ac:dyDescent="0.4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22"/>
      <c r="N419" s="122"/>
      <c r="O419" s="122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7"/>
      <c r="AE419" s="15"/>
      <c r="AH419" s="114"/>
      <c r="AI419" s="120"/>
    </row>
    <row r="420" spans="1:35" x14ac:dyDescent="0.4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22"/>
      <c r="N420" s="122"/>
      <c r="O420" s="122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26"/>
      <c r="AE420" s="15"/>
      <c r="AH420" s="114"/>
      <c r="AI420" s="120"/>
    </row>
    <row r="421" spans="1:35" x14ac:dyDescent="0.4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22"/>
      <c r="N421" s="122"/>
      <c r="O421" s="122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26"/>
      <c r="AE421" s="15"/>
      <c r="AH421" s="114"/>
    </row>
    <row r="422" spans="1:35" x14ac:dyDescent="0.4">
      <c r="AD422" s="26"/>
      <c r="AE422" s="15"/>
      <c r="AH422" s="114"/>
    </row>
    <row r="423" spans="1:35" x14ac:dyDescent="0.4"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7"/>
      <c r="AE423" s="15"/>
      <c r="AH423" s="114"/>
    </row>
    <row r="424" spans="1:35" x14ac:dyDescent="0.4"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7"/>
      <c r="AE424" s="15"/>
      <c r="AH424" s="114"/>
    </row>
    <row r="425" spans="1:35" x14ac:dyDescent="0.4">
      <c r="O425" s="122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7"/>
      <c r="AE425" s="15"/>
      <c r="AH425" s="114"/>
    </row>
    <row r="426" spans="1:35" x14ac:dyDescent="0.4">
      <c r="J426" s="115"/>
      <c r="K426" s="115"/>
      <c r="L426" s="115"/>
      <c r="M426" s="122"/>
      <c r="N426" s="122"/>
      <c r="O426" s="122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26"/>
      <c r="AE426" s="15"/>
      <c r="AH426" s="114"/>
    </row>
    <row r="427" spans="1:35" x14ac:dyDescent="0.4">
      <c r="J427" s="115"/>
      <c r="K427" s="115"/>
      <c r="L427" s="115"/>
      <c r="M427" s="122"/>
      <c r="N427" s="122"/>
      <c r="O427" s="122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7"/>
      <c r="AE427" s="15"/>
      <c r="AH427" s="114"/>
    </row>
    <row r="428" spans="1:35" x14ac:dyDescent="0.4">
      <c r="I428" s="115"/>
      <c r="J428" s="115"/>
      <c r="K428" s="115"/>
      <c r="L428" s="115"/>
      <c r="M428" s="122"/>
      <c r="N428" s="122"/>
      <c r="O428" s="122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26"/>
      <c r="AE428" s="15"/>
      <c r="AH428" s="114"/>
    </row>
    <row r="429" spans="1:35" x14ac:dyDescent="0.4">
      <c r="I429" s="115"/>
      <c r="J429" s="115"/>
      <c r="K429" s="115"/>
      <c r="L429" s="115"/>
      <c r="M429" s="122"/>
      <c r="N429" s="122"/>
      <c r="O429" s="122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7"/>
      <c r="AE429" s="15"/>
      <c r="AH429" s="114"/>
    </row>
    <row r="430" spans="1:35" x14ac:dyDescent="0.4">
      <c r="I430" s="115"/>
      <c r="J430" s="115"/>
      <c r="K430" s="115"/>
      <c r="L430" s="115"/>
      <c r="M430" s="122"/>
      <c r="N430" s="122"/>
      <c r="O430" s="122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7"/>
      <c r="AE430" s="15"/>
      <c r="AH430" s="114"/>
    </row>
    <row r="431" spans="1:35" x14ac:dyDescent="0.4">
      <c r="I431" s="115"/>
      <c r="J431" s="115"/>
      <c r="K431" s="115"/>
      <c r="L431" s="115"/>
      <c r="M431" s="122"/>
      <c r="N431" s="122"/>
      <c r="O431" s="122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7"/>
      <c r="AE431" s="15"/>
      <c r="AH431" s="114"/>
    </row>
    <row r="432" spans="1:35" x14ac:dyDescent="0.4">
      <c r="I432" s="115"/>
      <c r="J432" s="115"/>
      <c r="K432" s="115"/>
      <c r="L432" s="115"/>
      <c r="M432" s="122"/>
      <c r="N432" s="122"/>
      <c r="O432" s="122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26"/>
      <c r="AE432" s="15"/>
      <c r="AH432" s="114"/>
    </row>
    <row r="433" spans="4:38" x14ac:dyDescent="0.4">
      <c r="I433" s="115"/>
      <c r="J433" s="115"/>
      <c r="K433" s="115"/>
      <c r="L433" s="115"/>
      <c r="M433" s="122"/>
      <c r="N433" s="122"/>
      <c r="O433" s="122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7"/>
      <c r="AE433" s="15"/>
      <c r="AH433" s="114"/>
    </row>
    <row r="434" spans="4:38" ht="19.5" x14ac:dyDescent="0.4">
      <c r="AD434" s="26"/>
      <c r="AE434" s="15"/>
      <c r="AI434" s="116"/>
      <c r="AJ434" s="116"/>
      <c r="AK434" s="116"/>
      <c r="AL434" s="116"/>
    </row>
    <row r="435" spans="4:38" ht="19.5" x14ac:dyDescent="0.4">
      <c r="N435" s="122"/>
      <c r="O435" s="122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7"/>
      <c r="AE435" s="15"/>
      <c r="AI435" s="117"/>
      <c r="AJ435" s="116"/>
      <c r="AK435" s="116"/>
      <c r="AL435" s="116"/>
    </row>
    <row r="436" spans="4:38" ht="19.5" x14ac:dyDescent="0.4">
      <c r="F436" s="115"/>
      <c r="G436" s="115"/>
      <c r="H436" s="115"/>
      <c r="I436" s="115"/>
      <c r="J436" s="115"/>
      <c r="K436" s="115"/>
      <c r="L436" s="115"/>
      <c r="M436" s="122"/>
      <c r="N436" s="122"/>
      <c r="O436" s="122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26"/>
      <c r="AE436" s="15"/>
      <c r="AI436" s="117"/>
      <c r="AJ436" s="116"/>
      <c r="AK436" s="116"/>
      <c r="AL436" s="116"/>
    </row>
    <row r="437" spans="4:38" ht="19.5" x14ac:dyDescent="0.4">
      <c r="D437" s="115"/>
      <c r="E437" s="115"/>
      <c r="F437" s="115"/>
      <c r="G437" s="115"/>
      <c r="H437" s="115"/>
      <c r="I437" s="115"/>
      <c r="J437" s="115"/>
      <c r="K437" s="115"/>
      <c r="L437" s="115"/>
      <c r="M437" s="122"/>
      <c r="N437" s="122"/>
      <c r="O437" s="122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26"/>
      <c r="AE437" s="13"/>
      <c r="AI437" s="117"/>
      <c r="AJ437" s="116"/>
      <c r="AK437" s="116"/>
      <c r="AL437" s="116"/>
    </row>
    <row r="438" spans="4:38" ht="19.5" x14ac:dyDescent="0.4">
      <c r="D438" s="115"/>
      <c r="E438" s="115"/>
      <c r="F438" s="115"/>
      <c r="G438" s="115"/>
      <c r="H438" s="115"/>
      <c r="I438" s="115"/>
      <c r="J438" s="115"/>
      <c r="K438" s="115"/>
      <c r="L438" s="115"/>
      <c r="M438" s="122"/>
      <c r="N438" s="122"/>
      <c r="O438" s="122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26"/>
      <c r="AE438" s="15"/>
      <c r="AI438" s="117"/>
      <c r="AJ438" s="116"/>
      <c r="AK438" s="116"/>
      <c r="AL438" s="116"/>
    </row>
    <row r="439" spans="4:38" ht="19.5" x14ac:dyDescent="0.4">
      <c r="D439" s="115"/>
      <c r="E439" s="115"/>
      <c r="F439" s="115"/>
      <c r="G439" s="115"/>
      <c r="H439" s="115"/>
      <c r="I439" s="115"/>
      <c r="J439" s="115"/>
      <c r="K439" s="115"/>
      <c r="L439" s="115"/>
      <c r="M439" s="122"/>
      <c r="N439" s="122"/>
      <c r="O439" s="122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7"/>
      <c r="AE439" s="15"/>
      <c r="AI439" s="117"/>
      <c r="AJ439" s="116"/>
      <c r="AK439" s="116"/>
      <c r="AL439" s="116"/>
    </row>
    <row r="440" spans="4:38" ht="19.5" x14ac:dyDescent="0.4">
      <c r="D440" s="115"/>
      <c r="E440" s="115"/>
      <c r="F440" s="115"/>
      <c r="G440" s="115"/>
      <c r="H440" s="115"/>
      <c r="I440" s="115"/>
      <c r="J440" s="115"/>
      <c r="K440" s="115"/>
      <c r="L440" s="115"/>
      <c r="M440" s="122"/>
      <c r="N440" s="122"/>
      <c r="O440" s="122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26"/>
      <c r="AE440" s="15"/>
      <c r="AI440" s="117"/>
      <c r="AJ440" s="116"/>
      <c r="AK440" s="116"/>
      <c r="AL440" s="116"/>
    </row>
    <row r="441" spans="4:38" ht="19.5" x14ac:dyDescent="0.4">
      <c r="D441" s="115"/>
      <c r="E441" s="115"/>
      <c r="F441" s="115"/>
      <c r="G441" s="115"/>
      <c r="H441" s="115"/>
      <c r="I441" s="115"/>
      <c r="J441" s="115"/>
      <c r="K441" s="115"/>
      <c r="L441" s="115"/>
      <c r="M441" s="122"/>
      <c r="N441" s="122"/>
      <c r="O441" s="122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26"/>
      <c r="AE441" s="15"/>
      <c r="AI441" s="117"/>
      <c r="AJ441" s="116"/>
      <c r="AK441" s="116"/>
      <c r="AL441" s="116"/>
    </row>
    <row r="442" spans="4:38" ht="19.5" x14ac:dyDescent="0.4">
      <c r="D442" s="115"/>
      <c r="E442" s="115"/>
      <c r="F442" s="115"/>
      <c r="G442" s="115"/>
      <c r="H442" s="115"/>
      <c r="I442" s="115"/>
      <c r="J442" s="115"/>
      <c r="K442" s="115"/>
      <c r="L442" s="115"/>
      <c r="M442" s="122"/>
      <c r="N442" s="122"/>
      <c r="O442" s="122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7"/>
      <c r="AE442" s="15"/>
      <c r="AI442" s="117"/>
      <c r="AJ442" s="116"/>
      <c r="AK442" s="116"/>
      <c r="AL442" s="116"/>
    </row>
    <row r="443" spans="4:38" ht="19.5" x14ac:dyDescent="0.4">
      <c r="D443" s="115"/>
      <c r="E443" s="115"/>
      <c r="F443" s="115"/>
      <c r="G443" s="115"/>
      <c r="H443" s="115"/>
      <c r="I443" s="115"/>
      <c r="J443" s="115"/>
      <c r="K443" s="115"/>
      <c r="L443" s="115"/>
      <c r="M443" s="122"/>
      <c r="N443" s="122"/>
      <c r="O443" s="122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26"/>
      <c r="AE443" s="15"/>
      <c r="AI443" s="117"/>
      <c r="AJ443" s="116"/>
      <c r="AK443" s="116"/>
      <c r="AL443" s="116"/>
    </row>
    <row r="444" spans="4:38" ht="19.5" x14ac:dyDescent="0.4">
      <c r="AD444" s="26"/>
      <c r="AE444" s="15"/>
      <c r="AI444" s="117"/>
      <c r="AJ444" s="116"/>
      <c r="AK444" s="116"/>
      <c r="AL444" s="116"/>
    </row>
    <row r="445" spans="4:38" ht="19.5" x14ac:dyDescent="0.4">
      <c r="N445" s="122"/>
      <c r="O445" s="122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7"/>
      <c r="AE445" s="15"/>
      <c r="AI445" s="117"/>
      <c r="AJ445" s="116"/>
      <c r="AK445" s="116"/>
      <c r="AL445" s="116"/>
    </row>
    <row r="446" spans="4:38" ht="19.5" x14ac:dyDescent="0.4">
      <c r="K446" s="115"/>
      <c r="L446" s="115"/>
      <c r="M446" s="122"/>
      <c r="N446" s="122"/>
      <c r="O446" s="122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26"/>
      <c r="AE446" s="15"/>
      <c r="AI446" s="117"/>
      <c r="AJ446" s="116"/>
      <c r="AK446" s="116"/>
      <c r="AL446" s="116"/>
    </row>
    <row r="447" spans="4:38" ht="19.5" x14ac:dyDescent="0.4">
      <c r="K447" s="115"/>
      <c r="L447" s="115"/>
      <c r="M447" s="122"/>
      <c r="N447" s="122"/>
      <c r="O447" s="122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7"/>
      <c r="AE447" s="15"/>
      <c r="AI447" s="117"/>
      <c r="AJ447" s="116"/>
      <c r="AK447" s="116"/>
      <c r="AL447" s="116"/>
    </row>
    <row r="448" spans="4:38" ht="19.5" x14ac:dyDescent="0.4">
      <c r="J448" s="115"/>
      <c r="K448" s="115"/>
      <c r="L448" s="115"/>
      <c r="M448" s="122"/>
      <c r="N448" s="122"/>
      <c r="O448" s="122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26"/>
      <c r="AE448" s="15"/>
      <c r="AI448" s="117"/>
      <c r="AJ448" s="116"/>
      <c r="AK448" s="116"/>
      <c r="AL448" s="116"/>
    </row>
    <row r="449" spans="1:38" ht="19.5" x14ac:dyDescent="0.4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22"/>
      <c r="N449" s="122"/>
      <c r="O449" s="122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26"/>
      <c r="AE449" s="15"/>
      <c r="AI449" s="117"/>
      <c r="AJ449" s="116"/>
      <c r="AK449" s="116"/>
      <c r="AL449" s="116"/>
    </row>
    <row r="450" spans="1:38" ht="19.5" x14ac:dyDescent="0.4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22"/>
      <c r="N450" s="122"/>
      <c r="O450" s="122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26"/>
      <c r="AE450" s="15"/>
      <c r="AI450" s="117"/>
      <c r="AJ450" s="116"/>
      <c r="AK450" s="116"/>
      <c r="AL450" s="116"/>
    </row>
    <row r="451" spans="1:38" ht="19.5" x14ac:dyDescent="0.4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22"/>
      <c r="N451" s="122"/>
      <c r="O451" s="122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26"/>
      <c r="AE451" s="15"/>
      <c r="AI451" s="117"/>
      <c r="AJ451" s="116"/>
      <c r="AK451" s="116"/>
      <c r="AL451" s="116"/>
    </row>
    <row r="452" spans="1:38" ht="19.5" x14ac:dyDescent="0.4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22"/>
      <c r="N452" s="122"/>
      <c r="O452" s="122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26"/>
      <c r="AE452" s="105"/>
      <c r="AI452" s="117"/>
      <c r="AJ452" s="116"/>
      <c r="AK452" s="116"/>
      <c r="AL452" s="116"/>
    </row>
    <row r="453" spans="1:38" ht="19.5" x14ac:dyDescent="0.4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22"/>
      <c r="N453" s="122"/>
      <c r="O453" s="122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26"/>
      <c r="AE453" s="105"/>
      <c r="AI453" s="117"/>
      <c r="AJ453" s="116"/>
      <c r="AK453" s="116"/>
      <c r="AL453" s="116"/>
    </row>
    <row r="454" spans="1:38" ht="19.5" x14ac:dyDescent="0.4">
      <c r="AD454" s="26"/>
      <c r="AE454" s="13"/>
      <c r="AI454" s="117"/>
      <c r="AJ454" s="116"/>
      <c r="AK454" s="116"/>
      <c r="AL454" s="116"/>
    </row>
    <row r="455" spans="1:38" ht="19.5" x14ac:dyDescent="0.4">
      <c r="K455" s="115"/>
      <c r="L455" s="115"/>
      <c r="M455" s="122"/>
      <c r="N455" s="122"/>
      <c r="O455" s="122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26"/>
      <c r="AE455" s="13"/>
      <c r="AI455" s="117"/>
      <c r="AJ455" s="116"/>
      <c r="AK455" s="116"/>
      <c r="AL455" s="116"/>
    </row>
    <row r="456" spans="1:38" ht="19.5" x14ac:dyDescent="0.4">
      <c r="F456" s="115"/>
      <c r="G456" s="115"/>
      <c r="H456" s="115"/>
      <c r="I456" s="115"/>
      <c r="J456" s="115"/>
      <c r="K456" s="115"/>
      <c r="L456" s="115"/>
      <c r="M456" s="122"/>
      <c r="N456" s="122"/>
      <c r="O456" s="122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26"/>
      <c r="AE456" s="13"/>
      <c r="AI456" s="117"/>
      <c r="AJ456" s="116"/>
      <c r="AK456" s="116"/>
      <c r="AL456" s="116"/>
    </row>
    <row r="457" spans="1:38" ht="19.5" x14ac:dyDescent="0.4">
      <c r="AD457" s="26"/>
      <c r="AE457" s="13"/>
      <c r="AI457" s="117"/>
      <c r="AJ457" s="116"/>
      <c r="AK457" s="116"/>
      <c r="AL457" s="116"/>
    </row>
    <row r="458" spans="1:38" ht="19.5" x14ac:dyDescent="0.4">
      <c r="E458" s="115"/>
      <c r="F458" s="115"/>
      <c r="G458" s="115"/>
      <c r="H458" s="115"/>
      <c r="I458" s="115"/>
      <c r="J458" s="115"/>
      <c r="K458" s="115"/>
      <c r="L458" s="115"/>
      <c r="M458" s="122"/>
      <c r="N458" s="122"/>
      <c r="O458" s="122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26"/>
      <c r="AE458" s="13"/>
      <c r="AI458" s="117"/>
      <c r="AJ458" s="116"/>
      <c r="AK458" s="116"/>
      <c r="AL458" s="116"/>
    </row>
    <row r="459" spans="1:38" ht="19.5" x14ac:dyDescent="0.4">
      <c r="E459" s="115"/>
      <c r="F459" s="115"/>
      <c r="G459" s="115"/>
      <c r="H459" s="115"/>
      <c r="I459" s="115"/>
      <c r="J459" s="115"/>
      <c r="K459" s="115"/>
      <c r="L459" s="115"/>
      <c r="M459" s="122"/>
      <c r="N459" s="122"/>
      <c r="O459" s="122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26"/>
      <c r="AE459" s="13"/>
      <c r="AI459" s="117"/>
      <c r="AJ459" s="116"/>
      <c r="AK459" s="116"/>
      <c r="AL459" s="116"/>
    </row>
    <row r="460" spans="1:38" ht="19.5" x14ac:dyDescent="0.4"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22"/>
      <c r="N460" s="122"/>
      <c r="O460" s="122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26"/>
      <c r="AE460" s="13"/>
      <c r="AI460" s="117"/>
      <c r="AJ460" s="116"/>
      <c r="AK460" s="116"/>
      <c r="AL460" s="116"/>
    </row>
    <row r="461" spans="1:38" ht="19.5" x14ac:dyDescent="0.4"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22"/>
      <c r="N461" s="122"/>
      <c r="O461" s="122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26"/>
      <c r="AE461" s="13"/>
      <c r="AI461" s="117"/>
      <c r="AJ461" s="116"/>
      <c r="AK461" s="116"/>
      <c r="AL461" s="116"/>
    </row>
    <row r="462" spans="1:38" ht="19.5" x14ac:dyDescent="0.4"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22"/>
      <c r="N462" s="122"/>
      <c r="O462" s="122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26"/>
      <c r="AE462" s="13"/>
      <c r="AI462" s="117"/>
      <c r="AJ462" s="116"/>
      <c r="AK462" s="116"/>
      <c r="AL462" s="116"/>
    </row>
    <row r="463" spans="1:38" ht="19.5" x14ac:dyDescent="0.4"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22"/>
      <c r="N463" s="122"/>
      <c r="O463" s="122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26"/>
      <c r="AE463" s="13"/>
      <c r="AI463" s="117"/>
      <c r="AJ463" s="116"/>
      <c r="AK463" s="116"/>
      <c r="AL463" s="116"/>
    </row>
    <row r="464" spans="1:38" ht="19.5" x14ac:dyDescent="0.4"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22"/>
      <c r="N464" s="122"/>
      <c r="O464" s="122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26"/>
      <c r="AE464" s="13"/>
      <c r="AI464" s="117"/>
      <c r="AJ464" s="116"/>
      <c r="AK464" s="116"/>
      <c r="AL464" s="116"/>
    </row>
    <row r="465" spans="1:38" ht="19.5" x14ac:dyDescent="0.4"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22"/>
      <c r="N465" s="122"/>
      <c r="O465" s="122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26"/>
      <c r="AE465" s="13"/>
      <c r="AI465" s="117"/>
      <c r="AJ465" s="116"/>
      <c r="AK465" s="116"/>
      <c r="AL465" s="116"/>
    </row>
    <row r="466" spans="1:38" ht="19.5" x14ac:dyDescent="0.4">
      <c r="AD466" s="26"/>
      <c r="AE466" s="15"/>
      <c r="AI466" s="117"/>
      <c r="AJ466" s="116"/>
      <c r="AK466" s="116"/>
      <c r="AL466" s="116"/>
    </row>
    <row r="467" spans="1:38" ht="19.5" x14ac:dyDescent="0.4">
      <c r="D467" s="115"/>
      <c r="E467" s="115"/>
      <c r="F467" s="115"/>
      <c r="G467" s="115"/>
      <c r="H467" s="115"/>
      <c r="I467" s="115"/>
      <c r="J467" s="115"/>
      <c r="K467" s="115"/>
      <c r="L467" s="115"/>
      <c r="M467" s="122"/>
      <c r="N467" s="122"/>
      <c r="O467" s="122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26"/>
      <c r="AE467" s="15"/>
      <c r="AI467" s="117"/>
      <c r="AJ467" s="116"/>
      <c r="AK467" s="116"/>
      <c r="AL467" s="116"/>
    </row>
    <row r="468" spans="1:38" ht="19.5" x14ac:dyDescent="0.4">
      <c r="D468" s="115"/>
      <c r="E468" s="115"/>
      <c r="F468" s="115"/>
      <c r="G468" s="115"/>
      <c r="H468" s="115"/>
      <c r="I468" s="115"/>
      <c r="J468" s="115"/>
      <c r="K468" s="115"/>
      <c r="L468" s="115"/>
      <c r="M468" s="122"/>
      <c r="N468" s="122"/>
      <c r="O468" s="122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7"/>
      <c r="AE468" s="15"/>
      <c r="AI468" s="117"/>
      <c r="AJ468" s="116"/>
      <c r="AK468" s="116"/>
      <c r="AL468" s="116"/>
    </row>
    <row r="469" spans="1:38" ht="19.5" x14ac:dyDescent="0.4">
      <c r="AD469" s="26"/>
      <c r="AE469" s="15"/>
      <c r="AI469" s="117"/>
      <c r="AJ469" s="116"/>
      <c r="AK469" s="116"/>
      <c r="AL469" s="116"/>
    </row>
    <row r="470" spans="1:38" ht="19.5" x14ac:dyDescent="0.4">
      <c r="AD470" s="26"/>
      <c r="AE470" s="13"/>
      <c r="AI470" s="117"/>
      <c r="AJ470" s="116"/>
      <c r="AK470" s="116"/>
      <c r="AL470" s="116"/>
    </row>
    <row r="471" spans="1:38" ht="19.5" x14ac:dyDescent="0.4">
      <c r="J471" s="115"/>
      <c r="K471" s="115"/>
      <c r="L471" s="115"/>
      <c r="M471" s="122"/>
      <c r="N471" s="122"/>
      <c r="O471" s="122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26"/>
      <c r="AE471" s="13"/>
      <c r="AI471" s="117"/>
      <c r="AJ471" s="116"/>
      <c r="AK471" s="116"/>
      <c r="AL471" s="116"/>
    </row>
    <row r="472" spans="1:38" ht="19.5" x14ac:dyDescent="0.4">
      <c r="D472" s="115"/>
      <c r="E472" s="115"/>
      <c r="F472" s="115"/>
      <c r="G472" s="115"/>
      <c r="H472" s="115"/>
      <c r="I472" s="115"/>
      <c r="J472" s="115"/>
      <c r="K472" s="115"/>
      <c r="L472" s="115"/>
      <c r="M472" s="122"/>
      <c r="N472" s="122"/>
      <c r="O472" s="122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26"/>
      <c r="AE472" s="13"/>
      <c r="AI472" s="117"/>
      <c r="AJ472" s="116"/>
      <c r="AK472" s="116"/>
      <c r="AL472" s="116"/>
    </row>
    <row r="473" spans="1:38" ht="19.5" x14ac:dyDescent="0.4">
      <c r="D473" s="115"/>
      <c r="E473" s="115"/>
      <c r="F473" s="115"/>
      <c r="G473" s="115"/>
      <c r="H473" s="115"/>
      <c r="I473" s="115"/>
      <c r="J473" s="115"/>
      <c r="K473" s="115"/>
      <c r="L473" s="115"/>
      <c r="M473" s="122"/>
      <c r="N473" s="122"/>
      <c r="O473" s="122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7"/>
      <c r="AE473" s="13"/>
      <c r="AI473" s="117"/>
      <c r="AJ473" s="116"/>
      <c r="AK473" s="116"/>
      <c r="AL473" s="116"/>
    </row>
    <row r="474" spans="1:38" ht="19.5" x14ac:dyDescent="0.4">
      <c r="D474" s="115"/>
      <c r="E474" s="115"/>
      <c r="F474" s="115"/>
      <c r="G474" s="115"/>
      <c r="H474" s="115"/>
      <c r="I474" s="115"/>
      <c r="J474" s="115"/>
      <c r="K474" s="115"/>
      <c r="L474" s="115"/>
      <c r="M474" s="122"/>
      <c r="N474" s="122"/>
      <c r="O474" s="122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26"/>
      <c r="AE474" s="25"/>
      <c r="AI474" s="117"/>
      <c r="AJ474" s="116"/>
      <c r="AK474" s="116"/>
      <c r="AL474" s="116"/>
    </row>
    <row r="475" spans="1:38" ht="19.5" x14ac:dyDescent="0.4">
      <c r="D475" s="115"/>
      <c r="E475" s="115"/>
      <c r="F475" s="115"/>
      <c r="G475" s="115"/>
      <c r="H475" s="115"/>
      <c r="I475" s="115"/>
      <c r="J475" s="115"/>
      <c r="K475" s="115"/>
      <c r="L475" s="115"/>
      <c r="M475" s="122"/>
      <c r="N475" s="122"/>
      <c r="O475" s="122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7"/>
      <c r="AE475" s="13"/>
      <c r="AI475" s="117"/>
      <c r="AJ475" s="116"/>
      <c r="AK475" s="116"/>
      <c r="AL475" s="116"/>
    </row>
    <row r="476" spans="1:38" ht="19.5" x14ac:dyDescent="0.4">
      <c r="D476" s="115"/>
      <c r="E476" s="115"/>
      <c r="F476" s="115"/>
      <c r="G476" s="115"/>
      <c r="H476" s="115"/>
      <c r="I476" s="115"/>
      <c r="J476" s="115"/>
      <c r="K476" s="115"/>
      <c r="L476" s="115"/>
      <c r="M476" s="122"/>
      <c r="N476" s="122"/>
      <c r="O476" s="122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26"/>
      <c r="AE476" s="13"/>
      <c r="AI476" s="117"/>
      <c r="AJ476" s="116"/>
      <c r="AK476" s="116"/>
      <c r="AL476" s="116"/>
    </row>
    <row r="477" spans="1:38" ht="19.5" x14ac:dyDescent="0.4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22"/>
      <c r="N477" s="122"/>
      <c r="O477" s="122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26"/>
      <c r="AE477" s="13"/>
      <c r="AI477" s="117"/>
      <c r="AJ477" s="116"/>
      <c r="AK477" s="116"/>
      <c r="AL477" s="116"/>
    </row>
    <row r="478" spans="1:38" ht="19.5" x14ac:dyDescent="0.4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22"/>
      <c r="N478" s="122"/>
      <c r="O478" s="122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26"/>
      <c r="AE478" s="13"/>
      <c r="AI478" s="117"/>
      <c r="AJ478" s="116"/>
      <c r="AK478" s="116"/>
      <c r="AL478" s="116"/>
    </row>
    <row r="479" spans="1:38" ht="19.5" x14ac:dyDescent="0.4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22"/>
      <c r="N479" s="122"/>
      <c r="O479" s="122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26"/>
      <c r="AE479" s="13"/>
      <c r="AI479" s="117"/>
      <c r="AJ479" s="116"/>
      <c r="AK479" s="116"/>
      <c r="AL479" s="116"/>
    </row>
    <row r="480" spans="1:38" ht="19.5" x14ac:dyDescent="0.4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22"/>
      <c r="N480" s="122"/>
      <c r="O480" s="122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26"/>
      <c r="AE480" s="13"/>
      <c r="AI480" s="117"/>
      <c r="AJ480" s="116"/>
      <c r="AK480" s="116"/>
      <c r="AL480" s="116"/>
    </row>
    <row r="481" spans="1:38" ht="19.5" x14ac:dyDescent="0.4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22"/>
      <c r="N481" s="122"/>
      <c r="O481" s="122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26"/>
      <c r="AE481" s="13"/>
      <c r="AI481" s="117"/>
      <c r="AJ481" s="116"/>
      <c r="AK481" s="116"/>
      <c r="AL481" s="116"/>
    </row>
    <row r="482" spans="1:38" ht="19.5" x14ac:dyDescent="0.4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22"/>
      <c r="N482" s="122"/>
      <c r="O482" s="122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26"/>
      <c r="AE482" s="13"/>
      <c r="AI482" s="117"/>
      <c r="AJ482" s="116"/>
      <c r="AK482" s="116"/>
      <c r="AL482" s="116"/>
    </row>
    <row r="483" spans="1:38" ht="19.5" x14ac:dyDescent="0.4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22"/>
      <c r="N483" s="122"/>
      <c r="O483" s="122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26"/>
      <c r="AE483" s="13"/>
      <c r="AI483" s="117"/>
      <c r="AJ483" s="116"/>
      <c r="AK483" s="116"/>
      <c r="AL483" s="116"/>
    </row>
    <row r="484" spans="1:38" ht="19.5" x14ac:dyDescent="0.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22"/>
      <c r="N484" s="122"/>
      <c r="O484" s="122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26"/>
      <c r="AE484" s="15"/>
      <c r="AI484" s="117"/>
      <c r="AJ484" s="116"/>
      <c r="AK484" s="116"/>
      <c r="AL484" s="116"/>
    </row>
    <row r="485" spans="1:38" ht="19.5" x14ac:dyDescent="0.4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22"/>
      <c r="N485" s="122"/>
      <c r="O485" s="122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26"/>
      <c r="AE485" s="15"/>
      <c r="AI485" s="117"/>
      <c r="AJ485" s="116"/>
      <c r="AK485" s="116"/>
      <c r="AL485" s="116"/>
    </row>
    <row r="486" spans="1:38" ht="19.5" x14ac:dyDescent="0.4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22"/>
      <c r="N486" s="122"/>
      <c r="O486" s="122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26"/>
      <c r="AE486" s="15"/>
      <c r="AI486" s="117"/>
      <c r="AJ486" s="116"/>
      <c r="AK486" s="116"/>
      <c r="AL486" s="116"/>
    </row>
    <row r="487" spans="1:38" ht="19.5" x14ac:dyDescent="0.4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22"/>
      <c r="N487" s="122"/>
      <c r="O487" s="122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26"/>
      <c r="AE487" s="15"/>
      <c r="AI487" s="117"/>
      <c r="AJ487" s="116"/>
      <c r="AK487" s="116"/>
      <c r="AL487" s="116"/>
    </row>
    <row r="488" spans="1:38" ht="19.5" x14ac:dyDescent="0.4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22"/>
      <c r="N488" s="122"/>
      <c r="O488" s="122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26"/>
      <c r="AE488" s="25"/>
      <c r="AI488" s="117"/>
      <c r="AJ488" s="116"/>
      <c r="AK488" s="116"/>
      <c r="AL488" s="116"/>
    </row>
    <row r="489" spans="1:38" ht="19.5" x14ac:dyDescent="0.4">
      <c r="AD489" s="26"/>
      <c r="AE489" s="15"/>
      <c r="AI489" s="117"/>
      <c r="AJ489" s="116"/>
      <c r="AK489" s="116"/>
      <c r="AL489" s="116"/>
    </row>
    <row r="490" spans="1:38" ht="19.5" x14ac:dyDescent="0.4">
      <c r="L490" s="115"/>
      <c r="M490" s="122"/>
      <c r="N490" s="122"/>
      <c r="O490" s="122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26"/>
      <c r="AE490" s="15"/>
      <c r="AI490" s="117"/>
      <c r="AJ490" s="116"/>
      <c r="AK490" s="116"/>
      <c r="AL490" s="116"/>
    </row>
    <row r="491" spans="1:38" ht="19.5" x14ac:dyDescent="0.4">
      <c r="J491" s="115"/>
      <c r="K491" s="115"/>
      <c r="L491" s="115"/>
      <c r="M491" s="122"/>
      <c r="N491" s="122"/>
      <c r="O491" s="122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26"/>
      <c r="AE491" s="15"/>
      <c r="AI491" s="117"/>
      <c r="AJ491" s="116"/>
      <c r="AK491" s="116"/>
      <c r="AL491" s="116"/>
    </row>
    <row r="492" spans="1:38" ht="19.5" x14ac:dyDescent="0.4">
      <c r="J492" s="115"/>
      <c r="K492" s="115"/>
      <c r="L492" s="115"/>
      <c r="M492" s="122"/>
      <c r="N492" s="122"/>
      <c r="O492" s="122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7"/>
      <c r="AE492" s="15"/>
      <c r="AI492" s="117"/>
      <c r="AJ492" s="116"/>
      <c r="AK492" s="116"/>
      <c r="AL492" s="116"/>
    </row>
    <row r="493" spans="1:38" ht="19.5" x14ac:dyDescent="0.4">
      <c r="G493" s="115"/>
      <c r="H493" s="115"/>
      <c r="I493" s="115"/>
      <c r="J493" s="115"/>
      <c r="K493" s="115"/>
      <c r="L493" s="115"/>
      <c r="M493" s="122"/>
      <c r="N493" s="122"/>
      <c r="O493" s="122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26"/>
      <c r="AE493" s="15"/>
      <c r="AI493" s="117"/>
      <c r="AJ493" s="116"/>
      <c r="AK493" s="116"/>
      <c r="AL493" s="116"/>
    </row>
    <row r="494" spans="1:38" ht="19.5" x14ac:dyDescent="0.4">
      <c r="G494" s="115"/>
      <c r="H494" s="115"/>
      <c r="I494" s="115"/>
      <c r="J494" s="115"/>
      <c r="K494" s="115"/>
      <c r="L494" s="115"/>
      <c r="M494" s="122"/>
      <c r="N494" s="122"/>
      <c r="O494" s="122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7"/>
      <c r="AE494" s="15"/>
      <c r="AI494" s="117"/>
      <c r="AJ494" s="116"/>
      <c r="AK494" s="116"/>
      <c r="AL494" s="116"/>
    </row>
    <row r="495" spans="1:38" ht="19.5" x14ac:dyDescent="0.4">
      <c r="G495" s="115"/>
      <c r="H495" s="115"/>
      <c r="I495" s="115"/>
      <c r="J495" s="115"/>
      <c r="K495" s="115"/>
      <c r="L495" s="115"/>
      <c r="M495" s="122"/>
      <c r="N495" s="122"/>
      <c r="O495" s="122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26"/>
      <c r="AE495" s="15"/>
      <c r="AI495" s="117"/>
      <c r="AJ495" s="116"/>
      <c r="AK495" s="116"/>
      <c r="AL495" s="116"/>
    </row>
    <row r="496" spans="1:38" ht="19.5" x14ac:dyDescent="0.4">
      <c r="G496" s="115"/>
      <c r="H496" s="115"/>
      <c r="I496" s="115"/>
      <c r="J496" s="115"/>
      <c r="K496" s="115"/>
      <c r="L496" s="115"/>
      <c r="M496" s="122"/>
      <c r="N496" s="122"/>
      <c r="O496" s="122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7"/>
      <c r="AE496" s="13"/>
      <c r="AI496" s="117"/>
      <c r="AJ496" s="116"/>
      <c r="AK496" s="116"/>
      <c r="AL496" s="116"/>
    </row>
    <row r="497" spans="1:38" ht="19.5" x14ac:dyDescent="0.4">
      <c r="G497" s="115"/>
      <c r="H497" s="115"/>
      <c r="I497" s="115"/>
      <c r="J497" s="115"/>
      <c r="K497" s="115"/>
      <c r="L497" s="115"/>
      <c r="M497" s="122"/>
      <c r="N497" s="122"/>
      <c r="O497" s="122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7"/>
      <c r="AE497" s="13"/>
      <c r="AI497" s="117"/>
      <c r="AJ497" s="116"/>
      <c r="AK497" s="116"/>
      <c r="AL497" s="116"/>
    </row>
    <row r="498" spans="1:38" ht="19.5" x14ac:dyDescent="0.4">
      <c r="AD498" s="26"/>
      <c r="AE498" s="13"/>
      <c r="AI498" s="117"/>
      <c r="AJ498" s="116"/>
      <c r="AK498" s="116"/>
      <c r="AL498" s="116"/>
    </row>
    <row r="499" spans="1:38" ht="19.5" x14ac:dyDescent="0.4">
      <c r="L499" s="115"/>
      <c r="M499" s="122"/>
      <c r="N499" s="122"/>
      <c r="O499" s="122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7"/>
      <c r="AE499" s="13"/>
      <c r="AI499" s="117"/>
      <c r="AJ499" s="116"/>
      <c r="AK499" s="116"/>
      <c r="AL499" s="116"/>
    </row>
    <row r="500" spans="1:38" ht="19.5" x14ac:dyDescent="0.4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22"/>
      <c r="N500" s="122"/>
      <c r="O500" s="122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26"/>
      <c r="AE500" s="13"/>
      <c r="AI500" s="117"/>
      <c r="AJ500" s="116"/>
      <c r="AK500" s="116"/>
      <c r="AL500" s="116"/>
    </row>
    <row r="501" spans="1:38" ht="19.5" x14ac:dyDescent="0.4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22"/>
      <c r="N501" s="122"/>
      <c r="O501" s="122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26"/>
      <c r="AE501" s="13"/>
      <c r="AI501" s="117"/>
      <c r="AJ501" s="116"/>
      <c r="AK501" s="116"/>
      <c r="AL501" s="116"/>
    </row>
    <row r="502" spans="1:38" ht="19.5" x14ac:dyDescent="0.4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22"/>
      <c r="N502" s="122"/>
      <c r="O502" s="122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26"/>
      <c r="AE502" s="13"/>
      <c r="AI502" s="117"/>
      <c r="AJ502" s="116"/>
      <c r="AK502" s="116"/>
      <c r="AL502" s="116"/>
    </row>
    <row r="503" spans="1:38" ht="19.5" x14ac:dyDescent="0.4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22"/>
      <c r="N503" s="122"/>
      <c r="O503" s="122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26"/>
      <c r="AE503" s="13"/>
      <c r="AI503" s="117"/>
      <c r="AJ503" s="116"/>
      <c r="AK503" s="116"/>
      <c r="AL503" s="116"/>
    </row>
    <row r="504" spans="1:38" ht="19.5" x14ac:dyDescent="0.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22"/>
      <c r="N504" s="122"/>
      <c r="O504" s="122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7"/>
      <c r="AE504" s="13"/>
      <c r="AI504" s="117"/>
      <c r="AJ504" s="116"/>
      <c r="AK504" s="116"/>
      <c r="AL504" s="116"/>
    </row>
    <row r="505" spans="1:38" ht="19.5" x14ac:dyDescent="0.4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22"/>
      <c r="N505" s="122"/>
      <c r="O505" s="122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26"/>
      <c r="AE505" s="13"/>
      <c r="AI505" s="117"/>
      <c r="AJ505" s="116"/>
      <c r="AK505" s="116"/>
      <c r="AL505" s="116"/>
    </row>
    <row r="506" spans="1:38" ht="19.5" x14ac:dyDescent="0.4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22"/>
      <c r="N506" s="122"/>
      <c r="O506" s="122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26"/>
      <c r="AE506" s="15"/>
      <c r="AI506" s="117"/>
      <c r="AJ506" s="116"/>
      <c r="AK506" s="116"/>
      <c r="AL506" s="116"/>
    </row>
    <row r="507" spans="1:38" ht="19.5" x14ac:dyDescent="0.4">
      <c r="AD507" s="26"/>
      <c r="AE507" s="15"/>
      <c r="AI507" s="117"/>
      <c r="AJ507" s="116"/>
      <c r="AK507" s="116"/>
      <c r="AL507" s="116"/>
    </row>
    <row r="508" spans="1:38" ht="19.5" x14ac:dyDescent="0.4">
      <c r="K508" s="115"/>
      <c r="L508" s="115"/>
      <c r="M508" s="122"/>
      <c r="N508" s="122"/>
      <c r="O508" s="122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26"/>
      <c r="AE508" s="13"/>
      <c r="AI508" s="117"/>
      <c r="AJ508" s="116"/>
      <c r="AK508" s="116"/>
      <c r="AL508" s="116"/>
    </row>
    <row r="509" spans="1:38" ht="19.5" x14ac:dyDescent="0.4">
      <c r="I509" s="115"/>
      <c r="J509" s="115"/>
      <c r="K509" s="115"/>
      <c r="L509" s="115"/>
      <c r="M509" s="122"/>
      <c r="N509" s="122"/>
      <c r="O509" s="122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26"/>
      <c r="AE509" s="15"/>
      <c r="AI509" s="117"/>
      <c r="AJ509" s="116"/>
      <c r="AK509" s="116"/>
      <c r="AL509" s="116"/>
    </row>
    <row r="510" spans="1:38" ht="19.5" x14ac:dyDescent="0.4">
      <c r="I510" s="115"/>
      <c r="J510" s="115"/>
      <c r="K510" s="115"/>
      <c r="L510" s="115"/>
      <c r="M510" s="122"/>
      <c r="N510" s="122"/>
      <c r="O510" s="122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26"/>
      <c r="AE510" s="15"/>
      <c r="AI510" s="117"/>
      <c r="AJ510" s="116"/>
      <c r="AK510" s="116"/>
      <c r="AL510" s="116"/>
    </row>
    <row r="511" spans="1:38" ht="19.5" x14ac:dyDescent="0.4">
      <c r="I511" s="115"/>
      <c r="J511" s="115"/>
      <c r="K511" s="115"/>
      <c r="L511" s="115"/>
      <c r="M511" s="122"/>
      <c r="N511" s="122"/>
      <c r="O511" s="122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7"/>
      <c r="AE511" s="15"/>
      <c r="AI511" s="117"/>
      <c r="AJ511" s="116"/>
      <c r="AK511" s="116"/>
      <c r="AL511" s="116"/>
    </row>
    <row r="512" spans="1:38" ht="19.5" x14ac:dyDescent="0.4">
      <c r="H512" s="115"/>
      <c r="I512" s="115"/>
      <c r="J512" s="115"/>
      <c r="K512" s="115"/>
      <c r="L512" s="115"/>
      <c r="M512" s="122"/>
      <c r="N512" s="122"/>
      <c r="O512" s="122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26"/>
      <c r="AE512" s="15"/>
      <c r="AI512" s="117"/>
      <c r="AJ512" s="116"/>
      <c r="AK512" s="116"/>
      <c r="AL512" s="116"/>
    </row>
    <row r="513" spans="1:38" ht="19.5" x14ac:dyDescent="0.4">
      <c r="H513" s="115"/>
      <c r="I513" s="115"/>
      <c r="J513" s="115"/>
      <c r="K513" s="115"/>
      <c r="L513" s="115"/>
      <c r="M513" s="122"/>
      <c r="N513" s="122"/>
      <c r="O513" s="122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26"/>
      <c r="AE513" s="15"/>
      <c r="AI513" s="117"/>
      <c r="AJ513" s="116"/>
      <c r="AK513" s="116"/>
      <c r="AL513" s="116"/>
    </row>
    <row r="514" spans="1:38" ht="19.5" x14ac:dyDescent="0.4">
      <c r="H514" s="115"/>
      <c r="I514" s="115"/>
      <c r="J514" s="115"/>
      <c r="K514" s="115"/>
      <c r="L514" s="115"/>
      <c r="M514" s="122"/>
      <c r="N514" s="122"/>
      <c r="O514" s="122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26"/>
      <c r="AE514" s="105"/>
      <c r="AI514" s="117"/>
      <c r="AJ514" s="116"/>
      <c r="AK514" s="116"/>
      <c r="AL514" s="116"/>
    </row>
    <row r="515" spans="1:38" ht="19.5" x14ac:dyDescent="0.4">
      <c r="H515" s="115"/>
      <c r="I515" s="115"/>
      <c r="J515" s="115"/>
      <c r="K515" s="115"/>
      <c r="L515" s="115"/>
      <c r="M515" s="122"/>
      <c r="N515" s="122"/>
      <c r="O515" s="122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7"/>
      <c r="AE515" s="15"/>
      <c r="AI515" s="117"/>
      <c r="AJ515" s="116"/>
      <c r="AK515" s="116"/>
      <c r="AL515" s="116"/>
    </row>
    <row r="516" spans="1:38" ht="19.5" x14ac:dyDescent="0.4">
      <c r="H516" s="115"/>
      <c r="I516" s="115"/>
      <c r="J516" s="115"/>
      <c r="K516" s="115"/>
      <c r="L516" s="115"/>
      <c r="M516" s="122"/>
      <c r="N516" s="122"/>
      <c r="O516" s="122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26"/>
      <c r="AE516" s="15"/>
      <c r="AI516" s="117"/>
      <c r="AJ516" s="116"/>
      <c r="AK516" s="116"/>
      <c r="AL516" s="116"/>
    </row>
    <row r="517" spans="1:38" ht="19.5" x14ac:dyDescent="0.4">
      <c r="H517" s="115"/>
      <c r="I517" s="115"/>
      <c r="J517" s="115"/>
      <c r="K517" s="115"/>
      <c r="L517" s="115"/>
      <c r="M517" s="122"/>
      <c r="N517" s="122"/>
      <c r="O517" s="122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7"/>
      <c r="AE517" s="15"/>
      <c r="AI517" s="117"/>
      <c r="AJ517" s="116"/>
      <c r="AK517" s="116"/>
      <c r="AL517" s="116"/>
    </row>
    <row r="518" spans="1:38" ht="19.5" x14ac:dyDescent="0.4">
      <c r="E518" s="115"/>
      <c r="F518" s="115"/>
      <c r="G518" s="115"/>
      <c r="H518" s="115"/>
      <c r="I518" s="115"/>
      <c r="J518" s="115"/>
      <c r="K518" s="115"/>
      <c r="L518" s="115"/>
      <c r="M518" s="122"/>
      <c r="N518" s="122"/>
      <c r="O518" s="122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26"/>
      <c r="AE518" s="15"/>
      <c r="AI518" s="117"/>
      <c r="AJ518" s="116"/>
      <c r="AK518" s="116"/>
      <c r="AL518" s="116"/>
    </row>
    <row r="519" spans="1:38" ht="19.5" x14ac:dyDescent="0.4">
      <c r="E519" s="115"/>
      <c r="F519" s="115"/>
      <c r="G519" s="115"/>
      <c r="H519" s="115"/>
      <c r="I519" s="115"/>
      <c r="J519" s="115"/>
      <c r="K519" s="115"/>
      <c r="L519" s="115"/>
      <c r="M519" s="122"/>
      <c r="N519" s="122"/>
      <c r="O519" s="122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7"/>
      <c r="AE519" s="15"/>
      <c r="AI519" s="117"/>
      <c r="AJ519" s="116"/>
      <c r="AK519" s="116"/>
      <c r="AL519" s="116"/>
    </row>
    <row r="520" spans="1:38" ht="19.5" x14ac:dyDescent="0.4">
      <c r="E520" s="115"/>
      <c r="F520" s="115"/>
      <c r="G520" s="115"/>
      <c r="H520" s="115"/>
      <c r="I520" s="115"/>
      <c r="J520" s="115"/>
      <c r="K520" s="115"/>
      <c r="L520" s="115"/>
      <c r="M520" s="122"/>
      <c r="N520" s="122"/>
      <c r="O520" s="122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26"/>
      <c r="AE520" s="15"/>
      <c r="AI520" s="117"/>
      <c r="AJ520" s="116"/>
      <c r="AK520" s="116"/>
      <c r="AL520" s="116"/>
    </row>
    <row r="521" spans="1:38" ht="19.5" x14ac:dyDescent="0.4">
      <c r="E521" s="115"/>
      <c r="F521" s="115"/>
      <c r="G521" s="115"/>
      <c r="H521" s="115"/>
      <c r="I521" s="115"/>
      <c r="J521" s="115"/>
      <c r="K521" s="115"/>
      <c r="L521" s="115"/>
      <c r="M521" s="122"/>
      <c r="N521" s="122"/>
      <c r="O521" s="122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7"/>
      <c r="AE521" s="15"/>
      <c r="AI521" s="117"/>
      <c r="AJ521" s="116"/>
      <c r="AK521" s="116"/>
      <c r="AL521" s="116"/>
    </row>
    <row r="522" spans="1:38" ht="19.5" x14ac:dyDescent="0.4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22"/>
      <c r="N522" s="122"/>
      <c r="O522" s="122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26"/>
      <c r="AE522" s="15"/>
      <c r="AI522" s="117"/>
      <c r="AJ522" s="116"/>
      <c r="AK522" s="116"/>
      <c r="AL522" s="116"/>
    </row>
    <row r="523" spans="1:38" ht="19.5" x14ac:dyDescent="0.4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22"/>
      <c r="N523" s="122"/>
      <c r="O523" s="122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26"/>
      <c r="AE523" s="15"/>
      <c r="AI523" s="117"/>
      <c r="AJ523" s="116"/>
      <c r="AK523" s="116"/>
      <c r="AL523" s="116"/>
    </row>
    <row r="524" spans="1:38" ht="19.5" x14ac:dyDescent="0.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22"/>
      <c r="N524" s="122"/>
      <c r="O524" s="122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26"/>
      <c r="AE524" s="15"/>
      <c r="AI524" s="117"/>
      <c r="AJ524" s="116"/>
      <c r="AK524" s="116"/>
      <c r="AL524" s="116"/>
    </row>
    <row r="525" spans="1:38" ht="19.5" x14ac:dyDescent="0.4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22"/>
      <c r="N525" s="122"/>
      <c r="O525" s="122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26"/>
      <c r="AE525" s="15"/>
      <c r="AI525" s="117"/>
      <c r="AJ525" s="116"/>
      <c r="AK525" s="116"/>
      <c r="AL525" s="116"/>
    </row>
    <row r="526" spans="1:38" ht="19.5" x14ac:dyDescent="0.4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22"/>
      <c r="N526" s="122"/>
      <c r="O526" s="122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26"/>
      <c r="AE526" s="15"/>
      <c r="AI526" s="117"/>
      <c r="AJ526" s="116"/>
      <c r="AK526" s="116"/>
      <c r="AL526" s="116"/>
    </row>
    <row r="527" spans="1:38" ht="19.5" x14ac:dyDescent="0.4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22"/>
      <c r="N527" s="122"/>
      <c r="O527" s="122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26"/>
      <c r="AE527" s="15"/>
      <c r="AI527" s="117"/>
      <c r="AJ527" s="116"/>
      <c r="AK527" s="116"/>
      <c r="AL527" s="116"/>
    </row>
    <row r="528" spans="1:38" ht="19.5" x14ac:dyDescent="0.4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22"/>
      <c r="N528" s="122"/>
      <c r="O528" s="122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7"/>
      <c r="AE528" s="15"/>
      <c r="AI528" s="117"/>
      <c r="AJ528" s="116"/>
      <c r="AK528" s="116"/>
      <c r="AL528" s="116"/>
    </row>
    <row r="529" spans="1:38" ht="19.5" x14ac:dyDescent="0.4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22"/>
      <c r="N529" s="122"/>
      <c r="O529" s="122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26"/>
      <c r="AE529" s="15"/>
      <c r="AI529" s="117"/>
      <c r="AJ529" s="116"/>
      <c r="AK529" s="116"/>
      <c r="AL529" s="116"/>
    </row>
    <row r="530" spans="1:38" ht="19.5" x14ac:dyDescent="0.4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22"/>
      <c r="N530" s="122"/>
      <c r="O530" s="122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7"/>
      <c r="AE530" s="15"/>
      <c r="AI530" s="117"/>
      <c r="AJ530" s="116"/>
      <c r="AK530" s="116"/>
      <c r="AL530" s="116"/>
    </row>
    <row r="531" spans="1:38" ht="19.5" x14ac:dyDescent="0.4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22"/>
      <c r="N531" s="122"/>
      <c r="O531" s="122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26"/>
      <c r="AE531" s="15"/>
      <c r="AI531" s="117"/>
      <c r="AJ531" s="116"/>
      <c r="AK531" s="116"/>
      <c r="AL531" s="116"/>
    </row>
    <row r="532" spans="1:38" ht="19.5" x14ac:dyDescent="0.4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22"/>
      <c r="N532" s="122"/>
      <c r="O532" s="122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20"/>
      <c r="AE532" s="15"/>
      <c r="AI532" s="117"/>
      <c r="AJ532" s="116"/>
      <c r="AK532" s="116"/>
      <c r="AL532" s="116"/>
    </row>
    <row r="533" spans="1:38" ht="19.5" x14ac:dyDescent="0.4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22"/>
      <c r="N533" s="122"/>
      <c r="O533" s="122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20"/>
      <c r="AE533" s="15"/>
      <c r="AI533" s="117"/>
      <c r="AJ533" s="116"/>
      <c r="AK533" s="116"/>
      <c r="AL533" s="116"/>
    </row>
    <row r="534" spans="1:38" ht="19.5" x14ac:dyDescent="0.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22"/>
      <c r="N534" s="122"/>
      <c r="O534" s="122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20"/>
      <c r="AE534" s="15"/>
      <c r="AI534" s="117"/>
      <c r="AJ534" s="116"/>
      <c r="AK534" s="116"/>
      <c r="AL534" s="116"/>
    </row>
    <row r="535" spans="1:38" ht="19.5" x14ac:dyDescent="0.4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22"/>
      <c r="N535" s="122"/>
      <c r="O535" s="122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20"/>
      <c r="AE535" s="15"/>
      <c r="AI535" s="117"/>
      <c r="AJ535" s="116"/>
      <c r="AK535" s="116"/>
      <c r="AL535" s="116"/>
    </row>
    <row r="536" spans="1:38" ht="19.5" x14ac:dyDescent="0.4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22"/>
      <c r="N536" s="122"/>
      <c r="O536" s="122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25"/>
      <c r="AE536" s="15"/>
      <c r="AI536" s="117"/>
      <c r="AJ536" s="116"/>
      <c r="AK536" s="116"/>
      <c r="AL536" s="116"/>
    </row>
    <row r="537" spans="1:38" ht="19.5" x14ac:dyDescent="0.4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22"/>
      <c r="N537" s="122"/>
      <c r="O537" s="122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3"/>
      <c r="AE537" s="15"/>
      <c r="AI537" s="117"/>
      <c r="AJ537" s="116"/>
      <c r="AK537" s="116"/>
      <c r="AL537" s="116"/>
    </row>
    <row r="538" spans="1:38" ht="19.5" x14ac:dyDescent="0.4">
      <c r="AD538" s="25"/>
      <c r="AE538" s="15"/>
      <c r="AI538" s="117"/>
      <c r="AJ538" s="116"/>
      <c r="AK538" s="116"/>
      <c r="AL538" s="116"/>
    </row>
    <row r="539" spans="1:38" ht="19.5" x14ac:dyDescent="0.4">
      <c r="J539" s="115"/>
      <c r="K539" s="115"/>
      <c r="L539" s="115"/>
      <c r="M539" s="122"/>
      <c r="N539" s="122"/>
      <c r="O539" s="122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3"/>
      <c r="AE539" s="15"/>
      <c r="AI539" s="117"/>
      <c r="AJ539" s="116"/>
      <c r="AK539" s="116"/>
      <c r="AL539" s="116"/>
    </row>
    <row r="540" spans="1:38" ht="19.5" x14ac:dyDescent="0.4">
      <c r="D540" s="115"/>
      <c r="E540" s="115"/>
      <c r="F540" s="115"/>
      <c r="G540" s="115"/>
      <c r="H540" s="115"/>
      <c r="I540" s="115"/>
      <c r="J540" s="115"/>
      <c r="K540" s="115"/>
      <c r="L540" s="115"/>
      <c r="M540" s="122"/>
      <c r="N540" s="122"/>
      <c r="O540" s="122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25"/>
      <c r="AE540" s="15"/>
      <c r="AI540" s="117"/>
      <c r="AJ540" s="116"/>
      <c r="AK540" s="116"/>
      <c r="AL540" s="116"/>
    </row>
    <row r="541" spans="1:38" ht="19.5" x14ac:dyDescent="0.4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22"/>
      <c r="N541" s="122"/>
      <c r="O541" s="122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25"/>
      <c r="AE541" s="15"/>
      <c r="AI541" s="117"/>
      <c r="AJ541" s="116"/>
      <c r="AK541" s="116"/>
      <c r="AL541" s="116"/>
    </row>
    <row r="542" spans="1:38" ht="19.5" x14ac:dyDescent="0.4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22"/>
      <c r="N542" s="122"/>
      <c r="O542" s="122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3"/>
      <c r="AE542" s="15"/>
      <c r="AI542" s="117"/>
      <c r="AJ542" s="116"/>
      <c r="AK542" s="116"/>
      <c r="AL542" s="116"/>
    </row>
    <row r="543" spans="1:38" ht="19.5" x14ac:dyDescent="0.4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22"/>
      <c r="N543" s="122"/>
      <c r="O543" s="122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25"/>
      <c r="AE543" s="15"/>
      <c r="AI543" s="117"/>
      <c r="AJ543" s="116"/>
      <c r="AK543" s="116"/>
      <c r="AL543" s="116"/>
    </row>
    <row r="544" spans="1:38" ht="19.5" x14ac:dyDescent="0.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22"/>
      <c r="N544" s="122"/>
      <c r="O544" s="122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3"/>
      <c r="AE544" s="15"/>
      <c r="AI544" s="117"/>
      <c r="AJ544" s="116"/>
      <c r="AK544" s="116"/>
      <c r="AL544" s="116"/>
    </row>
    <row r="545" spans="1:38" ht="19.5" x14ac:dyDescent="0.4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22"/>
      <c r="N545" s="122"/>
      <c r="O545" s="122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25"/>
      <c r="AE545" s="15"/>
      <c r="AI545" s="117"/>
      <c r="AJ545" s="116"/>
      <c r="AK545" s="116"/>
      <c r="AL545" s="116"/>
    </row>
    <row r="546" spans="1:38" ht="19.5" x14ac:dyDescent="0.4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22"/>
      <c r="N546" s="122"/>
      <c r="O546" s="122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26"/>
      <c r="AE546" s="15"/>
      <c r="AI546" s="117"/>
      <c r="AJ546" s="116"/>
      <c r="AK546" s="116"/>
      <c r="AL546" s="116"/>
    </row>
    <row r="547" spans="1:38" ht="19.5" x14ac:dyDescent="0.4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22"/>
      <c r="N547" s="122"/>
      <c r="O547" s="122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7"/>
      <c r="AE547" s="13"/>
      <c r="AI547" s="117"/>
      <c r="AJ547" s="116"/>
      <c r="AK547" s="116"/>
      <c r="AL547" s="116"/>
    </row>
    <row r="548" spans="1:38" ht="19.5" x14ac:dyDescent="0.4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22"/>
      <c r="N548" s="122"/>
      <c r="O548" s="122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26"/>
      <c r="AE548" s="13"/>
      <c r="AI548" s="117"/>
      <c r="AJ548" s="116"/>
      <c r="AK548" s="116"/>
      <c r="AL548" s="116"/>
    </row>
    <row r="549" spans="1:38" ht="19.5" x14ac:dyDescent="0.4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22"/>
      <c r="N549" s="122"/>
      <c r="O549" s="122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7"/>
      <c r="AE549" s="13"/>
      <c r="AI549" s="117"/>
      <c r="AJ549" s="116"/>
      <c r="AK549" s="116"/>
      <c r="AL549" s="116"/>
    </row>
    <row r="550" spans="1:38" ht="19.5" x14ac:dyDescent="0.4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22"/>
      <c r="N550" s="122"/>
      <c r="O550" s="122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26"/>
      <c r="AE550" s="15"/>
      <c r="AI550" s="117"/>
      <c r="AJ550" s="116"/>
      <c r="AK550" s="116"/>
      <c r="AL550" s="116"/>
    </row>
    <row r="551" spans="1:38" ht="19.5" x14ac:dyDescent="0.4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22"/>
      <c r="N551" s="122"/>
      <c r="O551" s="122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7"/>
      <c r="AE551" s="15"/>
      <c r="AI551" s="117"/>
      <c r="AJ551" s="116"/>
      <c r="AK551" s="116"/>
      <c r="AL551" s="116"/>
    </row>
    <row r="552" spans="1:38" ht="19.5" x14ac:dyDescent="0.4">
      <c r="AD552" s="26"/>
      <c r="AE552" s="105"/>
      <c r="AI552" s="117"/>
      <c r="AJ552" s="116"/>
      <c r="AK552" s="116"/>
      <c r="AL552" s="116"/>
    </row>
    <row r="553" spans="1:38" ht="19.5" x14ac:dyDescent="0.4">
      <c r="J553" s="115"/>
      <c r="K553" s="115"/>
      <c r="L553" s="115"/>
      <c r="M553" s="122"/>
      <c r="N553" s="122"/>
      <c r="O553" s="122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7"/>
      <c r="AE553" s="15"/>
      <c r="AI553" s="117"/>
      <c r="AJ553" s="116"/>
      <c r="AK553" s="116"/>
      <c r="AL553" s="116"/>
    </row>
    <row r="554" spans="1:38" ht="19.5" x14ac:dyDescent="0.4">
      <c r="G554" s="115"/>
      <c r="H554" s="115"/>
      <c r="I554" s="115"/>
      <c r="J554" s="115"/>
      <c r="K554" s="115"/>
      <c r="L554" s="115"/>
      <c r="M554" s="122"/>
      <c r="N554" s="122"/>
      <c r="O554" s="122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26"/>
      <c r="AE554" s="15"/>
      <c r="AI554" s="117"/>
      <c r="AJ554" s="116"/>
      <c r="AK554" s="116"/>
      <c r="AL554" s="116"/>
    </row>
    <row r="555" spans="1:38" ht="19.5" x14ac:dyDescent="0.4">
      <c r="G555" s="115"/>
      <c r="H555" s="115"/>
      <c r="I555" s="115"/>
      <c r="J555" s="115"/>
      <c r="K555" s="115"/>
      <c r="L555" s="115"/>
      <c r="M555" s="122"/>
      <c r="N555" s="122"/>
      <c r="O555" s="122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7"/>
      <c r="AE555" s="15"/>
      <c r="AI555" s="117"/>
      <c r="AJ555" s="116"/>
      <c r="AK555" s="116"/>
      <c r="AL555" s="116"/>
    </row>
    <row r="556" spans="1:38" ht="19.5" x14ac:dyDescent="0.4">
      <c r="E556" s="115"/>
      <c r="F556" s="115"/>
      <c r="G556" s="115"/>
      <c r="H556" s="115"/>
      <c r="I556" s="115"/>
      <c r="J556" s="115"/>
      <c r="K556" s="115"/>
      <c r="L556" s="115"/>
      <c r="M556" s="122"/>
      <c r="N556" s="122"/>
      <c r="O556" s="122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26"/>
      <c r="AE556" s="15"/>
      <c r="AI556" s="117"/>
      <c r="AJ556" s="116"/>
      <c r="AK556" s="116"/>
      <c r="AL556" s="116"/>
    </row>
    <row r="557" spans="1:38" ht="19.5" x14ac:dyDescent="0.4">
      <c r="E557" s="115"/>
      <c r="F557" s="115"/>
      <c r="G557" s="115"/>
      <c r="H557" s="115"/>
      <c r="I557" s="115"/>
      <c r="J557" s="115"/>
      <c r="K557" s="115"/>
      <c r="L557" s="115"/>
      <c r="M557" s="122"/>
      <c r="N557" s="122"/>
      <c r="O557" s="122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7"/>
      <c r="AE557" s="15"/>
      <c r="AI557" s="117"/>
      <c r="AJ557" s="116"/>
      <c r="AK557" s="116"/>
      <c r="AL557" s="116"/>
    </row>
    <row r="558" spans="1:38" ht="19.5" x14ac:dyDescent="0.4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22"/>
      <c r="N558" s="122"/>
      <c r="O558" s="122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26"/>
      <c r="AE558" s="15"/>
      <c r="AI558" s="117"/>
      <c r="AJ558" s="116"/>
      <c r="AK558" s="116"/>
      <c r="AL558" s="116"/>
    </row>
    <row r="559" spans="1:38" ht="19.5" x14ac:dyDescent="0.4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22"/>
      <c r="N559" s="122"/>
      <c r="O559" s="122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26"/>
      <c r="AE559" s="15"/>
      <c r="AI559" s="117"/>
      <c r="AJ559" s="116"/>
      <c r="AK559" s="116"/>
      <c r="AL559" s="116"/>
    </row>
    <row r="560" spans="1:38" ht="19.5" x14ac:dyDescent="0.4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22"/>
      <c r="N560" s="122"/>
      <c r="O560" s="122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7"/>
      <c r="AE560" s="15"/>
      <c r="AI560" s="117"/>
      <c r="AJ560" s="116"/>
      <c r="AK560" s="116"/>
      <c r="AL560" s="116"/>
    </row>
    <row r="561" spans="1:38" ht="19.5" x14ac:dyDescent="0.4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22"/>
      <c r="N561" s="122"/>
      <c r="O561" s="122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26"/>
      <c r="AE561" s="15"/>
      <c r="AI561" s="117"/>
      <c r="AJ561" s="116"/>
      <c r="AK561" s="116"/>
      <c r="AL561" s="116"/>
    </row>
    <row r="562" spans="1:38" ht="19.5" x14ac:dyDescent="0.4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22"/>
      <c r="N562" s="122"/>
      <c r="O562" s="122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7"/>
      <c r="AE562" s="15"/>
      <c r="AI562" s="117"/>
      <c r="AJ562" s="116"/>
      <c r="AK562" s="116"/>
      <c r="AL562" s="116"/>
    </row>
    <row r="563" spans="1:38" ht="19.5" x14ac:dyDescent="0.4">
      <c r="AD563" s="26"/>
      <c r="AE563" s="15"/>
      <c r="AI563" s="117"/>
      <c r="AJ563" s="116"/>
      <c r="AK563" s="116"/>
      <c r="AL563" s="116"/>
    </row>
    <row r="564" spans="1:38" ht="19.5" x14ac:dyDescent="0.4">
      <c r="J564" s="115"/>
      <c r="K564" s="115"/>
      <c r="L564" s="115"/>
      <c r="M564" s="122"/>
      <c r="N564" s="122"/>
      <c r="O564" s="122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7"/>
      <c r="AE564" s="15"/>
      <c r="AI564" s="117"/>
      <c r="AJ564" s="116"/>
      <c r="AK564" s="116"/>
      <c r="AL564" s="116"/>
    </row>
    <row r="565" spans="1:38" ht="19.5" x14ac:dyDescent="0.4">
      <c r="AD565" s="26"/>
      <c r="AE565" s="15"/>
      <c r="AI565" s="117"/>
      <c r="AJ565" s="116"/>
      <c r="AK565" s="116"/>
      <c r="AL565" s="116"/>
    </row>
    <row r="566" spans="1:38" ht="19.5" x14ac:dyDescent="0.4">
      <c r="J566" s="115"/>
      <c r="K566" s="115"/>
      <c r="L566" s="115"/>
      <c r="M566" s="122"/>
      <c r="N566" s="122"/>
      <c r="O566" s="122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7"/>
      <c r="AE566" s="15"/>
      <c r="AI566" s="117"/>
      <c r="AJ566" s="116"/>
      <c r="AK566" s="116"/>
      <c r="AL566" s="116"/>
    </row>
    <row r="567" spans="1:38" ht="19.5" x14ac:dyDescent="0.4">
      <c r="AD567" s="26"/>
      <c r="AE567" s="15"/>
      <c r="AI567" s="117"/>
      <c r="AJ567" s="116"/>
      <c r="AK567" s="116"/>
      <c r="AL567" s="116"/>
    </row>
    <row r="568" spans="1:38" ht="19.5" x14ac:dyDescent="0.4">
      <c r="J568" s="115"/>
      <c r="K568" s="115"/>
      <c r="L568" s="115"/>
      <c r="M568" s="122"/>
      <c r="N568" s="122"/>
      <c r="O568" s="122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7"/>
      <c r="AE568" s="15"/>
      <c r="AI568" s="117"/>
      <c r="AJ568" s="116"/>
      <c r="AK568" s="116"/>
      <c r="AL568" s="116"/>
    </row>
    <row r="569" spans="1:38" ht="19.5" x14ac:dyDescent="0.4"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22"/>
      <c r="N569" s="122"/>
      <c r="O569" s="122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26"/>
      <c r="AE569" s="15"/>
      <c r="AI569" s="117"/>
      <c r="AJ569" s="116"/>
      <c r="AK569" s="116"/>
      <c r="AL569" s="116"/>
    </row>
    <row r="570" spans="1:38" ht="19.5" x14ac:dyDescent="0.4"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22"/>
      <c r="N570" s="122"/>
      <c r="O570" s="122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7"/>
      <c r="AE570" s="15"/>
      <c r="AI570" s="117"/>
      <c r="AJ570" s="116"/>
      <c r="AK570" s="116"/>
      <c r="AL570" s="116"/>
    </row>
    <row r="571" spans="1:38" ht="19.5" x14ac:dyDescent="0.4"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22"/>
      <c r="N571" s="122"/>
      <c r="O571" s="122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26"/>
      <c r="AE571" s="15"/>
      <c r="AI571" s="117"/>
      <c r="AJ571" s="116"/>
      <c r="AK571" s="116"/>
      <c r="AL571" s="116"/>
    </row>
    <row r="572" spans="1:38" ht="19.5" x14ac:dyDescent="0.4">
      <c r="AD572" s="26"/>
      <c r="AE572" s="15"/>
      <c r="AI572" s="117"/>
      <c r="AJ572" s="116"/>
      <c r="AK572" s="116"/>
      <c r="AL572" s="116"/>
    </row>
    <row r="573" spans="1:38" ht="19.5" x14ac:dyDescent="0.4">
      <c r="J573" s="115"/>
      <c r="K573" s="115"/>
      <c r="L573" s="115"/>
      <c r="M573" s="122"/>
      <c r="N573" s="122"/>
      <c r="O573" s="122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7"/>
      <c r="AE573" s="15"/>
      <c r="AI573" s="117"/>
      <c r="AJ573" s="116"/>
      <c r="AK573" s="116"/>
      <c r="AL573" s="116"/>
    </row>
    <row r="574" spans="1:38" ht="19.5" x14ac:dyDescent="0.4">
      <c r="H574" s="115"/>
      <c r="I574" s="115"/>
      <c r="J574" s="115"/>
      <c r="K574" s="115"/>
      <c r="L574" s="115"/>
      <c r="M574" s="122"/>
      <c r="N574" s="122"/>
      <c r="O574" s="122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26"/>
      <c r="AE574" s="15"/>
      <c r="AI574" s="117"/>
      <c r="AJ574" s="116"/>
      <c r="AK574" s="116"/>
      <c r="AL574" s="116"/>
    </row>
    <row r="575" spans="1:38" ht="19.5" x14ac:dyDescent="0.4">
      <c r="H575" s="115"/>
      <c r="I575" s="115"/>
      <c r="J575" s="115"/>
      <c r="K575" s="115"/>
      <c r="L575" s="115"/>
      <c r="M575" s="122"/>
      <c r="N575" s="122"/>
      <c r="O575" s="122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7"/>
      <c r="AE575" s="13"/>
      <c r="AI575" s="117"/>
      <c r="AJ575" s="116"/>
      <c r="AK575" s="116"/>
      <c r="AL575" s="116"/>
    </row>
    <row r="576" spans="1:38" ht="19.5" x14ac:dyDescent="0.4">
      <c r="G576" s="115"/>
      <c r="H576" s="115"/>
      <c r="I576" s="115"/>
      <c r="J576" s="115"/>
      <c r="K576" s="115"/>
      <c r="L576" s="115"/>
      <c r="M576" s="122"/>
      <c r="N576" s="122"/>
      <c r="O576" s="122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26"/>
      <c r="AE576" s="13"/>
      <c r="AI576" s="117"/>
      <c r="AJ576" s="116"/>
      <c r="AK576" s="116"/>
      <c r="AL576" s="116"/>
    </row>
    <row r="577" spans="1:38" ht="19.5" x14ac:dyDescent="0.4">
      <c r="G577" s="115"/>
      <c r="H577" s="115"/>
      <c r="I577" s="115"/>
      <c r="J577" s="115"/>
      <c r="K577" s="115"/>
      <c r="L577" s="115"/>
      <c r="M577" s="122"/>
      <c r="N577" s="122"/>
      <c r="O577" s="122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7"/>
      <c r="AE577" s="13"/>
      <c r="AI577" s="117"/>
      <c r="AJ577" s="116"/>
      <c r="AK577" s="116"/>
      <c r="AL577" s="116"/>
    </row>
    <row r="578" spans="1:38" ht="19.5" x14ac:dyDescent="0.4"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22"/>
      <c r="N578" s="122"/>
      <c r="O578" s="122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26"/>
      <c r="AE578" s="15"/>
      <c r="AI578" s="117"/>
      <c r="AJ578" s="116"/>
      <c r="AK578" s="116"/>
      <c r="AL578" s="116"/>
    </row>
    <row r="579" spans="1:38" ht="19.5" x14ac:dyDescent="0.4"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22"/>
      <c r="N579" s="122"/>
      <c r="O579" s="122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7"/>
      <c r="AE579" s="15"/>
      <c r="AI579" s="117"/>
      <c r="AJ579" s="116"/>
      <c r="AK579" s="116"/>
      <c r="AL579" s="116"/>
    </row>
    <row r="580" spans="1:38" ht="19.5" x14ac:dyDescent="0.4"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22"/>
      <c r="N580" s="122"/>
      <c r="O580" s="122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26"/>
      <c r="AE580" s="105"/>
      <c r="AI580" s="117"/>
      <c r="AJ580" s="116"/>
      <c r="AK580" s="116"/>
      <c r="AL580" s="116"/>
    </row>
    <row r="581" spans="1:38" ht="19.5" x14ac:dyDescent="0.4"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22"/>
      <c r="N581" s="122"/>
      <c r="O581" s="122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7"/>
      <c r="AE581" s="15"/>
      <c r="AI581" s="117"/>
      <c r="AJ581" s="116"/>
      <c r="AK581" s="116"/>
      <c r="AL581" s="116"/>
    </row>
    <row r="582" spans="1:38" ht="19.5" x14ac:dyDescent="0.4"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22"/>
      <c r="N582" s="122"/>
      <c r="O582" s="122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26"/>
      <c r="AE582" s="15"/>
      <c r="AI582" s="117"/>
      <c r="AJ582" s="116"/>
      <c r="AK582" s="116"/>
      <c r="AL582" s="116"/>
    </row>
    <row r="583" spans="1:38" ht="19.5" x14ac:dyDescent="0.4"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22"/>
      <c r="N583" s="122"/>
      <c r="O583" s="122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26"/>
      <c r="AE583" s="15"/>
      <c r="AI583" s="117"/>
      <c r="AJ583" s="116"/>
      <c r="AK583" s="116"/>
      <c r="AL583" s="116"/>
    </row>
    <row r="584" spans="1:38" ht="19.5" x14ac:dyDescent="0.4">
      <c r="AD584" s="26"/>
      <c r="AE584" s="15"/>
      <c r="AI584" s="117"/>
      <c r="AJ584" s="116"/>
      <c r="AK584" s="116"/>
      <c r="AL584" s="116"/>
    </row>
    <row r="585" spans="1:38" ht="19.5" x14ac:dyDescent="0.4">
      <c r="I585" s="115"/>
      <c r="J585" s="115"/>
      <c r="K585" s="115"/>
      <c r="L585" s="115"/>
      <c r="M585" s="122"/>
      <c r="N585" s="122"/>
      <c r="O585" s="122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26"/>
      <c r="AE585" s="15"/>
      <c r="AI585" s="117"/>
      <c r="AJ585" s="116"/>
      <c r="AK585" s="116"/>
      <c r="AL585" s="116"/>
    </row>
    <row r="586" spans="1:38" ht="19.5" x14ac:dyDescent="0.4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22"/>
      <c r="N586" s="122"/>
      <c r="O586" s="122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26"/>
      <c r="AE586" s="15"/>
      <c r="AI586" s="117"/>
      <c r="AJ586" s="116"/>
      <c r="AK586" s="116"/>
      <c r="AL586" s="116"/>
    </row>
    <row r="587" spans="1:38" ht="19.5" x14ac:dyDescent="0.4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22"/>
      <c r="N587" s="122"/>
      <c r="O587" s="122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26"/>
      <c r="AE587" s="15"/>
      <c r="AI587" s="117"/>
      <c r="AJ587" s="116"/>
      <c r="AK587" s="116"/>
      <c r="AL587" s="116"/>
    </row>
    <row r="588" spans="1:38" ht="19.5" x14ac:dyDescent="0.4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22"/>
      <c r="N588" s="122"/>
      <c r="O588" s="122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7"/>
      <c r="AE588" s="15"/>
      <c r="AI588" s="117"/>
      <c r="AJ588" s="116"/>
      <c r="AK588" s="116"/>
      <c r="AL588" s="116"/>
    </row>
    <row r="589" spans="1:38" ht="19.5" x14ac:dyDescent="0.4">
      <c r="AD589" s="26"/>
      <c r="AE589" s="15"/>
      <c r="AI589" s="117"/>
      <c r="AJ589" s="116"/>
      <c r="AK589" s="116"/>
      <c r="AL589" s="116"/>
    </row>
    <row r="590" spans="1:38" ht="19.5" x14ac:dyDescent="0.4">
      <c r="J590" s="115"/>
      <c r="K590" s="115"/>
      <c r="L590" s="115"/>
      <c r="M590" s="122"/>
      <c r="N590" s="122"/>
      <c r="O590" s="122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7"/>
      <c r="AE590" s="15"/>
      <c r="AI590" s="117"/>
      <c r="AJ590" s="116"/>
      <c r="AK590" s="116"/>
      <c r="AL590" s="116"/>
    </row>
    <row r="591" spans="1:38" ht="19.5" x14ac:dyDescent="0.4">
      <c r="I591" s="115"/>
      <c r="J591" s="115"/>
      <c r="K591" s="115"/>
      <c r="L591" s="115"/>
      <c r="M591" s="122"/>
      <c r="N591" s="122"/>
      <c r="O591" s="122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26"/>
      <c r="AE591" s="15"/>
      <c r="AI591" s="117"/>
      <c r="AJ591" s="116"/>
      <c r="AK591" s="116"/>
      <c r="AL591" s="116"/>
    </row>
    <row r="592" spans="1:38" ht="19.5" x14ac:dyDescent="0.4"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22"/>
      <c r="N592" s="122"/>
      <c r="O592" s="122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26"/>
      <c r="AE592" s="15"/>
      <c r="AI592" s="117"/>
      <c r="AJ592" s="116"/>
      <c r="AK592" s="116"/>
      <c r="AL592" s="116"/>
    </row>
    <row r="593" spans="1:38" ht="19.5" x14ac:dyDescent="0.4"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22"/>
      <c r="N593" s="122"/>
      <c r="O593" s="122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26"/>
      <c r="AE593" s="15"/>
      <c r="AI593" s="117"/>
      <c r="AJ593" s="116"/>
      <c r="AK593" s="116"/>
      <c r="AL593" s="116"/>
    </row>
    <row r="594" spans="1:38" ht="19.5" x14ac:dyDescent="0.4"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22"/>
      <c r="N594" s="122"/>
      <c r="O594" s="122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26"/>
      <c r="AE594" s="15"/>
      <c r="AI594" s="117"/>
      <c r="AJ594" s="116"/>
      <c r="AK594" s="116"/>
      <c r="AL594" s="116"/>
    </row>
    <row r="595" spans="1:38" ht="19.5" x14ac:dyDescent="0.4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22"/>
      <c r="N595" s="122"/>
      <c r="O595" s="122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26"/>
      <c r="AE595" s="15"/>
      <c r="AI595" s="117"/>
      <c r="AJ595" s="116"/>
      <c r="AK595" s="116"/>
      <c r="AL595" s="116"/>
    </row>
    <row r="596" spans="1:38" ht="19.5" x14ac:dyDescent="0.4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22"/>
      <c r="N596" s="122"/>
      <c r="O596" s="122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26"/>
      <c r="AE596" s="15"/>
      <c r="AI596" s="117"/>
      <c r="AJ596" s="116"/>
      <c r="AK596" s="116"/>
      <c r="AL596" s="116"/>
    </row>
    <row r="597" spans="1:38" ht="19.5" x14ac:dyDescent="0.4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22"/>
      <c r="N597" s="122"/>
      <c r="O597" s="122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7"/>
      <c r="AE597" s="15"/>
      <c r="AI597" s="117"/>
      <c r="AJ597" s="116"/>
      <c r="AK597" s="116"/>
      <c r="AL597" s="116"/>
    </row>
    <row r="598" spans="1:38" ht="19.5" x14ac:dyDescent="0.4">
      <c r="AD598" s="26"/>
      <c r="AE598" s="15"/>
      <c r="AI598" s="117"/>
      <c r="AJ598" s="116"/>
      <c r="AK598" s="116"/>
      <c r="AL598" s="116"/>
    </row>
    <row r="599" spans="1:38" ht="19.5" x14ac:dyDescent="0.4">
      <c r="J599" s="115"/>
      <c r="K599" s="115"/>
      <c r="L599" s="115"/>
      <c r="M599" s="122"/>
      <c r="N599" s="122"/>
      <c r="O599" s="122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7"/>
      <c r="AE599" s="13"/>
      <c r="AI599" s="117"/>
      <c r="AJ599" s="116"/>
      <c r="AK599" s="116"/>
      <c r="AL599" s="116"/>
    </row>
    <row r="600" spans="1:38" ht="19.5" x14ac:dyDescent="0.4">
      <c r="J600" s="115"/>
      <c r="K600" s="115"/>
      <c r="L600" s="115"/>
      <c r="M600" s="122"/>
      <c r="N600" s="122"/>
      <c r="O600" s="122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7"/>
      <c r="AE600" s="13"/>
      <c r="AI600" s="117"/>
      <c r="AJ600" s="116"/>
      <c r="AK600" s="116"/>
      <c r="AL600" s="116"/>
    </row>
    <row r="601" spans="1:38" ht="19.5" x14ac:dyDescent="0.4">
      <c r="AD601" s="26"/>
      <c r="AE601" s="13"/>
      <c r="AI601" s="117"/>
      <c r="AJ601" s="116"/>
      <c r="AK601" s="116"/>
      <c r="AL601" s="116"/>
    </row>
    <row r="602" spans="1:38" ht="19.5" x14ac:dyDescent="0.4">
      <c r="AD602" s="26"/>
      <c r="AE602" s="13"/>
      <c r="AI602" s="116"/>
      <c r="AJ602" s="116"/>
      <c r="AK602" s="116"/>
      <c r="AL602" s="116"/>
    </row>
    <row r="603" spans="1:38" ht="19.5" x14ac:dyDescent="0.4">
      <c r="D603" s="115"/>
      <c r="E603" s="115"/>
      <c r="F603" s="115"/>
      <c r="G603" s="115"/>
      <c r="H603" s="115"/>
      <c r="I603" s="115"/>
      <c r="J603" s="115"/>
      <c r="K603" s="115"/>
      <c r="L603" s="115"/>
      <c r="M603" s="122"/>
      <c r="N603" s="122"/>
      <c r="O603" s="122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26"/>
      <c r="AE603" s="13"/>
      <c r="AI603" s="118"/>
      <c r="AJ603" s="118"/>
      <c r="AK603" s="118"/>
      <c r="AL603" s="118"/>
    </row>
    <row r="604" spans="1:38" ht="19.5" x14ac:dyDescent="0.4">
      <c r="D604" s="115"/>
      <c r="E604" s="115"/>
      <c r="F604" s="115"/>
      <c r="G604" s="115"/>
      <c r="H604" s="115"/>
      <c r="I604" s="115"/>
      <c r="J604" s="115"/>
      <c r="K604" s="115"/>
      <c r="L604" s="115"/>
      <c r="M604" s="122"/>
      <c r="N604" s="122"/>
      <c r="O604" s="122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26"/>
      <c r="AE604" s="13"/>
      <c r="AI604" s="118"/>
      <c r="AJ604" s="118"/>
      <c r="AK604" s="118"/>
      <c r="AL604" s="118"/>
    </row>
    <row r="605" spans="1:38" ht="19.5" x14ac:dyDescent="0.4"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22"/>
      <c r="N605" s="122"/>
      <c r="O605" s="122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26"/>
      <c r="AE605" s="13"/>
      <c r="AI605" s="118"/>
      <c r="AJ605" s="118"/>
      <c r="AK605" s="118"/>
      <c r="AL605" s="118"/>
    </row>
    <row r="606" spans="1:38" ht="19.5" x14ac:dyDescent="0.4"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22"/>
      <c r="N606" s="122"/>
      <c r="O606" s="122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26"/>
      <c r="AE606" s="15"/>
      <c r="AI606" s="118"/>
      <c r="AJ606" s="118"/>
      <c r="AK606" s="118"/>
      <c r="AL606" s="118"/>
    </row>
    <row r="607" spans="1:38" ht="19.5" x14ac:dyDescent="0.4"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22"/>
      <c r="N607" s="122"/>
      <c r="O607" s="122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26"/>
      <c r="AE607" s="15"/>
      <c r="AI607" s="118"/>
      <c r="AJ607" s="118"/>
      <c r="AK607" s="118"/>
      <c r="AL607" s="118"/>
    </row>
    <row r="608" spans="1:38" ht="19.5" x14ac:dyDescent="0.4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22"/>
      <c r="N608" s="122"/>
      <c r="O608" s="122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26"/>
      <c r="AE608" s="15"/>
      <c r="AI608" s="118"/>
      <c r="AJ608" s="118"/>
      <c r="AK608" s="118"/>
      <c r="AL608" s="118"/>
    </row>
    <row r="609" spans="1:38" ht="19.5" x14ac:dyDescent="0.4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22"/>
      <c r="N609" s="122"/>
      <c r="O609" s="122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26"/>
      <c r="AE609" s="15"/>
      <c r="AI609" s="118"/>
      <c r="AJ609" s="118"/>
      <c r="AK609" s="118"/>
      <c r="AL609" s="118"/>
    </row>
    <row r="610" spans="1:38" ht="20.25" customHeight="1" x14ac:dyDescent="0.4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22"/>
      <c r="N610" s="122"/>
      <c r="O610" s="122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26"/>
      <c r="AE610" s="15"/>
      <c r="AI610" s="118"/>
      <c r="AJ610" s="118"/>
      <c r="AK610" s="118"/>
      <c r="AL610" s="118"/>
    </row>
    <row r="611" spans="1:38" x14ac:dyDescent="0.4">
      <c r="AD611" s="26"/>
      <c r="AE611" s="15"/>
    </row>
    <row r="612" spans="1:38" x14ac:dyDescent="0.4">
      <c r="AD612" s="26"/>
      <c r="AE612" s="13"/>
    </row>
    <row r="613" spans="1:38" x14ac:dyDescent="0.4">
      <c r="H613" s="115"/>
      <c r="I613" s="115"/>
      <c r="J613" s="115"/>
      <c r="K613" s="115"/>
      <c r="L613" s="115"/>
      <c r="M613" s="122"/>
      <c r="N613" s="122"/>
      <c r="O613" s="122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26"/>
      <c r="AE613" s="13"/>
    </row>
    <row r="614" spans="1:38" x14ac:dyDescent="0.4">
      <c r="H614" s="115"/>
      <c r="I614" s="115"/>
      <c r="J614" s="115"/>
      <c r="K614" s="115"/>
      <c r="L614" s="115"/>
      <c r="M614" s="122"/>
      <c r="N614" s="122"/>
      <c r="O614" s="122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7"/>
      <c r="AE614" s="13"/>
    </row>
    <row r="615" spans="1:38" x14ac:dyDescent="0.4"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22"/>
      <c r="N615" s="122"/>
      <c r="O615" s="122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26"/>
      <c r="AE615" s="13"/>
    </row>
    <row r="616" spans="1:38" x14ac:dyDescent="0.4"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22"/>
      <c r="N616" s="122"/>
      <c r="O616" s="122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26"/>
      <c r="AE616" s="13"/>
    </row>
    <row r="617" spans="1:38" x14ac:dyDescent="0.4">
      <c r="AD617" s="26"/>
      <c r="AE617" s="13"/>
    </row>
    <row r="618" spans="1:38" x14ac:dyDescent="0.4">
      <c r="E618" s="115"/>
      <c r="F618" s="115"/>
      <c r="G618" s="115"/>
      <c r="H618" s="115"/>
      <c r="I618" s="115"/>
      <c r="J618" s="115"/>
      <c r="K618" s="115"/>
      <c r="L618" s="115"/>
      <c r="M618" s="122"/>
      <c r="N618" s="122"/>
      <c r="O618" s="122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26"/>
      <c r="AE618" s="13"/>
    </row>
    <row r="619" spans="1:38" x14ac:dyDescent="0.4"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22"/>
      <c r="N619" s="122"/>
      <c r="O619" s="122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26"/>
      <c r="AE619" s="13"/>
    </row>
    <row r="620" spans="1:38" x14ac:dyDescent="0.4">
      <c r="AD620" s="26"/>
      <c r="AE620" s="13"/>
    </row>
    <row r="621" spans="1:38" x14ac:dyDescent="0.4"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22"/>
      <c r="N621" s="122"/>
      <c r="O621" s="122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26"/>
      <c r="AE621" s="13"/>
    </row>
    <row r="622" spans="1:38" x14ac:dyDescent="0.4">
      <c r="AD622" s="26"/>
      <c r="AE622" s="13"/>
    </row>
    <row r="623" spans="1:38" x14ac:dyDescent="0.4">
      <c r="G623" s="115"/>
      <c r="H623" s="115"/>
      <c r="I623" s="115"/>
      <c r="J623" s="115"/>
      <c r="K623" s="115"/>
      <c r="L623" s="115"/>
      <c r="M623" s="122"/>
      <c r="N623" s="122"/>
      <c r="O623" s="122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26"/>
      <c r="AE623" s="13"/>
    </row>
    <row r="624" spans="1:38" x14ac:dyDescent="0.4">
      <c r="AD624" s="26"/>
      <c r="AE624" s="13"/>
    </row>
    <row r="625" spans="1:31" x14ac:dyDescent="0.4">
      <c r="D625" s="115"/>
      <c r="E625" s="115"/>
      <c r="F625" s="115"/>
      <c r="G625" s="115"/>
      <c r="H625" s="115"/>
      <c r="I625" s="115"/>
      <c r="J625" s="115"/>
      <c r="K625" s="115"/>
      <c r="L625" s="115"/>
      <c r="M625" s="122"/>
      <c r="N625" s="122"/>
      <c r="O625" s="122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26"/>
      <c r="AE625" s="15"/>
    </row>
    <row r="626" spans="1:31" x14ac:dyDescent="0.4">
      <c r="D626" s="115"/>
      <c r="E626" s="115"/>
      <c r="F626" s="115"/>
      <c r="G626" s="115"/>
      <c r="H626" s="115"/>
      <c r="I626" s="115"/>
      <c r="J626" s="115"/>
      <c r="K626" s="115"/>
      <c r="L626" s="115"/>
      <c r="M626" s="122"/>
      <c r="N626" s="122"/>
      <c r="O626" s="122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26"/>
      <c r="AE626" s="15"/>
    </row>
    <row r="627" spans="1:31" x14ac:dyDescent="0.4">
      <c r="D627" s="115"/>
      <c r="E627" s="115"/>
      <c r="F627" s="115"/>
      <c r="G627" s="115"/>
      <c r="H627" s="115"/>
      <c r="I627" s="115"/>
      <c r="J627" s="115"/>
      <c r="K627" s="115"/>
      <c r="L627" s="115"/>
      <c r="M627" s="122"/>
      <c r="N627" s="122"/>
      <c r="O627" s="122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6"/>
      <c r="AE627" s="15"/>
    </row>
    <row r="628" spans="1:31" x14ac:dyDescent="0.4">
      <c r="AD628" s="26"/>
      <c r="AE628" s="13"/>
    </row>
    <row r="629" spans="1:31" x14ac:dyDescent="0.4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22"/>
      <c r="N629" s="122"/>
      <c r="O629" s="122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26"/>
      <c r="AE629" s="15"/>
    </row>
    <row r="630" spans="1:31" x14ac:dyDescent="0.4">
      <c r="AD630" s="26"/>
      <c r="AE630" s="15"/>
    </row>
    <row r="631" spans="1:31" x14ac:dyDescent="0.4">
      <c r="AD631" s="26"/>
      <c r="AE631" s="15"/>
    </row>
    <row r="632" spans="1:31" x14ac:dyDescent="0.4">
      <c r="E632" s="115"/>
      <c r="F632" s="115"/>
      <c r="G632" s="115"/>
      <c r="H632" s="115"/>
      <c r="I632" s="115"/>
      <c r="J632" s="115"/>
      <c r="K632" s="115"/>
      <c r="L632" s="115"/>
      <c r="M632" s="122"/>
      <c r="N632" s="122"/>
      <c r="O632" s="122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26"/>
      <c r="AE632" s="15"/>
    </row>
    <row r="633" spans="1:31" x14ac:dyDescent="0.4"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22"/>
      <c r="N633" s="122"/>
      <c r="O633" s="122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26"/>
      <c r="AE633" s="15"/>
    </row>
    <row r="634" spans="1:31" x14ac:dyDescent="0.4">
      <c r="AD634" s="26"/>
      <c r="AE634" s="15"/>
    </row>
    <row r="635" spans="1:31" x14ac:dyDescent="0.4">
      <c r="F635" s="115"/>
      <c r="G635" s="115"/>
      <c r="H635" s="115"/>
      <c r="I635" s="115"/>
      <c r="J635" s="115"/>
      <c r="K635" s="115"/>
      <c r="L635" s="115"/>
      <c r="M635" s="122"/>
      <c r="N635" s="122"/>
      <c r="O635" s="122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26"/>
      <c r="AE635" s="15"/>
    </row>
    <row r="636" spans="1:31" x14ac:dyDescent="0.4">
      <c r="D636" s="115"/>
      <c r="E636" s="115"/>
      <c r="F636" s="115"/>
      <c r="G636" s="115"/>
      <c r="H636" s="115"/>
      <c r="I636" s="115"/>
      <c r="J636" s="115"/>
      <c r="K636" s="115"/>
      <c r="L636" s="115"/>
      <c r="M636" s="122"/>
      <c r="N636" s="122"/>
      <c r="O636" s="122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26"/>
      <c r="AE636" s="15"/>
    </row>
    <row r="637" spans="1:31" x14ac:dyDescent="0.4">
      <c r="D637" s="115"/>
      <c r="E637" s="115"/>
      <c r="F637" s="115"/>
      <c r="G637" s="115"/>
      <c r="H637" s="115"/>
      <c r="I637" s="115"/>
      <c r="J637" s="115"/>
      <c r="K637" s="115"/>
      <c r="L637" s="115"/>
      <c r="M637" s="122"/>
      <c r="N637" s="122"/>
      <c r="O637" s="122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6"/>
      <c r="AE637" s="15"/>
    </row>
    <row r="638" spans="1:31" x14ac:dyDescent="0.4">
      <c r="D638" s="115"/>
      <c r="E638" s="115"/>
      <c r="F638" s="115"/>
      <c r="G638" s="115"/>
      <c r="H638" s="115"/>
      <c r="I638" s="115"/>
      <c r="J638" s="115"/>
      <c r="K638" s="115"/>
      <c r="L638" s="115"/>
      <c r="M638" s="122"/>
      <c r="N638" s="122"/>
      <c r="O638" s="122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26"/>
      <c r="AE638" s="15"/>
    </row>
    <row r="639" spans="1:31" x14ac:dyDescent="0.4"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22"/>
      <c r="N639" s="122"/>
      <c r="O639" s="122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26"/>
      <c r="AE639" s="15"/>
    </row>
    <row r="640" spans="1:31" x14ac:dyDescent="0.4">
      <c r="AD640" s="26"/>
      <c r="AE640" s="15"/>
    </row>
    <row r="641" spans="1:31" x14ac:dyDescent="0.4">
      <c r="I641" s="115"/>
      <c r="J641" s="115"/>
      <c r="K641" s="115"/>
      <c r="L641" s="115"/>
      <c r="M641" s="122"/>
      <c r="N641" s="122"/>
      <c r="O641" s="122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7"/>
      <c r="AE641" s="15"/>
    </row>
    <row r="642" spans="1:31" x14ac:dyDescent="0.4">
      <c r="AD642" s="26"/>
      <c r="AE642" s="15"/>
    </row>
    <row r="643" spans="1:31" x14ac:dyDescent="0.4">
      <c r="G643" s="115"/>
      <c r="H643" s="115"/>
      <c r="I643" s="115"/>
      <c r="J643" s="115"/>
      <c r="K643" s="115"/>
      <c r="L643" s="115"/>
      <c r="M643" s="122"/>
      <c r="N643" s="122"/>
      <c r="O643" s="122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26"/>
      <c r="AE643" s="15"/>
    </row>
    <row r="644" spans="1:31" x14ac:dyDescent="0.4">
      <c r="AD644" s="26"/>
      <c r="AE644" s="15"/>
    </row>
    <row r="645" spans="1:31" x14ac:dyDescent="0.4">
      <c r="AD645" s="26"/>
      <c r="AE645" s="15"/>
    </row>
    <row r="646" spans="1:31" x14ac:dyDescent="0.4">
      <c r="E646" s="115"/>
      <c r="F646" s="115"/>
      <c r="G646" s="115"/>
      <c r="H646" s="115"/>
      <c r="I646" s="115"/>
      <c r="J646" s="115"/>
      <c r="K646" s="115"/>
      <c r="L646" s="115"/>
      <c r="M646" s="122"/>
      <c r="N646" s="122"/>
      <c r="O646" s="122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26"/>
      <c r="AE646" s="15"/>
    </row>
    <row r="647" spans="1:31" x14ac:dyDescent="0.4">
      <c r="E647" s="115"/>
      <c r="F647" s="115"/>
      <c r="G647" s="115"/>
      <c r="H647" s="115"/>
      <c r="I647" s="115"/>
      <c r="J647" s="115"/>
      <c r="K647" s="115"/>
      <c r="L647" s="115"/>
      <c r="M647" s="122"/>
      <c r="N647" s="122"/>
      <c r="O647" s="122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26"/>
      <c r="AE647" s="15"/>
    </row>
    <row r="648" spans="1:31" x14ac:dyDescent="0.4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22"/>
      <c r="N648" s="122"/>
      <c r="O648" s="122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26"/>
      <c r="AE648" s="15"/>
    </row>
    <row r="649" spans="1:31" x14ac:dyDescent="0.4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22"/>
      <c r="N649" s="122"/>
      <c r="O649" s="122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26"/>
      <c r="AE649" s="15"/>
    </row>
    <row r="650" spans="1:31" x14ac:dyDescent="0.4">
      <c r="AD650" s="26"/>
      <c r="AE650" s="15"/>
    </row>
    <row r="651" spans="1:31" x14ac:dyDescent="0.4">
      <c r="I651" s="115"/>
      <c r="J651" s="115"/>
      <c r="K651" s="115"/>
      <c r="L651" s="115"/>
      <c r="M651" s="122"/>
      <c r="N651" s="122"/>
      <c r="O651" s="122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7"/>
      <c r="AE651" s="15"/>
    </row>
    <row r="652" spans="1:31" x14ac:dyDescent="0.4">
      <c r="AD652" s="26"/>
      <c r="AE652" s="15"/>
    </row>
    <row r="653" spans="1:31" x14ac:dyDescent="0.4">
      <c r="E653" s="115"/>
      <c r="F653" s="115"/>
      <c r="G653" s="115"/>
      <c r="H653" s="115"/>
      <c r="I653" s="115"/>
      <c r="J653" s="115"/>
      <c r="K653" s="115"/>
      <c r="L653" s="115"/>
      <c r="M653" s="122"/>
      <c r="N653" s="122"/>
      <c r="O653" s="122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26"/>
      <c r="AE653" s="15"/>
    </row>
    <row r="654" spans="1:31" x14ac:dyDescent="0.4"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22"/>
      <c r="N654" s="122"/>
      <c r="O654" s="122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26"/>
      <c r="AE654" s="15"/>
    </row>
    <row r="655" spans="1:31" x14ac:dyDescent="0.4"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22"/>
      <c r="N655" s="122"/>
      <c r="O655" s="122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7"/>
      <c r="AE655" s="15"/>
    </row>
    <row r="656" spans="1:31" x14ac:dyDescent="0.4">
      <c r="AD656" s="26"/>
      <c r="AE656" s="15"/>
    </row>
    <row r="657" spans="3:31" x14ac:dyDescent="0.4">
      <c r="D657" s="115"/>
      <c r="E657" s="115"/>
      <c r="F657" s="115"/>
      <c r="G657" s="115"/>
      <c r="H657" s="115"/>
      <c r="I657" s="115"/>
      <c r="J657" s="115"/>
      <c r="K657" s="115"/>
      <c r="L657" s="115"/>
      <c r="M657" s="122"/>
      <c r="N657" s="122"/>
      <c r="O657" s="122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26"/>
      <c r="AE657" s="15"/>
    </row>
    <row r="658" spans="3:31" x14ac:dyDescent="0.4">
      <c r="D658" s="115"/>
      <c r="E658" s="115"/>
      <c r="F658" s="115"/>
      <c r="G658" s="115"/>
      <c r="H658" s="115"/>
      <c r="I658" s="115"/>
      <c r="J658" s="115"/>
      <c r="K658" s="115"/>
      <c r="L658" s="115"/>
      <c r="M658" s="122"/>
      <c r="N658" s="122"/>
      <c r="O658" s="122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7"/>
      <c r="AE658" s="15"/>
    </row>
    <row r="659" spans="3:31" x14ac:dyDescent="0.4">
      <c r="AD659" s="26"/>
      <c r="AE659" s="15"/>
    </row>
    <row r="660" spans="3:31" x14ac:dyDescent="0.4">
      <c r="I660" s="115"/>
      <c r="J660" s="115"/>
      <c r="K660" s="115"/>
      <c r="L660" s="115"/>
      <c r="M660" s="122"/>
      <c r="N660" s="122"/>
      <c r="O660" s="122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7"/>
      <c r="AE660" s="15"/>
    </row>
    <row r="661" spans="3:31" x14ac:dyDescent="0.4"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22"/>
      <c r="N661" s="122"/>
      <c r="O661" s="122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26"/>
      <c r="AE661" s="15"/>
    </row>
    <row r="662" spans="3:31" x14ac:dyDescent="0.4"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22"/>
      <c r="N662" s="122"/>
      <c r="O662" s="122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7"/>
      <c r="AE662" s="15"/>
    </row>
    <row r="663" spans="3:31" x14ac:dyDescent="0.4">
      <c r="AD663" s="26"/>
      <c r="AE663" s="15"/>
    </row>
    <row r="664" spans="3:31" x14ac:dyDescent="0.4">
      <c r="AD664" s="26"/>
      <c r="AE664" s="15"/>
    </row>
    <row r="665" spans="3:31" x14ac:dyDescent="0.4">
      <c r="H665" s="115"/>
      <c r="I665" s="115"/>
      <c r="J665" s="115"/>
      <c r="K665" s="115"/>
      <c r="L665" s="115"/>
      <c r="M665" s="122"/>
      <c r="N665" s="122"/>
      <c r="O665" s="122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26"/>
      <c r="AE665" s="15"/>
    </row>
    <row r="666" spans="3:31" x14ac:dyDescent="0.4">
      <c r="F666" s="115"/>
      <c r="G666" s="115"/>
      <c r="H666" s="115"/>
      <c r="I666" s="115"/>
      <c r="J666" s="115"/>
      <c r="K666" s="115"/>
      <c r="L666" s="115"/>
      <c r="M666" s="122"/>
      <c r="N666" s="122"/>
      <c r="O666" s="122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26"/>
      <c r="AE666" s="15"/>
    </row>
    <row r="667" spans="3:31" x14ac:dyDescent="0.4">
      <c r="F667" s="115"/>
      <c r="G667" s="115"/>
      <c r="H667" s="115"/>
      <c r="I667" s="115"/>
      <c r="J667" s="115"/>
      <c r="K667" s="115"/>
      <c r="L667" s="115"/>
      <c r="M667" s="122"/>
      <c r="N667" s="122"/>
      <c r="O667" s="122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26"/>
      <c r="AE667" s="15"/>
    </row>
    <row r="668" spans="3:31" x14ac:dyDescent="0.4">
      <c r="E668" s="115"/>
      <c r="F668" s="115"/>
      <c r="G668" s="115"/>
      <c r="H668" s="115"/>
      <c r="I668" s="115"/>
      <c r="J668" s="115"/>
      <c r="K668" s="115"/>
      <c r="L668" s="115"/>
      <c r="M668" s="122"/>
      <c r="N668" s="122"/>
      <c r="O668" s="122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26"/>
      <c r="AE668" s="15"/>
    </row>
    <row r="669" spans="3:31" x14ac:dyDescent="0.4">
      <c r="E669" s="115"/>
      <c r="F669" s="115"/>
      <c r="G669" s="115"/>
      <c r="H669" s="115"/>
      <c r="I669" s="115"/>
      <c r="J669" s="115"/>
      <c r="K669" s="115"/>
      <c r="L669" s="115"/>
      <c r="M669" s="122"/>
      <c r="N669" s="122"/>
      <c r="O669" s="122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26"/>
      <c r="AE669" s="15"/>
    </row>
    <row r="670" spans="3:31" x14ac:dyDescent="0.4">
      <c r="AD670" s="26"/>
      <c r="AE670" s="15"/>
    </row>
    <row r="671" spans="3:31" x14ac:dyDescent="0.4">
      <c r="H671" s="115"/>
      <c r="I671" s="115"/>
      <c r="J671" s="115"/>
      <c r="K671" s="115"/>
      <c r="L671" s="115"/>
      <c r="M671" s="122"/>
      <c r="N671" s="122"/>
      <c r="O671" s="122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26"/>
      <c r="AE671" s="15"/>
    </row>
    <row r="672" spans="3:31" x14ac:dyDescent="0.4">
      <c r="AD672" s="26"/>
      <c r="AE672" s="15"/>
    </row>
    <row r="673" spans="3:31" x14ac:dyDescent="0.4">
      <c r="I673" s="115"/>
      <c r="J673" s="115"/>
      <c r="K673" s="115"/>
      <c r="L673" s="115"/>
      <c r="M673" s="122"/>
      <c r="N673" s="122"/>
      <c r="O673" s="122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7"/>
      <c r="AE673" s="15"/>
    </row>
    <row r="674" spans="3:31" x14ac:dyDescent="0.4">
      <c r="H674" s="115"/>
      <c r="I674" s="115"/>
      <c r="J674" s="115"/>
      <c r="K674" s="115"/>
      <c r="L674" s="115"/>
      <c r="M674" s="122"/>
      <c r="N674" s="122"/>
      <c r="O674" s="122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26"/>
      <c r="AE674" s="15"/>
    </row>
    <row r="675" spans="3:31" x14ac:dyDescent="0.4"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22"/>
      <c r="N675" s="122"/>
      <c r="O675" s="122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26"/>
      <c r="AE675" s="15"/>
    </row>
    <row r="676" spans="3:31" x14ac:dyDescent="0.4"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22"/>
      <c r="N676" s="122"/>
      <c r="O676" s="122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7"/>
      <c r="AE676" s="15"/>
    </row>
    <row r="677" spans="3:31" x14ac:dyDescent="0.4">
      <c r="AD677" s="26"/>
      <c r="AE677" s="15"/>
    </row>
    <row r="678" spans="3:31" x14ac:dyDescent="0.4">
      <c r="I678" s="115"/>
      <c r="J678" s="115"/>
      <c r="K678" s="115"/>
      <c r="L678" s="115"/>
      <c r="M678" s="122"/>
      <c r="N678" s="122"/>
      <c r="O678" s="122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7"/>
      <c r="AE678" s="15"/>
    </row>
    <row r="679" spans="3:31" x14ac:dyDescent="0.4">
      <c r="H679" s="115"/>
      <c r="I679" s="115"/>
      <c r="J679" s="115"/>
      <c r="K679" s="115"/>
      <c r="L679" s="115"/>
      <c r="M679" s="122"/>
      <c r="N679" s="122"/>
      <c r="O679" s="122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26"/>
      <c r="AE679" s="15"/>
    </row>
    <row r="680" spans="3:31" x14ac:dyDescent="0.4">
      <c r="H680" s="115"/>
      <c r="I680" s="115"/>
      <c r="J680" s="115"/>
      <c r="K680" s="115"/>
      <c r="L680" s="115"/>
      <c r="M680" s="122"/>
      <c r="N680" s="122"/>
      <c r="O680" s="122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7"/>
      <c r="AE680" s="15"/>
    </row>
    <row r="681" spans="3:31" x14ac:dyDescent="0.4">
      <c r="H681" s="115"/>
      <c r="I681" s="115"/>
      <c r="J681" s="115"/>
      <c r="K681" s="115"/>
      <c r="L681" s="115"/>
      <c r="M681" s="122"/>
      <c r="N681" s="122"/>
      <c r="O681" s="122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7"/>
      <c r="AE681" s="15"/>
    </row>
    <row r="682" spans="3:31" x14ac:dyDescent="0.4">
      <c r="E682" s="115"/>
      <c r="F682" s="115"/>
      <c r="G682" s="115"/>
      <c r="H682" s="115"/>
      <c r="I682" s="115"/>
      <c r="J682" s="115"/>
      <c r="K682" s="115"/>
      <c r="L682" s="115"/>
      <c r="M682" s="122"/>
      <c r="N682" s="122"/>
      <c r="O682" s="122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26"/>
      <c r="AE682" s="15"/>
    </row>
    <row r="683" spans="3:31" x14ac:dyDescent="0.4">
      <c r="E683" s="115"/>
      <c r="F683" s="115"/>
      <c r="G683" s="115"/>
      <c r="H683" s="115"/>
      <c r="I683" s="115"/>
      <c r="J683" s="115"/>
      <c r="K683" s="115"/>
      <c r="L683" s="115"/>
      <c r="M683" s="122"/>
      <c r="N683" s="122"/>
      <c r="O683" s="122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26"/>
      <c r="AE683" s="15"/>
    </row>
    <row r="684" spans="3:31" x14ac:dyDescent="0.4">
      <c r="E684" s="115"/>
      <c r="F684" s="115"/>
      <c r="G684" s="115"/>
      <c r="H684" s="115"/>
      <c r="I684" s="115"/>
      <c r="J684" s="115"/>
      <c r="K684" s="115"/>
      <c r="L684" s="115"/>
      <c r="M684" s="122"/>
      <c r="N684" s="122"/>
      <c r="O684" s="122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26"/>
      <c r="AE684" s="15"/>
    </row>
    <row r="685" spans="3:31" x14ac:dyDescent="0.4">
      <c r="D685" s="115"/>
      <c r="E685" s="115"/>
      <c r="F685" s="115"/>
      <c r="G685" s="115"/>
      <c r="H685" s="115"/>
      <c r="I685" s="115"/>
      <c r="J685" s="115"/>
      <c r="K685" s="115"/>
      <c r="L685" s="115"/>
      <c r="M685" s="122"/>
      <c r="N685" s="122"/>
      <c r="O685" s="122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26"/>
      <c r="AE685" s="15"/>
    </row>
    <row r="686" spans="3:31" x14ac:dyDescent="0.4">
      <c r="D686" s="115"/>
      <c r="E686" s="115"/>
      <c r="F686" s="115"/>
      <c r="G686" s="115"/>
      <c r="H686" s="115"/>
      <c r="I686" s="115"/>
      <c r="J686" s="115"/>
      <c r="K686" s="115"/>
      <c r="L686" s="115"/>
      <c r="M686" s="122"/>
      <c r="N686" s="122"/>
      <c r="O686" s="122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26"/>
      <c r="AE686" s="15"/>
    </row>
    <row r="687" spans="3:31" x14ac:dyDescent="0.4">
      <c r="D687" s="115"/>
      <c r="E687" s="115"/>
      <c r="F687" s="115"/>
      <c r="G687" s="115"/>
      <c r="H687" s="115"/>
      <c r="I687" s="115"/>
      <c r="J687" s="115"/>
      <c r="K687" s="115"/>
      <c r="L687" s="115"/>
      <c r="M687" s="122"/>
      <c r="N687" s="122"/>
      <c r="O687" s="122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7"/>
      <c r="AE687" s="15"/>
    </row>
    <row r="688" spans="3:31" x14ac:dyDescent="0.4">
      <c r="AD688" s="26"/>
      <c r="AE688" s="15"/>
    </row>
    <row r="689" spans="3:31" x14ac:dyDescent="0.4">
      <c r="H689" s="115"/>
      <c r="I689" s="115"/>
      <c r="J689" s="115"/>
      <c r="K689" s="115"/>
      <c r="L689" s="115"/>
      <c r="M689" s="122"/>
      <c r="N689" s="122"/>
      <c r="O689" s="122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7"/>
      <c r="AE689" s="13"/>
    </row>
    <row r="690" spans="3:31" x14ac:dyDescent="0.4">
      <c r="H690" s="115"/>
      <c r="I690" s="115"/>
      <c r="J690" s="115"/>
      <c r="K690" s="115"/>
      <c r="L690" s="115"/>
      <c r="M690" s="122"/>
      <c r="N690" s="122"/>
      <c r="O690" s="122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7"/>
      <c r="AE690" s="13"/>
    </row>
    <row r="691" spans="3:31" x14ac:dyDescent="0.4">
      <c r="F691" s="115"/>
      <c r="G691" s="115"/>
      <c r="H691" s="115"/>
      <c r="I691" s="115"/>
      <c r="J691" s="115"/>
      <c r="K691" s="115"/>
      <c r="L691" s="115"/>
      <c r="M691" s="122"/>
      <c r="N691" s="122"/>
      <c r="O691" s="122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26"/>
      <c r="AE691" s="13"/>
    </row>
    <row r="692" spans="3:31" x14ac:dyDescent="0.4">
      <c r="F692" s="115"/>
      <c r="G692" s="115"/>
      <c r="H692" s="115"/>
      <c r="I692" s="115"/>
      <c r="J692" s="115"/>
      <c r="K692" s="115"/>
      <c r="L692" s="115"/>
      <c r="M692" s="122"/>
      <c r="N692" s="122"/>
      <c r="O692" s="122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7"/>
      <c r="AE692" s="13"/>
    </row>
    <row r="693" spans="3:31" x14ac:dyDescent="0.4">
      <c r="AD693" s="26"/>
      <c r="AE693" s="13"/>
    </row>
    <row r="694" spans="3:31" x14ac:dyDescent="0.4">
      <c r="G694" s="115"/>
      <c r="H694" s="115"/>
      <c r="I694" s="115"/>
      <c r="J694" s="115"/>
      <c r="K694" s="115"/>
      <c r="L694" s="115"/>
      <c r="M694" s="122"/>
      <c r="N694" s="122"/>
      <c r="O694" s="122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7"/>
      <c r="AE694" s="13"/>
    </row>
    <row r="695" spans="3:31" x14ac:dyDescent="0.4">
      <c r="AD695" s="26"/>
      <c r="AE695" s="13"/>
    </row>
    <row r="696" spans="3:31" x14ac:dyDescent="0.4">
      <c r="AD696" s="26"/>
      <c r="AE696" s="13"/>
    </row>
    <row r="697" spans="3:31" x14ac:dyDescent="0.4">
      <c r="D697" s="115"/>
      <c r="E697" s="115"/>
      <c r="F697" s="115"/>
      <c r="G697" s="115"/>
      <c r="H697" s="115"/>
      <c r="I697" s="115"/>
      <c r="J697" s="115"/>
      <c r="K697" s="115"/>
      <c r="L697" s="115"/>
      <c r="M697" s="122"/>
      <c r="N697" s="122"/>
      <c r="O697" s="122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26"/>
      <c r="AE697" s="13"/>
    </row>
    <row r="698" spans="3:31" x14ac:dyDescent="0.4"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22"/>
      <c r="N698" s="122"/>
      <c r="O698" s="122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26"/>
      <c r="AE698" s="13"/>
    </row>
    <row r="699" spans="3:31" x14ac:dyDescent="0.4">
      <c r="AD699" s="26"/>
      <c r="AE699" s="13"/>
    </row>
    <row r="700" spans="3:31" x14ac:dyDescent="0.4">
      <c r="AD700" s="26"/>
      <c r="AE700" s="13"/>
    </row>
    <row r="701" spans="3:31" x14ac:dyDescent="0.4">
      <c r="E701" s="115"/>
      <c r="F701" s="115"/>
      <c r="G701" s="115"/>
      <c r="H701" s="115"/>
      <c r="I701" s="115"/>
      <c r="J701" s="115"/>
      <c r="K701" s="115"/>
      <c r="L701" s="115"/>
      <c r="M701" s="122"/>
      <c r="N701" s="122"/>
      <c r="O701" s="122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26"/>
      <c r="AE701" s="13"/>
    </row>
    <row r="702" spans="3:31" x14ac:dyDescent="0.4">
      <c r="AD702" s="26"/>
      <c r="AE702" s="105"/>
    </row>
    <row r="703" spans="3:31" x14ac:dyDescent="0.4">
      <c r="E703" s="115"/>
      <c r="F703" s="115"/>
      <c r="G703" s="115"/>
      <c r="H703" s="115"/>
      <c r="I703" s="115"/>
      <c r="J703" s="115"/>
      <c r="K703" s="115"/>
      <c r="L703" s="115"/>
      <c r="M703" s="122"/>
      <c r="N703" s="122"/>
      <c r="O703" s="122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26"/>
      <c r="AE703" s="15"/>
    </row>
    <row r="704" spans="3:31" x14ac:dyDescent="0.4">
      <c r="E704" s="115"/>
      <c r="F704" s="115"/>
      <c r="G704" s="115"/>
      <c r="H704" s="115"/>
      <c r="I704" s="115"/>
      <c r="J704" s="115"/>
      <c r="K704" s="115"/>
      <c r="L704" s="115"/>
      <c r="M704" s="122"/>
      <c r="N704" s="122"/>
      <c r="O704" s="122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7"/>
      <c r="AE704" s="15"/>
    </row>
    <row r="705" spans="2:31" x14ac:dyDescent="0.4">
      <c r="AD705" s="26"/>
      <c r="AE705" s="15"/>
    </row>
    <row r="706" spans="2:31" x14ac:dyDescent="0.4">
      <c r="E706" s="115"/>
      <c r="F706" s="115"/>
      <c r="G706" s="115"/>
      <c r="H706" s="115"/>
      <c r="I706" s="115"/>
      <c r="J706" s="115"/>
      <c r="K706" s="115"/>
      <c r="L706" s="115"/>
      <c r="M706" s="122"/>
      <c r="N706" s="122"/>
      <c r="O706" s="122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26"/>
      <c r="AE706" s="15"/>
    </row>
    <row r="707" spans="2:31" x14ac:dyDescent="0.4"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22"/>
      <c r="N707" s="122"/>
      <c r="O707" s="122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26"/>
      <c r="AE707" s="15"/>
    </row>
    <row r="708" spans="2:31" x14ac:dyDescent="0.4"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22"/>
      <c r="N708" s="122"/>
      <c r="O708" s="122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26"/>
      <c r="AE708" s="13"/>
    </row>
    <row r="709" spans="2:31" x14ac:dyDescent="0.4">
      <c r="AD709" s="26"/>
      <c r="AE709" s="15"/>
    </row>
    <row r="710" spans="2:31" x14ac:dyDescent="0.4">
      <c r="E710" s="115"/>
      <c r="F710" s="115"/>
      <c r="G710" s="115"/>
      <c r="H710" s="115"/>
      <c r="I710" s="115"/>
      <c r="J710" s="115"/>
      <c r="K710" s="115"/>
      <c r="L710" s="115"/>
      <c r="M710" s="122"/>
      <c r="N710" s="122"/>
      <c r="O710" s="122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26"/>
      <c r="AE710" s="15"/>
    </row>
    <row r="711" spans="2:31" x14ac:dyDescent="0.4">
      <c r="E711" s="115"/>
      <c r="F711" s="115"/>
      <c r="G711" s="115"/>
      <c r="H711" s="115"/>
      <c r="I711" s="115"/>
      <c r="J711" s="115"/>
      <c r="K711" s="115"/>
      <c r="L711" s="115"/>
      <c r="M711" s="122"/>
      <c r="N711" s="122"/>
      <c r="O711" s="122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26"/>
      <c r="AE711" s="15"/>
    </row>
    <row r="712" spans="2:31" x14ac:dyDescent="0.4">
      <c r="D712" s="115"/>
      <c r="E712" s="115"/>
      <c r="F712" s="115"/>
      <c r="G712" s="115"/>
      <c r="H712" s="115"/>
      <c r="I712" s="115"/>
      <c r="J712" s="115"/>
      <c r="K712" s="115"/>
      <c r="L712" s="115"/>
      <c r="M712" s="122"/>
      <c r="N712" s="122"/>
      <c r="O712" s="122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26"/>
      <c r="AE712" s="15"/>
    </row>
    <row r="713" spans="2:31" x14ac:dyDescent="0.4">
      <c r="D713" s="115"/>
      <c r="E713" s="115"/>
      <c r="F713" s="115"/>
      <c r="G713" s="115"/>
      <c r="H713" s="115"/>
      <c r="I713" s="115"/>
      <c r="J713" s="115"/>
      <c r="K713" s="115"/>
      <c r="L713" s="115"/>
      <c r="M713" s="122"/>
      <c r="N713" s="122"/>
      <c r="O713" s="122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26"/>
      <c r="AE713" s="15"/>
    </row>
    <row r="714" spans="2:31" x14ac:dyDescent="0.4">
      <c r="D714" s="115"/>
      <c r="E714" s="115"/>
      <c r="F714" s="115"/>
      <c r="G714" s="115"/>
      <c r="H714" s="115"/>
      <c r="I714" s="115"/>
      <c r="J714" s="115"/>
      <c r="K714" s="115"/>
      <c r="L714" s="115"/>
      <c r="M714" s="122"/>
      <c r="N714" s="122"/>
      <c r="O714" s="122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26"/>
      <c r="AE714" s="15"/>
    </row>
    <row r="715" spans="2:31" x14ac:dyDescent="0.4"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22"/>
      <c r="N715" s="122"/>
      <c r="O715" s="122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26"/>
      <c r="AE715" s="15"/>
    </row>
    <row r="716" spans="2:31" ht="19.5" customHeight="1" x14ac:dyDescent="0.4"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22"/>
      <c r="N716" s="122"/>
      <c r="O716" s="122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26"/>
      <c r="AE716" s="15"/>
    </row>
    <row r="717" spans="2:31" ht="19.5" customHeight="1" x14ac:dyDescent="0.4"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22"/>
      <c r="N717" s="122"/>
      <c r="O717" s="122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26"/>
      <c r="AE717" s="15"/>
    </row>
    <row r="718" spans="2:31" x14ac:dyDescent="0.4">
      <c r="AD718" s="26"/>
      <c r="AE718" s="15"/>
    </row>
    <row r="719" spans="2:31" x14ac:dyDescent="0.4">
      <c r="D719" s="115"/>
      <c r="E719" s="115"/>
      <c r="F719" s="115"/>
      <c r="G719" s="115"/>
      <c r="H719" s="115"/>
      <c r="I719" s="115"/>
      <c r="J719" s="115"/>
      <c r="K719" s="115"/>
      <c r="L719" s="115"/>
      <c r="M719" s="122"/>
      <c r="N719" s="122"/>
      <c r="O719" s="122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26"/>
      <c r="AE719" s="15"/>
    </row>
    <row r="720" spans="2:31" x14ac:dyDescent="0.4"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22"/>
      <c r="N720" s="122"/>
      <c r="O720" s="122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26"/>
      <c r="AE720" s="15"/>
    </row>
    <row r="721" spans="1:31" x14ac:dyDescent="0.4"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22"/>
      <c r="N721" s="122"/>
      <c r="O721" s="122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7"/>
      <c r="AE721" s="15"/>
    </row>
    <row r="722" spans="1:31" x14ac:dyDescent="0.4">
      <c r="AD722" s="26"/>
      <c r="AE722" s="15"/>
    </row>
    <row r="723" spans="1:31" x14ac:dyDescent="0.4">
      <c r="G723" s="115"/>
      <c r="H723" s="115"/>
      <c r="I723" s="115"/>
      <c r="J723" s="115"/>
      <c r="K723" s="115"/>
      <c r="L723" s="115"/>
      <c r="M723" s="122"/>
      <c r="N723" s="122"/>
      <c r="O723" s="122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7"/>
      <c r="AE723" s="15"/>
    </row>
    <row r="724" spans="1:31" x14ac:dyDescent="0.4"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22"/>
      <c r="N724" s="122"/>
      <c r="O724" s="122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26"/>
      <c r="AE724" s="15"/>
    </row>
    <row r="725" spans="1:31" x14ac:dyDescent="0.4">
      <c r="AD725" s="26"/>
      <c r="AE725" s="15"/>
    </row>
    <row r="726" spans="1:31" x14ac:dyDescent="0.4">
      <c r="AD726" s="26"/>
      <c r="AE726" s="15"/>
    </row>
    <row r="727" spans="1:31" x14ac:dyDescent="0.4">
      <c r="F727" s="115"/>
      <c r="G727" s="115"/>
      <c r="H727" s="115"/>
      <c r="I727" s="115"/>
      <c r="J727" s="115"/>
      <c r="K727" s="115"/>
      <c r="L727" s="115"/>
      <c r="M727" s="122"/>
      <c r="N727" s="122"/>
      <c r="O727" s="122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26"/>
      <c r="AE727" s="15"/>
    </row>
    <row r="728" spans="1:31" x14ac:dyDescent="0.4">
      <c r="AD728" s="26"/>
      <c r="AE728" s="15"/>
    </row>
    <row r="729" spans="1:31" x14ac:dyDescent="0.4">
      <c r="G729" s="115"/>
      <c r="H729" s="115"/>
      <c r="I729" s="115"/>
      <c r="J729" s="115"/>
      <c r="K729" s="115"/>
      <c r="L729" s="115"/>
      <c r="M729" s="122"/>
      <c r="N729" s="122"/>
      <c r="O729" s="122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7"/>
      <c r="AE729" s="15"/>
    </row>
    <row r="730" spans="1:31" x14ac:dyDescent="0.4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22"/>
      <c r="N730" s="122"/>
      <c r="O730" s="122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26"/>
      <c r="AE730" s="15"/>
    </row>
    <row r="731" spans="1:31" x14ac:dyDescent="0.4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22"/>
      <c r="N731" s="122"/>
      <c r="O731" s="122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7"/>
      <c r="AE731" s="13"/>
    </row>
    <row r="732" spans="1:31" x14ac:dyDescent="0.4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22"/>
      <c r="N732" s="122"/>
      <c r="O732" s="122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7"/>
      <c r="AE732" s="13"/>
    </row>
    <row r="733" spans="1:31" x14ac:dyDescent="0.4">
      <c r="AD733" s="26"/>
      <c r="AE733" s="13"/>
    </row>
    <row r="734" spans="1:31" x14ac:dyDescent="0.4"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22"/>
      <c r="N734" s="122"/>
      <c r="O734" s="122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26"/>
      <c r="AE734" s="15"/>
    </row>
    <row r="735" spans="1:31" x14ac:dyDescent="0.4"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22"/>
      <c r="N735" s="122"/>
      <c r="O735" s="122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26"/>
      <c r="AE735" s="15"/>
    </row>
    <row r="736" spans="1:31" x14ac:dyDescent="0.4">
      <c r="AD736" s="26"/>
      <c r="AE736" s="15"/>
    </row>
    <row r="737" spans="1:31" x14ac:dyDescent="0.4">
      <c r="D737" s="115"/>
      <c r="E737" s="115"/>
      <c r="F737" s="115"/>
      <c r="G737" s="115"/>
      <c r="H737" s="115"/>
      <c r="I737" s="115"/>
      <c r="J737" s="115"/>
      <c r="K737" s="115"/>
      <c r="L737" s="115"/>
      <c r="M737" s="122"/>
      <c r="N737" s="122"/>
      <c r="O737" s="122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26"/>
      <c r="AE737" s="15"/>
    </row>
    <row r="738" spans="1:31" x14ac:dyDescent="0.4"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22"/>
      <c r="N738" s="122"/>
      <c r="O738" s="122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26"/>
      <c r="AE738" s="15"/>
    </row>
    <row r="739" spans="1:31" x14ac:dyDescent="0.4"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22"/>
      <c r="N739" s="122"/>
      <c r="O739" s="122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26"/>
      <c r="AE739" s="15"/>
    </row>
    <row r="740" spans="1:31" x14ac:dyDescent="0.4"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22"/>
      <c r="N740" s="122"/>
      <c r="O740" s="122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26"/>
      <c r="AE740" s="15"/>
    </row>
    <row r="741" spans="1:31" x14ac:dyDescent="0.4">
      <c r="AD741" s="26"/>
      <c r="AE741" s="15"/>
    </row>
    <row r="742" spans="1:31" x14ac:dyDescent="0.4">
      <c r="D742" s="115"/>
      <c r="E742" s="115"/>
      <c r="F742" s="115"/>
      <c r="G742" s="115"/>
      <c r="H742" s="115"/>
      <c r="I742" s="115"/>
      <c r="J742" s="115"/>
      <c r="K742" s="115"/>
      <c r="L742" s="115"/>
      <c r="M742" s="122"/>
      <c r="N742" s="122"/>
      <c r="O742" s="122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26"/>
      <c r="AE742" s="15"/>
    </row>
    <row r="743" spans="1:31" x14ac:dyDescent="0.4">
      <c r="AD743" s="26"/>
      <c r="AE743" s="15"/>
    </row>
    <row r="744" spans="1:31" x14ac:dyDescent="0.4">
      <c r="D744" s="115"/>
      <c r="E744" s="115"/>
      <c r="F744" s="115"/>
      <c r="G744" s="115"/>
      <c r="H744" s="115"/>
      <c r="I744" s="115"/>
      <c r="J744" s="115"/>
      <c r="K744" s="115"/>
      <c r="L744" s="115"/>
      <c r="M744" s="122"/>
      <c r="N744" s="122"/>
      <c r="O744" s="122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26"/>
      <c r="AE744" s="15"/>
    </row>
    <row r="745" spans="1:31" x14ac:dyDescent="0.4">
      <c r="D745" s="115"/>
      <c r="E745" s="115"/>
      <c r="F745" s="115"/>
      <c r="G745" s="115"/>
      <c r="H745" s="115"/>
      <c r="I745" s="115"/>
      <c r="J745" s="115"/>
      <c r="K745" s="115"/>
      <c r="L745" s="115"/>
      <c r="M745" s="122"/>
      <c r="N745" s="122"/>
      <c r="O745" s="122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26"/>
      <c r="AE745" s="15"/>
    </row>
    <row r="746" spans="1:31" x14ac:dyDescent="0.4">
      <c r="D746" s="115"/>
      <c r="E746" s="115"/>
      <c r="F746" s="115"/>
      <c r="G746" s="115"/>
      <c r="H746" s="115"/>
      <c r="I746" s="115"/>
      <c r="J746" s="115"/>
      <c r="K746" s="115"/>
      <c r="L746" s="115"/>
      <c r="M746" s="122"/>
      <c r="N746" s="122"/>
      <c r="O746" s="122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7"/>
      <c r="AE746" s="15"/>
    </row>
    <row r="747" spans="1:31" x14ac:dyDescent="0.4">
      <c r="AD747" s="26"/>
      <c r="AE747" s="15"/>
    </row>
    <row r="748" spans="1:31" x14ac:dyDescent="0.4">
      <c r="AD748" s="26"/>
      <c r="AE748" s="15"/>
    </row>
    <row r="749" spans="1:31" x14ac:dyDescent="0.4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22"/>
      <c r="N749" s="122"/>
      <c r="O749" s="122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26"/>
      <c r="AE749" s="15"/>
    </row>
    <row r="750" spans="1:31" x14ac:dyDescent="0.4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22"/>
      <c r="N750" s="122"/>
      <c r="O750" s="122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7"/>
      <c r="AE750" s="15"/>
    </row>
    <row r="751" spans="1:31" x14ac:dyDescent="0.4">
      <c r="AD751" s="26"/>
      <c r="AE751" s="15"/>
    </row>
    <row r="752" spans="1:31" ht="17.25" customHeight="1" x14ac:dyDescent="0.4"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22"/>
      <c r="N752" s="122"/>
      <c r="O752" s="122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26"/>
      <c r="AE752" s="15"/>
    </row>
    <row r="753" spans="1:31" x14ac:dyDescent="0.4">
      <c r="AD753" s="26"/>
      <c r="AE753" s="15"/>
    </row>
    <row r="754" spans="1:31" x14ac:dyDescent="0.4">
      <c r="F754" s="115"/>
      <c r="G754" s="115"/>
      <c r="H754" s="115"/>
      <c r="I754" s="115"/>
      <c r="J754" s="115"/>
      <c r="K754" s="115"/>
      <c r="L754" s="115"/>
      <c r="M754" s="122"/>
      <c r="N754" s="122"/>
      <c r="O754" s="122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7"/>
      <c r="AE754" s="15"/>
    </row>
    <row r="755" spans="1:31" ht="16.5" customHeight="1" x14ac:dyDescent="0.4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22"/>
      <c r="N755" s="122"/>
      <c r="O755" s="122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26"/>
      <c r="AE755" s="15"/>
    </row>
    <row r="756" spans="1:31" ht="22.5" customHeight="1" x14ac:dyDescent="0.4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22"/>
      <c r="N756" s="122"/>
      <c r="O756" s="122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26"/>
      <c r="AE756" s="15"/>
    </row>
    <row r="757" spans="1:31" x14ac:dyDescent="0.4">
      <c r="AD757" s="26"/>
      <c r="AE757" s="15"/>
    </row>
    <row r="758" spans="1:31" x14ac:dyDescent="0.4">
      <c r="AD758" s="26"/>
      <c r="AE758" s="105"/>
    </row>
    <row r="759" spans="1:31" x14ac:dyDescent="0.4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22"/>
      <c r="N759" s="122"/>
      <c r="O759" s="122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26"/>
      <c r="AE759" s="15"/>
    </row>
    <row r="760" spans="1:31" x14ac:dyDescent="0.4">
      <c r="AD760" s="26"/>
      <c r="AE760" s="15"/>
    </row>
    <row r="761" spans="1:31" x14ac:dyDescent="0.4">
      <c r="AD761" s="26"/>
      <c r="AE761" s="15"/>
    </row>
    <row r="762" spans="1:31" x14ac:dyDescent="0.4">
      <c r="AD762" s="26"/>
      <c r="AE762" s="15"/>
    </row>
    <row r="763" spans="1:31" x14ac:dyDescent="0.4">
      <c r="AD763" s="26"/>
      <c r="AE763" s="15"/>
    </row>
    <row r="764" spans="1:31" x14ac:dyDescent="0.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22"/>
      <c r="N764" s="122"/>
      <c r="O764" s="122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26"/>
      <c r="AE764" s="15"/>
    </row>
    <row r="765" spans="1:31" x14ac:dyDescent="0.4">
      <c r="AD765" s="26"/>
      <c r="AE765" s="15"/>
    </row>
    <row r="766" spans="1:31" x14ac:dyDescent="0.4">
      <c r="AD766" s="26"/>
      <c r="AE766" s="15"/>
    </row>
    <row r="767" spans="1:31" x14ac:dyDescent="0.4">
      <c r="AD767" s="26"/>
      <c r="AE767" s="15"/>
    </row>
    <row r="768" spans="1:31" x14ac:dyDescent="0.4">
      <c r="AD768" s="26"/>
      <c r="AE768" s="15"/>
    </row>
    <row r="769" spans="1:31" ht="18.75" customHeight="1" x14ac:dyDescent="0.4"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22"/>
      <c r="N769" s="122"/>
      <c r="O769" s="122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26"/>
      <c r="AE769" s="15"/>
    </row>
    <row r="770" spans="1:31" x14ac:dyDescent="0.4">
      <c r="AD770" s="26"/>
      <c r="AE770" s="15"/>
    </row>
    <row r="771" spans="1:31" x14ac:dyDescent="0.4">
      <c r="AD771" s="26"/>
      <c r="AE771" s="15"/>
    </row>
    <row r="772" spans="1:31" x14ac:dyDescent="0.4"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22"/>
      <c r="N772" s="122"/>
      <c r="O772" s="122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26"/>
      <c r="AE772" s="15"/>
    </row>
    <row r="773" spans="1:31" x14ac:dyDescent="0.4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22"/>
      <c r="N773" s="122"/>
      <c r="O773" s="122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26"/>
      <c r="AE773" s="15"/>
    </row>
    <row r="774" spans="1:31" x14ac:dyDescent="0.4">
      <c r="AD774" s="26"/>
      <c r="AE774" s="15"/>
    </row>
    <row r="775" spans="1:31" x14ac:dyDescent="0.4">
      <c r="F775" s="115"/>
      <c r="G775" s="115"/>
      <c r="H775" s="115"/>
      <c r="I775" s="115"/>
      <c r="J775" s="115"/>
      <c r="K775" s="115"/>
      <c r="L775" s="115"/>
      <c r="M775" s="122"/>
      <c r="N775" s="122"/>
      <c r="O775" s="122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7"/>
      <c r="AE775" s="15"/>
    </row>
    <row r="776" spans="1:31" x14ac:dyDescent="0.4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22"/>
      <c r="N776" s="122"/>
      <c r="O776" s="122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26"/>
      <c r="AE776" s="15"/>
    </row>
    <row r="777" spans="1:31" x14ac:dyDescent="0.4">
      <c r="AD777" s="26"/>
      <c r="AE777" s="15"/>
    </row>
    <row r="778" spans="1:31" x14ac:dyDescent="0.4">
      <c r="F778" s="115"/>
      <c r="G778" s="115"/>
      <c r="H778" s="115"/>
      <c r="I778" s="115"/>
      <c r="J778" s="115"/>
      <c r="K778" s="115"/>
      <c r="L778" s="115"/>
      <c r="M778" s="122"/>
      <c r="N778" s="122"/>
      <c r="O778" s="122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7"/>
      <c r="AE778" s="15"/>
    </row>
    <row r="779" spans="1:31" x14ac:dyDescent="0.4">
      <c r="AD779" s="26"/>
      <c r="AE779" s="15"/>
    </row>
    <row r="780" spans="1:31" x14ac:dyDescent="0.4"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22"/>
      <c r="N780" s="122"/>
      <c r="O780" s="122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26"/>
      <c r="AE780" s="15"/>
    </row>
    <row r="781" spans="1:31" x14ac:dyDescent="0.4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22"/>
      <c r="N781" s="122"/>
      <c r="O781" s="122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26"/>
      <c r="AE781" s="15"/>
    </row>
    <row r="782" spans="1:31" x14ac:dyDescent="0.4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22"/>
      <c r="N782" s="122"/>
      <c r="O782" s="122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26"/>
      <c r="AE782" s="15"/>
    </row>
    <row r="783" spans="1:31" x14ac:dyDescent="0.4">
      <c r="AD783" s="26"/>
      <c r="AE783" s="15"/>
    </row>
    <row r="784" spans="1:31" x14ac:dyDescent="0.4"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22"/>
      <c r="N784" s="122"/>
      <c r="O784" s="122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26"/>
      <c r="AE784" s="15"/>
    </row>
    <row r="785" spans="1:31" x14ac:dyDescent="0.4">
      <c r="AD785" s="26"/>
      <c r="AE785" s="15"/>
    </row>
    <row r="786" spans="1:31" x14ac:dyDescent="0.4"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22"/>
      <c r="N786" s="122"/>
      <c r="O786" s="122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26"/>
      <c r="AE786" s="15"/>
    </row>
    <row r="787" spans="1:31" x14ac:dyDescent="0.4">
      <c r="AD787" s="26"/>
      <c r="AE787" s="15"/>
    </row>
    <row r="788" spans="1:31" x14ac:dyDescent="0.4">
      <c r="AD788" s="26"/>
      <c r="AE788" s="15"/>
    </row>
    <row r="789" spans="1:31" x14ac:dyDescent="0.4">
      <c r="AD789" s="26"/>
      <c r="AE789" s="15"/>
    </row>
    <row r="790" spans="1:31" x14ac:dyDescent="0.4">
      <c r="AD790" s="26"/>
      <c r="AE790" s="15"/>
    </row>
    <row r="791" spans="1:31" x14ac:dyDescent="0.4">
      <c r="AD791" s="26"/>
      <c r="AE791" s="15"/>
    </row>
    <row r="792" spans="1:31" x14ac:dyDescent="0.4">
      <c r="AD792" s="26"/>
      <c r="AE792" s="15"/>
    </row>
    <row r="793" spans="1:31" x14ac:dyDescent="0.4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22"/>
      <c r="N793" s="122"/>
      <c r="O793" s="122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26"/>
      <c r="AE793" s="15"/>
    </row>
    <row r="794" spans="1:31" x14ac:dyDescent="0.4">
      <c r="AD794" s="26"/>
      <c r="AE794" s="15"/>
    </row>
    <row r="795" spans="1:31" x14ac:dyDescent="0.4">
      <c r="AD795" s="26"/>
      <c r="AE795" s="15"/>
    </row>
    <row r="796" spans="1:31" x14ac:dyDescent="0.4">
      <c r="AD796" s="26"/>
      <c r="AE796" s="15"/>
    </row>
    <row r="797" spans="1:31" x14ac:dyDescent="0.4">
      <c r="AD797" s="26"/>
      <c r="AE797" s="15"/>
    </row>
    <row r="798" spans="1:31" x14ac:dyDescent="0.4">
      <c r="AD798" s="26"/>
      <c r="AE798" s="15"/>
    </row>
    <row r="799" spans="1:31" x14ac:dyDescent="0.4">
      <c r="F799" s="115"/>
      <c r="G799" s="115"/>
      <c r="H799" s="115"/>
      <c r="I799" s="115"/>
      <c r="J799" s="115"/>
      <c r="K799" s="115"/>
      <c r="L799" s="115"/>
      <c r="M799" s="122"/>
      <c r="N799" s="122"/>
      <c r="O799" s="122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7"/>
      <c r="AE799" s="15"/>
    </row>
    <row r="800" spans="1:31" x14ac:dyDescent="0.4">
      <c r="F800" s="115"/>
      <c r="G800" s="115"/>
      <c r="H800" s="115"/>
      <c r="I800" s="115"/>
      <c r="J800" s="115"/>
      <c r="K800" s="115"/>
      <c r="L800" s="115"/>
      <c r="M800" s="122"/>
      <c r="N800" s="122"/>
      <c r="O800" s="122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7"/>
      <c r="AE800" s="15"/>
    </row>
    <row r="801" spans="1:31" x14ac:dyDescent="0.4">
      <c r="AD801" s="26"/>
      <c r="AE801" s="15"/>
    </row>
    <row r="802" spans="1:31" x14ac:dyDescent="0.4">
      <c r="AD802" s="26"/>
      <c r="AE802" s="15"/>
    </row>
    <row r="803" spans="1:31" x14ac:dyDescent="0.4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22"/>
      <c r="N803" s="122"/>
      <c r="O803" s="122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26"/>
      <c r="AE803" s="15"/>
    </row>
    <row r="804" spans="1:31" x14ac:dyDescent="0.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22"/>
      <c r="N804" s="122"/>
      <c r="O804" s="122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26"/>
      <c r="AE804" s="13"/>
    </row>
    <row r="805" spans="1:31" x14ac:dyDescent="0.4">
      <c r="AD805" s="26"/>
      <c r="AE805" s="15"/>
    </row>
    <row r="806" spans="1:31" x14ac:dyDescent="0.4"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22"/>
      <c r="N806" s="122"/>
      <c r="O806" s="122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26"/>
      <c r="AE806" s="15"/>
    </row>
    <row r="807" spans="1:31" x14ac:dyDescent="0.4">
      <c r="AD807" s="26"/>
      <c r="AE807" s="15"/>
    </row>
    <row r="808" spans="1:31" x14ac:dyDescent="0.4">
      <c r="AD808" s="26"/>
      <c r="AE808" s="15"/>
    </row>
    <row r="809" spans="1:31" x14ac:dyDescent="0.4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22"/>
      <c r="N809" s="122"/>
      <c r="O809" s="122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26"/>
      <c r="AE809" s="15"/>
    </row>
    <row r="810" spans="1:31" x14ac:dyDescent="0.4">
      <c r="AD810" s="26"/>
      <c r="AE810" s="13"/>
    </row>
    <row r="811" spans="1:31" x14ac:dyDescent="0.4">
      <c r="AD811" s="26"/>
      <c r="AE811" s="13"/>
    </row>
    <row r="812" spans="1:31" x14ac:dyDescent="0.4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22"/>
      <c r="N812" s="122"/>
      <c r="O812" s="122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26"/>
      <c r="AE812" s="13"/>
    </row>
    <row r="813" spans="1:31" x14ac:dyDescent="0.4">
      <c r="AD813" s="26"/>
      <c r="AE813" s="13"/>
    </row>
    <row r="814" spans="1:31" x14ac:dyDescent="0.4">
      <c r="AD814" s="26"/>
      <c r="AE814" s="13"/>
    </row>
    <row r="815" spans="1:31" x14ac:dyDescent="0.4">
      <c r="AD815" s="26"/>
      <c r="AE815" s="13"/>
    </row>
    <row r="816" spans="1:31" x14ac:dyDescent="0.4">
      <c r="AD816" s="26"/>
      <c r="AE816" s="13"/>
    </row>
    <row r="817" spans="1:31" x14ac:dyDescent="0.4">
      <c r="AD817" s="26"/>
      <c r="AE817" s="13"/>
    </row>
    <row r="818" spans="1:31" x14ac:dyDescent="0.4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22"/>
      <c r="N818" s="122"/>
      <c r="O818" s="122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26"/>
      <c r="AE818" s="25"/>
    </row>
    <row r="819" spans="1:31" x14ac:dyDescent="0.4">
      <c r="AD819" s="26"/>
      <c r="AE819" s="13"/>
    </row>
    <row r="820" spans="1:31" x14ac:dyDescent="0.4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22"/>
      <c r="N820" s="122"/>
      <c r="O820" s="122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26"/>
      <c r="AE820" s="13"/>
    </row>
    <row r="821" spans="1:31" x14ac:dyDescent="0.4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22"/>
      <c r="N821" s="122"/>
      <c r="O821" s="122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26"/>
      <c r="AE821" s="13"/>
    </row>
    <row r="822" spans="1:31" x14ac:dyDescent="0.4">
      <c r="AD822" s="26"/>
      <c r="AE822" s="15"/>
    </row>
    <row r="823" spans="1:31" x14ac:dyDescent="0.4">
      <c r="AD823" s="26"/>
      <c r="AE823" s="15"/>
    </row>
    <row r="824" spans="1:31" x14ac:dyDescent="0.4">
      <c r="AD824" s="26"/>
      <c r="AE824" s="15"/>
    </row>
    <row r="825" spans="1:31" x14ac:dyDescent="0.4">
      <c r="AD825" s="26"/>
      <c r="AE825" s="13"/>
    </row>
    <row r="826" spans="1:31" x14ac:dyDescent="0.4">
      <c r="AD826" s="26"/>
      <c r="AE826" s="15"/>
    </row>
    <row r="827" spans="1:31" x14ac:dyDescent="0.4"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22"/>
      <c r="N827" s="122"/>
      <c r="O827" s="122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7"/>
      <c r="AE827" s="15"/>
    </row>
    <row r="828" spans="1:31" x14ac:dyDescent="0.4">
      <c r="AD828" s="26"/>
      <c r="AE828" s="15"/>
    </row>
    <row r="829" spans="1:31" x14ac:dyDescent="0.4"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22"/>
      <c r="N829" s="122"/>
      <c r="O829" s="122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7"/>
      <c r="AE829" s="15"/>
    </row>
    <row r="830" spans="1:31" x14ac:dyDescent="0.4">
      <c r="AD830" s="26"/>
      <c r="AE830" s="15"/>
    </row>
    <row r="831" spans="1:31" x14ac:dyDescent="0.4">
      <c r="AD831" s="26"/>
      <c r="AE831" s="15"/>
    </row>
    <row r="832" spans="1:31" x14ac:dyDescent="0.4"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22"/>
      <c r="N832" s="122"/>
      <c r="O832" s="122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7"/>
      <c r="AE832" s="15"/>
    </row>
    <row r="833" spans="2:31" x14ac:dyDescent="0.4">
      <c r="AD833" s="26"/>
      <c r="AE833" s="15"/>
    </row>
    <row r="834" spans="2:31" x14ac:dyDescent="0.4">
      <c r="AD834" s="26"/>
      <c r="AE834" s="15"/>
    </row>
    <row r="835" spans="2:31" x14ac:dyDescent="0.4">
      <c r="AD835" s="26"/>
      <c r="AE835" s="105"/>
    </row>
    <row r="836" spans="2:31" x14ac:dyDescent="0.4">
      <c r="AD836" s="26"/>
      <c r="AE836" s="15"/>
    </row>
    <row r="837" spans="2:31" x14ac:dyDescent="0.4">
      <c r="AD837" s="26"/>
      <c r="AE837" s="15"/>
    </row>
    <row r="838" spans="2:31" x14ac:dyDescent="0.4">
      <c r="AD838" s="26"/>
      <c r="AE838" s="15"/>
    </row>
    <row r="839" spans="2:31" x14ac:dyDescent="0.4">
      <c r="AD839" s="26"/>
      <c r="AE839" s="15"/>
    </row>
    <row r="840" spans="2:31" x14ac:dyDescent="0.4">
      <c r="AD840" s="26"/>
      <c r="AE840" s="15"/>
    </row>
    <row r="841" spans="2:31" x14ac:dyDescent="0.4"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22"/>
      <c r="N841" s="122"/>
      <c r="O841" s="122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9"/>
      <c r="AE841" s="119"/>
    </row>
    <row r="842" spans="2:31" x14ac:dyDescent="0.4"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22"/>
      <c r="N842" s="122"/>
      <c r="O842" s="122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9"/>
      <c r="AE842" s="119"/>
    </row>
  </sheetData>
  <sortState xmlns:xlrd2="http://schemas.microsoft.com/office/spreadsheetml/2017/richdata2" ref="AD2:AE158">
    <sortCondition ref="AD2:AD158"/>
    <sortCondition ref="AE2:AE158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  <rowBreaks count="22" manualBreakCount="22">
    <brk id="3" max="16383" man="1"/>
    <brk id="5" max="16383" man="1"/>
    <brk id="7" max="16383" man="1"/>
    <brk id="13" max="16383" man="1"/>
    <brk id="15" max="16383" man="1"/>
    <brk id="17" max="16383" man="1"/>
    <brk id="22" max="16383" man="1"/>
    <brk id="25" max="16383" man="1"/>
    <brk id="31" max="16383" man="1"/>
    <brk id="35" max="16383" man="1"/>
    <brk id="49" max="16383" man="1"/>
    <brk id="72" max="16383" man="1"/>
    <brk id="78" max="16383" man="1"/>
    <brk id="80" max="16383" man="1"/>
    <brk id="98" max="16383" man="1"/>
    <brk id="104" max="16383" man="1"/>
    <brk id="117" max="16383" man="1"/>
    <brk id="124" max="16383" man="1"/>
    <brk id="138" max="16383" man="1"/>
    <brk id="152" max="16383" man="1"/>
    <brk id="154" max="16383" man="1"/>
    <brk id="16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A7" zoomScaleNormal="100" workbookViewId="0">
      <selection sqref="A1:E34"/>
    </sheetView>
  </sheetViews>
  <sheetFormatPr defaultRowHeight="18.75" x14ac:dyDescent="0.4"/>
  <cols>
    <col min="1" max="1" width="13.625" customWidth="1"/>
    <col min="8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210</v>
      </c>
      <c r="B1" s="121" t="s">
        <v>146</v>
      </c>
      <c r="C1" s="121" t="s">
        <v>147</v>
      </c>
      <c r="D1" s="121" t="s">
        <v>148</v>
      </c>
      <c r="N1" t="s">
        <v>143</v>
      </c>
      <c r="O1" t="s">
        <v>144</v>
      </c>
    </row>
    <row r="2" spans="1:32" ht="19.5" x14ac:dyDescent="0.4">
      <c r="A2" s="117">
        <v>45520</v>
      </c>
      <c r="B2" s="123"/>
      <c r="C2" s="123">
        <v>1</v>
      </c>
      <c r="D2" s="123"/>
      <c r="N2" s="25">
        <v>45520</v>
      </c>
      <c r="O2" s="13" t="s">
        <v>147</v>
      </c>
      <c r="AE2" s="127"/>
      <c r="AF2" s="29"/>
    </row>
    <row r="3" spans="1:32" ht="19.5" x14ac:dyDescent="0.4">
      <c r="A3" s="117">
        <v>45522</v>
      </c>
      <c r="B3" s="123"/>
      <c r="C3" s="123">
        <v>1</v>
      </c>
      <c r="D3" s="123"/>
      <c r="M3" s="115" t="s">
        <v>188</v>
      </c>
      <c r="N3" s="13">
        <f>SUBTOTAL(3,N2:N2)</f>
        <v>1</v>
      </c>
      <c r="O3" s="13">
        <f>SUBTOTAL(3,O2:O2)</f>
        <v>1</v>
      </c>
      <c r="AE3" s="127"/>
      <c r="AF3" s="29"/>
    </row>
    <row r="4" spans="1:32" ht="19.5" x14ac:dyDescent="0.4">
      <c r="A4" s="117">
        <v>45530</v>
      </c>
      <c r="B4" s="123"/>
      <c r="C4" s="123">
        <v>1</v>
      </c>
      <c r="D4" s="123">
        <v>1</v>
      </c>
      <c r="L4" s="115"/>
      <c r="M4" s="115"/>
      <c r="N4" s="25">
        <v>45522</v>
      </c>
      <c r="O4" s="13" t="s">
        <v>147</v>
      </c>
      <c r="AE4" s="127"/>
      <c r="AF4" s="29"/>
    </row>
    <row r="5" spans="1:32" ht="19.5" x14ac:dyDescent="0.4">
      <c r="A5" s="117">
        <v>45531</v>
      </c>
      <c r="B5" s="123"/>
      <c r="C5" s="123">
        <v>1</v>
      </c>
      <c r="D5" s="123">
        <v>1</v>
      </c>
      <c r="L5" s="115"/>
      <c r="M5" s="115" t="s">
        <v>191</v>
      </c>
      <c r="N5" s="13">
        <f>SUBTOTAL(3,N4:N4)</f>
        <v>1</v>
      </c>
      <c r="O5" s="13">
        <f>SUBTOTAL(3,O4:O4)</f>
        <v>1</v>
      </c>
      <c r="AE5" s="127"/>
      <c r="AF5" s="29"/>
    </row>
    <row r="6" spans="1:32" ht="19.5" x14ac:dyDescent="0.4">
      <c r="A6" s="117">
        <v>45532</v>
      </c>
      <c r="B6" s="123">
        <v>3</v>
      </c>
      <c r="C6" s="123">
        <v>6</v>
      </c>
      <c r="D6" s="123"/>
      <c r="K6" s="115"/>
      <c r="L6" s="115"/>
      <c r="M6" s="115"/>
      <c r="N6" s="25">
        <v>45530</v>
      </c>
      <c r="O6" s="13" t="s">
        <v>147</v>
      </c>
      <c r="AE6" s="127"/>
      <c r="AF6" s="29"/>
    </row>
    <row r="7" spans="1:32" ht="19.5" x14ac:dyDescent="0.4">
      <c r="A7" s="117">
        <v>45533</v>
      </c>
      <c r="B7" s="123">
        <v>3</v>
      </c>
      <c r="C7" s="123">
        <v>1</v>
      </c>
      <c r="D7" s="123">
        <v>1</v>
      </c>
      <c r="J7" s="115"/>
      <c r="K7" s="115"/>
      <c r="L7" s="115"/>
      <c r="M7" s="115"/>
      <c r="N7" s="25">
        <v>45530</v>
      </c>
      <c r="O7" s="13" t="s">
        <v>148</v>
      </c>
      <c r="AE7" s="127"/>
      <c r="AF7" s="29"/>
    </row>
    <row r="8" spans="1:32" ht="19.5" x14ac:dyDescent="0.4">
      <c r="A8" s="117">
        <v>45534</v>
      </c>
      <c r="B8" s="123"/>
      <c r="C8" s="123">
        <v>2</v>
      </c>
      <c r="D8" s="123"/>
      <c r="J8" s="115"/>
      <c r="K8" s="115"/>
      <c r="L8" s="115"/>
      <c r="M8" s="115" t="s">
        <v>202</v>
      </c>
      <c r="N8" s="13">
        <f>SUBTOTAL(3,N6:N7)</f>
        <v>2</v>
      </c>
      <c r="O8" s="13">
        <f>SUBTOTAL(3,O6:O7)</f>
        <v>2</v>
      </c>
      <c r="AE8" s="127"/>
      <c r="AF8" s="29"/>
    </row>
    <row r="9" spans="1:32" ht="19.5" x14ac:dyDescent="0.4">
      <c r="A9" s="117">
        <v>45535</v>
      </c>
      <c r="B9" s="123"/>
      <c r="C9" s="123">
        <v>1</v>
      </c>
      <c r="D9" s="123"/>
      <c r="J9" s="115"/>
      <c r="K9" s="115"/>
      <c r="L9" s="115"/>
      <c r="M9" s="115"/>
      <c r="N9" s="25">
        <v>45531</v>
      </c>
      <c r="O9" s="13" t="s">
        <v>147</v>
      </c>
      <c r="AE9" s="127"/>
      <c r="AF9" s="29"/>
    </row>
    <row r="10" spans="1:32" ht="19.5" x14ac:dyDescent="0.4">
      <c r="A10" s="117">
        <v>45536</v>
      </c>
      <c r="B10" s="123">
        <v>2</v>
      </c>
      <c r="C10" s="123">
        <v>3</v>
      </c>
      <c r="D10" s="123"/>
      <c r="J10" s="115"/>
      <c r="K10" s="115"/>
      <c r="L10" s="115"/>
      <c r="M10" s="115"/>
      <c r="N10" s="25">
        <v>45531</v>
      </c>
      <c r="O10" s="13" t="s">
        <v>148</v>
      </c>
      <c r="AE10" s="127"/>
      <c r="AF10" s="29"/>
    </row>
    <row r="11" spans="1:32" ht="19.5" x14ac:dyDescent="0.4">
      <c r="A11" s="117">
        <v>45537</v>
      </c>
      <c r="B11" s="123">
        <v>2</v>
      </c>
      <c r="C11" s="123">
        <v>5</v>
      </c>
      <c r="D11" s="123"/>
      <c r="J11" s="115"/>
      <c r="K11" s="115"/>
      <c r="L11" s="115"/>
      <c r="M11" s="115" t="s">
        <v>192</v>
      </c>
      <c r="N11" s="13">
        <f>SUBTOTAL(3,N9:N10)</f>
        <v>2</v>
      </c>
      <c r="O11" s="13">
        <f>SUBTOTAL(3,O9:O10)</f>
        <v>2</v>
      </c>
      <c r="AE11" s="127"/>
      <c r="AF11" s="29"/>
    </row>
    <row r="12" spans="1:32" ht="19.5" x14ac:dyDescent="0.4">
      <c r="A12" s="117">
        <v>45538</v>
      </c>
      <c r="B12" s="123"/>
      <c r="C12" s="123">
        <v>1</v>
      </c>
      <c r="D12" s="123"/>
      <c r="N12" s="25">
        <v>45532</v>
      </c>
      <c r="O12" s="13" t="s">
        <v>147</v>
      </c>
      <c r="AE12" s="127"/>
      <c r="AF12" s="29"/>
    </row>
    <row r="13" spans="1:32" ht="19.5" x14ac:dyDescent="0.4">
      <c r="A13" s="117">
        <v>45539</v>
      </c>
      <c r="B13" s="123">
        <v>9</v>
      </c>
      <c r="C13" s="123">
        <v>1</v>
      </c>
      <c r="D13" s="123">
        <v>2</v>
      </c>
      <c r="L13" s="115"/>
      <c r="M13" s="115"/>
      <c r="N13" s="25">
        <v>45532</v>
      </c>
      <c r="O13" s="13" t="s">
        <v>146</v>
      </c>
      <c r="AE13" s="127"/>
      <c r="AF13" s="29"/>
    </row>
    <row r="14" spans="1:32" ht="19.5" x14ac:dyDescent="0.4">
      <c r="A14" s="117">
        <v>45540</v>
      </c>
      <c r="B14" s="123">
        <v>8</v>
      </c>
      <c r="C14" s="123"/>
      <c r="D14" s="123">
        <v>2</v>
      </c>
      <c r="J14" s="115"/>
      <c r="K14" s="115"/>
      <c r="L14" s="115"/>
      <c r="M14" s="115"/>
      <c r="N14" s="25">
        <v>45532</v>
      </c>
      <c r="O14" s="13" t="s">
        <v>147</v>
      </c>
      <c r="AE14" s="127"/>
      <c r="AF14" s="29"/>
    </row>
    <row r="15" spans="1:32" ht="19.5" x14ac:dyDescent="0.4">
      <c r="A15" s="117">
        <v>45541</v>
      </c>
      <c r="B15" s="123">
        <v>5</v>
      </c>
      <c r="C15" s="123">
        <v>4</v>
      </c>
      <c r="D15" s="123"/>
      <c r="H15" s="115"/>
      <c r="I15" s="115"/>
      <c r="J15" s="115"/>
      <c r="K15" s="115"/>
      <c r="L15" s="115"/>
      <c r="M15" s="115"/>
      <c r="N15" s="25">
        <v>45532</v>
      </c>
      <c r="O15" s="13" t="s">
        <v>147</v>
      </c>
      <c r="AD15" s="115"/>
      <c r="AE15" s="29"/>
      <c r="AF15" s="29"/>
    </row>
    <row r="16" spans="1:32" ht="19.5" x14ac:dyDescent="0.4">
      <c r="A16" s="117">
        <v>45542</v>
      </c>
      <c r="B16" s="123">
        <v>10</v>
      </c>
      <c r="C16" s="123">
        <v>1</v>
      </c>
      <c r="D16" s="123">
        <v>1</v>
      </c>
      <c r="H16" s="115"/>
      <c r="I16" s="115"/>
      <c r="J16" s="115"/>
      <c r="K16" s="115"/>
      <c r="L16" s="115"/>
      <c r="M16" s="115"/>
      <c r="N16" s="25">
        <v>45532</v>
      </c>
      <c r="O16" s="13" t="s">
        <v>147</v>
      </c>
      <c r="AD16" s="115"/>
      <c r="AE16" s="29"/>
      <c r="AF16" s="29"/>
    </row>
    <row r="17" spans="1:32" ht="19.5" x14ac:dyDescent="0.4">
      <c r="A17" s="117">
        <v>45543</v>
      </c>
      <c r="B17" s="123">
        <v>18</v>
      </c>
      <c r="C17" s="123">
        <v>8</v>
      </c>
      <c r="D17" s="123">
        <v>1</v>
      </c>
      <c r="H17" s="115"/>
      <c r="I17" s="115"/>
      <c r="J17" s="115"/>
      <c r="K17" s="115"/>
      <c r="L17" s="115"/>
      <c r="M17" s="115"/>
      <c r="N17" s="25">
        <v>45532</v>
      </c>
      <c r="O17" s="13" t="s">
        <v>146</v>
      </c>
      <c r="AD17" s="115"/>
      <c r="AE17" s="29"/>
      <c r="AF17" s="29"/>
    </row>
    <row r="18" spans="1:32" ht="19.5" x14ac:dyDescent="0.4">
      <c r="A18" s="117">
        <v>45544</v>
      </c>
      <c r="B18" s="123">
        <v>3</v>
      </c>
      <c r="C18" s="123">
        <v>2</v>
      </c>
      <c r="D18" s="123"/>
      <c r="H18" s="115"/>
      <c r="I18" s="115"/>
      <c r="J18" s="115"/>
      <c r="K18" s="115"/>
      <c r="L18" s="115"/>
      <c r="M18" s="115"/>
      <c r="N18" s="25">
        <v>45532</v>
      </c>
      <c r="O18" s="13" t="s">
        <v>147</v>
      </c>
      <c r="AD18" s="115"/>
      <c r="AE18" s="29"/>
      <c r="AF18" s="29"/>
    </row>
    <row r="19" spans="1:32" ht="19.5" x14ac:dyDescent="0.4">
      <c r="A19" s="117">
        <v>45545</v>
      </c>
      <c r="B19" s="123">
        <v>3</v>
      </c>
      <c r="C19" s="123">
        <v>6</v>
      </c>
      <c r="D19" s="123">
        <v>1</v>
      </c>
      <c r="H19" s="115"/>
      <c r="I19" s="115"/>
      <c r="J19" s="115"/>
      <c r="K19" s="115"/>
      <c r="L19" s="115"/>
      <c r="M19" s="115"/>
      <c r="N19" s="25">
        <v>45532</v>
      </c>
      <c r="O19" s="13" t="s">
        <v>146</v>
      </c>
      <c r="AD19" s="115"/>
      <c r="AE19" s="29"/>
      <c r="AF19" s="29"/>
    </row>
    <row r="20" spans="1:32" ht="19.5" x14ac:dyDescent="0.4">
      <c r="A20" s="117">
        <v>45546</v>
      </c>
      <c r="B20" s="123">
        <v>1</v>
      </c>
      <c r="C20" s="123">
        <v>3</v>
      </c>
      <c r="D20" s="123"/>
      <c r="H20" s="115"/>
      <c r="I20" s="115"/>
      <c r="J20" s="115"/>
      <c r="K20" s="115"/>
      <c r="L20" s="115"/>
      <c r="M20" s="115"/>
      <c r="N20" s="25">
        <v>45532</v>
      </c>
      <c r="O20" s="13" t="s">
        <v>147</v>
      </c>
      <c r="AD20" s="115"/>
      <c r="AE20" s="29"/>
      <c r="AF20" s="29"/>
    </row>
    <row r="21" spans="1:32" ht="19.5" x14ac:dyDescent="0.4">
      <c r="A21" s="117">
        <v>45547</v>
      </c>
      <c r="B21" s="123"/>
      <c r="C21" s="123">
        <v>1</v>
      </c>
      <c r="D21" s="123"/>
      <c r="H21" s="115"/>
      <c r="I21" s="115"/>
      <c r="J21" s="115"/>
      <c r="K21" s="115"/>
      <c r="L21" s="115"/>
      <c r="M21" s="115" t="s">
        <v>193</v>
      </c>
      <c r="N21" s="13">
        <f>SUBTOTAL(3,N12:N20)</f>
        <v>9</v>
      </c>
      <c r="O21" s="13">
        <f>SUBTOTAL(3,O12:O20)</f>
        <v>9</v>
      </c>
      <c r="AD21" s="115"/>
      <c r="AE21" s="29"/>
      <c r="AF21" s="29"/>
    </row>
    <row r="22" spans="1:32" ht="19.5" x14ac:dyDescent="0.4">
      <c r="A22" s="117">
        <v>45548</v>
      </c>
      <c r="B22" s="123">
        <v>2</v>
      </c>
      <c r="C22" s="123"/>
      <c r="D22" s="123"/>
      <c r="H22" s="115"/>
      <c r="I22" s="115"/>
      <c r="J22" s="115"/>
      <c r="K22" s="115"/>
      <c r="L22" s="115"/>
      <c r="M22" s="115"/>
      <c r="N22" s="25">
        <v>45533</v>
      </c>
      <c r="O22" s="13" t="s">
        <v>148</v>
      </c>
      <c r="AD22" s="115"/>
      <c r="AE22" s="29"/>
      <c r="AF22" s="29"/>
    </row>
    <row r="23" spans="1:32" ht="19.5" x14ac:dyDescent="0.4">
      <c r="A23" s="117">
        <v>45550</v>
      </c>
      <c r="B23" s="123">
        <v>2</v>
      </c>
      <c r="C23" s="123">
        <v>2</v>
      </c>
      <c r="D23" s="123">
        <v>4</v>
      </c>
      <c r="H23" s="115"/>
      <c r="I23" s="115"/>
      <c r="J23" s="115"/>
      <c r="K23" s="115"/>
      <c r="L23" s="115"/>
      <c r="M23" s="115"/>
      <c r="N23" s="25">
        <v>45533</v>
      </c>
      <c r="O23" s="13" t="s">
        <v>142</v>
      </c>
      <c r="AD23" s="115"/>
      <c r="AE23" s="29"/>
      <c r="AF23" s="29"/>
    </row>
    <row r="24" spans="1:32" ht="19.5" x14ac:dyDescent="0.4">
      <c r="A24" s="117">
        <v>45551</v>
      </c>
      <c r="B24" s="123"/>
      <c r="C24" s="123">
        <v>3</v>
      </c>
      <c r="D24" s="123"/>
      <c r="H24" s="115"/>
      <c r="I24" s="115"/>
      <c r="J24" s="115"/>
      <c r="K24" s="115"/>
      <c r="L24" s="115"/>
      <c r="M24" s="115"/>
      <c r="N24" s="25">
        <v>45533</v>
      </c>
      <c r="O24" s="13" t="s">
        <v>146</v>
      </c>
      <c r="AD24" s="115"/>
      <c r="AE24" s="29"/>
      <c r="AF24" s="29"/>
    </row>
    <row r="25" spans="1:32" ht="19.5" x14ac:dyDescent="0.4">
      <c r="A25" s="117">
        <v>45552</v>
      </c>
      <c r="B25" s="123">
        <v>1</v>
      </c>
      <c r="C25" s="123"/>
      <c r="D25" s="123"/>
      <c r="H25" s="115"/>
      <c r="I25" s="115"/>
      <c r="J25" s="115"/>
      <c r="K25" s="115"/>
      <c r="L25" s="115"/>
      <c r="M25" s="115"/>
      <c r="N25" s="25">
        <v>45533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>
        <v>45553</v>
      </c>
      <c r="B26" s="123">
        <v>7</v>
      </c>
      <c r="C26" s="123">
        <v>4</v>
      </c>
      <c r="D26" s="123">
        <v>1</v>
      </c>
      <c r="H26" s="115"/>
      <c r="I26" s="115"/>
      <c r="J26" s="115"/>
      <c r="K26" s="115"/>
      <c r="L26" s="115"/>
      <c r="M26" s="115"/>
      <c r="N26" s="25">
        <v>45533</v>
      </c>
      <c r="O26" s="13" t="s">
        <v>147</v>
      </c>
      <c r="AC26" s="115"/>
      <c r="AD26" s="115"/>
      <c r="AE26" s="127"/>
      <c r="AF26" s="29"/>
    </row>
    <row r="27" spans="1:32" ht="19.5" x14ac:dyDescent="0.4">
      <c r="A27" s="117">
        <v>45554</v>
      </c>
      <c r="B27" s="123"/>
      <c r="C27" s="123">
        <v>1</v>
      </c>
      <c r="D27" s="123"/>
      <c r="H27" s="115"/>
      <c r="I27" s="115"/>
      <c r="J27" s="115"/>
      <c r="K27" s="115"/>
      <c r="L27" s="115"/>
      <c r="M27" s="115" t="s">
        <v>388</v>
      </c>
      <c r="N27" s="13">
        <f>SUBTOTAL(3,N22:N26)</f>
        <v>5</v>
      </c>
      <c r="O27" s="13">
        <f>SUBTOTAL(3,O22:O26)</f>
        <v>5</v>
      </c>
      <c r="AC27" s="115"/>
      <c r="AD27" s="115"/>
      <c r="AE27" s="127"/>
      <c r="AF27" s="29"/>
    </row>
    <row r="28" spans="1:32" ht="19.5" x14ac:dyDescent="0.4">
      <c r="A28" s="117">
        <v>45560</v>
      </c>
      <c r="B28" s="123">
        <v>4</v>
      </c>
      <c r="C28" s="123"/>
      <c r="D28" s="123"/>
      <c r="H28" s="115"/>
      <c r="I28" s="115"/>
      <c r="J28" s="115"/>
      <c r="K28" s="115"/>
      <c r="L28" s="115"/>
      <c r="M28" s="115"/>
      <c r="N28" s="25">
        <v>45534</v>
      </c>
      <c r="O28" s="13" t="s">
        <v>147</v>
      </c>
      <c r="AC28" s="115"/>
      <c r="AD28" s="115"/>
      <c r="AE28" s="127"/>
      <c r="AF28" s="29"/>
    </row>
    <row r="29" spans="1:32" ht="19.5" x14ac:dyDescent="0.4">
      <c r="A29" s="117">
        <v>45561</v>
      </c>
      <c r="B29" s="123"/>
      <c r="C29" s="123">
        <v>2</v>
      </c>
      <c r="D29" s="123"/>
      <c r="H29" s="115"/>
      <c r="I29" s="115"/>
      <c r="J29" s="115"/>
      <c r="K29" s="115"/>
      <c r="L29" s="115"/>
      <c r="M29" s="115"/>
      <c r="N29" s="25">
        <v>45534</v>
      </c>
      <c r="O29" s="13" t="s">
        <v>147</v>
      </c>
      <c r="AC29" s="115"/>
      <c r="AD29" s="115"/>
      <c r="AE29" s="127"/>
      <c r="AF29" s="29"/>
    </row>
    <row r="30" spans="1:32" ht="19.5" x14ac:dyDescent="0.4">
      <c r="A30" s="117">
        <v>45562</v>
      </c>
      <c r="B30" s="123">
        <v>1</v>
      </c>
      <c r="C30" s="123"/>
      <c r="D30" s="123"/>
      <c r="H30" s="115"/>
      <c r="I30" s="115"/>
      <c r="J30" s="115"/>
      <c r="K30" s="115"/>
      <c r="L30" s="115"/>
      <c r="M30" s="115" t="s">
        <v>203</v>
      </c>
      <c r="N30" s="13">
        <f>SUBTOTAL(3,N28:N29)</f>
        <v>2</v>
      </c>
      <c r="O30" s="13">
        <f>SUBTOTAL(3,O28:O29)</f>
        <v>2</v>
      </c>
      <c r="AC30" s="115"/>
      <c r="AD30" s="115"/>
      <c r="AE30" s="127"/>
      <c r="AF30" s="29"/>
    </row>
    <row r="31" spans="1:32" ht="19.5" x14ac:dyDescent="0.4">
      <c r="A31" s="117">
        <v>45563</v>
      </c>
      <c r="B31" s="123">
        <v>4</v>
      </c>
      <c r="C31" s="123"/>
      <c r="D31" s="123"/>
      <c r="H31" s="115"/>
      <c r="I31" s="115"/>
      <c r="J31" s="115"/>
      <c r="K31" s="115"/>
      <c r="L31" s="115"/>
      <c r="M31" s="115"/>
      <c r="N31" s="25">
        <v>45535</v>
      </c>
      <c r="O31" s="13" t="s">
        <v>147</v>
      </c>
      <c r="AC31" s="115"/>
      <c r="AD31" s="115"/>
      <c r="AE31" s="29"/>
      <c r="AF31" s="29"/>
    </row>
    <row r="32" spans="1:32" ht="19.5" x14ac:dyDescent="0.4">
      <c r="A32" s="117"/>
      <c r="B32" s="123">
        <f>SUM(B2:B31)</f>
        <v>88</v>
      </c>
      <c r="C32" s="123">
        <f>SUM(C2:C31)</f>
        <v>61</v>
      </c>
      <c r="D32" s="123">
        <f>SUM(D2:D31)</f>
        <v>15</v>
      </c>
      <c r="H32" s="115"/>
      <c r="I32" s="115"/>
      <c r="J32" s="115"/>
      <c r="K32" s="115"/>
      <c r="L32" s="115"/>
      <c r="M32" s="115" t="s">
        <v>204</v>
      </c>
      <c r="N32" s="13">
        <f>SUBTOTAL(3,N31:N31)</f>
        <v>1</v>
      </c>
      <c r="O32" s="13">
        <f>SUBTOTAL(3,O31:O31)</f>
        <v>1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>
        <f>SUM(B32:D32)</f>
        <v>164</v>
      </c>
      <c r="H33" s="115"/>
      <c r="I33" s="115"/>
      <c r="J33" s="115"/>
      <c r="K33" s="115"/>
      <c r="L33" s="115"/>
      <c r="M33" s="115"/>
      <c r="N33" s="25">
        <v>45536</v>
      </c>
      <c r="O33" s="13" t="s">
        <v>146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45536</v>
      </c>
      <c r="O34" s="13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45536</v>
      </c>
      <c r="O35" s="13" t="s">
        <v>147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45536</v>
      </c>
      <c r="O36" s="13" t="s">
        <v>147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45536</v>
      </c>
      <c r="O37" s="13" t="s">
        <v>147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 t="s">
        <v>205</v>
      </c>
      <c r="N38" s="13">
        <f>SUBTOTAL(3,N33:N37)</f>
        <v>5</v>
      </c>
      <c r="O38" s="13">
        <f>SUBTOTAL(3,O33:O37)</f>
        <v>5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45537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45537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45537</v>
      </c>
      <c r="O41" s="15" t="s">
        <v>146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45537</v>
      </c>
      <c r="O42" s="15" t="s">
        <v>147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45537</v>
      </c>
      <c r="O43" s="2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45537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45537</v>
      </c>
      <c r="O45" s="15" t="s">
        <v>147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 t="s">
        <v>206</v>
      </c>
      <c r="N46" s="13">
        <f>SUBTOTAL(3,N39:N45)</f>
        <v>7</v>
      </c>
      <c r="O46" s="15">
        <f>SUBTOTAL(3,O39:O45)</f>
        <v>7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45538</v>
      </c>
      <c r="O47" s="15" t="s">
        <v>147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 t="s">
        <v>207</v>
      </c>
      <c r="N48" s="13">
        <f>SUBTOTAL(3,N47:N47)</f>
        <v>1</v>
      </c>
      <c r="O48" s="15">
        <f>SUBTOTAL(3,O47:O47)</f>
        <v>1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45539</v>
      </c>
      <c r="O49" s="15" t="s">
        <v>146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45539</v>
      </c>
      <c r="O50" s="15" t="s">
        <v>146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45539</v>
      </c>
      <c r="O51" s="15" t="s">
        <v>146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45539</v>
      </c>
      <c r="O52" s="15" t="s">
        <v>148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45539</v>
      </c>
      <c r="O53" s="15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45539</v>
      </c>
      <c r="O54" s="15" t="s">
        <v>148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45539</v>
      </c>
      <c r="O55" s="15" t="s">
        <v>146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45539</v>
      </c>
      <c r="O56" s="15" t="s">
        <v>147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45539</v>
      </c>
      <c r="O57" s="15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45539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45539</v>
      </c>
      <c r="O59" s="13" t="s">
        <v>146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45539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 t="s">
        <v>194</v>
      </c>
      <c r="N61" s="13">
        <f>SUBTOTAL(3,N49:N60)</f>
        <v>12</v>
      </c>
      <c r="O61" s="13">
        <f>SUBTOTAL(3,O49:O60)</f>
        <v>12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45540</v>
      </c>
      <c r="O62" s="13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45540</v>
      </c>
      <c r="O63" s="13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45540</v>
      </c>
      <c r="O64" s="13" t="s">
        <v>148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45540</v>
      </c>
      <c r="O65" s="13" t="s">
        <v>146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45540</v>
      </c>
      <c r="O66" s="13" t="s">
        <v>146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45540</v>
      </c>
      <c r="O67" s="13" t="s">
        <v>148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45540</v>
      </c>
      <c r="O68" s="13" t="s">
        <v>146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45540</v>
      </c>
      <c r="O69" s="13" t="s">
        <v>146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45540</v>
      </c>
      <c r="O70" s="13" t="s">
        <v>146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45540</v>
      </c>
      <c r="O71" s="13" t="s">
        <v>146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 t="s">
        <v>389</v>
      </c>
      <c r="N72" s="13">
        <f>SUBTOTAL(3,N62:N71)</f>
        <v>10</v>
      </c>
      <c r="O72" s="13">
        <f>SUBTOTAL(3,O62:O71)</f>
        <v>10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45541</v>
      </c>
      <c r="O73" s="13" t="s">
        <v>147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45541</v>
      </c>
      <c r="O74" s="13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45541</v>
      </c>
      <c r="O75" s="13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45541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45541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45541</v>
      </c>
      <c r="O78" s="1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45541</v>
      </c>
      <c r="O79" s="15" t="s">
        <v>147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45541</v>
      </c>
      <c r="O80" s="15" t="s">
        <v>147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45541</v>
      </c>
      <c r="O81" s="15" t="s">
        <v>147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 t="s">
        <v>390</v>
      </c>
      <c r="N82" s="13">
        <f>SUBTOTAL(3,N73:N81)</f>
        <v>9</v>
      </c>
      <c r="O82" s="15">
        <f>SUBTOTAL(3,O73:O81)</f>
        <v>9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45542</v>
      </c>
      <c r="O83" s="15" t="s">
        <v>146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45542</v>
      </c>
      <c r="O84" s="15" t="s">
        <v>146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45542</v>
      </c>
      <c r="O85" s="15" t="s">
        <v>146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45542</v>
      </c>
      <c r="O86" s="15" t="s">
        <v>146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45542</v>
      </c>
      <c r="O87" s="15" t="s">
        <v>146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45542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45542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45542</v>
      </c>
      <c r="O90" s="15" t="s">
        <v>146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45542</v>
      </c>
      <c r="O91" s="15" t="s">
        <v>146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45542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45542</v>
      </c>
      <c r="O93" s="13" t="s">
        <v>148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45542</v>
      </c>
      <c r="O94" s="13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 t="s">
        <v>391</v>
      </c>
      <c r="N95" s="13">
        <f>SUBTOTAL(3,N83:N94)</f>
        <v>12</v>
      </c>
      <c r="O95" s="13">
        <f>SUBTOTAL(3,O83:O94)</f>
        <v>12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45543</v>
      </c>
      <c r="O96" s="13" t="s">
        <v>146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45543</v>
      </c>
      <c r="O97" s="13" t="s">
        <v>146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45543</v>
      </c>
      <c r="O98" s="13" t="s">
        <v>146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45543</v>
      </c>
      <c r="O99" s="13" t="s">
        <v>146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45543</v>
      </c>
      <c r="O100" s="15" t="s">
        <v>146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45543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45543</v>
      </c>
      <c r="O102" s="15" t="s">
        <v>142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45543</v>
      </c>
      <c r="O103" s="15" t="s">
        <v>146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45543</v>
      </c>
      <c r="O104" s="15" t="s">
        <v>147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45543</v>
      </c>
      <c r="O105" s="15" t="s">
        <v>147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45543</v>
      </c>
      <c r="O106" s="15" t="s">
        <v>147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5">
        <v>45543</v>
      </c>
      <c r="O107" s="15" t="s">
        <v>147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5">
        <v>45543</v>
      </c>
      <c r="O108" s="105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5">
        <v>45543</v>
      </c>
      <c r="O109" s="105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5">
        <v>45543</v>
      </c>
      <c r="O110" s="15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5">
        <v>45543</v>
      </c>
      <c r="O111" s="15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5">
        <v>45543</v>
      </c>
      <c r="O112" s="15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5">
        <v>45543</v>
      </c>
      <c r="O113" s="15" t="s">
        <v>147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5">
        <v>45543</v>
      </c>
      <c r="O114" s="15" t="s">
        <v>148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>
        <v>45543</v>
      </c>
      <c r="O115" s="15" t="s">
        <v>146</v>
      </c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>
        <v>45543</v>
      </c>
      <c r="O116" s="13" t="s">
        <v>146</v>
      </c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>
        <v>45543</v>
      </c>
      <c r="O117" s="13" t="s">
        <v>146</v>
      </c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>
        <v>45543</v>
      </c>
      <c r="O118" s="13" t="s">
        <v>146</v>
      </c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>
        <v>45543</v>
      </c>
      <c r="O119" s="13" t="s">
        <v>146</v>
      </c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>
        <v>45543</v>
      </c>
      <c r="O120" s="13" t="s">
        <v>147</v>
      </c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>
        <v>45543</v>
      </c>
      <c r="O121" s="13" t="s">
        <v>147</v>
      </c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>
        <v>45543</v>
      </c>
      <c r="O122" s="13" t="s">
        <v>147</v>
      </c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 t="s">
        <v>208</v>
      </c>
      <c r="N123" s="17">
        <f>SUBTOTAL(3,N96:N122)</f>
        <v>27</v>
      </c>
      <c r="O123" s="13">
        <f>SUBTOTAL(3,O96:O122)</f>
        <v>27</v>
      </c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>
        <v>45544</v>
      </c>
      <c r="O124" s="13" t="s">
        <v>146</v>
      </c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>
        <v>45544</v>
      </c>
      <c r="O125" s="13" t="s">
        <v>146</v>
      </c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>
        <v>45544</v>
      </c>
      <c r="O126" s="13" t="s">
        <v>146</v>
      </c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>
        <v>45544</v>
      </c>
      <c r="O127" s="13" t="s">
        <v>146</v>
      </c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>
        <v>45544</v>
      </c>
      <c r="O128" s="13" t="s">
        <v>147</v>
      </c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>
        <v>45544</v>
      </c>
      <c r="O129" s="13" t="s">
        <v>147</v>
      </c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 t="s">
        <v>392</v>
      </c>
      <c r="N130" s="17">
        <f>SUBTOTAL(3,N124:N129)</f>
        <v>6</v>
      </c>
      <c r="O130" s="13">
        <f>SUBTOTAL(3,O124:O129)</f>
        <v>6</v>
      </c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>
        <v>45545</v>
      </c>
      <c r="O131" s="13" t="s">
        <v>146</v>
      </c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>
        <v>45545</v>
      </c>
      <c r="O132" s="13" t="s">
        <v>148</v>
      </c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>
        <v>45545</v>
      </c>
      <c r="O133" s="13" t="s">
        <v>146</v>
      </c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>
        <v>45545</v>
      </c>
      <c r="O134" s="13" t="s">
        <v>147</v>
      </c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>
        <v>45545</v>
      </c>
      <c r="O135" s="13" t="s">
        <v>147</v>
      </c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>
        <v>45545</v>
      </c>
      <c r="O136" s="13" t="s">
        <v>147</v>
      </c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>
        <v>45545</v>
      </c>
      <c r="O137" s="13" t="s">
        <v>147</v>
      </c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>
        <v>45545</v>
      </c>
      <c r="O138" s="13" t="s">
        <v>147</v>
      </c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>
        <v>45545</v>
      </c>
      <c r="O139" s="13" t="s">
        <v>147</v>
      </c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>
        <v>45545</v>
      </c>
      <c r="O140" s="13" t="s">
        <v>146</v>
      </c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 t="s">
        <v>209</v>
      </c>
      <c r="N141" s="17">
        <f>SUBTOTAL(3,N131:N140)</f>
        <v>10</v>
      </c>
      <c r="O141" s="13">
        <f>SUBTOTAL(3,O131:O140)</f>
        <v>10</v>
      </c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>
        <v>45546</v>
      </c>
      <c r="O142" s="13" t="s">
        <v>146</v>
      </c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>
        <v>45546</v>
      </c>
      <c r="O143" s="13" t="s">
        <v>147</v>
      </c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>
        <v>45546</v>
      </c>
      <c r="O144" s="13" t="s">
        <v>147</v>
      </c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>
        <v>45546</v>
      </c>
      <c r="O145" s="13" t="s">
        <v>147</v>
      </c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 t="s">
        <v>393</v>
      </c>
      <c r="N146" s="17">
        <f>SUBTOTAL(3,N142:N145)</f>
        <v>4</v>
      </c>
      <c r="O146" s="13">
        <f>SUBTOTAL(3,O142:O145)</f>
        <v>4</v>
      </c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>
        <v>45547</v>
      </c>
      <c r="O147" s="13" t="s">
        <v>147</v>
      </c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 t="s">
        <v>394</v>
      </c>
      <c r="N148" s="17">
        <f>SUBTOTAL(3,N147:N147)</f>
        <v>1</v>
      </c>
      <c r="O148" s="13">
        <f>SUBTOTAL(3,O147:O147)</f>
        <v>1</v>
      </c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>
        <v>45548</v>
      </c>
      <c r="O149" s="13" t="s">
        <v>146</v>
      </c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>
        <v>45548</v>
      </c>
      <c r="O150" s="13" t="s">
        <v>146</v>
      </c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 t="s">
        <v>395</v>
      </c>
      <c r="N151" s="17">
        <f>SUBTOTAL(3,N149:N150)</f>
        <v>2</v>
      </c>
      <c r="O151" s="13">
        <f>SUBTOTAL(3,O149:O150)</f>
        <v>2</v>
      </c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>
        <v>45550</v>
      </c>
      <c r="O152" s="13" t="s">
        <v>147</v>
      </c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>
        <v>45550</v>
      </c>
      <c r="O153" s="13" t="s">
        <v>148</v>
      </c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>
        <v>45550</v>
      </c>
      <c r="O154" s="13" t="s">
        <v>148</v>
      </c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>
        <v>45550</v>
      </c>
      <c r="O155" s="13" t="s">
        <v>148</v>
      </c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>
        <v>45550</v>
      </c>
      <c r="O156" s="13" t="s">
        <v>148</v>
      </c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>
        <v>45550</v>
      </c>
      <c r="O157" s="13" t="s">
        <v>147</v>
      </c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>
        <v>45550</v>
      </c>
      <c r="O158" s="13" t="s">
        <v>146</v>
      </c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>
        <v>45550</v>
      </c>
      <c r="O159" s="13" t="s">
        <v>146</v>
      </c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 t="s">
        <v>396</v>
      </c>
      <c r="N160" s="17">
        <f>SUBTOTAL(3,N152:N159)</f>
        <v>8</v>
      </c>
      <c r="O160" s="13">
        <f>SUBTOTAL(3,O152:O159)</f>
        <v>8</v>
      </c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>
        <v>45551</v>
      </c>
      <c r="O161" s="13" t="s">
        <v>147</v>
      </c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>
        <v>45551</v>
      </c>
      <c r="O162" s="13" t="s">
        <v>147</v>
      </c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>
        <v>45551</v>
      </c>
      <c r="O163" s="13" t="s">
        <v>147</v>
      </c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 t="s">
        <v>397</v>
      </c>
      <c r="N164" s="17">
        <f>SUBTOTAL(3,N161:N163)</f>
        <v>3</v>
      </c>
      <c r="O164" s="13">
        <f>SUBTOTAL(3,O161:O163)</f>
        <v>3</v>
      </c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>
        <v>45552</v>
      </c>
      <c r="O165" s="13" t="s">
        <v>146</v>
      </c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 t="s">
        <v>398</v>
      </c>
      <c r="N166" s="17">
        <f>SUBTOTAL(3,N165:N165)</f>
        <v>1</v>
      </c>
      <c r="O166" s="13">
        <f>SUBTOTAL(3,O165:O165)</f>
        <v>1</v>
      </c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>
        <v>45553</v>
      </c>
      <c r="O167" s="13" t="s">
        <v>147</v>
      </c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>
        <v>45553</v>
      </c>
      <c r="O168" s="25" t="s">
        <v>147</v>
      </c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>
        <v>45553</v>
      </c>
      <c r="O169" s="25" t="s">
        <v>147</v>
      </c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>
        <v>45553</v>
      </c>
      <c r="O170" s="15" t="s">
        <v>147</v>
      </c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>
        <v>45553</v>
      </c>
      <c r="O171" s="15" t="s">
        <v>146</v>
      </c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>
        <v>45553</v>
      </c>
      <c r="O172" s="15" t="s">
        <v>146</v>
      </c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>
        <v>45553</v>
      </c>
      <c r="O173" s="15" t="s">
        <v>146</v>
      </c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>
        <v>45553</v>
      </c>
      <c r="O174" s="15" t="s">
        <v>146</v>
      </c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>
        <v>45553</v>
      </c>
      <c r="O175" s="15" t="s">
        <v>146</v>
      </c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>
        <v>45553</v>
      </c>
      <c r="O176" s="15" t="s">
        <v>146</v>
      </c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>
        <v>45553</v>
      </c>
      <c r="O177" s="15" t="s">
        <v>146</v>
      </c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>
        <v>45553</v>
      </c>
      <c r="O178" s="15" t="s">
        <v>148</v>
      </c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 t="s">
        <v>399</v>
      </c>
      <c r="N179" s="17">
        <f>SUBTOTAL(3,N167:N178)</f>
        <v>12</v>
      </c>
      <c r="O179" s="15">
        <f>SUBTOTAL(3,O167:O178)</f>
        <v>12</v>
      </c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>
        <v>45554</v>
      </c>
      <c r="O180" s="15" t="s">
        <v>147</v>
      </c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 t="s">
        <v>400</v>
      </c>
      <c r="N181" s="17">
        <f>SUBTOTAL(3,N180:N180)</f>
        <v>1</v>
      </c>
      <c r="O181" s="15">
        <f>SUBTOTAL(3,O180:O180)</f>
        <v>1</v>
      </c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>
        <v>45560</v>
      </c>
      <c r="O182" s="15" t="s">
        <v>146</v>
      </c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>
        <v>45560</v>
      </c>
      <c r="O183" s="15" t="s">
        <v>146</v>
      </c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>
        <v>45560</v>
      </c>
      <c r="O184" s="15" t="s">
        <v>146</v>
      </c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>
        <v>45560</v>
      </c>
      <c r="O185" s="15" t="s">
        <v>146</v>
      </c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 t="s">
        <v>401</v>
      </c>
      <c r="N186" s="17">
        <f>SUBTOTAL(3,N182:N185)</f>
        <v>4</v>
      </c>
      <c r="O186" s="15">
        <f>SUBTOTAL(3,O182:O185)</f>
        <v>4</v>
      </c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>
        <v>45561</v>
      </c>
      <c r="O187" s="15" t="s">
        <v>147</v>
      </c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 t="s">
        <v>402</v>
      </c>
      <c r="N188" s="17">
        <f>SUBTOTAL(3,N187:N187)</f>
        <v>1</v>
      </c>
      <c r="O188" s="15">
        <f>SUBTOTAL(3,O187:O187)</f>
        <v>1</v>
      </c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>
        <v>45562</v>
      </c>
      <c r="O189" s="15" t="s">
        <v>146</v>
      </c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 t="s">
        <v>403</v>
      </c>
      <c r="N190" s="17">
        <f>SUBTOTAL(3,N189:N189)</f>
        <v>1</v>
      </c>
      <c r="O190" s="15">
        <f>SUBTOTAL(3,O189:O189)</f>
        <v>1</v>
      </c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>
        <v>45563</v>
      </c>
      <c r="O191" s="15" t="s">
        <v>142</v>
      </c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>
        <v>45563</v>
      </c>
      <c r="O192" s="105" t="s">
        <v>146</v>
      </c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>
        <v>45563</v>
      </c>
      <c r="O193" s="105" t="s">
        <v>146</v>
      </c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>
        <v>45563</v>
      </c>
      <c r="O194" s="15" t="s">
        <v>146</v>
      </c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 t="s">
        <v>404</v>
      </c>
      <c r="N195" s="17">
        <f>SUBTOTAL(3,N191:N194)</f>
        <v>4</v>
      </c>
      <c r="O195" s="13">
        <f>SUBTOTAL(3,O191:O194)</f>
        <v>4</v>
      </c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 t="s">
        <v>145</v>
      </c>
      <c r="N196" s="17">
        <f>SUBTOTAL(3,N2:N194)</f>
        <v>164</v>
      </c>
      <c r="O196" s="13">
        <f>SUBTOTAL(3,O2:O194)</f>
        <v>164</v>
      </c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2024-08-06T07:11:53Z</cp:lastPrinted>
  <dcterms:created xsi:type="dcterms:W3CDTF">2020-05-08T06:29:04Z</dcterms:created>
  <dcterms:modified xsi:type="dcterms:W3CDTF">2024-08-07T00:55:30Z</dcterms:modified>
</cp:coreProperties>
</file>