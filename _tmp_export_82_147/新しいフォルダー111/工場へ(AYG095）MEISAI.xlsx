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CEAE8B1F-0B79-47E1-A726-007271EC36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3" i="3"/>
  <c r="C23" i="3"/>
  <c r="B23" i="3"/>
  <c r="P118" i="3"/>
  <c r="O118" i="3"/>
  <c r="P116" i="3"/>
  <c r="O116" i="3"/>
  <c r="P107" i="3"/>
  <c r="O107" i="3"/>
  <c r="P102" i="3"/>
  <c r="O102" i="3"/>
  <c r="P98" i="3"/>
  <c r="O98" i="3"/>
  <c r="P96" i="3"/>
  <c r="O96" i="3"/>
  <c r="P86" i="3"/>
  <c r="O86" i="3"/>
  <c r="P80" i="3"/>
  <c r="O80" i="3"/>
  <c r="P72" i="3"/>
  <c r="O72" i="3"/>
  <c r="P65" i="3"/>
  <c r="O65" i="3"/>
  <c r="P56" i="3"/>
  <c r="O56" i="3"/>
  <c r="P38" i="3"/>
  <c r="O38" i="3"/>
  <c r="P30" i="3"/>
  <c r="O30" i="3"/>
  <c r="P26" i="3"/>
  <c r="O26" i="3"/>
  <c r="P16" i="3"/>
  <c r="O16" i="3"/>
  <c r="P14" i="3"/>
  <c r="O14" i="3"/>
  <c r="P9" i="3"/>
  <c r="O9" i="3"/>
  <c r="P7" i="3"/>
  <c r="O7" i="3"/>
  <c r="P5" i="3"/>
  <c r="O5" i="3"/>
  <c r="P3" i="3"/>
  <c r="P119" i="3" s="1"/>
  <c r="O3" i="3"/>
  <c r="O119" i="3" s="1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N400" i="3"/>
  <c r="AM400" i="3"/>
  <c r="AN395" i="3"/>
  <c r="AM395" i="3"/>
  <c r="AN393" i="3"/>
  <c r="AM393" i="3"/>
  <c r="AN379" i="3"/>
  <c r="AM379" i="3"/>
  <c r="AN361" i="3"/>
  <c r="AM361" i="3"/>
  <c r="AN350" i="3"/>
  <c r="AM350" i="3"/>
  <c r="AN316" i="3"/>
  <c r="AM316" i="3"/>
  <c r="AN303" i="3"/>
  <c r="AM303" i="3"/>
  <c r="AN265" i="3"/>
  <c r="AM265" i="3"/>
  <c r="AN256" i="3"/>
  <c r="AM256" i="3"/>
  <c r="AN242" i="3"/>
  <c r="AM242" i="3"/>
  <c r="AN209" i="3"/>
  <c r="AM209" i="3"/>
  <c r="AN156" i="3"/>
  <c r="AM156" i="3"/>
  <c r="AN144" i="3"/>
  <c r="AM144" i="3"/>
  <c r="AN125" i="3"/>
  <c r="AM125" i="3"/>
  <c r="AN117" i="3"/>
  <c r="AM117" i="3"/>
  <c r="AN105" i="3"/>
  <c r="AM105" i="3"/>
  <c r="AN97" i="3"/>
  <c r="AM97" i="3"/>
  <c r="AN84" i="3"/>
  <c r="AM84" i="3"/>
  <c r="AN75" i="3"/>
  <c r="AM75" i="3"/>
  <c r="AN69" i="3"/>
  <c r="AM69" i="3"/>
  <c r="AN42" i="3"/>
  <c r="AM42" i="3"/>
  <c r="B61" i="1"/>
  <c r="A241" i="1"/>
  <c r="A151" i="1"/>
  <c r="AB43" i="1"/>
  <c r="AM401" i="3" l="1"/>
  <c r="AN401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<sst xmlns="http://schemas.openxmlformats.org/spreadsheetml/2006/main" count="2203" uniqueCount="370">
  <si>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</si>
  <si>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</si>
  <si>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</si>
  <si>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</si>
  <si>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</si>
  <si>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</si>
  <si>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</si>
  <si>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</si>
  <si>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</si>
  <si>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</si>
  <si>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</si>
  <si>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</si>
  <si>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</si>
  <si>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</si>
  <si>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</si>
  <si>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</si>
  <si>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</si>
  <si>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</si>
  <si>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</si>
  <si>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</si>
  <si>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</si>
  <si>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</si>
  <si>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</si>
  <si>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</si>
  <si>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</si>
  <si>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</si>
  <si>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</si>
  <si>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</si>
  <si>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</si>
  <si>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</si>
  <si>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</si>
  <si>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</si>
  <si>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</si>
  <si>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</si>
  <si>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</si>
  <si>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</si>
  <si>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</si>
  <si>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</si>
  <si>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</si>
  <si>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</si>
  <si>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</si>
  <si>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</si>
  <si>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</si>
  <si>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</si>
  <si>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</si>
  <si>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</si>
  <si>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</si>
  <si>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</si>
  <si>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</si>
  <si>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</si>
  <si>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</si>
  <si>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</si>
  <si>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</si>
  <si>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</si>
  <si>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</si>
  <si>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</si>
  <si>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</si>
  <si>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</si>
  <si>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</si>
  <si>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</si>
  <si>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</si>
  <si>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</si>
  <si>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</si>
  <si>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</si>
  <si>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</si>
  <si>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</si>
  <si>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</si>
  <si>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</si>
  <si>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</si>
  <si>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</si>
  <si>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</si>
  <si>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</si>
  <si>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</si>
  <si>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</si>
  <si>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</si>
  <si>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</si>
  <si>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</si>
  <si>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</si>
  <si>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</si>
  <si>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</si>
  <si>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</si>
  <si>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</si>
  <si>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</si>
  <si>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</si>
  <si>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</si>
  <si>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</si>
  <si>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</si>
  <si>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</si>
  <si>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</si>
  <si>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</si>
  <si>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</si>
  <si>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</si>
  <si>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</si>
  <si>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</si>
  <si>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</si>
  <si>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</si>
  <si>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</si>
  <si>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</si>
  <si>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</si>
  <si>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</si>
  <si>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</si>
  <si>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</si>
  <si>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</si>
  <si>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</si>
  <si>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</si>
  <si>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</si>
  <si>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</si>
  <si>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</si>
  <si>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</si>
  <si>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</si>
  <si>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</si>
  <si>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</si>
  <si>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</si>
  <si>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</si>
  <si>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</si>
  <si>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</si>
  <si>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</si>
  <si>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</si>
  <si>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</si>
  <si>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</si>
  <si>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</si>
  <si>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</si>
  <si>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</si>
  <si>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</si>
  <si>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</si>
  <si>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</si>
  <si>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</si>
  <si>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</si>
  <si>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</si>
  <si>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</si>
  <si>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</si>
  <si>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</si>
  <si>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</si>
  <si>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</si>
  <si>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</si>
  <si>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</si>
  <si>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</si>
  <si>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</si>
  <si>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</si>
  <si>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</si>
  <si>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</si>
  <si>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</si>
  <si>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</si>
  <si>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</si>
  <si>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</si>
  <si>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</si>
  <si>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</si>
  <si>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</si>
  <si>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</si>
  <si>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</si>
  <si>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</si>
  <si>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</si>
  <si>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</si>
  <si>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</si>
  <si>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</si>
  <si>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</si>
  <si>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</si>
  <si>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</si>
  <si>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</si>
  <si>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</si>
  <si>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</si>
  <si>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</si>
  <si>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</si>
  <si>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</si>
  <si>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</si>
  <si>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</si>
  <si>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</si>
  <si>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</si>
  <si>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</si>
  <si>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</si>
  <si>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</si>
  <si>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</si>
  <si>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</si>
  <si>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</si>
  <si>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</si>
  <si>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</si>
  <si>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</si>
  <si>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2024/12/16 個数</t>
  </si>
  <si>
    <t>2024/12/18 個数</t>
  </si>
  <si>
    <t>2024/12/21 個数</t>
  </si>
  <si>
    <t>2024/12/23 個数</t>
  </si>
  <si>
    <t>2024/12/26 個数</t>
  </si>
  <si>
    <t>2024/12/22 個数</t>
  </si>
  <si>
    <t>2024/12/24 個数</t>
  </si>
  <si>
    <t>2024/12/25 個数</t>
  </si>
  <si>
    <t>AYG095</t>
    <phoneticPr fontId="1"/>
  </si>
  <si>
    <t>06110130</t>
    <phoneticPr fontId="1"/>
  </si>
  <si>
    <t>M032</t>
    <phoneticPr fontId="1"/>
  </si>
  <si>
    <t>HM</t>
    <phoneticPr fontId="1"/>
  </si>
  <si>
    <t>S</t>
    <phoneticPr fontId="1"/>
  </si>
  <si>
    <t>R</t>
    <phoneticPr fontId="1"/>
  </si>
  <si>
    <t>06100628</t>
    <phoneticPr fontId="1"/>
  </si>
  <si>
    <t>M078</t>
    <phoneticPr fontId="1"/>
  </si>
  <si>
    <t>06110312</t>
    <phoneticPr fontId="1"/>
  </si>
  <si>
    <t>M037</t>
    <phoneticPr fontId="1"/>
  </si>
  <si>
    <t>K</t>
    <phoneticPr fontId="1"/>
  </si>
  <si>
    <t>06110348</t>
    <phoneticPr fontId="1"/>
  </si>
  <si>
    <t>M074</t>
    <phoneticPr fontId="1"/>
  </si>
  <si>
    <t>CO</t>
    <phoneticPr fontId="1"/>
  </si>
  <si>
    <t>06110351</t>
    <phoneticPr fontId="1"/>
  </si>
  <si>
    <t>HA</t>
    <phoneticPr fontId="1"/>
  </si>
  <si>
    <t>06110355</t>
    <phoneticPr fontId="1"/>
  </si>
  <si>
    <t>A913</t>
    <phoneticPr fontId="1"/>
  </si>
  <si>
    <t>TM</t>
    <phoneticPr fontId="1"/>
  </si>
  <si>
    <t>06110384</t>
    <phoneticPr fontId="1"/>
  </si>
  <si>
    <t>06110406</t>
    <phoneticPr fontId="1"/>
  </si>
  <si>
    <t>NA</t>
    <phoneticPr fontId="1"/>
  </si>
  <si>
    <t>06110407</t>
    <phoneticPr fontId="1"/>
  </si>
  <si>
    <t>M070</t>
    <phoneticPr fontId="1"/>
  </si>
  <si>
    <t>MK</t>
    <phoneticPr fontId="1"/>
  </si>
  <si>
    <t>06110414</t>
    <phoneticPr fontId="1"/>
  </si>
  <si>
    <t>M079</t>
    <phoneticPr fontId="1"/>
  </si>
  <si>
    <t>KM</t>
    <phoneticPr fontId="1"/>
  </si>
  <si>
    <t>06110415</t>
    <phoneticPr fontId="1"/>
  </si>
  <si>
    <t>06110433</t>
    <phoneticPr fontId="1"/>
  </si>
  <si>
    <t>A505</t>
    <phoneticPr fontId="1"/>
  </si>
  <si>
    <t>06110437</t>
    <phoneticPr fontId="1"/>
  </si>
  <si>
    <t>06110438</t>
    <phoneticPr fontId="1"/>
  </si>
  <si>
    <t>06110440</t>
    <phoneticPr fontId="1"/>
  </si>
  <si>
    <t>06110416</t>
    <phoneticPr fontId="1"/>
  </si>
  <si>
    <t>A700</t>
    <phoneticPr fontId="1"/>
  </si>
  <si>
    <t>E</t>
    <phoneticPr fontId="1"/>
  </si>
  <si>
    <t>06110417</t>
    <phoneticPr fontId="1"/>
  </si>
  <si>
    <t>06110418</t>
    <phoneticPr fontId="1"/>
  </si>
  <si>
    <t>06110419</t>
    <phoneticPr fontId="1"/>
  </si>
  <si>
    <t>06110261</t>
    <phoneticPr fontId="1"/>
  </si>
  <si>
    <t>06110349</t>
    <phoneticPr fontId="1"/>
  </si>
  <si>
    <t>06110434</t>
    <phoneticPr fontId="1"/>
  </si>
  <si>
    <t>06110455</t>
    <phoneticPr fontId="1"/>
  </si>
  <si>
    <t>A330</t>
    <phoneticPr fontId="1"/>
  </si>
  <si>
    <t>06110456</t>
    <phoneticPr fontId="1"/>
  </si>
  <si>
    <t>UC</t>
    <phoneticPr fontId="1"/>
  </si>
  <si>
    <t>06110457</t>
    <phoneticPr fontId="1"/>
  </si>
  <si>
    <t>06110458</t>
    <phoneticPr fontId="1"/>
  </si>
  <si>
    <t>06110461</t>
    <phoneticPr fontId="1"/>
  </si>
  <si>
    <t>A307</t>
    <phoneticPr fontId="1"/>
  </si>
  <si>
    <t>IR</t>
    <phoneticPr fontId="1"/>
  </si>
  <si>
    <t>06110462</t>
    <phoneticPr fontId="1"/>
  </si>
  <si>
    <t>A025</t>
    <phoneticPr fontId="1"/>
  </si>
  <si>
    <t>MH</t>
    <phoneticPr fontId="1"/>
  </si>
  <si>
    <t>06110470</t>
    <phoneticPr fontId="1"/>
  </si>
  <si>
    <t>06110463</t>
    <phoneticPr fontId="1"/>
  </si>
  <si>
    <t>06110464</t>
    <phoneticPr fontId="1"/>
  </si>
  <si>
    <t>06110485</t>
    <phoneticPr fontId="1"/>
  </si>
  <si>
    <t>06110486</t>
    <phoneticPr fontId="1"/>
  </si>
  <si>
    <t>J</t>
    <phoneticPr fontId="1"/>
  </si>
  <si>
    <t>UC</t>
    <phoneticPr fontId="1"/>
  </si>
  <si>
    <t>A335</t>
    <phoneticPr fontId="1"/>
  </si>
  <si>
    <t>TO</t>
    <phoneticPr fontId="1"/>
  </si>
  <si>
    <t>S</t>
    <phoneticPr fontId="1"/>
  </si>
  <si>
    <t>K</t>
    <phoneticPr fontId="1"/>
  </si>
  <si>
    <t>HM</t>
    <phoneticPr fontId="1"/>
  </si>
  <si>
    <t>M032</t>
    <phoneticPr fontId="1"/>
  </si>
  <si>
    <t>06110219</t>
    <phoneticPr fontId="1"/>
  </si>
  <si>
    <t>06110353</t>
    <phoneticPr fontId="1"/>
  </si>
  <si>
    <t>M074</t>
    <phoneticPr fontId="1"/>
  </si>
  <si>
    <t>KM</t>
    <phoneticPr fontId="1"/>
  </si>
  <si>
    <t>A505</t>
    <phoneticPr fontId="1"/>
  </si>
  <si>
    <t>06110409</t>
    <phoneticPr fontId="1"/>
  </si>
  <si>
    <t>06110413</t>
    <phoneticPr fontId="1"/>
  </si>
  <si>
    <t>TK</t>
    <phoneticPr fontId="1"/>
  </si>
  <si>
    <t>CO</t>
    <phoneticPr fontId="1"/>
  </si>
  <si>
    <t>06110410</t>
    <phoneticPr fontId="1"/>
  </si>
  <si>
    <t>06110471</t>
    <phoneticPr fontId="1"/>
  </si>
  <si>
    <t>J</t>
    <phoneticPr fontId="1"/>
  </si>
  <si>
    <t>NA</t>
    <phoneticPr fontId="1"/>
  </si>
  <si>
    <t>06110472</t>
    <phoneticPr fontId="1"/>
  </si>
  <si>
    <t>06110473</t>
    <phoneticPr fontId="1"/>
  </si>
  <si>
    <t>R</t>
    <phoneticPr fontId="1"/>
  </si>
  <si>
    <t>TM</t>
    <phoneticPr fontId="1"/>
  </si>
  <si>
    <t>06110474</t>
    <phoneticPr fontId="1"/>
  </si>
  <si>
    <t>06110475</t>
  </si>
  <si>
    <t>06110476</t>
  </si>
  <si>
    <t>IR</t>
    <phoneticPr fontId="1"/>
  </si>
  <si>
    <t>06110484</t>
    <phoneticPr fontId="1"/>
  </si>
  <si>
    <t>A545</t>
    <phoneticPr fontId="1"/>
  </si>
  <si>
    <t>A199</t>
    <phoneticPr fontId="1"/>
  </si>
  <si>
    <t>06110493</t>
    <phoneticPr fontId="1"/>
  </si>
  <si>
    <t>06110494</t>
    <phoneticPr fontId="1"/>
  </si>
  <si>
    <t>06100622</t>
    <phoneticPr fontId="1"/>
  </si>
  <si>
    <t>M079</t>
    <phoneticPr fontId="1"/>
  </si>
  <si>
    <t>TM</t>
    <phoneticPr fontId="1"/>
  </si>
  <si>
    <t>S</t>
    <phoneticPr fontId="1"/>
  </si>
  <si>
    <t>K</t>
    <phoneticPr fontId="1"/>
  </si>
  <si>
    <t>R</t>
    <phoneticPr fontId="1"/>
  </si>
  <si>
    <t>M070</t>
    <phoneticPr fontId="1"/>
  </si>
  <si>
    <t>06110408</t>
    <phoneticPr fontId="1"/>
  </si>
  <si>
    <t>06110435</t>
    <phoneticPr fontId="1"/>
  </si>
  <si>
    <t>M032</t>
    <phoneticPr fontId="1"/>
  </si>
  <si>
    <t>CO</t>
    <phoneticPr fontId="1"/>
  </si>
  <si>
    <t>A505</t>
    <phoneticPr fontId="1"/>
  </si>
  <si>
    <t>06110442</t>
    <phoneticPr fontId="1"/>
  </si>
  <si>
    <t>06110443</t>
    <phoneticPr fontId="1"/>
  </si>
  <si>
    <t>HA</t>
    <phoneticPr fontId="1"/>
  </si>
  <si>
    <t>FR</t>
    <phoneticPr fontId="1"/>
  </si>
  <si>
    <t>06110444</t>
    <phoneticPr fontId="1"/>
  </si>
  <si>
    <t>06110446</t>
    <phoneticPr fontId="1"/>
  </si>
  <si>
    <t>06110449</t>
    <phoneticPr fontId="1"/>
  </si>
  <si>
    <t>06110450</t>
    <phoneticPr fontId="1"/>
  </si>
  <si>
    <t>KM</t>
    <phoneticPr fontId="1"/>
  </si>
  <si>
    <t>IR</t>
    <phoneticPr fontId="1"/>
  </si>
  <si>
    <t>06110481</t>
    <phoneticPr fontId="1"/>
  </si>
  <si>
    <t>06110482</t>
    <phoneticPr fontId="1"/>
  </si>
  <si>
    <t>NA</t>
    <phoneticPr fontId="1"/>
  </si>
  <si>
    <t>J</t>
    <phoneticPr fontId="1"/>
  </si>
  <si>
    <t>A913</t>
    <phoneticPr fontId="1"/>
  </si>
  <si>
    <t>06120006</t>
    <phoneticPr fontId="1"/>
  </si>
  <si>
    <t>06120008</t>
    <phoneticPr fontId="1"/>
  </si>
  <si>
    <t>A700</t>
    <phoneticPr fontId="1"/>
  </si>
  <si>
    <t>UC</t>
    <phoneticPr fontId="1"/>
  </si>
  <si>
    <t>06110081</t>
    <phoneticPr fontId="1"/>
  </si>
  <si>
    <t>A545</t>
    <phoneticPr fontId="1"/>
  </si>
  <si>
    <t>HM</t>
    <phoneticPr fontId="1"/>
  </si>
  <si>
    <t>06110082</t>
    <phoneticPr fontId="1"/>
  </si>
  <si>
    <t>06110083</t>
    <phoneticPr fontId="1"/>
  </si>
  <si>
    <t>06110085</t>
    <phoneticPr fontId="1"/>
  </si>
  <si>
    <t>06110222</t>
    <phoneticPr fontId="1"/>
  </si>
  <si>
    <t>06110223</t>
    <phoneticPr fontId="1"/>
  </si>
  <si>
    <t>06110230</t>
    <phoneticPr fontId="1"/>
  </si>
  <si>
    <t>P</t>
    <phoneticPr fontId="1"/>
  </si>
  <si>
    <t>06120011</t>
    <phoneticPr fontId="1"/>
  </si>
  <si>
    <t>06120012</t>
    <phoneticPr fontId="1"/>
  </si>
  <si>
    <t>A550</t>
    <phoneticPr fontId="1"/>
  </si>
  <si>
    <t>C</t>
    <phoneticPr fontId="1"/>
  </si>
  <si>
    <t>YK</t>
    <phoneticPr fontId="1"/>
  </si>
  <si>
    <t>06120013</t>
    <phoneticPr fontId="1"/>
  </si>
  <si>
    <t>06120022</t>
    <phoneticPr fontId="1"/>
  </si>
  <si>
    <t>06120023</t>
    <phoneticPr fontId="1"/>
  </si>
  <si>
    <t>06120033</t>
    <phoneticPr fontId="1"/>
  </si>
  <si>
    <t>06120036</t>
    <phoneticPr fontId="1"/>
  </si>
  <si>
    <t>06120037</t>
    <phoneticPr fontId="1"/>
  </si>
  <si>
    <t>06110112</t>
    <phoneticPr fontId="1"/>
  </si>
  <si>
    <t>M074</t>
    <phoneticPr fontId="1"/>
  </si>
  <si>
    <t>06110445</t>
    <phoneticPr fontId="1"/>
  </si>
  <si>
    <t>06110447</t>
    <phoneticPr fontId="1"/>
  </si>
  <si>
    <t>06110448</t>
    <phoneticPr fontId="1"/>
  </si>
  <si>
    <t>06110466</t>
    <phoneticPr fontId="1"/>
  </si>
  <si>
    <t>M078</t>
    <phoneticPr fontId="1"/>
  </si>
  <si>
    <t>06110478</t>
    <phoneticPr fontId="1"/>
  </si>
  <si>
    <t>06110480</t>
    <phoneticPr fontId="1"/>
  </si>
  <si>
    <t>A335</t>
    <phoneticPr fontId="1"/>
  </si>
  <si>
    <t>06120014</t>
    <phoneticPr fontId="1"/>
  </si>
  <si>
    <t>06120015</t>
    <phoneticPr fontId="1"/>
  </si>
  <si>
    <t>NF</t>
    <phoneticPr fontId="1"/>
  </si>
  <si>
    <t>MK</t>
    <phoneticPr fontId="1"/>
  </si>
  <si>
    <t>06120016</t>
    <phoneticPr fontId="1"/>
  </si>
  <si>
    <t>06120017</t>
  </si>
  <si>
    <t>06120018</t>
  </si>
  <si>
    <t>06120019</t>
  </si>
  <si>
    <t>06120020</t>
  </si>
  <si>
    <t>06120021</t>
  </si>
  <si>
    <t>06120024</t>
    <phoneticPr fontId="1"/>
  </si>
  <si>
    <t>06120026</t>
    <phoneticPr fontId="1"/>
  </si>
  <si>
    <t>06120028</t>
    <phoneticPr fontId="1"/>
  </si>
  <si>
    <t>06120029</t>
    <phoneticPr fontId="1"/>
  </si>
  <si>
    <t>06120034</t>
    <phoneticPr fontId="1"/>
  </si>
  <si>
    <t>06120035</t>
    <phoneticPr fontId="1"/>
  </si>
  <si>
    <t>2024/12/9 個数</t>
  </si>
  <si>
    <t>2024/12/15 個数</t>
  </si>
  <si>
    <t>2025/1/4 個数</t>
  </si>
  <si>
    <t>2025/1/5 個数</t>
  </si>
  <si>
    <t>2025/1/6 個数</t>
  </si>
  <si>
    <t>2025/1/7 個数</t>
  </si>
  <si>
    <t>2025/1/8 個数</t>
  </si>
  <si>
    <t>2025/1/10 個数</t>
  </si>
  <si>
    <t>2025/1/11 個数</t>
  </si>
  <si>
    <t>2025/1/12 個数</t>
  </si>
  <si>
    <t>2025/1/13 個数</t>
  </si>
  <si>
    <t>2025/1/14 個数</t>
  </si>
  <si>
    <t>06110550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</si>
</sst>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0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78" zoomScale="106" zoomScaleNormal="106" workbookViewId="0">
      <selection activeCell="L104" sqref="L104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185</v>
      </c>
      <c r="B1" s="24">
        <v>45629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6" t="s">
        <v>105</v>
      </c>
      <c r="Y2" s="142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3">
        <v>1</v>
      </c>
      <c r="B3" s="133">
        <v>18.600000000000001</v>
      </c>
      <c r="C3" s="85" t="s">
        <v>186</v>
      </c>
      <c r="D3" s="109" t="s">
        <v>187</v>
      </c>
      <c r="E3" s="15" t="s">
        <v>188</v>
      </c>
      <c r="F3" s="14"/>
      <c r="G3" s="12" t="s">
        <v>189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45635</v>
      </c>
      <c r="U3" s="13" t="s">
        <v>190</v>
      </c>
      <c r="V3">
        <v>1</v>
      </c>
      <c r="X3" s="51" t="s">
        <v>106</v>
      </c>
      <c r="Y3" s="52">
        <f>COUNTIF(U3:U27,"K")</f>
        <v>6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4"/>
      <c r="B4" s="134"/>
      <c r="C4" s="85" t="s">
        <v>191</v>
      </c>
      <c r="D4" s="109" t="s">
        <v>192</v>
      </c>
      <c r="E4" s="15" t="s">
        <v>188</v>
      </c>
      <c r="F4" s="16"/>
      <c r="G4" s="12" t="s">
        <v>189</v>
      </c>
      <c r="H4" s="15"/>
      <c r="I4" s="13"/>
      <c r="J4" s="15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45649</v>
      </c>
      <c r="U4" s="13" t="s">
        <v>195</v>
      </c>
      <c r="V4">
        <v>2</v>
      </c>
      <c r="X4" s="51" t="s">
        <v>107</v>
      </c>
      <c r="Y4" s="52">
        <f>COUNTIF(U3:U27,"R")</f>
        <v>4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4"/>
      <c r="B5" s="134"/>
      <c r="C5" s="85" t="s">
        <v>193</v>
      </c>
      <c r="D5" s="109" t="s">
        <v>194</v>
      </c>
      <c r="E5" s="15" t="s">
        <v>188</v>
      </c>
      <c r="F5" s="16"/>
      <c r="G5" s="12" t="s">
        <v>189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45649</v>
      </c>
      <c r="U5" s="13" t="s">
        <v>195</v>
      </c>
      <c r="V5">
        <v>3</v>
      </c>
      <c r="X5" s="53" t="s">
        <v>108</v>
      </c>
      <c r="Y5" s="54">
        <f>COUNTIF(U3:U27,"J")</f>
        <v>5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4"/>
      <c r="B6" s="134"/>
      <c r="C6" s="85" t="s">
        <v>196</v>
      </c>
      <c r="D6" s="109" t="s">
        <v>197</v>
      </c>
      <c r="E6" s="15" t="s">
        <v>198</v>
      </c>
      <c r="F6" s="16"/>
      <c r="G6" s="12" t="s">
        <v>189</v>
      </c>
      <c r="H6" s="15"/>
      <c r="I6" s="13"/>
      <c r="J6" s="13"/>
      <c r="K6" s="15"/>
      <c r="L6" s="17"/>
      <c r="M6" s="17"/>
      <c r="N6" s="13"/>
      <c r="O6" s="17"/>
      <c r="P6" s="17"/>
      <c r="Q6" s="17"/>
      <c r="R6" s="17"/>
      <c r="S6" s="15"/>
      <c r="T6" s="25">
        <v>45669</v>
      </c>
      <c r="U6" s="13" t="s">
        <v>190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4"/>
      <c r="B7" s="134"/>
      <c r="C7" s="85" t="s">
        <v>199</v>
      </c>
      <c r="D7" s="109" t="s">
        <v>197</v>
      </c>
      <c r="E7" s="15" t="s">
        <v>200</v>
      </c>
      <c r="F7" s="16"/>
      <c r="G7" s="12" t="s">
        <v>189</v>
      </c>
      <c r="H7" s="15"/>
      <c r="I7" s="13"/>
      <c r="J7" s="15"/>
      <c r="K7" s="15"/>
      <c r="L7" s="17"/>
      <c r="M7" s="17"/>
      <c r="N7" s="13"/>
      <c r="O7" s="17"/>
      <c r="P7" s="17"/>
      <c r="Q7" s="17"/>
      <c r="R7" s="17"/>
      <c r="S7" s="15"/>
      <c r="T7" s="25">
        <v>45649</v>
      </c>
      <c r="U7" s="13" t="s">
        <v>190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4"/>
      <c r="B8" s="134"/>
      <c r="C8" s="85" t="s">
        <v>201</v>
      </c>
      <c r="D8" s="109" t="s">
        <v>202</v>
      </c>
      <c r="E8" s="15" t="s">
        <v>203</v>
      </c>
      <c r="F8" s="16"/>
      <c r="G8" s="12" t="s">
        <v>189</v>
      </c>
      <c r="H8" s="13"/>
      <c r="I8" s="13"/>
      <c r="J8" s="15"/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45648</v>
      </c>
      <c r="U8" s="13" t="s">
        <v>195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4"/>
      <c r="B9" s="134"/>
      <c r="C9" s="85" t="s">
        <v>204</v>
      </c>
      <c r="D9" s="109" t="s">
        <v>187</v>
      </c>
      <c r="E9" s="15" t="s">
        <v>203</v>
      </c>
      <c r="F9" s="16"/>
      <c r="G9" s="12" t="s">
        <v>189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45647</v>
      </c>
      <c r="U9" s="13" t="s">
        <v>190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4"/>
      <c r="B10" s="134"/>
      <c r="C10" s="85" t="s">
        <v>205</v>
      </c>
      <c r="D10" s="109" t="s">
        <v>194</v>
      </c>
      <c r="E10" s="15" t="s">
        <v>206</v>
      </c>
      <c r="F10" s="16"/>
      <c r="G10" s="12" t="s">
        <v>189</v>
      </c>
      <c r="H10" s="15"/>
      <c r="I10" s="13"/>
      <c r="J10" s="15"/>
      <c r="K10" s="15"/>
      <c r="L10" s="17"/>
      <c r="M10" s="17"/>
      <c r="N10" s="13"/>
      <c r="O10" s="17">
        <v>1</v>
      </c>
      <c r="P10" s="17">
        <v>1</v>
      </c>
      <c r="Q10" s="17">
        <v>1</v>
      </c>
      <c r="R10" s="17">
        <v>1</v>
      </c>
      <c r="S10" s="15"/>
      <c r="T10" s="25">
        <v>45651</v>
      </c>
      <c r="U10" s="13" t="s">
        <v>245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4"/>
      <c r="B11" s="134"/>
      <c r="C11" s="85" t="s">
        <v>207</v>
      </c>
      <c r="D11" s="109" t="s">
        <v>208</v>
      </c>
      <c r="E11" s="15" t="s">
        <v>209</v>
      </c>
      <c r="F11" s="16"/>
      <c r="G11" s="12" t="s">
        <v>189</v>
      </c>
      <c r="H11" s="15"/>
      <c r="I11" s="13"/>
      <c r="J11" s="15">
        <v>1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45650</v>
      </c>
      <c r="U11" s="13" t="s">
        <v>195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4"/>
      <c r="B12" s="134"/>
      <c r="C12" s="85" t="s">
        <v>210</v>
      </c>
      <c r="D12" s="109" t="s">
        <v>211</v>
      </c>
      <c r="E12" s="15" t="s">
        <v>212</v>
      </c>
      <c r="F12" s="16"/>
      <c r="G12" s="12" t="s">
        <v>189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45652</v>
      </c>
      <c r="U12" s="13" t="s">
        <v>195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4"/>
      <c r="B13" s="134"/>
      <c r="C13" s="85" t="s">
        <v>213</v>
      </c>
      <c r="D13" s="109" t="s">
        <v>211</v>
      </c>
      <c r="E13" s="15" t="s">
        <v>206</v>
      </c>
      <c r="F13" s="16"/>
      <c r="G13" s="12" t="s">
        <v>189</v>
      </c>
      <c r="H13" s="15"/>
      <c r="I13" s="15"/>
      <c r="J13" s="15"/>
      <c r="K13" s="15"/>
      <c r="L13" s="17"/>
      <c r="M13" s="17"/>
      <c r="N13" s="17"/>
      <c r="O13" s="17">
        <v>1</v>
      </c>
      <c r="P13" s="17">
        <v>1</v>
      </c>
      <c r="Q13" s="17">
        <v>1</v>
      </c>
      <c r="R13" s="17">
        <v>1</v>
      </c>
      <c r="S13" s="15"/>
      <c r="T13" s="25">
        <v>45652</v>
      </c>
      <c r="U13" s="13" t="s">
        <v>245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4"/>
      <c r="B14" s="134"/>
      <c r="C14" s="85" t="s">
        <v>214</v>
      </c>
      <c r="D14" s="109" t="s">
        <v>215</v>
      </c>
      <c r="E14" s="15" t="s">
        <v>206</v>
      </c>
      <c r="F14" s="16"/>
      <c r="G14" s="12" t="s">
        <v>189</v>
      </c>
      <c r="H14" s="15"/>
      <c r="I14" s="15"/>
      <c r="J14" s="15"/>
      <c r="K14" s="15"/>
      <c r="L14" s="17"/>
      <c r="M14" s="17"/>
      <c r="N14" s="17"/>
      <c r="O14" s="17">
        <v>1</v>
      </c>
      <c r="P14" s="17"/>
      <c r="Q14" s="17">
        <v>1</v>
      </c>
      <c r="R14" s="17"/>
      <c r="S14" s="15"/>
      <c r="T14" s="25">
        <v>45652</v>
      </c>
      <c r="U14" s="13" t="s">
        <v>245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4"/>
      <c r="B15" s="134"/>
      <c r="C15" s="85" t="s">
        <v>216</v>
      </c>
      <c r="D15" s="109" t="s">
        <v>202</v>
      </c>
      <c r="E15" s="15" t="s">
        <v>209</v>
      </c>
      <c r="F15" s="16"/>
      <c r="G15" s="12" t="s">
        <v>189</v>
      </c>
      <c r="H15" s="15"/>
      <c r="I15" s="15"/>
      <c r="J15" s="15">
        <v>1</v>
      </c>
      <c r="K15" s="15"/>
      <c r="L15" s="17"/>
      <c r="M15" s="17"/>
      <c r="N15" s="17"/>
      <c r="O15" s="17">
        <v>1</v>
      </c>
      <c r="P15" s="17"/>
      <c r="Q15" s="17"/>
      <c r="R15" s="17"/>
      <c r="S15" s="15"/>
      <c r="T15" s="25">
        <v>45662</v>
      </c>
      <c r="U15" s="13" t="s">
        <v>195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4"/>
      <c r="B16" s="134"/>
      <c r="C16" s="85" t="s">
        <v>217</v>
      </c>
      <c r="D16" s="109" t="s">
        <v>202</v>
      </c>
      <c r="E16" s="15" t="s">
        <v>206</v>
      </c>
      <c r="F16" s="16"/>
      <c r="G16" s="12" t="s">
        <v>189</v>
      </c>
      <c r="H16" s="15"/>
      <c r="I16" s="15"/>
      <c r="J16" s="15">
        <v>1</v>
      </c>
      <c r="K16" s="15"/>
      <c r="L16" s="17"/>
      <c r="M16" s="17"/>
      <c r="N16" s="17"/>
      <c r="O16" s="17">
        <v>2</v>
      </c>
      <c r="P16" s="17"/>
      <c r="Q16" s="17"/>
      <c r="R16" s="17"/>
      <c r="S16" s="15"/>
      <c r="T16" s="25">
        <v>45662</v>
      </c>
      <c r="U16" s="13" t="s">
        <v>245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4"/>
      <c r="B17" s="134"/>
      <c r="C17" s="85" t="s">
        <v>218</v>
      </c>
      <c r="D17" s="106" t="s">
        <v>202</v>
      </c>
      <c r="E17" s="15" t="s">
        <v>206</v>
      </c>
      <c r="F17" s="16"/>
      <c r="G17" s="15" t="s">
        <v>189</v>
      </c>
      <c r="H17" s="15"/>
      <c r="I17" s="15"/>
      <c r="J17" s="15"/>
      <c r="K17" s="15"/>
      <c r="L17" s="17"/>
      <c r="M17" s="17"/>
      <c r="N17" s="17"/>
      <c r="O17" s="17">
        <v>1</v>
      </c>
      <c r="P17" s="17"/>
      <c r="Q17" s="17"/>
      <c r="R17" s="17"/>
      <c r="S17" s="15"/>
      <c r="T17" s="25">
        <v>45662</v>
      </c>
      <c r="U17" s="15" t="s">
        <v>245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4"/>
      <c r="B18" s="134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4"/>
      <c r="B19" s="134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4"/>
      <c r="B20" s="134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4"/>
      <c r="B21" s="134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4"/>
      <c r="B22" s="134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4"/>
      <c r="B23" s="134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4"/>
      <c r="B24" s="134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4"/>
      <c r="B25" s="134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183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4"/>
      <c r="B26" s="134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5"/>
      <c r="B27" s="135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97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6</v>
      </c>
      <c r="K28" s="29">
        <f t="shared" si="0"/>
        <v>4</v>
      </c>
      <c r="L28" s="29">
        <f t="shared" si="0"/>
        <v>0</v>
      </c>
      <c r="M28" s="29">
        <f t="shared" si="0"/>
        <v>2</v>
      </c>
      <c r="N28" s="29">
        <f t="shared" si="0"/>
        <v>2</v>
      </c>
      <c r="O28" s="29">
        <f t="shared" si="0"/>
        <v>7</v>
      </c>
      <c r="P28" s="29">
        <f t="shared" si="0"/>
        <v>2</v>
      </c>
      <c r="Q28" s="29">
        <f t="shared" si="0"/>
        <v>5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38" t="s">
        <v>104</v>
      </c>
      <c r="AB28" s="13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30</v>
      </c>
      <c r="T29" s="29"/>
      <c r="U29" s="29"/>
      <c r="X29" t="s">
        <v>136</v>
      </c>
      <c r="AA29" s="140"/>
      <c r="AB29" s="141"/>
      <c r="AC29" s="154">
        <f>SUM(AC28:AE28)</f>
        <v>0</v>
      </c>
      <c r="AD29" s="155"/>
      <c r="AE29" s="156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AYG095</v>
      </c>
      <c r="B31" s="24">
        <f>B1</f>
        <v>45629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6" t="s">
        <v>119</v>
      </c>
      <c r="Y32" s="142"/>
      <c r="AA32" s="149" t="s">
        <v>47</v>
      </c>
      <c r="AB32" s="150"/>
    </row>
    <row r="33" spans="1:29" ht="19.5" thickTop="1" x14ac:dyDescent="0.4">
      <c r="A33" s="143">
        <v>2</v>
      </c>
      <c r="B33" s="133">
        <v>19</v>
      </c>
      <c r="C33" s="85" t="s">
        <v>219</v>
      </c>
      <c r="D33" s="109" t="s">
        <v>220</v>
      </c>
      <c r="E33" s="109" t="s">
        <v>246</v>
      </c>
      <c r="F33" s="16"/>
      <c r="G33" s="12" t="s">
        <v>189</v>
      </c>
      <c r="H33" s="15" t="s">
        <v>221</v>
      </c>
      <c r="I33" s="15"/>
      <c r="J33" s="15">
        <v>2</v>
      </c>
      <c r="K33" s="15"/>
      <c r="L33" s="17"/>
      <c r="M33" s="17"/>
      <c r="N33" s="17"/>
      <c r="O33" s="17"/>
      <c r="P33" s="17"/>
      <c r="Q33" s="17"/>
      <c r="R33" s="17"/>
      <c r="S33" s="15"/>
      <c r="T33" s="25">
        <v>45663</v>
      </c>
      <c r="U33" s="13" t="s">
        <v>142</v>
      </c>
      <c r="V33">
        <v>1</v>
      </c>
      <c r="X33" s="51" t="s">
        <v>106</v>
      </c>
      <c r="Y33" s="52">
        <f>COUNTIF(U33:U57,"K")</f>
        <v>4</v>
      </c>
      <c r="AA33" s="31" t="s">
        <v>46</v>
      </c>
      <c r="AB33" s="32">
        <f>J28+J178+J148+J118+J208+J238+J268+J298+J328+J358</f>
        <v>44</v>
      </c>
    </row>
    <row r="34" spans="1:29" x14ac:dyDescent="0.4">
      <c r="A34" s="144"/>
      <c r="B34" s="134"/>
      <c r="C34" s="85" t="s">
        <v>222</v>
      </c>
      <c r="D34" s="109" t="s">
        <v>220</v>
      </c>
      <c r="E34" s="109" t="s">
        <v>246</v>
      </c>
      <c r="F34" s="16"/>
      <c r="G34" s="12" t="s">
        <v>189</v>
      </c>
      <c r="H34" s="15" t="s">
        <v>221</v>
      </c>
      <c r="I34" s="13"/>
      <c r="J34" s="15">
        <v>2</v>
      </c>
      <c r="K34" s="15"/>
      <c r="L34" s="17"/>
      <c r="M34" s="17"/>
      <c r="N34" s="17"/>
      <c r="O34" s="17"/>
      <c r="P34" s="17"/>
      <c r="Q34" s="17"/>
      <c r="R34" s="17"/>
      <c r="S34" s="15"/>
      <c r="T34" s="25">
        <v>45663</v>
      </c>
      <c r="U34" s="13" t="s">
        <v>195</v>
      </c>
      <c r="V34">
        <v>2</v>
      </c>
      <c r="X34" s="51" t="s">
        <v>107</v>
      </c>
      <c r="Y34" s="52">
        <f>COUNTIF(U33:U57,"R")</f>
        <v>0</v>
      </c>
      <c r="AA34" s="31" t="s">
        <v>48</v>
      </c>
      <c r="AB34" s="32">
        <f>K28+K178+K148+K118+K208+K238+K268+K298+K328+K358</f>
        <v>21</v>
      </c>
    </row>
    <row r="35" spans="1:29" ht="19.5" thickBot="1" x14ac:dyDescent="0.45">
      <c r="A35" s="144"/>
      <c r="B35" s="134"/>
      <c r="C35" s="85" t="s">
        <v>223</v>
      </c>
      <c r="D35" s="109" t="s">
        <v>220</v>
      </c>
      <c r="E35" s="109" t="s">
        <v>246</v>
      </c>
      <c r="F35" s="16"/>
      <c r="G35" s="12" t="s">
        <v>189</v>
      </c>
      <c r="H35" s="13" t="s">
        <v>221</v>
      </c>
      <c r="I35" s="13"/>
      <c r="J35" s="15">
        <v>2</v>
      </c>
      <c r="K35" s="15"/>
      <c r="L35" s="17"/>
      <c r="M35" s="17"/>
      <c r="N35" s="17"/>
      <c r="O35" s="17"/>
      <c r="P35" s="17"/>
      <c r="Q35" s="17"/>
      <c r="R35" s="17"/>
      <c r="S35" s="15"/>
      <c r="T35" s="25">
        <v>45663</v>
      </c>
      <c r="U35" s="13" t="s">
        <v>195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2</v>
      </c>
    </row>
    <row r="36" spans="1:29" x14ac:dyDescent="0.4">
      <c r="A36" s="144"/>
      <c r="B36" s="134"/>
      <c r="C36" s="85" t="s">
        <v>224</v>
      </c>
      <c r="D36" s="109" t="s">
        <v>220</v>
      </c>
      <c r="E36" s="109" t="s">
        <v>246</v>
      </c>
      <c r="F36" s="16"/>
      <c r="G36" s="12" t="s">
        <v>189</v>
      </c>
      <c r="H36" s="15" t="s">
        <v>221</v>
      </c>
      <c r="I36" s="13"/>
      <c r="J36" s="13">
        <v>2</v>
      </c>
      <c r="K36" s="15"/>
      <c r="L36" s="17"/>
      <c r="M36" s="17"/>
      <c r="N36" s="17"/>
      <c r="O36" s="17"/>
      <c r="P36" s="17"/>
      <c r="Q36" s="17"/>
      <c r="R36" s="17"/>
      <c r="S36" s="15"/>
      <c r="T36" s="25">
        <v>45663</v>
      </c>
      <c r="U36" s="13" t="s">
        <v>195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44"/>
      <c r="B37" s="134"/>
      <c r="C37" s="85"/>
      <c r="D37" s="109"/>
      <c r="E37" s="109"/>
      <c r="F37" s="16"/>
      <c r="G37" s="12"/>
      <c r="H37" s="15"/>
      <c r="I37" s="15"/>
      <c r="J37" s="15"/>
      <c r="K37" s="15"/>
      <c r="L37" s="17"/>
      <c r="M37" s="17"/>
      <c r="N37" s="17"/>
      <c r="O37" s="17"/>
      <c r="P37" s="17"/>
      <c r="Q37" s="17"/>
      <c r="R37" s="17"/>
      <c r="S37" s="15"/>
      <c r="T37" s="25"/>
      <c r="U37" s="13"/>
      <c r="V37">
        <v>5</v>
      </c>
      <c r="AA37" s="31" t="s">
        <v>51</v>
      </c>
      <c r="AB37" s="32">
        <f>N28+N178+N148+N118+N208+N238+N268+N298+N328+N358</f>
        <v>16</v>
      </c>
    </row>
    <row r="38" spans="1:29" x14ac:dyDescent="0.4">
      <c r="A38" s="144"/>
      <c r="B38" s="134"/>
      <c r="C38" s="85"/>
      <c r="D38" s="109"/>
      <c r="E38" s="109"/>
      <c r="F38" s="16"/>
      <c r="G38" s="12"/>
      <c r="H38" s="13"/>
      <c r="I38" s="15"/>
      <c r="J38" s="15"/>
      <c r="K38" s="15"/>
      <c r="L38" s="17"/>
      <c r="M38" s="17"/>
      <c r="N38" s="17"/>
      <c r="O38" s="17"/>
      <c r="P38" s="17"/>
      <c r="Q38" s="17"/>
      <c r="R38" s="17"/>
      <c r="S38" s="15"/>
      <c r="T38" s="25"/>
      <c r="U38" s="13"/>
      <c r="V38">
        <v>6</v>
      </c>
      <c r="AA38" s="31" t="s">
        <v>52</v>
      </c>
      <c r="AB38" s="32">
        <f>O28+O178+O148+O118+O208+O238+O268+O298+O328+O358</f>
        <v>18</v>
      </c>
    </row>
    <row r="39" spans="1:29" x14ac:dyDescent="0.4">
      <c r="A39" s="144"/>
      <c r="B39" s="134"/>
      <c r="C39" s="85"/>
      <c r="D39" s="109"/>
      <c r="E39" s="109"/>
      <c r="F39" s="16"/>
      <c r="G39" s="12"/>
      <c r="H39" s="15"/>
      <c r="I39" s="15"/>
      <c r="J39" s="15"/>
      <c r="K39" s="15"/>
      <c r="L39" s="17"/>
      <c r="M39" s="17"/>
      <c r="N39" s="17"/>
      <c r="O39" s="17"/>
      <c r="P39" s="17"/>
      <c r="Q39" s="17"/>
      <c r="R39" s="17"/>
      <c r="S39" s="15"/>
      <c r="T39" s="25"/>
      <c r="U39" s="13"/>
      <c r="V39">
        <v>7</v>
      </c>
      <c r="AA39" s="31" t="s">
        <v>53</v>
      </c>
      <c r="AB39" s="32">
        <f>P28+P178+P148+P118+P208+P238+P268+P298+P328+P358</f>
        <v>10</v>
      </c>
    </row>
    <row r="40" spans="1:29" x14ac:dyDescent="0.4">
      <c r="A40" s="144"/>
      <c r="B40" s="134"/>
      <c r="C40" s="85"/>
      <c r="D40" s="109"/>
      <c r="E40" s="109"/>
      <c r="F40" s="16"/>
      <c r="G40" s="12"/>
      <c r="H40" s="15"/>
      <c r="I40" s="15"/>
      <c r="J40" s="15"/>
      <c r="K40" s="15"/>
      <c r="L40" s="17"/>
      <c r="M40" s="17"/>
      <c r="N40" s="17"/>
      <c r="O40" s="17"/>
      <c r="P40" s="17"/>
      <c r="Q40" s="17"/>
      <c r="R40" s="17"/>
      <c r="S40" s="15"/>
      <c r="T40" s="25"/>
      <c r="U40" s="13"/>
      <c r="V40">
        <v>8</v>
      </c>
      <c r="AA40" s="31" t="s">
        <v>54</v>
      </c>
      <c r="AB40" s="32">
        <f>Q28+Q178+Q148+Q118+Q208+Q238+Q268+Q298+Q328+Q358</f>
        <v>26</v>
      </c>
    </row>
    <row r="41" spans="1:29" x14ac:dyDescent="0.4">
      <c r="A41" s="144"/>
      <c r="B41" s="134"/>
      <c r="C41" s="85"/>
      <c r="D41" s="109"/>
      <c r="E41" s="109"/>
      <c r="F41" s="16"/>
      <c r="G41" s="12"/>
      <c r="H41" s="15"/>
      <c r="I41" s="15"/>
      <c r="J41" s="15"/>
      <c r="K41" s="15"/>
      <c r="L41" s="17"/>
      <c r="M41" s="17"/>
      <c r="N41" s="17"/>
      <c r="O41" s="17"/>
      <c r="P41" s="17"/>
      <c r="Q41" s="17"/>
      <c r="R41" s="17"/>
      <c r="S41" s="15"/>
      <c r="T41" s="25"/>
      <c r="U41" s="13"/>
      <c r="V41">
        <v>9</v>
      </c>
      <c r="AA41" s="31" t="s">
        <v>55</v>
      </c>
      <c r="AB41" s="32">
        <f>R28+R178+R148+R118+R208+R238+R268+R298+R328+R358</f>
        <v>5</v>
      </c>
      <c r="AC41" t="s">
        <v>123</v>
      </c>
    </row>
    <row r="42" spans="1:29" ht="19.5" thickBot="1" x14ac:dyDescent="0.45">
      <c r="A42" s="144"/>
      <c r="B42" s="134"/>
      <c r="C42" s="85"/>
      <c r="D42" s="109"/>
      <c r="E42" s="109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3</v>
      </c>
      <c r="AC42" s="73">
        <f>SUM(AB33:AB42)</f>
        <v>165</v>
      </c>
    </row>
    <row r="43" spans="1:29" ht="19.5" thickBot="1" x14ac:dyDescent="0.45">
      <c r="A43" s="144"/>
      <c r="B43" s="134"/>
      <c r="C43" s="85"/>
      <c r="D43" s="109"/>
      <c r="E43" s="109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4"/>
      <c r="B44" s="134"/>
      <c r="C44" s="85"/>
      <c r="D44" s="109"/>
      <c r="E44" s="109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9</v>
      </c>
    </row>
    <row r="45" spans="1:29" x14ac:dyDescent="0.4">
      <c r="A45" s="144"/>
      <c r="B45" s="134"/>
      <c r="C45" s="85"/>
      <c r="D45" s="109"/>
      <c r="E45" s="109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4"/>
      <c r="B46" s="134"/>
      <c r="C46" s="85"/>
      <c r="D46" s="109"/>
      <c r="E46" s="109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4"/>
      <c r="B47" s="134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4"/>
      <c r="B48" s="134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44"/>
      <c r="B49" s="134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95</v>
      </c>
    </row>
    <row r="50" spans="1:28" ht="19.5" thickBot="1" x14ac:dyDescent="0.45">
      <c r="A50" s="144"/>
      <c r="B50" s="134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1</v>
      </c>
    </row>
    <row r="51" spans="1:28" ht="19.5" thickBot="1" x14ac:dyDescent="0.45">
      <c r="A51" s="144"/>
      <c r="B51" s="134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4"/>
      <c r="B52" s="134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1">
        <v>76</v>
      </c>
    </row>
    <row r="53" spans="1:28" ht="19.5" thickBot="1" x14ac:dyDescent="0.45">
      <c r="A53" s="144"/>
      <c r="B53" s="134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2"/>
    </row>
    <row r="54" spans="1:28" ht="19.5" thickBot="1" x14ac:dyDescent="0.45">
      <c r="A54" s="144"/>
      <c r="B54" s="134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4"/>
      <c r="B55" s="134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6" t="s">
        <v>73</v>
      </c>
      <c r="AB55" s="45"/>
    </row>
    <row r="56" spans="1:28" ht="19.5" thickBot="1" x14ac:dyDescent="0.45">
      <c r="A56" s="144"/>
      <c r="B56" s="134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7"/>
      <c r="AB56" s="46"/>
    </row>
    <row r="57" spans="1:28" ht="19.5" thickBot="1" x14ac:dyDescent="0.45">
      <c r="A57" s="145"/>
      <c r="B57" s="135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6"/>
      <c r="AB57" s="45">
        <v>7</v>
      </c>
    </row>
    <row r="58" spans="1:28" ht="19.5" thickBot="1" x14ac:dyDescent="0.45">
      <c r="A58" s="27"/>
      <c r="B58" s="28"/>
      <c r="C58" s="88">
        <f>COUNTA(C33:C57)</f>
        <v>4</v>
      </c>
      <c r="D58" s="112"/>
      <c r="E58" s="29"/>
      <c r="F58" s="29" t="s">
        <v>34</v>
      </c>
      <c r="G58" s="29">
        <f>COUNTIF(G33:G57,"S")</f>
        <v>4</v>
      </c>
      <c r="H58" s="29">
        <f>COUNTIF(H33:H57,"E")</f>
        <v>4</v>
      </c>
      <c r="I58" s="29">
        <f>SUM(I33:I57)</f>
        <v>0</v>
      </c>
      <c r="J58" s="29">
        <f t="shared" ref="J58:S58" si="1">SUM(J33:J57)</f>
        <v>8</v>
      </c>
      <c r="K58" s="29">
        <f t="shared" si="1"/>
        <v>0</v>
      </c>
      <c r="L58" s="29">
        <f t="shared" si="1"/>
        <v>0</v>
      </c>
      <c r="M58" s="29">
        <f t="shared" si="1"/>
        <v>0</v>
      </c>
      <c r="N58" s="29">
        <f t="shared" si="1"/>
        <v>0</v>
      </c>
      <c r="O58" s="29">
        <f t="shared" si="1"/>
        <v>0</v>
      </c>
      <c r="P58" s="29">
        <f t="shared" si="1"/>
        <v>0</v>
      </c>
      <c r="Q58" s="29">
        <f t="shared" si="1"/>
        <v>0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3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AYG095</v>
      </c>
      <c r="B61" s="24">
        <f>B1</f>
        <v>45629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6" t="s">
        <v>118</v>
      </c>
      <c r="Y62" s="142"/>
    </row>
    <row r="63" spans="1:28" ht="20.25" thickTop="1" thickBot="1" x14ac:dyDescent="0.45">
      <c r="A63" s="143">
        <v>3</v>
      </c>
      <c r="B63" s="146">
        <v>21.8</v>
      </c>
      <c r="C63" s="85" t="s">
        <v>225</v>
      </c>
      <c r="D63" s="109" t="s">
        <v>197</v>
      </c>
      <c r="E63" s="15" t="s">
        <v>203</v>
      </c>
      <c r="F63" s="14"/>
      <c r="G63" s="12" t="s">
        <v>189</v>
      </c>
      <c r="H63" s="13"/>
      <c r="I63" s="13"/>
      <c r="J63" s="13"/>
      <c r="K63" s="13"/>
      <c r="L63" s="13"/>
      <c r="M63" s="13">
        <v>1</v>
      </c>
      <c r="N63" s="13"/>
      <c r="O63" s="13"/>
      <c r="P63" s="13"/>
      <c r="Q63" s="13">
        <v>1</v>
      </c>
      <c r="R63" s="13"/>
      <c r="S63" s="13"/>
      <c r="T63" s="25">
        <v>45668</v>
      </c>
      <c r="U63" s="13" t="s">
        <v>190</v>
      </c>
      <c r="V63">
        <v>1</v>
      </c>
      <c r="X63" s="51" t="s">
        <v>106</v>
      </c>
      <c r="Y63" s="52">
        <f>COUNTIF(U63:U87,"K")</f>
        <v>6</v>
      </c>
      <c r="AA63" s="59" t="s">
        <v>120</v>
      </c>
      <c r="AB63" s="60" t="s">
        <v>121</v>
      </c>
    </row>
    <row r="64" spans="1:28" x14ac:dyDescent="0.4">
      <c r="A64" s="144"/>
      <c r="B64" s="147"/>
      <c r="C64" s="85" t="s">
        <v>226</v>
      </c>
      <c r="D64" s="109" t="s">
        <v>197</v>
      </c>
      <c r="E64" s="15" t="s">
        <v>203</v>
      </c>
      <c r="F64" s="16"/>
      <c r="G64" s="12" t="s">
        <v>189</v>
      </c>
      <c r="H64" s="15"/>
      <c r="I64" s="15"/>
      <c r="J64" s="13"/>
      <c r="K64" s="15"/>
      <c r="L64" s="13"/>
      <c r="M64" s="17">
        <v>1</v>
      </c>
      <c r="N64" s="17"/>
      <c r="O64" s="17"/>
      <c r="P64" s="17"/>
      <c r="Q64" s="17">
        <v>1</v>
      </c>
      <c r="R64" s="17"/>
      <c r="S64" s="15"/>
      <c r="T64" s="25">
        <v>45669</v>
      </c>
      <c r="U64" s="13" t="s">
        <v>190</v>
      </c>
      <c r="V64">
        <v>2</v>
      </c>
      <c r="X64" s="51" t="s">
        <v>107</v>
      </c>
      <c r="Y64" s="52">
        <f>COUNTIF(U63:U87,"R")</f>
        <v>4</v>
      </c>
      <c r="AA64" s="47" t="s">
        <v>81</v>
      </c>
      <c r="AB64" s="48" t="s">
        <v>60</v>
      </c>
    </row>
    <row r="65" spans="1:28" ht="19.5" thickBot="1" x14ac:dyDescent="0.45">
      <c r="A65" s="144"/>
      <c r="B65" s="147"/>
      <c r="C65" s="85" t="s">
        <v>227</v>
      </c>
      <c r="D65" s="109" t="s">
        <v>202</v>
      </c>
      <c r="E65" s="15" t="s">
        <v>212</v>
      </c>
      <c r="F65" s="16"/>
      <c r="G65" s="12" t="s">
        <v>189</v>
      </c>
      <c r="H65" s="15"/>
      <c r="I65" s="15"/>
      <c r="J65" s="13">
        <v>1</v>
      </c>
      <c r="K65" s="15">
        <v>1</v>
      </c>
      <c r="L65" s="13"/>
      <c r="M65" s="17"/>
      <c r="N65" s="17"/>
      <c r="O65" s="17"/>
      <c r="P65" s="17"/>
      <c r="Q65" s="17"/>
      <c r="R65" s="17"/>
      <c r="S65" s="15"/>
      <c r="T65" s="25">
        <v>45662</v>
      </c>
      <c r="U65" s="13" t="s">
        <v>195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4"/>
      <c r="B66" s="147"/>
      <c r="C66" s="85" t="s">
        <v>228</v>
      </c>
      <c r="D66" s="109" t="s">
        <v>229</v>
      </c>
      <c r="E66" s="15" t="s">
        <v>198</v>
      </c>
      <c r="F66" s="16"/>
      <c r="G66" s="12" t="s">
        <v>189</v>
      </c>
      <c r="H66" s="13"/>
      <c r="I66" s="15"/>
      <c r="J66" s="13"/>
      <c r="K66" s="15"/>
      <c r="L66" s="13"/>
      <c r="M66" s="17"/>
      <c r="N66" s="17"/>
      <c r="O66" s="17"/>
      <c r="P66" s="17"/>
      <c r="Q66" s="17"/>
      <c r="R66" s="17"/>
      <c r="S66" s="15">
        <v>2</v>
      </c>
      <c r="T66" s="25">
        <v>45665</v>
      </c>
      <c r="U66" s="13" t="s">
        <v>195</v>
      </c>
      <c r="V66">
        <v>4</v>
      </c>
      <c r="AA66" s="49" t="s">
        <v>83</v>
      </c>
      <c r="AB66" s="50" t="s">
        <v>38</v>
      </c>
    </row>
    <row r="67" spans="1:28" x14ac:dyDescent="0.4">
      <c r="A67" s="144"/>
      <c r="B67" s="147"/>
      <c r="C67" s="85" t="s">
        <v>230</v>
      </c>
      <c r="D67" s="109" t="s">
        <v>220</v>
      </c>
      <c r="E67" s="15" t="s">
        <v>231</v>
      </c>
      <c r="F67" s="16"/>
      <c r="G67" s="12" t="s">
        <v>189</v>
      </c>
      <c r="H67" s="15"/>
      <c r="I67" s="15"/>
      <c r="J67" s="13">
        <v>2</v>
      </c>
      <c r="K67" s="15"/>
      <c r="L67" s="13"/>
      <c r="M67" s="17"/>
      <c r="N67" s="17"/>
      <c r="O67" s="17"/>
      <c r="P67" s="17"/>
      <c r="Q67" s="17"/>
      <c r="R67" s="17"/>
      <c r="S67" s="15"/>
      <c r="T67" s="25">
        <v>45670</v>
      </c>
      <c r="U67" s="13" t="s">
        <v>195</v>
      </c>
      <c r="V67">
        <v>5</v>
      </c>
      <c r="AA67" s="49" t="s">
        <v>84</v>
      </c>
      <c r="AB67" s="50" t="s">
        <v>44</v>
      </c>
    </row>
    <row r="68" spans="1:28" x14ac:dyDescent="0.4">
      <c r="A68" s="144"/>
      <c r="B68" s="147"/>
      <c r="C68" s="85" t="s">
        <v>232</v>
      </c>
      <c r="D68" s="109" t="s">
        <v>220</v>
      </c>
      <c r="E68" s="15" t="s">
        <v>231</v>
      </c>
      <c r="F68" s="16"/>
      <c r="G68" s="12" t="s">
        <v>189</v>
      </c>
      <c r="H68" s="15"/>
      <c r="I68" s="15"/>
      <c r="J68" s="13">
        <v>2</v>
      </c>
      <c r="K68" s="15"/>
      <c r="L68" s="13"/>
      <c r="M68" s="17"/>
      <c r="N68" s="17"/>
      <c r="O68" s="17"/>
      <c r="P68" s="17"/>
      <c r="Q68" s="17"/>
      <c r="R68" s="17"/>
      <c r="S68" s="15"/>
      <c r="T68" s="25">
        <v>45670</v>
      </c>
      <c r="U68" s="13" t="s">
        <v>195</v>
      </c>
      <c r="V68">
        <v>6</v>
      </c>
      <c r="AA68" s="49" t="s">
        <v>85</v>
      </c>
      <c r="AB68" s="50" t="s">
        <v>43</v>
      </c>
    </row>
    <row r="69" spans="1:28" x14ac:dyDescent="0.4">
      <c r="A69" s="144"/>
      <c r="B69" s="147"/>
      <c r="C69" s="85" t="s">
        <v>233</v>
      </c>
      <c r="D69" s="109" t="s">
        <v>220</v>
      </c>
      <c r="E69" s="15" t="s">
        <v>59</v>
      </c>
      <c r="F69" s="16"/>
      <c r="G69" s="12" t="s">
        <v>189</v>
      </c>
      <c r="H69" s="15" t="s">
        <v>221</v>
      </c>
      <c r="I69" s="15"/>
      <c r="J69" s="13">
        <v>2</v>
      </c>
      <c r="K69" s="15"/>
      <c r="L69" s="13"/>
      <c r="M69" s="17"/>
      <c r="N69" s="17"/>
      <c r="O69" s="17"/>
      <c r="P69" s="17"/>
      <c r="Q69" s="17"/>
      <c r="R69" s="17"/>
      <c r="S69" s="15"/>
      <c r="T69" s="25">
        <v>45670</v>
      </c>
      <c r="U69" s="13" t="s">
        <v>195</v>
      </c>
      <c r="V69">
        <v>7</v>
      </c>
      <c r="AA69" s="49" t="s">
        <v>86</v>
      </c>
      <c r="AB69" s="50" t="s">
        <v>45</v>
      </c>
    </row>
    <row r="70" spans="1:28" x14ac:dyDescent="0.4">
      <c r="A70" s="144"/>
      <c r="B70" s="147"/>
      <c r="C70" s="85" t="s">
        <v>234</v>
      </c>
      <c r="D70" s="109" t="s">
        <v>235</v>
      </c>
      <c r="E70" s="15" t="s">
        <v>236</v>
      </c>
      <c r="F70" s="16"/>
      <c r="G70" s="12" t="s">
        <v>189</v>
      </c>
      <c r="H70" s="15"/>
      <c r="I70" s="15"/>
      <c r="J70" s="13"/>
      <c r="K70" s="15"/>
      <c r="L70" s="13"/>
      <c r="M70" s="17">
        <v>1</v>
      </c>
      <c r="N70" s="17">
        <v>1</v>
      </c>
      <c r="O70" s="17"/>
      <c r="P70" s="17"/>
      <c r="Q70" s="17"/>
      <c r="R70" s="17"/>
      <c r="S70" s="15"/>
      <c r="T70" s="25">
        <v>45662</v>
      </c>
      <c r="U70" s="13" t="s">
        <v>190</v>
      </c>
      <c r="V70">
        <v>8</v>
      </c>
      <c r="AA70" s="49" t="s">
        <v>87</v>
      </c>
      <c r="AB70" s="50" t="s">
        <v>37</v>
      </c>
    </row>
    <row r="71" spans="1:28" x14ac:dyDescent="0.4">
      <c r="A71" s="144"/>
      <c r="B71" s="147"/>
      <c r="C71" s="85" t="s">
        <v>237</v>
      </c>
      <c r="D71" s="109" t="s">
        <v>238</v>
      </c>
      <c r="E71" s="15" t="s">
        <v>239</v>
      </c>
      <c r="F71" s="16"/>
      <c r="G71" s="12" t="s">
        <v>189</v>
      </c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>
        <v>1</v>
      </c>
      <c r="T71" s="25">
        <v>45651</v>
      </c>
      <c r="U71" s="13" t="s">
        <v>195</v>
      </c>
      <c r="V71">
        <v>9</v>
      </c>
      <c r="AA71" s="49" t="s">
        <v>88</v>
      </c>
      <c r="AB71" s="50" t="s">
        <v>74</v>
      </c>
    </row>
    <row r="72" spans="1:28" x14ac:dyDescent="0.4">
      <c r="A72" s="144"/>
      <c r="B72" s="147"/>
      <c r="C72" s="85" t="s">
        <v>240</v>
      </c>
      <c r="D72" s="109" t="s">
        <v>187</v>
      </c>
      <c r="E72" s="15" t="s">
        <v>200</v>
      </c>
      <c r="F72" s="16"/>
      <c r="G72" s="12" t="s">
        <v>189</v>
      </c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>
        <v>45651</v>
      </c>
      <c r="U72" s="13" t="s">
        <v>190</v>
      </c>
      <c r="V72">
        <v>10</v>
      </c>
      <c r="AA72" s="49" t="s">
        <v>89</v>
      </c>
      <c r="AB72" s="50" t="s">
        <v>36</v>
      </c>
    </row>
    <row r="73" spans="1:28" x14ac:dyDescent="0.4">
      <c r="A73" s="144"/>
      <c r="B73" s="147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4"/>
      <c r="B74" s="147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4"/>
      <c r="B75" s="147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4"/>
      <c r="B76" s="147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4"/>
      <c r="B77" s="147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4"/>
      <c r="B78" s="147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4"/>
      <c r="B79" s="147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4"/>
      <c r="B80" s="147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4"/>
      <c r="B81" s="147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4"/>
      <c r="B82" s="147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4"/>
      <c r="B83" s="147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4"/>
      <c r="B84" s="147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4"/>
      <c r="B85" s="147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4"/>
      <c r="B86" s="147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5"/>
      <c r="B87" s="148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10</v>
      </c>
      <c r="D88" s="112"/>
      <c r="E88" s="29"/>
      <c r="F88" s="29" t="s">
        <v>34</v>
      </c>
      <c r="G88" s="29">
        <f>COUNTIF(G63:G87,"S")</f>
        <v>10</v>
      </c>
      <c r="H88" s="29">
        <f>COUNTIF(H63:H87,"E")</f>
        <v>1</v>
      </c>
      <c r="I88" s="29">
        <f>SUM(I63:I87)</f>
        <v>0</v>
      </c>
      <c r="J88" s="29"/>
      <c r="K88" s="29">
        <f t="shared" ref="K88:S88" si="2">SUM(K63:K87)</f>
        <v>1</v>
      </c>
      <c r="L88" s="29">
        <f t="shared" si="2"/>
        <v>0</v>
      </c>
      <c r="M88" s="29">
        <f t="shared" si="2"/>
        <v>3</v>
      </c>
      <c r="N88" s="29">
        <f t="shared" si="2"/>
        <v>1</v>
      </c>
      <c r="O88" s="29">
        <f t="shared" si="2"/>
        <v>0</v>
      </c>
      <c r="P88" s="29">
        <f t="shared" si="2"/>
        <v>0</v>
      </c>
      <c r="Q88" s="29">
        <f t="shared" si="2"/>
        <v>2</v>
      </c>
      <c r="R88" s="29">
        <f t="shared" si="2"/>
        <v>0</v>
      </c>
      <c r="S88" s="29">
        <f t="shared" si="2"/>
        <v>3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AYG095</v>
      </c>
      <c r="B91" s="24">
        <f>B1</f>
        <v>45629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6" t="s">
        <v>117</v>
      </c>
      <c r="Y92" s="142"/>
    </row>
    <row r="93" spans="1:28" ht="20.25" thickTop="1" thickBot="1" x14ac:dyDescent="0.45">
      <c r="A93" s="143">
        <v>4</v>
      </c>
      <c r="B93" s="133">
        <v>23.2</v>
      </c>
      <c r="C93" s="85" t="s">
        <v>369</v>
      </c>
      <c r="D93" s="109" t="s">
        <v>247</v>
      </c>
      <c r="E93" s="15" t="s">
        <v>248</v>
      </c>
      <c r="F93" s="14"/>
      <c r="G93" s="12" t="s">
        <v>249</v>
      </c>
      <c r="H93" s="13"/>
      <c r="I93" s="13"/>
      <c r="J93" s="13">
        <v>1</v>
      </c>
      <c r="K93" s="13"/>
      <c r="L93" s="13">
        <v>1</v>
      </c>
      <c r="M93" s="13"/>
      <c r="N93" s="13"/>
      <c r="O93" s="13"/>
      <c r="P93" s="13"/>
      <c r="Q93" s="13"/>
      <c r="R93" s="13"/>
      <c r="S93" s="13"/>
      <c r="T93" s="25">
        <v>45652</v>
      </c>
      <c r="U93" s="13" t="s">
        <v>250</v>
      </c>
      <c r="V93">
        <v>1</v>
      </c>
      <c r="X93" s="51" t="s">
        <v>106</v>
      </c>
      <c r="Y93" s="52">
        <f>COUNTIF(U93:U117,"K")</f>
        <v>8</v>
      </c>
      <c r="AA93" s="59" t="s">
        <v>120</v>
      </c>
      <c r="AB93" s="60" t="s">
        <v>121</v>
      </c>
    </row>
    <row r="94" spans="1:28" x14ac:dyDescent="0.4">
      <c r="A94" s="144"/>
      <c r="B94" s="134"/>
      <c r="C94" s="85" t="s">
        <v>253</v>
      </c>
      <c r="D94" s="109" t="s">
        <v>252</v>
      </c>
      <c r="E94" s="15" t="s">
        <v>251</v>
      </c>
      <c r="F94" s="16"/>
      <c r="G94" s="12" t="s">
        <v>249</v>
      </c>
      <c r="H94" s="15"/>
      <c r="I94" s="15"/>
      <c r="J94" s="15">
        <v>1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45641</v>
      </c>
      <c r="U94" s="15" t="s">
        <v>250</v>
      </c>
      <c r="V94">
        <v>2</v>
      </c>
      <c r="X94" s="51" t="s">
        <v>107</v>
      </c>
      <c r="Y94" s="52">
        <f>COUNTIF(U93:U117,"R")</f>
        <v>6</v>
      </c>
      <c r="AA94" s="47" t="s">
        <v>81</v>
      </c>
      <c r="AB94" s="48" t="s">
        <v>60</v>
      </c>
    </row>
    <row r="95" spans="1:28" ht="19.5" thickBot="1" x14ac:dyDescent="0.45">
      <c r="A95" s="144"/>
      <c r="B95" s="134"/>
      <c r="C95" s="85" t="s">
        <v>254</v>
      </c>
      <c r="D95" s="109" t="s">
        <v>255</v>
      </c>
      <c r="E95" s="15" t="s">
        <v>251</v>
      </c>
      <c r="F95" s="16"/>
      <c r="G95" s="12" t="s">
        <v>249</v>
      </c>
      <c r="H95" s="15"/>
      <c r="I95" s="15"/>
      <c r="J95" s="15">
        <v>1</v>
      </c>
      <c r="K95" s="15">
        <v>1</v>
      </c>
      <c r="L95" s="17"/>
      <c r="M95" s="17"/>
      <c r="N95" s="17"/>
      <c r="O95" s="17"/>
      <c r="P95" s="17"/>
      <c r="Q95" s="17"/>
      <c r="R95" s="17"/>
      <c r="S95" s="15"/>
      <c r="T95" s="25">
        <v>45668</v>
      </c>
      <c r="U95" s="15" t="s">
        <v>250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44"/>
      <c r="B96" s="134"/>
      <c r="C96" s="85" t="s">
        <v>258</v>
      </c>
      <c r="D96" s="109" t="s">
        <v>257</v>
      </c>
      <c r="E96" s="15" t="s">
        <v>256</v>
      </c>
      <c r="F96" s="16"/>
      <c r="G96" s="12" t="s">
        <v>249</v>
      </c>
      <c r="H96" s="15"/>
      <c r="I96" s="15"/>
      <c r="J96" s="15">
        <v>1</v>
      </c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45649</v>
      </c>
      <c r="U96" s="15" t="s">
        <v>250</v>
      </c>
      <c r="V96">
        <v>4</v>
      </c>
      <c r="AA96" s="49" t="s">
        <v>83</v>
      </c>
      <c r="AB96" s="50" t="s">
        <v>38</v>
      </c>
    </row>
    <row r="97" spans="1:28" x14ac:dyDescent="0.4">
      <c r="A97" s="144"/>
      <c r="B97" s="134"/>
      <c r="C97" s="85" t="s">
        <v>259</v>
      </c>
      <c r="D97" s="109" t="s">
        <v>247</v>
      </c>
      <c r="E97" s="15" t="s">
        <v>260</v>
      </c>
      <c r="F97" s="16"/>
      <c r="G97" s="12" t="s">
        <v>249</v>
      </c>
      <c r="H97" s="15"/>
      <c r="I97" s="15"/>
      <c r="J97" s="15">
        <v>1</v>
      </c>
      <c r="K97" s="15">
        <v>1</v>
      </c>
      <c r="L97" s="17"/>
      <c r="M97" s="17"/>
      <c r="N97" s="17"/>
      <c r="O97" s="17"/>
      <c r="P97" s="17"/>
      <c r="Q97" s="17"/>
      <c r="R97" s="17"/>
      <c r="S97" s="15"/>
      <c r="T97" s="25">
        <v>45652</v>
      </c>
      <c r="U97" s="15" t="s">
        <v>250</v>
      </c>
      <c r="V97">
        <v>5</v>
      </c>
      <c r="AA97" s="49" t="s">
        <v>84</v>
      </c>
      <c r="AB97" s="50" t="s">
        <v>44</v>
      </c>
    </row>
    <row r="98" spans="1:28" x14ac:dyDescent="0.4">
      <c r="A98" s="144"/>
      <c r="B98" s="134"/>
      <c r="C98" s="85" t="s">
        <v>262</v>
      </c>
      <c r="D98" s="109" t="s">
        <v>257</v>
      </c>
      <c r="E98" s="15" t="s">
        <v>261</v>
      </c>
      <c r="F98" s="16"/>
      <c r="G98" s="12" t="s">
        <v>249</v>
      </c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>
        <v>1</v>
      </c>
      <c r="T98" s="25">
        <v>45649</v>
      </c>
      <c r="U98" s="15" t="s">
        <v>250</v>
      </c>
      <c r="V98">
        <v>6</v>
      </c>
      <c r="AA98" s="49" t="s">
        <v>85</v>
      </c>
      <c r="AB98" s="50" t="s">
        <v>43</v>
      </c>
    </row>
    <row r="99" spans="1:28" x14ac:dyDescent="0.4">
      <c r="A99" s="144"/>
      <c r="B99" s="134"/>
      <c r="C99" s="85" t="s">
        <v>263</v>
      </c>
      <c r="D99" s="109" t="s">
        <v>247</v>
      </c>
      <c r="E99" s="15" t="s">
        <v>248</v>
      </c>
      <c r="F99" s="16"/>
      <c r="G99" s="12" t="s">
        <v>249</v>
      </c>
      <c r="H99" s="15"/>
      <c r="I99" s="15"/>
      <c r="J99" s="15">
        <v>1</v>
      </c>
      <c r="K99" s="15"/>
      <c r="L99" s="17">
        <v>1</v>
      </c>
      <c r="M99" s="17"/>
      <c r="N99" s="17"/>
      <c r="O99" s="17"/>
      <c r="P99" s="17"/>
      <c r="Q99" s="17"/>
      <c r="R99" s="17"/>
      <c r="S99" s="15"/>
      <c r="T99" s="25">
        <v>45652</v>
      </c>
      <c r="U99" s="15" t="s">
        <v>250</v>
      </c>
      <c r="V99">
        <v>7</v>
      </c>
      <c r="AA99" s="49" t="s">
        <v>86</v>
      </c>
      <c r="AB99" s="50" t="s">
        <v>45</v>
      </c>
    </row>
    <row r="100" spans="1:28" x14ac:dyDescent="0.4">
      <c r="A100" s="144"/>
      <c r="B100" s="134"/>
      <c r="C100" s="85" t="s">
        <v>266</v>
      </c>
      <c r="D100" s="109" t="s">
        <v>247</v>
      </c>
      <c r="E100" s="15" t="s">
        <v>265</v>
      </c>
      <c r="F100" s="16"/>
      <c r="G100" s="12" t="s">
        <v>249</v>
      </c>
      <c r="H100" s="15"/>
      <c r="I100" s="15"/>
      <c r="J100" s="15"/>
      <c r="K100" s="15"/>
      <c r="L100" s="17"/>
      <c r="M100" s="17"/>
      <c r="N100" s="17"/>
      <c r="O100" s="17">
        <v>1</v>
      </c>
      <c r="P100" s="17"/>
      <c r="Q100" s="17"/>
      <c r="R100" s="17"/>
      <c r="S100" s="15"/>
      <c r="T100" s="25">
        <v>45652</v>
      </c>
      <c r="U100" s="15" t="s">
        <v>264</v>
      </c>
      <c r="V100">
        <v>8</v>
      </c>
      <c r="AA100" s="49" t="s">
        <v>87</v>
      </c>
      <c r="AB100" s="50" t="s">
        <v>37</v>
      </c>
    </row>
    <row r="101" spans="1:28" x14ac:dyDescent="0.4">
      <c r="A101" s="144"/>
      <c r="B101" s="134"/>
      <c r="C101" s="85" t="s">
        <v>267</v>
      </c>
      <c r="D101" s="109" t="s">
        <v>247</v>
      </c>
      <c r="E101" s="15" t="s">
        <v>260</v>
      </c>
      <c r="F101" s="16"/>
      <c r="G101" s="12" t="s">
        <v>249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45652</v>
      </c>
      <c r="U101" s="15" t="s">
        <v>268</v>
      </c>
      <c r="V101">
        <v>9</v>
      </c>
      <c r="AA101" s="49" t="s">
        <v>88</v>
      </c>
      <c r="AB101" s="50" t="s">
        <v>74</v>
      </c>
    </row>
    <row r="102" spans="1:28" x14ac:dyDescent="0.4">
      <c r="A102" s="144"/>
      <c r="B102" s="134"/>
      <c r="C102" s="85" t="s">
        <v>270</v>
      </c>
      <c r="D102" s="109" t="s">
        <v>247</v>
      </c>
      <c r="E102" s="15" t="s">
        <v>269</v>
      </c>
      <c r="F102" s="16"/>
      <c r="G102" s="12" t="s">
        <v>249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>
        <v>1</v>
      </c>
      <c r="R102" s="17"/>
      <c r="S102" s="15"/>
      <c r="T102" s="25">
        <v>45663</v>
      </c>
      <c r="U102" s="15" t="s">
        <v>268</v>
      </c>
      <c r="V102">
        <v>10</v>
      </c>
      <c r="AA102" s="49" t="s">
        <v>89</v>
      </c>
      <c r="AB102" s="50" t="s">
        <v>36</v>
      </c>
    </row>
    <row r="103" spans="1:28" x14ac:dyDescent="0.4">
      <c r="A103" s="144"/>
      <c r="B103" s="134"/>
      <c r="C103" s="85" t="s">
        <v>271</v>
      </c>
      <c r="D103" s="109" t="s">
        <v>247</v>
      </c>
      <c r="E103" s="15" t="s">
        <v>273</v>
      </c>
      <c r="F103" s="16"/>
      <c r="G103" s="12" t="s">
        <v>249</v>
      </c>
      <c r="H103" s="15"/>
      <c r="I103" s="15"/>
      <c r="J103" s="15"/>
      <c r="K103" s="15"/>
      <c r="L103" s="17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45652</v>
      </c>
      <c r="U103" s="15" t="s">
        <v>268</v>
      </c>
      <c r="V103">
        <v>11</v>
      </c>
      <c r="AA103" s="49" t="s">
        <v>90</v>
      </c>
      <c r="AB103" s="50" t="s">
        <v>58</v>
      </c>
    </row>
    <row r="104" spans="1:28" x14ac:dyDescent="0.4">
      <c r="A104" s="144"/>
      <c r="B104" s="134"/>
      <c r="C104" s="85" t="s">
        <v>272</v>
      </c>
      <c r="D104" s="109" t="s">
        <v>247</v>
      </c>
      <c r="E104" s="15" t="s">
        <v>256</v>
      </c>
      <c r="F104" s="16"/>
      <c r="G104" s="12" t="s">
        <v>249</v>
      </c>
      <c r="H104" s="15"/>
      <c r="I104" s="15"/>
      <c r="J104" s="15"/>
      <c r="K104" s="15"/>
      <c r="L104" s="17"/>
      <c r="M104" s="17">
        <v>1</v>
      </c>
      <c r="N104" s="17">
        <v>1</v>
      </c>
      <c r="O104" s="17"/>
      <c r="P104" s="17"/>
      <c r="Q104" s="17">
        <v>1</v>
      </c>
      <c r="R104" s="17"/>
      <c r="S104" s="15"/>
      <c r="T104" s="25">
        <v>45652</v>
      </c>
      <c r="U104" s="15" t="s">
        <v>268</v>
      </c>
      <c r="V104">
        <v>12</v>
      </c>
      <c r="AA104" s="49" t="s">
        <v>91</v>
      </c>
      <c r="AB104" s="50" t="s">
        <v>75</v>
      </c>
    </row>
    <row r="105" spans="1:28" x14ac:dyDescent="0.4">
      <c r="A105" s="144"/>
      <c r="B105" s="134"/>
      <c r="C105" s="85" t="s">
        <v>274</v>
      </c>
      <c r="D105" s="109" t="s">
        <v>275</v>
      </c>
      <c r="E105" s="15" t="s">
        <v>261</v>
      </c>
      <c r="F105" s="16"/>
      <c r="G105" s="12" t="s">
        <v>249</v>
      </c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>
        <v>45670</v>
      </c>
      <c r="U105" s="15" t="s">
        <v>268</v>
      </c>
      <c r="V105">
        <v>13</v>
      </c>
      <c r="AA105" s="49" t="s">
        <v>92</v>
      </c>
      <c r="AB105" s="50" t="s">
        <v>40</v>
      </c>
    </row>
    <row r="106" spans="1:28" x14ac:dyDescent="0.4">
      <c r="A106" s="144"/>
      <c r="B106" s="134"/>
      <c r="C106" s="85" t="s">
        <v>277</v>
      </c>
      <c r="D106" s="109" t="s">
        <v>276</v>
      </c>
      <c r="E106" s="15" t="s">
        <v>273</v>
      </c>
      <c r="F106" s="16"/>
      <c r="G106" s="12" t="s">
        <v>249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45664</v>
      </c>
      <c r="U106" s="15" t="s">
        <v>250</v>
      </c>
      <c r="V106">
        <v>14</v>
      </c>
      <c r="AA106" s="49" t="s">
        <v>93</v>
      </c>
      <c r="AB106" s="50" t="s">
        <v>57</v>
      </c>
    </row>
    <row r="107" spans="1:28" x14ac:dyDescent="0.4">
      <c r="A107" s="144"/>
      <c r="B107" s="134"/>
      <c r="C107" s="85" t="s">
        <v>278</v>
      </c>
      <c r="D107" s="109">
        <v>1101</v>
      </c>
      <c r="E107" s="15" t="s">
        <v>256</v>
      </c>
      <c r="F107" s="16"/>
      <c r="G107" s="15" t="s">
        <v>249</v>
      </c>
      <c r="H107" s="15"/>
      <c r="I107" s="15"/>
      <c r="J107" s="15"/>
      <c r="K107" s="15"/>
      <c r="L107" s="17"/>
      <c r="M107" s="17">
        <v>1</v>
      </c>
      <c r="N107" s="17">
        <v>1</v>
      </c>
      <c r="O107" s="17"/>
      <c r="P107" s="17"/>
      <c r="Q107" s="17"/>
      <c r="R107" s="17"/>
      <c r="S107" s="15"/>
      <c r="T107" s="25">
        <v>45664</v>
      </c>
      <c r="U107" s="15" t="s">
        <v>268</v>
      </c>
      <c r="V107">
        <v>15</v>
      </c>
      <c r="AA107" s="49" t="s">
        <v>94</v>
      </c>
      <c r="AB107" s="50" t="s">
        <v>41</v>
      </c>
    </row>
    <row r="108" spans="1:28" x14ac:dyDescent="0.4">
      <c r="A108" s="144"/>
      <c r="B108" s="134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4"/>
      <c r="B109" s="134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4"/>
      <c r="B110" s="134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4"/>
      <c r="B111" s="134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4"/>
      <c r="B112" s="134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4"/>
      <c r="B113" s="134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4"/>
      <c r="B114" s="134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4"/>
      <c r="B115" s="134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4"/>
      <c r="B116" s="134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5"/>
      <c r="B117" s="135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7</v>
      </c>
      <c r="K118" s="29">
        <f t="shared" ref="K118" si="4">SUM(K93:K117)</f>
        <v>4</v>
      </c>
      <c r="L118" s="29">
        <f t="shared" ref="L118" si="5">SUM(L93:L117)</f>
        <v>2</v>
      </c>
      <c r="M118" s="29">
        <f t="shared" ref="M118" si="6">SUM(M93:M117)</f>
        <v>4</v>
      </c>
      <c r="N118" s="29">
        <f t="shared" ref="N118" si="7">SUM(N93:N117)</f>
        <v>4</v>
      </c>
      <c r="O118" s="29">
        <f t="shared" ref="O118" si="8">SUM(O93:O117)</f>
        <v>1</v>
      </c>
      <c r="P118" s="29">
        <f t="shared" ref="P118" si="9">SUM(P93:P117)</f>
        <v>0</v>
      </c>
      <c r="Q118" s="29">
        <f t="shared" ref="Q118" si="10">SUM(Q93:Q117)</f>
        <v>4</v>
      </c>
      <c r="R118" s="29">
        <f t="shared" ref="R118" si="11">SUM(R93:R117)</f>
        <v>0</v>
      </c>
      <c r="S118" s="29">
        <f t="shared" ref="S118" si="12">SUM(S93:S117)</f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27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AYG095</v>
      </c>
      <c r="B121" s="24">
        <f>B1</f>
        <v>45629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6" t="s">
        <v>116</v>
      </c>
      <c r="Y122" s="142"/>
    </row>
    <row r="123" spans="1:28" ht="20.25" thickTop="1" thickBot="1" x14ac:dyDescent="0.45">
      <c r="A123" s="143">
        <v>5</v>
      </c>
      <c r="B123" s="133">
        <v>18.8</v>
      </c>
      <c r="C123" s="85" t="s">
        <v>241</v>
      </c>
      <c r="D123" s="106" t="s">
        <v>220</v>
      </c>
      <c r="E123" s="106" t="s">
        <v>246</v>
      </c>
      <c r="F123" s="14"/>
      <c r="G123" s="12" t="s">
        <v>189</v>
      </c>
      <c r="H123" s="13" t="s">
        <v>221</v>
      </c>
      <c r="I123" s="13"/>
      <c r="J123" s="13">
        <v>2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45671</v>
      </c>
      <c r="U123" s="13" t="s">
        <v>195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44"/>
      <c r="B124" s="134"/>
      <c r="C124" s="85" t="s">
        <v>242</v>
      </c>
      <c r="D124" s="106" t="s">
        <v>220</v>
      </c>
      <c r="E124" s="106" t="s">
        <v>246</v>
      </c>
      <c r="F124" s="16"/>
      <c r="G124" s="12" t="s">
        <v>189</v>
      </c>
      <c r="H124" s="15" t="s">
        <v>221</v>
      </c>
      <c r="I124" s="15"/>
      <c r="J124" s="13">
        <v>2</v>
      </c>
      <c r="K124" s="15"/>
      <c r="L124" s="13"/>
      <c r="M124" s="17"/>
      <c r="N124" s="17"/>
      <c r="O124" s="17"/>
      <c r="P124" s="17"/>
      <c r="Q124" s="17"/>
      <c r="R124" s="17"/>
      <c r="S124" s="15"/>
      <c r="T124" s="25">
        <v>45665</v>
      </c>
      <c r="U124" s="13" t="s">
        <v>195</v>
      </c>
      <c r="V124">
        <v>2</v>
      </c>
      <c r="X124" s="51" t="s">
        <v>107</v>
      </c>
      <c r="Y124" s="52">
        <f>COUNTIF(U123:U147,"R")</f>
        <v>0</v>
      </c>
      <c r="AA124" s="47" t="s">
        <v>81</v>
      </c>
      <c r="AB124" s="48" t="s">
        <v>60</v>
      </c>
    </row>
    <row r="125" spans="1:28" ht="19.5" thickBot="1" x14ac:dyDescent="0.45">
      <c r="A125" s="144"/>
      <c r="B125" s="134"/>
      <c r="C125" s="85" t="s">
        <v>243</v>
      </c>
      <c r="D125" s="106" t="s">
        <v>220</v>
      </c>
      <c r="E125" s="106" t="s">
        <v>246</v>
      </c>
      <c r="F125" s="16"/>
      <c r="G125" s="12" t="s">
        <v>189</v>
      </c>
      <c r="H125" s="13" t="s">
        <v>221</v>
      </c>
      <c r="I125" s="15"/>
      <c r="J125" s="13">
        <v>2</v>
      </c>
      <c r="K125" s="15"/>
      <c r="L125" s="13"/>
      <c r="M125" s="17"/>
      <c r="N125" s="17"/>
      <c r="O125" s="17"/>
      <c r="P125" s="17"/>
      <c r="Q125" s="17"/>
      <c r="R125" s="17"/>
      <c r="S125" s="15"/>
      <c r="T125" s="25">
        <v>45664</v>
      </c>
      <c r="U125" s="13" t="s">
        <v>195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4"/>
      <c r="B126" s="134"/>
      <c r="C126" s="85" t="s">
        <v>244</v>
      </c>
      <c r="D126" s="106" t="s">
        <v>220</v>
      </c>
      <c r="E126" s="106" t="s">
        <v>246</v>
      </c>
      <c r="F126" s="16"/>
      <c r="G126" s="12" t="s">
        <v>189</v>
      </c>
      <c r="H126" s="15" t="s">
        <v>221</v>
      </c>
      <c r="I126" s="15"/>
      <c r="J126" s="13">
        <v>2</v>
      </c>
      <c r="K126" s="15"/>
      <c r="L126" s="13"/>
      <c r="M126" s="17"/>
      <c r="N126" s="17"/>
      <c r="O126" s="17"/>
      <c r="P126" s="17"/>
      <c r="Q126" s="17"/>
      <c r="R126" s="17"/>
      <c r="S126" s="15"/>
      <c r="T126" s="25">
        <v>45664</v>
      </c>
      <c r="U126" s="13" t="s">
        <v>195</v>
      </c>
      <c r="V126">
        <v>4</v>
      </c>
      <c r="AA126" s="49" t="s">
        <v>83</v>
      </c>
      <c r="AB126" s="50" t="s">
        <v>38</v>
      </c>
    </row>
    <row r="127" spans="1:28" x14ac:dyDescent="0.4">
      <c r="A127" s="144"/>
      <c r="B127" s="134"/>
      <c r="C127" s="85"/>
      <c r="D127" s="106"/>
      <c r="E127" s="106"/>
      <c r="F127" s="16"/>
      <c r="G127" s="12"/>
      <c r="H127" s="15"/>
      <c r="I127" s="15"/>
      <c r="J127" s="13"/>
      <c r="K127" s="15"/>
      <c r="L127" s="13"/>
      <c r="M127" s="17"/>
      <c r="N127" s="17"/>
      <c r="O127" s="17"/>
      <c r="P127" s="17"/>
      <c r="Q127" s="17"/>
      <c r="R127" s="17"/>
      <c r="S127" s="15"/>
      <c r="T127" s="25"/>
      <c r="U127" s="13"/>
      <c r="V127">
        <v>5</v>
      </c>
      <c r="AA127" s="49" t="s">
        <v>84</v>
      </c>
      <c r="AB127" s="50" t="s">
        <v>44</v>
      </c>
    </row>
    <row r="128" spans="1:28" x14ac:dyDescent="0.4">
      <c r="A128" s="144"/>
      <c r="B128" s="134"/>
      <c r="C128" s="85"/>
      <c r="D128" s="106"/>
      <c r="E128" s="106"/>
      <c r="F128" s="16"/>
      <c r="G128" s="12"/>
      <c r="H128" s="13"/>
      <c r="I128" s="15"/>
      <c r="J128" s="13"/>
      <c r="K128" s="15"/>
      <c r="L128" s="13"/>
      <c r="M128" s="17"/>
      <c r="N128" s="17"/>
      <c r="O128" s="17"/>
      <c r="P128" s="17"/>
      <c r="Q128" s="17"/>
      <c r="R128" s="17"/>
      <c r="S128" s="15"/>
      <c r="T128" s="25"/>
      <c r="U128" s="13"/>
      <c r="V128">
        <v>6</v>
      </c>
      <c r="AA128" s="49" t="s">
        <v>85</v>
      </c>
      <c r="AB128" s="50" t="s">
        <v>43</v>
      </c>
    </row>
    <row r="129" spans="1:28" x14ac:dyDescent="0.4">
      <c r="A129" s="144"/>
      <c r="B129" s="134"/>
      <c r="C129" s="85"/>
      <c r="D129" s="106"/>
      <c r="E129" s="106"/>
      <c r="F129" s="16"/>
      <c r="G129" s="12"/>
      <c r="H129" s="15"/>
      <c r="I129" s="15"/>
      <c r="J129" s="13"/>
      <c r="K129" s="15"/>
      <c r="L129" s="13"/>
      <c r="M129" s="17"/>
      <c r="N129" s="17"/>
      <c r="O129" s="17"/>
      <c r="P129" s="17"/>
      <c r="Q129" s="17"/>
      <c r="R129" s="17"/>
      <c r="S129" s="15"/>
      <c r="T129" s="25"/>
      <c r="U129" s="13"/>
      <c r="V129">
        <v>7</v>
      </c>
      <c r="AA129" s="49" t="s">
        <v>86</v>
      </c>
      <c r="AB129" s="50" t="s">
        <v>45</v>
      </c>
    </row>
    <row r="130" spans="1:28" x14ac:dyDescent="0.4">
      <c r="A130" s="144"/>
      <c r="B130" s="134"/>
      <c r="C130" s="85"/>
      <c r="D130" s="106"/>
      <c r="E130" s="106"/>
      <c r="F130" s="16"/>
      <c r="G130" s="12"/>
      <c r="H130" s="15"/>
      <c r="I130" s="15"/>
      <c r="J130" s="13"/>
      <c r="K130" s="15"/>
      <c r="L130" s="13"/>
      <c r="M130" s="17"/>
      <c r="N130" s="17"/>
      <c r="O130" s="17"/>
      <c r="P130" s="17"/>
      <c r="Q130" s="17"/>
      <c r="R130" s="17"/>
      <c r="S130" s="15"/>
      <c r="T130" s="25"/>
      <c r="U130" s="13"/>
      <c r="V130">
        <v>8</v>
      </c>
      <c r="AA130" s="49" t="s">
        <v>87</v>
      </c>
      <c r="AB130" s="50" t="s">
        <v>37</v>
      </c>
    </row>
    <row r="131" spans="1:28" x14ac:dyDescent="0.4">
      <c r="A131" s="144"/>
      <c r="B131" s="134"/>
      <c r="C131" s="85"/>
      <c r="D131" s="106"/>
      <c r="E131" s="106"/>
      <c r="F131" s="16"/>
      <c r="G131" s="12"/>
      <c r="H131" s="15"/>
      <c r="I131" s="15"/>
      <c r="J131" s="13"/>
      <c r="K131" s="15"/>
      <c r="L131" s="13"/>
      <c r="M131" s="17"/>
      <c r="N131" s="17"/>
      <c r="O131" s="17"/>
      <c r="P131" s="17"/>
      <c r="Q131" s="17"/>
      <c r="R131" s="17"/>
      <c r="S131" s="15"/>
      <c r="T131" s="25"/>
      <c r="U131" s="13"/>
      <c r="V131">
        <v>9</v>
      </c>
      <c r="AA131" s="49" t="s">
        <v>88</v>
      </c>
      <c r="AB131" s="50" t="s">
        <v>74</v>
      </c>
    </row>
    <row r="132" spans="1:28" x14ac:dyDescent="0.4">
      <c r="A132" s="144"/>
      <c r="B132" s="134"/>
      <c r="C132" s="85"/>
      <c r="D132" s="106"/>
      <c r="E132" s="106"/>
      <c r="F132" s="106"/>
      <c r="G132" s="12"/>
      <c r="H132" s="15"/>
      <c r="I132" s="15"/>
      <c r="J132" s="13"/>
      <c r="K132" s="15"/>
      <c r="L132" s="13"/>
      <c r="M132" s="17"/>
      <c r="N132" s="17"/>
      <c r="O132" s="17"/>
      <c r="P132" s="17"/>
      <c r="Q132" s="17"/>
      <c r="R132" s="17"/>
      <c r="S132" s="15"/>
      <c r="T132" s="25"/>
      <c r="U132" s="13"/>
      <c r="V132">
        <v>10</v>
      </c>
      <c r="AA132" s="49" t="s">
        <v>89</v>
      </c>
      <c r="AB132" s="50" t="s">
        <v>36</v>
      </c>
    </row>
    <row r="133" spans="1:28" x14ac:dyDescent="0.4">
      <c r="A133" s="144"/>
      <c r="B133" s="134"/>
      <c r="C133" s="85"/>
      <c r="D133" s="106"/>
      <c r="E133" s="106"/>
      <c r="F133" s="16"/>
      <c r="G133" s="12"/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44"/>
      <c r="B134" s="134"/>
      <c r="C134" s="85"/>
      <c r="D134" s="106"/>
      <c r="E134" s="106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44"/>
      <c r="B135" s="134"/>
      <c r="C135" s="85"/>
      <c r="D135" s="106"/>
      <c r="E135" s="106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44"/>
      <c r="B136" s="134"/>
      <c r="C136" s="85"/>
      <c r="D136" s="106"/>
      <c r="E136" s="106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4"/>
      <c r="B137" s="134"/>
      <c r="C137" s="85"/>
      <c r="D137" s="106"/>
      <c r="E137" s="106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44"/>
      <c r="B138" s="134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4"/>
      <c r="B139" s="134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4"/>
      <c r="B140" s="134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4"/>
      <c r="B141" s="134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4"/>
      <c r="B142" s="134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4"/>
      <c r="B143" s="134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4"/>
      <c r="B144" s="134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4"/>
      <c r="B145" s="134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4"/>
      <c r="B146" s="134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5"/>
      <c r="B147" s="135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4</v>
      </c>
      <c r="D148" s="112"/>
      <c r="E148" s="29"/>
      <c r="F148" s="29" t="s">
        <v>34</v>
      </c>
      <c r="G148" s="29">
        <f>COUNTIF(G123:G147,"S")</f>
        <v>4</v>
      </c>
      <c r="H148" s="29">
        <f>COUNTIF(H123:H147,"E")</f>
        <v>4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0</v>
      </c>
      <c r="L148" s="29">
        <f t="shared" ref="L148" si="15">SUM(L123:L147)</f>
        <v>0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AYG095</v>
      </c>
      <c r="B151" s="24">
        <f>B1</f>
        <v>45629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6" t="s">
        <v>115</v>
      </c>
      <c r="Y152" s="142"/>
    </row>
    <row r="153" spans="1:28" ht="20.25" thickTop="1" thickBot="1" x14ac:dyDescent="0.45">
      <c r="A153" s="143">
        <v>6</v>
      </c>
      <c r="B153" s="146">
        <v>26.4</v>
      </c>
      <c r="C153" s="85" t="s">
        <v>279</v>
      </c>
      <c r="D153" s="106" t="s">
        <v>280</v>
      </c>
      <c r="E153" s="15" t="s">
        <v>281</v>
      </c>
      <c r="F153" s="14"/>
      <c r="G153" s="12" t="s">
        <v>282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5">
        <v>45642</v>
      </c>
      <c r="U153" s="13" t="s">
        <v>283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44"/>
      <c r="B154" s="147"/>
      <c r="C154" s="85" t="s">
        <v>286</v>
      </c>
      <c r="D154" s="106" t="s">
        <v>285</v>
      </c>
      <c r="E154" s="15" t="s">
        <v>281</v>
      </c>
      <c r="F154" s="16"/>
      <c r="G154" s="15" t="s">
        <v>282</v>
      </c>
      <c r="H154" s="15"/>
      <c r="I154" s="15"/>
      <c r="J154" s="15"/>
      <c r="K154" s="15">
        <v>1</v>
      </c>
      <c r="L154" s="17"/>
      <c r="M154" s="17">
        <v>1</v>
      </c>
      <c r="N154" s="17">
        <v>1</v>
      </c>
      <c r="O154" s="17"/>
      <c r="P154" s="17"/>
      <c r="Q154" s="17">
        <v>1</v>
      </c>
      <c r="R154" s="17"/>
      <c r="S154" s="15"/>
      <c r="T154" s="25">
        <v>45650</v>
      </c>
      <c r="U154" s="13" t="s">
        <v>284</v>
      </c>
      <c r="V154">
        <v>2</v>
      </c>
      <c r="X154" s="51" t="s">
        <v>107</v>
      </c>
      <c r="Y154" s="52">
        <f>COUNTIF(U153:U177,"R")</f>
        <v>5</v>
      </c>
      <c r="AA154" s="47" t="s">
        <v>81</v>
      </c>
      <c r="AB154" s="48" t="s">
        <v>60</v>
      </c>
    </row>
    <row r="155" spans="1:28" ht="19.5" thickBot="1" x14ac:dyDescent="0.45">
      <c r="A155" s="144"/>
      <c r="B155" s="147"/>
      <c r="C155" s="85" t="s">
        <v>287</v>
      </c>
      <c r="D155" s="106" t="s">
        <v>288</v>
      </c>
      <c r="E155" s="15" t="s">
        <v>281</v>
      </c>
      <c r="F155" s="16"/>
      <c r="G155" s="15" t="s">
        <v>282</v>
      </c>
      <c r="H155" s="13"/>
      <c r="I155" s="15"/>
      <c r="J155" s="15"/>
      <c r="K155" s="15"/>
      <c r="L155" s="17"/>
      <c r="M155" s="17">
        <v>1</v>
      </c>
      <c r="N155" s="17">
        <v>1</v>
      </c>
      <c r="O155" s="17"/>
      <c r="P155" s="17"/>
      <c r="Q155" s="17">
        <v>1</v>
      </c>
      <c r="R155" s="17"/>
      <c r="S155" s="15"/>
      <c r="T155" s="25">
        <v>45651</v>
      </c>
      <c r="U155" s="13" t="s">
        <v>284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4"/>
      <c r="B156" s="147"/>
      <c r="C156" s="85" t="s">
        <v>291</v>
      </c>
      <c r="D156" s="106" t="s">
        <v>290</v>
      </c>
      <c r="E156" s="15" t="s">
        <v>289</v>
      </c>
      <c r="F156" s="16"/>
      <c r="G156" s="15" t="s">
        <v>282</v>
      </c>
      <c r="H156" s="15"/>
      <c r="I156" s="15"/>
      <c r="J156" s="15"/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45664</v>
      </c>
      <c r="U156" s="13" t="s">
        <v>284</v>
      </c>
      <c r="V156">
        <v>4</v>
      </c>
      <c r="AA156" s="49" t="s">
        <v>83</v>
      </c>
      <c r="AB156" s="50" t="s">
        <v>38</v>
      </c>
    </row>
    <row r="157" spans="1:28" x14ac:dyDescent="0.4">
      <c r="A157" s="144"/>
      <c r="B157" s="147"/>
      <c r="C157" s="85" t="s">
        <v>292</v>
      </c>
      <c r="D157" s="106" t="s">
        <v>290</v>
      </c>
      <c r="E157" s="15" t="s">
        <v>293</v>
      </c>
      <c r="F157" s="16"/>
      <c r="G157" s="15" t="s">
        <v>282</v>
      </c>
      <c r="H157" s="15"/>
      <c r="I157" s="15"/>
      <c r="J157" s="15"/>
      <c r="K157" s="15"/>
      <c r="L157" s="17"/>
      <c r="M157" s="17"/>
      <c r="N157" s="17"/>
      <c r="O157" s="17"/>
      <c r="P157" s="17"/>
      <c r="Q157" s="17"/>
      <c r="R157" s="17"/>
      <c r="S157" s="15">
        <v>1</v>
      </c>
      <c r="T157" s="25">
        <v>45663</v>
      </c>
      <c r="U157" s="13" t="s">
        <v>283</v>
      </c>
      <c r="V157">
        <v>5</v>
      </c>
      <c r="AA157" s="49" t="s">
        <v>84</v>
      </c>
      <c r="AB157" s="50" t="s">
        <v>44</v>
      </c>
    </row>
    <row r="158" spans="1:28" x14ac:dyDescent="0.4">
      <c r="A158" s="144"/>
      <c r="B158" s="147"/>
      <c r="C158" s="85" t="s">
        <v>295</v>
      </c>
      <c r="D158" s="106" t="s">
        <v>290</v>
      </c>
      <c r="E158" s="15" t="s">
        <v>294</v>
      </c>
      <c r="F158" s="16"/>
      <c r="G158" s="13" t="s">
        <v>282</v>
      </c>
      <c r="H158" s="13"/>
      <c r="I158" s="15"/>
      <c r="J158" s="15">
        <v>1</v>
      </c>
      <c r="K158" s="15">
        <v>1</v>
      </c>
      <c r="L158" s="17"/>
      <c r="M158" s="17"/>
      <c r="N158" s="17"/>
      <c r="O158" s="17"/>
      <c r="P158" s="17"/>
      <c r="Q158" s="17"/>
      <c r="R158" s="17"/>
      <c r="S158" s="15"/>
      <c r="T158" s="25">
        <v>45665</v>
      </c>
      <c r="U158" s="15" t="s">
        <v>283</v>
      </c>
      <c r="V158">
        <v>6</v>
      </c>
      <c r="AA158" s="49" t="s">
        <v>85</v>
      </c>
      <c r="AB158" s="50" t="s">
        <v>43</v>
      </c>
    </row>
    <row r="159" spans="1:28" x14ac:dyDescent="0.4">
      <c r="A159" s="144"/>
      <c r="B159" s="147"/>
      <c r="C159" s="85" t="s">
        <v>296</v>
      </c>
      <c r="D159" s="106" t="s">
        <v>288</v>
      </c>
      <c r="E159" s="15" t="s">
        <v>281</v>
      </c>
      <c r="F159" s="16"/>
      <c r="G159" s="15" t="s">
        <v>282</v>
      </c>
      <c r="H159" s="15"/>
      <c r="I159" s="15"/>
      <c r="J159" s="15"/>
      <c r="K159" s="15"/>
      <c r="L159" s="17"/>
      <c r="M159" s="17">
        <v>1</v>
      </c>
      <c r="N159" s="17">
        <v>1</v>
      </c>
      <c r="O159" s="17"/>
      <c r="P159" s="17"/>
      <c r="Q159" s="17">
        <v>1</v>
      </c>
      <c r="R159" s="17"/>
      <c r="S159" s="15"/>
      <c r="T159" s="25">
        <v>45661</v>
      </c>
      <c r="U159" s="15" t="s">
        <v>284</v>
      </c>
      <c r="V159">
        <v>7</v>
      </c>
      <c r="AA159" s="49" t="s">
        <v>86</v>
      </c>
      <c r="AB159" s="50" t="s">
        <v>45</v>
      </c>
    </row>
    <row r="160" spans="1:28" x14ac:dyDescent="0.4">
      <c r="A160" s="144"/>
      <c r="B160" s="147"/>
      <c r="C160" s="85" t="s">
        <v>297</v>
      </c>
      <c r="D160" s="106" t="s">
        <v>288</v>
      </c>
      <c r="E160" s="15" t="s">
        <v>293</v>
      </c>
      <c r="F160" s="16"/>
      <c r="G160" s="15" t="s">
        <v>282</v>
      </c>
      <c r="H160" s="15"/>
      <c r="I160" s="15"/>
      <c r="J160" s="15"/>
      <c r="K160" s="15"/>
      <c r="L160" s="17"/>
      <c r="M160" s="17"/>
      <c r="N160" s="17"/>
      <c r="O160" s="17"/>
      <c r="P160" s="17"/>
      <c r="Q160" s="17"/>
      <c r="R160" s="17"/>
      <c r="S160" s="15">
        <v>1</v>
      </c>
      <c r="T160" s="25">
        <v>45644</v>
      </c>
      <c r="U160" s="15" t="s">
        <v>283</v>
      </c>
      <c r="V160">
        <v>8</v>
      </c>
      <c r="AA160" s="49" t="s">
        <v>87</v>
      </c>
      <c r="AB160" s="50" t="s">
        <v>37</v>
      </c>
    </row>
    <row r="161" spans="1:28" x14ac:dyDescent="0.4">
      <c r="A161" s="144"/>
      <c r="B161" s="147"/>
      <c r="C161" s="85" t="s">
        <v>298</v>
      </c>
      <c r="D161" s="106" t="s">
        <v>290</v>
      </c>
      <c r="E161" s="15" t="s">
        <v>299</v>
      </c>
      <c r="F161" s="16"/>
      <c r="G161" s="15" t="s">
        <v>282</v>
      </c>
      <c r="H161" s="15"/>
      <c r="I161" s="15"/>
      <c r="J161" s="15">
        <v>1</v>
      </c>
      <c r="K161" s="15">
        <v>1</v>
      </c>
      <c r="L161" s="17"/>
      <c r="M161" s="17"/>
      <c r="N161" s="17"/>
      <c r="O161" s="17"/>
      <c r="P161" s="17"/>
      <c r="Q161" s="17"/>
      <c r="R161" s="17"/>
      <c r="S161" s="132"/>
      <c r="T161" s="25">
        <v>45651</v>
      </c>
      <c r="U161" s="15" t="s">
        <v>283</v>
      </c>
      <c r="V161">
        <v>9</v>
      </c>
      <c r="AA161" s="49" t="s">
        <v>88</v>
      </c>
      <c r="AB161" s="50" t="s">
        <v>74</v>
      </c>
    </row>
    <row r="162" spans="1:28" x14ac:dyDescent="0.4">
      <c r="A162" s="144"/>
      <c r="B162" s="147"/>
      <c r="C162" s="85" t="s">
        <v>301</v>
      </c>
      <c r="D162" s="106" t="s">
        <v>288</v>
      </c>
      <c r="E162" s="15" t="s">
        <v>300</v>
      </c>
      <c r="F162" s="16"/>
      <c r="G162" s="15" t="s">
        <v>282</v>
      </c>
      <c r="H162" s="15"/>
      <c r="I162" s="15"/>
      <c r="J162" s="15">
        <v>1</v>
      </c>
      <c r="K162" s="15"/>
      <c r="L162" s="17"/>
      <c r="M162" s="17"/>
      <c r="N162" s="17"/>
      <c r="O162" s="17"/>
      <c r="P162" s="17"/>
      <c r="Q162" s="17"/>
      <c r="R162" s="17"/>
      <c r="S162" s="15"/>
      <c r="T162" s="25">
        <v>45665</v>
      </c>
      <c r="U162" s="15" t="s">
        <v>283</v>
      </c>
      <c r="V162">
        <v>10</v>
      </c>
      <c r="AA162" s="49" t="s">
        <v>89</v>
      </c>
      <c r="AB162" s="50" t="s">
        <v>36</v>
      </c>
    </row>
    <row r="163" spans="1:28" x14ac:dyDescent="0.4">
      <c r="A163" s="144"/>
      <c r="B163" s="147"/>
      <c r="C163" s="85" t="s">
        <v>302</v>
      </c>
      <c r="D163" s="106" t="s">
        <v>288</v>
      </c>
      <c r="E163" s="15" t="s">
        <v>303</v>
      </c>
      <c r="F163" s="16"/>
      <c r="G163" s="15" t="s">
        <v>282</v>
      </c>
      <c r="H163" s="15"/>
      <c r="I163" s="15"/>
      <c r="J163" s="15"/>
      <c r="K163" s="15"/>
      <c r="L163" s="17"/>
      <c r="M163" s="17"/>
      <c r="N163" s="17"/>
      <c r="O163" s="17">
        <v>1</v>
      </c>
      <c r="P163" s="17">
        <v>1</v>
      </c>
      <c r="Q163" s="17">
        <v>1</v>
      </c>
      <c r="R163" s="17">
        <v>1</v>
      </c>
      <c r="S163" s="15"/>
      <c r="T163" s="25">
        <v>45662</v>
      </c>
      <c r="U163" s="15" t="s">
        <v>304</v>
      </c>
      <c r="V163">
        <v>11</v>
      </c>
      <c r="AA163" s="49" t="s">
        <v>90</v>
      </c>
      <c r="AB163" s="50" t="s">
        <v>58</v>
      </c>
    </row>
    <row r="164" spans="1:28" x14ac:dyDescent="0.4">
      <c r="A164" s="144"/>
      <c r="B164" s="147"/>
      <c r="C164" s="85" t="s">
        <v>306</v>
      </c>
      <c r="D164" s="106" t="s">
        <v>305</v>
      </c>
      <c r="E164" s="15" t="s">
        <v>281</v>
      </c>
      <c r="F164" s="16"/>
      <c r="G164" s="15" t="s">
        <v>282</v>
      </c>
      <c r="H164" s="15"/>
      <c r="I164" s="15"/>
      <c r="J164" s="15"/>
      <c r="K164" s="15"/>
      <c r="L164" s="17"/>
      <c r="M164" s="17">
        <v>1</v>
      </c>
      <c r="N164" s="17">
        <v>1</v>
      </c>
      <c r="O164" s="17"/>
      <c r="P164" s="17"/>
      <c r="Q164" s="17">
        <v>1</v>
      </c>
      <c r="R164" s="17"/>
      <c r="S164" s="15"/>
      <c r="T164" s="25">
        <v>45665</v>
      </c>
      <c r="U164" s="15" t="s">
        <v>284</v>
      </c>
      <c r="V164">
        <v>12</v>
      </c>
      <c r="AA164" s="49" t="s">
        <v>91</v>
      </c>
      <c r="AB164" s="50" t="s">
        <v>75</v>
      </c>
    </row>
    <row r="165" spans="1:28" x14ac:dyDescent="0.4">
      <c r="A165" s="144"/>
      <c r="B165" s="147"/>
      <c r="C165" s="85" t="s">
        <v>307</v>
      </c>
      <c r="D165" s="106" t="s">
        <v>308</v>
      </c>
      <c r="E165" s="15" t="s">
        <v>309</v>
      </c>
      <c r="F165" s="16"/>
      <c r="G165" s="15" t="s">
        <v>282</v>
      </c>
      <c r="H165" s="15"/>
      <c r="I165" s="15"/>
      <c r="J165" s="15">
        <v>2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45665</v>
      </c>
      <c r="U165" s="105" t="s">
        <v>283</v>
      </c>
      <c r="V165">
        <v>13</v>
      </c>
      <c r="AA165" s="49" t="s">
        <v>92</v>
      </c>
      <c r="AB165" s="50" t="s">
        <v>40</v>
      </c>
    </row>
    <row r="166" spans="1:28" x14ac:dyDescent="0.4">
      <c r="A166" s="144"/>
      <c r="B166" s="147"/>
      <c r="C166" s="85"/>
      <c r="D166" s="106"/>
      <c r="E166" s="15"/>
      <c r="F166" s="16"/>
      <c r="G166" s="15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5"/>
      <c r="V166">
        <v>14</v>
      </c>
      <c r="AA166" s="49" t="s">
        <v>93</v>
      </c>
      <c r="AB166" s="50" t="s">
        <v>57</v>
      </c>
    </row>
    <row r="167" spans="1:28" x14ac:dyDescent="0.4">
      <c r="A167" s="144"/>
      <c r="B167" s="147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44"/>
      <c r="B168" s="147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44"/>
      <c r="B169" s="147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4"/>
      <c r="B170" s="147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4"/>
      <c r="B171" s="147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4"/>
      <c r="B172" s="147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4"/>
      <c r="B173" s="147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4"/>
      <c r="B174" s="147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4"/>
      <c r="B175" s="147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4"/>
      <c r="B176" s="147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5"/>
      <c r="B177" s="148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13</v>
      </c>
      <c r="D178" s="112"/>
      <c r="E178" s="29"/>
      <c r="F178" s="29" t="s">
        <v>34</v>
      </c>
      <c r="G178" s="29">
        <f>COUNTIF(G153:G177,"S")</f>
        <v>13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4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4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5</v>
      </c>
      <c r="R178" s="29">
        <f t="shared" ref="R178" si="31">SUM(R153:R177)</f>
        <v>1</v>
      </c>
      <c r="S178" s="29">
        <f t="shared" ref="S178" si="32">SUM(S153:S177)</f>
        <v>2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28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6" t="s">
        <v>114</v>
      </c>
      <c r="Y182" s="142"/>
    </row>
    <row r="183" spans="1:28" ht="20.25" thickTop="1" thickBot="1" x14ac:dyDescent="0.45">
      <c r="A183" s="143">
        <v>7</v>
      </c>
      <c r="B183" s="146">
        <v>23.2</v>
      </c>
      <c r="C183" s="85" t="s">
        <v>310</v>
      </c>
      <c r="D183" s="110" t="s">
        <v>311</v>
      </c>
      <c r="E183" s="18" t="s">
        <v>312</v>
      </c>
      <c r="F183" s="16"/>
      <c r="G183" s="18" t="s">
        <v>282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45652</v>
      </c>
      <c r="U183" s="15" t="s">
        <v>142</v>
      </c>
      <c r="V183">
        <v>1</v>
      </c>
      <c r="X183" s="51" t="s">
        <v>106</v>
      </c>
      <c r="Y183" s="52">
        <f>COUNTIF(U183:U207,"K")</f>
        <v>8</v>
      </c>
      <c r="AA183" s="59" t="s">
        <v>120</v>
      </c>
      <c r="AB183" s="60" t="s">
        <v>121</v>
      </c>
    </row>
    <row r="184" spans="1:28" x14ac:dyDescent="0.4">
      <c r="A184" s="144"/>
      <c r="B184" s="147"/>
      <c r="C184" s="85" t="s">
        <v>313</v>
      </c>
      <c r="D184" s="110" t="s">
        <v>311</v>
      </c>
      <c r="E184" s="15" t="s">
        <v>299</v>
      </c>
      <c r="F184" s="16"/>
      <c r="G184" s="18" t="s">
        <v>282</v>
      </c>
      <c r="H184" s="15"/>
      <c r="I184" s="15"/>
      <c r="J184" s="18">
        <v>1</v>
      </c>
      <c r="K184" s="15">
        <v>1</v>
      </c>
      <c r="L184" s="19"/>
      <c r="M184" s="19"/>
      <c r="N184" s="19"/>
      <c r="O184" s="19"/>
      <c r="P184" s="19"/>
      <c r="Q184" s="19"/>
      <c r="R184" s="19"/>
      <c r="S184" s="15"/>
      <c r="T184" s="25">
        <v>45652</v>
      </c>
      <c r="U184" s="15" t="s">
        <v>142</v>
      </c>
      <c r="V184">
        <v>2</v>
      </c>
      <c r="X184" s="51" t="s">
        <v>107</v>
      </c>
      <c r="Y184" s="52">
        <f>COUNTIF(U183:U207,"R")</f>
        <v>4</v>
      </c>
      <c r="AA184" s="47" t="s">
        <v>81</v>
      </c>
      <c r="AB184" s="48" t="s">
        <v>60</v>
      </c>
    </row>
    <row r="185" spans="1:28" ht="19.5" thickBot="1" x14ac:dyDescent="0.45">
      <c r="A185" s="144"/>
      <c r="B185" s="147"/>
      <c r="C185" s="85" t="s">
        <v>314</v>
      </c>
      <c r="D185" s="110" t="s">
        <v>311</v>
      </c>
      <c r="E185" s="15" t="s">
        <v>281</v>
      </c>
      <c r="F185" s="16"/>
      <c r="G185" s="18" t="s">
        <v>282</v>
      </c>
      <c r="H185" s="15"/>
      <c r="I185" s="15"/>
      <c r="J185" s="15">
        <v>1</v>
      </c>
      <c r="K185" s="15"/>
      <c r="L185" s="17"/>
      <c r="M185" s="17">
        <v>1</v>
      </c>
      <c r="N185" s="17"/>
      <c r="O185" s="17"/>
      <c r="P185" s="17"/>
      <c r="Q185" s="17"/>
      <c r="R185" s="17"/>
      <c r="S185" s="15"/>
      <c r="T185" s="25">
        <v>45652</v>
      </c>
      <c r="U185" s="15" t="s">
        <v>284</v>
      </c>
      <c r="V185">
        <v>3</v>
      </c>
      <c r="X185" s="53" t="s">
        <v>108</v>
      </c>
      <c r="Y185" s="54">
        <f>COUNTIF(U183:U207,"J")</f>
        <v>3</v>
      </c>
      <c r="AA185" s="49" t="s">
        <v>82</v>
      </c>
      <c r="AB185" s="50" t="s">
        <v>39</v>
      </c>
    </row>
    <row r="186" spans="1:28" x14ac:dyDescent="0.4">
      <c r="A186" s="144"/>
      <c r="B186" s="147"/>
      <c r="C186" s="85" t="s">
        <v>315</v>
      </c>
      <c r="D186" s="110" t="s">
        <v>311</v>
      </c>
      <c r="E186" s="15" t="s">
        <v>312</v>
      </c>
      <c r="F186" s="16"/>
      <c r="G186" s="18" t="s">
        <v>282</v>
      </c>
      <c r="H186" s="15"/>
      <c r="I186" s="15"/>
      <c r="J186" s="15"/>
      <c r="K186" s="15"/>
      <c r="L186" s="17"/>
      <c r="M186" s="17">
        <v>1</v>
      </c>
      <c r="N186" s="17"/>
      <c r="O186" s="17"/>
      <c r="P186" s="17"/>
      <c r="Q186" s="17">
        <v>1</v>
      </c>
      <c r="R186" s="17"/>
      <c r="S186" s="15"/>
      <c r="T186" s="25">
        <v>45652</v>
      </c>
      <c r="U186" s="25" t="s">
        <v>284</v>
      </c>
      <c r="V186">
        <v>4</v>
      </c>
      <c r="AA186" s="49" t="s">
        <v>83</v>
      </c>
      <c r="AB186" s="50" t="s">
        <v>38</v>
      </c>
    </row>
    <row r="187" spans="1:28" x14ac:dyDescent="0.4">
      <c r="A187" s="144"/>
      <c r="B187" s="147"/>
      <c r="C187" s="85" t="s">
        <v>316</v>
      </c>
      <c r="D187" s="106" t="s">
        <v>288</v>
      </c>
      <c r="E187" s="13" t="s">
        <v>299</v>
      </c>
      <c r="F187" s="16"/>
      <c r="G187" s="18" t="s">
        <v>282</v>
      </c>
      <c r="H187" s="15"/>
      <c r="I187" s="15"/>
      <c r="J187" s="15">
        <v>1</v>
      </c>
      <c r="K187" s="15">
        <v>1</v>
      </c>
      <c r="L187" s="17"/>
      <c r="M187" s="17"/>
      <c r="N187" s="17"/>
      <c r="O187" s="17"/>
      <c r="P187" s="17"/>
      <c r="Q187" s="17"/>
      <c r="R187" s="17"/>
      <c r="S187" s="15"/>
      <c r="T187" s="25">
        <v>45647</v>
      </c>
      <c r="U187" s="25" t="s">
        <v>283</v>
      </c>
      <c r="V187">
        <v>5</v>
      </c>
      <c r="AA187" s="49" t="s">
        <v>84</v>
      </c>
      <c r="AB187" s="50" t="s">
        <v>44</v>
      </c>
    </row>
    <row r="188" spans="1:28" x14ac:dyDescent="0.4">
      <c r="A188" s="144"/>
      <c r="B188" s="147"/>
      <c r="C188" s="85" t="s">
        <v>317</v>
      </c>
      <c r="D188" s="106" t="s">
        <v>288</v>
      </c>
      <c r="E188" s="13" t="s">
        <v>312</v>
      </c>
      <c r="F188" s="16"/>
      <c r="G188" s="18" t="s">
        <v>282</v>
      </c>
      <c r="H188" s="13"/>
      <c r="I188" s="15"/>
      <c r="J188" s="15">
        <v>1</v>
      </c>
      <c r="K188" s="15">
        <v>1</v>
      </c>
      <c r="L188" s="17"/>
      <c r="M188" s="17"/>
      <c r="N188" s="17"/>
      <c r="O188" s="17"/>
      <c r="P188" s="17"/>
      <c r="Q188" s="17"/>
      <c r="R188" s="17"/>
      <c r="S188" s="15"/>
      <c r="T188" s="25">
        <v>45647</v>
      </c>
      <c r="U188" s="25" t="s">
        <v>283</v>
      </c>
      <c r="V188">
        <v>6</v>
      </c>
      <c r="AA188" s="49" t="s">
        <v>85</v>
      </c>
      <c r="AB188" s="50" t="s">
        <v>43</v>
      </c>
    </row>
    <row r="189" spans="1:28" x14ac:dyDescent="0.4">
      <c r="A189" s="144"/>
      <c r="B189" s="147"/>
      <c r="C189" s="85" t="s">
        <v>318</v>
      </c>
      <c r="D189" s="106" t="s">
        <v>288</v>
      </c>
      <c r="E189" s="13" t="s">
        <v>312</v>
      </c>
      <c r="F189" s="16"/>
      <c r="G189" s="18" t="s">
        <v>282</v>
      </c>
      <c r="H189" s="15"/>
      <c r="I189" s="15"/>
      <c r="J189" s="15">
        <v>1</v>
      </c>
      <c r="K189" s="15">
        <v>1</v>
      </c>
      <c r="L189" s="17"/>
      <c r="M189" s="17"/>
      <c r="N189" s="17"/>
      <c r="O189" s="17"/>
      <c r="P189" s="17"/>
      <c r="Q189" s="17"/>
      <c r="R189" s="17"/>
      <c r="S189" s="15"/>
      <c r="T189" s="25">
        <v>45665</v>
      </c>
      <c r="U189" s="25" t="s">
        <v>283</v>
      </c>
      <c r="V189">
        <v>7</v>
      </c>
      <c r="AA189" s="49" t="s">
        <v>86</v>
      </c>
      <c r="AB189" s="50" t="s">
        <v>45</v>
      </c>
    </row>
    <row r="190" spans="1:28" x14ac:dyDescent="0.4">
      <c r="A190" s="144"/>
      <c r="B190" s="147"/>
      <c r="C190" s="85" t="s">
        <v>320</v>
      </c>
      <c r="D190" s="106" t="s">
        <v>280</v>
      </c>
      <c r="E190" s="13" t="s">
        <v>303</v>
      </c>
      <c r="F190" s="16"/>
      <c r="G190" s="18" t="s">
        <v>319</v>
      </c>
      <c r="H190" s="15"/>
      <c r="I190" s="15"/>
      <c r="J190" s="15"/>
      <c r="K190" s="15"/>
      <c r="L190" s="17"/>
      <c r="M190" s="17"/>
      <c r="N190" s="17"/>
      <c r="O190" s="17">
        <v>1</v>
      </c>
      <c r="P190" s="17">
        <v>1</v>
      </c>
      <c r="Q190" s="17"/>
      <c r="R190" s="17"/>
      <c r="S190" s="15"/>
      <c r="T190" s="25">
        <v>45647</v>
      </c>
      <c r="U190" s="25" t="s">
        <v>304</v>
      </c>
      <c r="V190">
        <v>8</v>
      </c>
      <c r="AA190" s="49" t="s">
        <v>87</v>
      </c>
      <c r="AB190" s="50" t="s">
        <v>37</v>
      </c>
    </row>
    <row r="191" spans="1:28" x14ac:dyDescent="0.4">
      <c r="A191" s="144"/>
      <c r="B191" s="147"/>
      <c r="C191" s="85" t="s">
        <v>321</v>
      </c>
      <c r="D191" s="106" t="s">
        <v>322</v>
      </c>
      <c r="E191" s="13" t="s">
        <v>281</v>
      </c>
      <c r="F191" s="16"/>
      <c r="G191" s="18" t="s">
        <v>282</v>
      </c>
      <c r="H191" s="15"/>
      <c r="I191" s="15"/>
      <c r="J191" s="15"/>
      <c r="K191" s="15"/>
      <c r="L191" s="17"/>
      <c r="M191" s="17">
        <v>1</v>
      </c>
      <c r="N191" s="17"/>
      <c r="O191" s="17"/>
      <c r="P191" s="17"/>
      <c r="Q191" s="17"/>
      <c r="R191" s="17"/>
      <c r="S191" s="15"/>
      <c r="T191" s="25">
        <v>45670</v>
      </c>
      <c r="U191" s="25" t="s">
        <v>284</v>
      </c>
      <c r="V191">
        <v>9</v>
      </c>
      <c r="AA191" s="49" t="s">
        <v>88</v>
      </c>
      <c r="AB191" s="50" t="s">
        <v>74</v>
      </c>
    </row>
    <row r="192" spans="1:28" x14ac:dyDescent="0.4">
      <c r="A192" s="144"/>
      <c r="B192" s="147"/>
      <c r="C192" s="85" t="s">
        <v>325</v>
      </c>
      <c r="D192" s="106" t="s">
        <v>322</v>
      </c>
      <c r="E192" s="13" t="s">
        <v>324</v>
      </c>
      <c r="F192" s="16"/>
      <c r="G192" s="18" t="s">
        <v>323</v>
      </c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45670</v>
      </c>
      <c r="U192" s="15" t="s">
        <v>284</v>
      </c>
      <c r="V192">
        <v>10</v>
      </c>
      <c r="AA192" s="49" t="s">
        <v>89</v>
      </c>
      <c r="AB192" s="50" t="s">
        <v>36</v>
      </c>
    </row>
    <row r="193" spans="1:28" x14ac:dyDescent="0.4">
      <c r="A193" s="144"/>
      <c r="B193" s="147"/>
      <c r="C193" s="85" t="s">
        <v>326</v>
      </c>
      <c r="D193" s="106" t="s">
        <v>308</v>
      </c>
      <c r="E193" s="13" t="s">
        <v>309</v>
      </c>
      <c r="F193" s="16"/>
      <c r="G193" s="18" t="s">
        <v>282</v>
      </c>
      <c r="H193" s="15"/>
      <c r="I193" s="15"/>
      <c r="J193" s="15">
        <v>2</v>
      </c>
      <c r="K193" s="15"/>
      <c r="L193" s="17"/>
      <c r="M193" s="17"/>
      <c r="N193" s="17"/>
      <c r="O193" s="17"/>
      <c r="P193" s="17"/>
      <c r="Q193" s="17"/>
      <c r="R193" s="17"/>
      <c r="S193" s="15"/>
      <c r="T193" s="25">
        <v>45669</v>
      </c>
      <c r="U193" s="15" t="s">
        <v>283</v>
      </c>
      <c r="V193">
        <v>11</v>
      </c>
      <c r="AA193" s="49" t="s">
        <v>90</v>
      </c>
      <c r="AB193" s="50" t="s">
        <v>58</v>
      </c>
    </row>
    <row r="194" spans="1:28" x14ac:dyDescent="0.4">
      <c r="A194" s="144"/>
      <c r="B194" s="147"/>
      <c r="C194" s="85" t="s">
        <v>327</v>
      </c>
      <c r="D194" s="106" t="s">
        <v>308</v>
      </c>
      <c r="E194" s="13" t="s">
        <v>309</v>
      </c>
      <c r="F194" s="16"/>
      <c r="G194" s="18" t="s">
        <v>282</v>
      </c>
      <c r="H194" s="15"/>
      <c r="I194" s="15"/>
      <c r="J194" s="15">
        <v>2</v>
      </c>
      <c r="K194" s="15"/>
      <c r="L194" s="17"/>
      <c r="M194" s="17"/>
      <c r="N194" s="17"/>
      <c r="O194" s="17"/>
      <c r="P194" s="17"/>
      <c r="Q194" s="17"/>
      <c r="R194" s="17"/>
      <c r="S194" s="15"/>
      <c r="T194" s="25">
        <v>45669</v>
      </c>
      <c r="U194" s="15" t="s">
        <v>283</v>
      </c>
      <c r="V194">
        <v>12</v>
      </c>
      <c r="AA194" s="49" t="s">
        <v>91</v>
      </c>
      <c r="AB194" s="50" t="s">
        <v>75</v>
      </c>
    </row>
    <row r="195" spans="1:28" x14ac:dyDescent="0.4">
      <c r="A195" s="144"/>
      <c r="B195" s="147"/>
      <c r="C195" s="85" t="s">
        <v>328</v>
      </c>
      <c r="D195" s="106" t="s">
        <v>322</v>
      </c>
      <c r="E195" s="15" t="s">
        <v>281</v>
      </c>
      <c r="F195" s="16"/>
      <c r="G195" s="18" t="s">
        <v>282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45649</v>
      </c>
      <c r="U195" s="15" t="s">
        <v>283</v>
      </c>
      <c r="V195">
        <v>13</v>
      </c>
      <c r="AA195" s="49" t="s">
        <v>92</v>
      </c>
      <c r="AB195" s="50" t="s">
        <v>40</v>
      </c>
    </row>
    <row r="196" spans="1:28" x14ac:dyDescent="0.4">
      <c r="A196" s="144"/>
      <c r="B196" s="147"/>
      <c r="C196" s="85" t="s">
        <v>329</v>
      </c>
      <c r="D196" s="106">
        <v>1183</v>
      </c>
      <c r="E196" s="15" t="s">
        <v>303</v>
      </c>
      <c r="F196" s="16"/>
      <c r="G196" s="18" t="s">
        <v>282</v>
      </c>
      <c r="H196" s="15"/>
      <c r="I196" s="15"/>
      <c r="J196" s="15"/>
      <c r="K196" s="15"/>
      <c r="L196" s="17"/>
      <c r="M196" s="17"/>
      <c r="N196" s="17"/>
      <c r="O196" s="17">
        <v>1</v>
      </c>
      <c r="P196" s="17"/>
      <c r="Q196" s="17">
        <v>1</v>
      </c>
      <c r="R196" s="17">
        <v>1</v>
      </c>
      <c r="S196" s="15"/>
      <c r="T196" s="25">
        <v>45649</v>
      </c>
      <c r="U196" s="15" t="s">
        <v>304</v>
      </c>
      <c r="V196">
        <v>14</v>
      </c>
      <c r="AA196" s="49" t="s">
        <v>93</v>
      </c>
      <c r="AB196" s="50" t="s">
        <v>57</v>
      </c>
    </row>
    <row r="197" spans="1:28" x14ac:dyDescent="0.4">
      <c r="A197" s="144"/>
      <c r="B197" s="147"/>
      <c r="C197" s="85" t="s">
        <v>330</v>
      </c>
      <c r="D197" s="106" t="s">
        <v>280</v>
      </c>
      <c r="E197" s="15" t="s">
        <v>303</v>
      </c>
      <c r="F197" s="16"/>
      <c r="G197" s="15" t="s">
        <v>282</v>
      </c>
      <c r="H197" s="15"/>
      <c r="I197" s="15"/>
      <c r="J197" s="15"/>
      <c r="K197" s="15"/>
      <c r="L197" s="17"/>
      <c r="M197" s="17"/>
      <c r="N197" s="17"/>
      <c r="O197" s="17">
        <v>1</v>
      </c>
      <c r="P197" s="17">
        <v>1</v>
      </c>
      <c r="Q197" s="17"/>
      <c r="R197" s="17"/>
      <c r="S197" s="15"/>
      <c r="T197" s="25">
        <v>45663</v>
      </c>
      <c r="U197" s="15" t="s">
        <v>304</v>
      </c>
      <c r="V197">
        <v>15</v>
      </c>
      <c r="AA197" s="49" t="s">
        <v>94</v>
      </c>
      <c r="AB197" s="50" t="s">
        <v>41</v>
      </c>
    </row>
    <row r="198" spans="1:28" x14ac:dyDescent="0.4">
      <c r="A198" s="144"/>
      <c r="B198" s="147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4"/>
      <c r="B199" s="147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4"/>
      <c r="B200" s="147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4"/>
      <c r="B201" s="147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4"/>
      <c r="B202" s="147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4"/>
      <c r="B203" s="147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4"/>
      <c r="B204" s="147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4"/>
      <c r="B205" s="147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4"/>
      <c r="B206" s="147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5"/>
      <c r="B207" s="148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13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11</v>
      </c>
      <c r="K208" s="29">
        <f t="shared" ref="K208" si="34">SUM(K183:K207)</f>
        <v>6</v>
      </c>
      <c r="L208" s="29">
        <f t="shared" ref="L208" si="35">SUM(L183:L207)</f>
        <v>0</v>
      </c>
      <c r="M208" s="29">
        <f t="shared" ref="M208" si="36">SUM(M183:M207)</f>
        <v>3</v>
      </c>
      <c r="N208" s="29">
        <f t="shared" ref="N208" si="37">SUM(N183:N207)</f>
        <v>0</v>
      </c>
      <c r="O208" s="29">
        <f t="shared" ref="O208" si="38">SUM(O183:O207)</f>
        <v>3</v>
      </c>
      <c r="P208" s="29">
        <f t="shared" ref="P208" si="39">SUM(P183:P207)</f>
        <v>2</v>
      </c>
      <c r="Q208" s="29">
        <f t="shared" ref="Q208" si="40">SUM(Q183:Q207)</f>
        <v>2</v>
      </c>
      <c r="R208" s="29">
        <f t="shared" ref="R208" si="41">SUM(R183:R207)</f>
        <v>1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28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AYG095</v>
      </c>
      <c r="B211" s="24">
        <f>B1</f>
        <v>45629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6" t="s">
        <v>113</v>
      </c>
      <c r="Y212" s="142"/>
    </row>
    <row r="213" spans="1:28" ht="20.25" thickTop="1" thickBot="1" x14ac:dyDescent="0.45">
      <c r="A213" s="143">
        <v>8</v>
      </c>
      <c r="B213" s="146">
        <v>22.5</v>
      </c>
      <c r="C213" s="85" t="s">
        <v>331</v>
      </c>
      <c r="D213" s="106" t="s">
        <v>332</v>
      </c>
      <c r="E213" s="15" t="s">
        <v>281</v>
      </c>
      <c r="F213" s="16"/>
      <c r="G213" s="15" t="s">
        <v>282</v>
      </c>
      <c r="H213" s="15"/>
      <c r="I213" s="15"/>
      <c r="J213" s="15">
        <v>1</v>
      </c>
      <c r="K213" s="15"/>
      <c r="L213" s="17"/>
      <c r="M213" s="17"/>
      <c r="N213" s="17"/>
      <c r="O213" s="17"/>
      <c r="P213" s="17"/>
      <c r="Q213" s="17">
        <v>1</v>
      </c>
      <c r="R213" s="17"/>
      <c r="S213" s="15"/>
      <c r="T213" s="25">
        <v>45663</v>
      </c>
      <c r="U213" s="15" t="s">
        <v>284</v>
      </c>
      <c r="V213">
        <v>1</v>
      </c>
      <c r="X213" s="51" t="s">
        <v>106</v>
      </c>
      <c r="Y213" s="52">
        <f>COUNTIF(U213:U237,"K")</f>
        <v>5</v>
      </c>
      <c r="AA213" s="59" t="s">
        <v>120</v>
      </c>
      <c r="AB213" s="60" t="s">
        <v>121</v>
      </c>
    </row>
    <row r="214" spans="1:28" x14ac:dyDescent="0.4">
      <c r="A214" s="144"/>
      <c r="B214" s="147"/>
      <c r="C214" s="85" t="s">
        <v>333</v>
      </c>
      <c r="D214" s="106" t="s">
        <v>288</v>
      </c>
      <c r="E214" s="15" t="s">
        <v>281</v>
      </c>
      <c r="F214" s="16"/>
      <c r="G214" s="15" t="s">
        <v>282</v>
      </c>
      <c r="H214" s="15"/>
      <c r="I214" s="15"/>
      <c r="J214" s="15"/>
      <c r="K214" s="15"/>
      <c r="L214" s="17"/>
      <c r="M214" s="17">
        <v>1</v>
      </c>
      <c r="N214" s="17">
        <v>1</v>
      </c>
      <c r="O214" s="17"/>
      <c r="P214" s="17"/>
      <c r="Q214" s="17">
        <v>1</v>
      </c>
      <c r="R214" s="17"/>
      <c r="S214" s="15"/>
      <c r="T214" s="25">
        <v>45661</v>
      </c>
      <c r="U214" s="15" t="s">
        <v>284</v>
      </c>
      <c r="V214">
        <v>2</v>
      </c>
      <c r="X214" s="51" t="s">
        <v>107</v>
      </c>
      <c r="Y214" s="52">
        <f>COUNTIF(U213:U237,"R")</f>
        <v>10</v>
      </c>
      <c r="AA214" s="47" t="s">
        <v>81</v>
      </c>
      <c r="AB214" s="48" t="s">
        <v>60</v>
      </c>
    </row>
    <row r="215" spans="1:28" ht="19.5" thickBot="1" x14ac:dyDescent="0.45">
      <c r="A215" s="144"/>
      <c r="B215" s="147"/>
      <c r="C215" s="85" t="s">
        <v>334</v>
      </c>
      <c r="D215" s="106" t="s">
        <v>288</v>
      </c>
      <c r="E215" s="15" t="s">
        <v>281</v>
      </c>
      <c r="F215" s="16"/>
      <c r="G215" s="15" t="s">
        <v>282</v>
      </c>
      <c r="H215" s="15"/>
      <c r="I215" s="15"/>
      <c r="J215" s="15"/>
      <c r="K215" s="15"/>
      <c r="L215" s="17"/>
      <c r="M215" s="17">
        <v>1</v>
      </c>
      <c r="N215" s="17">
        <v>1</v>
      </c>
      <c r="O215" s="17"/>
      <c r="P215" s="17"/>
      <c r="Q215" s="17">
        <v>1</v>
      </c>
      <c r="R215" s="17"/>
      <c r="S215" s="15"/>
      <c r="T215" s="25">
        <v>45651</v>
      </c>
      <c r="U215" s="15" t="s">
        <v>284</v>
      </c>
      <c r="V215">
        <v>3</v>
      </c>
      <c r="X215" s="53" t="s">
        <v>108</v>
      </c>
      <c r="Y215" s="54">
        <f>COUNTIF(U213:U237,"J")</f>
        <v>6</v>
      </c>
      <c r="AA215" s="49" t="s">
        <v>82</v>
      </c>
      <c r="AB215" s="50" t="s">
        <v>39</v>
      </c>
    </row>
    <row r="216" spans="1:28" x14ac:dyDescent="0.4">
      <c r="A216" s="144"/>
      <c r="B216" s="147"/>
      <c r="C216" s="85" t="s">
        <v>335</v>
      </c>
      <c r="D216" s="106" t="s">
        <v>288</v>
      </c>
      <c r="E216" s="15" t="s">
        <v>281</v>
      </c>
      <c r="F216" s="16"/>
      <c r="G216" s="15" t="s">
        <v>282</v>
      </c>
      <c r="H216" s="15"/>
      <c r="I216" s="15"/>
      <c r="J216" s="15"/>
      <c r="K216" s="15"/>
      <c r="L216" s="19"/>
      <c r="M216" s="19">
        <v>1</v>
      </c>
      <c r="N216" s="19">
        <v>1</v>
      </c>
      <c r="O216" s="19"/>
      <c r="P216" s="19"/>
      <c r="Q216" s="19">
        <v>1</v>
      </c>
      <c r="R216" s="19"/>
      <c r="S216" s="15"/>
      <c r="T216" s="25">
        <v>45650</v>
      </c>
      <c r="U216" s="15" t="s">
        <v>284</v>
      </c>
      <c r="V216">
        <v>4</v>
      </c>
      <c r="AA216" s="49" t="s">
        <v>83</v>
      </c>
      <c r="AB216" s="50" t="s">
        <v>38</v>
      </c>
    </row>
    <row r="217" spans="1:28" x14ac:dyDescent="0.4">
      <c r="A217" s="144"/>
      <c r="B217" s="147"/>
      <c r="C217" s="85" t="s">
        <v>336</v>
      </c>
      <c r="D217" s="106" t="s">
        <v>337</v>
      </c>
      <c r="E217" s="15" t="s">
        <v>293</v>
      </c>
      <c r="F217" s="16"/>
      <c r="G217" s="15" t="s">
        <v>282</v>
      </c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>
        <v>45668</v>
      </c>
      <c r="U217" s="15" t="s">
        <v>284</v>
      </c>
      <c r="V217">
        <v>5</v>
      </c>
      <c r="AA217" s="49" t="s">
        <v>84</v>
      </c>
      <c r="AB217" s="50" t="s">
        <v>44</v>
      </c>
    </row>
    <row r="218" spans="1:28" x14ac:dyDescent="0.4">
      <c r="A218" s="144"/>
      <c r="B218" s="147"/>
      <c r="C218" s="85" t="s">
        <v>338</v>
      </c>
      <c r="D218" s="106">
        <v>1180</v>
      </c>
      <c r="E218" s="15" t="s">
        <v>281</v>
      </c>
      <c r="F218" s="16"/>
      <c r="G218" s="15" t="s">
        <v>282</v>
      </c>
      <c r="H218" s="15"/>
      <c r="I218" s="15"/>
      <c r="J218" s="18"/>
      <c r="K218" s="15"/>
      <c r="L218" s="19"/>
      <c r="M218" s="19">
        <v>1</v>
      </c>
      <c r="N218" s="19">
        <v>1</v>
      </c>
      <c r="O218" s="19"/>
      <c r="P218" s="19"/>
      <c r="Q218" s="19">
        <v>1</v>
      </c>
      <c r="R218" s="19"/>
      <c r="S218" s="15"/>
      <c r="T218" s="25">
        <v>45667</v>
      </c>
      <c r="U218" s="15" t="s">
        <v>284</v>
      </c>
      <c r="V218">
        <v>6</v>
      </c>
      <c r="AA218" s="49" t="s">
        <v>85</v>
      </c>
      <c r="AB218" s="50" t="s">
        <v>43</v>
      </c>
    </row>
    <row r="219" spans="1:28" x14ac:dyDescent="0.4">
      <c r="A219" s="144"/>
      <c r="B219" s="147"/>
      <c r="C219" s="85" t="s">
        <v>339</v>
      </c>
      <c r="D219" s="106" t="s">
        <v>305</v>
      </c>
      <c r="E219" s="15" t="s">
        <v>281</v>
      </c>
      <c r="F219" s="16"/>
      <c r="G219" s="15" t="s">
        <v>282</v>
      </c>
      <c r="H219" s="15"/>
      <c r="I219" s="15"/>
      <c r="J219" s="18"/>
      <c r="K219" s="15"/>
      <c r="L219" s="19"/>
      <c r="M219" s="19">
        <v>1</v>
      </c>
      <c r="N219" s="19"/>
      <c r="O219" s="19"/>
      <c r="P219" s="19"/>
      <c r="Q219" s="19">
        <v>1</v>
      </c>
      <c r="R219" s="19"/>
      <c r="S219" s="15"/>
      <c r="T219" s="25">
        <v>45651</v>
      </c>
      <c r="U219" s="15" t="s">
        <v>284</v>
      </c>
      <c r="V219">
        <v>7</v>
      </c>
      <c r="AA219" s="49" t="s">
        <v>86</v>
      </c>
      <c r="AB219" s="50" t="s">
        <v>45</v>
      </c>
    </row>
    <row r="220" spans="1:28" x14ac:dyDescent="0.4">
      <c r="A220" s="144"/>
      <c r="B220" s="147"/>
      <c r="C220" s="85" t="s">
        <v>341</v>
      </c>
      <c r="D220" s="106" t="s">
        <v>340</v>
      </c>
      <c r="E220" s="15" t="s">
        <v>294</v>
      </c>
      <c r="F220" s="16"/>
      <c r="G220" s="15" t="s">
        <v>282</v>
      </c>
      <c r="H220" s="15"/>
      <c r="I220" s="15"/>
      <c r="J220" s="18">
        <v>1</v>
      </c>
      <c r="K220" s="15">
        <v>1</v>
      </c>
      <c r="L220" s="19"/>
      <c r="M220" s="19"/>
      <c r="N220" s="19"/>
      <c r="O220" s="19"/>
      <c r="P220" s="19"/>
      <c r="Q220" s="19"/>
      <c r="R220" s="19"/>
      <c r="S220" s="15"/>
      <c r="T220" s="25">
        <v>45652</v>
      </c>
      <c r="U220" s="15" t="s">
        <v>142</v>
      </c>
      <c r="V220">
        <v>8</v>
      </c>
      <c r="AA220" s="49" t="s">
        <v>87</v>
      </c>
      <c r="AB220" s="50" t="s">
        <v>37</v>
      </c>
    </row>
    <row r="221" spans="1:28" x14ac:dyDescent="0.4">
      <c r="A221" s="144"/>
      <c r="B221" s="147"/>
      <c r="C221" s="85" t="s">
        <v>342</v>
      </c>
      <c r="D221" s="106" t="s">
        <v>340</v>
      </c>
      <c r="E221" s="15" t="s">
        <v>343</v>
      </c>
      <c r="F221" s="16"/>
      <c r="G221" s="15" t="s">
        <v>282</v>
      </c>
      <c r="H221" s="15"/>
      <c r="I221" s="15"/>
      <c r="J221" s="18"/>
      <c r="K221" s="15"/>
      <c r="L221" s="19"/>
      <c r="M221" s="19"/>
      <c r="N221" s="19"/>
      <c r="O221" s="19">
        <v>1</v>
      </c>
      <c r="P221" s="19">
        <v>1</v>
      </c>
      <c r="Q221" s="19"/>
      <c r="R221" s="19"/>
      <c r="S221" s="15"/>
      <c r="T221" s="25">
        <v>45652</v>
      </c>
      <c r="U221" s="15" t="s">
        <v>304</v>
      </c>
      <c r="V221">
        <v>9</v>
      </c>
      <c r="AA221" s="49" t="s">
        <v>88</v>
      </c>
      <c r="AB221" s="50" t="s">
        <v>74</v>
      </c>
    </row>
    <row r="222" spans="1:28" x14ac:dyDescent="0.4">
      <c r="A222" s="144"/>
      <c r="B222" s="147"/>
      <c r="C222" s="85" t="s">
        <v>345</v>
      </c>
      <c r="D222" s="106" t="s">
        <v>340</v>
      </c>
      <c r="E222" s="15" t="s">
        <v>344</v>
      </c>
      <c r="F222" s="16"/>
      <c r="G222" s="15" t="s">
        <v>282</v>
      </c>
      <c r="H222" s="15"/>
      <c r="I222" s="15"/>
      <c r="J222" s="15">
        <v>1</v>
      </c>
      <c r="K222" s="15"/>
      <c r="L222" s="17"/>
      <c r="M222" s="17"/>
      <c r="N222" s="17"/>
      <c r="O222" s="17"/>
      <c r="P222" s="17"/>
      <c r="Q222" s="17"/>
      <c r="R222" s="17"/>
      <c r="S222" s="15"/>
      <c r="T222" s="25">
        <v>45661</v>
      </c>
      <c r="U222" s="15" t="s">
        <v>283</v>
      </c>
      <c r="V222">
        <v>10</v>
      </c>
      <c r="AA222" s="49" t="s">
        <v>89</v>
      </c>
      <c r="AB222" s="50" t="s">
        <v>36</v>
      </c>
    </row>
    <row r="223" spans="1:28" x14ac:dyDescent="0.4">
      <c r="A223" s="144"/>
      <c r="B223" s="147"/>
      <c r="C223" s="85" t="s">
        <v>346</v>
      </c>
      <c r="D223" s="106" t="s">
        <v>340</v>
      </c>
      <c r="E223" s="15" t="s">
        <v>294</v>
      </c>
      <c r="F223" s="16"/>
      <c r="G223" s="15" t="s">
        <v>282</v>
      </c>
      <c r="H223" s="15"/>
      <c r="I223" s="15"/>
      <c r="J223" s="15">
        <v>1</v>
      </c>
      <c r="K223" s="15">
        <v>1</v>
      </c>
      <c r="L223" s="17"/>
      <c r="M223" s="17"/>
      <c r="N223" s="17"/>
      <c r="O223" s="17"/>
      <c r="P223" s="17"/>
      <c r="Q223" s="17"/>
      <c r="R223" s="17"/>
      <c r="S223" s="15"/>
      <c r="T223" s="25">
        <v>45661</v>
      </c>
      <c r="U223" s="15" t="s">
        <v>283</v>
      </c>
      <c r="V223">
        <v>11</v>
      </c>
      <c r="AA223" s="49" t="s">
        <v>90</v>
      </c>
      <c r="AB223" s="50" t="s">
        <v>58</v>
      </c>
    </row>
    <row r="224" spans="1:28" x14ac:dyDescent="0.4">
      <c r="A224" s="144"/>
      <c r="B224" s="147"/>
      <c r="C224" s="85" t="s">
        <v>347</v>
      </c>
      <c r="D224" s="106" t="s">
        <v>340</v>
      </c>
      <c r="E224" s="15" t="s">
        <v>312</v>
      </c>
      <c r="F224" s="16"/>
      <c r="G224" s="15" t="s">
        <v>282</v>
      </c>
      <c r="H224" s="15"/>
      <c r="I224" s="15"/>
      <c r="J224" s="15">
        <v>1</v>
      </c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45661</v>
      </c>
      <c r="U224" s="15" t="s">
        <v>283</v>
      </c>
      <c r="V224">
        <v>12</v>
      </c>
      <c r="AA224" s="49" t="s">
        <v>91</v>
      </c>
      <c r="AB224" s="50" t="s">
        <v>75</v>
      </c>
    </row>
    <row r="225" spans="1:28" x14ac:dyDescent="0.4">
      <c r="A225" s="144"/>
      <c r="B225" s="147"/>
      <c r="C225" s="85" t="s">
        <v>348</v>
      </c>
      <c r="D225" s="106" t="s">
        <v>340</v>
      </c>
      <c r="E225" s="13" t="s">
        <v>303</v>
      </c>
      <c r="F225" s="16"/>
      <c r="G225" s="15" t="s">
        <v>282</v>
      </c>
      <c r="H225" s="15"/>
      <c r="I225" s="15"/>
      <c r="J225" s="15"/>
      <c r="K225" s="15"/>
      <c r="L225" s="17"/>
      <c r="M225" s="17"/>
      <c r="N225" s="17"/>
      <c r="O225" s="17">
        <v>1</v>
      </c>
      <c r="P225" s="17">
        <v>1</v>
      </c>
      <c r="Q225" s="17"/>
      <c r="R225" s="17"/>
      <c r="S225" s="15"/>
      <c r="T225" s="25">
        <v>45661</v>
      </c>
      <c r="U225" s="15" t="s">
        <v>304</v>
      </c>
      <c r="V225">
        <v>13</v>
      </c>
      <c r="AA225" s="49" t="s">
        <v>92</v>
      </c>
      <c r="AB225" s="50" t="s">
        <v>40</v>
      </c>
    </row>
    <row r="226" spans="1:28" x14ac:dyDescent="0.4">
      <c r="A226" s="144"/>
      <c r="B226" s="147"/>
      <c r="C226" s="85" t="s">
        <v>349</v>
      </c>
      <c r="D226" s="106" t="s">
        <v>340</v>
      </c>
      <c r="E226" s="13" t="s">
        <v>303</v>
      </c>
      <c r="F226" s="16"/>
      <c r="G226" s="15" t="s">
        <v>282</v>
      </c>
      <c r="H226" s="15"/>
      <c r="I226" s="15"/>
      <c r="J226" s="15"/>
      <c r="K226" s="15"/>
      <c r="L226" s="17"/>
      <c r="M226" s="17"/>
      <c r="N226" s="17"/>
      <c r="O226" s="17">
        <v>1</v>
      </c>
      <c r="P226" s="17">
        <v>1</v>
      </c>
      <c r="Q226" s="17">
        <v>1</v>
      </c>
      <c r="R226" s="17"/>
      <c r="S226" s="15"/>
      <c r="T226" s="25">
        <v>45661</v>
      </c>
      <c r="U226" s="15" t="s">
        <v>304</v>
      </c>
      <c r="V226">
        <v>14</v>
      </c>
      <c r="AA226" s="49" t="s">
        <v>93</v>
      </c>
      <c r="AB226" s="50" t="s">
        <v>57</v>
      </c>
    </row>
    <row r="227" spans="1:28" x14ac:dyDescent="0.4">
      <c r="A227" s="144"/>
      <c r="B227" s="147"/>
      <c r="C227" s="85" t="s">
        <v>350</v>
      </c>
      <c r="D227" s="109" t="s">
        <v>340</v>
      </c>
      <c r="E227" s="15" t="s">
        <v>299</v>
      </c>
      <c r="F227" s="16"/>
      <c r="G227" s="15" t="s">
        <v>282</v>
      </c>
      <c r="H227" s="15"/>
      <c r="I227" s="15"/>
      <c r="J227" s="15"/>
      <c r="K227" s="15"/>
      <c r="L227" s="17"/>
      <c r="M227" s="17">
        <v>1</v>
      </c>
      <c r="N227" s="17">
        <v>1</v>
      </c>
      <c r="O227" s="17"/>
      <c r="P227" s="17"/>
      <c r="Q227" s="17">
        <v>1</v>
      </c>
      <c r="R227" s="17"/>
      <c r="S227" s="15"/>
      <c r="T227" s="25">
        <v>45661</v>
      </c>
      <c r="U227" s="15" t="s">
        <v>284</v>
      </c>
      <c r="V227">
        <v>15</v>
      </c>
      <c r="AA227" s="49" t="s">
        <v>94</v>
      </c>
      <c r="AB227" s="50" t="s">
        <v>41</v>
      </c>
    </row>
    <row r="228" spans="1:28" x14ac:dyDescent="0.4">
      <c r="A228" s="144"/>
      <c r="B228" s="147"/>
      <c r="C228" s="85" t="s">
        <v>351</v>
      </c>
      <c r="D228" s="109" t="s">
        <v>288</v>
      </c>
      <c r="E228" s="15" t="s">
        <v>293</v>
      </c>
      <c r="F228" s="16"/>
      <c r="G228" s="15" t="s">
        <v>282</v>
      </c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>
        <v>45665</v>
      </c>
      <c r="U228" s="15" t="s">
        <v>284</v>
      </c>
      <c r="V228">
        <v>16</v>
      </c>
      <c r="AA228" s="49" t="s">
        <v>95</v>
      </c>
      <c r="AB228" s="50" t="s">
        <v>42</v>
      </c>
    </row>
    <row r="229" spans="1:28" x14ac:dyDescent="0.4">
      <c r="A229" s="144"/>
      <c r="B229" s="147"/>
      <c r="C229" s="85" t="s">
        <v>352</v>
      </c>
      <c r="D229" s="110" t="s">
        <v>288</v>
      </c>
      <c r="E229" s="18" t="s">
        <v>281</v>
      </c>
      <c r="F229" s="16"/>
      <c r="G229" s="18" t="s">
        <v>282</v>
      </c>
      <c r="H229" s="15"/>
      <c r="I229" s="15"/>
      <c r="J229" s="18"/>
      <c r="K229" s="15"/>
      <c r="L229" s="19"/>
      <c r="M229" s="19">
        <v>1</v>
      </c>
      <c r="N229" s="19">
        <v>1</v>
      </c>
      <c r="O229" s="19"/>
      <c r="P229" s="19"/>
      <c r="Q229" s="19">
        <v>1</v>
      </c>
      <c r="R229" s="19"/>
      <c r="S229" s="15"/>
      <c r="T229" s="26">
        <v>45665</v>
      </c>
      <c r="U229" s="15" t="s">
        <v>284</v>
      </c>
      <c r="V229">
        <v>17</v>
      </c>
      <c r="AA229" s="49" t="s">
        <v>96</v>
      </c>
      <c r="AB229" s="50" t="s">
        <v>61</v>
      </c>
    </row>
    <row r="230" spans="1:28" x14ac:dyDescent="0.4">
      <c r="A230" s="144"/>
      <c r="B230" s="147"/>
      <c r="C230" s="85" t="s">
        <v>353</v>
      </c>
      <c r="D230" s="110" t="s">
        <v>340</v>
      </c>
      <c r="E230" s="18" t="s">
        <v>343</v>
      </c>
      <c r="F230" s="16"/>
      <c r="G230" s="18" t="s">
        <v>282</v>
      </c>
      <c r="H230" s="15"/>
      <c r="I230" s="15"/>
      <c r="J230" s="18"/>
      <c r="K230" s="15"/>
      <c r="L230" s="19"/>
      <c r="M230" s="19"/>
      <c r="N230" s="19"/>
      <c r="O230" s="19">
        <v>1</v>
      </c>
      <c r="P230" s="19">
        <v>1</v>
      </c>
      <c r="Q230" s="19"/>
      <c r="R230" s="19"/>
      <c r="S230" s="15"/>
      <c r="T230" s="26">
        <v>45670</v>
      </c>
      <c r="U230" s="15" t="s">
        <v>304</v>
      </c>
      <c r="V230">
        <v>18</v>
      </c>
      <c r="AA230" s="49" t="s">
        <v>97</v>
      </c>
      <c r="AB230" s="50" t="s">
        <v>76</v>
      </c>
    </row>
    <row r="231" spans="1:28" x14ac:dyDescent="0.4">
      <c r="A231" s="144"/>
      <c r="B231" s="147"/>
      <c r="C231" s="85" t="s">
        <v>354</v>
      </c>
      <c r="D231" s="110" t="s">
        <v>340</v>
      </c>
      <c r="E231" s="18" t="s">
        <v>303</v>
      </c>
      <c r="F231" s="16"/>
      <c r="G231" s="18" t="s">
        <v>282</v>
      </c>
      <c r="H231" s="15"/>
      <c r="I231" s="15"/>
      <c r="J231" s="18"/>
      <c r="K231" s="15"/>
      <c r="L231" s="19"/>
      <c r="M231" s="19"/>
      <c r="N231" s="19"/>
      <c r="O231" s="19">
        <v>1</v>
      </c>
      <c r="P231" s="19"/>
      <c r="Q231" s="19">
        <v>1</v>
      </c>
      <c r="R231" s="19">
        <v>1</v>
      </c>
      <c r="S231" s="15"/>
      <c r="T231" s="26">
        <v>45670</v>
      </c>
      <c r="U231" s="15" t="s">
        <v>304</v>
      </c>
      <c r="V231">
        <v>19</v>
      </c>
      <c r="AA231" s="49" t="s">
        <v>98</v>
      </c>
      <c r="AB231" s="50" t="s">
        <v>77</v>
      </c>
    </row>
    <row r="232" spans="1:28" x14ac:dyDescent="0.4">
      <c r="A232" s="144"/>
      <c r="B232" s="147"/>
      <c r="C232" s="86" t="s">
        <v>355</v>
      </c>
      <c r="D232" s="110" t="s">
        <v>322</v>
      </c>
      <c r="E232" s="18" t="s">
        <v>294</v>
      </c>
      <c r="F232" s="16"/>
      <c r="G232" s="18" t="s">
        <v>282</v>
      </c>
      <c r="H232" s="15"/>
      <c r="I232" s="15"/>
      <c r="J232" s="18">
        <v>1</v>
      </c>
      <c r="K232" s="15"/>
      <c r="L232" s="19"/>
      <c r="M232" s="19"/>
      <c r="N232" s="19"/>
      <c r="O232" s="19"/>
      <c r="P232" s="19"/>
      <c r="Q232" s="19"/>
      <c r="R232" s="19"/>
      <c r="S232" s="15"/>
      <c r="T232" s="30">
        <v>45649</v>
      </c>
      <c r="U232" s="15" t="s">
        <v>283</v>
      </c>
      <c r="V232">
        <v>20</v>
      </c>
      <c r="AA232" s="49" t="s">
        <v>99</v>
      </c>
      <c r="AB232" s="50" t="s">
        <v>78</v>
      </c>
    </row>
    <row r="233" spans="1:28" x14ac:dyDescent="0.4">
      <c r="A233" s="144"/>
      <c r="B233" s="147"/>
      <c r="C233" s="86" t="s">
        <v>356</v>
      </c>
      <c r="D233" s="110" t="s">
        <v>322</v>
      </c>
      <c r="E233" s="18" t="s">
        <v>343</v>
      </c>
      <c r="F233" s="16"/>
      <c r="G233" s="18" t="s">
        <v>282</v>
      </c>
      <c r="H233" s="15"/>
      <c r="I233" s="15"/>
      <c r="J233" s="18"/>
      <c r="K233" s="15"/>
      <c r="L233" s="19"/>
      <c r="M233" s="19"/>
      <c r="N233" s="19"/>
      <c r="O233" s="19">
        <v>1</v>
      </c>
      <c r="P233" s="19">
        <v>1</v>
      </c>
      <c r="Q233" s="19"/>
      <c r="R233" s="19"/>
      <c r="S233" s="15"/>
      <c r="T233" s="30">
        <v>45649</v>
      </c>
      <c r="U233" s="15" t="s">
        <v>304</v>
      </c>
      <c r="V233">
        <v>21</v>
      </c>
      <c r="AA233" s="49" t="s">
        <v>100</v>
      </c>
      <c r="AB233" s="50" t="s">
        <v>79</v>
      </c>
    </row>
    <row r="234" spans="1:28" x14ac:dyDescent="0.4">
      <c r="A234" s="144"/>
      <c r="B234" s="147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4"/>
      <c r="B235" s="147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4"/>
      <c r="B236" s="147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5"/>
      <c r="B237" s="148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21</v>
      </c>
      <c r="D238" s="112"/>
      <c r="E238" s="29"/>
      <c r="F238" s="29" t="s">
        <v>34</v>
      </c>
      <c r="G238" s="29">
        <f>COUNTIF(G213:G237,"S")</f>
        <v>21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6</v>
      </c>
      <c r="K238" s="29">
        <f t="shared" ref="K238" si="44">SUM(K213:K237)</f>
        <v>3</v>
      </c>
      <c r="L238" s="29">
        <f t="shared" ref="L238" si="45">SUM(L213:L237)</f>
        <v>0</v>
      </c>
      <c r="M238" s="29">
        <f t="shared" ref="M238" si="46">SUM(M213:M237)</f>
        <v>7</v>
      </c>
      <c r="N238" s="29">
        <f t="shared" ref="N238" si="47">SUM(N213:N237)</f>
        <v>6</v>
      </c>
      <c r="O238" s="29">
        <f t="shared" ref="O238" si="48">SUM(O213:O237)</f>
        <v>6</v>
      </c>
      <c r="P238" s="29">
        <f t="shared" ref="P238" si="49">SUM(P213:P237)</f>
        <v>5</v>
      </c>
      <c r="Q238" s="29">
        <f t="shared" ref="Q238" si="50">SUM(Q213:Q237)</f>
        <v>10</v>
      </c>
      <c r="R238" s="29">
        <f t="shared" ref="R238" si="51">SUM(R213:R237)</f>
        <v>1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44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AYG095</v>
      </c>
      <c r="B241" s="24">
        <f>B1</f>
        <v>45629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3" t="s">
        <v>112</v>
      </c>
      <c r="Y242" s="153"/>
    </row>
    <row r="243" spans="1:28" ht="20.25" thickTop="1" thickBot="1" x14ac:dyDescent="0.45">
      <c r="A243" s="143">
        <v>9</v>
      </c>
      <c r="B243" s="146"/>
      <c r="C243" s="85"/>
      <c r="D243" s="109"/>
      <c r="E243" s="13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6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44"/>
      <c r="B244" s="147"/>
      <c r="C244" s="85"/>
      <c r="D244" s="109"/>
      <c r="E244" s="13"/>
      <c r="F244" s="16"/>
      <c r="G244" s="12"/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4"/>
      <c r="B245" s="147"/>
      <c r="C245" s="85"/>
      <c r="D245" s="109"/>
      <c r="E245" s="13"/>
      <c r="F245" s="16"/>
      <c r="G245" s="12"/>
      <c r="H245" s="15"/>
      <c r="I245" s="15"/>
      <c r="J245" s="15"/>
      <c r="K245" s="15"/>
      <c r="L245" s="17"/>
      <c r="M245" s="17"/>
      <c r="N245" s="17"/>
      <c r="O245" s="17"/>
      <c r="P245" s="17"/>
      <c r="Q245" s="17"/>
      <c r="R245" s="17"/>
      <c r="S245" s="15"/>
      <c r="T245" s="26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4"/>
      <c r="B246" s="147"/>
      <c r="C246" s="85"/>
      <c r="D246" s="109"/>
      <c r="E246" s="13"/>
      <c r="F246" s="16"/>
      <c r="G246" s="12"/>
      <c r="H246" s="15"/>
      <c r="I246" s="15"/>
      <c r="J246" s="15"/>
      <c r="K246" s="15"/>
      <c r="L246" s="17"/>
      <c r="M246" s="17"/>
      <c r="N246" s="17"/>
      <c r="O246" s="17"/>
      <c r="P246" s="17"/>
      <c r="Q246" s="17"/>
      <c r="R246" s="17"/>
      <c r="S246" s="15"/>
      <c r="T246" s="26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44"/>
      <c r="B247" s="147"/>
      <c r="C247" s="85"/>
      <c r="D247" s="109"/>
      <c r="E247" s="13"/>
      <c r="F247" s="16"/>
      <c r="G247" s="12"/>
      <c r="H247" s="15"/>
      <c r="I247" s="15"/>
      <c r="J247" s="15"/>
      <c r="K247" s="15"/>
      <c r="L247" s="17"/>
      <c r="M247" s="17"/>
      <c r="N247" s="17"/>
      <c r="O247" s="17"/>
      <c r="P247" s="17"/>
      <c r="Q247" s="17"/>
      <c r="R247" s="17"/>
      <c r="S247" s="15"/>
      <c r="T247" s="26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44"/>
      <c r="B248" s="147"/>
      <c r="C248" s="85"/>
      <c r="D248" s="109"/>
      <c r="E248" s="13"/>
      <c r="F248" s="16"/>
      <c r="G248" s="12"/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/>
      <c r="T248" s="26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44"/>
      <c r="B249" s="147"/>
      <c r="C249" s="85"/>
      <c r="D249" s="109"/>
      <c r="E249" s="13"/>
      <c r="F249" s="16"/>
      <c r="G249" s="12"/>
      <c r="H249" s="15"/>
      <c r="I249" s="15"/>
      <c r="J249" s="15"/>
      <c r="K249" s="15"/>
      <c r="L249" s="17"/>
      <c r="M249" s="17"/>
      <c r="N249" s="17"/>
      <c r="O249" s="17"/>
      <c r="P249" s="17"/>
      <c r="Q249" s="17"/>
      <c r="R249" s="17"/>
      <c r="S249" s="15"/>
      <c r="T249" s="26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44"/>
      <c r="B250" s="147"/>
      <c r="C250" s="85"/>
      <c r="D250" s="109"/>
      <c r="E250" s="13"/>
      <c r="F250" s="16"/>
      <c r="G250" s="12"/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44"/>
      <c r="B251" s="147"/>
      <c r="C251" s="85"/>
      <c r="D251" s="109"/>
      <c r="E251" s="13"/>
      <c r="F251" s="16"/>
      <c r="G251" s="12"/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4"/>
      <c r="B252" s="147"/>
      <c r="C252" s="85"/>
      <c r="D252" s="109"/>
      <c r="E252" s="13"/>
      <c r="F252" s="16"/>
      <c r="G252" s="12"/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4"/>
      <c r="B253" s="147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4"/>
      <c r="B254" s="147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4"/>
      <c r="B255" s="147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4"/>
      <c r="B256" s="147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4"/>
      <c r="B257" s="147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4"/>
      <c r="B258" s="147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4"/>
      <c r="B259" s="147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4"/>
      <c r="B260" s="147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4"/>
      <c r="B261" s="147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4"/>
      <c r="B262" s="147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4"/>
      <c r="B263" s="147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4"/>
      <c r="B264" s="147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4"/>
      <c r="B265" s="147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4"/>
      <c r="B266" s="147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5"/>
      <c r="B267" s="148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AYG095</v>
      </c>
      <c r="B271" s="24">
        <f>B1</f>
        <v>45629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6" t="s">
        <v>111</v>
      </c>
      <c r="Y272" s="142"/>
    </row>
    <row r="273" spans="1:28" ht="20.25" thickTop="1" thickBot="1" x14ac:dyDescent="0.45">
      <c r="A273" s="143">
        <v>10</v>
      </c>
      <c r="B273" s="146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4"/>
      <c r="B274" s="147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4"/>
      <c r="B275" s="147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4"/>
      <c r="B276" s="147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4"/>
      <c r="B277" s="147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4"/>
      <c r="B278" s="147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4"/>
      <c r="B279" s="147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4"/>
      <c r="B280" s="147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4"/>
      <c r="B281" s="147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4"/>
      <c r="B282" s="147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4"/>
      <c r="B283" s="147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4"/>
      <c r="B284" s="147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4"/>
      <c r="B285" s="147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4"/>
      <c r="B286" s="147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4"/>
      <c r="B287" s="147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4"/>
      <c r="B288" s="147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4"/>
      <c r="B289" s="147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4"/>
      <c r="B290" s="147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4"/>
      <c r="B291" s="147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4"/>
      <c r="B292" s="147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4"/>
      <c r="B293" s="147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4"/>
      <c r="B294" s="147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4"/>
      <c r="B295" s="147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4"/>
      <c r="B296" s="147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5"/>
      <c r="B297" s="148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AYG095</v>
      </c>
      <c r="B301" s="24">
        <f>B1</f>
        <v>45629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6" t="s">
        <v>110</v>
      </c>
      <c r="Y302" s="142"/>
    </row>
    <row r="303" spans="1:28" ht="20.25" thickTop="1" thickBot="1" x14ac:dyDescent="0.45">
      <c r="A303" s="143">
        <v>11</v>
      </c>
      <c r="B303" s="146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4"/>
      <c r="B304" s="147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4"/>
      <c r="B305" s="147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4"/>
      <c r="B306" s="147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4"/>
      <c r="B307" s="147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4"/>
      <c r="B308" s="147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4"/>
      <c r="B309" s="147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4"/>
      <c r="B310" s="147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4"/>
      <c r="B311" s="147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4"/>
      <c r="B312" s="147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4"/>
      <c r="B313" s="147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4"/>
      <c r="B314" s="147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4"/>
      <c r="B315" s="147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4"/>
      <c r="B316" s="147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4"/>
      <c r="B317" s="147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4"/>
      <c r="B318" s="147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4"/>
      <c r="B319" s="147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4"/>
      <c r="B320" s="147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4"/>
      <c r="B321" s="147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4"/>
      <c r="B322" s="147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4"/>
      <c r="B323" s="147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4"/>
      <c r="B324" s="147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4"/>
      <c r="B325" s="147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4"/>
      <c r="B326" s="147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5"/>
      <c r="B327" s="148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AYG095</v>
      </c>
      <c r="B331" s="24">
        <f>B151</f>
        <v>45629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6" t="s">
        <v>109</v>
      </c>
      <c r="Y332" s="142"/>
    </row>
    <row r="333" spans="1:28" ht="20.25" thickTop="1" thickBot="1" x14ac:dyDescent="0.45">
      <c r="A333" s="143">
        <v>12</v>
      </c>
      <c r="B333" s="146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4"/>
      <c r="B334" s="147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4"/>
      <c r="B335" s="147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4"/>
      <c r="B336" s="147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4"/>
      <c r="B337" s="147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4"/>
      <c r="B338" s="147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4"/>
      <c r="B339" s="147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4"/>
      <c r="B340" s="147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4"/>
      <c r="B341" s="147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4"/>
      <c r="B342" s="147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4"/>
      <c r="B343" s="147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4"/>
      <c r="B344" s="147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4"/>
      <c r="B345" s="147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4"/>
      <c r="B346" s="147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4"/>
      <c r="B347" s="147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4"/>
      <c r="B348" s="147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4"/>
      <c r="B349" s="147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4"/>
      <c r="B350" s="147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4"/>
      <c r="B351" s="147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4"/>
      <c r="B352" s="147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4"/>
      <c r="B353" s="147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4"/>
      <c r="B354" s="147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4"/>
      <c r="B355" s="147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4"/>
      <c r="B356" s="147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5"/>
      <c r="B357" s="148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6" t="s">
        <v>138</v>
      </c>
      <c r="Y362" s="142"/>
    </row>
    <row r="363" spans="1:28" ht="19.5" thickTop="1" x14ac:dyDescent="0.4">
      <c r="A363" s="143">
        <v>13</v>
      </c>
      <c r="B363" s="146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4"/>
      <c r="B364" s="147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4"/>
      <c r="B365" s="147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4"/>
      <c r="B366" s="147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4"/>
      <c r="B367" s="147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4"/>
      <c r="B368" s="147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4"/>
      <c r="B369" s="147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4"/>
      <c r="B370" s="147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4"/>
      <c r="B371" s="147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4"/>
      <c r="B372" s="147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4"/>
      <c r="B373" s="147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4"/>
      <c r="B374" s="147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4"/>
      <c r="B375" s="147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4"/>
      <c r="B376" s="147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4"/>
      <c r="B377" s="147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4"/>
      <c r="B378" s="147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4"/>
      <c r="B379" s="147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4"/>
      <c r="B380" s="147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4"/>
      <c r="B381" s="147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4"/>
      <c r="B382" s="147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4"/>
      <c r="B383" s="147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4"/>
      <c r="B384" s="147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4"/>
      <c r="B385" s="147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4"/>
      <c r="B386" s="147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5"/>
      <c r="B387" s="148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6" t="s">
        <v>139</v>
      </c>
      <c r="Y392" s="142"/>
    </row>
    <row r="393" spans="1:25" ht="19.5" thickTop="1" x14ac:dyDescent="0.4">
      <c r="A393" s="143">
        <v>14</v>
      </c>
      <c r="B393" s="146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4"/>
      <c r="B394" s="147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4"/>
      <c r="B395" s="147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4"/>
      <c r="B396" s="147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4"/>
      <c r="B397" s="147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4"/>
      <c r="B398" s="147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4"/>
      <c r="B399" s="147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4"/>
      <c r="B400" s="147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4"/>
      <c r="B401" s="147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4"/>
      <c r="B402" s="147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4"/>
      <c r="B403" s="147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4"/>
      <c r="B404" s="147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4"/>
      <c r="B405" s="147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4"/>
      <c r="B406" s="147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4"/>
      <c r="B407" s="147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4"/>
      <c r="B408" s="147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4"/>
      <c r="B409" s="147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4"/>
      <c r="B410" s="147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4"/>
      <c r="B411" s="147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4"/>
      <c r="B412" s="147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4"/>
      <c r="B413" s="147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4"/>
      <c r="B414" s="147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4"/>
      <c r="B415" s="147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4"/>
      <c r="B416" s="147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5"/>
      <c r="B417" s="148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6" t="s">
        <v>140</v>
      </c>
      <c r="Y422" s="142"/>
    </row>
    <row r="423" spans="1:25" ht="19.5" thickTop="1" x14ac:dyDescent="0.4">
      <c r="A423" s="143">
        <v>15</v>
      </c>
      <c r="B423" s="146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4"/>
      <c r="B424" s="147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4"/>
      <c r="B425" s="147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4"/>
      <c r="B426" s="147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4"/>
      <c r="B427" s="147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4"/>
      <c r="B428" s="147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4"/>
      <c r="B429" s="147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4"/>
      <c r="B430" s="147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4"/>
      <c r="B431" s="147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4"/>
      <c r="B432" s="147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4"/>
      <c r="B433" s="147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4"/>
      <c r="B434" s="147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4"/>
      <c r="B435" s="147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4"/>
      <c r="B436" s="147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4"/>
      <c r="B437" s="147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4"/>
      <c r="B438" s="147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4"/>
      <c r="B439" s="147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4"/>
      <c r="B440" s="147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4"/>
      <c r="B441" s="147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4"/>
      <c r="B442" s="147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4"/>
      <c r="B443" s="147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4"/>
      <c r="B444" s="147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4"/>
      <c r="B445" s="147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4"/>
      <c r="B446" s="147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5"/>
      <c r="B447" s="148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6" t="s">
        <v>105</v>
      </c>
      <c r="Y451" s="142"/>
    </row>
    <row r="452" spans="1:25" ht="19.5" thickTop="1" x14ac:dyDescent="0.4">
      <c r="A452" s="143">
        <v>16</v>
      </c>
      <c r="B452" s="133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4"/>
      <c r="B453" s="134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4"/>
      <c r="B454" s="134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4"/>
      <c r="B455" s="134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4"/>
      <c r="B456" s="134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4"/>
      <c r="B457" s="134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4"/>
      <c r="B458" s="134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4"/>
      <c r="B459" s="134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4"/>
      <c r="B460" s="134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4"/>
      <c r="B461" s="134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4"/>
      <c r="B462" s="134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4"/>
      <c r="B463" s="134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4"/>
      <c r="B464" s="134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4"/>
      <c r="B465" s="134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4"/>
      <c r="B466" s="134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4"/>
      <c r="B467" s="134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4"/>
      <c r="B468" s="134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4"/>
      <c r="B469" s="134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4"/>
      <c r="B470" s="134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4"/>
      <c r="B471" s="134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4"/>
      <c r="B472" s="134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4"/>
      <c r="B473" s="134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4"/>
      <c r="B474" s="134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4"/>
      <c r="B475" s="134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5"/>
      <c r="B476" s="135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7" t="s">
        <v>47</v>
      </c>
      <c r="C26" s="157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8"/>
      <c r="C27" s="158"/>
      <c r="D27" s="159">
        <f>SUM(D26:F26)</f>
        <v>116</v>
      </c>
      <c r="E27" s="159"/>
      <c r="F27" s="159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U1083"/>
  <sheetViews>
    <sheetView zoomScaleNormal="100" workbookViewId="0">
      <selection sqref="A1:D25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0" width="16.625" customWidth="1"/>
    <col min="21" max="21" width="11" customWidth="1"/>
    <col min="22" max="22" width="10.5" style="121" customWidth="1"/>
    <col min="23" max="23" width="10.25" style="121" customWidth="1"/>
    <col min="24" max="24" width="10.875" style="121" customWidth="1"/>
    <col min="25" max="38" width="16.625" customWidth="1"/>
    <col min="39" max="39" width="20.5" customWidth="1"/>
    <col min="44" max="44" width="12.375" customWidth="1"/>
    <col min="45" max="45" width="11.25" customWidth="1"/>
    <col min="46" max="46" width="10.5" customWidth="1"/>
    <col min="47" max="47" width="10.25" customWidth="1"/>
  </cols>
  <sheetData>
    <row r="1" spans="1:43" x14ac:dyDescent="0.4">
      <c r="A1" s="120" t="s">
        <v>185</v>
      </c>
      <c r="B1" s="121"/>
      <c r="C1" s="121"/>
      <c r="D1" s="121"/>
      <c r="O1" t="s">
        <v>143</v>
      </c>
      <c r="P1" t="s">
        <v>144</v>
      </c>
      <c r="U1" s="120"/>
      <c r="AM1" t="s">
        <v>143</v>
      </c>
      <c r="AN1" t="s">
        <v>144</v>
      </c>
    </row>
    <row r="2" spans="1:43" ht="19.5" x14ac:dyDescent="0.4">
      <c r="A2" s="116"/>
      <c r="B2" s="123" t="s">
        <v>146</v>
      </c>
      <c r="C2" s="123" t="s">
        <v>147</v>
      </c>
      <c r="D2" s="123" t="s">
        <v>148</v>
      </c>
      <c r="O2" s="25">
        <v>45635</v>
      </c>
      <c r="P2" s="13" t="s">
        <v>147</v>
      </c>
      <c r="U2" s="116"/>
      <c r="V2" s="123"/>
      <c r="W2" s="123"/>
      <c r="X2" s="123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25">
        <v>45258</v>
      </c>
      <c r="AN2" s="13" t="s">
        <v>162</v>
      </c>
      <c r="AQ2" s="114"/>
    </row>
    <row r="3" spans="1:43" ht="19.5" x14ac:dyDescent="0.4">
      <c r="A3" s="117">
        <v>45635</v>
      </c>
      <c r="B3" s="123"/>
      <c r="C3" s="123">
        <v>1</v>
      </c>
      <c r="D3" s="123"/>
      <c r="N3" s="115" t="s">
        <v>357</v>
      </c>
      <c r="O3" s="13">
        <f>SUBTOTAL(3,O2:O2)</f>
        <v>1</v>
      </c>
      <c r="P3" s="13">
        <f>SUBTOTAL(3,P2:P2)</f>
        <v>1</v>
      </c>
      <c r="U3" s="116"/>
      <c r="V3" s="123"/>
      <c r="W3" s="123"/>
      <c r="X3" s="123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25"/>
      <c r="AN3" s="13"/>
      <c r="AQ3" s="114"/>
    </row>
    <row r="4" spans="1:43" ht="19.5" x14ac:dyDescent="0.4">
      <c r="A4" s="117">
        <v>45641</v>
      </c>
      <c r="B4" s="123">
        <v>1</v>
      </c>
      <c r="C4" s="123"/>
      <c r="D4" s="123"/>
      <c r="L4" s="115"/>
      <c r="M4" s="115"/>
      <c r="N4" s="115"/>
      <c r="O4" s="25">
        <v>45641</v>
      </c>
      <c r="P4" s="13" t="s">
        <v>146</v>
      </c>
      <c r="U4" s="116"/>
      <c r="V4" s="123"/>
      <c r="W4" s="123"/>
      <c r="X4" s="123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25"/>
      <c r="AN4" s="13"/>
      <c r="AQ4" s="114"/>
    </row>
    <row r="5" spans="1:43" ht="19.5" x14ac:dyDescent="0.4">
      <c r="A5" s="117">
        <v>45642</v>
      </c>
      <c r="B5" s="123">
        <v>1</v>
      </c>
      <c r="C5" s="123"/>
      <c r="D5" s="123"/>
      <c r="L5" s="115"/>
      <c r="M5" s="115"/>
      <c r="N5" s="115" t="s">
        <v>358</v>
      </c>
      <c r="O5" s="13">
        <f>SUBTOTAL(3,O4:O4)</f>
        <v>1</v>
      </c>
      <c r="P5" s="13">
        <f>SUBTOTAL(3,P4:P4)</f>
        <v>1</v>
      </c>
      <c r="U5" s="116"/>
      <c r="V5" s="123"/>
      <c r="W5" s="123"/>
      <c r="X5" s="123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25"/>
      <c r="AN5" s="13"/>
      <c r="AQ5" s="114"/>
    </row>
    <row r="6" spans="1:43" ht="19.5" x14ac:dyDescent="0.4">
      <c r="A6" s="117">
        <v>45644</v>
      </c>
      <c r="B6" s="123">
        <v>1</v>
      </c>
      <c r="C6" s="123"/>
      <c r="D6" s="123"/>
      <c r="L6" s="115"/>
      <c r="M6" s="115"/>
      <c r="N6" s="115"/>
      <c r="O6" s="25">
        <v>45642</v>
      </c>
      <c r="P6" s="13" t="s">
        <v>283</v>
      </c>
      <c r="U6" s="116"/>
      <c r="V6" s="123"/>
      <c r="W6" s="123"/>
      <c r="X6" s="123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25"/>
      <c r="AN6" s="13"/>
      <c r="AQ6" s="114"/>
    </row>
    <row r="7" spans="1:43" ht="19.5" x14ac:dyDescent="0.4">
      <c r="A7" s="117">
        <v>45642</v>
      </c>
      <c r="B7" s="123">
        <v>2</v>
      </c>
      <c r="C7" s="123">
        <v>1</v>
      </c>
      <c r="D7" s="123">
        <v>1</v>
      </c>
      <c r="L7" s="115"/>
      <c r="M7" s="115"/>
      <c r="N7" s="115" t="s">
        <v>177</v>
      </c>
      <c r="O7" s="13">
        <f>SUBTOTAL(3,O6:O6)</f>
        <v>1</v>
      </c>
      <c r="P7" s="13">
        <f>SUBTOTAL(3,P6:P6)</f>
        <v>1</v>
      </c>
      <c r="U7" s="116"/>
      <c r="V7" s="123"/>
      <c r="W7" s="123"/>
      <c r="X7" s="123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25"/>
      <c r="AN7" s="13"/>
      <c r="AQ7" s="114"/>
    </row>
    <row r="8" spans="1:43" ht="19.5" x14ac:dyDescent="0.4">
      <c r="A8" s="117">
        <v>45648</v>
      </c>
      <c r="B8" s="123">
        <v>1</v>
      </c>
      <c r="C8" s="123"/>
      <c r="D8" s="123"/>
      <c r="J8" s="115"/>
      <c r="K8" s="115"/>
      <c r="L8" s="115"/>
      <c r="M8" s="115"/>
      <c r="N8" s="115"/>
      <c r="O8" s="25">
        <v>45644</v>
      </c>
      <c r="P8" s="13" t="s">
        <v>283</v>
      </c>
      <c r="U8" s="116"/>
      <c r="V8" s="123"/>
      <c r="W8" s="123"/>
      <c r="X8" s="123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25"/>
      <c r="AN8" s="13"/>
      <c r="AQ8" s="114"/>
    </row>
    <row r="9" spans="1:43" ht="19.5" x14ac:dyDescent="0.4">
      <c r="A9" s="117">
        <v>45649</v>
      </c>
      <c r="B9" s="123">
        <v>6</v>
      </c>
      <c r="C9" s="123">
        <v>1</v>
      </c>
      <c r="D9" s="123">
        <v>2</v>
      </c>
      <c r="J9" s="115"/>
      <c r="K9" s="115"/>
      <c r="L9" s="115"/>
      <c r="M9" s="115"/>
      <c r="N9" s="115" t="s">
        <v>178</v>
      </c>
      <c r="O9" s="13">
        <f>SUBTOTAL(3,O8:O8)</f>
        <v>1</v>
      </c>
      <c r="P9" s="13">
        <f>SUBTOTAL(3,P8:P8)</f>
        <v>1</v>
      </c>
      <c r="U9" s="116"/>
      <c r="V9" s="123"/>
      <c r="W9" s="123"/>
      <c r="X9" s="123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25"/>
      <c r="AN9" s="13"/>
      <c r="AQ9" s="114"/>
    </row>
    <row r="10" spans="1:43" ht="19.5" x14ac:dyDescent="0.4">
      <c r="A10" s="117">
        <v>45650</v>
      </c>
      <c r="B10" s="123">
        <v>1</v>
      </c>
      <c r="C10" s="123">
        <v>2</v>
      </c>
      <c r="D10" s="123"/>
      <c r="J10" s="115"/>
      <c r="K10" s="115"/>
      <c r="L10" s="115"/>
      <c r="M10" s="115"/>
      <c r="N10" s="115"/>
      <c r="O10" s="25">
        <v>45647</v>
      </c>
      <c r="P10" s="13" t="s">
        <v>147</v>
      </c>
      <c r="U10" s="116"/>
      <c r="V10" s="123"/>
      <c r="W10" s="123"/>
      <c r="X10" s="123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25"/>
      <c r="AN10" s="13"/>
      <c r="AQ10" s="114"/>
    </row>
    <row r="11" spans="1:43" ht="19.5" x14ac:dyDescent="0.4">
      <c r="A11" s="117">
        <v>45651</v>
      </c>
      <c r="B11" s="123">
        <v>2</v>
      </c>
      <c r="C11" s="123">
        <v>4</v>
      </c>
      <c r="D11" s="123">
        <v>1</v>
      </c>
      <c r="J11" s="115"/>
      <c r="K11" s="115"/>
      <c r="L11" s="115"/>
      <c r="M11" s="115"/>
      <c r="N11" s="115"/>
      <c r="O11" s="25">
        <v>45647</v>
      </c>
      <c r="P11" s="25" t="s">
        <v>283</v>
      </c>
      <c r="U11" s="116"/>
      <c r="V11" s="123"/>
      <c r="W11" s="123"/>
      <c r="X11" s="123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25"/>
      <c r="AN11" s="13"/>
      <c r="AQ11" s="114"/>
    </row>
    <row r="12" spans="1:43" ht="19.5" x14ac:dyDescent="0.4">
      <c r="A12" s="117">
        <v>45652</v>
      </c>
      <c r="B12" s="123">
        <v>7</v>
      </c>
      <c r="C12" s="123">
        <v>6</v>
      </c>
      <c r="D12" s="123">
        <v>4</v>
      </c>
      <c r="E12">
        <v>4</v>
      </c>
      <c r="I12" s="115"/>
      <c r="J12" s="115"/>
      <c r="K12" s="115"/>
      <c r="L12" s="115"/>
      <c r="M12" s="115"/>
      <c r="N12" s="115"/>
      <c r="O12" s="25">
        <v>45647</v>
      </c>
      <c r="P12" s="25" t="s">
        <v>283</v>
      </c>
      <c r="U12" s="116"/>
      <c r="V12" s="123"/>
      <c r="W12" s="123"/>
      <c r="X12" s="123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25"/>
      <c r="AN12" s="13"/>
      <c r="AQ12" s="114"/>
    </row>
    <row r="13" spans="1:43" ht="19.5" x14ac:dyDescent="0.4">
      <c r="A13" s="117">
        <v>45295</v>
      </c>
      <c r="B13" s="123">
        <v>3</v>
      </c>
      <c r="C13" s="123">
        <v>3</v>
      </c>
      <c r="D13" s="123">
        <v>2</v>
      </c>
      <c r="I13" s="115"/>
      <c r="J13" s="115"/>
      <c r="K13" s="115"/>
      <c r="L13" s="115"/>
      <c r="M13" s="115"/>
      <c r="N13" s="115"/>
      <c r="O13" s="25">
        <v>45647</v>
      </c>
      <c r="P13" s="25" t="s">
        <v>304</v>
      </c>
      <c r="U13" s="116"/>
      <c r="V13" s="123"/>
      <c r="W13" s="123"/>
      <c r="X13" s="123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25"/>
      <c r="AN13" s="13"/>
      <c r="AQ13" s="114"/>
    </row>
    <row r="14" spans="1:43" ht="19.5" x14ac:dyDescent="0.4">
      <c r="A14" s="117">
        <v>45296</v>
      </c>
      <c r="B14" s="123">
        <v>2</v>
      </c>
      <c r="C14" s="123">
        <v>1</v>
      </c>
      <c r="D14" s="123">
        <v>3</v>
      </c>
      <c r="I14" s="115"/>
      <c r="J14" s="115"/>
      <c r="K14" s="115"/>
      <c r="L14" s="115"/>
      <c r="M14" s="115"/>
      <c r="N14" s="115" t="s">
        <v>179</v>
      </c>
      <c r="O14" s="13">
        <f>SUBTOTAL(3,O10:O13)</f>
        <v>4</v>
      </c>
      <c r="P14" s="13">
        <f>SUBTOTAL(3,P10:P13)</f>
        <v>4</v>
      </c>
      <c r="U14" s="116"/>
      <c r="V14" s="123"/>
      <c r="W14" s="123"/>
      <c r="X14" s="123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25"/>
      <c r="AN14" s="13"/>
      <c r="AQ14" s="114"/>
    </row>
    <row r="15" spans="1:43" ht="19.5" x14ac:dyDescent="0.4">
      <c r="A15" s="117">
        <v>45632</v>
      </c>
      <c r="B15" s="123">
        <v>5</v>
      </c>
      <c r="C15" s="123">
        <v>1</v>
      </c>
      <c r="D15" s="123">
        <v>1</v>
      </c>
      <c r="I15" s="115"/>
      <c r="J15" s="115"/>
      <c r="K15" s="115"/>
      <c r="L15" s="115"/>
      <c r="M15" s="115"/>
      <c r="N15" s="115"/>
      <c r="O15" s="25">
        <v>45648</v>
      </c>
      <c r="P15" s="13" t="s">
        <v>146</v>
      </c>
      <c r="U15" s="116"/>
      <c r="V15" s="123"/>
      <c r="W15" s="123"/>
      <c r="X15" s="123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25"/>
      <c r="AN15" s="13"/>
      <c r="AQ15" s="114"/>
    </row>
    <row r="16" spans="1:43" ht="19.5" x14ac:dyDescent="0.4">
      <c r="A16" s="117">
        <v>45633</v>
      </c>
      <c r="B16" s="123">
        <v>3</v>
      </c>
      <c r="C16" s="123">
        <v>2</v>
      </c>
      <c r="D16" s="123"/>
      <c r="I16" s="115"/>
      <c r="J16" s="115"/>
      <c r="K16" s="115"/>
      <c r="L16" s="115"/>
      <c r="M16" s="115"/>
      <c r="N16" s="115" t="s">
        <v>182</v>
      </c>
      <c r="O16" s="13">
        <f>SUBTOTAL(3,O15:O15)</f>
        <v>1</v>
      </c>
      <c r="P16" s="13">
        <f>SUBTOTAL(3,P15:P15)</f>
        <v>1</v>
      </c>
      <c r="U16" s="116"/>
      <c r="V16" s="123"/>
      <c r="W16" s="123"/>
      <c r="X16" s="123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25"/>
      <c r="AN16" s="13"/>
      <c r="AQ16" s="114"/>
    </row>
    <row r="17" spans="1:43" ht="19.5" x14ac:dyDescent="0.4">
      <c r="A17" s="117">
        <v>45634</v>
      </c>
      <c r="B17" s="123">
        <v>6</v>
      </c>
      <c r="C17" s="123">
        <v>3</v>
      </c>
      <c r="D17" s="123"/>
      <c r="I17" s="115"/>
      <c r="J17" s="115"/>
      <c r="K17" s="115"/>
      <c r="L17" s="115"/>
      <c r="M17" s="115"/>
      <c r="N17" s="115"/>
      <c r="O17" s="25">
        <v>45649</v>
      </c>
      <c r="P17" s="13" t="s">
        <v>146</v>
      </c>
      <c r="U17" s="116"/>
      <c r="V17" s="123"/>
      <c r="W17" s="123"/>
      <c r="X17" s="123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25"/>
      <c r="AN17" s="13"/>
      <c r="AQ17" s="114"/>
    </row>
    <row r="18" spans="1:43" ht="19.5" x14ac:dyDescent="0.4">
      <c r="A18" s="117">
        <v>45636</v>
      </c>
      <c r="B18" s="123"/>
      <c r="C18" s="123">
        <v>1</v>
      </c>
      <c r="D18" s="123"/>
      <c r="G18" s="115"/>
      <c r="H18" s="115"/>
      <c r="I18" s="115"/>
      <c r="J18" s="115"/>
      <c r="K18" s="115"/>
      <c r="L18" s="115"/>
      <c r="M18" s="115"/>
      <c r="N18" s="115"/>
      <c r="O18" s="25">
        <v>45649</v>
      </c>
      <c r="P18" s="13" t="s">
        <v>146</v>
      </c>
      <c r="U18" s="116"/>
      <c r="V18" s="123"/>
      <c r="W18" s="123"/>
      <c r="X18" s="123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25"/>
      <c r="AN18" s="13"/>
      <c r="AQ18" s="114"/>
    </row>
    <row r="19" spans="1:43" ht="19.5" x14ac:dyDescent="0.4">
      <c r="A19" s="117">
        <v>45637</v>
      </c>
      <c r="B19" s="123">
        <v>1</v>
      </c>
      <c r="C19" s="123">
        <v>2</v>
      </c>
      <c r="D19" s="123"/>
      <c r="G19" s="115"/>
      <c r="H19" s="115"/>
      <c r="I19" s="115"/>
      <c r="J19" s="115"/>
      <c r="K19" s="115"/>
      <c r="L19" s="115"/>
      <c r="M19" s="115"/>
      <c r="N19" s="115"/>
      <c r="O19" s="25">
        <v>45649</v>
      </c>
      <c r="P19" s="13" t="s">
        <v>147</v>
      </c>
      <c r="U19" s="116"/>
      <c r="V19" s="123"/>
      <c r="W19" s="123"/>
      <c r="X19" s="123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25"/>
      <c r="AN19" s="13"/>
      <c r="AQ19" s="114"/>
    </row>
    <row r="20" spans="1:43" ht="19.5" x14ac:dyDescent="0.4">
      <c r="A20" s="117">
        <v>45638</v>
      </c>
      <c r="B20" s="123">
        <v>2</v>
      </c>
      <c r="C20" s="123">
        <v>2</v>
      </c>
      <c r="D20" s="123"/>
      <c r="G20" s="115"/>
      <c r="H20" s="115"/>
      <c r="I20" s="115"/>
      <c r="J20" s="115"/>
      <c r="K20" s="115"/>
      <c r="L20" s="115"/>
      <c r="M20" s="115"/>
      <c r="N20" s="115"/>
      <c r="O20" s="25">
        <v>45649</v>
      </c>
      <c r="P20" s="13" t="s">
        <v>146</v>
      </c>
      <c r="U20" s="116"/>
      <c r="V20" s="123"/>
      <c r="W20" s="123"/>
      <c r="X20" s="123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25"/>
      <c r="AN20" s="13"/>
      <c r="AQ20" s="114"/>
    </row>
    <row r="21" spans="1:43" ht="19.5" x14ac:dyDescent="0.4">
      <c r="A21" s="117">
        <v>45639</v>
      </c>
      <c r="B21" s="123">
        <v>3</v>
      </c>
      <c r="C21" s="123">
        <v>2</v>
      </c>
      <c r="D21" s="123">
        <v>3</v>
      </c>
      <c r="G21" s="115"/>
      <c r="H21" s="115"/>
      <c r="I21" s="115"/>
      <c r="J21" s="115"/>
      <c r="K21" s="115"/>
      <c r="L21" s="115"/>
      <c r="M21" s="115"/>
      <c r="N21" s="115"/>
      <c r="O21" s="25">
        <v>45649</v>
      </c>
      <c r="P21" s="13" t="s">
        <v>146</v>
      </c>
      <c r="U21" s="116"/>
      <c r="V21" s="123"/>
      <c r="W21" s="123"/>
      <c r="X21" s="123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25"/>
      <c r="AN21" s="13"/>
      <c r="AQ21" s="114"/>
    </row>
    <row r="22" spans="1:43" ht="19.5" x14ac:dyDescent="0.4">
      <c r="A22" s="117">
        <v>45640</v>
      </c>
      <c r="B22" s="123">
        <v>1</v>
      </c>
      <c r="C22" s="123"/>
      <c r="D22" s="123"/>
      <c r="G22" s="115"/>
      <c r="H22" s="115"/>
      <c r="I22" s="115"/>
      <c r="J22" s="115"/>
      <c r="K22" s="115"/>
      <c r="L22" s="115"/>
      <c r="M22" s="115"/>
      <c r="N22" s="115"/>
      <c r="O22" s="25">
        <v>45649</v>
      </c>
      <c r="P22" s="15" t="s">
        <v>283</v>
      </c>
      <c r="U22" s="116"/>
      <c r="V22" s="123"/>
      <c r="W22" s="123"/>
      <c r="X22" s="123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25"/>
      <c r="AN22" s="13"/>
      <c r="AQ22" s="114"/>
    </row>
    <row r="23" spans="1:43" ht="19.5" x14ac:dyDescent="0.4">
      <c r="A23" s="117"/>
      <c r="B23" s="123">
        <f>SUM(B3:B22)</f>
        <v>48</v>
      </c>
      <c r="C23" s="123">
        <f>SUM(C3:C22)</f>
        <v>32</v>
      </c>
      <c r="D23" s="123">
        <f>SUM(D3:D22)</f>
        <v>17</v>
      </c>
      <c r="G23" s="115"/>
      <c r="H23" s="115"/>
      <c r="I23" s="115"/>
      <c r="J23" s="115"/>
      <c r="K23" s="115"/>
      <c r="L23" s="115"/>
      <c r="M23" s="115"/>
      <c r="N23" s="115"/>
      <c r="O23" s="25">
        <v>45649</v>
      </c>
      <c r="P23" s="13" t="s">
        <v>304</v>
      </c>
      <c r="U23" s="116"/>
      <c r="V23" s="123"/>
      <c r="W23" s="123"/>
      <c r="X23" s="123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25"/>
      <c r="AN23" s="13"/>
      <c r="AQ23" s="114"/>
    </row>
    <row r="24" spans="1:43" ht="19.5" x14ac:dyDescent="0.4">
      <c r="A24" s="117"/>
      <c r="B24" s="123"/>
      <c r="C24" s="123"/>
      <c r="D24" s="123">
        <f>SUM(B23:D23)</f>
        <v>97</v>
      </c>
      <c r="G24" s="115"/>
      <c r="H24" s="115"/>
      <c r="I24" s="115"/>
      <c r="J24" s="115"/>
      <c r="K24" s="115"/>
      <c r="L24" s="115"/>
      <c r="M24" s="115"/>
      <c r="N24" s="115"/>
      <c r="O24" s="25">
        <v>45649</v>
      </c>
      <c r="P24" s="13" t="s">
        <v>283</v>
      </c>
      <c r="U24" s="116"/>
      <c r="V24" s="123"/>
      <c r="W24" s="123"/>
      <c r="X24" s="123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25"/>
      <c r="AN24" s="13"/>
      <c r="AQ24" s="114"/>
    </row>
    <row r="25" spans="1:43" ht="19.5" x14ac:dyDescent="0.4">
      <c r="A25" s="117"/>
      <c r="B25" s="123"/>
      <c r="C25" s="123"/>
      <c r="D25" s="123"/>
      <c r="G25" s="115"/>
      <c r="H25" s="115"/>
      <c r="I25" s="115"/>
      <c r="J25" s="115"/>
      <c r="K25" s="115"/>
      <c r="L25" s="115"/>
      <c r="M25" s="115"/>
      <c r="N25" s="115"/>
      <c r="O25" s="25">
        <v>45649</v>
      </c>
      <c r="P25" s="13" t="s">
        <v>304</v>
      </c>
      <c r="U25" s="116"/>
      <c r="V25" s="123"/>
      <c r="W25" s="123"/>
      <c r="X25" s="123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25"/>
      <c r="AN25" s="13"/>
      <c r="AQ25" s="114"/>
    </row>
    <row r="26" spans="1:43" ht="19.5" x14ac:dyDescent="0.4">
      <c r="A26" s="117"/>
      <c r="B26" s="123"/>
      <c r="C26" s="123"/>
      <c r="D26" s="123"/>
      <c r="G26" s="115"/>
      <c r="H26" s="115"/>
      <c r="I26" s="115"/>
      <c r="J26" s="115"/>
      <c r="K26" s="115"/>
      <c r="L26" s="115"/>
      <c r="M26" s="115"/>
      <c r="N26" s="115" t="s">
        <v>180</v>
      </c>
      <c r="O26" s="13">
        <f>SUBTOTAL(3,O17:O25)</f>
        <v>9</v>
      </c>
      <c r="P26" s="13">
        <f>SUBTOTAL(3,P17:P25)</f>
        <v>9</v>
      </c>
      <c r="U26" s="116"/>
      <c r="V26" s="123"/>
      <c r="W26" s="123"/>
      <c r="X26" s="123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25"/>
      <c r="AN26" s="13"/>
      <c r="AQ26" s="114"/>
    </row>
    <row r="27" spans="1:43" ht="19.5" x14ac:dyDescent="0.4">
      <c r="A27" s="117"/>
      <c r="B27" s="123"/>
      <c r="C27" s="123"/>
      <c r="D27" s="123"/>
      <c r="O27" s="25">
        <v>45650</v>
      </c>
      <c r="P27" s="13" t="s">
        <v>146</v>
      </c>
      <c r="U27" s="116"/>
      <c r="V27" s="123"/>
      <c r="W27" s="123"/>
      <c r="X27" s="123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25"/>
      <c r="AN27" s="13"/>
      <c r="AQ27" s="114"/>
    </row>
    <row r="28" spans="1:43" ht="19.5" x14ac:dyDescent="0.4">
      <c r="A28" s="117"/>
      <c r="B28" s="123"/>
      <c r="C28" s="123"/>
      <c r="D28" s="123"/>
      <c r="I28" s="115"/>
      <c r="J28" s="115"/>
      <c r="K28" s="115"/>
      <c r="L28" s="115"/>
      <c r="M28" s="115"/>
      <c r="N28" s="115"/>
      <c r="O28" s="25">
        <v>45650</v>
      </c>
      <c r="P28" s="13" t="s">
        <v>284</v>
      </c>
      <c r="U28" s="116"/>
      <c r="V28" s="123"/>
      <c r="W28" s="123"/>
      <c r="X28" s="123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25"/>
      <c r="AN28" s="13"/>
      <c r="AQ28" s="114"/>
    </row>
    <row r="29" spans="1:43" ht="19.5" x14ac:dyDescent="0.4">
      <c r="A29" s="117"/>
      <c r="B29" s="123"/>
      <c r="C29" s="123"/>
      <c r="D29" s="123"/>
      <c r="I29" s="115"/>
      <c r="J29" s="115"/>
      <c r="K29" s="115"/>
      <c r="L29" s="115"/>
      <c r="M29" s="115"/>
      <c r="N29" s="115"/>
      <c r="O29" s="25">
        <v>45650</v>
      </c>
      <c r="P29" s="13" t="s">
        <v>284</v>
      </c>
      <c r="U29" s="116"/>
      <c r="V29" s="123"/>
      <c r="W29" s="123"/>
      <c r="X29" s="123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25"/>
      <c r="AN29" s="13"/>
      <c r="AQ29" s="114"/>
    </row>
    <row r="30" spans="1:43" ht="19.5" x14ac:dyDescent="0.4">
      <c r="A30" s="117"/>
      <c r="B30" s="123"/>
      <c r="C30" s="123"/>
      <c r="D30" s="123"/>
      <c r="I30" s="115"/>
      <c r="J30" s="115"/>
      <c r="K30" s="115"/>
      <c r="L30" s="115"/>
      <c r="M30" s="115"/>
      <c r="N30" s="115" t="s">
        <v>183</v>
      </c>
      <c r="O30" s="13">
        <f>SUBTOTAL(3,O27:O29)</f>
        <v>3</v>
      </c>
      <c r="P30" s="13">
        <f>SUBTOTAL(3,P27:P29)</f>
        <v>3</v>
      </c>
      <c r="U30" s="116"/>
      <c r="V30" s="123"/>
      <c r="W30" s="123"/>
      <c r="X30" s="123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25"/>
      <c r="AN30" s="13"/>
      <c r="AQ30" s="114"/>
    </row>
    <row r="31" spans="1:43" ht="19.5" x14ac:dyDescent="0.4">
      <c r="A31" s="117"/>
      <c r="B31" s="123"/>
      <c r="C31" s="123"/>
      <c r="D31" s="123"/>
      <c r="I31" s="115"/>
      <c r="J31" s="115"/>
      <c r="K31" s="115"/>
      <c r="L31" s="115"/>
      <c r="M31" s="115"/>
      <c r="N31" s="115"/>
      <c r="O31" s="25">
        <v>45651</v>
      </c>
      <c r="P31" s="13" t="s">
        <v>148</v>
      </c>
      <c r="U31" s="116"/>
      <c r="V31" s="123"/>
      <c r="W31" s="123"/>
      <c r="X31" s="123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25"/>
      <c r="AN31" s="13"/>
      <c r="AQ31" s="114"/>
    </row>
    <row r="32" spans="1:43" ht="19.5" x14ac:dyDescent="0.4">
      <c r="A32" s="117"/>
      <c r="B32" s="123"/>
      <c r="C32" s="123"/>
      <c r="D32" s="123"/>
      <c r="I32" s="115"/>
      <c r="J32" s="115"/>
      <c r="K32" s="115"/>
      <c r="L32" s="115"/>
      <c r="M32" s="115"/>
      <c r="N32" s="115"/>
      <c r="O32" s="25">
        <v>45651</v>
      </c>
      <c r="P32" s="13" t="s">
        <v>146</v>
      </c>
      <c r="U32" s="116"/>
      <c r="V32" s="123"/>
      <c r="W32" s="123"/>
      <c r="X32" s="123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25"/>
      <c r="AN32" s="13"/>
      <c r="AQ32" s="114"/>
    </row>
    <row r="33" spans="1:43" ht="19.5" x14ac:dyDescent="0.4">
      <c r="A33" s="117"/>
      <c r="B33" s="123"/>
      <c r="C33" s="123"/>
      <c r="D33" s="123"/>
      <c r="I33" s="115"/>
      <c r="J33" s="115"/>
      <c r="K33" s="115"/>
      <c r="L33" s="115"/>
      <c r="M33" s="115"/>
      <c r="N33" s="115"/>
      <c r="O33" s="25">
        <v>45651</v>
      </c>
      <c r="P33" s="13" t="s">
        <v>147</v>
      </c>
      <c r="U33" s="116"/>
      <c r="V33" s="123"/>
      <c r="W33" s="123"/>
      <c r="X33" s="123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25"/>
      <c r="AN33" s="13"/>
      <c r="AQ33" s="114"/>
    </row>
    <row r="34" spans="1:43" ht="19.5" x14ac:dyDescent="0.4">
      <c r="A34" s="117"/>
      <c r="B34" s="123"/>
      <c r="C34" s="123"/>
      <c r="D34" s="123"/>
      <c r="F34" s="115"/>
      <c r="G34" s="115"/>
      <c r="H34" s="115"/>
      <c r="I34" s="115"/>
      <c r="J34" s="115"/>
      <c r="K34" s="115"/>
      <c r="L34" s="115"/>
      <c r="M34" s="115"/>
      <c r="N34" s="115"/>
      <c r="O34" s="25">
        <v>45651</v>
      </c>
      <c r="P34" s="13" t="s">
        <v>284</v>
      </c>
      <c r="U34" s="116"/>
      <c r="V34" s="123"/>
      <c r="W34" s="123"/>
      <c r="X34" s="123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25"/>
      <c r="AN34" s="13"/>
      <c r="AQ34" s="114"/>
    </row>
    <row r="35" spans="1:43" ht="19.5" x14ac:dyDescent="0.4">
      <c r="A35" s="117"/>
      <c r="B35" s="123"/>
      <c r="C35" s="123"/>
      <c r="D35" s="123"/>
      <c r="F35" s="115"/>
      <c r="G35" s="115"/>
      <c r="H35" s="115"/>
      <c r="I35" s="115"/>
      <c r="J35" s="115"/>
      <c r="K35" s="115"/>
      <c r="L35" s="115"/>
      <c r="M35" s="115"/>
      <c r="N35" s="115"/>
      <c r="O35" s="25">
        <v>45651</v>
      </c>
      <c r="P35" s="13" t="s">
        <v>283</v>
      </c>
      <c r="U35" s="116"/>
      <c r="V35" s="123"/>
      <c r="W35" s="123"/>
      <c r="X35" s="123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25"/>
      <c r="AN35" s="13"/>
      <c r="AQ35" s="114"/>
    </row>
    <row r="36" spans="1:43" ht="19.5" x14ac:dyDescent="0.4">
      <c r="A36" s="117"/>
      <c r="B36" s="123"/>
      <c r="C36" s="123"/>
      <c r="D36" s="123"/>
      <c r="F36" s="115"/>
      <c r="G36" s="115"/>
      <c r="H36" s="115"/>
      <c r="I36" s="115"/>
      <c r="J36" s="115"/>
      <c r="K36" s="115"/>
      <c r="L36" s="115"/>
      <c r="M36" s="115"/>
      <c r="N36" s="115"/>
      <c r="O36" s="25">
        <v>45651</v>
      </c>
      <c r="P36" s="13" t="s">
        <v>284</v>
      </c>
      <c r="U36" s="116"/>
      <c r="V36" s="123"/>
      <c r="W36" s="123"/>
      <c r="X36" s="123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25"/>
      <c r="AN36" s="13"/>
      <c r="AQ36" s="114"/>
    </row>
    <row r="37" spans="1:43" ht="19.5" x14ac:dyDescent="0.4">
      <c r="A37" s="117"/>
      <c r="B37" s="123"/>
      <c r="C37" s="123"/>
      <c r="D37" s="123"/>
      <c r="F37" s="115"/>
      <c r="G37" s="115"/>
      <c r="H37" s="115"/>
      <c r="I37" s="115"/>
      <c r="J37" s="115"/>
      <c r="K37" s="115"/>
      <c r="L37" s="115"/>
      <c r="M37" s="115"/>
      <c r="N37" s="115"/>
      <c r="O37" s="25">
        <v>45651</v>
      </c>
      <c r="P37" s="13" t="s">
        <v>284</v>
      </c>
      <c r="U37" s="116"/>
      <c r="V37" s="123"/>
      <c r="W37" s="123"/>
      <c r="X37" s="123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25"/>
      <c r="AN37" s="13"/>
      <c r="AQ37" s="114"/>
    </row>
    <row r="38" spans="1:43" ht="19.5" x14ac:dyDescent="0.4">
      <c r="A38" s="117"/>
      <c r="B38" s="123"/>
      <c r="C38" s="123"/>
      <c r="D38" s="123"/>
      <c r="F38" s="115"/>
      <c r="G38" s="115"/>
      <c r="H38" s="115"/>
      <c r="I38" s="115"/>
      <c r="J38" s="115"/>
      <c r="K38" s="115"/>
      <c r="L38" s="115"/>
      <c r="M38" s="115"/>
      <c r="N38" s="115" t="s">
        <v>184</v>
      </c>
      <c r="O38" s="13">
        <f>SUBTOTAL(3,O31:O37)</f>
        <v>7</v>
      </c>
      <c r="P38" s="13">
        <f>SUBTOTAL(3,P31:P37)</f>
        <v>7</v>
      </c>
      <c r="U38" s="116"/>
      <c r="V38" s="123"/>
      <c r="W38" s="123"/>
      <c r="X38" s="123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25"/>
      <c r="AN38" s="13"/>
      <c r="AQ38" s="114"/>
    </row>
    <row r="39" spans="1:43" ht="19.5" x14ac:dyDescent="0.4">
      <c r="A39" s="117"/>
      <c r="B39" s="123"/>
      <c r="C39" s="123"/>
      <c r="D39" s="123"/>
      <c r="F39" s="115"/>
      <c r="G39" s="115"/>
      <c r="H39" s="115"/>
      <c r="I39" s="115"/>
      <c r="J39" s="115"/>
      <c r="K39" s="115"/>
      <c r="L39" s="115"/>
      <c r="M39" s="115"/>
      <c r="N39" s="115"/>
      <c r="O39" s="25">
        <v>45652</v>
      </c>
      <c r="P39" s="13" t="s">
        <v>147</v>
      </c>
      <c r="U39" s="116"/>
      <c r="V39" s="123"/>
      <c r="W39" s="123"/>
      <c r="X39" s="123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25"/>
      <c r="AN39" s="13"/>
      <c r="AQ39" s="114"/>
    </row>
    <row r="40" spans="1:43" ht="19.5" x14ac:dyDescent="0.4">
      <c r="A40" s="117"/>
      <c r="B40" s="123"/>
      <c r="C40" s="123"/>
      <c r="D40" s="123"/>
      <c r="F40" s="115"/>
      <c r="G40" s="115"/>
      <c r="H40" s="115"/>
      <c r="I40" s="115"/>
      <c r="J40" s="115"/>
      <c r="K40" s="115"/>
      <c r="L40" s="115"/>
      <c r="M40" s="115"/>
      <c r="N40" s="115"/>
      <c r="O40" s="25">
        <v>45652</v>
      </c>
      <c r="P40" s="25" t="s">
        <v>284</v>
      </c>
      <c r="U40" s="116"/>
      <c r="V40" s="123"/>
      <c r="W40" s="123"/>
      <c r="X40" s="123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25"/>
      <c r="AN40" s="13"/>
      <c r="AQ40" s="114"/>
    </row>
    <row r="41" spans="1:43" ht="19.5" x14ac:dyDescent="0.4">
      <c r="A41" s="117"/>
      <c r="B41" s="123"/>
      <c r="C41" s="123"/>
      <c r="D41" s="123"/>
      <c r="F41" s="115"/>
      <c r="G41" s="115"/>
      <c r="H41" s="115"/>
      <c r="I41" s="115"/>
      <c r="J41" s="115"/>
      <c r="K41" s="115"/>
      <c r="L41" s="115"/>
      <c r="M41" s="115"/>
      <c r="N41" s="115"/>
      <c r="O41" s="25">
        <v>45652</v>
      </c>
      <c r="P41" s="15" t="s">
        <v>146</v>
      </c>
      <c r="U41" s="116"/>
      <c r="V41" s="123"/>
      <c r="W41" s="123"/>
      <c r="X41" s="123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25"/>
      <c r="AN41" s="13"/>
      <c r="AQ41" s="114"/>
    </row>
    <row r="42" spans="1:43" ht="19.5" x14ac:dyDescent="0.4">
      <c r="A42" s="117"/>
      <c r="B42" s="123"/>
      <c r="C42" s="123"/>
      <c r="D42" s="123"/>
      <c r="O42" s="25">
        <v>45652</v>
      </c>
      <c r="P42" s="15" t="s">
        <v>148</v>
      </c>
      <c r="U42" s="117"/>
      <c r="V42" s="123"/>
      <c r="W42" s="123"/>
      <c r="X42" s="123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 t="s">
        <v>149</v>
      </c>
      <c r="AM42" s="13">
        <f>SUBTOTAL(3,AM2:AM2)</f>
        <v>1</v>
      </c>
      <c r="AN42" s="13">
        <f>SUBTOTAL(3,AN2:AN2)</f>
        <v>1</v>
      </c>
      <c r="AQ42" s="114"/>
    </row>
    <row r="43" spans="1:43" ht="19.5" x14ac:dyDescent="0.4">
      <c r="A43" s="117"/>
      <c r="B43" s="123"/>
      <c r="C43" s="123"/>
      <c r="D43" s="123"/>
      <c r="G43" s="115"/>
      <c r="H43" s="115"/>
      <c r="I43" s="115"/>
      <c r="J43" s="115"/>
      <c r="K43" s="115"/>
      <c r="L43" s="115"/>
      <c r="M43" s="115"/>
      <c r="N43" s="115"/>
      <c r="O43" s="25">
        <v>45652</v>
      </c>
      <c r="P43" s="15" t="s">
        <v>148</v>
      </c>
      <c r="U43" s="117"/>
      <c r="V43" s="123"/>
      <c r="W43" s="123"/>
      <c r="X43" s="123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3"/>
      <c r="AN43" s="13"/>
      <c r="AQ43" s="114"/>
    </row>
    <row r="44" spans="1:43" ht="19.5" x14ac:dyDescent="0.4">
      <c r="A44" s="117"/>
      <c r="B44" s="123"/>
      <c r="C44" s="123"/>
      <c r="D44" s="123"/>
      <c r="G44" s="115"/>
      <c r="H44" s="115"/>
      <c r="I44" s="115"/>
      <c r="J44" s="115"/>
      <c r="K44" s="115"/>
      <c r="L44" s="115"/>
      <c r="M44" s="115"/>
      <c r="N44" s="115"/>
      <c r="O44" s="25">
        <v>45652</v>
      </c>
      <c r="P44" s="15" t="s">
        <v>146</v>
      </c>
      <c r="U44" s="117"/>
      <c r="V44" s="123"/>
      <c r="W44" s="123"/>
      <c r="X44" s="123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3"/>
      <c r="AN44" s="13"/>
      <c r="AQ44" s="114"/>
    </row>
    <row r="45" spans="1:43" ht="19.5" x14ac:dyDescent="0.4">
      <c r="A45" s="117"/>
      <c r="B45" s="123"/>
      <c r="C45" s="123"/>
      <c r="D45" s="123"/>
      <c r="G45" s="115"/>
      <c r="H45" s="115"/>
      <c r="I45" s="115"/>
      <c r="J45" s="115"/>
      <c r="K45" s="115"/>
      <c r="L45" s="115"/>
      <c r="M45" s="115"/>
      <c r="N45" s="115"/>
      <c r="O45" s="25">
        <v>45652</v>
      </c>
      <c r="P45" s="15" t="s">
        <v>146</v>
      </c>
      <c r="U45" s="117"/>
      <c r="V45" s="123"/>
      <c r="W45" s="123"/>
      <c r="X45" s="123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3"/>
      <c r="AN45" s="13"/>
      <c r="AQ45" s="114"/>
    </row>
    <row r="46" spans="1:43" ht="19.5" x14ac:dyDescent="0.4">
      <c r="A46" s="117"/>
      <c r="B46" s="123"/>
      <c r="C46" s="123"/>
      <c r="D46" s="123"/>
      <c r="O46" s="25">
        <v>45652</v>
      </c>
      <c r="P46" s="15" t="s">
        <v>146</v>
      </c>
      <c r="U46" s="117"/>
      <c r="V46" s="123"/>
      <c r="W46" s="123"/>
      <c r="X46" s="123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3"/>
      <c r="AN46" s="13"/>
      <c r="AQ46" s="114"/>
    </row>
    <row r="47" spans="1:43" ht="19.5" x14ac:dyDescent="0.4">
      <c r="A47" s="117"/>
      <c r="B47" s="123"/>
      <c r="C47" s="123"/>
      <c r="D47" s="123"/>
      <c r="G47" s="115"/>
      <c r="H47" s="115"/>
      <c r="I47" s="115"/>
      <c r="J47" s="115"/>
      <c r="K47" s="115"/>
      <c r="L47" s="115"/>
      <c r="M47" s="115"/>
      <c r="N47" s="115"/>
      <c r="O47" s="25">
        <v>45652</v>
      </c>
      <c r="P47" s="15" t="s">
        <v>148</v>
      </c>
      <c r="U47" s="117"/>
      <c r="V47" s="123"/>
      <c r="W47" s="123"/>
      <c r="X47" s="123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3"/>
      <c r="AN47" s="13"/>
      <c r="AQ47" s="114"/>
    </row>
    <row r="48" spans="1:43" ht="19.5" x14ac:dyDescent="0.4">
      <c r="A48" s="117"/>
      <c r="B48" s="123"/>
      <c r="C48" s="123"/>
      <c r="D48" s="123"/>
      <c r="G48" s="115"/>
      <c r="H48" s="115"/>
      <c r="I48" s="115"/>
      <c r="J48" s="115"/>
      <c r="K48" s="115"/>
      <c r="L48" s="115"/>
      <c r="M48" s="115"/>
      <c r="N48" s="115"/>
      <c r="O48" s="25">
        <v>45652</v>
      </c>
      <c r="P48" s="15" t="s">
        <v>147</v>
      </c>
      <c r="U48" s="117"/>
      <c r="V48" s="123"/>
      <c r="W48" s="123"/>
      <c r="X48" s="123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3"/>
      <c r="AN48" s="13"/>
      <c r="AQ48" s="114"/>
    </row>
    <row r="49" spans="1:43" ht="19.5" x14ac:dyDescent="0.4">
      <c r="A49" s="117"/>
      <c r="B49" s="123"/>
      <c r="C49" s="123"/>
      <c r="D49" s="123"/>
      <c r="G49" s="115"/>
      <c r="H49" s="115"/>
      <c r="I49" s="115"/>
      <c r="J49" s="115"/>
      <c r="K49" s="115"/>
      <c r="L49" s="115"/>
      <c r="M49" s="115"/>
      <c r="N49" s="115"/>
      <c r="O49" s="25">
        <v>45652</v>
      </c>
      <c r="P49" s="15" t="s">
        <v>147</v>
      </c>
      <c r="U49" s="117"/>
      <c r="V49" s="123"/>
      <c r="W49" s="123"/>
      <c r="X49" s="123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3"/>
      <c r="AN49" s="13"/>
      <c r="AQ49" s="114"/>
    </row>
    <row r="50" spans="1:43" ht="19.5" x14ac:dyDescent="0.4">
      <c r="A50" s="117"/>
      <c r="B50" s="123"/>
      <c r="C50" s="123"/>
      <c r="D50" s="123"/>
      <c r="G50" s="115"/>
      <c r="H50" s="115"/>
      <c r="I50" s="115"/>
      <c r="J50" s="115"/>
      <c r="K50" s="115"/>
      <c r="L50" s="115"/>
      <c r="M50" s="115"/>
      <c r="N50" s="115"/>
      <c r="O50" s="25">
        <v>45652</v>
      </c>
      <c r="P50" s="15" t="s">
        <v>147</v>
      </c>
      <c r="U50" s="117"/>
      <c r="V50" s="123"/>
      <c r="W50" s="123"/>
      <c r="X50" s="123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3"/>
      <c r="AN50" s="13"/>
      <c r="AQ50" s="114"/>
    </row>
    <row r="51" spans="1:43" ht="19.5" x14ac:dyDescent="0.4">
      <c r="A51" s="117"/>
      <c r="B51" s="123"/>
      <c r="C51" s="123"/>
      <c r="D51" s="123"/>
      <c r="G51" s="115"/>
      <c r="H51" s="115"/>
      <c r="I51" s="115"/>
      <c r="J51" s="115"/>
      <c r="K51" s="115"/>
      <c r="L51" s="115"/>
      <c r="M51" s="115"/>
      <c r="N51" s="115"/>
      <c r="O51" s="25">
        <v>45652</v>
      </c>
      <c r="P51" s="15" t="s">
        <v>142</v>
      </c>
      <c r="U51" s="117"/>
      <c r="V51" s="123"/>
      <c r="W51" s="123"/>
      <c r="X51" s="123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3"/>
      <c r="AN51" s="13"/>
      <c r="AQ51" s="114"/>
    </row>
    <row r="52" spans="1:43" ht="19.5" x14ac:dyDescent="0.4">
      <c r="A52" s="117"/>
      <c r="B52" s="123"/>
      <c r="C52" s="123"/>
      <c r="D52" s="123"/>
      <c r="G52" s="115"/>
      <c r="H52" s="115"/>
      <c r="I52" s="115"/>
      <c r="J52" s="115"/>
      <c r="K52" s="115"/>
      <c r="L52" s="115"/>
      <c r="M52" s="115"/>
      <c r="N52" s="115"/>
      <c r="O52" s="25">
        <v>45652</v>
      </c>
      <c r="P52" s="15" t="s">
        <v>142</v>
      </c>
      <c r="U52" s="117"/>
      <c r="V52" s="123"/>
      <c r="W52" s="123"/>
      <c r="X52" s="123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3"/>
      <c r="AN52" s="13"/>
      <c r="AQ52" s="114"/>
    </row>
    <row r="53" spans="1:43" ht="19.5" x14ac:dyDescent="0.4">
      <c r="A53" s="117"/>
      <c r="B53" s="123"/>
      <c r="C53" s="123"/>
      <c r="D53" s="123"/>
      <c r="F53" s="115"/>
      <c r="G53" s="115"/>
      <c r="H53" s="115"/>
      <c r="I53" s="115"/>
      <c r="J53" s="115"/>
      <c r="K53" s="115"/>
      <c r="L53" s="115"/>
      <c r="M53" s="115"/>
      <c r="N53" s="115"/>
      <c r="O53" s="25">
        <v>45652</v>
      </c>
      <c r="P53" s="15" t="s">
        <v>284</v>
      </c>
      <c r="U53" s="117"/>
      <c r="V53" s="123"/>
      <c r="W53" s="123"/>
      <c r="X53" s="123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3"/>
      <c r="AN53" s="13"/>
      <c r="AQ53" s="114"/>
    </row>
    <row r="54" spans="1:43" ht="19.5" x14ac:dyDescent="0.4">
      <c r="A54" s="117"/>
      <c r="B54" s="123"/>
      <c r="C54" s="123"/>
      <c r="D54" s="123"/>
      <c r="F54" s="115"/>
      <c r="G54" s="115"/>
      <c r="H54" s="115"/>
      <c r="I54" s="115"/>
      <c r="J54" s="115"/>
      <c r="K54" s="115"/>
      <c r="L54" s="115"/>
      <c r="M54" s="115"/>
      <c r="N54" s="115"/>
      <c r="O54" s="25">
        <v>45652</v>
      </c>
      <c r="P54" s="15" t="s">
        <v>142</v>
      </c>
      <c r="U54" s="117"/>
      <c r="V54" s="123"/>
      <c r="W54" s="123"/>
      <c r="X54" s="123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3"/>
      <c r="AN54" s="13"/>
      <c r="AQ54" s="114"/>
    </row>
    <row r="55" spans="1:43" ht="19.5" x14ac:dyDescent="0.4">
      <c r="A55" s="117"/>
      <c r="B55" s="123"/>
      <c r="C55" s="123"/>
      <c r="D55" s="123"/>
      <c r="F55" s="115"/>
      <c r="G55" s="115"/>
      <c r="H55" s="115"/>
      <c r="I55" s="115"/>
      <c r="J55" s="115"/>
      <c r="K55" s="115"/>
      <c r="L55" s="115"/>
      <c r="M55" s="115"/>
      <c r="N55" s="115"/>
      <c r="O55" s="25">
        <v>45652</v>
      </c>
      <c r="P55" s="13" t="s">
        <v>304</v>
      </c>
      <c r="U55" s="117"/>
      <c r="V55" s="123"/>
      <c r="W55" s="123"/>
      <c r="X55" s="123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3"/>
      <c r="AN55" s="13"/>
      <c r="AQ55" s="114"/>
    </row>
    <row r="56" spans="1:43" ht="19.5" x14ac:dyDescent="0.4">
      <c r="A56" s="117"/>
      <c r="B56" s="123"/>
      <c r="C56" s="123"/>
      <c r="D56" s="123"/>
      <c r="F56" s="115"/>
      <c r="G56" s="115"/>
      <c r="H56" s="115"/>
      <c r="I56" s="115"/>
      <c r="J56" s="115"/>
      <c r="K56" s="115"/>
      <c r="L56" s="115"/>
      <c r="M56" s="115"/>
      <c r="N56" s="115" t="s">
        <v>181</v>
      </c>
      <c r="O56" s="13">
        <f>SUBTOTAL(3,O39:O55)</f>
        <v>17</v>
      </c>
      <c r="P56" s="13">
        <f>SUBTOTAL(3,P39:P55)</f>
        <v>17</v>
      </c>
      <c r="U56" s="117"/>
      <c r="V56" s="123"/>
      <c r="W56" s="123"/>
      <c r="X56" s="123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3"/>
      <c r="AN56" s="13"/>
      <c r="AQ56" s="114"/>
    </row>
    <row r="57" spans="1:43" ht="19.5" x14ac:dyDescent="0.4">
      <c r="A57" s="117"/>
      <c r="B57" s="123"/>
      <c r="C57" s="123"/>
      <c r="D57" s="123"/>
      <c r="F57" s="115"/>
      <c r="G57" s="115"/>
      <c r="H57" s="115"/>
      <c r="I57" s="115"/>
      <c r="J57" s="115"/>
      <c r="K57" s="115"/>
      <c r="L57" s="115"/>
      <c r="M57" s="115"/>
      <c r="N57" s="115"/>
      <c r="O57" s="25">
        <v>45661</v>
      </c>
      <c r="P57" s="13" t="s">
        <v>284</v>
      </c>
      <c r="U57" s="117"/>
      <c r="V57" s="123"/>
      <c r="W57" s="123"/>
      <c r="X57" s="123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3"/>
      <c r="AN57" s="13"/>
      <c r="AQ57" s="114"/>
    </row>
    <row r="58" spans="1:43" ht="19.5" x14ac:dyDescent="0.4">
      <c r="A58" s="117"/>
      <c r="B58" s="123"/>
      <c r="C58" s="123"/>
      <c r="D58" s="123"/>
      <c r="F58" s="115"/>
      <c r="G58" s="115"/>
      <c r="H58" s="115"/>
      <c r="I58" s="115"/>
      <c r="J58" s="115"/>
      <c r="K58" s="115"/>
      <c r="L58" s="115"/>
      <c r="M58" s="115"/>
      <c r="N58" s="115"/>
      <c r="O58" s="25">
        <v>45661</v>
      </c>
      <c r="P58" s="13" t="s">
        <v>284</v>
      </c>
      <c r="U58" s="117"/>
      <c r="V58" s="123"/>
      <c r="W58" s="123"/>
      <c r="X58" s="123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3"/>
      <c r="AN58" s="13"/>
      <c r="AQ58" s="114"/>
    </row>
    <row r="59" spans="1:43" ht="19.5" x14ac:dyDescent="0.4">
      <c r="A59" s="117"/>
      <c r="B59" s="123"/>
      <c r="C59" s="123"/>
      <c r="D59" s="123"/>
      <c r="F59" s="115"/>
      <c r="G59" s="115"/>
      <c r="H59" s="115"/>
      <c r="I59" s="115"/>
      <c r="J59" s="115"/>
      <c r="K59" s="115"/>
      <c r="L59" s="115"/>
      <c r="M59" s="115"/>
      <c r="N59" s="115"/>
      <c r="O59" s="25">
        <v>45661</v>
      </c>
      <c r="P59" s="13" t="s">
        <v>283</v>
      </c>
      <c r="U59" s="117"/>
      <c r="V59" s="123"/>
      <c r="W59" s="123"/>
      <c r="X59" s="123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3"/>
      <c r="AN59" s="13"/>
      <c r="AQ59" s="114"/>
    </row>
    <row r="60" spans="1:43" ht="19.5" x14ac:dyDescent="0.4">
      <c r="A60" s="117"/>
      <c r="B60" s="123"/>
      <c r="C60" s="123"/>
      <c r="D60" s="123"/>
      <c r="F60" s="115"/>
      <c r="G60" s="115"/>
      <c r="H60" s="115"/>
      <c r="I60" s="115"/>
      <c r="J60" s="115"/>
      <c r="K60" s="115"/>
      <c r="L60" s="115"/>
      <c r="M60" s="115"/>
      <c r="N60" s="115"/>
      <c r="O60" s="25">
        <v>45661</v>
      </c>
      <c r="P60" s="13" t="s">
        <v>283</v>
      </c>
      <c r="U60" s="117"/>
      <c r="V60" s="123"/>
      <c r="W60" s="123"/>
      <c r="X60" s="123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3"/>
      <c r="AN60" s="13"/>
      <c r="AQ60" s="114"/>
    </row>
    <row r="61" spans="1:43" ht="19.5" x14ac:dyDescent="0.4">
      <c r="A61" s="117"/>
      <c r="B61" s="123"/>
      <c r="C61" s="123"/>
      <c r="D61" s="123"/>
      <c r="F61" s="115"/>
      <c r="G61" s="115"/>
      <c r="H61" s="115"/>
      <c r="I61" s="115"/>
      <c r="J61" s="115"/>
      <c r="K61" s="115"/>
      <c r="L61" s="115"/>
      <c r="M61" s="115"/>
      <c r="N61" s="115"/>
      <c r="O61" s="25">
        <v>45661</v>
      </c>
      <c r="P61" s="13" t="s">
        <v>283</v>
      </c>
      <c r="U61" s="117"/>
      <c r="V61" s="123"/>
      <c r="W61" s="123"/>
      <c r="X61" s="123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3"/>
      <c r="AN61" s="13"/>
      <c r="AQ61" s="114"/>
    </row>
    <row r="62" spans="1:43" ht="19.5" x14ac:dyDescent="0.4">
      <c r="A62" s="117"/>
      <c r="B62" s="123"/>
      <c r="C62" s="123"/>
      <c r="D62" s="123"/>
      <c r="O62" s="25">
        <v>45661</v>
      </c>
      <c r="P62" s="13" t="s">
        <v>304</v>
      </c>
      <c r="U62" s="117"/>
      <c r="V62" s="123"/>
      <c r="W62" s="123"/>
      <c r="X62" s="123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25">
        <v>45263</v>
      </c>
      <c r="AN62" s="13" t="s">
        <v>162</v>
      </c>
      <c r="AQ62" s="114"/>
    </row>
    <row r="63" spans="1:43" ht="19.5" x14ac:dyDescent="0.4">
      <c r="A63" s="117"/>
      <c r="B63" s="123"/>
      <c r="C63" s="123"/>
      <c r="D63" s="123"/>
      <c r="G63" s="115"/>
      <c r="H63" s="115"/>
      <c r="I63" s="115"/>
      <c r="J63" s="115"/>
      <c r="K63" s="115"/>
      <c r="L63" s="115"/>
      <c r="M63" s="115"/>
      <c r="N63" s="115"/>
      <c r="O63" s="25">
        <v>45661</v>
      </c>
      <c r="P63" s="13" t="s">
        <v>304</v>
      </c>
      <c r="U63" s="117"/>
      <c r="V63" s="123"/>
      <c r="W63" s="123"/>
      <c r="X63" s="123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25"/>
      <c r="AN63" s="13"/>
      <c r="AQ63" s="114"/>
    </row>
    <row r="64" spans="1:43" ht="19.5" x14ac:dyDescent="0.4">
      <c r="A64" s="117"/>
      <c r="B64" s="123"/>
      <c r="C64" s="123"/>
      <c r="D64" s="123"/>
      <c r="G64" s="115"/>
      <c r="H64" s="115"/>
      <c r="I64" s="115"/>
      <c r="J64" s="115"/>
      <c r="K64" s="115"/>
      <c r="L64" s="115"/>
      <c r="M64" s="115"/>
      <c r="N64" s="115"/>
      <c r="O64" s="25">
        <v>45661</v>
      </c>
      <c r="P64" s="13" t="s">
        <v>284</v>
      </c>
      <c r="U64" s="117"/>
      <c r="V64" s="123"/>
      <c r="W64" s="123"/>
      <c r="X64" s="123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25"/>
      <c r="AN64" s="13"/>
      <c r="AQ64" s="114"/>
    </row>
    <row r="65" spans="1:43" ht="19.5" x14ac:dyDescent="0.4">
      <c r="A65" s="117"/>
      <c r="B65" s="123"/>
      <c r="C65" s="123"/>
      <c r="D65" s="123"/>
      <c r="G65" s="115"/>
      <c r="H65" s="115"/>
      <c r="I65" s="115"/>
      <c r="J65" s="115"/>
      <c r="K65" s="115"/>
      <c r="L65" s="115"/>
      <c r="M65" s="115"/>
      <c r="N65" s="115" t="s">
        <v>359</v>
      </c>
      <c r="O65" s="13">
        <f>SUBTOTAL(3,O57:O64)</f>
        <v>8</v>
      </c>
      <c r="P65" s="13">
        <f>SUBTOTAL(3,P57:P64)</f>
        <v>8</v>
      </c>
      <c r="U65" s="117"/>
      <c r="V65" s="123"/>
      <c r="W65" s="123"/>
      <c r="X65" s="123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25"/>
      <c r="AN65" s="13"/>
      <c r="AQ65" s="114"/>
    </row>
    <row r="66" spans="1:43" ht="19.5" x14ac:dyDescent="0.4">
      <c r="A66" s="117"/>
      <c r="B66" s="123"/>
      <c r="C66" s="123"/>
      <c r="D66" s="123"/>
      <c r="G66" s="115"/>
      <c r="H66" s="115"/>
      <c r="I66" s="115"/>
      <c r="J66" s="115"/>
      <c r="K66" s="115"/>
      <c r="L66" s="115"/>
      <c r="M66" s="115"/>
      <c r="N66" s="115"/>
      <c r="O66" s="25">
        <v>45662</v>
      </c>
      <c r="P66" s="15" t="s">
        <v>146</v>
      </c>
      <c r="U66" s="117"/>
      <c r="V66" s="123"/>
      <c r="W66" s="123"/>
      <c r="X66" s="123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25"/>
      <c r="AN66" s="13"/>
      <c r="AQ66" s="114"/>
    </row>
    <row r="67" spans="1:43" ht="19.5" x14ac:dyDescent="0.4">
      <c r="A67" s="117"/>
      <c r="B67" s="123"/>
      <c r="C67" s="123"/>
      <c r="D67" s="123"/>
      <c r="G67" s="115"/>
      <c r="H67" s="115"/>
      <c r="I67" s="115"/>
      <c r="J67" s="115"/>
      <c r="K67" s="115"/>
      <c r="L67" s="115"/>
      <c r="M67" s="115"/>
      <c r="N67" s="115"/>
      <c r="O67" s="25">
        <v>45662</v>
      </c>
      <c r="P67" s="15" t="s">
        <v>148</v>
      </c>
      <c r="U67" s="117"/>
      <c r="V67" s="123"/>
      <c r="W67" s="123"/>
      <c r="X67" s="123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25"/>
      <c r="AN67" s="13"/>
      <c r="AQ67" s="114"/>
    </row>
    <row r="68" spans="1:43" ht="19.5" x14ac:dyDescent="0.4">
      <c r="A68" s="117"/>
      <c r="B68" s="123"/>
      <c r="C68" s="123"/>
      <c r="D68" s="123"/>
      <c r="G68" s="115"/>
      <c r="H68" s="115"/>
      <c r="I68" s="115"/>
      <c r="J68" s="115"/>
      <c r="K68" s="115"/>
      <c r="L68" s="115"/>
      <c r="M68" s="115"/>
      <c r="N68" s="115"/>
      <c r="O68" s="25">
        <v>45662</v>
      </c>
      <c r="P68" s="15" t="s">
        <v>148</v>
      </c>
      <c r="U68" s="117"/>
      <c r="V68" s="123"/>
      <c r="W68" s="123"/>
      <c r="X68" s="123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25"/>
      <c r="AN68" s="13"/>
      <c r="AQ68" s="114"/>
    </row>
    <row r="69" spans="1:43" ht="19.5" x14ac:dyDescent="0.4">
      <c r="A69" s="117"/>
      <c r="B69" s="123"/>
      <c r="C69" s="123"/>
      <c r="D69" s="123"/>
      <c r="O69" s="25">
        <v>45662</v>
      </c>
      <c r="P69" s="15" t="s">
        <v>146</v>
      </c>
      <c r="U69" s="117"/>
      <c r="V69" s="123"/>
      <c r="W69" s="123"/>
      <c r="X69" s="123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 t="s">
        <v>150</v>
      </c>
      <c r="AM69" s="13">
        <f>SUBTOTAL(3,AM62:AM62)</f>
        <v>1</v>
      </c>
      <c r="AN69" s="13">
        <f>SUBTOTAL(3,AN62:AN62)</f>
        <v>1</v>
      </c>
      <c r="AQ69" s="114"/>
    </row>
    <row r="70" spans="1:43" ht="19.5" x14ac:dyDescent="0.4">
      <c r="A70" s="117"/>
      <c r="B70" s="123"/>
      <c r="C70" s="123"/>
      <c r="D70" s="123"/>
      <c r="G70" s="115"/>
      <c r="H70" s="115"/>
      <c r="I70" s="115"/>
      <c r="J70" s="115"/>
      <c r="K70" s="115"/>
      <c r="L70" s="115"/>
      <c r="M70" s="115"/>
      <c r="N70" s="115"/>
      <c r="O70" s="25">
        <v>45662</v>
      </c>
      <c r="P70" s="15" t="s">
        <v>147</v>
      </c>
      <c r="U70" s="117"/>
      <c r="V70" s="123"/>
      <c r="W70" s="123"/>
      <c r="X70" s="123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3"/>
      <c r="AN70" s="13"/>
      <c r="AQ70" s="114"/>
    </row>
    <row r="71" spans="1:43" ht="19.5" x14ac:dyDescent="0.4">
      <c r="A71" s="117"/>
      <c r="B71" s="123"/>
      <c r="C71" s="123"/>
      <c r="D71" s="123"/>
      <c r="O71" s="25">
        <v>45662</v>
      </c>
      <c r="P71" s="15" t="s">
        <v>304</v>
      </c>
      <c r="U71" s="117"/>
      <c r="V71" s="123"/>
      <c r="W71" s="123"/>
      <c r="X71" s="123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25">
        <v>45264</v>
      </c>
      <c r="AN71" s="13" t="s">
        <v>162</v>
      </c>
      <c r="AQ71" s="114"/>
    </row>
    <row r="72" spans="1:43" ht="19.5" x14ac:dyDescent="0.4">
      <c r="A72" s="117"/>
      <c r="B72" s="123"/>
      <c r="C72" s="123"/>
      <c r="D72" s="123"/>
      <c r="N72" s="115" t="s">
        <v>360</v>
      </c>
      <c r="O72" s="13">
        <f>SUBTOTAL(3,O66:O71)</f>
        <v>6</v>
      </c>
      <c r="P72" s="15">
        <f>SUBTOTAL(3,P66:P71)</f>
        <v>6</v>
      </c>
      <c r="U72" s="117"/>
      <c r="V72" s="123"/>
      <c r="W72" s="123"/>
      <c r="X72" s="123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25"/>
      <c r="AN72" s="13"/>
      <c r="AQ72" s="114"/>
    </row>
    <row r="73" spans="1:43" ht="19.5" x14ac:dyDescent="0.4">
      <c r="A73" s="117"/>
      <c r="B73" s="123"/>
      <c r="C73" s="123"/>
      <c r="D73" s="123"/>
      <c r="L73" s="115"/>
      <c r="M73" s="115"/>
      <c r="N73" s="115"/>
      <c r="O73" s="25">
        <v>45663</v>
      </c>
      <c r="P73" s="15" t="s">
        <v>142</v>
      </c>
      <c r="U73" s="117"/>
      <c r="V73" s="123"/>
      <c r="W73" s="123"/>
      <c r="X73" s="123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25"/>
      <c r="AN73" s="13"/>
      <c r="AQ73" s="114"/>
    </row>
    <row r="74" spans="1:43" ht="19.5" x14ac:dyDescent="0.4">
      <c r="A74" s="117"/>
      <c r="B74" s="123"/>
      <c r="C74" s="123"/>
      <c r="D74" s="123"/>
      <c r="L74" s="115"/>
      <c r="M74" s="115"/>
      <c r="N74" s="115"/>
      <c r="O74" s="25">
        <v>45663</v>
      </c>
      <c r="P74" s="15" t="s">
        <v>146</v>
      </c>
      <c r="U74" s="117"/>
      <c r="V74" s="123"/>
      <c r="W74" s="123"/>
      <c r="X74" s="123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25"/>
      <c r="AN74" s="13"/>
      <c r="AQ74" s="114"/>
    </row>
    <row r="75" spans="1:43" ht="19.5" x14ac:dyDescent="0.4">
      <c r="A75" s="117"/>
      <c r="B75" s="123"/>
      <c r="C75" s="123"/>
      <c r="D75" s="123"/>
      <c r="O75" s="25">
        <v>45663</v>
      </c>
      <c r="P75" s="15" t="s">
        <v>146</v>
      </c>
      <c r="U75" s="117"/>
      <c r="V75" s="123"/>
      <c r="W75" s="123"/>
      <c r="X75" s="123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 t="s">
        <v>154</v>
      </c>
      <c r="AM75" s="13">
        <f>SUBTOTAL(3,AM71:AM71)</f>
        <v>1</v>
      </c>
      <c r="AN75" s="13">
        <f>SUBTOTAL(3,AN71:AN71)</f>
        <v>1</v>
      </c>
      <c r="AQ75" s="114"/>
    </row>
    <row r="76" spans="1:43" ht="19.5" x14ac:dyDescent="0.4">
      <c r="A76" s="117"/>
      <c r="B76" s="123"/>
      <c r="C76" s="123"/>
      <c r="D76" s="123"/>
      <c r="O76" s="25">
        <v>45663</v>
      </c>
      <c r="P76" s="15" t="s">
        <v>146</v>
      </c>
      <c r="U76" s="117"/>
      <c r="V76" s="123"/>
      <c r="W76" s="123"/>
      <c r="X76" s="123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25">
        <v>45265</v>
      </c>
      <c r="AN76" s="13" t="s">
        <v>162</v>
      </c>
      <c r="AQ76" s="114"/>
    </row>
    <row r="77" spans="1:43" ht="19.5" x14ac:dyDescent="0.4">
      <c r="A77" s="117"/>
      <c r="B77" s="123"/>
      <c r="C77" s="123"/>
      <c r="D77" s="123"/>
      <c r="O77" s="25">
        <v>45663</v>
      </c>
      <c r="P77" s="15" t="s">
        <v>283</v>
      </c>
      <c r="U77" s="117"/>
      <c r="V77" s="123"/>
      <c r="W77" s="123"/>
      <c r="X77" s="123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25">
        <v>45265</v>
      </c>
      <c r="AN77" s="25" t="s">
        <v>162</v>
      </c>
      <c r="AQ77" s="114"/>
    </row>
    <row r="78" spans="1:43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115"/>
      <c r="O78" s="25">
        <v>45663</v>
      </c>
      <c r="P78" s="13" t="s">
        <v>304</v>
      </c>
      <c r="U78" s="117"/>
      <c r="V78" s="123"/>
      <c r="W78" s="123"/>
      <c r="X78" s="123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25"/>
      <c r="AN78" s="25"/>
      <c r="AQ78" s="114"/>
    </row>
    <row r="79" spans="1:43" ht="19.5" x14ac:dyDescent="0.4">
      <c r="A79" s="117"/>
      <c r="B79" s="123"/>
      <c r="C79" s="123"/>
      <c r="D79" s="123"/>
      <c r="O79" s="25">
        <v>45663</v>
      </c>
      <c r="P79" s="13" t="s">
        <v>284</v>
      </c>
      <c r="U79" s="117"/>
      <c r="V79" s="123"/>
      <c r="W79" s="123"/>
      <c r="X79" s="123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25">
        <v>45265</v>
      </c>
      <c r="AN79" s="13" t="s">
        <v>162</v>
      </c>
      <c r="AQ79" s="114"/>
    </row>
    <row r="80" spans="1:43" ht="19.5" x14ac:dyDescent="0.4">
      <c r="A80" s="117"/>
      <c r="B80" s="123"/>
      <c r="C80" s="123"/>
      <c r="D80" s="123"/>
      <c r="N80" s="115" t="s">
        <v>361</v>
      </c>
      <c r="O80" s="13">
        <f>SUBTOTAL(3,O73:O79)</f>
        <v>7</v>
      </c>
      <c r="P80" s="13">
        <f>SUBTOTAL(3,P73:P79)</f>
        <v>7</v>
      </c>
      <c r="U80" s="117"/>
      <c r="V80" s="123"/>
      <c r="W80" s="123"/>
      <c r="X80" s="123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25"/>
      <c r="AN80" s="13"/>
      <c r="AQ80" s="114"/>
    </row>
    <row r="81" spans="1:43" ht="19.5" x14ac:dyDescent="0.4">
      <c r="A81" s="117"/>
      <c r="B81" s="123"/>
      <c r="C81" s="123"/>
      <c r="D81" s="123"/>
      <c r="O81" s="25">
        <v>45664</v>
      </c>
      <c r="P81" s="13" t="s">
        <v>146</v>
      </c>
      <c r="U81" s="117"/>
      <c r="V81" s="123"/>
      <c r="W81" s="123"/>
      <c r="X81" s="123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25">
        <v>45265</v>
      </c>
      <c r="AN81" s="13" t="s">
        <v>162</v>
      </c>
      <c r="AQ81" s="114"/>
    </row>
    <row r="82" spans="1:43" ht="19.5" x14ac:dyDescent="0.4">
      <c r="A82" s="117"/>
      <c r="B82" s="123"/>
      <c r="C82" s="123"/>
      <c r="D82" s="123"/>
      <c r="G82" s="115"/>
      <c r="H82" s="115"/>
      <c r="I82" s="115"/>
      <c r="J82" s="115"/>
      <c r="K82" s="115"/>
      <c r="L82" s="115"/>
      <c r="M82" s="115"/>
      <c r="N82" s="115"/>
      <c r="O82" s="25">
        <v>45664</v>
      </c>
      <c r="P82" s="13" t="s">
        <v>147</v>
      </c>
      <c r="U82" s="117"/>
      <c r="V82" s="123"/>
      <c r="W82" s="123"/>
      <c r="X82" s="123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25"/>
      <c r="AN82" s="13"/>
      <c r="AQ82" s="114"/>
    </row>
    <row r="83" spans="1:43" ht="19.5" x14ac:dyDescent="0.4">
      <c r="A83" s="117"/>
      <c r="B83" s="123"/>
      <c r="C83" s="123"/>
      <c r="D83" s="123"/>
      <c r="O83" s="25">
        <v>45664</v>
      </c>
      <c r="P83" s="13" t="s">
        <v>146</v>
      </c>
      <c r="U83" s="117"/>
      <c r="V83" s="123"/>
      <c r="W83" s="123"/>
      <c r="X83" s="123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25">
        <v>45265</v>
      </c>
      <c r="AN83" s="13" t="s">
        <v>163</v>
      </c>
      <c r="AQ83" s="114"/>
    </row>
    <row r="84" spans="1:43" ht="19.5" x14ac:dyDescent="0.4">
      <c r="A84" s="117"/>
      <c r="B84" s="123"/>
      <c r="C84" s="123"/>
      <c r="D84" s="123"/>
      <c r="O84" s="25">
        <v>45664</v>
      </c>
      <c r="P84" s="13" t="s">
        <v>146</v>
      </c>
      <c r="U84" s="117"/>
      <c r="V84" s="123"/>
      <c r="W84" s="123"/>
      <c r="X84" s="123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 t="s">
        <v>155</v>
      </c>
      <c r="AM84" s="13">
        <f>SUBTOTAL(3,AM76:AM83)</f>
        <v>5</v>
      </c>
      <c r="AN84" s="13">
        <f>SUBTOTAL(3,AN76:AN83)</f>
        <v>5</v>
      </c>
      <c r="AQ84" s="114"/>
    </row>
    <row r="85" spans="1:43" ht="19.5" x14ac:dyDescent="0.4">
      <c r="A85" s="117"/>
      <c r="B85" s="123"/>
      <c r="C85" s="123"/>
      <c r="D85" s="123"/>
      <c r="G85" s="115"/>
      <c r="H85" s="115"/>
      <c r="I85" s="115"/>
      <c r="J85" s="115"/>
      <c r="K85" s="115"/>
      <c r="L85" s="115"/>
      <c r="M85" s="115"/>
      <c r="N85" s="115"/>
      <c r="O85" s="25">
        <v>45664</v>
      </c>
      <c r="P85" s="15" t="s">
        <v>284</v>
      </c>
      <c r="U85" s="117"/>
      <c r="V85" s="123"/>
      <c r="W85" s="123"/>
      <c r="X85" s="123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3"/>
      <c r="AN85" s="13"/>
      <c r="AQ85" s="114"/>
    </row>
    <row r="86" spans="1:43" ht="19.5" x14ac:dyDescent="0.4">
      <c r="A86" s="117"/>
      <c r="B86" s="123"/>
      <c r="C86" s="123"/>
      <c r="D86" s="123"/>
      <c r="G86" s="115"/>
      <c r="H86" s="115"/>
      <c r="I86" s="115"/>
      <c r="J86" s="115"/>
      <c r="K86" s="115"/>
      <c r="L86" s="115"/>
      <c r="M86" s="115"/>
      <c r="N86" s="115" t="s">
        <v>362</v>
      </c>
      <c r="O86" s="13">
        <f>SUBTOTAL(3,O81:O85)</f>
        <v>5</v>
      </c>
      <c r="P86" s="15">
        <f>SUBTOTAL(3,P81:P85)</f>
        <v>5</v>
      </c>
      <c r="U86" s="117"/>
      <c r="V86" s="123"/>
      <c r="W86" s="123"/>
      <c r="X86" s="123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3"/>
      <c r="AN86" s="13"/>
      <c r="AQ86" s="114"/>
    </row>
    <row r="87" spans="1:43" ht="19.5" x14ac:dyDescent="0.4">
      <c r="A87" s="117"/>
      <c r="B87" s="123"/>
      <c r="C87" s="123"/>
      <c r="D87" s="123"/>
      <c r="F87" s="115"/>
      <c r="G87" s="115"/>
      <c r="H87" s="115"/>
      <c r="I87" s="115"/>
      <c r="J87" s="115"/>
      <c r="K87" s="115"/>
      <c r="L87" s="115"/>
      <c r="M87" s="115"/>
      <c r="N87" s="115"/>
      <c r="O87" s="25">
        <v>45665</v>
      </c>
      <c r="P87" s="15" t="s">
        <v>146</v>
      </c>
      <c r="U87" s="117"/>
      <c r="V87" s="123"/>
      <c r="W87" s="123"/>
      <c r="X87" s="123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3"/>
      <c r="AN87" s="13"/>
      <c r="AQ87" s="114"/>
    </row>
    <row r="88" spans="1:43" ht="19.5" x14ac:dyDescent="0.4">
      <c r="A88" s="117"/>
      <c r="B88" s="123"/>
      <c r="C88" s="123"/>
      <c r="D88" s="123"/>
      <c r="F88" s="115"/>
      <c r="G88" s="115"/>
      <c r="H88" s="115"/>
      <c r="I88" s="115"/>
      <c r="J88" s="115"/>
      <c r="K88" s="115"/>
      <c r="L88" s="115"/>
      <c r="M88" s="115"/>
      <c r="N88" s="115"/>
      <c r="O88" s="25">
        <v>45665</v>
      </c>
      <c r="P88" s="15" t="s">
        <v>146</v>
      </c>
      <c r="U88" s="117"/>
      <c r="V88" s="123"/>
      <c r="W88" s="123"/>
      <c r="X88" s="123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3"/>
      <c r="AN88" s="13"/>
      <c r="AQ88" s="114"/>
    </row>
    <row r="89" spans="1:43" ht="19.5" x14ac:dyDescent="0.4">
      <c r="A89" s="117"/>
      <c r="B89" s="123"/>
      <c r="C89" s="123"/>
      <c r="D89" s="123"/>
      <c r="F89" s="115"/>
      <c r="G89" s="115"/>
      <c r="H89" s="115"/>
      <c r="I89" s="115"/>
      <c r="J89" s="115"/>
      <c r="K89" s="115"/>
      <c r="L89" s="115"/>
      <c r="M89" s="115"/>
      <c r="N89" s="115"/>
      <c r="O89" s="25">
        <v>45665</v>
      </c>
      <c r="P89" s="15" t="s">
        <v>283</v>
      </c>
      <c r="U89" s="117"/>
      <c r="V89" s="123"/>
      <c r="W89" s="123"/>
      <c r="X89" s="123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3"/>
      <c r="AN89" s="13"/>
      <c r="AQ89" s="114"/>
    </row>
    <row r="90" spans="1:43" ht="19.5" x14ac:dyDescent="0.4">
      <c r="A90" s="117"/>
      <c r="B90" s="123"/>
      <c r="C90" s="123"/>
      <c r="D90" s="123"/>
      <c r="F90" s="115"/>
      <c r="G90" s="115"/>
      <c r="H90" s="115"/>
      <c r="I90" s="115"/>
      <c r="J90" s="115"/>
      <c r="K90" s="115"/>
      <c r="L90" s="115"/>
      <c r="M90" s="115"/>
      <c r="N90" s="115"/>
      <c r="O90" s="25">
        <v>45665</v>
      </c>
      <c r="P90" s="15" t="s">
        <v>283</v>
      </c>
      <c r="U90" s="117"/>
      <c r="V90" s="123"/>
      <c r="W90" s="123"/>
      <c r="X90" s="123"/>
      <c r="AC90" s="115"/>
      <c r="AD90" s="115"/>
      <c r="AE90" s="115"/>
      <c r="AF90" s="115"/>
      <c r="AG90" s="115"/>
      <c r="AH90" s="115"/>
      <c r="AI90" s="115"/>
      <c r="AJ90" s="115"/>
      <c r="AK90" s="115"/>
      <c r="AL90" s="115"/>
      <c r="AM90" s="13"/>
      <c r="AN90" s="13"/>
      <c r="AQ90" s="114"/>
    </row>
    <row r="91" spans="1:43" ht="19.5" x14ac:dyDescent="0.4">
      <c r="A91" s="117"/>
      <c r="B91" s="123"/>
      <c r="C91" s="123"/>
      <c r="D91" s="123"/>
      <c r="F91" s="115"/>
      <c r="G91" s="115"/>
      <c r="H91" s="115"/>
      <c r="I91" s="115"/>
      <c r="J91" s="115"/>
      <c r="K91" s="115"/>
      <c r="L91" s="115"/>
      <c r="M91" s="115"/>
      <c r="N91" s="115"/>
      <c r="O91" s="25">
        <v>45665</v>
      </c>
      <c r="P91" s="15" t="s">
        <v>284</v>
      </c>
      <c r="U91" s="117"/>
      <c r="V91" s="123"/>
      <c r="W91" s="123"/>
      <c r="X91" s="123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3"/>
      <c r="AN91" s="13"/>
      <c r="AQ91" s="114"/>
    </row>
    <row r="92" spans="1:43" ht="19.5" x14ac:dyDescent="0.4">
      <c r="A92" s="117"/>
      <c r="B92" s="123"/>
      <c r="C92" s="123"/>
      <c r="D92" s="123"/>
      <c r="F92" s="115"/>
      <c r="G92" s="115"/>
      <c r="H92" s="115"/>
      <c r="I92" s="115"/>
      <c r="J92" s="115"/>
      <c r="K92" s="115"/>
      <c r="L92" s="115"/>
      <c r="M92" s="115"/>
      <c r="N92" s="115"/>
      <c r="O92" s="25">
        <v>45665</v>
      </c>
      <c r="P92" s="105" t="s">
        <v>283</v>
      </c>
      <c r="U92" s="117"/>
      <c r="V92" s="123"/>
      <c r="W92" s="123"/>
      <c r="X92" s="123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3"/>
      <c r="AN92" s="13"/>
      <c r="AQ92" s="114"/>
    </row>
    <row r="93" spans="1:43" ht="19.5" x14ac:dyDescent="0.4">
      <c r="A93" s="117"/>
      <c r="B93" s="123"/>
      <c r="C93" s="123"/>
      <c r="D93" s="123"/>
      <c r="F93" s="115"/>
      <c r="G93" s="115"/>
      <c r="H93" s="115"/>
      <c r="I93" s="115"/>
      <c r="J93" s="115"/>
      <c r="K93" s="115"/>
      <c r="L93" s="115"/>
      <c r="M93" s="115"/>
      <c r="N93" s="115"/>
      <c r="O93" s="25">
        <v>45665</v>
      </c>
      <c r="P93" s="105" t="s">
        <v>283</v>
      </c>
      <c r="U93" s="117"/>
      <c r="V93" s="123"/>
      <c r="W93" s="123"/>
      <c r="X93" s="123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3"/>
      <c r="AN93" s="13"/>
      <c r="AQ93" s="114"/>
    </row>
    <row r="94" spans="1:43" ht="19.5" x14ac:dyDescent="0.4">
      <c r="A94" s="117"/>
      <c r="B94" s="123"/>
      <c r="C94" s="123"/>
      <c r="D94" s="123"/>
      <c r="O94" s="25">
        <v>45665</v>
      </c>
      <c r="P94" s="15" t="s">
        <v>284</v>
      </c>
      <c r="U94" s="117"/>
      <c r="V94" s="123"/>
      <c r="W94" s="123"/>
      <c r="X94" s="123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25">
        <v>45266</v>
      </c>
      <c r="AN94" s="25" t="s">
        <v>162</v>
      </c>
      <c r="AQ94" s="114"/>
    </row>
    <row r="95" spans="1:43" ht="19.5" x14ac:dyDescent="0.4">
      <c r="A95" s="117"/>
      <c r="B95" s="123"/>
      <c r="C95" s="123"/>
      <c r="D95" s="123"/>
      <c r="I95" s="115"/>
      <c r="J95" s="115"/>
      <c r="K95" s="115"/>
      <c r="L95" s="115"/>
      <c r="M95" s="115"/>
      <c r="N95" s="115"/>
      <c r="O95" s="25">
        <v>45665</v>
      </c>
      <c r="P95" s="15" t="s">
        <v>284</v>
      </c>
      <c r="U95" s="117"/>
      <c r="V95" s="123"/>
      <c r="W95" s="123"/>
      <c r="X95" s="123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25"/>
      <c r="AN95" s="25"/>
      <c r="AQ95" s="114"/>
    </row>
    <row r="96" spans="1:43" ht="19.5" x14ac:dyDescent="0.4">
      <c r="A96" s="117"/>
      <c r="B96" s="123"/>
      <c r="C96" s="123"/>
      <c r="D96" s="123"/>
      <c r="I96" s="115"/>
      <c r="J96" s="115"/>
      <c r="K96" s="115"/>
      <c r="L96" s="115"/>
      <c r="M96" s="115"/>
      <c r="N96" s="115" t="s">
        <v>363</v>
      </c>
      <c r="O96" s="13">
        <f>SUBTOTAL(3,O87:O95)</f>
        <v>9</v>
      </c>
      <c r="P96" s="15">
        <f>SUBTOTAL(3,P87:P95)</f>
        <v>9</v>
      </c>
      <c r="U96" s="117"/>
      <c r="V96" s="123"/>
      <c r="W96" s="123"/>
      <c r="X96" s="123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25"/>
      <c r="AN96" s="25"/>
      <c r="AQ96" s="114"/>
    </row>
    <row r="97" spans="1:43" ht="19.5" x14ac:dyDescent="0.4">
      <c r="A97" s="117"/>
      <c r="B97" s="123"/>
      <c r="C97" s="123"/>
      <c r="D97" s="123"/>
      <c r="O97" s="25">
        <v>45667</v>
      </c>
      <c r="P97" s="15" t="s">
        <v>284</v>
      </c>
      <c r="U97" s="117"/>
      <c r="V97" s="123"/>
      <c r="W97" s="123"/>
      <c r="X97" s="123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 t="s">
        <v>156</v>
      </c>
      <c r="AM97" s="13">
        <f>SUBTOTAL(3,AM94:AM94)</f>
        <v>1</v>
      </c>
      <c r="AN97" s="13">
        <f>SUBTOTAL(3,AN94:AN94)</f>
        <v>1</v>
      </c>
      <c r="AQ97" s="114"/>
    </row>
    <row r="98" spans="1:43" ht="19.5" x14ac:dyDescent="0.4">
      <c r="A98" s="117"/>
      <c r="B98" s="123"/>
      <c r="C98" s="123"/>
      <c r="D98" s="123"/>
      <c r="N98" s="115" t="s">
        <v>364</v>
      </c>
      <c r="O98" s="13">
        <f>SUBTOTAL(3,O97:O97)</f>
        <v>1</v>
      </c>
      <c r="P98" s="15">
        <f>SUBTOTAL(3,P97:P97)</f>
        <v>1</v>
      </c>
      <c r="U98" s="117"/>
      <c r="V98" s="123"/>
      <c r="W98" s="123"/>
      <c r="X98" s="123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3"/>
      <c r="AN98" s="13"/>
      <c r="AQ98" s="114"/>
    </row>
    <row r="99" spans="1:43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115"/>
      <c r="O99" s="25">
        <v>45668</v>
      </c>
      <c r="P99" s="15" t="s">
        <v>147</v>
      </c>
      <c r="U99" s="117"/>
      <c r="V99" s="123"/>
      <c r="W99" s="123"/>
      <c r="X99" s="123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3"/>
      <c r="AN99" s="13"/>
      <c r="AQ99" s="114"/>
    </row>
    <row r="100" spans="1:43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115"/>
      <c r="O100" s="25">
        <v>45668</v>
      </c>
      <c r="P100" s="15" t="s">
        <v>146</v>
      </c>
      <c r="U100" s="117"/>
      <c r="V100" s="123"/>
      <c r="W100" s="123"/>
      <c r="X100" s="123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3"/>
      <c r="AN100" s="13"/>
      <c r="AQ100" s="114"/>
    </row>
    <row r="101" spans="1:43" ht="19.5" x14ac:dyDescent="0.4">
      <c r="A101" s="117"/>
      <c r="B101" s="123"/>
      <c r="C101" s="123"/>
      <c r="D101" s="123"/>
      <c r="O101" s="25">
        <v>45668</v>
      </c>
      <c r="P101" s="15" t="s">
        <v>284</v>
      </c>
      <c r="U101" s="117"/>
      <c r="V101" s="123"/>
      <c r="W101" s="123"/>
      <c r="X101" s="123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25">
        <v>45267</v>
      </c>
      <c r="AN101" s="13" t="s">
        <v>142</v>
      </c>
      <c r="AQ101" s="114"/>
    </row>
    <row r="102" spans="1:43" ht="19.5" x14ac:dyDescent="0.4">
      <c r="A102" s="117"/>
      <c r="B102" s="123"/>
      <c r="C102" s="123"/>
      <c r="D102" s="123"/>
      <c r="N102" s="115" t="s">
        <v>365</v>
      </c>
      <c r="O102" s="13">
        <f>SUBTOTAL(3,O99:O101)</f>
        <v>3</v>
      </c>
      <c r="P102" s="15">
        <f>SUBTOTAL(3,P99:P101)</f>
        <v>3</v>
      </c>
      <c r="U102" s="117"/>
      <c r="V102" s="123"/>
      <c r="W102" s="123"/>
      <c r="X102" s="123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25"/>
      <c r="AN102" s="13"/>
      <c r="AQ102" s="114"/>
    </row>
    <row r="103" spans="1:43" ht="19.5" x14ac:dyDescent="0.4">
      <c r="A103" s="117"/>
      <c r="B103" s="123"/>
      <c r="C103" s="123"/>
      <c r="D103" s="123"/>
      <c r="J103" s="115"/>
      <c r="K103" s="115"/>
      <c r="L103" s="115"/>
      <c r="M103" s="115"/>
      <c r="N103" s="115"/>
      <c r="O103" s="25">
        <v>45669</v>
      </c>
      <c r="P103" s="15" t="s">
        <v>147</v>
      </c>
      <c r="U103" s="117"/>
      <c r="V103" s="123"/>
      <c r="W103" s="123"/>
      <c r="X103" s="123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25"/>
      <c r="AN103" s="13"/>
      <c r="AQ103" s="114"/>
    </row>
    <row r="104" spans="1:43" ht="19.5" x14ac:dyDescent="0.4">
      <c r="A104" s="117"/>
      <c r="B104" s="123"/>
      <c r="C104" s="123"/>
      <c r="D104" s="123"/>
      <c r="I104" s="115"/>
      <c r="J104" s="115"/>
      <c r="K104" s="115"/>
      <c r="L104" s="115"/>
      <c r="M104" s="115"/>
      <c r="N104" s="115"/>
      <c r="O104" s="25">
        <v>45669</v>
      </c>
      <c r="P104" s="15" t="s">
        <v>147</v>
      </c>
      <c r="U104" s="117"/>
      <c r="V104" s="123"/>
      <c r="W104" s="123"/>
      <c r="X104" s="123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5"/>
      <c r="AL104" s="115"/>
      <c r="AM104" s="25"/>
      <c r="AN104" s="13"/>
      <c r="AQ104" s="114"/>
    </row>
    <row r="105" spans="1:43" ht="19.5" x14ac:dyDescent="0.4">
      <c r="A105" s="117"/>
      <c r="B105" s="123"/>
      <c r="C105" s="123"/>
      <c r="D105" s="123"/>
      <c r="O105" s="25">
        <v>45669</v>
      </c>
      <c r="P105" s="15" t="s">
        <v>283</v>
      </c>
      <c r="U105" s="117"/>
      <c r="V105" s="123"/>
      <c r="W105" s="123"/>
      <c r="X105" s="123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 t="s">
        <v>157</v>
      </c>
      <c r="AM105" s="13">
        <f>SUBTOTAL(3,AM101:AM101)</f>
        <v>1</v>
      </c>
      <c r="AN105" s="13">
        <f>SUBTOTAL(3,AN101:AN101)</f>
        <v>1</v>
      </c>
      <c r="AQ105" s="114"/>
    </row>
    <row r="106" spans="1:43" ht="19.5" x14ac:dyDescent="0.4">
      <c r="A106" s="117"/>
      <c r="B106" s="123"/>
      <c r="C106" s="123"/>
      <c r="D106" s="123"/>
      <c r="J106" s="115"/>
      <c r="K106" s="115"/>
      <c r="L106" s="115"/>
      <c r="M106" s="115"/>
      <c r="N106" s="115"/>
      <c r="O106" s="25">
        <v>45669</v>
      </c>
      <c r="P106" s="15" t="s">
        <v>283</v>
      </c>
      <c r="U106" s="117"/>
      <c r="V106" s="123"/>
      <c r="W106" s="123"/>
      <c r="X106" s="123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115"/>
      <c r="AK106" s="115"/>
      <c r="AL106" s="115"/>
      <c r="AM106" s="13"/>
      <c r="AN106" s="13"/>
      <c r="AQ106" s="114"/>
    </row>
    <row r="107" spans="1:43" ht="19.5" x14ac:dyDescent="0.4">
      <c r="A107" s="117"/>
      <c r="B107" s="123"/>
      <c r="C107" s="123"/>
      <c r="D107" s="123"/>
      <c r="J107" s="115"/>
      <c r="K107" s="115"/>
      <c r="L107" s="115"/>
      <c r="M107" s="115"/>
      <c r="N107" s="115" t="s">
        <v>366</v>
      </c>
      <c r="O107" s="13">
        <f>SUBTOTAL(3,O103:O106)</f>
        <v>4</v>
      </c>
      <c r="P107" s="15">
        <f>SUBTOTAL(3,P103:P106)</f>
        <v>4</v>
      </c>
      <c r="U107" s="117"/>
      <c r="V107" s="123"/>
      <c r="W107" s="123"/>
      <c r="X107" s="123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3"/>
      <c r="AN107" s="13"/>
      <c r="AQ107" s="114"/>
    </row>
    <row r="108" spans="1:43" ht="19.5" x14ac:dyDescent="0.4">
      <c r="A108" s="117"/>
      <c r="B108" s="123"/>
      <c r="C108" s="123"/>
      <c r="D108" s="123"/>
      <c r="I108" s="115"/>
      <c r="J108" s="115"/>
      <c r="K108" s="115"/>
      <c r="L108" s="115"/>
      <c r="M108" s="115"/>
      <c r="N108" s="115"/>
      <c r="O108" s="25">
        <v>45670</v>
      </c>
      <c r="P108" s="15" t="s">
        <v>146</v>
      </c>
      <c r="U108" s="117"/>
      <c r="V108" s="123"/>
      <c r="W108" s="123"/>
      <c r="X108" s="123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5"/>
      <c r="AL108" s="115"/>
      <c r="AM108" s="13"/>
      <c r="AN108" s="13"/>
      <c r="AQ108" s="114"/>
    </row>
    <row r="109" spans="1:43" ht="19.5" x14ac:dyDescent="0.4">
      <c r="A109" s="117"/>
      <c r="B109" s="123"/>
      <c r="C109" s="123"/>
      <c r="D109" s="123"/>
      <c r="O109" s="25">
        <v>45670</v>
      </c>
      <c r="P109" s="15" t="s">
        <v>146</v>
      </c>
      <c r="U109" s="117"/>
      <c r="V109" s="123"/>
      <c r="W109" s="123"/>
      <c r="X109" s="123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25">
        <v>45268</v>
      </c>
      <c r="AN109" s="13" t="s">
        <v>162</v>
      </c>
      <c r="AQ109" s="114"/>
    </row>
    <row r="110" spans="1:43" ht="19.5" x14ac:dyDescent="0.4">
      <c r="A110" s="117"/>
      <c r="B110" s="123"/>
      <c r="C110" s="123"/>
      <c r="D110" s="123"/>
      <c r="J110" s="115"/>
      <c r="K110" s="115"/>
      <c r="L110" s="115"/>
      <c r="M110" s="115"/>
      <c r="N110" s="115"/>
      <c r="O110" s="25">
        <v>45670</v>
      </c>
      <c r="P110" s="15" t="s">
        <v>146</v>
      </c>
      <c r="U110" s="117"/>
      <c r="V110" s="123"/>
      <c r="W110" s="123"/>
      <c r="X110" s="123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25"/>
      <c r="AN110" s="13"/>
      <c r="AQ110" s="114"/>
    </row>
    <row r="111" spans="1:43" ht="19.5" x14ac:dyDescent="0.4">
      <c r="A111" s="117"/>
      <c r="B111" s="123"/>
      <c r="C111" s="123"/>
      <c r="D111" s="123"/>
      <c r="O111" s="26">
        <v>45670</v>
      </c>
      <c r="P111" s="15" t="s">
        <v>147</v>
      </c>
      <c r="U111" s="117"/>
      <c r="V111" s="123"/>
      <c r="W111" s="123"/>
      <c r="X111" s="123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25">
        <v>45268</v>
      </c>
      <c r="AN111" s="13" t="s">
        <v>162</v>
      </c>
      <c r="AQ111" s="114"/>
    </row>
    <row r="112" spans="1:43" ht="19.5" x14ac:dyDescent="0.4">
      <c r="A112" s="117"/>
      <c r="B112" s="123"/>
      <c r="C112" s="123"/>
      <c r="D112" s="123"/>
      <c r="O112" s="26">
        <v>45670</v>
      </c>
      <c r="P112" s="105" t="s">
        <v>284</v>
      </c>
      <c r="U112" s="117"/>
      <c r="V112" s="123"/>
      <c r="W112" s="123"/>
      <c r="X112" s="123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25">
        <v>45268</v>
      </c>
      <c r="AN112" s="13" t="s">
        <v>163</v>
      </c>
      <c r="AQ112" s="114"/>
    </row>
    <row r="113" spans="1:43" ht="19.5" x14ac:dyDescent="0.4">
      <c r="A113" s="117"/>
      <c r="B113" s="123"/>
      <c r="C113" s="123"/>
      <c r="D113" s="123"/>
      <c r="I113" s="115"/>
      <c r="J113" s="115"/>
      <c r="K113" s="115"/>
      <c r="L113" s="115"/>
      <c r="M113" s="115"/>
      <c r="N113" s="115"/>
      <c r="O113" s="26">
        <v>45670</v>
      </c>
      <c r="P113" s="15" t="s">
        <v>284</v>
      </c>
      <c r="U113" s="117"/>
      <c r="V113" s="123"/>
      <c r="W113" s="123"/>
      <c r="X113" s="123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25"/>
      <c r="AN113" s="13"/>
      <c r="AQ113" s="114"/>
    </row>
    <row r="114" spans="1:43" ht="19.5" x14ac:dyDescent="0.4">
      <c r="A114" s="117"/>
      <c r="B114" s="123"/>
      <c r="C114" s="123"/>
      <c r="D114" s="123"/>
      <c r="O114" s="26">
        <v>45670</v>
      </c>
      <c r="P114" s="15" t="s">
        <v>304</v>
      </c>
      <c r="U114" s="117"/>
      <c r="V114" s="123"/>
      <c r="W114" s="123"/>
      <c r="X114" s="123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25">
        <v>45268</v>
      </c>
      <c r="AN114" s="13" t="s">
        <v>163</v>
      </c>
      <c r="AQ114" s="114"/>
    </row>
    <row r="115" spans="1:43" ht="19.5" x14ac:dyDescent="0.4">
      <c r="A115" s="117"/>
      <c r="B115" s="123"/>
      <c r="C115" s="123"/>
      <c r="D115" s="123"/>
      <c r="K115" s="115"/>
      <c r="L115" s="115"/>
      <c r="M115" s="115"/>
      <c r="N115" s="115"/>
      <c r="O115" s="30">
        <v>45670</v>
      </c>
      <c r="P115" s="15" t="s">
        <v>304</v>
      </c>
      <c r="U115" s="117"/>
      <c r="V115" s="123"/>
      <c r="W115" s="123"/>
      <c r="X115" s="123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25"/>
      <c r="AN115" s="13"/>
      <c r="AQ115" s="114"/>
    </row>
    <row r="116" spans="1:43" ht="19.5" x14ac:dyDescent="0.4">
      <c r="A116" s="117"/>
      <c r="B116" s="123"/>
      <c r="C116" s="123"/>
      <c r="D116" s="123"/>
      <c r="K116" s="115"/>
      <c r="L116" s="115"/>
      <c r="M116" s="115"/>
      <c r="N116" s="115" t="s">
        <v>367</v>
      </c>
      <c r="O116" s="19">
        <f>SUBTOTAL(3,O108:O115)</f>
        <v>8</v>
      </c>
      <c r="P116" s="15">
        <f>SUBTOTAL(3,P108:P115)</f>
        <v>8</v>
      </c>
      <c r="U116" s="117"/>
      <c r="V116" s="123"/>
      <c r="W116" s="123"/>
      <c r="X116" s="123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25"/>
      <c r="AN116" s="13"/>
      <c r="AQ116" s="114"/>
    </row>
    <row r="117" spans="1:43" ht="19.5" x14ac:dyDescent="0.4">
      <c r="A117" s="117"/>
      <c r="B117" s="123"/>
      <c r="C117" s="123"/>
      <c r="D117" s="123"/>
      <c r="O117" s="30">
        <v>45671</v>
      </c>
      <c r="P117" s="15" t="s">
        <v>146</v>
      </c>
      <c r="U117" s="117"/>
      <c r="V117" s="123"/>
      <c r="W117" s="123"/>
      <c r="X117" s="123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 t="s">
        <v>158</v>
      </c>
      <c r="AM117" s="13">
        <f>SUBTOTAL(3,AM109:AM114)</f>
        <v>4</v>
      </c>
      <c r="AN117" s="13">
        <f>SUBTOTAL(3,AN109:AN114)</f>
        <v>4</v>
      </c>
      <c r="AQ117" s="114"/>
    </row>
    <row r="118" spans="1:43" ht="19.5" x14ac:dyDescent="0.4">
      <c r="A118" s="117"/>
      <c r="B118" s="123"/>
      <c r="C118" s="123"/>
      <c r="D118" s="123"/>
      <c r="N118" s="115" t="s">
        <v>368</v>
      </c>
      <c r="O118" s="19">
        <f>SUBTOTAL(3,O117:O117)</f>
        <v>1</v>
      </c>
      <c r="P118" s="13">
        <f>SUBTOTAL(3,P117:P117)</f>
        <v>1</v>
      </c>
      <c r="U118" s="117"/>
      <c r="V118" s="123"/>
      <c r="W118" s="123"/>
      <c r="X118" s="123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3"/>
      <c r="AN118" s="13"/>
      <c r="AQ118" s="114"/>
    </row>
    <row r="119" spans="1:43" ht="19.5" x14ac:dyDescent="0.4">
      <c r="A119" s="117"/>
      <c r="B119" s="123"/>
      <c r="C119" s="123"/>
      <c r="D119" s="123"/>
      <c r="N119" s="115" t="s">
        <v>145</v>
      </c>
      <c r="O119" s="19">
        <f>SUBTOTAL(3,O2:O117)</f>
        <v>97</v>
      </c>
      <c r="P119" s="13">
        <f>SUBTOTAL(3,P2:P117)</f>
        <v>97</v>
      </c>
      <c r="U119" s="117"/>
      <c r="V119" s="123"/>
      <c r="W119" s="123"/>
      <c r="X119" s="123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3"/>
      <c r="AN119" s="13"/>
      <c r="AQ119" s="114"/>
    </row>
    <row r="120" spans="1:43" ht="19.5" x14ac:dyDescent="0.4">
      <c r="A120" s="117"/>
      <c r="B120" s="123"/>
      <c r="C120" s="123"/>
      <c r="D120" s="123"/>
      <c r="L120" s="115"/>
      <c r="M120" s="115"/>
      <c r="N120" s="115"/>
      <c r="O120" s="26"/>
      <c r="P120" s="13"/>
      <c r="U120" s="117"/>
      <c r="V120" s="123"/>
      <c r="W120" s="123"/>
      <c r="X120" s="123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/>
      <c r="AK120" s="115"/>
      <c r="AL120" s="115"/>
      <c r="AM120" s="13"/>
      <c r="AN120" s="13"/>
      <c r="AQ120" s="114"/>
    </row>
    <row r="121" spans="1:43" ht="19.5" x14ac:dyDescent="0.4">
      <c r="A121" s="117"/>
      <c r="B121" s="123"/>
      <c r="C121" s="123"/>
      <c r="D121" s="123"/>
      <c r="O121" s="26"/>
      <c r="P121" s="13"/>
      <c r="U121" s="117"/>
      <c r="V121" s="123"/>
      <c r="W121" s="123"/>
      <c r="X121" s="123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25">
        <v>45269</v>
      </c>
      <c r="AN121" s="13" t="s">
        <v>163</v>
      </c>
      <c r="AQ121" s="114"/>
    </row>
    <row r="122" spans="1:43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115"/>
      <c r="O122" s="26"/>
      <c r="P122" s="13"/>
      <c r="U122" s="117"/>
      <c r="V122" s="123"/>
      <c r="W122" s="123"/>
      <c r="X122" s="123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115"/>
      <c r="AM122" s="25"/>
      <c r="AN122" s="13"/>
      <c r="AQ122" s="114"/>
    </row>
    <row r="123" spans="1:43" ht="19.5" x14ac:dyDescent="0.4">
      <c r="A123" s="117"/>
      <c r="B123" s="123"/>
      <c r="C123" s="123"/>
      <c r="D123" s="123"/>
      <c r="O123" s="26"/>
      <c r="P123" s="13"/>
      <c r="U123" s="117"/>
      <c r="V123" s="123"/>
      <c r="W123" s="123"/>
      <c r="X123" s="123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25">
        <v>45269</v>
      </c>
      <c r="AN123" s="13" t="s">
        <v>163</v>
      </c>
      <c r="AQ123" s="114"/>
    </row>
    <row r="124" spans="1:43" ht="19.5" x14ac:dyDescent="0.4">
      <c r="A124" s="117"/>
      <c r="B124" s="123"/>
      <c r="C124" s="123"/>
      <c r="D124" s="123"/>
      <c r="K124" s="115"/>
      <c r="L124" s="115"/>
      <c r="M124" s="115"/>
      <c r="N124" s="115"/>
      <c r="O124" s="26"/>
      <c r="P124" s="13"/>
      <c r="U124" s="117"/>
      <c r="V124" s="123"/>
      <c r="W124" s="123"/>
      <c r="X124" s="123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15"/>
      <c r="AM124" s="25"/>
      <c r="AN124" s="13"/>
      <c r="AQ124" s="114"/>
    </row>
    <row r="125" spans="1:43" ht="19.5" x14ac:dyDescent="0.4">
      <c r="A125" s="117"/>
      <c r="B125" s="123"/>
      <c r="C125" s="123"/>
      <c r="D125" s="123"/>
      <c r="O125" s="26"/>
      <c r="P125" s="13"/>
      <c r="U125" s="117"/>
      <c r="V125" s="123"/>
      <c r="W125" s="123"/>
      <c r="X125" s="123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115" t="s">
        <v>159</v>
      </c>
      <c r="AM125" s="13">
        <f>SUBTOTAL(3,AM121:AM123)</f>
        <v>2</v>
      </c>
      <c r="AN125" s="13">
        <f>SUBTOTAL(3,AN121:AN123)</f>
        <v>2</v>
      </c>
      <c r="AQ125" s="114"/>
    </row>
    <row r="126" spans="1:43" ht="19.5" x14ac:dyDescent="0.4">
      <c r="A126" s="117"/>
      <c r="B126" s="123"/>
      <c r="C126" s="123"/>
      <c r="D126" s="123"/>
      <c r="G126" s="115"/>
      <c r="H126" s="115"/>
      <c r="I126" s="115"/>
      <c r="J126" s="115"/>
      <c r="K126" s="115"/>
      <c r="L126" s="115"/>
      <c r="M126" s="115"/>
      <c r="N126" s="115"/>
      <c r="O126" s="26"/>
      <c r="P126" s="13"/>
      <c r="U126" s="117"/>
      <c r="V126" s="123"/>
      <c r="W126" s="123"/>
      <c r="X126" s="123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3"/>
      <c r="AN126" s="13"/>
      <c r="AQ126" s="114"/>
    </row>
    <row r="127" spans="1:43" ht="19.5" x14ac:dyDescent="0.4">
      <c r="A127" s="117"/>
      <c r="B127" s="123"/>
      <c r="C127" s="123"/>
      <c r="D127" s="123"/>
      <c r="G127" s="115"/>
      <c r="H127" s="115"/>
      <c r="I127" s="115"/>
      <c r="J127" s="115"/>
      <c r="K127" s="115"/>
      <c r="L127" s="115"/>
      <c r="M127" s="115"/>
      <c r="N127" s="115"/>
      <c r="O127" s="26"/>
      <c r="P127" s="13"/>
      <c r="U127" s="117"/>
      <c r="V127" s="123"/>
      <c r="W127" s="123"/>
      <c r="X127" s="123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13"/>
      <c r="AN127" s="13"/>
      <c r="AQ127" s="114"/>
    </row>
    <row r="128" spans="1:43" ht="19.5" x14ac:dyDescent="0.4">
      <c r="A128" s="117"/>
      <c r="B128" s="123"/>
      <c r="C128" s="123"/>
      <c r="D128" s="123"/>
      <c r="F128" s="115"/>
      <c r="G128" s="115"/>
      <c r="H128" s="115"/>
      <c r="I128" s="115"/>
      <c r="J128" s="115"/>
      <c r="K128" s="115"/>
      <c r="L128" s="115"/>
      <c r="M128" s="115"/>
      <c r="N128" s="115"/>
      <c r="O128" s="26"/>
      <c r="P128" s="13"/>
      <c r="U128" s="117"/>
      <c r="V128" s="123"/>
      <c r="W128" s="123"/>
      <c r="X128" s="123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3"/>
      <c r="AN128" s="13"/>
      <c r="AQ128" s="114"/>
    </row>
    <row r="129" spans="1:43" ht="19.5" x14ac:dyDescent="0.4">
      <c r="A129" s="117"/>
      <c r="B129" s="123"/>
      <c r="C129" s="123"/>
      <c r="D129" s="123"/>
      <c r="O129" s="26"/>
      <c r="P129" s="13"/>
      <c r="U129" s="117"/>
      <c r="V129" s="123"/>
      <c r="W129" s="123"/>
      <c r="X129" s="123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25">
        <v>45270</v>
      </c>
      <c r="AN129" s="13" t="s">
        <v>164</v>
      </c>
      <c r="AQ129" s="114"/>
    </row>
    <row r="130" spans="1:43" ht="19.5" x14ac:dyDescent="0.4">
      <c r="A130" s="117"/>
      <c r="B130" s="123"/>
      <c r="C130" s="123"/>
      <c r="D130" s="123"/>
      <c r="M130" s="115"/>
      <c r="N130" s="115"/>
      <c r="O130" s="17"/>
      <c r="P130" s="13"/>
      <c r="U130" s="117"/>
      <c r="V130" s="123"/>
      <c r="W130" s="123"/>
      <c r="X130" s="123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25"/>
      <c r="AN130" s="13"/>
      <c r="AQ130" s="114"/>
    </row>
    <row r="131" spans="1:43" ht="19.5" x14ac:dyDescent="0.4">
      <c r="A131" s="117"/>
      <c r="B131" s="123"/>
      <c r="C131" s="123"/>
      <c r="D131" s="123"/>
      <c r="O131" s="26"/>
      <c r="P131" s="13"/>
      <c r="U131" s="117"/>
      <c r="V131" s="123"/>
      <c r="W131" s="123"/>
      <c r="X131" s="123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25"/>
      <c r="AN131" s="13"/>
      <c r="AQ131" s="114"/>
    </row>
    <row r="132" spans="1:43" ht="19.5" x14ac:dyDescent="0.4">
      <c r="A132" s="117"/>
      <c r="B132" s="123"/>
      <c r="C132" s="123"/>
      <c r="D132" s="123"/>
      <c r="J132" s="115"/>
      <c r="K132" s="115"/>
      <c r="L132" s="115"/>
      <c r="M132" s="115"/>
      <c r="N132" s="115"/>
      <c r="O132" s="26"/>
      <c r="P132" s="13"/>
      <c r="U132" s="117"/>
      <c r="V132" s="123"/>
      <c r="W132" s="123"/>
      <c r="X132" s="123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115"/>
      <c r="AM132" s="25"/>
      <c r="AN132" s="13"/>
      <c r="AQ132" s="114"/>
    </row>
    <row r="133" spans="1:43" ht="19.5" x14ac:dyDescent="0.4">
      <c r="A133" s="117"/>
      <c r="B133" s="123"/>
      <c r="C133" s="123"/>
      <c r="D133" s="123"/>
      <c r="O133" s="26"/>
      <c r="P133" s="13"/>
      <c r="U133" s="117"/>
      <c r="V133" s="123"/>
      <c r="W133" s="123"/>
      <c r="X133" s="123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25">
        <v>45270</v>
      </c>
      <c r="AN133" s="13" t="s">
        <v>164</v>
      </c>
      <c r="AQ133" s="114"/>
    </row>
    <row r="134" spans="1:43" ht="19.5" x14ac:dyDescent="0.4">
      <c r="A134" s="117"/>
      <c r="B134" s="123"/>
      <c r="C134" s="123"/>
      <c r="D134" s="123"/>
      <c r="L134" s="115"/>
      <c r="M134" s="115"/>
      <c r="N134" s="115"/>
      <c r="O134" s="26"/>
      <c r="P134" s="13"/>
      <c r="U134" s="117"/>
      <c r="V134" s="123"/>
      <c r="W134" s="123"/>
      <c r="X134" s="123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25"/>
      <c r="AN134" s="13"/>
      <c r="AQ134" s="114"/>
    </row>
    <row r="135" spans="1:43" ht="19.5" x14ac:dyDescent="0.4">
      <c r="A135" s="117"/>
      <c r="B135" s="123"/>
      <c r="C135" s="123"/>
      <c r="D135" s="123"/>
      <c r="F135" s="115"/>
      <c r="G135" s="115"/>
      <c r="H135" s="115"/>
      <c r="I135" s="115"/>
      <c r="J135" s="115"/>
      <c r="K135" s="115"/>
      <c r="L135" s="115"/>
      <c r="M135" s="115"/>
      <c r="N135" s="115"/>
      <c r="O135" s="26"/>
      <c r="P135" s="13"/>
      <c r="U135" s="117"/>
      <c r="V135" s="123"/>
      <c r="W135" s="123"/>
      <c r="X135" s="123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/>
      <c r="AL135" s="115"/>
      <c r="AM135" s="25"/>
      <c r="AN135" s="13"/>
      <c r="AQ135" s="114"/>
    </row>
    <row r="136" spans="1:43" ht="19.5" x14ac:dyDescent="0.4">
      <c r="A136" s="117"/>
      <c r="B136" s="123"/>
      <c r="C136" s="123"/>
      <c r="D136" s="123"/>
      <c r="O136" s="26"/>
      <c r="P136" s="13"/>
      <c r="U136" s="117"/>
      <c r="V136" s="123"/>
      <c r="W136" s="123"/>
      <c r="X136" s="123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25">
        <v>45270</v>
      </c>
      <c r="AN136" s="13" t="s">
        <v>162</v>
      </c>
      <c r="AQ136" s="114"/>
    </row>
    <row r="137" spans="1:43" ht="19.5" x14ac:dyDescent="0.4">
      <c r="A137" s="117"/>
      <c r="B137" s="123"/>
      <c r="C137" s="123"/>
      <c r="D137" s="123"/>
      <c r="K137" s="115"/>
      <c r="L137" s="115"/>
      <c r="M137" s="115"/>
      <c r="N137" s="115"/>
      <c r="O137" s="26"/>
      <c r="P137" s="15"/>
      <c r="U137" s="117"/>
      <c r="V137" s="123"/>
      <c r="W137" s="123"/>
      <c r="X137" s="123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25"/>
      <c r="AN137" s="13"/>
      <c r="AQ137" s="114"/>
    </row>
    <row r="138" spans="1:43" ht="19.5" x14ac:dyDescent="0.4">
      <c r="A138" s="117"/>
      <c r="B138" s="123"/>
      <c r="C138" s="123"/>
      <c r="D138" s="123"/>
      <c r="O138" s="26"/>
      <c r="P138" s="13"/>
      <c r="U138" s="117"/>
      <c r="V138" s="123"/>
      <c r="W138" s="123"/>
      <c r="X138" s="123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25">
        <v>45270</v>
      </c>
      <c r="AN138" s="13" t="s">
        <v>162</v>
      </c>
      <c r="AQ138" s="114"/>
    </row>
    <row r="139" spans="1:43" ht="19.5" x14ac:dyDescent="0.4">
      <c r="A139" s="117"/>
      <c r="B139" s="123"/>
      <c r="C139" s="123"/>
      <c r="D139" s="123"/>
      <c r="M139" s="115"/>
      <c r="N139" s="115"/>
      <c r="O139" s="17"/>
      <c r="P139" s="13"/>
      <c r="U139" s="117"/>
      <c r="V139" s="123"/>
      <c r="W139" s="123"/>
      <c r="X139" s="123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25"/>
      <c r="AN139" s="13"/>
      <c r="AQ139" s="114"/>
    </row>
    <row r="140" spans="1:43" ht="19.5" x14ac:dyDescent="0.4">
      <c r="A140" s="117"/>
      <c r="B140" s="123"/>
      <c r="C140" s="123"/>
      <c r="D140" s="123"/>
      <c r="G140" s="115"/>
      <c r="H140" s="115"/>
      <c r="I140" s="115"/>
      <c r="J140" s="115"/>
      <c r="K140" s="115"/>
      <c r="L140" s="115"/>
      <c r="M140" s="115"/>
      <c r="N140" s="115"/>
      <c r="O140" s="26"/>
      <c r="P140" s="13"/>
      <c r="U140" s="117"/>
      <c r="V140" s="123"/>
      <c r="W140" s="123"/>
      <c r="X140" s="123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25"/>
      <c r="AN140" s="13"/>
      <c r="AQ140" s="114"/>
    </row>
    <row r="141" spans="1:43" ht="19.5" x14ac:dyDescent="0.4">
      <c r="A141" s="117"/>
      <c r="B141" s="123"/>
      <c r="C141" s="123"/>
      <c r="D141" s="123"/>
      <c r="O141" s="26"/>
      <c r="P141" s="13"/>
      <c r="U141" s="117"/>
      <c r="V141" s="123"/>
      <c r="W141" s="123"/>
      <c r="X141" s="123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25"/>
      <c r="AN141" s="13"/>
      <c r="AQ141" s="114"/>
    </row>
    <row r="142" spans="1:43" ht="19.5" x14ac:dyDescent="0.4">
      <c r="A142" s="117"/>
      <c r="B142" s="123"/>
      <c r="C142" s="123"/>
      <c r="D142" s="123"/>
      <c r="O142" s="26"/>
      <c r="P142" s="13"/>
      <c r="U142" s="117"/>
      <c r="V142" s="123"/>
      <c r="W142" s="123"/>
      <c r="X142" s="123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25">
        <v>45270</v>
      </c>
      <c r="AN142" s="13" t="s">
        <v>163</v>
      </c>
      <c r="AQ142" s="114"/>
    </row>
    <row r="143" spans="1:43" ht="19.5" x14ac:dyDescent="0.4">
      <c r="A143" s="117"/>
      <c r="B143" s="123"/>
      <c r="C143" s="123"/>
      <c r="D143" s="123"/>
      <c r="M143" s="115"/>
      <c r="N143" s="115"/>
      <c r="O143" s="17"/>
      <c r="P143" s="13"/>
      <c r="U143" s="117"/>
      <c r="V143" s="123"/>
      <c r="W143" s="123"/>
      <c r="X143" s="123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25"/>
      <c r="AN143" s="13"/>
      <c r="AQ143" s="114"/>
    </row>
    <row r="144" spans="1:43" ht="19.5" x14ac:dyDescent="0.4">
      <c r="A144" s="117"/>
      <c r="B144" s="123"/>
      <c r="C144" s="123"/>
      <c r="D144" s="123"/>
      <c r="O144" s="26"/>
      <c r="P144" s="13"/>
      <c r="U144" s="117"/>
      <c r="V144" s="123"/>
      <c r="W144" s="123"/>
      <c r="X144" s="123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115" t="s">
        <v>151</v>
      </c>
      <c r="AM144" s="13">
        <f>SUBTOTAL(3,AM129:AM142)</f>
        <v>5</v>
      </c>
      <c r="AN144" s="13">
        <f>SUBTOTAL(3,AN129:AN142)</f>
        <v>5</v>
      </c>
      <c r="AQ144" s="114"/>
    </row>
    <row r="145" spans="1:43" ht="19.5" x14ac:dyDescent="0.4">
      <c r="A145" s="117"/>
      <c r="B145" s="123"/>
      <c r="C145" s="123"/>
      <c r="D145" s="123"/>
      <c r="L145" s="115"/>
      <c r="M145" s="115"/>
      <c r="N145" s="115"/>
      <c r="O145" s="26"/>
      <c r="P145" s="13"/>
      <c r="U145" s="117"/>
      <c r="V145" s="123"/>
      <c r="W145" s="123"/>
      <c r="X145" s="123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3"/>
      <c r="AN145" s="13"/>
      <c r="AQ145" s="114"/>
    </row>
    <row r="146" spans="1:43" ht="19.5" x14ac:dyDescent="0.4">
      <c r="A146" s="117"/>
      <c r="B146" s="123"/>
      <c r="C146" s="123"/>
      <c r="D146" s="123"/>
      <c r="O146" s="26"/>
      <c r="P146" s="13"/>
      <c r="U146" s="117"/>
      <c r="V146" s="123"/>
      <c r="W146" s="123"/>
      <c r="X146" s="123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25">
        <v>45271</v>
      </c>
      <c r="AN146" s="13" t="s">
        <v>162</v>
      </c>
      <c r="AQ146" s="114"/>
    </row>
    <row r="147" spans="1:43" ht="19.5" x14ac:dyDescent="0.4">
      <c r="A147" s="117"/>
      <c r="B147" s="123"/>
      <c r="C147" s="123"/>
      <c r="D147" s="123"/>
      <c r="O147" s="26"/>
      <c r="P147" s="13"/>
      <c r="U147" s="117"/>
      <c r="V147" s="123"/>
      <c r="W147" s="123"/>
      <c r="X147" s="123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25">
        <v>45271</v>
      </c>
      <c r="AN147" s="13" t="s">
        <v>163</v>
      </c>
      <c r="AQ147" s="114"/>
    </row>
    <row r="148" spans="1:43" ht="19.5" x14ac:dyDescent="0.4">
      <c r="A148" s="117"/>
      <c r="B148" s="123"/>
      <c r="C148" s="123"/>
      <c r="D148" s="123"/>
      <c r="L148" s="115"/>
      <c r="M148" s="115"/>
      <c r="N148" s="115"/>
      <c r="O148" s="26"/>
      <c r="P148" s="13"/>
      <c r="U148" s="117"/>
      <c r="V148" s="123"/>
      <c r="W148" s="123"/>
      <c r="X148" s="123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25"/>
      <c r="AN148" s="13"/>
      <c r="AQ148" s="114"/>
    </row>
    <row r="149" spans="1:43" ht="19.5" x14ac:dyDescent="0.4">
      <c r="A149" s="117"/>
      <c r="B149" s="123"/>
      <c r="C149" s="123"/>
      <c r="D149" s="123"/>
      <c r="K149" s="115"/>
      <c r="L149" s="115"/>
      <c r="M149" s="115"/>
      <c r="N149" s="115"/>
      <c r="O149" s="26"/>
      <c r="P149" s="13"/>
      <c r="U149" s="117"/>
      <c r="V149" s="123"/>
      <c r="W149" s="123"/>
      <c r="X149" s="123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25"/>
      <c r="AN149" s="13"/>
      <c r="AQ149" s="114"/>
    </row>
    <row r="150" spans="1:43" ht="19.5" x14ac:dyDescent="0.4">
      <c r="A150" s="117"/>
      <c r="B150" s="123"/>
      <c r="C150" s="123"/>
      <c r="D150" s="123"/>
      <c r="K150" s="115"/>
      <c r="L150" s="115"/>
      <c r="M150" s="115"/>
      <c r="N150" s="115"/>
      <c r="O150" s="17"/>
      <c r="P150" s="13"/>
      <c r="U150" s="117"/>
      <c r="V150" s="123"/>
      <c r="W150" s="123"/>
      <c r="X150" s="123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25"/>
      <c r="AN150" s="13"/>
      <c r="AQ150" s="114"/>
    </row>
    <row r="151" spans="1:43" ht="19.5" x14ac:dyDescent="0.4">
      <c r="A151" s="117"/>
      <c r="B151" s="123"/>
      <c r="C151" s="123"/>
      <c r="D151" s="123"/>
      <c r="I151" s="115"/>
      <c r="J151" s="115"/>
      <c r="K151" s="115"/>
      <c r="L151" s="115"/>
      <c r="M151" s="115"/>
      <c r="N151" s="115"/>
      <c r="O151" s="26"/>
      <c r="P151" s="13"/>
      <c r="U151" s="117"/>
      <c r="V151" s="123"/>
      <c r="W151" s="123"/>
      <c r="X151" s="123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25"/>
      <c r="AN151" s="13"/>
      <c r="AQ151" s="114"/>
    </row>
    <row r="152" spans="1:43" ht="19.5" x14ac:dyDescent="0.4">
      <c r="A152" s="117"/>
      <c r="B152" s="123"/>
      <c r="C152" s="123"/>
      <c r="D152" s="123"/>
      <c r="O152" s="26"/>
      <c r="P152" s="13"/>
      <c r="U152" s="117"/>
      <c r="V152" s="123"/>
      <c r="W152" s="123"/>
      <c r="X152" s="123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25">
        <v>45271</v>
      </c>
      <c r="AN152" s="13" t="s">
        <v>163</v>
      </c>
      <c r="AQ152" s="114"/>
    </row>
    <row r="153" spans="1:43" ht="19.5" x14ac:dyDescent="0.4">
      <c r="A153" s="117"/>
      <c r="B153" s="123"/>
      <c r="C153" s="123"/>
      <c r="D153" s="123"/>
      <c r="L153" s="115"/>
      <c r="M153" s="115"/>
      <c r="N153" s="115"/>
      <c r="O153" s="26"/>
      <c r="P153" s="13"/>
      <c r="U153" s="117"/>
      <c r="V153" s="123"/>
      <c r="W153" s="123"/>
      <c r="X153" s="123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25"/>
      <c r="AN153" s="13"/>
      <c r="AQ153" s="114"/>
    </row>
    <row r="154" spans="1:43" ht="19.5" x14ac:dyDescent="0.4">
      <c r="A154" s="117"/>
      <c r="B154" s="123"/>
      <c r="C154" s="123"/>
      <c r="D154" s="123"/>
      <c r="J154" s="115"/>
      <c r="K154" s="115"/>
      <c r="L154" s="115"/>
      <c r="M154" s="115"/>
      <c r="N154" s="115"/>
      <c r="O154" s="26"/>
      <c r="P154" s="13"/>
      <c r="U154" s="117"/>
      <c r="V154" s="123"/>
      <c r="W154" s="123"/>
      <c r="X154" s="123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25"/>
      <c r="AN154" s="13"/>
      <c r="AQ154" s="114"/>
    </row>
    <row r="155" spans="1:43" ht="19.5" x14ac:dyDescent="0.4">
      <c r="A155" s="117"/>
      <c r="B155" s="123"/>
      <c r="C155" s="123"/>
      <c r="D155" s="123"/>
      <c r="J155" s="115"/>
      <c r="K155" s="115"/>
      <c r="L155" s="115"/>
      <c r="M155" s="115"/>
      <c r="N155" s="115"/>
      <c r="O155" s="17"/>
      <c r="P155" s="13"/>
      <c r="U155" s="117"/>
      <c r="V155" s="123"/>
      <c r="W155" s="123"/>
      <c r="X155" s="123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25"/>
      <c r="AN155" s="13"/>
      <c r="AQ155" s="114"/>
    </row>
    <row r="156" spans="1:43" ht="19.5" x14ac:dyDescent="0.4">
      <c r="A156" s="117"/>
      <c r="B156" s="123"/>
      <c r="C156" s="123"/>
      <c r="D156" s="123"/>
      <c r="O156" s="26"/>
      <c r="P156" s="13"/>
      <c r="U156" s="117"/>
      <c r="V156" s="123"/>
      <c r="W156" s="123"/>
      <c r="X156" s="123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 t="s">
        <v>165</v>
      </c>
      <c r="AM156" s="13">
        <f>SUBTOTAL(3,AM146:AM152)</f>
        <v>3</v>
      </c>
      <c r="AN156" s="13">
        <f>SUBTOTAL(3,AN146:AN152)</f>
        <v>3</v>
      </c>
      <c r="AQ156" s="114"/>
    </row>
    <row r="157" spans="1:43" ht="19.5" x14ac:dyDescent="0.4">
      <c r="A157" s="117"/>
      <c r="B157" s="123"/>
      <c r="C157" s="123"/>
      <c r="D157" s="123"/>
      <c r="O157" s="26"/>
      <c r="P157" s="13"/>
      <c r="U157" s="117"/>
      <c r="V157" s="123"/>
      <c r="W157" s="123"/>
      <c r="X157" s="123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25">
        <v>45272</v>
      </c>
      <c r="AN157" s="13" t="s">
        <v>162</v>
      </c>
      <c r="AQ157" s="114"/>
    </row>
    <row r="158" spans="1:43" ht="19.5" x14ac:dyDescent="0.4">
      <c r="A158" s="117"/>
      <c r="B158" s="123"/>
      <c r="C158" s="123"/>
      <c r="D158" s="123"/>
      <c r="M158" s="115"/>
      <c r="N158" s="115"/>
      <c r="O158" s="17"/>
      <c r="P158" s="13"/>
      <c r="U158" s="117"/>
      <c r="V158" s="123"/>
      <c r="W158" s="123"/>
      <c r="X158" s="123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25"/>
      <c r="AN158" s="13"/>
      <c r="AQ158" s="114"/>
    </row>
    <row r="159" spans="1:43" ht="19.5" x14ac:dyDescent="0.4">
      <c r="A159" s="117"/>
      <c r="B159" s="123"/>
      <c r="C159" s="123"/>
      <c r="D159" s="123"/>
      <c r="O159" s="26"/>
      <c r="P159" s="15"/>
      <c r="U159" s="117"/>
      <c r="V159" s="123"/>
      <c r="W159" s="123"/>
      <c r="X159" s="123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25">
        <v>45272</v>
      </c>
      <c r="AN159" s="13" t="s">
        <v>162</v>
      </c>
      <c r="AQ159" s="114"/>
    </row>
    <row r="160" spans="1:43" ht="19.5" x14ac:dyDescent="0.4">
      <c r="A160" s="117"/>
      <c r="B160" s="123"/>
      <c r="C160" s="123"/>
      <c r="D160" s="123"/>
      <c r="M160" s="115"/>
      <c r="N160" s="115"/>
      <c r="O160" s="17"/>
      <c r="P160" s="13"/>
      <c r="U160" s="117"/>
      <c r="V160" s="123"/>
      <c r="W160" s="123"/>
      <c r="X160" s="123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25"/>
      <c r="AN160" s="13"/>
      <c r="AQ160" s="114"/>
    </row>
    <row r="161" spans="1:43" ht="19.5" x14ac:dyDescent="0.4">
      <c r="A161" s="117"/>
      <c r="B161" s="123"/>
      <c r="C161" s="123"/>
      <c r="D161" s="123"/>
      <c r="M161" s="115"/>
      <c r="N161" s="115"/>
      <c r="O161" s="17"/>
      <c r="P161" s="13"/>
      <c r="U161" s="117"/>
      <c r="V161" s="123"/>
      <c r="W161" s="123"/>
      <c r="X161" s="123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25"/>
      <c r="AN161" s="13"/>
      <c r="AQ161" s="114"/>
    </row>
    <row r="162" spans="1:43" ht="19.5" x14ac:dyDescent="0.4">
      <c r="A162" s="117"/>
      <c r="B162" s="123"/>
      <c r="C162" s="123"/>
      <c r="D162" s="123"/>
      <c r="O162" s="26"/>
      <c r="P162" s="13"/>
      <c r="U162" s="117"/>
      <c r="V162" s="123"/>
      <c r="W162" s="123"/>
      <c r="X162" s="123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25">
        <v>45272</v>
      </c>
      <c r="AN162" s="13" t="s">
        <v>162</v>
      </c>
      <c r="AQ162" s="114"/>
    </row>
    <row r="163" spans="1:43" ht="19.5" x14ac:dyDescent="0.4">
      <c r="A163" s="125"/>
      <c r="B163" s="126"/>
      <c r="C163" s="126"/>
      <c r="D163" s="126"/>
      <c r="F163" s="115"/>
      <c r="G163" s="115"/>
      <c r="H163" s="115"/>
      <c r="I163" s="115"/>
      <c r="J163" s="115"/>
      <c r="K163" s="115"/>
      <c r="L163" s="115"/>
      <c r="M163" s="115"/>
      <c r="N163" s="115"/>
      <c r="O163" s="26"/>
      <c r="P163" s="13"/>
      <c r="U163" s="117"/>
      <c r="V163" s="123"/>
      <c r="W163" s="123"/>
      <c r="X163" s="123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25"/>
      <c r="AN163" s="13"/>
      <c r="AQ163" s="114"/>
    </row>
    <row r="164" spans="1:43" ht="19.5" x14ac:dyDescent="0.4">
      <c r="A164" s="125"/>
      <c r="B164" s="126"/>
      <c r="C164" s="126"/>
      <c r="D164" s="126"/>
      <c r="F164" s="115"/>
      <c r="G164" s="115"/>
      <c r="H164" s="115"/>
      <c r="I164" s="115"/>
      <c r="J164" s="115"/>
      <c r="K164" s="115"/>
      <c r="L164" s="115"/>
      <c r="M164" s="115"/>
      <c r="N164" s="115"/>
      <c r="O164" s="26"/>
      <c r="P164" s="13"/>
      <c r="U164" s="117"/>
      <c r="V164" s="123"/>
      <c r="W164" s="123"/>
      <c r="X164" s="123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25"/>
      <c r="AN164" s="13"/>
      <c r="AQ164" s="114"/>
    </row>
    <row r="165" spans="1:43" ht="19.5" x14ac:dyDescent="0.4">
      <c r="A165" s="125"/>
      <c r="B165" s="126"/>
      <c r="C165" s="126"/>
      <c r="D165" s="126"/>
      <c r="F165" s="115"/>
      <c r="G165" s="115"/>
      <c r="H165" s="115"/>
      <c r="I165" s="115"/>
      <c r="J165" s="115"/>
      <c r="K165" s="115"/>
      <c r="L165" s="115"/>
      <c r="M165" s="115"/>
      <c r="N165" s="115"/>
      <c r="O165" s="17"/>
      <c r="P165" s="13"/>
      <c r="U165" s="117"/>
      <c r="V165" s="123"/>
      <c r="W165" s="123"/>
      <c r="X165" s="123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25"/>
      <c r="AN165" s="13"/>
      <c r="AQ165" s="114"/>
    </row>
    <row r="166" spans="1:43" ht="19.5" x14ac:dyDescent="0.4">
      <c r="A166" s="125"/>
      <c r="B166" s="126"/>
      <c r="C166" s="126"/>
      <c r="D166" s="126"/>
      <c r="F166" s="115"/>
      <c r="G166" s="115"/>
      <c r="H166" s="115"/>
      <c r="I166" s="115"/>
      <c r="J166" s="115"/>
      <c r="K166" s="115"/>
      <c r="L166" s="115"/>
      <c r="M166" s="115"/>
      <c r="N166" s="115"/>
      <c r="O166" s="26"/>
      <c r="P166" s="13"/>
      <c r="U166" s="117"/>
      <c r="V166" s="123"/>
      <c r="W166" s="123"/>
      <c r="X166" s="123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25"/>
      <c r="AN166" s="13"/>
      <c r="AQ166" s="114"/>
    </row>
    <row r="167" spans="1:43" ht="19.5" x14ac:dyDescent="0.4">
      <c r="O167" s="26"/>
      <c r="P167" s="13"/>
      <c r="U167" s="117"/>
      <c r="V167" s="123"/>
      <c r="W167" s="123"/>
      <c r="X167" s="123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25">
        <v>45272</v>
      </c>
      <c r="AN167" s="13" t="s">
        <v>162</v>
      </c>
      <c r="AQ167" s="114"/>
    </row>
    <row r="168" spans="1:43" ht="19.5" x14ac:dyDescent="0.4">
      <c r="O168" s="26"/>
      <c r="P168" s="13"/>
      <c r="U168" s="117"/>
      <c r="V168" s="123"/>
      <c r="W168" s="123"/>
      <c r="X168" s="123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25"/>
      <c r="AN168" s="13"/>
      <c r="AQ168" s="114"/>
    </row>
    <row r="169" spans="1:43" ht="19.5" x14ac:dyDescent="0.4">
      <c r="H169" s="115"/>
      <c r="I169" s="115"/>
      <c r="J169" s="115"/>
      <c r="K169" s="115"/>
      <c r="L169" s="115"/>
      <c r="M169" s="115"/>
      <c r="N169" s="115"/>
      <c r="O169" s="26"/>
      <c r="P169" s="25"/>
      <c r="U169" s="117"/>
      <c r="V169" s="123"/>
      <c r="W169" s="123"/>
      <c r="X169" s="123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25"/>
      <c r="AN169" s="13"/>
      <c r="AQ169" s="114"/>
    </row>
    <row r="170" spans="1:43" ht="19.5" x14ac:dyDescent="0.4">
      <c r="O170" s="26"/>
      <c r="P170" s="25"/>
      <c r="U170" s="117"/>
      <c r="V170" s="123"/>
      <c r="W170" s="123"/>
      <c r="X170" s="123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25">
        <v>45272</v>
      </c>
      <c r="AN170" s="13" t="s">
        <v>162</v>
      </c>
      <c r="AQ170" s="114"/>
    </row>
    <row r="171" spans="1:43" ht="19.5" x14ac:dyDescent="0.4">
      <c r="O171" s="26"/>
      <c r="P171" s="13"/>
      <c r="U171" s="117"/>
      <c r="V171" s="123"/>
      <c r="W171" s="123"/>
      <c r="X171" s="123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115"/>
      <c r="AK171" s="115"/>
      <c r="AL171" s="115"/>
      <c r="AM171" s="25">
        <v>45272</v>
      </c>
      <c r="AN171" s="15" t="s">
        <v>162</v>
      </c>
      <c r="AQ171" s="114"/>
    </row>
    <row r="172" spans="1:43" ht="19.5" x14ac:dyDescent="0.4">
      <c r="O172" s="26"/>
      <c r="P172" s="13"/>
      <c r="U172" s="117"/>
      <c r="V172" s="123"/>
      <c r="W172" s="123"/>
      <c r="X172" s="123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25">
        <v>45272</v>
      </c>
      <c r="AN172" s="15" t="s">
        <v>162</v>
      </c>
      <c r="AQ172" s="114"/>
    </row>
    <row r="173" spans="1:43" ht="19.5" x14ac:dyDescent="0.4">
      <c r="H173" s="115"/>
      <c r="I173" s="115"/>
      <c r="J173" s="115"/>
      <c r="K173" s="115"/>
      <c r="L173" s="115"/>
      <c r="M173" s="115"/>
      <c r="N173" s="115"/>
      <c r="O173" s="26"/>
      <c r="P173" s="13"/>
      <c r="U173" s="117"/>
      <c r="V173" s="123"/>
      <c r="W173" s="123"/>
      <c r="X173" s="123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115"/>
      <c r="AL173" s="115"/>
      <c r="AM173" s="25"/>
      <c r="AN173" s="15"/>
      <c r="AQ173" s="114"/>
    </row>
    <row r="174" spans="1:43" ht="19.5" x14ac:dyDescent="0.4">
      <c r="H174" s="115"/>
      <c r="I174" s="115"/>
      <c r="J174" s="115"/>
      <c r="K174" s="115"/>
      <c r="L174" s="115"/>
      <c r="M174" s="115"/>
      <c r="N174" s="115"/>
      <c r="O174" s="17"/>
      <c r="P174" s="13"/>
      <c r="U174" s="117"/>
      <c r="V174" s="123"/>
      <c r="W174" s="123"/>
      <c r="X174" s="123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25"/>
      <c r="AN174" s="15"/>
      <c r="AQ174" s="114"/>
    </row>
    <row r="175" spans="1:43" ht="19.5" x14ac:dyDescent="0.4">
      <c r="O175" s="26"/>
      <c r="P175" s="13"/>
      <c r="U175" s="117"/>
      <c r="V175" s="123"/>
      <c r="W175" s="123"/>
      <c r="X175" s="123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25">
        <v>45272</v>
      </c>
      <c r="AN175" s="15" t="s">
        <v>162</v>
      </c>
      <c r="AQ175" s="114"/>
    </row>
    <row r="176" spans="1:43" ht="19.5" x14ac:dyDescent="0.4">
      <c r="F176" s="115"/>
      <c r="G176" s="115"/>
      <c r="H176" s="115"/>
      <c r="I176" s="115"/>
      <c r="J176" s="115"/>
      <c r="K176" s="115"/>
      <c r="L176" s="115"/>
      <c r="M176" s="115"/>
      <c r="N176" s="115"/>
      <c r="O176" s="26"/>
      <c r="P176" s="13"/>
      <c r="U176" s="117"/>
      <c r="V176" s="123"/>
      <c r="W176" s="123"/>
      <c r="X176" s="123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25"/>
      <c r="AN176" s="15"/>
      <c r="AQ176" s="114"/>
    </row>
    <row r="177" spans="6:43" ht="19.5" x14ac:dyDescent="0.4">
      <c r="F177" s="115"/>
      <c r="G177" s="115"/>
      <c r="H177" s="115"/>
      <c r="I177" s="115"/>
      <c r="J177" s="115"/>
      <c r="K177" s="115"/>
      <c r="L177" s="115"/>
      <c r="M177" s="115"/>
      <c r="N177" s="115"/>
      <c r="O177" s="26"/>
      <c r="P177" s="13"/>
      <c r="U177" s="117"/>
      <c r="V177" s="123"/>
      <c r="W177" s="123"/>
      <c r="X177" s="123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25"/>
      <c r="AN177" s="15"/>
      <c r="AQ177" s="114"/>
    </row>
    <row r="178" spans="6:43" ht="19.5" x14ac:dyDescent="0.4">
      <c r="F178" s="115"/>
      <c r="G178" s="115"/>
      <c r="H178" s="115"/>
      <c r="I178" s="115"/>
      <c r="J178" s="115"/>
      <c r="K178" s="115"/>
      <c r="L178" s="115"/>
      <c r="M178" s="115"/>
      <c r="N178" s="115"/>
      <c r="O178" s="17"/>
      <c r="P178" s="13"/>
      <c r="U178" s="117"/>
      <c r="V178" s="123"/>
      <c r="W178" s="123"/>
      <c r="X178" s="123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25"/>
      <c r="AN178" s="15"/>
      <c r="AQ178" s="114"/>
    </row>
    <row r="179" spans="6:43" ht="19.5" x14ac:dyDescent="0.4">
      <c r="F179" s="115"/>
      <c r="G179" s="115"/>
      <c r="H179" s="115"/>
      <c r="I179" s="115"/>
      <c r="J179" s="115"/>
      <c r="K179" s="115"/>
      <c r="L179" s="115"/>
      <c r="M179" s="115"/>
      <c r="N179" s="115"/>
      <c r="O179" s="26"/>
      <c r="P179" s="13"/>
      <c r="U179" s="117"/>
      <c r="V179" s="123"/>
      <c r="W179" s="123"/>
      <c r="X179" s="123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25"/>
      <c r="AN179" s="15"/>
      <c r="AQ179" s="114"/>
    </row>
    <row r="180" spans="6:43" ht="19.5" x14ac:dyDescent="0.4">
      <c r="F180" s="115"/>
      <c r="G180" s="115"/>
      <c r="H180" s="115"/>
      <c r="I180" s="115"/>
      <c r="J180" s="115"/>
      <c r="K180" s="115"/>
      <c r="L180" s="115"/>
      <c r="M180" s="115"/>
      <c r="N180" s="115"/>
      <c r="O180" s="17"/>
      <c r="P180" s="13"/>
      <c r="U180" s="117"/>
      <c r="V180" s="123"/>
      <c r="W180" s="123"/>
      <c r="X180" s="123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25"/>
      <c r="AN180" s="15"/>
      <c r="AQ180" s="114"/>
    </row>
    <row r="181" spans="6:43" ht="19.5" x14ac:dyDescent="0.4">
      <c r="F181" s="115"/>
      <c r="G181" s="115"/>
      <c r="H181" s="115"/>
      <c r="I181" s="115"/>
      <c r="J181" s="115"/>
      <c r="K181" s="115"/>
      <c r="L181" s="115"/>
      <c r="M181" s="115"/>
      <c r="N181" s="115"/>
      <c r="O181" s="26"/>
      <c r="P181" s="13"/>
      <c r="U181" s="117"/>
      <c r="V181" s="123"/>
      <c r="W181" s="123"/>
      <c r="X181" s="123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25"/>
      <c r="AN181" s="15"/>
      <c r="AQ181" s="114"/>
    </row>
    <row r="182" spans="6:43" ht="19.5" x14ac:dyDescent="0.4">
      <c r="O182" s="26"/>
      <c r="P182" s="13"/>
      <c r="U182" s="117"/>
      <c r="V182" s="123"/>
      <c r="W182" s="123"/>
      <c r="X182" s="123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25">
        <v>45272</v>
      </c>
      <c r="AN182" s="15" t="s">
        <v>162</v>
      </c>
      <c r="AQ182" s="114"/>
    </row>
    <row r="183" spans="6:43" ht="19.5" x14ac:dyDescent="0.4">
      <c r="K183" s="115"/>
      <c r="L183" s="115"/>
      <c r="M183" s="115"/>
      <c r="N183" s="115"/>
      <c r="O183" s="26"/>
      <c r="P183" s="13"/>
      <c r="U183" s="117"/>
      <c r="V183" s="123"/>
      <c r="W183" s="123"/>
      <c r="X183" s="123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25"/>
      <c r="AN183" s="15"/>
      <c r="AQ183" s="114"/>
    </row>
    <row r="184" spans="6:43" ht="19.5" x14ac:dyDescent="0.4">
      <c r="K184" s="115"/>
      <c r="L184" s="115"/>
      <c r="M184" s="115"/>
      <c r="N184" s="115"/>
      <c r="O184" s="17"/>
      <c r="P184" s="13"/>
      <c r="U184" s="117"/>
      <c r="V184" s="123"/>
      <c r="W184" s="123"/>
      <c r="X184" s="123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25"/>
      <c r="AN184" s="15"/>
      <c r="AQ184" s="114"/>
    </row>
    <row r="185" spans="6:43" ht="19.5" x14ac:dyDescent="0.4">
      <c r="F185" s="115"/>
      <c r="G185" s="115"/>
      <c r="H185" s="115"/>
      <c r="I185" s="115"/>
      <c r="J185" s="115"/>
      <c r="K185" s="115"/>
      <c r="L185" s="115"/>
      <c r="M185" s="115"/>
      <c r="N185" s="115"/>
      <c r="O185" s="26"/>
      <c r="P185" s="13"/>
      <c r="U185" s="117"/>
      <c r="V185" s="123"/>
      <c r="W185" s="123"/>
      <c r="X185" s="123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25"/>
      <c r="AN185" s="15"/>
      <c r="AQ185" s="114"/>
    </row>
    <row r="186" spans="6:43" ht="19.5" x14ac:dyDescent="0.4">
      <c r="F186" s="115"/>
      <c r="G186" s="115"/>
      <c r="H186" s="115"/>
      <c r="I186" s="115"/>
      <c r="J186" s="115"/>
      <c r="K186" s="115"/>
      <c r="L186" s="115"/>
      <c r="M186" s="115"/>
      <c r="N186" s="115"/>
      <c r="O186" s="17"/>
      <c r="P186" s="13"/>
      <c r="U186" s="117"/>
      <c r="V186" s="123"/>
      <c r="W186" s="123"/>
      <c r="X186" s="123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25"/>
      <c r="AN186" s="15"/>
      <c r="AQ186" s="114"/>
    </row>
    <row r="187" spans="6:43" ht="19.5" x14ac:dyDescent="0.4">
      <c r="F187" s="115"/>
      <c r="G187" s="115"/>
      <c r="H187" s="115"/>
      <c r="I187" s="115"/>
      <c r="J187" s="115"/>
      <c r="K187" s="115"/>
      <c r="L187" s="115"/>
      <c r="M187" s="115"/>
      <c r="N187" s="115"/>
      <c r="O187" s="26"/>
      <c r="P187" s="25"/>
      <c r="U187" s="117"/>
      <c r="V187" s="123"/>
      <c r="W187" s="123"/>
      <c r="X187" s="123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25"/>
      <c r="AN187" s="15"/>
      <c r="AQ187" s="114"/>
    </row>
    <row r="188" spans="6:43" ht="19.5" x14ac:dyDescent="0.4">
      <c r="F188" s="115"/>
      <c r="G188" s="115"/>
      <c r="H188" s="115"/>
      <c r="I188" s="115"/>
      <c r="J188" s="115"/>
      <c r="K188" s="115"/>
      <c r="L188" s="115"/>
      <c r="M188" s="115"/>
      <c r="N188" s="115"/>
      <c r="O188" s="17"/>
      <c r="P188" s="13"/>
      <c r="U188" s="117"/>
      <c r="V188" s="123"/>
      <c r="W188" s="123"/>
      <c r="X188" s="123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25"/>
      <c r="AN188" s="15"/>
      <c r="AQ188" s="114"/>
    </row>
    <row r="189" spans="6:43" ht="19.5" x14ac:dyDescent="0.4">
      <c r="F189" s="115"/>
      <c r="G189" s="115"/>
      <c r="H189" s="115"/>
      <c r="I189" s="115"/>
      <c r="J189" s="115"/>
      <c r="K189" s="115"/>
      <c r="L189" s="115"/>
      <c r="M189" s="115"/>
      <c r="N189" s="115"/>
      <c r="O189" s="26"/>
      <c r="P189" s="13"/>
      <c r="U189" s="117"/>
      <c r="V189" s="123"/>
      <c r="W189" s="123"/>
      <c r="X189" s="123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25"/>
      <c r="AN189" s="15"/>
      <c r="AQ189" s="114"/>
    </row>
    <row r="190" spans="6:43" ht="19.5" x14ac:dyDescent="0.4">
      <c r="O190" s="26"/>
      <c r="P190" s="13"/>
      <c r="U190" s="117"/>
      <c r="V190" s="123"/>
      <c r="W190" s="123"/>
      <c r="X190" s="123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25">
        <v>45272</v>
      </c>
      <c r="AN190" s="15" t="s">
        <v>162</v>
      </c>
      <c r="AQ190" s="114"/>
    </row>
    <row r="191" spans="6:43" ht="19.5" x14ac:dyDescent="0.4">
      <c r="L191" s="115"/>
      <c r="M191" s="115"/>
      <c r="N191" s="115"/>
      <c r="O191" s="17"/>
      <c r="P191" s="13"/>
      <c r="U191" s="117"/>
      <c r="V191" s="123"/>
      <c r="W191" s="123"/>
      <c r="X191" s="123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25"/>
      <c r="AN191" s="15"/>
      <c r="AQ191" s="114"/>
    </row>
    <row r="192" spans="6:43" ht="19.5" x14ac:dyDescent="0.4">
      <c r="K192" s="115"/>
      <c r="L192" s="115"/>
      <c r="M192" s="115"/>
      <c r="N192" s="115"/>
      <c r="O192" s="26"/>
      <c r="P192" s="13"/>
      <c r="U192" s="117"/>
      <c r="V192" s="123"/>
      <c r="W192" s="123"/>
      <c r="X192" s="123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25"/>
      <c r="AN192" s="15"/>
      <c r="AQ192" s="114"/>
    </row>
    <row r="193" spans="6:43" ht="19.5" x14ac:dyDescent="0.4">
      <c r="K193" s="115"/>
      <c r="L193" s="115"/>
      <c r="M193" s="115"/>
      <c r="N193" s="115"/>
      <c r="O193" s="17"/>
      <c r="P193" s="13"/>
      <c r="U193" s="117"/>
      <c r="V193" s="123"/>
      <c r="W193" s="123"/>
      <c r="X193" s="123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25"/>
      <c r="AN193" s="15"/>
      <c r="AQ193" s="114"/>
    </row>
    <row r="194" spans="6:43" ht="19.5" x14ac:dyDescent="0.4">
      <c r="K194" s="115"/>
      <c r="L194" s="115"/>
      <c r="M194" s="115"/>
      <c r="N194" s="115"/>
      <c r="O194" s="17"/>
      <c r="P194" s="13"/>
      <c r="U194" s="117"/>
      <c r="V194" s="123"/>
      <c r="W194" s="123"/>
      <c r="X194" s="123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25"/>
      <c r="AN194" s="15"/>
      <c r="AQ194" s="114"/>
    </row>
    <row r="195" spans="6:43" ht="19.5" x14ac:dyDescent="0.4">
      <c r="H195" s="115"/>
      <c r="I195" s="115"/>
      <c r="J195" s="115"/>
      <c r="K195" s="115"/>
      <c r="L195" s="115"/>
      <c r="M195" s="115"/>
      <c r="N195" s="115"/>
      <c r="O195" s="26"/>
      <c r="P195" s="13"/>
      <c r="U195" s="117"/>
      <c r="V195" s="123"/>
      <c r="W195" s="123"/>
      <c r="X195" s="123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25"/>
      <c r="AN195" s="15"/>
      <c r="AQ195" s="114"/>
    </row>
    <row r="196" spans="6:43" ht="19.5" x14ac:dyDescent="0.4">
      <c r="H196" s="115"/>
      <c r="I196" s="115"/>
      <c r="J196" s="115"/>
      <c r="K196" s="115"/>
      <c r="L196" s="115"/>
      <c r="M196" s="115"/>
      <c r="N196" s="115"/>
      <c r="O196" s="20"/>
      <c r="P196" s="13"/>
      <c r="U196" s="117"/>
      <c r="V196" s="123"/>
      <c r="W196" s="123"/>
      <c r="X196" s="123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115"/>
      <c r="AM196" s="25"/>
      <c r="AN196" s="15"/>
      <c r="AQ196" s="114"/>
    </row>
    <row r="197" spans="6:43" ht="19.5" x14ac:dyDescent="0.4">
      <c r="H197" s="115"/>
      <c r="I197" s="115"/>
      <c r="J197" s="115"/>
      <c r="K197" s="115"/>
      <c r="L197" s="115"/>
      <c r="M197" s="115"/>
      <c r="N197" s="115"/>
      <c r="O197" s="20"/>
      <c r="P197" s="13"/>
      <c r="U197" s="117"/>
      <c r="V197" s="123"/>
      <c r="W197" s="123"/>
      <c r="X197" s="123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25"/>
      <c r="AN197" s="15"/>
      <c r="AQ197" s="114"/>
    </row>
    <row r="198" spans="6:43" ht="19.5" x14ac:dyDescent="0.4">
      <c r="H198" s="115"/>
      <c r="I198" s="115"/>
      <c r="J198" s="115"/>
      <c r="K198" s="115"/>
      <c r="L198" s="115"/>
      <c r="M198" s="115"/>
      <c r="N198" s="115"/>
      <c r="O198" s="25"/>
      <c r="P198" s="15"/>
      <c r="U198" s="117"/>
      <c r="V198" s="123"/>
      <c r="W198" s="123"/>
      <c r="X198" s="123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25"/>
      <c r="AN198" s="15"/>
      <c r="AQ198" s="114"/>
    </row>
    <row r="199" spans="6:43" ht="19.5" x14ac:dyDescent="0.4">
      <c r="F199" s="115"/>
      <c r="G199" s="115"/>
      <c r="H199" s="115"/>
      <c r="I199" s="115"/>
      <c r="J199" s="115"/>
      <c r="K199" s="115"/>
      <c r="L199" s="115"/>
      <c r="M199" s="115"/>
      <c r="N199" s="115"/>
      <c r="O199" s="25"/>
      <c r="P199" s="15"/>
      <c r="U199" s="117"/>
      <c r="V199" s="123"/>
      <c r="W199" s="123"/>
      <c r="X199" s="123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25"/>
      <c r="AN199" s="15"/>
      <c r="AQ199" s="114"/>
    </row>
    <row r="200" spans="6:43" ht="19.5" x14ac:dyDescent="0.4">
      <c r="F200" s="115"/>
      <c r="G200" s="115"/>
      <c r="H200" s="115"/>
      <c r="I200" s="115"/>
      <c r="J200" s="115"/>
      <c r="K200" s="115"/>
      <c r="L200" s="115"/>
      <c r="M200" s="115"/>
      <c r="N200" s="115"/>
      <c r="O200" s="25"/>
      <c r="P200" s="15"/>
      <c r="U200" s="117"/>
      <c r="V200" s="123"/>
      <c r="W200" s="123"/>
      <c r="X200" s="123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25"/>
      <c r="AN200" s="15"/>
      <c r="AQ200" s="114"/>
    </row>
    <row r="201" spans="6:43" ht="19.5" x14ac:dyDescent="0.4">
      <c r="O201" s="26"/>
      <c r="P201" s="15"/>
      <c r="U201" s="117"/>
      <c r="V201" s="123"/>
      <c r="W201" s="123"/>
      <c r="X201" s="123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25">
        <v>45272</v>
      </c>
      <c r="AN201" s="15" t="s">
        <v>162</v>
      </c>
      <c r="AQ201" s="114"/>
    </row>
    <row r="202" spans="6:43" ht="19.5" x14ac:dyDescent="0.4">
      <c r="O202" s="26"/>
      <c r="P202" s="13"/>
      <c r="U202" s="117"/>
      <c r="V202" s="123"/>
      <c r="W202" s="123"/>
      <c r="X202" s="123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25"/>
      <c r="AN202" s="15"/>
      <c r="AQ202" s="114"/>
    </row>
    <row r="203" spans="6:43" ht="19.5" x14ac:dyDescent="0.4">
      <c r="G203" s="115"/>
      <c r="H203" s="115"/>
      <c r="I203" s="115"/>
      <c r="J203" s="115"/>
      <c r="K203" s="115"/>
      <c r="L203" s="115"/>
      <c r="M203" s="115"/>
      <c r="N203" s="115"/>
      <c r="O203" s="26"/>
      <c r="P203" s="13"/>
      <c r="U203" s="117"/>
      <c r="V203" s="123"/>
      <c r="W203" s="123"/>
      <c r="X203" s="123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25"/>
      <c r="AN203" s="15"/>
      <c r="AQ203" s="114"/>
    </row>
    <row r="204" spans="6:43" ht="19.5" x14ac:dyDescent="0.4">
      <c r="O204" s="26"/>
      <c r="P204" s="13"/>
      <c r="U204" s="117"/>
      <c r="V204" s="123"/>
      <c r="W204" s="123"/>
      <c r="X204" s="123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25">
        <v>45272</v>
      </c>
      <c r="AN204" s="15" t="s">
        <v>162</v>
      </c>
      <c r="AQ204" s="114"/>
    </row>
    <row r="205" spans="6:43" ht="19.5" x14ac:dyDescent="0.4">
      <c r="J205" s="115"/>
      <c r="K205" s="115"/>
      <c r="L205" s="115"/>
      <c r="M205" s="115"/>
      <c r="N205" s="115"/>
      <c r="O205" s="17"/>
      <c r="P205" s="13"/>
      <c r="U205" s="117"/>
      <c r="V205" s="123"/>
      <c r="W205" s="123"/>
      <c r="X205" s="123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25"/>
      <c r="AN205" s="15"/>
      <c r="AQ205" s="114"/>
    </row>
    <row r="206" spans="6:43" ht="19.5" x14ac:dyDescent="0.4">
      <c r="O206" s="26"/>
      <c r="P206" s="13"/>
      <c r="U206" s="117"/>
      <c r="V206" s="123"/>
      <c r="W206" s="123"/>
      <c r="X206" s="123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25"/>
      <c r="AN206" s="15"/>
      <c r="AQ206" s="114"/>
    </row>
    <row r="207" spans="6:43" ht="19.5" x14ac:dyDescent="0.4">
      <c r="H207" s="115"/>
      <c r="I207" s="115"/>
      <c r="J207" s="115"/>
      <c r="K207" s="115"/>
      <c r="L207" s="115"/>
      <c r="M207" s="115"/>
      <c r="N207" s="115"/>
      <c r="O207" s="26"/>
      <c r="P207" s="13"/>
      <c r="U207" s="117"/>
      <c r="V207" s="123"/>
      <c r="W207" s="123"/>
      <c r="X207" s="123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25"/>
      <c r="AN207" s="15"/>
      <c r="AQ207" s="114"/>
    </row>
    <row r="208" spans="6:43" ht="19.5" x14ac:dyDescent="0.4">
      <c r="O208" s="26"/>
      <c r="P208" s="13"/>
      <c r="U208" s="117"/>
      <c r="V208" s="123"/>
      <c r="W208" s="123"/>
      <c r="X208" s="123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25">
        <v>45272</v>
      </c>
      <c r="AN208" s="15" t="s">
        <v>162</v>
      </c>
      <c r="AQ208" s="114"/>
    </row>
    <row r="209" spans="7:43" ht="19.5" x14ac:dyDescent="0.4">
      <c r="O209" s="26"/>
      <c r="P209" s="13"/>
      <c r="U209" s="117"/>
      <c r="V209" s="123"/>
      <c r="W209" s="123"/>
      <c r="X209" s="123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 t="s">
        <v>166</v>
      </c>
      <c r="AM209" s="13">
        <f>SUBTOTAL(3,AM157:AM208)</f>
        <v>13</v>
      </c>
      <c r="AN209" s="15">
        <f>SUBTOTAL(3,AN157:AN208)</f>
        <v>13</v>
      </c>
      <c r="AQ209" s="114"/>
    </row>
    <row r="210" spans="7:43" ht="19.5" x14ac:dyDescent="0.4">
      <c r="J210" s="115"/>
      <c r="K210" s="115"/>
      <c r="L210" s="115"/>
      <c r="M210" s="115"/>
      <c r="N210" s="115"/>
      <c r="O210" s="17"/>
      <c r="P210" s="13"/>
      <c r="U210" s="117"/>
      <c r="V210" s="123"/>
      <c r="W210" s="123"/>
      <c r="X210" s="123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3"/>
      <c r="AN210" s="15"/>
      <c r="AQ210" s="114"/>
    </row>
    <row r="211" spans="7:43" ht="19.5" x14ac:dyDescent="0.4">
      <c r="O211" s="26"/>
      <c r="P211" s="13"/>
      <c r="U211" s="117"/>
      <c r="V211" s="123"/>
      <c r="W211" s="123"/>
      <c r="X211" s="123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25">
        <v>45273</v>
      </c>
      <c r="AN211" s="105" t="s">
        <v>164</v>
      </c>
      <c r="AQ211" s="114"/>
    </row>
    <row r="212" spans="7:43" ht="19.5" x14ac:dyDescent="0.4">
      <c r="O212" s="26"/>
      <c r="P212" s="13"/>
      <c r="U212" s="117"/>
      <c r="V212" s="123"/>
      <c r="W212" s="123"/>
      <c r="X212" s="123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25">
        <v>45273</v>
      </c>
      <c r="AN212" s="15" t="s">
        <v>164</v>
      </c>
      <c r="AQ212" s="114"/>
    </row>
    <row r="213" spans="7:43" ht="19.5" x14ac:dyDescent="0.4">
      <c r="G213" s="115"/>
      <c r="H213" s="115"/>
      <c r="I213" s="115"/>
      <c r="J213" s="115"/>
      <c r="K213" s="115"/>
      <c r="L213" s="115"/>
      <c r="M213" s="115"/>
      <c r="N213" s="115"/>
      <c r="O213" s="26"/>
      <c r="P213" s="13"/>
      <c r="U213" s="117"/>
      <c r="V213" s="123"/>
      <c r="W213" s="123"/>
      <c r="X213" s="123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25"/>
      <c r="AN213" s="13"/>
      <c r="AQ213" s="114"/>
    </row>
    <row r="214" spans="7:43" ht="19.5" x14ac:dyDescent="0.4">
      <c r="O214" s="26"/>
      <c r="P214" s="13"/>
      <c r="U214" s="117"/>
      <c r="V214" s="123"/>
      <c r="W214" s="123"/>
      <c r="X214" s="123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25">
        <v>45273</v>
      </c>
      <c r="AN214" s="13" t="s">
        <v>164</v>
      </c>
      <c r="AQ214" s="114"/>
    </row>
    <row r="215" spans="7:43" ht="19.5" x14ac:dyDescent="0.4">
      <c r="O215" s="26"/>
      <c r="P215" s="13"/>
      <c r="U215" s="117"/>
      <c r="V215" s="123"/>
      <c r="W215" s="123"/>
      <c r="X215" s="123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25">
        <v>45273</v>
      </c>
      <c r="AN215" s="15" t="s">
        <v>164</v>
      </c>
      <c r="AQ215" s="114"/>
    </row>
    <row r="216" spans="7:43" ht="19.5" x14ac:dyDescent="0.4">
      <c r="O216" s="26"/>
      <c r="P216" s="13"/>
      <c r="U216" s="117"/>
      <c r="V216" s="123"/>
      <c r="W216" s="123"/>
      <c r="X216" s="123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25">
        <v>45273</v>
      </c>
      <c r="AN216" s="15" t="s">
        <v>162</v>
      </c>
      <c r="AQ216" s="114"/>
    </row>
    <row r="217" spans="7:43" ht="19.5" x14ac:dyDescent="0.4">
      <c r="I217" s="115"/>
      <c r="J217" s="115"/>
      <c r="K217" s="115"/>
      <c r="L217" s="115"/>
      <c r="M217" s="115"/>
      <c r="N217" s="115"/>
      <c r="O217" s="26"/>
      <c r="P217" s="13"/>
      <c r="U217" s="117"/>
      <c r="V217" s="123"/>
      <c r="W217" s="123"/>
      <c r="X217" s="123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25"/>
      <c r="AN217" s="15"/>
      <c r="AQ217" s="114"/>
    </row>
    <row r="218" spans="7:43" ht="19.5" x14ac:dyDescent="0.4">
      <c r="O218" s="26"/>
      <c r="P218" s="13"/>
      <c r="U218" s="117"/>
      <c r="V218" s="123"/>
      <c r="W218" s="123"/>
      <c r="X218" s="123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25">
        <v>45273</v>
      </c>
      <c r="AN218" s="15" t="s">
        <v>162</v>
      </c>
      <c r="AQ218" s="114"/>
    </row>
    <row r="219" spans="7:43" ht="19.5" x14ac:dyDescent="0.4">
      <c r="O219" s="26"/>
      <c r="P219" s="13"/>
      <c r="U219" s="117"/>
      <c r="V219" s="123"/>
      <c r="W219" s="123"/>
      <c r="X219" s="123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25">
        <v>45273</v>
      </c>
      <c r="AN219" s="15" t="s">
        <v>162</v>
      </c>
      <c r="AQ219" s="114"/>
    </row>
    <row r="220" spans="7:43" ht="19.5" x14ac:dyDescent="0.4">
      <c r="O220" s="26"/>
      <c r="P220" s="13"/>
      <c r="U220" s="117"/>
      <c r="V220" s="123"/>
      <c r="W220" s="123"/>
      <c r="X220" s="123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25">
        <v>45273</v>
      </c>
      <c r="AN220" s="15" t="s">
        <v>162</v>
      </c>
      <c r="AQ220" s="114"/>
    </row>
    <row r="221" spans="7:43" ht="19.5" x14ac:dyDescent="0.4">
      <c r="H221" s="115"/>
      <c r="I221" s="115"/>
      <c r="J221" s="115"/>
      <c r="K221" s="115"/>
      <c r="L221" s="115"/>
      <c r="M221" s="115"/>
      <c r="N221" s="115"/>
      <c r="O221" s="26"/>
      <c r="P221" s="13"/>
      <c r="U221" s="117"/>
      <c r="V221" s="123"/>
      <c r="W221" s="123"/>
      <c r="X221" s="123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25"/>
      <c r="AN221" s="15"/>
      <c r="AQ221" s="114"/>
    </row>
    <row r="222" spans="7:43" ht="19.5" x14ac:dyDescent="0.4">
      <c r="O222" s="26"/>
      <c r="P222" s="13"/>
      <c r="U222" s="117"/>
      <c r="V222" s="123"/>
      <c r="W222" s="123"/>
      <c r="X222" s="123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25">
        <v>45273</v>
      </c>
      <c r="AN222" s="15" t="s">
        <v>162</v>
      </c>
      <c r="AQ222" s="114"/>
    </row>
    <row r="223" spans="7:43" ht="19.5" x14ac:dyDescent="0.4">
      <c r="O223" s="26"/>
      <c r="P223" s="13"/>
      <c r="U223" s="117"/>
      <c r="V223" s="123"/>
      <c r="W223" s="123"/>
      <c r="X223" s="123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25">
        <v>45273</v>
      </c>
      <c r="AN223" s="15" t="s">
        <v>162</v>
      </c>
      <c r="AQ223" s="114"/>
    </row>
    <row r="224" spans="7:43" ht="19.5" x14ac:dyDescent="0.4">
      <c r="O224" s="26"/>
      <c r="P224" s="13"/>
      <c r="U224" s="117"/>
      <c r="V224" s="123"/>
      <c r="W224" s="123"/>
      <c r="X224" s="123"/>
      <c r="Y224" s="115"/>
      <c r="Z224" s="115"/>
      <c r="AA224" s="115"/>
      <c r="AB224" s="115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25">
        <v>45273</v>
      </c>
      <c r="AN224" s="15" t="s">
        <v>162</v>
      </c>
      <c r="AQ224" s="114"/>
    </row>
    <row r="225" spans="6:43" ht="19.5" x14ac:dyDescent="0.4">
      <c r="O225" s="26"/>
      <c r="P225" s="13"/>
      <c r="U225" s="117"/>
      <c r="V225" s="123"/>
      <c r="W225" s="123"/>
      <c r="X225" s="123"/>
      <c r="Y225" s="115"/>
      <c r="Z225" s="115"/>
      <c r="AA225" s="115"/>
      <c r="AB225" s="115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25">
        <v>45273</v>
      </c>
      <c r="AN225" s="15" t="s">
        <v>162</v>
      </c>
      <c r="AQ225" s="114"/>
    </row>
    <row r="226" spans="6:43" ht="19.5" x14ac:dyDescent="0.4">
      <c r="J226" s="115"/>
      <c r="K226" s="115"/>
      <c r="L226" s="115"/>
      <c r="M226" s="115"/>
      <c r="N226" s="115"/>
      <c r="O226" s="17"/>
      <c r="P226" s="13"/>
      <c r="U226" s="117"/>
      <c r="V226" s="123"/>
      <c r="W226" s="123"/>
      <c r="X226" s="123"/>
      <c r="Y226" s="115"/>
      <c r="Z226" s="115"/>
      <c r="AA226" s="115"/>
      <c r="AB226" s="115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25"/>
      <c r="AN226" s="15"/>
      <c r="AQ226" s="114"/>
    </row>
    <row r="227" spans="6:43" ht="19.5" x14ac:dyDescent="0.4">
      <c r="O227" s="26"/>
      <c r="P227" s="13"/>
      <c r="U227" s="117"/>
      <c r="V227" s="123"/>
      <c r="W227" s="123"/>
      <c r="X227" s="123"/>
      <c r="Y227" s="115"/>
      <c r="Z227" s="115"/>
      <c r="AA227" s="115"/>
      <c r="AB227" s="115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25">
        <v>45273</v>
      </c>
      <c r="AN227" s="15" t="s">
        <v>162</v>
      </c>
      <c r="AQ227" s="114"/>
    </row>
    <row r="228" spans="6:43" ht="19.5" x14ac:dyDescent="0.4">
      <c r="J228" s="115"/>
      <c r="K228" s="115"/>
      <c r="L228" s="115"/>
      <c r="M228" s="115"/>
      <c r="N228" s="115"/>
      <c r="O228" s="17"/>
      <c r="P228" s="13"/>
      <c r="U228" s="117"/>
      <c r="V228" s="123"/>
      <c r="W228" s="123"/>
      <c r="X228" s="123"/>
      <c r="Y228" s="115"/>
      <c r="Z228" s="115"/>
      <c r="AA228" s="115"/>
      <c r="AB228" s="115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25"/>
      <c r="AN228" s="15"/>
      <c r="AQ228" s="114"/>
    </row>
    <row r="229" spans="6:43" ht="19.5" x14ac:dyDescent="0.4">
      <c r="O229" s="26"/>
      <c r="P229" s="13"/>
      <c r="U229" s="117"/>
      <c r="V229" s="123"/>
      <c r="W229" s="123"/>
      <c r="X229" s="123"/>
      <c r="Y229" s="115"/>
      <c r="Z229" s="115"/>
      <c r="AA229" s="115"/>
      <c r="AB229" s="115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25">
        <v>45273</v>
      </c>
      <c r="AN229" s="15" t="s">
        <v>162</v>
      </c>
      <c r="AQ229" s="114"/>
    </row>
    <row r="230" spans="6:43" ht="19.5" x14ac:dyDescent="0.4">
      <c r="O230" s="26"/>
      <c r="P230" s="13"/>
      <c r="U230" s="117"/>
      <c r="V230" s="123"/>
      <c r="W230" s="123"/>
      <c r="X230" s="123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25">
        <v>45273</v>
      </c>
      <c r="AN230" s="13" t="s">
        <v>162</v>
      </c>
      <c r="AQ230" s="114"/>
    </row>
    <row r="231" spans="6:43" ht="19.5" x14ac:dyDescent="0.4">
      <c r="O231" s="26"/>
      <c r="P231" s="13"/>
      <c r="U231" s="117"/>
      <c r="V231" s="123"/>
      <c r="W231" s="123"/>
      <c r="X231" s="123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25">
        <v>45273</v>
      </c>
      <c r="AN231" s="15" t="s">
        <v>162</v>
      </c>
      <c r="AQ231" s="114"/>
    </row>
    <row r="232" spans="6:43" ht="19.5" x14ac:dyDescent="0.4">
      <c r="O232" s="26"/>
      <c r="P232" s="13"/>
      <c r="U232" s="117"/>
      <c r="V232" s="123"/>
      <c r="W232" s="123"/>
      <c r="X232" s="123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25">
        <v>45273</v>
      </c>
      <c r="AN232" s="15" t="s">
        <v>162</v>
      </c>
      <c r="AQ232" s="114"/>
    </row>
    <row r="233" spans="6:43" ht="19.5" x14ac:dyDescent="0.4">
      <c r="G233" s="115"/>
      <c r="H233" s="115"/>
      <c r="I233" s="115"/>
      <c r="J233" s="115"/>
      <c r="K233" s="115"/>
      <c r="L233" s="115"/>
      <c r="M233" s="115"/>
      <c r="N233" s="115"/>
      <c r="O233" s="26"/>
      <c r="P233" s="25"/>
      <c r="U233" s="117"/>
      <c r="V233" s="123"/>
      <c r="W233" s="123"/>
      <c r="X233" s="123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25"/>
      <c r="AN233" s="15"/>
      <c r="AQ233" s="114"/>
    </row>
    <row r="234" spans="6:43" ht="19.5" x14ac:dyDescent="0.4">
      <c r="O234" s="26"/>
      <c r="P234" s="25"/>
      <c r="U234" s="117"/>
      <c r="V234" s="123"/>
      <c r="W234" s="123"/>
      <c r="X234" s="123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25">
        <v>45273</v>
      </c>
      <c r="AN234" s="15" t="s">
        <v>162</v>
      </c>
      <c r="AQ234" s="114"/>
    </row>
    <row r="235" spans="6:43" ht="19.5" x14ac:dyDescent="0.4">
      <c r="O235" s="26"/>
      <c r="P235" s="13"/>
      <c r="U235" s="117"/>
      <c r="V235" s="123"/>
      <c r="W235" s="123"/>
      <c r="X235" s="123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25">
        <v>45273</v>
      </c>
      <c r="AN235" s="15" t="s">
        <v>162</v>
      </c>
      <c r="AQ235" s="114"/>
    </row>
    <row r="236" spans="6:43" ht="19.5" x14ac:dyDescent="0.4">
      <c r="F236" s="115"/>
      <c r="G236" s="115"/>
      <c r="H236" s="115"/>
      <c r="I236" s="115"/>
      <c r="J236" s="115"/>
      <c r="K236" s="115"/>
      <c r="L236" s="115"/>
      <c r="M236" s="115"/>
      <c r="N236" s="115"/>
      <c r="O236" s="26"/>
      <c r="P236" s="13"/>
      <c r="U236" s="117"/>
      <c r="V236" s="123"/>
      <c r="W236" s="123"/>
      <c r="X236" s="123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25"/>
      <c r="AN236" s="15"/>
      <c r="AQ236" s="114"/>
    </row>
    <row r="237" spans="6:43" ht="19.5" x14ac:dyDescent="0.4">
      <c r="F237" s="115"/>
      <c r="G237" s="115"/>
      <c r="H237" s="115"/>
      <c r="I237" s="115"/>
      <c r="J237" s="115"/>
      <c r="K237" s="115"/>
      <c r="L237" s="115"/>
      <c r="M237" s="115"/>
      <c r="N237" s="115"/>
      <c r="O237" s="26"/>
      <c r="P237" s="13"/>
      <c r="U237" s="117"/>
      <c r="V237" s="123"/>
      <c r="W237" s="123"/>
      <c r="X237" s="123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25"/>
      <c r="AN237" s="15"/>
      <c r="AQ237" s="114"/>
    </row>
    <row r="238" spans="6:43" ht="19.5" x14ac:dyDescent="0.4">
      <c r="O238" s="26"/>
      <c r="P238" s="13"/>
      <c r="U238" s="117"/>
      <c r="V238" s="123"/>
      <c r="W238" s="123"/>
      <c r="X238" s="123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25">
        <v>45273</v>
      </c>
      <c r="AN238" s="15" t="s">
        <v>162</v>
      </c>
      <c r="AQ238" s="114"/>
    </row>
    <row r="239" spans="6:43" ht="19.5" x14ac:dyDescent="0.4">
      <c r="O239" s="26"/>
      <c r="P239" s="13"/>
      <c r="U239" s="117"/>
      <c r="V239" s="123"/>
      <c r="W239" s="123"/>
      <c r="X239" s="123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15"/>
      <c r="AM239" s="25">
        <v>45273</v>
      </c>
      <c r="AN239" s="15" t="s">
        <v>162</v>
      </c>
      <c r="AQ239" s="114"/>
    </row>
    <row r="240" spans="6:43" ht="19.5" x14ac:dyDescent="0.4">
      <c r="O240" s="26"/>
      <c r="P240" s="13"/>
      <c r="U240" s="117"/>
      <c r="V240" s="123"/>
      <c r="W240" s="123"/>
      <c r="X240" s="123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25">
        <v>45273</v>
      </c>
      <c r="AN240" s="13" t="s">
        <v>163</v>
      </c>
      <c r="AQ240" s="114"/>
    </row>
    <row r="241" spans="6:43" ht="19.5" x14ac:dyDescent="0.4">
      <c r="O241" s="26"/>
      <c r="P241" s="13"/>
      <c r="U241" s="117"/>
      <c r="V241" s="123"/>
      <c r="W241" s="123"/>
      <c r="X241" s="123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25"/>
      <c r="AN241" s="13"/>
      <c r="AQ241" s="114"/>
    </row>
    <row r="242" spans="6:43" ht="19.5" x14ac:dyDescent="0.4">
      <c r="O242" s="26"/>
      <c r="P242" s="13"/>
      <c r="U242" s="117"/>
      <c r="V242" s="123"/>
      <c r="W242" s="123"/>
      <c r="X242" s="123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15" t="s">
        <v>152</v>
      </c>
      <c r="AM242" s="13">
        <f>SUBTOTAL(3,AM211:AM240)</f>
        <v>22</v>
      </c>
      <c r="AN242" s="13">
        <f>SUBTOTAL(3,AN211:AN240)</f>
        <v>22</v>
      </c>
      <c r="AQ242" s="114"/>
    </row>
    <row r="243" spans="6:43" ht="19.5" x14ac:dyDescent="0.4">
      <c r="O243" s="26"/>
      <c r="P243" s="13"/>
      <c r="U243" s="117"/>
      <c r="V243" s="123"/>
      <c r="W243" s="123"/>
      <c r="X243" s="123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25">
        <v>45274</v>
      </c>
      <c r="AN243" s="15" t="s">
        <v>162</v>
      </c>
      <c r="AQ243" s="114"/>
    </row>
    <row r="244" spans="6:43" ht="19.5" x14ac:dyDescent="0.4">
      <c r="H244" s="115"/>
      <c r="I244" s="115"/>
      <c r="J244" s="115"/>
      <c r="K244" s="115"/>
      <c r="L244" s="115"/>
      <c r="M244" s="115"/>
      <c r="N244" s="115"/>
      <c r="O244" s="26"/>
      <c r="P244" s="13"/>
      <c r="U244" s="117"/>
      <c r="V244" s="123"/>
      <c r="W244" s="123"/>
      <c r="X244" s="123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25"/>
      <c r="AN244" s="15"/>
      <c r="AQ244" s="114"/>
    </row>
    <row r="245" spans="6:43" ht="19.5" x14ac:dyDescent="0.4">
      <c r="H245" s="115"/>
      <c r="I245" s="115"/>
      <c r="J245" s="115"/>
      <c r="K245" s="115"/>
      <c r="L245" s="115"/>
      <c r="M245" s="115"/>
      <c r="N245" s="115"/>
      <c r="O245" s="26"/>
      <c r="P245" s="13"/>
      <c r="U245" s="117"/>
      <c r="V245" s="123"/>
      <c r="W245" s="123"/>
      <c r="X245" s="123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25"/>
      <c r="AN245" s="15"/>
      <c r="AQ245" s="114"/>
    </row>
    <row r="246" spans="6:43" ht="19.5" x14ac:dyDescent="0.4">
      <c r="O246" s="26"/>
      <c r="P246" s="13"/>
      <c r="U246" s="117"/>
      <c r="V246" s="123"/>
      <c r="W246" s="123"/>
      <c r="X246" s="123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25">
        <v>45274</v>
      </c>
      <c r="AN246" s="15" t="s">
        <v>162</v>
      </c>
      <c r="AQ246" s="114"/>
    </row>
    <row r="247" spans="6:43" ht="19.5" x14ac:dyDescent="0.4">
      <c r="I247" s="115"/>
      <c r="J247" s="115"/>
      <c r="K247" s="115"/>
      <c r="L247" s="115"/>
      <c r="M247" s="115"/>
      <c r="N247" s="115"/>
      <c r="O247" s="26"/>
      <c r="P247" s="13"/>
      <c r="U247" s="117"/>
      <c r="V247" s="123"/>
      <c r="W247" s="123"/>
      <c r="X247" s="123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25"/>
      <c r="AN247" s="15"/>
      <c r="AQ247" s="114"/>
    </row>
    <row r="248" spans="6:43" ht="19.5" x14ac:dyDescent="0.4">
      <c r="H248" s="115"/>
      <c r="I248" s="115"/>
      <c r="J248" s="115"/>
      <c r="K248" s="115"/>
      <c r="L248" s="115"/>
      <c r="M248" s="115"/>
      <c r="N248" s="115"/>
      <c r="O248" s="26"/>
      <c r="P248" s="13"/>
      <c r="U248" s="117"/>
      <c r="V248" s="123"/>
      <c r="W248" s="123"/>
      <c r="X248" s="123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25"/>
      <c r="AN248" s="15"/>
      <c r="AQ248" s="114"/>
    </row>
    <row r="249" spans="6:43" ht="19.5" x14ac:dyDescent="0.4">
      <c r="F249" s="115"/>
      <c r="G249" s="115"/>
      <c r="H249" s="115"/>
      <c r="I249" s="115"/>
      <c r="J249" s="115"/>
      <c r="K249" s="115"/>
      <c r="L249" s="115"/>
      <c r="M249" s="115"/>
      <c r="N249" s="115"/>
      <c r="O249" s="26"/>
      <c r="P249" s="13"/>
      <c r="U249" s="117"/>
      <c r="V249" s="123"/>
      <c r="W249" s="123"/>
      <c r="X249" s="123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25"/>
      <c r="AN249" s="15"/>
      <c r="AQ249" s="114"/>
    </row>
    <row r="250" spans="6:43" ht="19.5" x14ac:dyDescent="0.4">
      <c r="O250" s="26"/>
      <c r="P250" s="13"/>
      <c r="U250" s="117"/>
      <c r="V250" s="123"/>
      <c r="W250" s="123"/>
      <c r="X250" s="123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15"/>
      <c r="AM250" s="25">
        <v>45274</v>
      </c>
      <c r="AN250" s="15" t="s">
        <v>162</v>
      </c>
      <c r="AQ250" s="114"/>
    </row>
    <row r="251" spans="6:43" ht="19.5" x14ac:dyDescent="0.4">
      <c r="G251" s="115"/>
      <c r="H251" s="115"/>
      <c r="I251" s="115"/>
      <c r="J251" s="115"/>
      <c r="K251" s="115"/>
      <c r="L251" s="115"/>
      <c r="M251" s="115"/>
      <c r="N251" s="115"/>
      <c r="O251" s="26"/>
      <c r="P251" s="13"/>
      <c r="U251" s="117"/>
      <c r="V251" s="123"/>
      <c r="W251" s="123"/>
      <c r="X251" s="123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15"/>
      <c r="AM251" s="25"/>
      <c r="AN251" s="15"/>
      <c r="AQ251" s="114"/>
    </row>
    <row r="252" spans="6:43" ht="19.5" x14ac:dyDescent="0.4">
      <c r="O252" s="26"/>
      <c r="P252" s="13"/>
      <c r="U252" s="117"/>
      <c r="V252" s="123"/>
      <c r="W252" s="123"/>
      <c r="X252" s="123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25">
        <v>45274</v>
      </c>
      <c r="AN252" s="15" t="s">
        <v>162</v>
      </c>
      <c r="AQ252" s="114"/>
    </row>
    <row r="253" spans="6:43" ht="19.5" x14ac:dyDescent="0.4">
      <c r="O253" s="26"/>
      <c r="P253" s="13"/>
      <c r="U253" s="117"/>
      <c r="V253" s="123"/>
      <c r="W253" s="123"/>
      <c r="X253" s="123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115"/>
      <c r="AM253" s="25">
        <v>45274</v>
      </c>
      <c r="AN253" s="15" t="s">
        <v>163</v>
      </c>
      <c r="AQ253" s="114"/>
    </row>
    <row r="254" spans="6:43" ht="19.5" x14ac:dyDescent="0.4">
      <c r="J254" s="115"/>
      <c r="K254" s="115"/>
      <c r="L254" s="115"/>
      <c r="M254" s="115"/>
      <c r="N254" s="115"/>
      <c r="O254" s="17"/>
      <c r="P254" s="13"/>
      <c r="U254" s="117"/>
      <c r="V254" s="123"/>
      <c r="W254" s="123"/>
      <c r="X254" s="123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15"/>
      <c r="AM254" s="25"/>
      <c r="AN254" s="15"/>
      <c r="AQ254" s="114"/>
    </row>
    <row r="255" spans="6:43" ht="19.5" x14ac:dyDescent="0.4">
      <c r="H255" s="115"/>
      <c r="I255" s="115"/>
      <c r="J255" s="115"/>
      <c r="K255" s="115"/>
      <c r="L255" s="115"/>
      <c r="M255" s="115"/>
      <c r="N255" s="115"/>
      <c r="O255" s="26"/>
      <c r="P255" s="13"/>
      <c r="U255" s="117"/>
      <c r="V255" s="123"/>
      <c r="W255" s="123"/>
      <c r="X255" s="123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25"/>
      <c r="AN255" s="15"/>
      <c r="AQ255" s="114"/>
    </row>
    <row r="256" spans="6:43" ht="19.5" x14ac:dyDescent="0.4">
      <c r="O256" s="26"/>
      <c r="P256" s="25"/>
      <c r="U256" s="117"/>
      <c r="V256" s="123"/>
      <c r="W256" s="123"/>
      <c r="X256" s="123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115" t="s">
        <v>167</v>
      </c>
      <c r="AM256" s="13">
        <f>SUBTOTAL(3,AM243:AM253)</f>
        <v>5</v>
      </c>
      <c r="AN256" s="15">
        <f>SUBTOTAL(3,AN243:AN253)</f>
        <v>5</v>
      </c>
      <c r="AQ256" s="114"/>
    </row>
    <row r="257" spans="6:43" ht="19.5" x14ac:dyDescent="0.4">
      <c r="H257" s="115"/>
      <c r="I257" s="115"/>
      <c r="J257" s="115"/>
      <c r="K257" s="115"/>
      <c r="L257" s="115"/>
      <c r="M257" s="115"/>
      <c r="N257" s="115"/>
      <c r="O257" s="26"/>
      <c r="P257" s="105"/>
      <c r="U257" s="117"/>
      <c r="V257" s="123"/>
      <c r="W257" s="123"/>
      <c r="X257" s="123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3"/>
      <c r="AN257" s="15"/>
      <c r="AQ257" s="114"/>
    </row>
    <row r="258" spans="6:43" ht="19.5" x14ac:dyDescent="0.4">
      <c r="O258" s="26"/>
      <c r="P258" s="105"/>
      <c r="U258" s="117"/>
      <c r="V258" s="123"/>
      <c r="W258" s="123"/>
      <c r="X258" s="123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115"/>
      <c r="AM258" s="13"/>
      <c r="AN258" s="15"/>
      <c r="AQ258" s="114"/>
    </row>
    <row r="259" spans="6:43" ht="19.5" x14ac:dyDescent="0.4">
      <c r="J259" s="115"/>
      <c r="K259" s="115"/>
      <c r="L259" s="115"/>
      <c r="M259" s="115"/>
      <c r="N259" s="115"/>
      <c r="O259" s="17"/>
      <c r="P259" s="15"/>
      <c r="U259" s="117"/>
      <c r="V259" s="123"/>
      <c r="W259" s="123"/>
      <c r="X259" s="123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15"/>
      <c r="AL259" s="115"/>
      <c r="AM259" s="13"/>
      <c r="AN259" s="15"/>
      <c r="AQ259" s="114"/>
    </row>
    <row r="260" spans="6:43" ht="19.5" x14ac:dyDescent="0.4">
      <c r="H260" s="115"/>
      <c r="I260" s="115"/>
      <c r="J260" s="115"/>
      <c r="K260" s="115"/>
      <c r="L260" s="115"/>
      <c r="M260" s="115"/>
      <c r="N260" s="115"/>
      <c r="O260" s="26"/>
      <c r="P260" s="15"/>
      <c r="U260" s="117"/>
      <c r="V260" s="123"/>
      <c r="W260" s="123"/>
      <c r="X260" s="123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115"/>
      <c r="AM260" s="13"/>
      <c r="AN260" s="15"/>
      <c r="AQ260" s="114"/>
    </row>
    <row r="261" spans="6:43" ht="19.5" x14ac:dyDescent="0.4">
      <c r="H261" s="115"/>
      <c r="I261" s="115"/>
      <c r="J261" s="115"/>
      <c r="K261" s="115"/>
      <c r="L261" s="115"/>
      <c r="M261" s="115"/>
      <c r="N261" s="115"/>
      <c r="O261" s="26"/>
      <c r="P261" s="15"/>
      <c r="U261" s="117"/>
      <c r="V261" s="123"/>
      <c r="W261" s="123"/>
      <c r="X261" s="123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3"/>
      <c r="AN261" s="15"/>
      <c r="AQ261" s="114"/>
    </row>
    <row r="262" spans="6:43" ht="19.5" x14ac:dyDescent="0.4">
      <c r="H262" s="115"/>
      <c r="I262" s="115"/>
      <c r="J262" s="115"/>
      <c r="K262" s="115"/>
      <c r="L262" s="115"/>
      <c r="M262" s="115"/>
      <c r="N262" s="115"/>
      <c r="O262" s="26"/>
      <c r="P262" s="15"/>
      <c r="U262" s="117"/>
      <c r="V262" s="123"/>
      <c r="W262" s="123"/>
      <c r="X262" s="123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3"/>
      <c r="AN262" s="15"/>
      <c r="AQ262" s="114"/>
    </row>
    <row r="263" spans="6:43" ht="19.5" x14ac:dyDescent="0.4">
      <c r="G263" s="115"/>
      <c r="H263" s="115"/>
      <c r="I263" s="115"/>
      <c r="J263" s="115"/>
      <c r="K263" s="115"/>
      <c r="L263" s="115"/>
      <c r="M263" s="115"/>
      <c r="N263" s="115"/>
      <c r="O263" s="26"/>
      <c r="P263" s="15"/>
      <c r="U263" s="117"/>
      <c r="V263" s="123"/>
      <c r="W263" s="123"/>
      <c r="X263" s="123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115"/>
      <c r="AL263" s="115"/>
      <c r="AM263" s="13"/>
      <c r="AN263" s="15"/>
      <c r="AQ263" s="114"/>
    </row>
    <row r="264" spans="6:43" ht="19.5" x14ac:dyDescent="0.4">
      <c r="O264" s="26"/>
      <c r="P264" s="15"/>
      <c r="U264" s="117"/>
      <c r="V264" s="123"/>
      <c r="W264" s="123"/>
      <c r="X264" s="123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15"/>
      <c r="AL264" s="115"/>
      <c r="AM264" s="25">
        <v>45275</v>
      </c>
      <c r="AN264" s="15" t="s">
        <v>163</v>
      </c>
      <c r="AQ264" s="114"/>
    </row>
    <row r="265" spans="6:43" ht="19.5" x14ac:dyDescent="0.4">
      <c r="O265" s="26"/>
      <c r="P265" s="15"/>
      <c r="U265" s="117"/>
      <c r="V265" s="123"/>
      <c r="W265" s="123"/>
      <c r="X265" s="123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15"/>
      <c r="AL265" s="115" t="s">
        <v>168</v>
      </c>
      <c r="AM265" s="13">
        <f>SUBTOTAL(3,AM264:AM264)</f>
        <v>1</v>
      </c>
      <c r="AN265" s="15">
        <f>SUBTOTAL(3,AN264:AN264)</f>
        <v>1</v>
      </c>
      <c r="AQ265" s="114"/>
    </row>
    <row r="266" spans="6:43" ht="19.5" x14ac:dyDescent="0.4">
      <c r="O266" s="26"/>
      <c r="P266" s="15"/>
      <c r="U266" s="117"/>
      <c r="V266" s="123"/>
      <c r="W266" s="123"/>
      <c r="X266" s="123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25">
        <v>45276</v>
      </c>
      <c r="AN266" s="15" t="s">
        <v>164</v>
      </c>
      <c r="AQ266" s="114"/>
    </row>
    <row r="267" spans="6:43" ht="19.5" x14ac:dyDescent="0.4">
      <c r="O267" s="26"/>
      <c r="P267" s="15"/>
      <c r="U267" s="117"/>
      <c r="V267" s="123"/>
      <c r="W267" s="123"/>
      <c r="X267" s="123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15"/>
      <c r="AL267" s="115"/>
      <c r="AM267" s="25">
        <v>45276</v>
      </c>
      <c r="AN267" s="15" t="s">
        <v>162</v>
      </c>
      <c r="AQ267" s="114"/>
    </row>
    <row r="268" spans="6:43" ht="19.5" x14ac:dyDescent="0.4">
      <c r="O268" s="26"/>
      <c r="P268" s="15"/>
      <c r="U268" s="117"/>
      <c r="V268" s="123"/>
      <c r="W268" s="123"/>
      <c r="X268" s="123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25">
        <v>45276</v>
      </c>
      <c r="AN268" s="15" t="s">
        <v>162</v>
      </c>
      <c r="AQ268" s="114"/>
    </row>
    <row r="269" spans="6:43" ht="19.5" x14ac:dyDescent="0.4">
      <c r="O269" s="26"/>
      <c r="P269" s="15"/>
      <c r="U269" s="117"/>
      <c r="V269" s="123"/>
      <c r="W269" s="123"/>
      <c r="X269" s="123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25">
        <v>45276</v>
      </c>
      <c r="AN269" s="15" t="s">
        <v>162</v>
      </c>
      <c r="AQ269" s="114"/>
    </row>
    <row r="270" spans="6:43" ht="19.5" x14ac:dyDescent="0.4">
      <c r="O270" s="26"/>
      <c r="P270" s="15"/>
      <c r="U270" s="117"/>
      <c r="V270" s="123"/>
      <c r="W270" s="123"/>
      <c r="X270" s="123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25">
        <v>45276</v>
      </c>
      <c r="AN270" s="15" t="s">
        <v>162</v>
      </c>
      <c r="AQ270" s="114"/>
    </row>
    <row r="271" spans="6:43" ht="19.5" x14ac:dyDescent="0.4">
      <c r="F271" s="115"/>
      <c r="G271" s="115"/>
      <c r="H271" s="115"/>
      <c r="I271" s="115"/>
      <c r="J271" s="115"/>
      <c r="K271" s="115"/>
      <c r="L271" s="115"/>
      <c r="M271" s="115"/>
      <c r="N271" s="115"/>
      <c r="O271" s="26"/>
      <c r="P271" s="15"/>
      <c r="U271" s="117"/>
      <c r="V271" s="123"/>
      <c r="W271" s="123"/>
      <c r="X271" s="123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15"/>
      <c r="AL271" s="115"/>
      <c r="AM271" s="25"/>
      <c r="AN271" s="15"/>
      <c r="AQ271" s="114"/>
    </row>
    <row r="272" spans="6:43" ht="19.5" x14ac:dyDescent="0.4">
      <c r="O272" s="26"/>
      <c r="P272" s="15"/>
      <c r="U272" s="117"/>
      <c r="V272" s="123"/>
      <c r="W272" s="123"/>
      <c r="X272" s="123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  <c r="AL272" s="115"/>
      <c r="AM272" s="25">
        <v>45276</v>
      </c>
      <c r="AN272" s="15" t="s">
        <v>162</v>
      </c>
      <c r="AQ272" s="114"/>
    </row>
    <row r="273" spans="6:43" ht="19.5" x14ac:dyDescent="0.4">
      <c r="O273" s="26"/>
      <c r="P273" s="15"/>
      <c r="U273" s="117"/>
      <c r="V273" s="123"/>
      <c r="W273" s="123"/>
      <c r="X273" s="123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15"/>
      <c r="AL273" s="115"/>
      <c r="AM273" s="25">
        <v>45276</v>
      </c>
      <c r="AN273" s="15" t="s">
        <v>162</v>
      </c>
      <c r="AQ273" s="114"/>
    </row>
    <row r="274" spans="6:43" ht="19.5" x14ac:dyDescent="0.4">
      <c r="J274" s="115"/>
      <c r="K274" s="115"/>
      <c r="L274" s="115"/>
      <c r="M274" s="115"/>
      <c r="N274" s="115"/>
      <c r="O274" s="17"/>
      <c r="P274" s="15"/>
      <c r="U274" s="117"/>
      <c r="V274" s="123"/>
      <c r="W274" s="123"/>
      <c r="X274" s="123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115"/>
      <c r="AM274" s="25"/>
      <c r="AN274" s="15"/>
      <c r="AQ274" s="114"/>
    </row>
    <row r="275" spans="6:43" ht="19.5" x14ac:dyDescent="0.4">
      <c r="F275" s="115"/>
      <c r="G275" s="115"/>
      <c r="H275" s="115"/>
      <c r="I275" s="115"/>
      <c r="J275" s="115"/>
      <c r="K275" s="115"/>
      <c r="L275" s="115"/>
      <c r="M275" s="115"/>
      <c r="N275" s="115"/>
      <c r="O275" s="26"/>
      <c r="P275" s="15"/>
      <c r="U275" s="117"/>
      <c r="V275" s="123"/>
      <c r="W275" s="123"/>
      <c r="X275" s="123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25"/>
      <c r="AN275" s="15"/>
      <c r="AQ275" s="114"/>
    </row>
    <row r="276" spans="6:43" ht="19.5" x14ac:dyDescent="0.4">
      <c r="F276" s="115"/>
      <c r="G276" s="115"/>
      <c r="H276" s="115"/>
      <c r="I276" s="115"/>
      <c r="J276" s="115"/>
      <c r="K276" s="115"/>
      <c r="L276" s="115"/>
      <c r="M276" s="115"/>
      <c r="N276" s="115"/>
      <c r="O276" s="26"/>
      <c r="P276" s="15"/>
      <c r="U276" s="117"/>
      <c r="V276" s="123"/>
      <c r="W276" s="123"/>
      <c r="X276" s="123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15"/>
      <c r="AL276" s="115"/>
      <c r="AM276" s="25"/>
      <c r="AN276" s="15"/>
      <c r="AQ276" s="114"/>
    </row>
    <row r="277" spans="6:43" ht="19.5" x14ac:dyDescent="0.4">
      <c r="F277" s="115"/>
      <c r="G277" s="115"/>
      <c r="H277" s="115"/>
      <c r="I277" s="115"/>
      <c r="J277" s="115"/>
      <c r="K277" s="115"/>
      <c r="L277" s="115"/>
      <c r="M277" s="115"/>
      <c r="N277" s="115"/>
      <c r="O277" s="26"/>
      <c r="P277" s="15"/>
      <c r="U277" s="117"/>
      <c r="V277" s="123"/>
      <c r="W277" s="123"/>
      <c r="X277" s="123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25"/>
      <c r="AN277" s="15"/>
      <c r="AQ277" s="114"/>
    </row>
    <row r="278" spans="6:43" ht="19.5" x14ac:dyDescent="0.4">
      <c r="O278" s="26"/>
      <c r="P278" s="15"/>
      <c r="T278" s="115"/>
      <c r="U278" s="117"/>
      <c r="V278" s="123"/>
      <c r="W278" s="123"/>
      <c r="X278" s="123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25">
        <v>45276</v>
      </c>
      <c r="AN278" s="15" t="s">
        <v>162</v>
      </c>
      <c r="AQ278" s="114"/>
    </row>
    <row r="279" spans="6:43" ht="19.5" x14ac:dyDescent="0.4">
      <c r="O279" s="26"/>
      <c r="P279" s="15"/>
      <c r="T279" s="115"/>
      <c r="U279" s="117"/>
      <c r="V279" s="123"/>
      <c r="W279" s="123"/>
      <c r="X279" s="123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25">
        <v>45276</v>
      </c>
      <c r="AN279" s="15" t="s">
        <v>162</v>
      </c>
      <c r="AQ279" s="114"/>
    </row>
    <row r="280" spans="6:43" ht="19.5" x14ac:dyDescent="0.4">
      <c r="O280" s="26"/>
      <c r="P280" s="15"/>
      <c r="T280" s="115"/>
      <c r="U280" s="117"/>
      <c r="V280" s="123"/>
      <c r="W280" s="123"/>
      <c r="X280" s="123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15"/>
      <c r="AL280" s="115"/>
      <c r="AM280" s="25">
        <v>45276</v>
      </c>
      <c r="AN280" s="15" t="s">
        <v>162</v>
      </c>
      <c r="AQ280" s="114"/>
    </row>
    <row r="281" spans="6:43" ht="19.5" x14ac:dyDescent="0.4">
      <c r="J281" s="115"/>
      <c r="K281" s="115"/>
      <c r="L281" s="115"/>
      <c r="M281" s="115"/>
      <c r="N281" s="115"/>
      <c r="O281" s="17"/>
      <c r="P281" s="15"/>
      <c r="T281" s="115"/>
      <c r="U281" s="117"/>
      <c r="V281" s="123"/>
      <c r="W281" s="123"/>
      <c r="X281" s="123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115"/>
      <c r="AM281" s="25"/>
      <c r="AN281" s="15"/>
      <c r="AQ281" s="114"/>
    </row>
    <row r="282" spans="6:43" ht="19.5" x14ac:dyDescent="0.4">
      <c r="G282" s="115"/>
      <c r="H282" s="115"/>
      <c r="I282" s="115"/>
      <c r="J282" s="115"/>
      <c r="K282" s="115"/>
      <c r="L282" s="115"/>
      <c r="M282" s="115"/>
      <c r="N282" s="115"/>
      <c r="O282" s="26"/>
      <c r="P282" s="15"/>
      <c r="T282" s="115"/>
      <c r="U282" s="117"/>
      <c r="V282" s="123"/>
      <c r="W282" s="123"/>
      <c r="X282" s="123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  <c r="AL282" s="115"/>
      <c r="AM282" s="25"/>
      <c r="AN282" s="15"/>
      <c r="AQ282" s="114"/>
    </row>
    <row r="283" spans="6:43" ht="19.5" x14ac:dyDescent="0.4">
      <c r="G283" s="115"/>
      <c r="H283" s="115"/>
      <c r="I283" s="115"/>
      <c r="J283" s="115"/>
      <c r="K283" s="115"/>
      <c r="L283" s="115"/>
      <c r="M283" s="115"/>
      <c r="N283" s="115"/>
      <c r="O283" s="17"/>
      <c r="P283" s="15"/>
      <c r="T283" s="115"/>
      <c r="U283" s="117"/>
      <c r="V283" s="123"/>
      <c r="W283" s="123"/>
      <c r="X283" s="123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115"/>
      <c r="AM283" s="25"/>
      <c r="AN283" s="15"/>
      <c r="AQ283" s="114"/>
    </row>
    <row r="284" spans="6:43" ht="19.5" x14ac:dyDescent="0.4">
      <c r="O284" s="26"/>
      <c r="P284" s="15"/>
      <c r="T284" s="115"/>
      <c r="U284" s="117"/>
      <c r="V284" s="123"/>
      <c r="W284" s="123"/>
      <c r="X284" s="123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25"/>
      <c r="AN284" s="15"/>
      <c r="AQ284" s="114"/>
    </row>
    <row r="285" spans="6:43" ht="19.5" x14ac:dyDescent="0.4">
      <c r="F285" s="115"/>
      <c r="G285" s="115"/>
      <c r="H285" s="115"/>
      <c r="I285" s="115"/>
      <c r="J285" s="115"/>
      <c r="K285" s="115"/>
      <c r="L285" s="115"/>
      <c r="M285" s="115"/>
      <c r="N285" s="115"/>
      <c r="O285" s="26"/>
      <c r="P285" s="15"/>
      <c r="T285" s="115"/>
      <c r="U285" s="117"/>
      <c r="V285" s="123"/>
      <c r="W285" s="123"/>
      <c r="X285" s="123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25"/>
      <c r="AN285" s="15"/>
      <c r="AQ285" s="114"/>
    </row>
    <row r="286" spans="6:43" ht="19.5" x14ac:dyDescent="0.4">
      <c r="O286" s="26"/>
      <c r="P286" s="15"/>
      <c r="T286" s="115"/>
      <c r="U286" s="117"/>
      <c r="V286" s="123"/>
      <c r="W286" s="123"/>
      <c r="X286" s="123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25">
        <v>45276</v>
      </c>
      <c r="AN286" s="15" t="s">
        <v>162</v>
      </c>
      <c r="AQ286" s="114"/>
    </row>
    <row r="287" spans="6:43" ht="19.5" x14ac:dyDescent="0.4">
      <c r="J287" s="115"/>
      <c r="K287" s="115"/>
      <c r="L287" s="115"/>
      <c r="M287" s="115"/>
      <c r="N287" s="115"/>
      <c r="O287" s="17"/>
      <c r="P287" s="15"/>
      <c r="T287" s="115"/>
      <c r="U287" s="117"/>
      <c r="V287" s="123"/>
      <c r="W287" s="123"/>
      <c r="X287" s="123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25"/>
      <c r="AN287" s="15"/>
      <c r="AQ287" s="114"/>
    </row>
    <row r="288" spans="6:43" ht="19.5" x14ac:dyDescent="0.4">
      <c r="O288" s="26"/>
      <c r="P288" s="15"/>
      <c r="T288" s="115"/>
      <c r="U288" s="117"/>
      <c r="V288" s="123"/>
      <c r="W288" s="123"/>
      <c r="X288" s="123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25">
        <v>45276</v>
      </c>
      <c r="AN288" s="15" t="s">
        <v>162</v>
      </c>
      <c r="AQ288" s="114"/>
    </row>
    <row r="289" spans="7:43" ht="19.5" x14ac:dyDescent="0.4">
      <c r="J289" s="115"/>
      <c r="K289" s="115"/>
      <c r="L289" s="115"/>
      <c r="M289" s="115"/>
      <c r="N289" s="115"/>
      <c r="O289" s="17"/>
      <c r="P289" s="15"/>
      <c r="T289" s="115"/>
      <c r="U289" s="117"/>
      <c r="V289" s="123"/>
      <c r="W289" s="123"/>
      <c r="X289" s="123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25"/>
      <c r="AN289" s="15"/>
      <c r="AQ289" s="114"/>
    </row>
    <row r="290" spans="7:43" ht="19.5" x14ac:dyDescent="0.4">
      <c r="I290" s="115"/>
      <c r="J290" s="115"/>
      <c r="K290" s="115"/>
      <c r="L290" s="115"/>
      <c r="M290" s="115"/>
      <c r="N290" s="115"/>
      <c r="O290" s="26"/>
      <c r="P290" s="15"/>
      <c r="T290" s="115"/>
      <c r="U290" s="117"/>
      <c r="V290" s="123"/>
      <c r="W290" s="123"/>
      <c r="X290" s="123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25"/>
      <c r="AN290" s="15"/>
      <c r="AQ290" s="114"/>
    </row>
    <row r="291" spans="7:43" ht="19.5" x14ac:dyDescent="0.4">
      <c r="I291" s="115"/>
      <c r="J291" s="115"/>
      <c r="K291" s="115"/>
      <c r="L291" s="115"/>
      <c r="M291" s="115"/>
      <c r="N291" s="115"/>
      <c r="O291" s="17"/>
      <c r="P291" s="15"/>
      <c r="T291" s="115"/>
      <c r="U291" s="117"/>
      <c r="V291" s="123"/>
      <c r="W291" s="123"/>
      <c r="X291" s="123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25"/>
      <c r="AN291" s="15"/>
      <c r="AQ291" s="114"/>
    </row>
    <row r="292" spans="7:43" ht="19.5" x14ac:dyDescent="0.4">
      <c r="O292" s="26"/>
      <c r="P292" s="15"/>
      <c r="T292" s="115"/>
      <c r="U292" s="117"/>
      <c r="V292" s="123"/>
      <c r="W292" s="123"/>
      <c r="X292" s="123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25">
        <v>45276</v>
      </c>
      <c r="AN292" s="15" t="s">
        <v>162</v>
      </c>
      <c r="AQ292" s="114"/>
    </row>
    <row r="293" spans="7:43" ht="19.5" x14ac:dyDescent="0.4">
      <c r="O293" s="26"/>
      <c r="P293" s="15"/>
      <c r="T293" s="115"/>
      <c r="U293" s="117"/>
      <c r="V293" s="123"/>
      <c r="W293" s="123"/>
      <c r="X293" s="123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25">
        <v>45276</v>
      </c>
      <c r="AN293" s="15" t="s">
        <v>162</v>
      </c>
      <c r="AQ293" s="114"/>
    </row>
    <row r="294" spans="7:43" ht="19.5" x14ac:dyDescent="0.4">
      <c r="O294" s="26"/>
      <c r="P294" s="15"/>
      <c r="T294" s="115"/>
      <c r="U294" s="117"/>
      <c r="V294" s="123"/>
      <c r="W294" s="123"/>
      <c r="X294" s="123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25">
        <v>45276</v>
      </c>
      <c r="AN294" s="15" t="s">
        <v>162</v>
      </c>
      <c r="AQ294" s="114"/>
    </row>
    <row r="295" spans="7:43" ht="19.5" x14ac:dyDescent="0.4">
      <c r="O295" s="26"/>
      <c r="P295" s="15"/>
      <c r="T295" s="115"/>
      <c r="U295" s="117"/>
      <c r="V295" s="123"/>
      <c r="W295" s="123"/>
      <c r="X295" s="123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25"/>
      <c r="AN295" s="15"/>
      <c r="AQ295" s="114"/>
    </row>
    <row r="296" spans="7:43" ht="19.5" x14ac:dyDescent="0.4">
      <c r="J296" s="115"/>
      <c r="K296" s="115"/>
      <c r="L296" s="115"/>
      <c r="M296" s="115"/>
      <c r="N296" s="115"/>
      <c r="O296" s="17"/>
      <c r="P296" s="15"/>
      <c r="T296" s="115"/>
      <c r="U296" s="117"/>
      <c r="V296" s="123"/>
      <c r="W296" s="123"/>
      <c r="X296" s="123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25"/>
      <c r="AN296" s="15"/>
      <c r="AQ296" s="114"/>
    </row>
    <row r="297" spans="7:43" ht="19.5" x14ac:dyDescent="0.4">
      <c r="O297" s="26"/>
      <c r="P297" s="15"/>
      <c r="T297" s="115"/>
      <c r="U297" s="117"/>
      <c r="V297" s="123"/>
      <c r="W297" s="123"/>
      <c r="X297" s="123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25">
        <v>45276</v>
      </c>
      <c r="AN297" s="15" t="s">
        <v>162</v>
      </c>
      <c r="AQ297" s="114"/>
    </row>
    <row r="298" spans="7:43" ht="19.5" x14ac:dyDescent="0.4">
      <c r="O298" s="26"/>
      <c r="P298" s="15"/>
      <c r="T298" s="115"/>
      <c r="U298" s="117"/>
      <c r="V298" s="123"/>
      <c r="W298" s="123"/>
      <c r="X298" s="123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25">
        <v>45276</v>
      </c>
      <c r="AN298" s="15" t="s">
        <v>162</v>
      </c>
      <c r="AQ298" s="114"/>
    </row>
    <row r="299" spans="7:43" ht="19.5" x14ac:dyDescent="0.4">
      <c r="J299" s="115"/>
      <c r="K299" s="115"/>
      <c r="L299" s="115"/>
      <c r="M299" s="115"/>
      <c r="N299" s="115"/>
      <c r="O299" s="17"/>
      <c r="P299" s="15"/>
      <c r="T299" s="115"/>
      <c r="U299" s="117"/>
      <c r="V299" s="123"/>
      <c r="W299" s="123"/>
      <c r="X299" s="123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25"/>
      <c r="AN299" s="15"/>
      <c r="AQ299" s="114"/>
    </row>
    <row r="300" spans="7:43" ht="19.5" x14ac:dyDescent="0.4">
      <c r="G300" s="115"/>
      <c r="H300" s="115"/>
      <c r="I300" s="115"/>
      <c r="J300" s="115"/>
      <c r="K300" s="115"/>
      <c r="L300" s="115"/>
      <c r="M300" s="115"/>
      <c r="N300" s="115"/>
      <c r="O300" s="26"/>
      <c r="P300" s="15"/>
      <c r="T300" s="115"/>
      <c r="U300" s="117"/>
      <c r="V300" s="123"/>
      <c r="W300" s="123"/>
      <c r="X300" s="123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25"/>
      <c r="AN300" s="15"/>
      <c r="AQ300" s="114"/>
    </row>
    <row r="301" spans="7:43" ht="19.5" x14ac:dyDescent="0.4">
      <c r="G301" s="115"/>
      <c r="H301" s="115"/>
      <c r="I301" s="115"/>
      <c r="J301" s="115"/>
      <c r="K301" s="115"/>
      <c r="L301" s="115"/>
      <c r="M301" s="115"/>
      <c r="N301" s="115"/>
      <c r="O301" s="17"/>
      <c r="P301" s="15"/>
      <c r="T301" s="115"/>
      <c r="U301" s="117"/>
      <c r="V301" s="123"/>
      <c r="W301" s="123"/>
      <c r="X301" s="123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25"/>
      <c r="AN301" s="15"/>
      <c r="AQ301" s="114"/>
    </row>
    <row r="302" spans="7:43" ht="19.5" x14ac:dyDescent="0.4">
      <c r="G302" s="115"/>
      <c r="H302" s="115"/>
      <c r="I302" s="115"/>
      <c r="J302" s="115"/>
      <c r="K302" s="115"/>
      <c r="L302" s="115"/>
      <c r="M302" s="115"/>
      <c r="N302" s="115"/>
      <c r="O302" s="26"/>
      <c r="P302" s="15"/>
      <c r="T302" s="115"/>
      <c r="U302" s="117"/>
      <c r="V302" s="123"/>
      <c r="W302" s="123"/>
      <c r="X302" s="123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25"/>
      <c r="AN302" s="15"/>
      <c r="AQ302" s="114"/>
    </row>
    <row r="303" spans="7:43" ht="19.5" x14ac:dyDescent="0.4">
      <c r="O303" s="26"/>
      <c r="P303" s="15"/>
      <c r="T303" s="115"/>
      <c r="U303" s="117"/>
      <c r="V303" s="123"/>
      <c r="W303" s="123"/>
      <c r="X303" s="123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 t="s">
        <v>169</v>
      </c>
      <c r="AM303" s="13">
        <f>SUBTOTAL(3,AM266:AM298)</f>
        <v>17</v>
      </c>
      <c r="AN303" s="15">
        <f>SUBTOTAL(3,AN266:AN298)</f>
        <v>17</v>
      </c>
      <c r="AQ303" s="114"/>
    </row>
    <row r="304" spans="7:43" ht="19.5" x14ac:dyDescent="0.4">
      <c r="G304" s="115"/>
      <c r="H304" s="115"/>
      <c r="I304" s="115"/>
      <c r="J304" s="115"/>
      <c r="K304" s="115"/>
      <c r="L304" s="115"/>
      <c r="M304" s="115"/>
      <c r="N304" s="115"/>
      <c r="O304" s="26"/>
      <c r="P304" s="15"/>
      <c r="T304" s="115"/>
      <c r="U304" s="117"/>
      <c r="V304" s="123"/>
      <c r="W304" s="123"/>
      <c r="X304" s="123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13"/>
      <c r="AN304" s="15"/>
      <c r="AQ304" s="114"/>
    </row>
    <row r="305" spans="6:43" ht="19.5" x14ac:dyDescent="0.4">
      <c r="O305" s="26"/>
      <c r="P305" s="15"/>
      <c r="T305" s="115"/>
      <c r="U305" s="117"/>
      <c r="V305" s="123"/>
      <c r="W305" s="123"/>
      <c r="X305" s="123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25">
        <v>45277</v>
      </c>
      <c r="AN305" s="15" t="s">
        <v>162</v>
      </c>
      <c r="AQ305" s="114"/>
    </row>
    <row r="306" spans="6:43" ht="19.5" x14ac:dyDescent="0.4">
      <c r="J306" s="115"/>
      <c r="K306" s="115"/>
      <c r="L306" s="115"/>
      <c r="M306" s="115"/>
      <c r="N306" s="115"/>
      <c r="O306" s="17"/>
      <c r="P306" s="15"/>
      <c r="T306" s="115"/>
      <c r="U306" s="117"/>
      <c r="V306" s="123"/>
      <c r="W306" s="123"/>
      <c r="X306" s="123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25"/>
      <c r="AN306" s="15"/>
      <c r="AQ306" s="114"/>
    </row>
    <row r="307" spans="6:43" ht="19.5" x14ac:dyDescent="0.4">
      <c r="G307" s="115"/>
      <c r="H307" s="115"/>
      <c r="I307" s="115"/>
      <c r="J307" s="115"/>
      <c r="K307" s="115"/>
      <c r="L307" s="115"/>
      <c r="M307" s="115"/>
      <c r="N307" s="115"/>
      <c r="O307" s="26"/>
      <c r="P307" s="15"/>
      <c r="T307" s="115"/>
      <c r="U307" s="117"/>
      <c r="V307" s="123"/>
      <c r="W307" s="123"/>
      <c r="X307" s="123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25"/>
      <c r="AN307" s="15"/>
      <c r="AQ307" s="114"/>
    </row>
    <row r="308" spans="6:43" ht="19.5" x14ac:dyDescent="0.4">
      <c r="G308" s="115"/>
      <c r="H308" s="115"/>
      <c r="I308" s="115"/>
      <c r="J308" s="115"/>
      <c r="K308" s="115"/>
      <c r="L308" s="115"/>
      <c r="M308" s="115"/>
      <c r="N308" s="115"/>
      <c r="O308" s="17"/>
      <c r="P308" s="15"/>
      <c r="T308" s="115"/>
      <c r="U308" s="117"/>
      <c r="V308" s="123"/>
      <c r="W308" s="123"/>
      <c r="X308" s="123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25"/>
      <c r="AN308" s="15"/>
      <c r="AQ308" s="114"/>
    </row>
    <row r="309" spans="6:43" ht="19.5" x14ac:dyDescent="0.4">
      <c r="G309" s="115"/>
      <c r="H309" s="115"/>
      <c r="I309" s="115"/>
      <c r="J309" s="115"/>
      <c r="K309" s="115"/>
      <c r="L309" s="115"/>
      <c r="M309" s="115"/>
      <c r="N309" s="115"/>
      <c r="O309" s="17"/>
      <c r="P309" s="15"/>
      <c r="T309" s="115"/>
      <c r="U309" s="117"/>
      <c r="V309" s="123"/>
      <c r="W309" s="123"/>
      <c r="X309" s="123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25"/>
      <c r="AN309" s="15"/>
      <c r="AQ309" s="114"/>
    </row>
    <row r="310" spans="6:43" ht="19.5" x14ac:dyDescent="0.4">
      <c r="O310" s="26"/>
      <c r="P310" s="15"/>
      <c r="T310" s="115"/>
      <c r="U310" s="117"/>
      <c r="V310" s="123"/>
      <c r="W310" s="123"/>
      <c r="X310" s="123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25">
        <v>45277</v>
      </c>
      <c r="AN310" s="15" t="s">
        <v>162</v>
      </c>
      <c r="AQ310" s="114"/>
    </row>
    <row r="311" spans="6:43" ht="19.5" x14ac:dyDescent="0.4">
      <c r="I311" s="115"/>
      <c r="J311" s="115"/>
      <c r="K311" s="115"/>
      <c r="L311" s="115"/>
      <c r="M311" s="115"/>
      <c r="N311" s="115"/>
      <c r="O311" s="17"/>
      <c r="P311" s="15"/>
      <c r="T311" s="115"/>
      <c r="U311" s="117"/>
      <c r="V311" s="123"/>
      <c r="W311" s="123"/>
      <c r="X311" s="123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31"/>
      <c r="AN311" s="13"/>
      <c r="AQ311" s="114"/>
    </row>
    <row r="312" spans="6:43" ht="19.5" x14ac:dyDescent="0.4">
      <c r="O312" s="26"/>
      <c r="P312" s="15"/>
      <c r="T312" s="115"/>
      <c r="U312" s="117"/>
      <c r="V312" s="123"/>
      <c r="W312" s="123"/>
      <c r="X312" s="123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26">
        <v>45277</v>
      </c>
      <c r="AN312" s="13" t="s">
        <v>162</v>
      </c>
      <c r="AQ312" s="114"/>
    </row>
    <row r="313" spans="6:43" ht="19.5" x14ac:dyDescent="0.4">
      <c r="O313" s="26"/>
      <c r="P313" s="15"/>
      <c r="T313" s="115"/>
      <c r="U313" s="117"/>
      <c r="V313" s="123"/>
      <c r="W313" s="123"/>
      <c r="X313" s="123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26">
        <v>45277</v>
      </c>
      <c r="AN313" s="15" t="s">
        <v>162</v>
      </c>
      <c r="AQ313" s="114"/>
    </row>
    <row r="314" spans="6:43" ht="19.5" x14ac:dyDescent="0.4">
      <c r="F314" s="115"/>
      <c r="G314" s="115"/>
      <c r="H314" s="115"/>
      <c r="I314" s="115"/>
      <c r="J314" s="115"/>
      <c r="K314" s="115"/>
      <c r="L314" s="115"/>
      <c r="M314" s="115"/>
      <c r="N314" s="115"/>
      <c r="O314" s="26"/>
      <c r="P314" s="15"/>
      <c r="T314" s="115"/>
      <c r="U314" s="117"/>
      <c r="V314" s="123"/>
      <c r="W314" s="123"/>
      <c r="X314" s="123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26"/>
      <c r="AN314" s="15"/>
      <c r="AQ314" s="114"/>
    </row>
    <row r="315" spans="6:43" ht="19.5" x14ac:dyDescent="0.4">
      <c r="O315" s="26"/>
      <c r="P315" s="15"/>
      <c r="T315" s="115"/>
      <c r="U315" s="117"/>
      <c r="V315" s="123"/>
      <c r="W315" s="123"/>
      <c r="X315" s="123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26">
        <v>45277</v>
      </c>
      <c r="AN315" s="15" t="s">
        <v>162</v>
      </c>
      <c r="AQ315" s="114"/>
    </row>
    <row r="316" spans="6:43" ht="19.5" x14ac:dyDescent="0.4">
      <c r="O316" s="26"/>
      <c r="P316" s="15"/>
      <c r="T316" s="115"/>
      <c r="U316" s="117"/>
      <c r="V316" s="123"/>
      <c r="W316" s="123"/>
      <c r="X316" s="123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 t="s">
        <v>160</v>
      </c>
      <c r="AM316" s="17">
        <f>SUBTOTAL(3,AM305:AM315)</f>
        <v>5</v>
      </c>
      <c r="AN316" s="15">
        <f>SUBTOTAL(3,AN305:AN315)</f>
        <v>5</v>
      </c>
      <c r="AQ316" s="114"/>
    </row>
    <row r="317" spans="6:43" ht="19.5" x14ac:dyDescent="0.4">
      <c r="F317" s="115"/>
      <c r="G317" s="115"/>
      <c r="H317" s="115"/>
      <c r="I317" s="115"/>
      <c r="J317" s="115"/>
      <c r="K317" s="115"/>
      <c r="L317" s="115"/>
      <c r="M317" s="115"/>
      <c r="N317" s="115"/>
      <c r="O317" s="26"/>
      <c r="P317" s="15"/>
      <c r="T317" s="115"/>
      <c r="U317" s="117"/>
      <c r="V317" s="123"/>
      <c r="W317" s="123"/>
      <c r="X317" s="123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7"/>
      <c r="AN317" s="15"/>
      <c r="AQ317" s="114"/>
    </row>
    <row r="318" spans="6:43" ht="19.5" x14ac:dyDescent="0.4">
      <c r="F318" s="115"/>
      <c r="G318" s="115"/>
      <c r="H318" s="115"/>
      <c r="I318" s="115"/>
      <c r="J318" s="115"/>
      <c r="K318" s="115"/>
      <c r="L318" s="115"/>
      <c r="M318" s="115"/>
      <c r="N318" s="115"/>
      <c r="O318" s="26"/>
      <c r="P318" s="15"/>
      <c r="T318" s="115"/>
      <c r="U318" s="117"/>
      <c r="V318" s="123"/>
      <c r="W318" s="123"/>
      <c r="X318" s="123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7"/>
      <c r="AN318" s="15"/>
      <c r="AQ318" s="114"/>
    </row>
    <row r="319" spans="6:43" ht="19.5" x14ac:dyDescent="0.4">
      <c r="O319" s="26"/>
      <c r="P319" s="15"/>
      <c r="T319" s="115"/>
      <c r="U319" s="117"/>
      <c r="V319" s="123"/>
      <c r="W319" s="123"/>
      <c r="X319" s="123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26">
        <v>45278</v>
      </c>
      <c r="AN319" s="15" t="s">
        <v>164</v>
      </c>
      <c r="AQ319" s="114"/>
    </row>
    <row r="320" spans="6:43" ht="19.5" x14ac:dyDescent="0.4">
      <c r="O320" s="26"/>
      <c r="P320" s="15"/>
      <c r="T320" s="115"/>
      <c r="U320" s="117"/>
      <c r="V320" s="123"/>
      <c r="W320" s="123"/>
      <c r="X320" s="123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26">
        <v>45278</v>
      </c>
      <c r="AN320" s="15" t="s">
        <v>164</v>
      </c>
      <c r="AQ320" s="114"/>
    </row>
    <row r="321" spans="6:43" ht="19.5" x14ac:dyDescent="0.4">
      <c r="G321" s="115"/>
      <c r="H321" s="115"/>
      <c r="I321" s="115"/>
      <c r="J321" s="115"/>
      <c r="K321" s="115"/>
      <c r="L321" s="115"/>
      <c r="M321" s="115"/>
      <c r="N321" s="115"/>
      <c r="O321" s="26"/>
      <c r="P321" s="15"/>
      <c r="T321" s="115"/>
      <c r="U321" s="117"/>
      <c r="V321" s="123"/>
      <c r="W321" s="123"/>
      <c r="X321" s="123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26"/>
      <c r="AN321" s="15"/>
      <c r="AQ321" s="114"/>
    </row>
    <row r="322" spans="6:43" ht="19.5" x14ac:dyDescent="0.4">
      <c r="O322" s="26"/>
      <c r="P322" s="15"/>
      <c r="T322" s="115"/>
      <c r="U322" s="117"/>
      <c r="V322" s="123"/>
      <c r="W322" s="123"/>
      <c r="X322" s="123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26">
        <v>45278</v>
      </c>
      <c r="AN322" s="15" t="s">
        <v>162</v>
      </c>
      <c r="AQ322" s="114"/>
    </row>
    <row r="323" spans="6:43" ht="19.5" x14ac:dyDescent="0.4">
      <c r="I323" s="115"/>
      <c r="J323" s="115"/>
      <c r="K323" s="115"/>
      <c r="L323" s="115"/>
      <c r="M323" s="115"/>
      <c r="N323" s="115"/>
      <c r="O323" s="17"/>
      <c r="P323" s="15"/>
      <c r="T323" s="115"/>
      <c r="U323" s="117"/>
      <c r="V323" s="123"/>
      <c r="W323" s="123"/>
      <c r="X323" s="123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26"/>
      <c r="AN323" s="15"/>
      <c r="AQ323" s="114"/>
    </row>
    <row r="324" spans="6:43" ht="19.5" x14ac:dyDescent="0.4">
      <c r="G324" s="115"/>
      <c r="H324" s="115"/>
      <c r="I324" s="115"/>
      <c r="J324" s="115"/>
      <c r="K324" s="115"/>
      <c r="L324" s="115"/>
      <c r="M324" s="115"/>
      <c r="N324" s="115"/>
      <c r="O324" s="26"/>
      <c r="P324" s="15"/>
      <c r="T324" s="115"/>
      <c r="U324" s="117"/>
      <c r="V324" s="123"/>
      <c r="W324" s="123"/>
      <c r="X324" s="123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26"/>
      <c r="AN324" s="15"/>
      <c r="AQ324" s="114"/>
    </row>
    <row r="325" spans="6:43" ht="19.5" x14ac:dyDescent="0.4">
      <c r="G325" s="115"/>
      <c r="H325" s="115"/>
      <c r="I325" s="115"/>
      <c r="J325" s="115"/>
      <c r="K325" s="115"/>
      <c r="L325" s="115"/>
      <c r="M325" s="115"/>
      <c r="N325" s="115"/>
      <c r="O325" s="17"/>
      <c r="P325" s="15"/>
      <c r="T325" s="115"/>
      <c r="U325" s="117"/>
      <c r="V325" s="123"/>
      <c r="W325" s="123"/>
      <c r="X325" s="123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26"/>
      <c r="AN325" s="15"/>
      <c r="AQ325" s="114"/>
    </row>
    <row r="326" spans="6:43" ht="19.5" x14ac:dyDescent="0.4">
      <c r="O326" s="26"/>
      <c r="P326" s="15"/>
      <c r="T326" s="115"/>
      <c r="U326" s="117"/>
      <c r="V326" s="123"/>
      <c r="W326" s="123"/>
      <c r="X326" s="123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26">
        <v>45278</v>
      </c>
      <c r="AN326" s="15" t="s">
        <v>142</v>
      </c>
      <c r="AQ326" s="114"/>
    </row>
    <row r="327" spans="6:43" ht="19.5" x14ac:dyDescent="0.4">
      <c r="O327" s="26"/>
      <c r="P327" s="15"/>
      <c r="T327" s="115"/>
      <c r="U327" s="117"/>
      <c r="V327" s="123"/>
      <c r="W327" s="123"/>
      <c r="X327" s="123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26">
        <v>45278</v>
      </c>
      <c r="AN327" s="15" t="s">
        <v>162</v>
      </c>
      <c r="AQ327" s="114"/>
    </row>
    <row r="328" spans="6:43" ht="19.5" x14ac:dyDescent="0.4">
      <c r="O328" s="26"/>
      <c r="P328" s="15"/>
      <c r="T328" s="115"/>
      <c r="U328" s="117"/>
      <c r="V328" s="123"/>
      <c r="W328" s="123"/>
      <c r="X328" s="123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26">
        <v>45278</v>
      </c>
      <c r="AN328" s="15" t="s">
        <v>162</v>
      </c>
      <c r="AQ328" s="114"/>
    </row>
    <row r="329" spans="6:43" ht="19.5" x14ac:dyDescent="0.4">
      <c r="I329" s="115"/>
      <c r="J329" s="115"/>
      <c r="K329" s="115"/>
      <c r="L329" s="115"/>
      <c r="M329" s="115"/>
      <c r="N329" s="115"/>
      <c r="O329" s="17"/>
      <c r="P329" s="15"/>
      <c r="T329" s="115"/>
      <c r="U329" s="117"/>
      <c r="V329" s="123"/>
      <c r="W329" s="123"/>
      <c r="X329" s="123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26"/>
      <c r="AN329" s="15"/>
      <c r="AQ329" s="114"/>
    </row>
    <row r="330" spans="6:43" ht="19.5" x14ac:dyDescent="0.4">
      <c r="G330" s="115"/>
      <c r="H330" s="115"/>
      <c r="I330" s="115"/>
      <c r="J330" s="115"/>
      <c r="K330" s="115"/>
      <c r="L330" s="115"/>
      <c r="M330" s="115"/>
      <c r="N330" s="115"/>
      <c r="O330" s="26"/>
      <c r="P330" s="15"/>
      <c r="T330" s="115"/>
      <c r="U330" s="117"/>
      <c r="V330" s="123"/>
      <c r="W330" s="123"/>
      <c r="X330" s="123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26"/>
      <c r="AN330" s="15"/>
      <c r="AQ330" s="114"/>
    </row>
    <row r="331" spans="6:43" ht="19.5" x14ac:dyDescent="0.4">
      <c r="F331" s="115"/>
      <c r="G331" s="115"/>
      <c r="H331" s="115"/>
      <c r="I331" s="115"/>
      <c r="J331" s="115"/>
      <c r="K331" s="115"/>
      <c r="L331" s="115"/>
      <c r="M331" s="115"/>
      <c r="N331" s="115"/>
      <c r="O331" s="26"/>
      <c r="P331" s="15"/>
      <c r="T331" s="115"/>
      <c r="U331" s="117"/>
      <c r="V331" s="123"/>
      <c r="W331" s="123"/>
      <c r="X331" s="123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26"/>
      <c r="AN331" s="15"/>
      <c r="AQ331" s="114"/>
    </row>
    <row r="332" spans="6:43" ht="19.5" x14ac:dyDescent="0.4">
      <c r="F332" s="115"/>
      <c r="G332" s="115"/>
      <c r="H332" s="115"/>
      <c r="I332" s="115"/>
      <c r="J332" s="115"/>
      <c r="K332" s="115"/>
      <c r="L332" s="115"/>
      <c r="M332" s="115"/>
      <c r="N332" s="115"/>
      <c r="O332" s="17"/>
      <c r="P332" s="15"/>
      <c r="T332" s="115"/>
      <c r="U332" s="117"/>
      <c r="V332" s="123"/>
      <c r="W332" s="123"/>
      <c r="X332" s="123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26"/>
      <c r="AN332" s="15"/>
      <c r="AQ332" s="114"/>
    </row>
    <row r="333" spans="6:43" ht="19.5" x14ac:dyDescent="0.4">
      <c r="F333" s="115"/>
      <c r="G333" s="115"/>
      <c r="H333" s="115"/>
      <c r="I333" s="115"/>
      <c r="J333" s="115"/>
      <c r="K333" s="115"/>
      <c r="L333" s="115"/>
      <c r="M333" s="115"/>
      <c r="N333" s="115"/>
      <c r="O333" s="26"/>
      <c r="P333" s="15"/>
      <c r="T333" s="115"/>
      <c r="U333" s="117"/>
      <c r="V333" s="123"/>
      <c r="W333" s="123"/>
      <c r="X333" s="123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26"/>
      <c r="AN333" s="15"/>
      <c r="AQ333" s="114"/>
    </row>
    <row r="334" spans="6:43" ht="19.5" x14ac:dyDescent="0.4">
      <c r="O334" s="26"/>
      <c r="P334" s="15"/>
      <c r="T334" s="115"/>
      <c r="U334" s="117"/>
      <c r="V334" s="123"/>
      <c r="W334" s="123"/>
      <c r="X334" s="123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26">
        <v>45278</v>
      </c>
      <c r="AN334" s="15" t="s">
        <v>162</v>
      </c>
      <c r="AQ334" s="114"/>
    </row>
    <row r="335" spans="6:43" ht="19.5" x14ac:dyDescent="0.4">
      <c r="G335" s="115"/>
      <c r="H335" s="115"/>
      <c r="I335" s="115"/>
      <c r="J335" s="115"/>
      <c r="K335" s="115"/>
      <c r="L335" s="115"/>
      <c r="M335" s="115"/>
      <c r="N335" s="115"/>
      <c r="O335" s="26"/>
      <c r="P335" s="15"/>
      <c r="T335" s="115"/>
      <c r="U335" s="117"/>
      <c r="V335" s="123"/>
      <c r="W335" s="123"/>
      <c r="X335" s="123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26"/>
      <c r="AN335" s="15"/>
      <c r="AQ335" s="114"/>
    </row>
    <row r="336" spans="6:43" ht="19.5" x14ac:dyDescent="0.4">
      <c r="O336" s="26"/>
      <c r="P336" s="15"/>
      <c r="T336" s="115"/>
      <c r="U336" s="117"/>
      <c r="V336" s="123"/>
      <c r="W336" s="123"/>
      <c r="X336" s="123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26">
        <v>45278</v>
      </c>
      <c r="AN336" s="15" t="s">
        <v>163</v>
      </c>
      <c r="AQ336" s="114"/>
    </row>
    <row r="337" spans="6:43" ht="19.5" x14ac:dyDescent="0.4">
      <c r="O337" s="26"/>
      <c r="P337" s="15"/>
      <c r="T337" s="115"/>
      <c r="U337" s="117"/>
      <c r="V337" s="123"/>
      <c r="W337" s="123"/>
      <c r="X337" s="123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26">
        <v>45278</v>
      </c>
      <c r="AN337" s="105" t="s">
        <v>163</v>
      </c>
      <c r="AQ337" s="114"/>
    </row>
    <row r="338" spans="6:43" ht="19.5" x14ac:dyDescent="0.4">
      <c r="O338" s="25"/>
      <c r="P338" s="13"/>
      <c r="T338" s="115"/>
      <c r="U338" s="117"/>
      <c r="V338" s="123"/>
      <c r="W338" s="123"/>
      <c r="X338" s="123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26">
        <v>45278</v>
      </c>
      <c r="AN338" s="15" t="s">
        <v>163</v>
      </c>
      <c r="AQ338" s="114"/>
    </row>
    <row r="339" spans="6:43" ht="19.5" x14ac:dyDescent="0.4">
      <c r="F339" s="115"/>
      <c r="G339" s="115"/>
      <c r="H339" s="115"/>
      <c r="I339" s="115"/>
      <c r="J339" s="115"/>
      <c r="K339" s="115"/>
      <c r="L339" s="115"/>
      <c r="M339" s="115"/>
      <c r="N339" s="115"/>
      <c r="O339" s="25"/>
      <c r="P339" s="13"/>
      <c r="T339" s="115"/>
      <c r="U339" s="117"/>
      <c r="V339" s="123"/>
      <c r="W339" s="123"/>
      <c r="X339" s="123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26"/>
      <c r="AN339" s="15"/>
      <c r="AQ339" s="114"/>
    </row>
    <row r="340" spans="6:43" ht="19.5" x14ac:dyDescent="0.4">
      <c r="F340" s="115"/>
      <c r="G340" s="115"/>
      <c r="H340" s="115"/>
      <c r="I340" s="115"/>
      <c r="J340" s="115"/>
      <c r="K340" s="115"/>
      <c r="L340" s="115"/>
      <c r="M340" s="115"/>
      <c r="N340" s="115"/>
      <c r="O340" s="25"/>
      <c r="P340" s="13"/>
      <c r="T340" s="115"/>
      <c r="U340" s="117"/>
      <c r="V340" s="123"/>
      <c r="W340" s="123"/>
      <c r="X340" s="123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26"/>
      <c r="AN340" s="15"/>
      <c r="AQ340" s="114"/>
    </row>
    <row r="341" spans="6:43" ht="19.5" x14ac:dyDescent="0.4">
      <c r="F341" s="115"/>
      <c r="G341" s="115"/>
      <c r="H341" s="115"/>
      <c r="I341" s="115"/>
      <c r="J341" s="115"/>
      <c r="K341" s="115"/>
      <c r="L341" s="115"/>
      <c r="M341" s="115"/>
      <c r="N341" s="115"/>
      <c r="O341" s="25"/>
      <c r="P341" s="13"/>
      <c r="T341" s="115"/>
      <c r="U341" s="117"/>
      <c r="V341" s="123"/>
      <c r="W341" s="123"/>
      <c r="X341" s="123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26"/>
      <c r="AN341" s="15"/>
      <c r="AQ341" s="114"/>
    </row>
    <row r="342" spans="6:43" ht="19.5" x14ac:dyDescent="0.4">
      <c r="F342" s="115"/>
      <c r="G342" s="115"/>
      <c r="H342" s="115"/>
      <c r="I342" s="115"/>
      <c r="J342" s="115"/>
      <c r="K342" s="115"/>
      <c r="L342" s="115"/>
      <c r="M342" s="115"/>
      <c r="N342" s="115"/>
      <c r="O342" s="25"/>
      <c r="P342" s="13"/>
      <c r="T342" s="115"/>
      <c r="U342" s="117"/>
      <c r="V342" s="123"/>
      <c r="W342" s="123"/>
      <c r="X342" s="123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26"/>
      <c r="AN342" s="15"/>
      <c r="AQ342" s="114"/>
    </row>
    <row r="343" spans="6:43" ht="19.5" x14ac:dyDescent="0.4">
      <c r="F343" s="115"/>
      <c r="G343" s="115"/>
      <c r="H343" s="115"/>
      <c r="I343" s="115"/>
      <c r="J343" s="115"/>
      <c r="K343" s="115"/>
      <c r="L343" s="115"/>
      <c r="M343" s="115"/>
      <c r="N343" s="115"/>
      <c r="O343" s="25"/>
      <c r="P343" s="13"/>
      <c r="T343" s="115"/>
      <c r="U343" s="117"/>
      <c r="V343" s="123"/>
      <c r="W343" s="123"/>
      <c r="X343" s="123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26"/>
      <c r="AN343" s="15"/>
      <c r="AQ343" s="114"/>
    </row>
    <row r="344" spans="6:43" ht="19.5" x14ac:dyDescent="0.4">
      <c r="F344" s="115"/>
      <c r="G344" s="115"/>
      <c r="H344" s="115"/>
      <c r="I344" s="115"/>
      <c r="J344" s="115"/>
      <c r="K344" s="115"/>
      <c r="L344" s="115"/>
      <c r="M344" s="115"/>
      <c r="N344" s="115"/>
      <c r="O344" s="25"/>
      <c r="P344" s="13"/>
      <c r="T344" s="115"/>
      <c r="U344" s="117"/>
      <c r="V344" s="123"/>
      <c r="W344" s="123"/>
      <c r="X344" s="123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26"/>
      <c r="AN344" s="15"/>
      <c r="AQ344" s="114"/>
    </row>
    <row r="345" spans="6:43" ht="19.5" x14ac:dyDescent="0.4">
      <c r="O345" s="25"/>
      <c r="P345" s="13"/>
      <c r="T345" s="115"/>
      <c r="U345" s="117"/>
      <c r="V345" s="123"/>
      <c r="W345" s="123"/>
      <c r="X345" s="123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26">
        <v>45278</v>
      </c>
      <c r="AN345" s="15" t="s">
        <v>163</v>
      </c>
      <c r="AQ345" s="114"/>
    </row>
    <row r="346" spans="6:43" ht="19.5" x14ac:dyDescent="0.4">
      <c r="O346" s="25"/>
      <c r="P346" s="13"/>
      <c r="T346" s="115"/>
      <c r="U346" s="117"/>
      <c r="V346" s="123"/>
      <c r="W346" s="123"/>
      <c r="X346" s="123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26"/>
      <c r="AN346" s="15"/>
      <c r="AQ346" s="114"/>
    </row>
    <row r="347" spans="6:43" ht="19.5" x14ac:dyDescent="0.4">
      <c r="I347" s="115"/>
      <c r="J347" s="115"/>
      <c r="K347" s="115"/>
      <c r="L347" s="115"/>
      <c r="M347" s="115"/>
      <c r="N347" s="115"/>
      <c r="O347" s="13"/>
      <c r="P347" s="13"/>
      <c r="T347" s="115"/>
      <c r="U347" s="117"/>
      <c r="V347" s="123"/>
      <c r="W347" s="123"/>
      <c r="X347" s="123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26"/>
      <c r="AN347" s="15"/>
      <c r="AQ347" s="114"/>
    </row>
    <row r="348" spans="6:43" ht="19.5" x14ac:dyDescent="0.4">
      <c r="O348" s="25"/>
      <c r="P348" s="13"/>
      <c r="T348" s="115"/>
      <c r="U348" s="117"/>
      <c r="V348" s="123"/>
      <c r="W348" s="123"/>
      <c r="X348" s="123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26">
        <v>45278</v>
      </c>
      <c r="AN348" s="15" t="s">
        <v>163</v>
      </c>
      <c r="AQ348" s="114"/>
    </row>
    <row r="349" spans="6:43" ht="19.5" x14ac:dyDescent="0.4">
      <c r="I349" s="115"/>
      <c r="J349" s="115"/>
      <c r="K349" s="115"/>
      <c r="L349" s="115"/>
      <c r="M349" s="115"/>
      <c r="N349" s="115"/>
      <c r="O349" s="13"/>
      <c r="P349" s="13"/>
      <c r="T349" s="115"/>
      <c r="U349" s="117"/>
      <c r="V349" s="123"/>
      <c r="W349" s="123"/>
      <c r="X349" s="123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26"/>
      <c r="AN349" s="13"/>
      <c r="AQ349" s="114"/>
    </row>
    <row r="350" spans="6:43" ht="19.5" x14ac:dyDescent="0.4">
      <c r="O350" s="25"/>
      <c r="P350" s="13"/>
      <c r="T350" s="115"/>
      <c r="U350" s="117"/>
      <c r="V350" s="123"/>
      <c r="W350" s="123"/>
      <c r="X350" s="123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 t="s">
        <v>153</v>
      </c>
      <c r="AM350" s="17">
        <f>SUBTOTAL(3,AM319:AM348)</f>
        <v>12</v>
      </c>
      <c r="AN350" s="13">
        <f>SUBTOTAL(3,AN319:AN348)</f>
        <v>12</v>
      </c>
      <c r="AQ350" s="114"/>
    </row>
    <row r="351" spans="6:43" ht="19.5" x14ac:dyDescent="0.4">
      <c r="I351" s="115"/>
      <c r="J351" s="115"/>
      <c r="K351" s="115"/>
      <c r="L351" s="115"/>
      <c r="M351" s="115"/>
      <c r="N351" s="115"/>
      <c r="O351" s="13"/>
      <c r="P351" s="13"/>
      <c r="T351" s="115"/>
      <c r="U351" s="117"/>
      <c r="V351" s="123"/>
      <c r="W351" s="123"/>
      <c r="X351" s="123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7"/>
      <c r="AN351" s="13"/>
      <c r="AQ351" s="114"/>
    </row>
    <row r="352" spans="6:43" ht="19.5" x14ac:dyDescent="0.4">
      <c r="O352" s="25"/>
      <c r="P352" s="13"/>
      <c r="T352" s="115"/>
      <c r="U352" s="117"/>
      <c r="V352" s="123"/>
      <c r="W352" s="123"/>
      <c r="X352" s="123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26">
        <v>45279</v>
      </c>
      <c r="AN352" s="25" t="s">
        <v>162</v>
      </c>
      <c r="AQ352" s="114"/>
    </row>
    <row r="353" spans="9:43" ht="19.5" x14ac:dyDescent="0.4">
      <c r="O353" s="25"/>
      <c r="P353" s="13"/>
      <c r="T353" s="115"/>
      <c r="U353" s="117"/>
      <c r="V353" s="123"/>
      <c r="W353" s="123"/>
      <c r="X353" s="123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26">
        <v>45279</v>
      </c>
      <c r="AN353" s="13" t="s">
        <v>162</v>
      </c>
      <c r="AQ353" s="114"/>
    </row>
    <row r="354" spans="9:43" ht="19.5" x14ac:dyDescent="0.4">
      <c r="I354" s="115"/>
      <c r="J354" s="115"/>
      <c r="K354" s="115"/>
      <c r="L354" s="115"/>
      <c r="M354" s="115"/>
      <c r="N354" s="115"/>
      <c r="O354" s="20"/>
      <c r="P354" s="13"/>
      <c r="T354" s="115"/>
      <c r="U354" s="117"/>
      <c r="V354" s="123"/>
      <c r="W354" s="123"/>
      <c r="X354" s="123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26"/>
      <c r="AN354" s="13"/>
      <c r="AQ354" s="114"/>
    </row>
    <row r="355" spans="9:43" ht="19.5" x14ac:dyDescent="0.4">
      <c r="I355" s="115"/>
      <c r="J355" s="115"/>
      <c r="K355" s="115"/>
      <c r="L355" s="115"/>
      <c r="M355" s="115"/>
      <c r="N355" s="115"/>
      <c r="O355" s="20"/>
      <c r="P355" s="13"/>
      <c r="T355" s="115"/>
      <c r="U355" s="117"/>
      <c r="V355" s="123"/>
      <c r="W355" s="123"/>
      <c r="X355" s="123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26"/>
      <c r="AN355" s="13"/>
      <c r="AQ355" s="114"/>
    </row>
    <row r="356" spans="9:43" ht="19.5" x14ac:dyDescent="0.4">
      <c r="O356" s="26"/>
      <c r="P356" s="13"/>
      <c r="T356" s="115"/>
      <c r="U356" s="117"/>
      <c r="V356" s="123"/>
      <c r="W356" s="123"/>
      <c r="X356" s="123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26">
        <v>45279</v>
      </c>
      <c r="AN356" s="13" t="s">
        <v>162</v>
      </c>
      <c r="AQ356" s="114"/>
    </row>
    <row r="357" spans="9:43" ht="19.5" x14ac:dyDescent="0.4">
      <c r="O357" s="26"/>
      <c r="P357" s="13"/>
      <c r="T357" s="115"/>
      <c r="U357" s="117"/>
      <c r="V357" s="123"/>
      <c r="W357" s="123"/>
      <c r="X357" s="123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26">
        <v>45279</v>
      </c>
      <c r="AN357" s="13" t="s">
        <v>162</v>
      </c>
      <c r="AQ357" s="114"/>
    </row>
    <row r="358" spans="9:43" ht="19.5" x14ac:dyDescent="0.4">
      <c r="O358" s="129"/>
      <c r="P358" s="13"/>
      <c r="T358" s="115"/>
      <c r="U358" s="117"/>
      <c r="V358" s="123"/>
      <c r="W358" s="123"/>
      <c r="X358" s="123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26"/>
      <c r="AN358" s="13"/>
      <c r="AQ358" s="114"/>
    </row>
    <row r="359" spans="9:43" ht="19.5" x14ac:dyDescent="0.4">
      <c r="O359" s="26"/>
      <c r="P359" s="13"/>
      <c r="T359" s="115"/>
      <c r="U359" s="117"/>
      <c r="V359" s="123"/>
      <c r="W359" s="123"/>
      <c r="X359" s="123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26">
        <v>45279</v>
      </c>
      <c r="AN359" s="13" t="s">
        <v>162</v>
      </c>
      <c r="AQ359" s="114"/>
    </row>
    <row r="360" spans="9:43" ht="19.5" x14ac:dyDescent="0.4">
      <c r="O360" s="26"/>
      <c r="P360" s="13"/>
      <c r="T360" s="115"/>
      <c r="U360" s="117"/>
      <c r="V360" s="123"/>
      <c r="W360" s="123"/>
      <c r="X360" s="123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26">
        <v>45279</v>
      </c>
      <c r="AN360" s="13" t="s">
        <v>162</v>
      </c>
      <c r="AQ360" s="114"/>
    </row>
    <row r="361" spans="9:43" ht="19.5" x14ac:dyDescent="0.4">
      <c r="O361" s="26"/>
      <c r="P361" s="13"/>
      <c r="T361" s="115"/>
      <c r="U361" s="117"/>
      <c r="V361" s="123"/>
      <c r="W361" s="123"/>
      <c r="X361" s="123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 t="s">
        <v>170</v>
      </c>
      <c r="AM361" s="17">
        <f>SUBTOTAL(3,AM352:AM360)</f>
        <v>6</v>
      </c>
      <c r="AN361" s="13">
        <f>SUBTOTAL(3,AN352:AN360)</f>
        <v>6</v>
      </c>
      <c r="AQ361" s="114"/>
    </row>
    <row r="362" spans="9:43" ht="19.5" x14ac:dyDescent="0.4">
      <c r="O362" s="129"/>
      <c r="P362" s="13"/>
      <c r="T362" s="115"/>
      <c r="U362" s="117"/>
      <c r="V362" s="123"/>
      <c r="W362" s="123"/>
      <c r="X362" s="123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7"/>
      <c r="AN362" s="13"/>
      <c r="AQ362" s="114"/>
    </row>
    <row r="363" spans="9:43" ht="19.5" x14ac:dyDescent="0.4">
      <c r="O363" s="26"/>
      <c r="P363" s="13"/>
      <c r="T363" s="115"/>
      <c r="U363" s="117"/>
      <c r="V363" s="123"/>
      <c r="W363" s="123"/>
      <c r="X363" s="123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26">
        <v>45280</v>
      </c>
      <c r="AN363" s="13" t="s">
        <v>162</v>
      </c>
      <c r="AQ363" s="114"/>
    </row>
    <row r="364" spans="9:43" ht="19.5" x14ac:dyDescent="0.4">
      <c r="O364" s="26"/>
      <c r="P364" s="13"/>
      <c r="T364" s="115"/>
      <c r="U364" s="116"/>
      <c r="V364" s="123"/>
      <c r="W364" s="123"/>
      <c r="X364" s="123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26">
        <v>45280</v>
      </c>
      <c r="AN364" s="13" t="s">
        <v>162</v>
      </c>
      <c r="AQ364" s="114"/>
    </row>
    <row r="365" spans="9:43" ht="19.5" x14ac:dyDescent="0.4">
      <c r="O365" s="26"/>
      <c r="P365" s="13"/>
      <c r="T365" s="115"/>
      <c r="U365" s="116"/>
      <c r="V365" s="123"/>
      <c r="W365" s="123"/>
      <c r="X365" s="123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26">
        <v>45280</v>
      </c>
      <c r="AN365" s="13" t="s">
        <v>162</v>
      </c>
      <c r="AQ365" s="114"/>
    </row>
    <row r="366" spans="9:43" ht="19.5" x14ac:dyDescent="0.4">
      <c r="O366" s="26"/>
      <c r="P366" s="13"/>
      <c r="T366" s="115"/>
      <c r="U366" s="116"/>
      <c r="V366" s="123"/>
      <c r="W366" s="123"/>
      <c r="X366" s="123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26">
        <v>45280</v>
      </c>
      <c r="AN366" s="13" t="s">
        <v>162</v>
      </c>
      <c r="AQ366" s="114"/>
    </row>
    <row r="367" spans="9:43" ht="19.5" x14ac:dyDescent="0.4">
      <c r="O367" s="129"/>
      <c r="P367" s="13"/>
      <c r="T367" s="115"/>
      <c r="U367" s="116"/>
      <c r="V367" s="123"/>
      <c r="W367" s="123"/>
      <c r="X367" s="123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26"/>
      <c r="AN367" s="13"/>
      <c r="AQ367" s="114"/>
    </row>
    <row r="368" spans="9:43" ht="19.5" x14ac:dyDescent="0.4">
      <c r="O368" s="26"/>
      <c r="P368" s="13"/>
      <c r="T368" s="115"/>
      <c r="U368" s="116"/>
      <c r="V368" s="123"/>
      <c r="W368" s="123"/>
      <c r="X368" s="123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26">
        <v>45280</v>
      </c>
      <c r="AN368" s="13" t="s">
        <v>162</v>
      </c>
      <c r="AQ368" s="114"/>
    </row>
    <row r="369" spans="15:43" ht="19.5" x14ac:dyDescent="0.4">
      <c r="O369" s="130"/>
      <c r="P369" s="119"/>
      <c r="T369" s="115"/>
      <c r="U369" s="116"/>
      <c r="V369" s="123"/>
      <c r="W369" s="123"/>
      <c r="X369" s="123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26"/>
      <c r="AN369" s="13"/>
      <c r="AQ369" s="114"/>
    </row>
    <row r="370" spans="15:43" ht="19.5" x14ac:dyDescent="0.4">
      <c r="O370" s="130"/>
      <c r="P370" s="119"/>
      <c r="T370" s="115"/>
      <c r="U370" s="116"/>
      <c r="V370" s="123"/>
      <c r="W370" s="123"/>
      <c r="X370" s="123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26"/>
      <c r="AN370" s="13"/>
      <c r="AQ370" s="114"/>
    </row>
    <row r="371" spans="15:43" ht="19.5" x14ac:dyDescent="0.4">
      <c r="T371" s="115"/>
      <c r="U371" s="116"/>
      <c r="V371" s="123"/>
      <c r="W371" s="123"/>
      <c r="X371" s="123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26">
        <v>45280</v>
      </c>
      <c r="AN371" s="13" t="s">
        <v>162</v>
      </c>
      <c r="AQ371" s="114"/>
    </row>
    <row r="372" spans="15:43" ht="19.5" x14ac:dyDescent="0.4">
      <c r="T372" s="115"/>
      <c r="U372" s="116"/>
      <c r="V372" s="123"/>
      <c r="W372" s="123"/>
      <c r="X372" s="123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26">
        <v>45280</v>
      </c>
      <c r="AN372" s="13" t="s">
        <v>162</v>
      </c>
      <c r="AQ372" s="114"/>
    </row>
    <row r="373" spans="15:43" ht="19.5" x14ac:dyDescent="0.4">
      <c r="T373" s="115"/>
      <c r="U373" s="116"/>
      <c r="V373" s="123"/>
      <c r="W373" s="123"/>
      <c r="X373" s="123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26">
        <v>45280</v>
      </c>
      <c r="AN373" s="13" t="s">
        <v>162</v>
      </c>
      <c r="AQ373" s="114"/>
    </row>
    <row r="374" spans="15:43" ht="19.5" x14ac:dyDescent="0.4">
      <c r="S374" s="115"/>
      <c r="T374" s="115"/>
      <c r="U374" s="116"/>
      <c r="V374" s="123"/>
      <c r="W374" s="123"/>
      <c r="X374" s="123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26">
        <v>45280</v>
      </c>
      <c r="AN374" s="13" t="s">
        <v>162</v>
      </c>
      <c r="AQ374" s="114"/>
    </row>
    <row r="375" spans="15:43" ht="19.5" x14ac:dyDescent="0.4">
      <c r="S375" s="115"/>
      <c r="T375" s="115"/>
      <c r="U375" s="116"/>
      <c r="V375" s="123"/>
      <c r="W375" s="123"/>
      <c r="X375" s="123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26">
        <v>45280</v>
      </c>
      <c r="AN375" s="13" t="s">
        <v>162</v>
      </c>
      <c r="AQ375" s="114"/>
    </row>
    <row r="376" spans="15:43" ht="19.5" x14ac:dyDescent="0.4">
      <c r="Q376" s="115"/>
      <c r="R376" s="115"/>
      <c r="S376" s="115"/>
      <c r="T376" s="115"/>
      <c r="U376" s="116"/>
      <c r="V376" s="123"/>
      <c r="W376" s="123"/>
      <c r="X376" s="123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26">
        <v>45280</v>
      </c>
      <c r="AN376" s="13" t="s">
        <v>162</v>
      </c>
      <c r="AQ376" s="114"/>
    </row>
    <row r="377" spans="15:43" x14ac:dyDescent="0.4">
      <c r="Q377" s="115"/>
      <c r="R377" s="115"/>
      <c r="S377" s="115"/>
      <c r="T377" s="115"/>
      <c r="U377" s="115"/>
      <c r="V377" s="122"/>
      <c r="W377" s="122"/>
      <c r="X377" s="122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26">
        <v>45280</v>
      </c>
      <c r="AN377" s="13" t="s">
        <v>162</v>
      </c>
      <c r="AQ377" s="114"/>
    </row>
    <row r="378" spans="15:43" x14ac:dyDescent="0.4">
      <c r="Q378" s="115"/>
      <c r="R378" s="115"/>
      <c r="S378" s="115"/>
      <c r="T378" s="115"/>
      <c r="U378" s="115"/>
      <c r="V378" s="122"/>
      <c r="W378" s="122"/>
      <c r="X378" s="122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26">
        <v>45280</v>
      </c>
      <c r="AN378" s="13" t="s">
        <v>162</v>
      </c>
      <c r="AQ378" s="114"/>
    </row>
    <row r="379" spans="15:43" x14ac:dyDescent="0.4">
      <c r="Q379" s="115"/>
      <c r="R379" s="115"/>
      <c r="S379" s="115"/>
      <c r="T379" s="115"/>
      <c r="U379" s="115"/>
      <c r="V379" s="122"/>
      <c r="W379" s="122"/>
      <c r="X379" s="122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15" t="s">
        <v>171</v>
      </c>
      <c r="AM379" s="17">
        <f>SUBTOTAL(3,AM363:AM378)</f>
        <v>13</v>
      </c>
      <c r="AN379" s="13">
        <f>SUBTOTAL(3,AN363:AN378)</f>
        <v>13</v>
      </c>
      <c r="AQ379" s="114"/>
    </row>
    <row r="380" spans="15:43" x14ac:dyDescent="0.4">
      <c r="Q380" s="115"/>
      <c r="R380" s="115"/>
      <c r="S380" s="115"/>
      <c r="T380" s="115"/>
      <c r="U380" s="115"/>
      <c r="V380" s="122"/>
      <c r="W380" s="122"/>
      <c r="X380" s="122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26">
        <v>45283</v>
      </c>
      <c r="AN380" s="13" t="s">
        <v>162</v>
      </c>
      <c r="AQ380" s="114"/>
    </row>
    <row r="381" spans="15:43" x14ac:dyDescent="0.4">
      <c r="Q381" s="115"/>
      <c r="R381" s="115"/>
      <c r="S381" s="115"/>
      <c r="T381" s="115"/>
      <c r="U381" s="115"/>
      <c r="V381" s="122"/>
      <c r="W381" s="122"/>
      <c r="X381" s="122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26">
        <v>45283</v>
      </c>
      <c r="AN381" s="13" t="s">
        <v>162</v>
      </c>
      <c r="AQ381" s="114"/>
    </row>
    <row r="382" spans="15:43" x14ac:dyDescent="0.4">
      <c r="Q382" s="115"/>
      <c r="R382" s="115"/>
      <c r="S382" s="115"/>
      <c r="T382" s="115"/>
      <c r="U382" s="115"/>
      <c r="V382" s="122"/>
      <c r="W382" s="122"/>
      <c r="X382" s="122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26">
        <v>45283</v>
      </c>
      <c r="AN382" s="13" t="s">
        <v>162</v>
      </c>
      <c r="AQ382" s="114"/>
    </row>
    <row r="383" spans="15:43" x14ac:dyDescent="0.4">
      <c r="Q383" s="115"/>
      <c r="R383" s="115"/>
      <c r="S383" s="115"/>
      <c r="T383" s="115"/>
      <c r="U383" s="115"/>
      <c r="V383" s="122"/>
      <c r="W383" s="122"/>
      <c r="X383" s="122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26">
        <v>45283</v>
      </c>
      <c r="AN383" s="13" t="s">
        <v>162</v>
      </c>
      <c r="AQ383" s="114"/>
    </row>
    <row r="384" spans="15:43" x14ac:dyDescent="0.4">
      <c r="Q384" s="115"/>
      <c r="R384" s="115"/>
      <c r="S384" s="115"/>
      <c r="T384" s="115"/>
      <c r="U384" s="115"/>
      <c r="V384" s="122"/>
      <c r="W384" s="122"/>
      <c r="X384" s="122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26">
        <v>45283</v>
      </c>
      <c r="AN384" s="13" t="s">
        <v>162</v>
      </c>
      <c r="AQ384" s="114"/>
    </row>
    <row r="385" spans="17:43" x14ac:dyDescent="0.4">
      <c r="Q385" s="115"/>
      <c r="R385" s="115"/>
      <c r="S385" s="115"/>
      <c r="T385" s="115"/>
      <c r="U385" s="115"/>
      <c r="V385" s="122"/>
      <c r="W385" s="122"/>
      <c r="X385" s="122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26">
        <v>45283</v>
      </c>
      <c r="AN385" s="13" t="s">
        <v>162</v>
      </c>
      <c r="AQ385" s="114"/>
    </row>
    <row r="386" spans="17:43" x14ac:dyDescent="0.4">
      <c r="Q386" s="115"/>
      <c r="R386" s="115"/>
      <c r="S386" s="115"/>
      <c r="T386" s="115"/>
      <c r="U386" s="115"/>
      <c r="V386" s="122"/>
      <c r="W386" s="122"/>
      <c r="X386" s="122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26">
        <v>45283</v>
      </c>
      <c r="AN386" s="13" t="s">
        <v>162</v>
      </c>
      <c r="AQ386" s="114"/>
    </row>
    <row r="387" spans="17:43" x14ac:dyDescent="0.4">
      <c r="Q387" s="115"/>
      <c r="R387" s="115"/>
      <c r="S387" s="115"/>
      <c r="T387" s="115"/>
      <c r="U387" s="115"/>
      <c r="V387" s="122"/>
      <c r="W387" s="122"/>
      <c r="X387" s="122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26">
        <v>45283</v>
      </c>
      <c r="AN387" s="13" t="s">
        <v>162</v>
      </c>
      <c r="AQ387" s="114"/>
    </row>
    <row r="388" spans="17:43" x14ac:dyDescent="0.4">
      <c r="Q388" s="115"/>
      <c r="R388" s="115"/>
      <c r="S388" s="115"/>
      <c r="T388" s="115"/>
      <c r="U388" s="115"/>
      <c r="V388" s="122"/>
      <c r="W388" s="122"/>
      <c r="X388" s="122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26">
        <v>45283</v>
      </c>
      <c r="AN388" s="13" t="s">
        <v>162</v>
      </c>
      <c r="AQ388" s="114"/>
    </row>
    <row r="389" spans="17:43" x14ac:dyDescent="0.4">
      <c r="Q389" s="115"/>
      <c r="R389" s="115"/>
      <c r="S389" s="115"/>
      <c r="T389" s="115"/>
      <c r="U389" s="115"/>
      <c r="V389" s="122"/>
      <c r="W389" s="122"/>
      <c r="X389" s="122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26">
        <v>45283</v>
      </c>
      <c r="AN389" s="13" t="s">
        <v>162</v>
      </c>
      <c r="AQ389" s="114"/>
    </row>
    <row r="390" spans="17:43" x14ac:dyDescent="0.4">
      <c r="Q390" s="115"/>
      <c r="R390" s="115"/>
      <c r="S390" s="115"/>
      <c r="T390" s="115"/>
      <c r="U390" s="115"/>
      <c r="V390" s="122"/>
      <c r="W390" s="122"/>
      <c r="X390" s="122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26">
        <v>45283</v>
      </c>
      <c r="AN390" s="13" t="s">
        <v>163</v>
      </c>
      <c r="AQ390" s="114"/>
    </row>
    <row r="391" spans="17:43" x14ac:dyDescent="0.4">
      <c r="Q391" s="115"/>
      <c r="R391" s="115"/>
      <c r="S391" s="115"/>
      <c r="T391" s="115"/>
      <c r="U391" s="115"/>
      <c r="V391" s="122"/>
      <c r="W391" s="122"/>
      <c r="X391" s="122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26">
        <v>45283</v>
      </c>
      <c r="AN391" s="13" t="s">
        <v>163</v>
      </c>
      <c r="AQ391" s="114"/>
    </row>
    <row r="392" spans="17:43" x14ac:dyDescent="0.4">
      <c r="Q392" s="115"/>
      <c r="R392" s="115"/>
      <c r="S392" s="115"/>
      <c r="T392" s="115"/>
      <c r="U392" s="115"/>
      <c r="V392" s="122"/>
      <c r="W392" s="122"/>
      <c r="X392" s="122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26">
        <v>45283</v>
      </c>
      <c r="AN392" s="13" t="s">
        <v>163</v>
      </c>
      <c r="AQ392" s="114"/>
    </row>
    <row r="393" spans="17:43" x14ac:dyDescent="0.4">
      <c r="Q393" s="115"/>
      <c r="R393" s="115"/>
      <c r="S393" s="115"/>
      <c r="T393" s="115"/>
      <c r="U393" s="115"/>
      <c r="V393" s="122"/>
      <c r="W393" s="122"/>
      <c r="X393" s="122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 t="s">
        <v>161</v>
      </c>
      <c r="AM393" s="17">
        <f>SUBTOTAL(3,AM380:AM392)</f>
        <v>13</v>
      </c>
      <c r="AN393" s="13">
        <f>SUBTOTAL(3,AN380:AN392)</f>
        <v>13</v>
      </c>
      <c r="AQ393" s="114"/>
    </row>
    <row r="394" spans="17:43" x14ac:dyDescent="0.4">
      <c r="Q394" s="115"/>
      <c r="R394" s="115"/>
      <c r="S394" s="115"/>
      <c r="T394" s="115"/>
      <c r="U394" s="115"/>
      <c r="V394" s="122"/>
      <c r="W394" s="122"/>
      <c r="X394" s="122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26">
        <v>45285</v>
      </c>
      <c r="AN394" s="13" t="s">
        <v>163</v>
      </c>
      <c r="AQ394" s="114"/>
    </row>
    <row r="395" spans="17:43" x14ac:dyDescent="0.4">
      <c r="Q395" s="115"/>
      <c r="R395" s="115"/>
      <c r="S395" s="115"/>
      <c r="T395" s="115"/>
      <c r="U395" s="115"/>
      <c r="V395" s="122"/>
      <c r="W395" s="122"/>
      <c r="X395" s="122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15" t="s">
        <v>172</v>
      </c>
      <c r="AM395" s="17">
        <f>SUBTOTAL(3,AM394:AM394)</f>
        <v>1</v>
      </c>
      <c r="AN395" s="13">
        <f>SUBTOTAL(3,AN394:AN394)</f>
        <v>1</v>
      </c>
      <c r="AQ395" s="114"/>
    </row>
    <row r="396" spans="17:43" x14ac:dyDescent="0.4">
      <c r="Q396" s="115"/>
      <c r="R396" s="115"/>
      <c r="S396" s="115"/>
      <c r="T396" s="115"/>
      <c r="U396" s="115"/>
      <c r="V396" s="122"/>
      <c r="W396" s="122"/>
      <c r="X396" s="122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26">
        <v>45299</v>
      </c>
      <c r="AN396" s="13" t="s">
        <v>164</v>
      </c>
      <c r="AQ396" s="114"/>
    </row>
    <row r="397" spans="17:43" x14ac:dyDescent="0.4">
      <c r="Q397" s="115"/>
      <c r="R397" s="115"/>
      <c r="S397" s="115"/>
      <c r="T397" s="115"/>
      <c r="U397" s="115"/>
      <c r="V397" s="122"/>
      <c r="W397" s="122"/>
      <c r="X397" s="122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26">
        <v>45299</v>
      </c>
      <c r="AN397" s="13" t="s">
        <v>162</v>
      </c>
      <c r="AQ397" s="114"/>
    </row>
    <row r="398" spans="17:43" x14ac:dyDescent="0.4">
      <c r="Q398" s="115"/>
      <c r="R398" s="115"/>
      <c r="S398" s="115"/>
      <c r="T398" s="115"/>
      <c r="U398" s="115"/>
      <c r="V398" s="122"/>
      <c r="W398" s="122"/>
      <c r="X398" s="122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26">
        <v>45299</v>
      </c>
      <c r="AN398" s="13" t="s">
        <v>162</v>
      </c>
      <c r="AQ398" s="114"/>
    </row>
    <row r="399" spans="17:43" x14ac:dyDescent="0.4">
      <c r="Q399" s="115"/>
      <c r="R399" s="115"/>
      <c r="S399" s="115"/>
      <c r="T399" s="115"/>
      <c r="U399" s="115"/>
      <c r="V399" s="122"/>
      <c r="W399" s="122"/>
      <c r="X399" s="122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26">
        <v>45299</v>
      </c>
      <c r="AN399" s="15" t="s">
        <v>162</v>
      </c>
      <c r="AQ399" s="114"/>
    </row>
    <row r="400" spans="17:43" x14ac:dyDescent="0.4">
      <c r="Q400" s="115"/>
      <c r="R400" s="115"/>
      <c r="S400" s="115"/>
      <c r="T400" s="115"/>
      <c r="U400" s="115"/>
      <c r="V400" s="122"/>
      <c r="W400" s="122"/>
      <c r="X400" s="122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15" t="s">
        <v>173</v>
      </c>
      <c r="AM400" s="17">
        <f>SUBTOTAL(3,AM396:AM399)</f>
        <v>4</v>
      </c>
      <c r="AN400" s="13">
        <f>SUBTOTAL(3,AN396:AN399)</f>
        <v>4</v>
      </c>
      <c r="AQ400" s="114"/>
    </row>
    <row r="401" spans="17:43" x14ac:dyDescent="0.4">
      <c r="Q401" s="115"/>
      <c r="R401" s="115"/>
      <c r="S401" s="115"/>
      <c r="T401" s="115"/>
      <c r="U401" s="115"/>
      <c r="V401" s="122"/>
      <c r="W401" s="122"/>
      <c r="X401" s="122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15" t="s">
        <v>145</v>
      </c>
      <c r="AM401" s="17">
        <f>SUBTOTAL(3,AM2:AM399)</f>
        <v>136</v>
      </c>
      <c r="AN401" s="13">
        <f>SUBTOTAL(3,AN2:AN399)</f>
        <v>136</v>
      </c>
      <c r="AQ401" s="114"/>
    </row>
    <row r="402" spans="17:43" x14ac:dyDescent="0.4">
      <c r="Q402" s="115"/>
      <c r="R402" s="115"/>
      <c r="S402" s="115"/>
      <c r="T402" s="115"/>
      <c r="U402" s="115"/>
      <c r="V402" s="122"/>
      <c r="W402" s="122"/>
      <c r="X402" s="122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 t="s">
        <v>145</v>
      </c>
      <c r="AK402" s="115"/>
      <c r="AL402" s="115"/>
      <c r="AM402" s="26"/>
      <c r="AN402" s="13"/>
      <c r="AQ402" s="114"/>
    </row>
    <row r="403" spans="17:43" x14ac:dyDescent="0.4">
      <c r="Q403" s="115"/>
      <c r="R403" s="115"/>
      <c r="S403" s="115"/>
      <c r="T403" s="115"/>
      <c r="U403" s="115"/>
      <c r="V403" s="122"/>
      <c r="W403" s="122"/>
      <c r="X403" s="122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7"/>
      <c r="AN403" s="13"/>
      <c r="AQ403" s="114"/>
    </row>
    <row r="404" spans="17:43" x14ac:dyDescent="0.4">
      <c r="Q404" s="115"/>
      <c r="R404" s="115"/>
      <c r="S404" s="115"/>
      <c r="T404" s="115"/>
      <c r="U404" s="115"/>
      <c r="V404" s="122"/>
      <c r="W404" s="122"/>
      <c r="X404" s="122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26"/>
      <c r="AN404" s="13"/>
      <c r="AQ404" s="114"/>
    </row>
    <row r="405" spans="17:43" x14ac:dyDescent="0.4">
      <c r="Q405" s="115"/>
      <c r="R405" s="115"/>
      <c r="S405" s="115"/>
      <c r="T405" s="115"/>
      <c r="U405" s="115"/>
      <c r="V405" s="122"/>
      <c r="W405" s="122"/>
      <c r="X405" s="122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7"/>
      <c r="AN405" s="13"/>
      <c r="AQ405" s="114"/>
    </row>
    <row r="406" spans="17:43" x14ac:dyDescent="0.4">
      <c r="Q406" s="115"/>
      <c r="R406" s="115"/>
      <c r="S406" s="115"/>
      <c r="T406" s="115"/>
      <c r="U406" s="115"/>
      <c r="V406" s="122"/>
      <c r="W406" s="122"/>
      <c r="X406" s="122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26"/>
      <c r="AN406" s="13"/>
      <c r="AQ406" s="114"/>
    </row>
    <row r="407" spans="17:43" x14ac:dyDescent="0.4">
      <c r="Q407" s="115"/>
      <c r="R407" s="115"/>
      <c r="S407" s="115"/>
      <c r="T407" s="115"/>
      <c r="U407" s="115"/>
      <c r="V407" s="122"/>
      <c r="W407" s="122"/>
      <c r="X407" s="122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26"/>
      <c r="AN407" s="13"/>
      <c r="AQ407" s="114"/>
    </row>
    <row r="408" spans="17:43" x14ac:dyDescent="0.4">
      <c r="Q408" s="115"/>
      <c r="R408" s="115"/>
      <c r="S408" s="115"/>
      <c r="T408" s="115"/>
      <c r="U408" s="115"/>
      <c r="V408" s="122"/>
      <c r="W408" s="122"/>
      <c r="X408" s="122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26"/>
      <c r="AN408" s="13"/>
      <c r="AQ408" s="114"/>
    </row>
    <row r="409" spans="17:43" x14ac:dyDescent="0.4">
      <c r="Q409" s="115"/>
      <c r="R409" s="115"/>
      <c r="S409" s="115"/>
      <c r="T409" s="115"/>
      <c r="U409" s="115"/>
      <c r="V409" s="122"/>
      <c r="W409" s="122"/>
      <c r="X409" s="122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7"/>
      <c r="AN409" s="13"/>
      <c r="AQ409" s="114"/>
    </row>
    <row r="410" spans="17:43" x14ac:dyDescent="0.4">
      <c r="Q410" s="115"/>
      <c r="R410" s="115"/>
      <c r="S410" s="115"/>
      <c r="T410" s="115"/>
      <c r="U410" s="115"/>
      <c r="V410" s="122"/>
      <c r="W410" s="122"/>
      <c r="X410" s="122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26"/>
      <c r="AN410" s="13"/>
      <c r="AQ410" s="114"/>
    </row>
    <row r="411" spans="17:43" x14ac:dyDescent="0.4">
      <c r="Q411" s="115"/>
      <c r="R411" s="115"/>
      <c r="S411" s="115"/>
      <c r="T411" s="115"/>
      <c r="U411" s="115"/>
      <c r="V411" s="122"/>
      <c r="W411" s="122"/>
      <c r="X411" s="122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7"/>
      <c r="AN411" s="13"/>
      <c r="AQ411" s="114"/>
    </row>
    <row r="412" spans="17:43" x14ac:dyDescent="0.4">
      <c r="Q412" s="115"/>
      <c r="R412" s="115"/>
      <c r="S412" s="115"/>
      <c r="T412" s="115"/>
      <c r="U412" s="115"/>
      <c r="V412" s="122"/>
      <c r="W412" s="122"/>
      <c r="X412" s="122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26"/>
      <c r="AN412" s="13"/>
      <c r="AQ412" s="114"/>
    </row>
    <row r="413" spans="17:43" x14ac:dyDescent="0.4">
      <c r="Q413" s="115"/>
      <c r="R413" s="115"/>
      <c r="S413" s="115"/>
      <c r="T413" s="115"/>
      <c r="U413" s="115"/>
      <c r="V413" s="122"/>
      <c r="W413" s="122"/>
      <c r="X413" s="122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7"/>
      <c r="AN413" s="13"/>
      <c r="AQ413" s="114"/>
    </row>
    <row r="414" spans="17:43" x14ac:dyDescent="0.4">
      <c r="Q414" s="115"/>
      <c r="R414" s="115"/>
      <c r="S414" s="115"/>
      <c r="T414" s="115"/>
      <c r="U414" s="115"/>
      <c r="V414" s="122"/>
      <c r="W414" s="122"/>
      <c r="X414" s="122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7"/>
      <c r="AN414" s="13"/>
      <c r="AQ414" s="114"/>
    </row>
    <row r="415" spans="17:43" x14ac:dyDescent="0.4">
      <c r="Q415" s="115"/>
      <c r="R415" s="115"/>
      <c r="S415" s="115"/>
      <c r="T415" s="115"/>
      <c r="U415" s="115"/>
      <c r="V415" s="122"/>
      <c r="W415" s="122"/>
      <c r="X415" s="122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7"/>
      <c r="AN415" s="13"/>
      <c r="AQ415" s="114"/>
    </row>
    <row r="416" spans="17:43" x14ac:dyDescent="0.4">
      <c r="Q416" s="115"/>
      <c r="R416" s="115"/>
      <c r="S416" s="115"/>
      <c r="T416" s="115"/>
      <c r="U416" s="115"/>
      <c r="V416" s="122"/>
      <c r="W416" s="122"/>
      <c r="X416" s="122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26"/>
      <c r="AN416" s="13"/>
      <c r="AQ416" s="114"/>
    </row>
    <row r="417" spans="17:43" x14ac:dyDescent="0.4">
      <c r="Q417" s="115"/>
      <c r="R417" s="115"/>
      <c r="S417" s="115"/>
      <c r="T417" s="115"/>
      <c r="U417" s="115"/>
      <c r="V417" s="122"/>
      <c r="W417" s="122"/>
      <c r="X417" s="122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7"/>
      <c r="AN417" s="13"/>
      <c r="AQ417" s="114"/>
    </row>
    <row r="418" spans="17:43" x14ac:dyDescent="0.4">
      <c r="Q418" s="115"/>
      <c r="R418" s="115"/>
      <c r="S418" s="115"/>
      <c r="T418" s="115"/>
      <c r="U418" s="115"/>
      <c r="V418" s="122"/>
      <c r="W418" s="122"/>
      <c r="X418" s="122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26"/>
      <c r="AN418" s="13"/>
      <c r="AQ418" s="114"/>
    </row>
    <row r="419" spans="17:43" x14ac:dyDescent="0.4">
      <c r="Q419" s="115"/>
      <c r="R419" s="115"/>
      <c r="S419" s="115"/>
      <c r="T419" s="115"/>
      <c r="U419" s="115"/>
      <c r="V419" s="122"/>
      <c r="W419" s="122"/>
      <c r="X419" s="122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7"/>
      <c r="AN419" s="13"/>
      <c r="AQ419" s="114"/>
    </row>
    <row r="420" spans="17:43" x14ac:dyDescent="0.4">
      <c r="Q420" s="115"/>
      <c r="R420" s="115"/>
      <c r="S420" s="115"/>
      <c r="T420" s="115"/>
      <c r="U420" s="115"/>
      <c r="V420" s="122"/>
      <c r="W420" s="122"/>
      <c r="X420" s="122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26"/>
      <c r="AN420" s="25"/>
      <c r="AQ420" s="114"/>
    </row>
    <row r="421" spans="17:43" x14ac:dyDescent="0.4">
      <c r="Q421" s="115"/>
      <c r="R421" s="115"/>
      <c r="S421" s="115"/>
      <c r="T421" s="115"/>
      <c r="U421" s="115"/>
      <c r="V421" s="122"/>
      <c r="W421" s="122"/>
      <c r="X421" s="122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7"/>
      <c r="AN421" s="13"/>
      <c r="AQ421" s="114"/>
    </row>
    <row r="422" spans="17:43" x14ac:dyDescent="0.4">
      <c r="Q422" s="115"/>
      <c r="R422" s="115"/>
      <c r="S422" s="115"/>
      <c r="T422" s="115"/>
      <c r="U422" s="115"/>
      <c r="V422" s="122"/>
      <c r="W422" s="122"/>
      <c r="X422" s="122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17"/>
      <c r="AN422" s="13"/>
      <c r="AQ422" s="114"/>
    </row>
    <row r="423" spans="17:43" x14ac:dyDescent="0.4">
      <c r="Q423" s="115"/>
      <c r="R423" s="115"/>
      <c r="S423" s="115"/>
      <c r="T423" s="115"/>
      <c r="U423" s="115"/>
      <c r="V423" s="122"/>
      <c r="W423" s="122"/>
      <c r="X423" s="122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26"/>
      <c r="AN423" s="15"/>
      <c r="AQ423" s="114"/>
    </row>
    <row r="424" spans="17:43" x14ac:dyDescent="0.4">
      <c r="Q424" s="115"/>
      <c r="R424" s="115"/>
      <c r="S424" s="115"/>
      <c r="T424" s="115"/>
      <c r="U424" s="115"/>
      <c r="V424" s="122"/>
      <c r="W424" s="122"/>
      <c r="X424" s="122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26"/>
      <c r="AN424" s="15"/>
      <c r="AQ424" s="114"/>
    </row>
    <row r="425" spans="17:43" x14ac:dyDescent="0.4">
      <c r="Q425" s="115"/>
      <c r="R425" s="115"/>
      <c r="S425" s="115"/>
      <c r="T425" s="115"/>
      <c r="U425" s="115"/>
      <c r="V425" s="122"/>
      <c r="W425" s="122"/>
      <c r="X425" s="122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26"/>
      <c r="AN425" s="15"/>
      <c r="AQ425" s="114"/>
    </row>
    <row r="426" spans="17:43" x14ac:dyDescent="0.4">
      <c r="Q426" s="115"/>
      <c r="R426" s="115"/>
      <c r="S426" s="115"/>
      <c r="T426" s="115"/>
      <c r="U426" s="115"/>
      <c r="V426" s="122"/>
      <c r="W426" s="122"/>
      <c r="X426" s="122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26"/>
      <c r="AN426" s="15"/>
      <c r="AQ426" s="114"/>
    </row>
    <row r="427" spans="17:43" x14ac:dyDescent="0.4">
      <c r="Q427" s="115"/>
      <c r="R427" s="115"/>
      <c r="S427" s="115"/>
      <c r="T427" s="115"/>
      <c r="U427" s="115"/>
      <c r="V427" s="122"/>
      <c r="W427" s="122"/>
      <c r="X427" s="122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26"/>
      <c r="AN427" s="15"/>
      <c r="AQ427" s="114"/>
    </row>
    <row r="428" spans="17:43" x14ac:dyDescent="0.4">
      <c r="Q428" s="115"/>
      <c r="R428" s="115"/>
      <c r="S428" s="115"/>
      <c r="T428" s="115"/>
      <c r="U428" s="115"/>
      <c r="V428" s="122"/>
      <c r="W428" s="122"/>
      <c r="X428" s="122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26"/>
      <c r="AN428" s="15"/>
      <c r="AQ428" s="114"/>
    </row>
    <row r="429" spans="17:43" x14ac:dyDescent="0.4">
      <c r="Q429" s="115"/>
      <c r="R429" s="115"/>
      <c r="S429" s="115"/>
      <c r="T429" s="115"/>
      <c r="U429" s="115"/>
      <c r="V429" s="122"/>
      <c r="W429" s="122"/>
      <c r="X429" s="122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26"/>
      <c r="AN429" s="15"/>
      <c r="AQ429" s="114"/>
    </row>
    <row r="430" spans="17:43" x14ac:dyDescent="0.4">
      <c r="Q430" s="115"/>
      <c r="R430" s="115"/>
      <c r="S430" s="115"/>
      <c r="T430" s="115"/>
      <c r="U430" s="115"/>
      <c r="V430" s="122"/>
      <c r="W430" s="122"/>
      <c r="X430" s="122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26"/>
      <c r="AN430" s="15"/>
      <c r="AQ430" s="114"/>
    </row>
    <row r="431" spans="17:43" x14ac:dyDescent="0.4">
      <c r="Q431" s="115"/>
      <c r="R431" s="115"/>
      <c r="S431" s="115"/>
      <c r="T431" s="115"/>
      <c r="U431" s="115"/>
      <c r="V431" s="122"/>
      <c r="W431" s="122"/>
      <c r="X431" s="122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7"/>
      <c r="AN431" s="15"/>
      <c r="AQ431" s="114"/>
    </row>
    <row r="432" spans="17:43" x14ac:dyDescent="0.4">
      <c r="Q432" s="115"/>
      <c r="R432" s="115"/>
      <c r="S432" s="115"/>
      <c r="T432" s="115"/>
      <c r="U432" s="115"/>
      <c r="V432" s="122"/>
      <c r="W432" s="122"/>
      <c r="X432" s="122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26"/>
      <c r="AN432" s="15"/>
      <c r="AQ432" s="114"/>
    </row>
    <row r="433" spans="17:43" x14ac:dyDescent="0.4">
      <c r="Q433" s="115"/>
      <c r="R433" s="115"/>
      <c r="S433" s="115"/>
      <c r="T433" s="115"/>
      <c r="U433" s="115"/>
      <c r="V433" s="122"/>
      <c r="W433" s="122"/>
      <c r="X433" s="122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26"/>
      <c r="AN433" s="13"/>
      <c r="AQ433" s="114"/>
    </row>
    <row r="434" spans="17:43" x14ac:dyDescent="0.4">
      <c r="Q434" s="115"/>
      <c r="R434" s="115"/>
      <c r="S434" s="115"/>
      <c r="T434" s="115"/>
      <c r="U434" s="115"/>
      <c r="V434" s="122"/>
      <c r="W434" s="122"/>
      <c r="X434" s="122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26"/>
      <c r="AN434" s="13"/>
      <c r="AQ434" s="114"/>
    </row>
    <row r="435" spans="17:43" x14ac:dyDescent="0.4">
      <c r="Q435" s="115"/>
      <c r="R435" s="115"/>
      <c r="S435" s="115"/>
      <c r="T435" s="115"/>
      <c r="U435" s="115"/>
      <c r="V435" s="122"/>
      <c r="W435" s="122"/>
      <c r="X435" s="122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26"/>
      <c r="AN435" s="13"/>
      <c r="AQ435" s="114"/>
    </row>
    <row r="436" spans="17:43" x14ac:dyDescent="0.4">
      <c r="Q436" s="115"/>
      <c r="R436" s="115"/>
      <c r="S436" s="115"/>
      <c r="T436" s="115"/>
      <c r="U436" s="115"/>
      <c r="V436" s="122"/>
      <c r="W436" s="122"/>
      <c r="X436" s="122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26"/>
      <c r="AN436" s="13"/>
      <c r="AQ436" s="114"/>
    </row>
    <row r="437" spans="17:43" x14ac:dyDescent="0.4">
      <c r="Q437" s="115"/>
      <c r="R437" s="115"/>
      <c r="S437" s="115"/>
      <c r="T437" s="115"/>
      <c r="U437" s="115"/>
      <c r="V437" s="122"/>
      <c r="W437" s="122"/>
      <c r="X437" s="122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26"/>
      <c r="AN437" s="13"/>
      <c r="AQ437" s="114"/>
    </row>
    <row r="438" spans="17:43" x14ac:dyDescent="0.4">
      <c r="Q438" s="115"/>
      <c r="R438" s="115"/>
      <c r="S438" s="115"/>
      <c r="T438" s="115"/>
      <c r="U438" s="115"/>
      <c r="V438" s="122"/>
      <c r="W438" s="122"/>
      <c r="X438" s="122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26"/>
      <c r="AN438" s="13"/>
      <c r="AQ438" s="114"/>
    </row>
    <row r="439" spans="17:43" x14ac:dyDescent="0.4">
      <c r="Q439" s="115"/>
      <c r="R439" s="115"/>
      <c r="S439" s="115"/>
      <c r="T439" s="115"/>
      <c r="U439" s="115"/>
      <c r="V439" s="122"/>
      <c r="W439" s="122"/>
      <c r="X439" s="122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26"/>
      <c r="AN439" s="13"/>
      <c r="AQ439" s="114"/>
    </row>
    <row r="440" spans="17:43" x14ac:dyDescent="0.4">
      <c r="Q440" s="115"/>
      <c r="R440" s="115"/>
      <c r="S440" s="115"/>
      <c r="T440" s="115"/>
      <c r="U440" s="115"/>
      <c r="V440" s="122"/>
      <c r="W440" s="122"/>
      <c r="X440" s="122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26"/>
      <c r="AN440" s="13"/>
      <c r="AQ440" s="114"/>
    </row>
    <row r="441" spans="17:43" x14ac:dyDescent="0.4">
      <c r="Q441" s="115"/>
      <c r="R441" s="115"/>
      <c r="S441" s="115"/>
      <c r="T441" s="115"/>
      <c r="U441" s="115"/>
      <c r="V441" s="122"/>
      <c r="W441" s="122"/>
      <c r="X441" s="122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26"/>
      <c r="AN441" s="13"/>
      <c r="AQ441" s="114"/>
    </row>
    <row r="442" spans="17:43" x14ac:dyDescent="0.4">
      <c r="Q442" s="115"/>
      <c r="R442" s="115"/>
      <c r="S442" s="115"/>
      <c r="T442" s="115"/>
      <c r="U442" s="115"/>
      <c r="V442" s="122"/>
      <c r="W442" s="122"/>
      <c r="X442" s="122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26"/>
      <c r="AN442" s="13"/>
      <c r="AQ442" s="114"/>
    </row>
    <row r="443" spans="17:43" x14ac:dyDescent="0.4">
      <c r="Q443" s="115"/>
      <c r="R443" s="115"/>
      <c r="S443" s="115"/>
      <c r="T443" s="115"/>
      <c r="U443" s="115"/>
      <c r="V443" s="122"/>
      <c r="W443" s="122"/>
      <c r="X443" s="122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26"/>
      <c r="AN443" s="13"/>
      <c r="AQ443" s="114"/>
    </row>
    <row r="444" spans="17:43" x14ac:dyDescent="0.4">
      <c r="Q444" s="115"/>
      <c r="R444" s="115"/>
      <c r="S444" s="115"/>
      <c r="T444" s="115"/>
      <c r="U444" s="115"/>
      <c r="V444" s="122"/>
      <c r="W444" s="122"/>
      <c r="X444" s="122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7"/>
      <c r="AN444" s="13"/>
      <c r="AQ444" s="114"/>
    </row>
    <row r="445" spans="17:43" x14ac:dyDescent="0.4">
      <c r="Q445" s="115"/>
      <c r="R445" s="115"/>
      <c r="S445" s="115"/>
      <c r="T445" s="115"/>
      <c r="U445" s="115"/>
      <c r="V445" s="122"/>
      <c r="W445" s="122"/>
      <c r="X445" s="122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26"/>
      <c r="AN445" s="13"/>
      <c r="AQ445" s="114"/>
    </row>
    <row r="446" spans="17:43" x14ac:dyDescent="0.4">
      <c r="Q446" s="115"/>
      <c r="R446" s="115"/>
      <c r="S446" s="115"/>
      <c r="T446" s="115"/>
      <c r="U446" s="115"/>
      <c r="V446" s="122"/>
      <c r="W446" s="122"/>
      <c r="X446" s="122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26"/>
      <c r="AN446" s="13"/>
      <c r="AQ446" s="114"/>
    </row>
    <row r="447" spans="17:43" x14ac:dyDescent="0.4">
      <c r="Q447" s="115"/>
      <c r="R447" s="115"/>
      <c r="S447" s="115"/>
      <c r="T447" s="115"/>
      <c r="U447" s="115"/>
      <c r="V447" s="122"/>
      <c r="W447" s="122"/>
      <c r="X447" s="122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26"/>
      <c r="AN447" s="13"/>
      <c r="AQ447" s="114"/>
    </row>
    <row r="448" spans="17:43" x14ac:dyDescent="0.4">
      <c r="Q448" s="115"/>
      <c r="R448" s="115"/>
      <c r="S448" s="115"/>
      <c r="T448" s="115"/>
      <c r="U448" s="115"/>
      <c r="V448" s="122"/>
      <c r="W448" s="122"/>
      <c r="X448" s="122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7"/>
      <c r="AN448" s="13"/>
      <c r="AQ448" s="114"/>
    </row>
    <row r="449" spans="16:43" x14ac:dyDescent="0.4">
      <c r="Q449" s="115"/>
      <c r="R449" s="115"/>
      <c r="S449" s="115"/>
      <c r="T449" s="115"/>
      <c r="U449" s="115"/>
      <c r="V449" s="122"/>
      <c r="W449" s="122"/>
      <c r="X449" s="122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26"/>
      <c r="AN449" s="13"/>
      <c r="AQ449" s="114"/>
    </row>
    <row r="450" spans="16:43" x14ac:dyDescent="0.4">
      <c r="Q450" s="115"/>
      <c r="R450" s="115"/>
      <c r="S450" s="115"/>
      <c r="T450" s="115"/>
      <c r="U450" s="115"/>
      <c r="V450" s="122"/>
      <c r="W450" s="122"/>
      <c r="X450" s="122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7"/>
      <c r="AN450" s="13"/>
      <c r="AQ450" s="114"/>
    </row>
    <row r="451" spans="16:43" x14ac:dyDescent="0.4">
      <c r="Q451" s="115"/>
      <c r="R451" s="115"/>
      <c r="S451" s="115"/>
      <c r="T451" s="115"/>
      <c r="U451" s="115"/>
      <c r="V451" s="122"/>
      <c r="W451" s="122"/>
      <c r="X451" s="122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26"/>
      <c r="AN451" s="13"/>
      <c r="AQ451" s="114"/>
    </row>
    <row r="452" spans="16:43" x14ac:dyDescent="0.4">
      <c r="Q452" s="115"/>
      <c r="R452" s="115"/>
      <c r="S452" s="115"/>
      <c r="T452" s="115"/>
      <c r="U452" s="115"/>
      <c r="V452" s="122"/>
      <c r="W452" s="122"/>
      <c r="X452" s="122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26"/>
      <c r="AN452" s="15"/>
      <c r="AQ452" s="114"/>
    </row>
    <row r="453" spans="16:43" x14ac:dyDescent="0.4">
      <c r="Q453" s="115"/>
      <c r="R453" s="115"/>
      <c r="S453" s="115"/>
      <c r="T453" s="115"/>
      <c r="U453" s="115"/>
      <c r="V453" s="122"/>
      <c r="W453" s="122"/>
      <c r="X453" s="122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7"/>
      <c r="AN453" s="15"/>
      <c r="AQ453" s="114"/>
    </row>
    <row r="454" spans="16:43" x14ac:dyDescent="0.4">
      <c r="Q454" s="115"/>
      <c r="R454" s="115"/>
      <c r="S454" s="115"/>
      <c r="T454" s="115"/>
      <c r="U454" s="115"/>
      <c r="V454" s="122"/>
      <c r="W454" s="122"/>
      <c r="X454" s="122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7"/>
      <c r="AN454" s="15"/>
      <c r="AQ454" s="114"/>
    </row>
    <row r="455" spans="16:43" x14ac:dyDescent="0.4">
      <c r="P455" s="115"/>
      <c r="Q455" s="115"/>
      <c r="R455" s="115"/>
      <c r="S455" s="115"/>
      <c r="T455" s="115"/>
      <c r="U455" s="115"/>
      <c r="V455" s="122"/>
      <c r="W455" s="122"/>
      <c r="X455" s="122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26"/>
      <c r="AN455" s="15"/>
      <c r="AQ455" s="114"/>
    </row>
    <row r="456" spans="16:43" x14ac:dyDescent="0.4">
      <c r="P456" s="115"/>
      <c r="Q456" s="115"/>
      <c r="R456" s="115"/>
      <c r="S456" s="115"/>
      <c r="T456" s="115"/>
      <c r="U456" s="115"/>
      <c r="V456" s="122"/>
      <c r="W456" s="122"/>
      <c r="X456" s="122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7"/>
      <c r="AN456" s="15"/>
      <c r="AQ456" s="114"/>
    </row>
    <row r="457" spans="16:43" x14ac:dyDescent="0.4">
      <c r="P457" s="115"/>
      <c r="Q457" s="115"/>
      <c r="R457" s="115"/>
      <c r="S457" s="115"/>
      <c r="T457" s="115"/>
      <c r="U457" s="115"/>
      <c r="V457" s="122"/>
      <c r="W457" s="122"/>
      <c r="X457" s="122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26"/>
      <c r="AN457" s="15"/>
      <c r="AQ457" s="114"/>
    </row>
    <row r="458" spans="16:43" x14ac:dyDescent="0.4">
      <c r="P458" s="115"/>
      <c r="Q458" s="115"/>
      <c r="R458" s="115"/>
      <c r="S458" s="115"/>
      <c r="T458" s="115"/>
      <c r="U458" s="115"/>
      <c r="V458" s="122"/>
      <c r="W458" s="122"/>
      <c r="X458" s="122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26"/>
      <c r="AN458" s="15"/>
      <c r="AQ458" s="114"/>
    </row>
    <row r="459" spans="16:43" x14ac:dyDescent="0.4">
      <c r="P459" s="115"/>
      <c r="Q459" s="115"/>
      <c r="R459" s="115"/>
      <c r="S459" s="115"/>
      <c r="T459" s="115"/>
      <c r="U459" s="115"/>
      <c r="V459" s="122"/>
      <c r="W459" s="122"/>
      <c r="X459" s="122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7"/>
      <c r="AN459" s="15"/>
      <c r="AQ459" s="114"/>
    </row>
    <row r="460" spans="16:43" x14ac:dyDescent="0.4">
      <c r="P460" s="115"/>
      <c r="Q460" s="115"/>
      <c r="R460" s="115"/>
      <c r="S460" s="115"/>
      <c r="T460" s="115"/>
      <c r="U460" s="115"/>
      <c r="V460" s="122"/>
      <c r="W460" s="122"/>
      <c r="X460" s="122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26"/>
      <c r="AN460" s="15"/>
      <c r="AQ460" s="114"/>
    </row>
    <row r="461" spans="16:43" x14ac:dyDescent="0.4">
      <c r="P461" s="115"/>
      <c r="Q461" s="115"/>
      <c r="R461" s="115"/>
      <c r="S461" s="115"/>
      <c r="T461" s="115"/>
      <c r="U461" s="115"/>
      <c r="V461" s="122"/>
      <c r="W461" s="122"/>
      <c r="X461" s="122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7"/>
      <c r="AN461" s="15"/>
      <c r="AQ461" s="114"/>
    </row>
    <row r="462" spans="16:43" x14ac:dyDescent="0.4">
      <c r="P462" s="115"/>
      <c r="Q462" s="115"/>
      <c r="R462" s="115"/>
      <c r="S462" s="115"/>
      <c r="T462" s="115"/>
      <c r="U462" s="115"/>
      <c r="V462" s="122"/>
      <c r="W462" s="122"/>
      <c r="X462" s="122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7"/>
      <c r="AN462" s="15"/>
      <c r="AQ462" s="114"/>
    </row>
    <row r="463" spans="16:43" x14ac:dyDescent="0.4">
      <c r="P463" s="115"/>
      <c r="Q463" s="115"/>
      <c r="R463" s="115"/>
      <c r="S463" s="115"/>
      <c r="T463" s="115"/>
      <c r="U463" s="115"/>
      <c r="V463" s="122"/>
      <c r="W463" s="122"/>
      <c r="X463" s="122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26"/>
      <c r="AN463" s="15"/>
      <c r="AQ463" s="114"/>
    </row>
    <row r="464" spans="16:43" x14ac:dyDescent="0.4">
      <c r="P464" s="115"/>
      <c r="Q464" s="115"/>
      <c r="R464" s="115"/>
      <c r="S464" s="115"/>
      <c r="T464" s="115"/>
      <c r="U464" s="115"/>
      <c r="V464" s="122"/>
      <c r="W464" s="122"/>
      <c r="X464" s="122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26"/>
      <c r="AN464" s="15"/>
      <c r="AQ464" s="114"/>
    </row>
    <row r="465" spans="16:43" x14ac:dyDescent="0.4">
      <c r="P465" s="115"/>
      <c r="Q465" s="115"/>
      <c r="R465" s="115"/>
      <c r="S465" s="115"/>
      <c r="T465" s="115"/>
      <c r="U465" s="115"/>
      <c r="V465" s="122"/>
      <c r="W465" s="122"/>
      <c r="X465" s="122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26"/>
      <c r="AN465" s="15"/>
      <c r="AQ465" s="114"/>
    </row>
    <row r="466" spans="16:43" x14ac:dyDescent="0.4">
      <c r="P466" s="115"/>
      <c r="Q466" s="115"/>
      <c r="R466" s="115"/>
      <c r="S466" s="115"/>
      <c r="T466" s="115"/>
      <c r="U466" s="115"/>
      <c r="V466" s="122"/>
      <c r="W466" s="122"/>
      <c r="X466" s="122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26"/>
      <c r="AN466" s="15"/>
      <c r="AQ466" s="114"/>
    </row>
    <row r="467" spans="16:43" x14ac:dyDescent="0.4">
      <c r="P467" s="115"/>
      <c r="Q467" s="115"/>
      <c r="R467" s="115"/>
      <c r="S467" s="115"/>
      <c r="T467" s="115"/>
      <c r="U467" s="115"/>
      <c r="V467" s="122"/>
      <c r="W467" s="122"/>
      <c r="X467" s="122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26"/>
      <c r="AN467" s="15"/>
      <c r="AQ467" s="114"/>
    </row>
    <row r="468" spans="16:43" x14ac:dyDescent="0.4">
      <c r="P468" s="115"/>
      <c r="Q468" s="115"/>
      <c r="R468" s="115"/>
      <c r="S468" s="115"/>
      <c r="T468" s="115"/>
      <c r="U468" s="115"/>
      <c r="V468" s="122"/>
      <c r="W468" s="122"/>
      <c r="X468" s="122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26"/>
      <c r="AN468" s="15"/>
      <c r="AQ468" s="114"/>
    </row>
    <row r="469" spans="16:43" x14ac:dyDescent="0.4">
      <c r="P469" s="115"/>
      <c r="Q469" s="115"/>
      <c r="R469" s="115"/>
      <c r="S469" s="115"/>
      <c r="T469" s="115"/>
      <c r="U469" s="115"/>
      <c r="V469" s="122"/>
      <c r="W469" s="122"/>
      <c r="X469" s="122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26"/>
      <c r="AN469" s="15"/>
      <c r="AQ469" s="114"/>
    </row>
    <row r="470" spans="16:43" x14ac:dyDescent="0.4">
      <c r="P470" s="115"/>
      <c r="Q470" s="115"/>
      <c r="R470" s="115"/>
      <c r="S470" s="115"/>
      <c r="T470" s="115"/>
      <c r="U470" s="115"/>
      <c r="V470" s="122"/>
      <c r="W470" s="122"/>
      <c r="X470" s="122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7"/>
      <c r="AN470" s="15"/>
      <c r="AQ470" s="114"/>
    </row>
    <row r="471" spans="16:43" x14ac:dyDescent="0.4">
      <c r="P471" s="115"/>
      <c r="Q471" s="115"/>
      <c r="R471" s="115"/>
      <c r="S471" s="115"/>
      <c r="T471" s="115"/>
      <c r="U471" s="115"/>
      <c r="V471" s="122"/>
      <c r="W471" s="122"/>
      <c r="X471" s="122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26"/>
      <c r="AN471" s="15"/>
      <c r="AQ471" s="114"/>
    </row>
    <row r="472" spans="16:43" x14ac:dyDescent="0.4">
      <c r="P472" s="115"/>
      <c r="Q472" s="115"/>
      <c r="R472" s="115"/>
      <c r="S472" s="115"/>
      <c r="T472" s="115"/>
      <c r="U472" s="115"/>
      <c r="V472" s="122"/>
      <c r="W472" s="122"/>
      <c r="X472" s="122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26"/>
      <c r="AN472" s="15"/>
      <c r="AQ472" s="114"/>
    </row>
    <row r="473" spans="16:43" x14ac:dyDescent="0.4">
      <c r="P473" s="115"/>
      <c r="Q473" s="115"/>
      <c r="R473" s="115"/>
      <c r="S473" s="115"/>
      <c r="T473" s="115"/>
      <c r="U473" s="115"/>
      <c r="V473" s="122"/>
      <c r="W473" s="122"/>
      <c r="X473" s="122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26"/>
      <c r="AN473" s="15"/>
      <c r="AQ473" s="114"/>
    </row>
    <row r="474" spans="16:43" x14ac:dyDescent="0.4">
      <c r="P474" s="115"/>
      <c r="Q474" s="115"/>
      <c r="R474" s="115"/>
      <c r="S474" s="115"/>
      <c r="T474" s="115"/>
      <c r="U474" s="115"/>
      <c r="V474" s="122"/>
      <c r="W474" s="122"/>
      <c r="X474" s="122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26"/>
      <c r="AN474" s="13"/>
      <c r="AQ474" s="114"/>
    </row>
    <row r="475" spans="16:43" x14ac:dyDescent="0.4">
      <c r="P475" s="115"/>
      <c r="Q475" s="115"/>
      <c r="R475" s="115"/>
      <c r="S475" s="115"/>
      <c r="T475" s="115"/>
      <c r="U475" s="115"/>
      <c r="V475" s="122"/>
      <c r="W475" s="122"/>
      <c r="X475" s="122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7"/>
      <c r="AN475" s="13"/>
      <c r="AQ475" s="114"/>
    </row>
    <row r="476" spans="16:43" x14ac:dyDescent="0.4">
      <c r="P476" s="115"/>
      <c r="Q476" s="115"/>
      <c r="R476" s="115"/>
      <c r="S476" s="115"/>
      <c r="T476" s="115"/>
      <c r="U476" s="115"/>
      <c r="V476" s="122"/>
      <c r="W476" s="122"/>
      <c r="X476" s="122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26"/>
      <c r="AN476" s="13"/>
      <c r="AQ476" s="114"/>
    </row>
    <row r="477" spans="16:43" x14ac:dyDescent="0.4">
      <c r="P477" s="115"/>
      <c r="Q477" s="115"/>
      <c r="R477" s="115"/>
      <c r="S477" s="115"/>
      <c r="T477" s="115"/>
      <c r="U477" s="115"/>
      <c r="V477" s="122"/>
      <c r="W477" s="122"/>
      <c r="X477" s="122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26"/>
      <c r="AN477" s="13"/>
      <c r="AQ477" s="114"/>
    </row>
    <row r="478" spans="16:43" x14ac:dyDescent="0.4">
      <c r="P478" s="115"/>
      <c r="Q478" s="115"/>
      <c r="R478" s="115"/>
      <c r="S478" s="115"/>
      <c r="T478" s="115"/>
      <c r="U478" s="115"/>
      <c r="V478" s="122"/>
      <c r="W478" s="122"/>
      <c r="X478" s="122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26"/>
      <c r="AN478" s="13"/>
      <c r="AQ478" s="114"/>
    </row>
    <row r="479" spans="16:43" x14ac:dyDescent="0.4">
      <c r="P479" s="115"/>
      <c r="Q479" s="115"/>
      <c r="R479" s="115"/>
      <c r="S479" s="115"/>
      <c r="T479" s="115"/>
      <c r="U479" s="115"/>
      <c r="V479" s="122"/>
      <c r="W479" s="122"/>
      <c r="X479" s="122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26"/>
      <c r="AN479" s="13"/>
      <c r="AQ479" s="114"/>
    </row>
    <row r="480" spans="16:43" x14ac:dyDescent="0.4">
      <c r="P480" s="115"/>
      <c r="Q480" s="115"/>
      <c r="R480" s="115"/>
      <c r="S480" s="115"/>
      <c r="T480" s="115"/>
      <c r="U480" s="115"/>
      <c r="V480" s="122"/>
      <c r="W480" s="122"/>
      <c r="X480" s="122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26"/>
      <c r="AN480" s="13"/>
      <c r="AQ480" s="114"/>
    </row>
    <row r="481" spans="5:43" x14ac:dyDescent="0.4">
      <c r="P481" s="115"/>
      <c r="Q481" s="115"/>
      <c r="R481" s="115"/>
      <c r="S481" s="115"/>
      <c r="T481" s="115"/>
      <c r="U481" s="115"/>
      <c r="V481" s="122"/>
      <c r="W481" s="122"/>
      <c r="X481" s="122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26"/>
      <c r="AN481" s="13"/>
      <c r="AQ481" s="114"/>
    </row>
    <row r="482" spans="5:43" x14ac:dyDescent="0.4">
      <c r="P482" s="115"/>
      <c r="Q482" s="115"/>
      <c r="R482" s="115"/>
      <c r="S482" s="115"/>
      <c r="T482" s="115"/>
      <c r="U482" s="115"/>
      <c r="V482" s="122"/>
      <c r="W482" s="122"/>
      <c r="X482" s="122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7"/>
      <c r="AN482" s="13"/>
      <c r="AQ482" s="114"/>
    </row>
    <row r="483" spans="5:43" x14ac:dyDescent="0.4">
      <c r="P483" s="115"/>
      <c r="Q483" s="115"/>
      <c r="R483" s="115"/>
      <c r="S483" s="115"/>
      <c r="T483" s="115"/>
      <c r="U483" s="115"/>
      <c r="V483" s="122"/>
      <c r="W483" s="122"/>
      <c r="X483" s="122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26"/>
      <c r="AN483" s="13"/>
      <c r="AQ483" s="114"/>
    </row>
    <row r="484" spans="5:43" x14ac:dyDescent="0.4">
      <c r="P484" s="115"/>
      <c r="Q484" s="115"/>
      <c r="R484" s="115"/>
      <c r="S484" s="115"/>
      <c r="T484" s="115"/>
      <c r="U484" s="115"/>
      <c r="V484" s="122"/>
      <c r="W484" s="122"/>
      <c r="X484" s="122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26"/>
      <c r="AN484" s="13"/>
      <c r="AQ484" s="114"/>
    </row>
    <row r="485" spans="5:43" x14ac:dyDescent="0.4"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22"/>
      <c r="W485" s="122"/>
      <c r="X485" s="122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26"/>
      <c r="AN485" s="13"/>
      <c r="AQ485" s="114"/>
    </row>
    <row r="486" spans="5:43" x14ac:dyDescent="0.4"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22"/>
      <c r="W486" s="122"/>
      <c r="X486" s="122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26"/>
      <c r="AN486" s="13"/>
      <c r="AQ486" s="114"/>
    </row>
    <row r="487" spans="5:43" x14ac:dyDescent="0.4"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22"/>
      <c r="W487" s="122"/>
      <c r="X487" s="122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26"/>
      <c r="AN487" s="13"/>
      <c r="AQ487" s="114"/>
    </row>
    <row r="488" spans="5:43" x14ac:dyDescent="0.4"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22"/>
      <c r="W488" s="122"/>
      <c r="X488" s="122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26"/>
      <c r="AN488" s="13"/>
      <c r="AQ488" s="114"/>
    </row>
    <row r="489" spans="5:43" x14ac:dyDescent="0.4"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22"/>
      <c r="W489" s="122"/>
      <c r="X489" s="122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26"/>
      <c r="AN489" s="13"/>
      <c r="AQ489" s="114"/>
    </row>
    <row r="490" spans="5:43" x14ac:dyDescent="0.4"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22"/>
      <c r="W490" s="122"/>
      <c r="X490" s="122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26"/>
      <c r="AN490" s="13"/>
      <c r="AQ490" s="114"/>
    </row>
    <row r="491" spans="5:43" x14ac:dyDescent="0.4"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22"/>
      <c r="W491" s="122"/>
      <c r="X491" s="122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26"/>
      <c r="AN491" s="13"/>
      <c r="AQ491" s="114"/>
    </row>
    <row r="492" spans="5:43" x14ac:dyDescent="0.4"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22"/>
      <c r="W492" s="122"/>
      <c r="X492" s="122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26"/>
      <c r="AN492" s="13"/>
      <c r="AQ492" s="114"/>
    </row>
    <row r="493" spans="5:43" x14ac:dyDescent="0.4"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22"/>
      <c r="W493" s="122"/>
      <c r="X493" s="122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26"/>
      <c r="AN493" s="13"/>
      <c r="AQ493" s="114"/>
    </row>
    <row r="494" spans="5:43" x14ac:dyDescent="0.4"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22"/>
      <c r="W494" s="122"/>
      <c r="X494" s="122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26"/>
      <c r="AN494" s="13"/>
      <c r="AQ494" s="114"/>
    </row>
    <row r="495" spans="5:43" x14ac:dyDescent="0.4"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22"/>
      <c r="W495" s="122"/>
      <c r="X495" s="122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26"/>
      <c r="AN495" s="13"/>
      <c r="AQ495" s="114"/>
    </row>
    <row r="496" spans="5:43" x14ac:dyDescent="0.4"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22"/>
      <c r="W496" s="122"/>
      <c r="X496" s="122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26"/>
      <c r="AN496" s="13"/>
      <c r="AQ496" s="114"/>
    </row>
    <row r="497" spans="3:43" x14ac:dyDescent="0.4"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22"/>
      <c r="W497" s="122"/>
      <c r="X497" s="122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26"/>
      <c r="AN497" s="13"/>
      <c r="AQ497" s="114"/>
    </row>
    <row r="498" spans="3:43" x14ac:dyDescent="0.4"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22"/>
      <c r="W498" s="122"/>
      <c r="X498" s="122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26"/>
      <c r="AN498" s="13"/>
      <c r="AQ498" s="114"/>
    </row>
    <row r="499" spans="3:43" x14ac:dyDescent="0.4"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22"/>
      <c r="W499" s="122"/>
      <c r="X499" s="122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26"/>
      <c r="AN499" s="13"/>
      <c r="AQ499" s="114"/>
    </row>
    <row r="500" spans="3:43" x14ac:dyDescent="0.4"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22"/>
      <c r="W500" s="122"/>
      <c r="X500" s="122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26"/>
      <c r="AN500" s="13"/>
      <c r="AQ500" s="114"/>
    </row>
    <row r="501" spans="3:43" x14ac:dyDescent="0.4"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22"/>
      <c r="W501" s="122"/>
      <c r="X501" s="122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7"/>
      <c r="AN501" s="13"/>
      <c r="AQ501" s="114"/>
    </row>
    <row r="502" spans="3:43" x14ac:dyDescent="0.4"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22"/>
      <c r="W502" s="122"/>
      <c r="X502" s="122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26"/>
      <c r="AN502" s="13"/>
      <c r="AQ502" s="114"/>
    </row>
    <row r="503" spans="3:43" x14ac:dyDescent="0.4"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22"/>
      <c r="W503" s="122"/>
      <c r="X503" s="122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26"/>
      <c r="AN503" s="13"/>
      <c r="AQ503" s="114"/>
    </row>
    <row r="504" spans="3:43" x14ac:dyDescent="0.4"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22"/>
      <c r="W504" s="122"/>
      <c r="X504" s="122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26"/>
      <c r="AN504" s="13"/>
      <c r="AQ504" s="114"/>
    </row>
    <row r="505" spans="3:43" x14ac:dyDescent="0.4"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22"/>
      <c r="W505" s="122"/>
      <c r="X505" s="122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26"/>
      <c r="AN505" s="15"/>
      <c r="AQ505" s="114"/>
    </row>
    <row r="506" spans="3:43" x14ac:dyDescent="0.4"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22"/>
      <c r="W506" s="122"/>
      <c r="X506" s="122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26"/>
      <c r="AN506" s="15"/>
      <c r="AQ506" s="114"/>
    </row>
    <row r="507" spans="3:43" x14ac:dyDescent="0.4"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22"/>
      <c r="W507" s="122"/>
      <c r="X507" s="122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26"/>
      <c r="AN507" s="15"/>
      <c r="AQ507" s="114"/>
    </row>
    <row r="508" spans="3:43" x14ac:dyDescent="0.4"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22"/>
      <c r="W508" s="122"/>
      <c r="X508" s="122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26"/>
      <c r="AN508" s="13"/>
      <c r="AQ508" s="114"/>
    </row>
    <row r="509" spans="3:43" x14ac:dyDescent="0.4"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22"/>
      <c r="W509" s="122"/>
      <c r="X509" s="122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26"/>
      <c r="AN509" s="13"/>
      <c r="AQ509" s="114"/>
    </row>
    <row r="510" spans="3:43" x14ac:dyDescent="0.4"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22"/>
      <c r="W510" s="122"/>
      <c r="X510" s="122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26"/>
      <c r="AN510" s="13"/>
      <c r="AQ510" s="114"/>
    </row>
    <row r="511" spans="3:43" x14ac:dyDescent="0.4"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22"/>
      <c r="W511" s="122"/>
      <c r="X511" s="122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7"/>
      <c r="AN511" s="13"/>
      <c r="AQ511" s="114"/>
    </row>
    <row r="512" spans="3:43" x14ac:dyDescent="0.4"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22"/>
      <c r="W512" s="122"/>
      <c r="X512" s="122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26"/>
      <c r="AN512" s="13"/>
      <c r="AQ512" s="114"/>
    </row>
    <row r="513" spans="1:43" x14ac:dyDescent="0.4"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22"/>
      <c r="W513" s="122"/>
      <c r="X513" s="122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26"/>
      <c r="AN513" s="25"/>
      <c r="AQ513" s="114"/>
    </row>
    <row r="514" spans="1:43" x14ac:dyDescent="0.4"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22"/>
      <c r="W514" s="122"/>
      <c r="X514" s="122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26"/>
      <c r="AN514" s="13"/>
      <c r="AQ514" s="114"/>
    </row>
    <row r="515" spans="1:43" x14ac:dyDescent="0.4"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22"/>
      <c r="W515" s="122"/>
      <c r="X515" s="122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26"/>
      <c r="AN515" s="13"/>
      <c r="AQ515" s="114"/>
    </row>
    <row r="516" spans="1:43" x14ac:dyDescent="0.4"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22"/>
      <c r="W516" s="122"/>
      <c r="X516" s="122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26"/>
      <c r="AN516" s="13"/>
      <c r="AQ516" s="114"/>
    </row>
    <row r="517" spans="1:43" x14ac:dyDescent="0.4"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22"/>
      <c r="W517" s="122"/>
      <c r="X517" s="122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26"/>
      <c r="AN517" s="13"/>
      <c r="AQ517" s="114"/>
    </row>
    <row r="518" spans="1:43" x14ac:dyDescent="0.4"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22"/>
      <c r="W518" s="122"/>
      <c r="X518" s="122"/>
      <c r="Y518" s="115"/>
      <c r="Z518" s="115"/>
      <c r="AA518" s="115"/>
      <c r="AB518" s="115"/>
      <c r="AM518" s="26"/>
      <c r="AN518" s="13"/>
      <c r="AQ518" s="114"/>
    </row>
    <row r="519" spans="1:43" x14ac:dyDescent="0.4"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22"/>
      <c r="W519" s="122"/>
      <c r="X519" s="122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26"/>
      <c r="AN519" s="13"/>
      <c r="AQ519" s="114"/>
    </row>
    <row r="520" spans="1:43" x14ac:dyDescent="0.4"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22"/>
      <c r="W520" s="122"/>
      <c r="X520" s="122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7"/>
      <c r="AN520" s="13"/>
      <c r="AQ520" s="114"/>
    </row>
    <row r="521" spans="1:43" x14ac:dyDescent="0.4"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22"/>
      <c r="W521" s="122"/>
      <c r="X521" s="122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26"/>
      <c r="AN521" s="13"/>
      <c r="AQ521" s="114"/>
    </row>
    <row r="522" spans="1:43" x14ac:dyDescent="0.4"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22"/>
      <c r="W522" s="122"/>
      <c r="X522" s="122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26"/>
      <c r="AN522" s="15"/>
      <c r="AQ522" s="114"/>
    </row>
    <row r="523" spans="1:43" x14ac:dyDescent="0.4"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22"/>
      <c r="W523" s="122"/>
      <c r="X523" s="122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7"/>
      <c r="AN523" s="15"/>
      <c r="AQ523" s="114"/>
    </row>
    <row r="524" spans="1:43" x14ac:dyDescent="0.4"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22"/>
      <c r="W524" s="122"/>
      <c r="X524" s="122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26"/>
      <c r="AN524" s="15"/>
      <c r="AQ524" s="114"/>
    </row>
    <row r="525" spans="1:43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22"/>
      <c r="W525" s="122"/>
      <c r="X525" s="122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26"/>
      <c r="AN525" s="15"/>
      <c r="AQ525" s="114"/>
    </row>
    <row r="526" spans="1:43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22"/>
      <c r="W526" s="122"/>
      <c r="X526" s="122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7"/>
      <c r="AN526" s="13"/>
      <c r="AQ526" s="114"/>
    </row>
    <row r="527" spans="1:43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22"/>
      <c r="W527" s="122"/>
      <c r="X527" s="122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7"/>
      <c r="AN527" s="13"/>
      <c r="AQ527" s="114"/>
    </row>
    <row r="528" spans="1:43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22"/>
      <c r="W528" s="122"/>
      <c r="X528" s="122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26"/>
      <c r="AN528" s="13"/>
      <c r="AQ528" s="114"/>
    </row>
    <row r="529" spans="1:43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22"/>
      <c r="W529" s="122"/>
      <c r="X529" s="122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26"/>
      <c r="AN529" s="13"/>
      <c r="AQ529" s="114"/>
    </row>
    <row r="530" spans="1:43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22"/>
      <c r="W530" s="122"/>
      <c r="X530" s="122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7"/>
      <c r="AN530" s="13"/>
      <c r="AQ530" s="114"/>
    </row>
    <row r="531" spans="1:43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22"/>
      <c r="W531" s="122"/>
      <c r="X531" s="122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26"/>
      <c r="AN531" s="15"/>
      <c r="AQ531" s="114"/>
    </row>
    <row r="532" spans="1:43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22"/>
      <c r="W532" s="122"/>
      <c r="X532" s="122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26"/>
      <c r="AN532" s="15"/>
      <c r="AQ532" s="114"/>
    </row>
    <row r="533" spans="1:43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22"/>
      <c r="W533" s="122"/>
      <c r="X533" s="122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26"/>
      <c r="AN533" s="15"/>
      <c r="AQ533" s="114"/>
    </row>
    <row r="534" spans="1:43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22"/>
      <c r="W534" s="122"/>
      <c r="X534" s="122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26"/>
      <c r="AN534" s="13"/>
      <c r="AQ534" s="114"/>
    </row>
    <row r="535" spans="1:43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22"/>
      <c r="W535" s="122"/>
      <c r="X535" s="122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26"/>
      <c r="AN535" s="25"/>
      <c r="AQ535" s="114"/>
    </row>
    <row r="536" spans="1:43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22"/>
      <c r="W536" s="122"/>
      <c r="X536" s="122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26"/>
      <c r="AN536" s="13"/>
      <c r="AQ536" s="114"/>
    </row>
    <row r="537" spans="1:43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22"/>
      <c r="W537" s="122"/>
      <c r="X537" s="122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26"/>
      <c r="AN537" s="13"/>
      <c r="AQ537" s="114"/>
    </row>
    <row r="538" spans="1:43" x14ac:dyDescent="0.4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22"/>
      <c r="W538" s="122"/>
      <c r="X538" s="122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26"/>
      <c r="AN538" s="13"/>
      <c r="AQ538" s="114"/>
    </row>
    <row r="539" spans="1:43" x14ac:dyDescent="0.4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22"/>
      <c r="W539" s="122"/>
      <c r="X539" s="122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26"/>
      <c r="AN539" s="13"/>
      <c r="AQ539" s="114"/>
    </row>
    <row r="540" spans="1:43" x14ac:dyDescent="0.4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22"/>
      <c r="W540" s="122"/>
      <c r="X540" s="122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26"/>
      <c r="AN540" s="13"/>
      <c r="AQ540" s="114"/>
    </row>
    <row r="541" spans="1:43" x14ac:dyDescent="0.4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22"/>
      <c r="W541" s="122"/>
      <c r="X541" s="122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26"/>
      <c r="AN541" s="13"/>
      <c r="AQ541" s="114"/>
    </row>
    <row r="542" spans="1:43" x14ac:dyDescent="0.4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22"/>
      <c r="W542" s="122"/>
      <c r="X542" s="122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26"/>
      <c r="AN542" s="13"/>
      <c r="AQ542" s="114"/>
    </row>
    <row r="543" spans="1:43" x14ac:dyDescent="0.4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22"/>
      <c r="W543" s="122"/>
      <c r="X543" s="122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26"/>
      <c r="AN543" s="13"/>
      <c r="AQ543" s="114"/>
    </row>
    <row r="544" spans="1:43" x14ac:dyDescent="0.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22"/>
      <c r="W544" s="122"/>
      <c r="X544" s="122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26"/>
      <c r="AN544" s="13"/>
      <c r="AQ544" s="114"/>
    </row>
    <row r="545" spans="1:43" x14ac:dyDescent="0.4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22"/>
      <c r="W545" s="122"/>
      <c r="X545" s="122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26"/>
      <c r="AN545" s="13"/>
      <c r="AQ545" s="114"/>
    </row>
    <row r="546" spans="1:43" x14ac:dyDescent="0.4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22"/>
      <c r="W546" s="122"/>
      <c r="X546" s="122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26"/>
      <c r="AN546" s="15"/>
      <c r="AQ546" s="114"/>
    </row>
    <row r="547" spans="1:43" x14ac:dyDescent="0.4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22"/>
      <c r="W547" s="122"/>
      <c r="X547" s="122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26"/>
      <c r="AN547" s="15"/>
      <c r="AQ547" s="114"/>
    </row>
    <row r="548" spans="1:43" x14ac:dyDescent="0.4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22"/>
      <c r="W548" s="122"/>
      <c r="X548" s="122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26"/>
      <c r="AN548" s="15"/>
      <c r="AQ548" s="114"/>
    </row>
    <row r="549" spans="1:43" x14ac:dyDescent="0.4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22"/>
      <c r="W549" s="122"/>
      <c r="X549" s="122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26"/>
      <c r="AN549" s="15"/>
      <c r="AQ549" s="114"/>
    </row>
    <row r="550" spans="1:43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22"/>
      <c r="W550" s="122"/>
      <c r="X550" s="122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26"/>
      <c r="AN550" s="13"/>
      <c r="AQ550" s="114"/>
    </row>
    <row r="551" spans="1:43" x14ac:dyDescent="0.4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22"/>
      <c r="W551" s="122"/>
      <c r="X551" s="122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26"/>
      <c r="AN551" s="15"/>
      <c r="AQ551" s="114"/>
    </row>
    <row r="552" spans="1:43" x14ac:dyDescent="0.4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22"/>
      <c r="W552" s="122"/>
      <c r="X552" s="122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26"/>
      <c r="AN552" s="15"/>
      <c r="AQ552" s="114"/>
    </row>
    <row r="553" spans="1:43" x14ac:dyDescent="0.4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22"/>
      <c r="W553" s="122"/>
      <c r="X553" s="122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26"/>
      <c r="AN553" s="15"/>
      <c r="AQ553" s="114"/>
    </row>
    <row r="554" spans="1:43" x14ac:dyDescent="0.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22"/>
      <c r="W554" s="122"/>
      <c r="X554" s="122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26"/>
      <c r="AN554" s="15"/>
      <c r="AQ554" s="114"/>
    </row>
    <row r="555" spans="1:43" x14ac:dyDescent="0.4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22"/>
      <c r="W555" s="122"/>
      <c r="X555" s="122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26"/>
      <c r="AN555" s="15"/>
      <c r="AQ555" s="114"/>
    </row>
    <row r="556" spans="1:43" x14ac:dyDescent="0.4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22"/>
      <c r="W556" s="122"/>
      <c r="X556" s="122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26"/>
      <c r="AN556" s="105"/>
      <c r="AQ556" s="114"/>
    </row>
    <row r="557" spans="1:43" x14ac:dyDescent="0.4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22"/>
      <c r="W557" s="122"/>
      <c r="X557" s="122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7"/>
      <c r="AN557" s="15"/>
      <c r="AQ557" s="114"/>
    </row>
    <row r="558" spans="1:43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22"/>
      <c r="W558" s="122"/>
      <c r="X558" s="122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26"/>
      <c r="AN558" s="15"/>
      <c r="AQ558" s="114"/>
    </row>
    <row r="559" spans="1:43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22"/>
      <c r="W559" s="122"/>
      <c r="X559" s="122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26"/>
      <c r="AN559" s="15"/>
      <c r="AQ559" s="114"/>
    </row>
    <row r="560" spans="1:43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22"/>
      <c r="W560" s="122"/>
      <c r="X560" s="122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26"/>
      <c r="AN560" s="105"/>
      <c r="AQ560" s="114"/>
    </row>
    <row r="561" spans="2:43" x14ac:dyDescent="0.4">
      <c r="AM561" s="26"/>
      <c r="AN561" s="15"/>
      <c r="AQ561" s="114"/>
    </row>
    <row r="562" spans="2:43" x14ac:dyDescent="0.4">
      <c r="W562" s="122"/>
      <c r="X562" s="122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26"/>
      <c r="AN562" s="15"/>
      <c r="AQ562" s="114"/>
    </row>
    <row r="563" spans="2:43" x14ac:dyDescent="0.4">
      <c r="S563" s="115"/>
      <c r="T563" s="115"/>
      <c r="U563" s="115"/>
      <c r="V563" s="122"/>
      <c r="W563" s="122"/>
      <c r="X563" s="122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26"/>
      <c r="AN563" s="15"/>
      <c r="AQ563" s="114"/>
    </row>
    <row r="564" spans="2:43" x14ac:dyDescent="0.4"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22"/>
      <c r="W564" s="122"/>
      <c r="X564" s="122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26"/>
      <c r="AN564" s="15"/>
      <c r="AQ564" s="114"/>
    </row>
    <row r="565" spans="2:43" x14ac:dyDescent="0.4"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22"/>
      <c r="W565" s="122"/>
      <c r="X565" s="122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7"/>
      <c r="AN565" s="15"/>
      <c r="AQ565" s="114"/>
    </row>
    <row r="566" spans="2:43" x14ac:dyDescent="0.4"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22"/>
      <c r="W566" s="122"/>
      <c r="X566" s="122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26"/>
      <c r="AN566" s="15"/>
      <c r="AQ566" s="114"/>
    </row>
    <row r="567" spans="2:43" x14ac:dyDescent="0.4"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22"/>
      <c r="W567" s="122"/>
      <c r="X567" s="122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26"/>
      <c r="AN567" s="15"/>
      <c r="AQ567" s="114"/>
    </row>
    <row r="568" spans="2:43" x14ac:dyDescent="0.4"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22"/>
      <c r="W568" s="122"/>
      <c r="X568" s="122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26"/>
      <c r="AN568" s="15"/>
      <c r="AQ568" s="114"/>
    </row>
    <row r="569" spans="2:43" x14ac:dyDescent="0.4"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22"/>
      <c r="W569" s="122"/>
      <c r="X569" s="122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26"/>
      <c r="AN569" s="15"/>
      <c r="AQ569" s="114"/>
    </row>
    <row r="570" spans="2:43" x14ac:dyDescent="0.4"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22"/>
      <c r="W570" s="122"/>
      <c r="X570" s="122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26"/>
      <c r="AN570" s="15"/>
      <c r="AQ570" s="114"/>
    </row>
    <row r="571" spans="2:43" x14ac:dyDescent="0.4"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22"/>
      <c r="W571" s="122"/>
      <c r="X571" s="122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26"/>
      <c r="AN571" s="15"/>
      <c r="AQ571" s="114"/>
    </row>
    <row r="572" spans="2:43" x14ac:dyDescent="0.4"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22"/>
      <c r="W572" s="122"/>
      <c r="X572" s="122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26"/>
      <c r="AN572" s="15"/>
      <c r="AQ572" s="114"/>
    </row>
    <row r="573" spans="2:43" x14ac:dyDescent="0.4"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22"/>
      <c r="W573" s="122"/>
      <c r="X573" s="122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7"/>
      <c r="AN573" s="15"/>
      <c r="AQ573" s="114"/>
    </row>
    <row r="574" spans="2:43" x14ac:dyDescent="0.4"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22"/>
      <c r="W574" s="122"/>
      <c r="X574" s="122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26"/>
      <c r="AN574" s="15"/>
      <c r="AQ574" s="114"/>
    </row>
    <row r="575" spans="2:43" x14ac:dyDescent="0.4"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22"/>
      <c r="W575" s="122"/>
      <c r="X575" s="122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26"/>
      <c r="AN575" s="15"/>
      <c r="AQ575" s="114"/>
    </row>
    <row r="576" spans="2:43" x14ac:dyDescent="0.4"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22"/>
      <c r="W576" s="122"/>
      <c r="X576" s="122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26"/>
      <c r="AN576" s="15"/>
      <c r="AQ576" s="114"/>
    </row>
    <row r="577" spans="2:43" x14ac:dyDescent="0.4"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22"/>
      <c r="W577" s="122"/>
      <c r="X577" s="122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26"/>
      <c r="AN577" s="15"/>
      <c r="AQ577" s="114"/>
    </row>
    <row r="578" spans="2:43" x14ac:dyDescent="0.4"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22"/>
      <c r="W578" s="122"/>
      <c r="X578" s="122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26"/>
      <c r="AN578" s="15"/>
      <c r="AQ578" s="114"/>
    </row>
    <row r="579" spans="2:43" x14ac:dyDescent="0.4"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22"/>
      <c r="W579" s="122"/>
      <c r="X579" s="122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26"/>
      <c r="AN579" s="15"/>
      <c r="AQ579" s="114"/>
    </row>
    <row r="580" spans="2:43" x14ac:dyDescent="0.4"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22"/>
      <c r="W580" s="122"/>
      <c r="X580" s="122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26"/>
      <c r="AN580" s="15"/>
      <c r="AQ580" s="114"/>
    </row>
    <row r="581" spans="2:43" x14ac:dyDescent="0.4"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22"/>
      <c r="W581" s="122"/>
      <c r="X581" s="122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7"/>
      <c r="AN581" s="15"/>
      <c r="AQ581" s="114"/>
    </row>
    <row r="582" spans="2:43" x14ac:dyDescent="0.4"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22"/>
      <c r="W582" s="122"/>
      <c r="X582" s="122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26"/>
      <c r="AN582" s="15"/>
      <c r="AQ582" s="114"/>
    </row>
    <row r="583" spans="2:43" x14ac:dyDescent="0.4"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22"/>
      <c r="W583" s="122"/>
      <c r="X583" s="122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26"/>
      <c r="AN583" s="15"/>
      <c r="AQ583" s="114"/>
    </row>
    <row r="584" spans="2:43" x14ac:dyDescent="0.4"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22"/>
      <c r="W584" s="122"/>
      <c r="X584" s="122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26"/>
      <c r="AN584" s="15"/>
      <c r="AQ584" s="114"/>
    </row>
    <row r="585" spans="2:43" x14ac:dyDescent="0.4"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22"/>
      <c r="W585" s="122"/>
      <c r="X585" s="122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26"/>
      <c r="AN585" s="15"/>
      <c r="AQ585" s="114"/>
    </row>
    <row r="586" spans="2:43" x14ac:dyDescent="0.4"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22"/>
      <c r="W586" s="122"/>
      <c r="X586" s="122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26"/>
      <c r="AN586" s="15"/>
      <c r="AQ586" s="114"/>
    </row>
    <row r="587" spans="2:43" x14ac:dyDescent="0.4"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22"/>
      <c r="W587" s="122"/>
      <c r="X587" s="122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26"/>
      <c r="AN587" s="15"/>
      <c r="AQ587" s="114"/>
    </row>
    <row r="588" spans="2:43" x14ac:dyDescent="0.4"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22"/>
      <c r="W588" s="122"/>
      <c r="X588" s="122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26"/>
      <c r="AN588" s="15"/>
      <c r="AQ588" s="114"/>
    </row>
    <row r="589" spans="2:43" x14ac:dyDescent="0.4"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22"/>
      <c r="W589" s="122"/>
      <c r="X589" s="122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26"/>
      <c r="AN589" s="15"/>
      <c r="AQ589" s="114"/>
    </row>
    <row r="590" spans="2:43" x14ac:dyDescent="0.4"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22"/>
      <c r="W590" s="122"/>
      <c r="X590" s="122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7"/>
      <c r="AN590" s="15"/>
      <c r="AQ590" s="114"/>
    </row>
    <row r="591" spans="2:43" x14ac:dyDescent="0.4"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22"/>
      <c r="W591" s="122"/>
      <c r="X591" s="122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26"/>
      <c r="AN591" s="15"/>
      <c r="AQ591" s="114"/>
    </row>
    <row r="592" spans="2:43" x14ac:dyDescent="0.4"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22"/>
      <c r="W592" s="122"/>
      <c r="X592" s="122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7"/>
      <c r="AN592" s="15"/>
      <c r="AQ592" s="114"/>
    </row>
    <row r="593" spans="1:43" x14ac:dyDescent="0.4"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22"/>
      <c r="W593" s="122"/>
      <c r="X593" s="122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26"/>
      <c r="AN593" s="15"/>
      <c r="AQ593" s="114"/>
    </row>
    <row r="594" spans="1:43" x14ac:dyDescent="0.4"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22"/>
      <c r="W594" s="122"/>
      <c r="X594" s="122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7"/>
      <c r="AN594" s="15"/>
      <c r="AQ594" s="114"/>
    </row>
    <row r="595" spans="1:43" x14ac:dyDescent="0.4"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22"/>
      <c r="W595" s="122"/>
      <c r="X595" s="122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26"/>
      <c r="AN595" s="15"/>
      <c r="AQ595" s="114"/>
    </row>
    <row r="596" spans="1:43" x14ac:dyDescent="0.4"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22"/>
      <c r="W596" s="122"/>
      <c r="X596" s="122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26"/>
      <c r="AN596" s="15"/>
      <c r="AQ596" s="114"/>
    </row>
    <row r="597" spans="1:43" x14ac:dyDescent="0.4"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22"/>
      <c r="W597" s="122"/>
      <c r="X597" s="122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7"/>
      <c r="AN597" s="15"/>
      <c r="AQ597" s="114"/>
    </row>
    <row r="598" spans="1:43" x14ac:dyDescent="0.4"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22"/>
      <c r="W598" s="122"/>
      <c r="X598" s="122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26"/>
      <c r="AN598" s="15"/>
      <c r="AQ598" s="114"/>
    </row>
    <row r="599" spans="1:43" x14ac:dyDescent="0.4"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22"/>
      <c r="W599" s="122"/>
      <c r="X599" s="122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26"/>
      <c r="AN599" s="15"/>
      <c r="AQ599" s="114"/>
    </row>
    <row r="600" spans="1:43" x14ac:dyDescent="0.4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22"/>
      <c r="W600" s="122"/>
      <c r="X600" s="122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26"/>
      <c r="AN600" s="105"/>
      <c r="AQ600" s="114"/>
    </row>
    <row r="601" spans="1:43" x14ac:dyDescent="0.4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22"/>
      <c r="W601" s="122"/>
      <c r="X601" s="122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7"/>
      <c r="AN601" s="15"/>
      <c r="AQ601" s="114"/>
    </row>
    <row r="602" spans="1:43" x14ac:dyDescent="0.4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22"/>
      <c r="W602" s="122"/>
      <c r="X602" s="122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7"/>
      <c r="AN602" s="15"/>
      <c r="AQ602" s="114"/>
    </row>
    <row r="603" spans="1:43" x14ac:dyDescent="0.4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22"/>
      <c r="W603" s="122"/>
      <c r="X603" s="122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26"/>
      <c r="AN603" s="15"/>
      <c r="AQ603" s="114"/>
    </row>
    <row r="604" spans="1:43" x14ac:dyDescent="0.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22"/>
      <c r="W604" s="122"/>
      <c r="X604" s="122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26"/>
      <c r="AN604" s="15"/>
      <c r="AQ604" s="114"/>
    </row>
    <row r="605" spans="1:43" x14ac:dyDescent="0.4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22"/>
      <c r="W605" s="122"/>
      <c r="X605" s="122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26"/>
      <c r="AN605" s="15"/>
      <c r="AQ605" s="114"/>
    </row>
    <row r="606" spans="1:43" x14ac:dyDescent="0.4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22"/>
      <c r="W606" s="122"/>
      <c r="X606" s="122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26"/>
      <c r="AN606" s="15"/>
      <c r="AQ606" s="114"/>
    </row>
    <row r="607" spans="1:43" x14ac:dyDescent="0.4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22"/>
      <c r="W607" s="122"/>
      <c r="X607" s="122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26"/>
      <c r="AN607" s="15"/>
      <c r="AQ607" s="114"/>
    </row>
    <row r="608" spans="1:43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22"/>
      <c r="W608" s="122"/>
      <c r="X608" s="122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26"/>
      <c r="AN608" s="15"/>
      <c r="AQ608" s="114"/>
    </row>
    <row r="609" spans="1:43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22"/>
      <c r="W609" s="122"/>
      <c r="X609" s="122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26"/>
      <c r="AN609" s="15"/>
      <c r="AQ609" s="114"/>
    </row>
    <row r="610" spans="1:43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22"/>
      <c r="W610" s="122"/>
      <c r="X610" s="122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26"/>
      <c r="AN610" s="15"/>
      <c r="AQ610" s="114"/>
    </row>
    <row r="611" spans="1:43" x14ac:dyDescent="0.4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22"/>
      <c r="W611" s="122"/>
      <c r="X611" s="122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26"/>
      <c r="AN611" s="105"/>
      <c r="AQ611" s="114"/>
    </row>
    <row r="612" spans="1:43" x14ac:dyDescent="0.4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22"/>
      <c r="W612" s="122"/>
      <c r="X612" s="122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26"/>
      <c r="AN612" s="15"/>
      <c r="AQ612" s="114"/>
    </row>
    <row r="613" spans="1:43" x14ac:dyDescent="0.4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22"/>
      <c r="W613" s="122"/>
      <c r="X613" s="122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26"/>
      <c r="AN613" s="15"/>
      <c r="AQ613" s="114"/>
    </row>
    <row r="614" spans="1:43" x14ac:dyDescent="0.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22"/>
      <c r="W614" s="122"/>
      <c r="X614" s="122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26"/>
      <c r="AN614" s="13"/>
      <c r="AQ614" s="114"/>
    </row>
    <row r="615" spans="1:43" x14ac:dyDescent="0.4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22"/>
      <c r="W615" s="122"/>
      <c r="X615" s="122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7"/>
      <c r="AN615" s="13"/>
      <c r="AQ615" s="114"/>
    </row>
    <row r="616" spans="1:43" x14ac:dyDescent="0.4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22"/>
      <c r="W616" s="122"/>
      <c r="X616" s="122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26"/>
      <c r="AN616" s="13"/>
      <c r="AQ616" s="114"/>
    </row>
    <row r="617" spans="1:43" x14ac:dyDescent="0.4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22"/>
      <c r="W617" s="122"/>
      <c r="X617" s="122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26"/>
      <c r="AN617" s="13"/>
      <c r="AQ617" s="114"/>
    </row>
    <row r="618" spans="1:43" x14ac:dyDescent="0.4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22"/>
      <c r="W618" s="122"/>
      <c r="X618" s="122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26"/>
      <c r="AN618" s="13"/>
      <c r="AQ618" s="114"/>
    </row>
    <row r="619" spans="1:43" x14ac:dyDescent="0.4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22"/>
      <c r="W619" s="122"/>
      <c r="X619" s="122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26"/>
      <c r="AN619" s="13"/>
      <c r="AQ619" s="114"/>
    </row>
    <row r="620" spans="1:43" x14ac:dyDescent="0.4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22"/>
      <c r="W620" s="122"/>
      <c r="X620" s="122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26"/>
      <c r="AN620" s="13"/>
      <c r="AQ620" s="114"/>
    </row>
    <row r="621" spans="1:43" x14ac:dyDescent="0.4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22"/>
      <c r="W621" s="122"/>
      <c r="X621" s="122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26"/>
      <c r="AN621" s="13"/>
      <c r="AQ621" s="114"/>
    </row>
    <row r="622" spans="1:43" x14ac:dyDescent="0.4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22"/>
      <c r="W622" s="122"/>
      <c r="X622" s="122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7"/>
      <c r="AN622" s="13"/>
      <c r="AQ622" s="114"/>
    </row>
    <row r="623" spans="1:43" x14ac:dyDescent="0.4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22"/>
      <c r="W623" s="122"/>
      <c r="X623" s="122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26"/>
      <c r="AN623" s="13"/>
      <c r="AQ623" s="114"/>
    </row>
    <row r="624" spans="1:43" x14ac:dyDescent="0.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22"/>
      <c r="W624" s="122"/>
      <c r="X624" s="122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26"/>
      <c r="AN624" s="13"/>
      <c r="AQ624" s="114"/>
    </row>
    <row r="625" spans="1:43" x14ac:dyDescent="0.4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22"/>
      <c r="W625" s="122"/>
      <c r="X625" s="122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26"/>
      <c r="AN625" s="13"/>
      <c r="AQ625" s="114"/>
    </row>
    <row r="626" spans="1:43" x14ac:dyDescent="0.4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22"/>
      <c r="W626" s="122"/>
      <c r="X626" s="122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26"/>
      <c r="AN626" s="13"/>
      <c r="AQ626" s="114"/>
    </row>
    <row r="627" spans="1:43" x14ac:dyDescent="0.4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22"/>
      <c r="W627" s="122"/>
      <c r="X627" s="122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26"/>
      <c r="AN627" s="25"/>
      <c r="AQ627" s="114"/>
    </row>
    <row r="628" spans="1:43" x14ac:dyDescent="0.4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22"/>
      <c r="W628" s="122"/>
      <c r="X628" s="122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7"/>
      <c r="AN628" s="13"/>
      <c r="AQ628" s="114"/>
    </row>
    <row r="629" spans="1:43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22"/>
      <c r="W629" s="122"/>
      <c r="X629" s="122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26"/>
      <c r="AN629" s="15"/>
      <c r="AQ629" s="114"/>
    </row>
    <row r="630" spans="1:43" x14ac:dyDescent="0.4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22"/>
      <c r="W630" s="122"/>
      <c r="X630" s="122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26"/>
      <c r="AN630" s="15"/>
      <c r="AQ630" s="114"/>
    </row>
    <row r="631" spans="1:43" x14ac:dyDescent="0.4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22"/>
      <c r="W631" s="122"/>
      <c r="X631" s="122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7"/>
      <c r="AN631" s="15"/>
      <c r="AQ631" s="114"/>
    </row>
    <row r="632" spans="1:43" x14ac:dyDescent="0.4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22"/>
      <c r="W632" s="122"/>
      <c r="X632" s="122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26"/>
      <c r="AN632" s="15"/>
      <c r="AQ632" s="114"/>
    </row>
    <row r="633" spans="1:43" x14ac:dyDescent="0.4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22"/>
      <c r="W633" s="122"/>
      <c r="X633" s="122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26"/>
      <c r="AN633" s="15"/>
      <c r="AQ633" s="114"/>
    </row>
    <row r="634" spans="1:43" x14ac:dyDescent="0.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22"/>
      <c r="W634" s="122"/>
      <c r="X634" s="122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26"/>
      <c r="AN634" s="13"/>
      <c r="AQ634" s="114"/>
    </row>
    <row r="635" spans="1:43" x14ac:dyDescent="0.4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22"/>
      <c r="W635" s="122"/>
      <c r="X635" s="122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26"/>
      <c r="AN635" s="13"/>
      <c r="AQ635" s="114"/>
    </row>
    <row r="636" spans="1:43" x14ac:dyDescent="0.4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22"/>
      <c r="W636" s="122"/>
      <c r="X636" s="122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26"/>
      <c r="AN636" s="13"/>
      <c r="AQ636" s="114"/>
    </row>
    <row r="637" spans="1:43" x14ac:dyDescent="0.4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22"/>
      <c r="W637" s="122"/>
      <c r="X637" s="122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26"/>
      <c r="AN637" s="13"/>
      <c r="AQ637" s="114"/>
    </row>
    <row r="638" spans="1:43" x14ac:dyDescent="0.4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22"/>
      <c r="W638" s="122"/>
      <c r="X638" s="122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26"/>
      <c r="AN638" s="13"/>
      <c r="AQ638" s="114"/>
    </row>
    <row r="639" spans="1:43" x14ac:dyDescent="0.4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22"/>
      <c r="W639" s="122"/>
      <c r="X639" s="122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26"/>
      <c r="AN639" s="13"/>
      <c r="AQ639" s="114"/>
    </row>
    <row r="640" spans="1:43" x14ac:dyDescent="0.4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22"/>
      <c r="W640" s="122"/>
      <c r="X640" s="122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26"/>
      <c r="AN640" s="13"/>
      <c r="AQ640" s="114"/>
    </row>
    <row r="641" spans="1:44" x14ac:dyDescent="0.4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22"/>
      <c r="W641" s="122"/>
      <c r="X641" s="122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26"/>
      <c r="AN641" s="13"/>
      <c r="AQ641" s="114"/>
    </row>
    <row r="642" spans="1:44" x14ac:dyDescent="0.4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22"/>
      <c r="W642" s="122"/>
      <c r="X642" s="122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7"/>
      <c r="AN642" s="13"/>
      <c r="AQ642" s="114"/>
    </row>
    <row r="643" spans="1:44" x14ac:dyDescent="0.4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22"/>
      <c r="W643" s="122"/>
      <c r="X643" s="122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26"/>
      <c r="AN643" s="13"/>
      <c r="AQ643" s="114"/>
    </row>
    <row r="644" spans="1:44" x14ac:dyDescent="0.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22"/>
      <c r="W644" s="122"/>
      <c r="X644" s="122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7"/>
      <c r="AN644" s="13"/>
      <c r="AQ644" s="114"/>
    </row>
    <row r="645" spans="1:44" x14ac:dyDescent="0.4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22"/>
      <c r="W645" s="122"/>
      <c r="X645" s="122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26"/>
      <c r="AN645" s="13"/>
      <c r="AQ645" s="114"/>
    </row>
    <row r="646" spans="1:44" x14ac:dyDescent="0.4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22"/>
      <c r="W646" s="122"/>
      <c r="X646" s="122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26"/>
      <c r="AN646" s="13"/>
      <c r="AQ646" s="114"/>
    </row>
    <row r="647" spans="1:44" x14ac:dyDescent="0.4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22"/>
      <c r="W647" s="122"/>
      <c r="X647" s="122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26"/>
      <c r="AN647" s="13"/>
      <c r="AQ647" s="114"/>
    </row>
    <row r="648" spans="1:44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22"/>
      <c r="W648" s="122"/>
      <c r="X648" s="122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26"/>
      <c r="AN648" s="15"/>
      <c r="AQ648" s="114"/>
    </row>
    <row r="649" spans="1:44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22"/>
      <c r="W649" s="122"/>
      <c r="X649" s="122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26"/>
      <c r="AN649" s="15"/>
      <c r="AQ649" s="114"/>
    </row>
    <row r="650" spans="1:44" x14ac:dyDescent="0.4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22"/>
      <c r="W650" s="122"/>
      <c r="X650" s="122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26"/>
      <c r="AN650" s="15"/>
      <c r="AQ650" s="114"/>
    </row>
    <row r="651" spans="1:44" x14ac:dyDescent="0.4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22"/>
      <c r="W651" s="122"/>
      <c r="X651" s="122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26"/>
      <c r="AN651" s="13"/>
      <c r="AQ651" s="114"/>
    </row>
    <row r="652" spans="1:44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22"/>
      <c r="W652" s="122"/>
      <c r="X652" s="122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26"/>
      <c r="AN652" s="15"/>
      <c r="AQ652" s="114"/>
    </row>
    <row r="653" spans="1:44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22"/>
      <c r="W653" s="122"/>
      <c r="X653" s="122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26"/>
      <c r="AN653" s="15"/>
      <c r="AQ653" s="114"/>
      <c r="AR653" s="120"/>
    </row>
    <row r="654" spans="1:44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22"/>
      <c r="W654" s="122"/>
      <c r="X654" s="122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26"/>
      <c r="AN654" s="15"/>
      <c r="AQ654" s="114"/>
      <c r="AR654" s="120"/>
    </row>
    <row r="655" spans="1:44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22"/>
      <c r="W655" s="122"/>
      <c r="X655" s="122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26"/>
      <c r="AN655" s="15"/>
      <c r="AQ655" s="114"/>
      <c r="AR655" s="120"/>
    </row>
    <row r="656" spans="1:44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22"/>
      <c r="W656" s="122"/>
      <c r="X656" s="122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26"/>
      <c r="AN656" s="15"/>
      <c r="AQ656" s="114"/>
      <c r="AR656" s="120"/>
    </row>
    <row r="657" spans="1:44" x14ac:dyDescent="0.4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22"/>
      <c r="W657" s="122"/>
      <c r="X657" s="122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26"/>
      <c r="AN657" s="15"/>
      <c r="AQ657" s="114"/>
      <c r="AR657" s="120"/>
    </row>
    <row r="658" spans="1:44" x14ac:dyDescent="0.4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22"/>
      <c r="W658" s="122"/>
      <c r="X658" s="122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26"/>
      <c r="AN658" s="15"/>
      <c r="AQ658" s="114"/>
      <c r="AR658" s="120"/>
    </row>
    <row r="659" spans="1:44" x14ac:dyDescent="0.4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22"/>
      <c r="W659" s="122"/>
      <c r="X659" s="122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26"/>
      <c r="AN659" s="15"/>
      <c r="AQ659" s="114"/>
      <c r="AR659" s="120"/>
    </row>
    <row r="660" spans="1:44" x14ac:dyDescent="0.4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22"/>
      <c r="W660" s="122"/>
      <c r="X660" s="122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7"/>
      <c r="AN660" s="15"/>
      <c r="AQ660" s="114"/>
      <c r="AR660" s="120"/>
    </row>
    <row r="661" spans="1:44" x14ac:dyDescent="0.4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22"/>
      <c r="W661" s="122"/>
      <c r="X661" s="122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26"/>
      <c r="AN661" s="15"/>
      <c r="AQ661" s="114"/>
      <c r="AR661" s="120"/>
    </row>
    <row r="662" spans="1:44" x14ac:dyDescent="0.4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22"/>
      <c r="W662" s="122"/>
      <c r="X662" s="122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26"/>
      <c r="AN662" s="15"/>
      <c r="AQ662" s="114"/>
    </row>
    <row r="663" spans="1:44" x14ac:dyDescent="0.4">
      <c r="AM663" s="26"/>
      <c r="AN663" s="15"/>
      <c r="AQ663" s="114"/>
    </row>
    <row r="664" spans="1:44" x14ac:dyDescent="0.4"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7"/>
      <c r="AN664" s="15"/>
      <c r="AQ664" s="114"/>
    </row>
    <row r="665" spans="1:44" x14ac:dyDescent="0.4"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7"/>
      <c r="AN665" s="15"/>
      <c r="AQ665" s="114"/>
    </row>
    <row r="666" spans="1:44" x14ac:dyDescent="0.4">
      <c r="X666" s="122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7"/>
      <c r="AN666" s="15"/>
      <c r="AQ666" s="114"/>
    </row>
    <row r="667" spans="1:44" x14ac:dyDescent="0.4">
      <c r="S667" s="115"/>
      <c r="T667" s="115"/>
      <c r="U667" s="115"/>
      <c r="V667" s="122"/>
      <c r="W667" s="122"/>
      <c r="X667" s="122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26"/>
      <c r="AN667" s="15"/>
      <c r="AQ667" s="114"/>
    </row>
    <row r="668" spans="1:44" x14ac:dyDescent="0.4">
      <c r="S668" s="115"/>
      <c r="T668" s="115"/>
      <c r="U668" s="115"/>
      <c r="V668" s="122"/>
      <c r="W668" s="122"/>
      <c r="X668" s="122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7"/>
      <c r="AN668" s="15"/>
      <c r="AQ668" s="114"/>
    </row>
    <row r="669" spans="1:44" x14ac:dyDescent="0.4">
      <c r="R669" s="115"/>
      <c r="S669" s="115"/>
      <c r="T669" s="115"/>
      <c r="U669" s="115"/>
      <c r="V669" s="122"/>
      <c r="W669" s="122"/>
      <c r="X669" s="122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26"/>
      <c r="AN669" s="15"/>
      <c r="AQ669" s="114"/>
    </row>
    <row r="670" spans="1:44" x14ac:dyDescent="0.4">
      <c r="R670" s="115"/>
      <c r="S670" s="115"/>
      <c r="T670" s="115"/>
      <c r="U670" s="115"/>
      <c r="V670" s="122"/>
      <c r="W670" s="122"/>
      <c r="X670" s="122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7"/>
      <c r="AN670" s="15"/>
      <c r="AQ670" s="114"/>
    </row>
    <row r="671" spans="1:44" x14ac:dyDescent="0.4">
      <c r="R671" s="115"/>
      <c r="S671" s="115"/>
      <c r="T671" s="115"/>
      <c r="U671" s="115"/>
      <c r="V671" s="122"/>
      <c r="W671" s="122"/>
      <c r="X671" s="122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7"/>
      <c r="AN671" s="15"/>
      <c r="AQ671" s="114"/>
    </row>
    <row r="672" spans="1:44" x14ac:dyDescent="0.4">
      <c r="R672" s="115"/>
      <c r="S672" s="115"/>
      <c r="T672" s="115"/>
      <c r="U672" s="115"/>
      <c r="V672" s="122"/>
      <c r="W672" s="122"/>
      <c r="X672" s="122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7"/>
      <c r="AN672" s="15"/>
      <c r="AQ672" s="114"/>
    </row>
    <row r="673" spans="4:47" x14ac:dyDescent="0.4">
      <c r="R673" s="115"/>
      <c r="S673" s="115"/>
      <c r="T673" s="115"/>
      <c r="U673" s="115"/>
      <c r="V673" s="122"/>
      <c r="W673" s="122"/>
      <c r="X673" s="122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26"/>
      <c r="AN673" s="15"/>
      <c r="AQ673" s="114"/>
    </row>
    <row r="674" spans="4:47" x14ac:dyDescent="0.4">
      <c r="R674" s="115"/>
      <c r="S674" s="115"/>
      <c r="T674" s="115"/>
      <c r="U674" s="115"/>
      <c r="V674" s="122"/>
      <c r="W674" s="122"/>
      <c r="X674" s="122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7"/>
      <c r="AN674" s="15"/>
      <c r="AQ674" s="114"/>
    </row>
    <row r="675" spans="4:47" ht="19.5" x14ac:dyDescent="0.4">
      <c r="AM675" s="26"/>
      <c r="AN675" s="15"/>
      <c r="AR675" s="116"/>
      <c r="AS675" s="116"/>
      <c r="AT675" s="116"/>
      <c r="AU675" s="116"/>
    </row>
    <row r="676" spans="4:47" ht="19.5" x14ac:dyDescent="0.4">
      <c r="W676" s="122"/>
      <c r="X676" s="122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7"/>
      <c r="AN676" s="15"/>
      <c r="AR676" s="117"/>
      <c r="AS676" s="116"/>
      <c r="AT676" s="116"/>
      <c r="AU676" s="116"/>
    </row>
    <row r="677" spans="4:47" ht="19.5" x14ac:dyDescent="0.4">
      <c r="O677" s="115"/>
      <c r="P677" s="115"/>
      <c r="Q677" s="115"/>
      <c r="R677" s="115"/>
      <c r="S677" s="115"/>
      <c r="T677" s="115"/>
      <c r="U677" s="115"/>
      <c r="V677" s="122"/>
      <c r="W677" s="122"/>
      <c r="X677" s="122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26"/>
      <c r="AN677" s="15"/>
      <c r="AR677" s="117"/>
      <c r="AS677" s="116"/>
      <c r="AT677" s="116"/>
      <c r="AU677" s="116"/>
    </row>
    <row r="678" spans="4:47" ht="19.5" x14ac:dyDescent="0.4"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22"/>
      <c r="W678" s="122"/>
      <c r="X678" s="122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26"/>
      <c r="AN678" s="13"/>
      <c r="AR678" s="117"/>
      <c r="AS678" s="116"/>
      <c r="AT678" s="116"/>
      <c r="AU678" s="116"/>
    </row>
    <row r="679" spans="4:47" ht="19.5" x14ac:dyDescent="0.4"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22"/>
      <c r="W679" s="122"/>
      <c r="X679" s="122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26"/>
      <c r="AN679" s="15"/>
      <c r="AR679" s="117"/>
      <c r="AS679" s="116"/>
      <c r="AT679" s="116"/>
      <c r="AU679" s="116"/>
    </row>
    <row r="680" spans="4:47" ht="19.5" x14ac:dyDescent="0.4"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22"/>
      <c r="W680" s="122"/>
      <c r="X680" s="122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7"/>
      <c r="AN680" s="15"/>
      <c r="AR680" s="117"/>
      <c r="AS680" s="116"/>
      <c r="AT680" s="116"/>
      <c r="AU680" s="116"/>
    </row>
    <row r="681" spans="4:47" ht="19.5" x14ac:dyDescent="0.4"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22"/>
      <c r="W681" s="122"/>
      <c r="X681" s="122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26"/>
      <c r="AN681" s="15"/>
      <c r="AR681" s="117"/>
      <c r="AS681" s="116"/>
      <c r="AT681" s="116"/>
      <c r="AU681" s="116"/>
    </row>
    <row r="682" spans="4:47" ht="19.5" x14ac:dyDescent="0.4"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22"/>
      <c r="W682" s="122"/>
      <c r="X682" s="122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26"/>
      <c r="AN682" s="15"/>
      <c r="AR682" s="117"/>
      <c r="AS682" s="116"/>
      <c r="AT682" s="116"/>
      <c r="AU682" s="116"/>
    </row>
    <row r="683" spans="4:47" ht="19.5" x14ac:dyDescent="0.4"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22"/>
      <c r="W683" s="122"/>
      <c r="X683" s="122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7"/>
      <c r="AN683" s="15"/>
      <c r="AR683" s="117"/>
      <c r="AS683" s="116"/>
      <c r="AT683" s="116"/>
      <c r="AU683" s="116"/>
    </row>
    <row r="684" spans="4:47" ht="19.5" x14ac:dyDescent="0.4"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22"/>
      <c r="W684" s="122"/>
      <c r="X684" s="122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26"/>
      <c r="AN684" s="15"/>
      <c r="AR684" s="117"/>
      <c r="AS684" s="116"/>
      <c r="AT684" s="116"/>
      <c r="AU684" s="116"/>
    </row>
    <row r="685" spans="4:47" ht="19.5" x14ac:dyDescent="0.4">
      <c r="AM685" s="26"/>
      <c r="AN685" s="15"/>
      <c r="AR685" s="117"/>
      <c r="AS685" s="116"/>
      <c r="AT685" s="116"/>
      <c r="AU685" s="116"/>
    </row>
    <row r="686" spans="4:47" ht="19.5" x14ac:dyDescent="0.4">
      <c r="W686" s="122"/>
      <c r="X686" s="122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7"/>
      <c r="AN686" s="15"/>
      <c r="AR686" s="117"/>
      <c r="AS686" s="116"/>
      <c r="AT686" s="116"/>
      <c r="AU686" s="116"/>
    </row>
    <row r="687" spans="4:47" ht="19.5" x14ac:dyDescent="0.4">
      <c r="T687" s="115"/>
      <c r="U687" s="115"/>
      <c r="V687" s="122"/>
      <c r="W687" s="122"/>
      <c r="X687" s="122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26"/>
      <c r="AN687" s="15"/>
      <c r="AR687" s="117"/>
      <c r="AS687" s="116"/>
      <c r="AT687" s="116"/>
      <c r="AU687" s="116"/>
    </row>
    <row r="688" spans="4:47" ht="19.5" x14ac:dyDescent="0.4">
      <c r="T688" s="115"/>
      <c r="U688" s="115"/>
      <c r="V688" s="122"/>
      <c r="W688" s="122"/>
      <c r="X688" s="122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7"/>
      <c r="AN688" s="15"/>
      <c r="AR688" s="117"/>
      <c r="AS688" s="116"/>
      <c r="AT688" s="116"/>
      <c r="AU688" s="116"/>
    </row>
    <row r="689" spans="1:47" ht="19.5" x14ac:dyDescent="0.4">
      <c r="S689" s="115"/>
      <c r="T689" s="115"/>
      <c r="U689" s="115"/>
      <c r="V689" s="122"/>
      <c r="W689" s="122"/>
      <c r="X689" s="122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26"/>
      <c r="AN689" s="15"/>
      <c r="AR689" s="117"/>
      <c r="AS689" s="116"/>
      <c r="AT689" s="116"/>
      <c r="AU689" s="116"/>
    </row>
    <row r="690" spans="1:47" ht="19.5" x14ac:dyDescent="0.4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22"/>
      <c r="W690" s="122"/>
      <c r="X690" s="122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26"/>
      <c r="AN690" s="15"/>
      <c r="AR690" s="117"/>
      <c r="AS690" s="116"/>
      <c r="AT690" s="116"/>
      <c r="AU690" s="116"/>
    </row>
    <row r="691" spans="1:47" ht="19.5" x14ac:dyDescent="0.4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22"/>
      <c r="W691" s="122"/>
      <c r="X691" s="122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26"/>
      <c r="AN691" s="15"/>
      <c r="AR691" s="117"/>
      <c r="AS691" s="116"/>
      <c r="AT691" s="116"/>
      <c r="AU691" s="116"/>
    </row>
    <row r="692" spans="1:47" ht="19.5" x14ac:dyDescent="0.4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22"/>
      <c r="W692" s="122"/>
      <c r="X692" s="122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26"/>
      <c r="AN692" s="15"/>
      <c r="AR692" s="117"/>
      <c r="AS692" s="116"/>
      <c r="AT692" s="116"/>
      <c r="AU692" s="116"/>
    </row>
    <row r="693" spans="1:47" ht="19.5" x14ac:dyDescent="0.4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22"/>
      <c r="W693" s="122"/>
      <c r="X693" s="122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26"/>
      <c r="AN693" s="105"/>
      <c r="AR693" s="117"/>
      <c r="AS693" s="116"/>
      <c r="AT693" s="116"/>
      <c r="AU693" s="116"/>
    </row>
    <row r="694" spans="1:47" ht="19.5" x14ac:dyDescent="0.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22"/>
      <c r="W694" s="122"/>
      <c r="X694" s="122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26"/>
      <c r="AN694" s="105"/>
      <c r="AR694" s="117"/>
      <c r="AS694" s="116"/>
      <c r="AT694" s="116"/>
      <c r="AU694" s="116"/>
    </row>
    <row r="695" spans="1:47" ht="19.5" x14ac:dyDescent="0.4">
      <c r="AM695" s="26"/>
      <c r="AN695" s="13"/>
      <c r="AR695" s="117"/>
      <c r="AS695" s="116"/>
      <c r="AT695" s="116"/>
      <c r="AU695" s="116"/>
    </row>
    <row r="696" spans="1:47" ht="19.5" x14ac:dyDescent="0.4">
      <c r="T696" s="115"/>
      <c r="U696" s="115"/>
      <c r="V696" s="122"/>
      <c r="W696" s="122"/>
      <c r="X696" s="122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26"/>
      <c r="AN696" s="13"/>
      <c r="AR696" s="117"/>
      <c r="AS696" s="116"/>
      <c r="AT696" s="116"/>
      <c r="AU696" s="116"/>
    </row>
    <row r="697" spans="1:47" ht="19.5" x14ac:dyDescent="0.4">
      <c r="O697" s="115"/>
      <c r="P697" s="115"/>
      <c r="Q697" s="115"/>
      <c r="R697" s="115"/>
      <c r="S697" s="115"/>
      <c r="T697" s="115"/>
      <c r="U697" s="115"/>
      <c r="V697" s="122"/>
      <c r="W697" s="122"/>
      <c r="X697" s="122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26"/>
      <c r="AN697" s="13"/>
      <c r="AR697" s="117"/>
      <c r="AS697" s="116"/>
      <c r="AT697" s="116"/>
      <c r="AU697" s="116"/>
    </row>
    <row r="698" spans="1:47" ht="19.5" x14ac:dyDescent="0.4">
      <c r="AM698" s="26"/>
      <c r="AN698" s="13"/>
      <c r="AR698" s="117"/>
      <c r="AS698" s="116"/>
      <c r="AT698" s="116"/>
      <c r="AU698" s="116"/>
    </row>
    <row r="699" spans="1:47" ht="19.5" x14ac:dyDescent="0.4"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22"/>
      <c r="W699" s="122"/>
      <c r="X699" s="122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26"/>
      <c r="AN699" s="13"/>
      <c r="AR699" s="117"/>
      <c r="AS699" s="116"/>
      <c r="AT699" s="116"/>
      <c r="AU699" s="116"/>
    </row>
    <row r="700" spans="1:47" ht="19.5" x14ac:dyDescent="0.4"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22"/>
      <c r="W700" s="122"/>
      <c r="X700" s="122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26"/>
      <c r="AN700" s="13"/>
      <c r="AR700" s="117"/>
      <c r="AS700" s="116"/>
      <c r="AT700" s="116"/>
      <c r="AU700" s="116"/>
    </row>
    <row r="701" spans="1:47" ht="19.5" x14ac:dyDescent="0.4"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22"/>
      <c r="W701" s="122"/>
      <c r="X701" s="122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26"/>
      <c r="AN701" s="13"/>
      <c r="AR701" s="117"/>
      <c r="AS701" s="116"/>
      <c r="AT701" s="116"/>
      <c r="AU701" s="116"/>
    </row>
    <row r="702" spans="1:47" ht="19.5" x14ac:dyDescent="0.4"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22"/>
      <c r="W702" s="122"/>
      <c r="X702" s="122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26"/>
      <c r="AN702" s="13"/>
      <c r="AR702" s="117"/>
      <c r="AS702" s="116"/>
      <c r="AT702" s="116"/>
      <c r="AU702" s="116"/>
    </row>
    <row r="703" spans="1:47" ht="19.5" x14ac:dyDescent="0.4"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22"/>
      <c r="W703" s="122"/>
      <c r="X703" s="122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26"/>
      <c r="AN703" s="13"/>
      <c r="AR703" s="117"/>
      <c r="AS703" s="116"/>
      <c r="AT703" s="116"/>
      <c r="AU703" s="116"/>
    </row>
    <row r="704" spans="1:47" ht="19.5" x14ac:dyDescent="0.4"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22"/>
      <c r="W704" s="122"/>
      <c r="X704" s="122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26"/>
      <c r="AN704" s="13"/>
      <c r="AR704" s="117"/>
      <c r="AS704" s="116"/>
      <c r="AT704" s="116"/>
      <c r="AU704" s="116"/>
    </row>
    <row r="705" spans="1:47" ht="19.5" x14ac:dyDescent="0.4"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22"/>
      <c r="W705" s="122"/>
      <c r="X705" s="122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26"/>
      <c r="AN705" s="13"/>
      <c r="AR705" s="117"/>
      <c r="AS705" s="116"/>
      <c r="AT705" s="116"/>
      <c r="AU705" s="116"/>
    </row>
    <row r="706" spans="1:47" ht="19.5" x14ac:dyDescent="0.4"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22"/>
      <c r="W706" s="122"/>
      <c r="X706" s="122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26"/>
      <c r="AN706" s="13"/>
      <c r="AR706" s="117"/>
      <c r="AS706" s="116"/>
      <c r="AT706" s="116"/>
      <c r="AU706" s="116"/>
    </row>
    <row r="707" spans="1:47" ht="19.5" x14ac:dyDescent="0.4">
      <c r="AM707" s="26"/>
      <c r="AN707" s="15"/>
      <c r="AR707" s="117"/>
      <c r="AS707" s="116"/>
      <c r="AT707" s="116"/>
      <c r="AU707" s="116"/>
    </row>
    <row r="708" spans="1:47" ht="19.5" x14ac:dyDescent="0.4"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22"/>
      <c r="W708" s="122"/>
      <c r="X708" s="122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26"/>
      <c r="AN708" s="15"/>
      <c r="AR708" s="117"/>
      <c r="AS708" s="116"/>
      <c r="AT708" s="116"/>
      <c r="AU708" s="116"/>
    </row>
    <row r="709" spans="1:47" ht="19.5" x14ac:dyDescent="0.4"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22"/>
      <c r="W709" s="122"/>
      <c r="X709" s="122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7"/>
      <c r="AN709" s="15"/>
      <c r="AR709" s="117"/>
      <c r="AS709" s="116"/>
      <c r="AT709" s="116"/>
      <c r="AU709" s="116"/>
    </row>
    <row r="710" spans="1:47" ht="19.5" x14ac:dyDescent="0.4">
      <c r="AM710" s="26"/>
      <c r="AN710" s="15"/>
      <c r="AR710" s="117"/>
      <c r="AS710" s="116"/>
      <c r="AT710" s="116"/>
      <c r="AU710" s="116"/>
    </row>
    <row r="711" spans="1:47" ht="19.5" x14ac:dyDescent="0.4">
      <c r="AM711" s="26"/>
      <c r="AN711" s="13"/>
      <c r="AR711" s="117"/>
      <c r="AS711" s="116"/>
      <c r="AT711" s="116"/>
      <c r="AU711" s="116"/>
    </row>
    <row r="712" spans="1:47" ht="19.5" x14ac:dyDescent="0.4">
      <c r="S712" s="115"/>
      <c r="T712" s="115"/>
      <c r="U712" s="115"/>
      <c r="V712" s="122"/>
      <c r="W712" s="122"/>
      <c r="X712" s="122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26"/>
      <c r="AN712" s="13"/>
      <c r="AR712" s="117"/>
      <c r="AS712" s="116"/>
      <c r="AT712" s="116"/>
      <c r="AU712" s="116"/>
    </row>
    <row r="713" spans="1:47" ht="19.5" x14ac:dyDescent="0.4"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22"/>
      <c r="W713" s="122"/>
      <c r="X713" s="122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26"/>
      <c r="AN713" s="13"/>
      <c r="AR713" s="117"/>
      <c r="AS713" s="116"/>
      <c r="AT713" s="116"/>
      <c r="AU713" s="116"/>
    </row>
    <row r="714" spans="1:47" ht="19.5" x14ac:dyDescent="0.4"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22"/>
      <c r="W714" s="122"/>
      <c r="X714" s="122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7"/>
      <c r="AN714" s="13"/>
      <c r="AR714" s="117"/>
      <c r="AS714" s="116"/>
      <c r="AT714" s="116"/>
      <c r="AU714" s="116"/>
    </row>
    <row r="715" spans="1:47" ht="19.5" x14ac:dyDescent="0.4"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22"/>
      <c r="W715" s="122"/>
      <c r="X715" s="122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26"/>
      <c r="AN715" s="25"/>
      <c r="AR715" s="117"/>
      <c r="AS715" s="116"/>
      <c r="AT715" s="116"/>
      <c r="AU715" s="116"/>
    </row>
    <row r="716" spans="1:47" ht="19.5" x14ac:dyDescent="0.4"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22"/>
      <c r="W716" s="122"/>
      <c r="X716" s="122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7"/>
      <c r="AN716" s="13"/>
      <c r="AR716" s="117"/>
      <c r="AS716" s="116"/>
      <c r="AT716" s="116"/>
      <c r="AU716" s="116"/>
    </row>
    <row r="717" spans="1:47" ht="19.5" x14ac:dyDescent="0.4"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22"/>
      <c r="W717" s="122"/>
      <c r="X717" s="122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26"/>
      <c r="AN717" s="13"/>
      <c r="AR717" s="117"/>
      <c r="AS717" s="116"/>
      <c r="AT717" s="116"/>
      <c r="AU717" s="116"/>
    </row>
    <row r="718" spans="1:47" ht="19.5" x14ac:dyDescent="0.4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22"/>
      <c r="W718" s="122"/>
      <c r="X718" s="122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26"/>
      <c r="AN718" s="13"/>
      <c r="AR718" s="117"/>
      <c r="AS718" s="116"/>
      <c r="AT718" s="116"/>
      <c r="AU718" s="116"/>
    </row>
    <row r="719" spans="1:47" ht="19.5" x14ac:dyDescent="0.4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22"/>
      <c r="W719" s="122"/>
      <c r="X719" s="122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5"/>
      <c r="AL719" s="115"/>
      <c r="AM719" s="26"/>
      <c r="AN719" s="13"/>
      <c r="AR719" s="117"/>
      <c r="AS719" s="116"/>
      <c r="AT719" s="116"/>
      <c r="AU719" s="116"/>
    </row>
    <row r="720" spans="1:47" ht="19.5" x14ac:dyDescent="0.4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22"/>
      <c r="W720" s="122"/>
      <c r="X720" s="122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26"/>
      <c r="AN720" s="13"/>
      <c r="AR720" s="117"/>
      <c r="AS720" s="116"/>
      <c r="AT720" s="116"/>
      <c r="AU720" s="116"/>
    </row>
    <row r="721" spans="1:47" ht="19.5" x14ac:dyDescent="0.4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22"/>
      <c r="W721" s="122"/>
      <c r="X721" s="122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26"/>
      <c r="AN721" s="13"/>
      <c r="AR721" s="117"/>
      <c r="AS721" s="116"/>
      <c r="AT721" s="116"/>
      <c r="AU721" s="116"/>
    </row>
    <row r="722" spans="1:47" ht="19.5" x14ac:dyDescent="0.4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22"/>
      <c r="W722" s="122"/>
      <c r="X722" s="122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26"/>
      <c r="AN722" s="13"/>
      <c r="AR722" s="117"/>
      <c r="AS722" s="116"/>
      <c r="AT722" s="116"/>
      <c r="AU722" s="116"/>
    </row>
    <row r="723" spans="1:47" ht="19.5" x14ac:dyDescent="0.4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22"/>
      <c r="W723" s="122"/>
      <c r="X723" s="122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26"/>
      <c r="AN723" s="13"/>
      <c r="AR723" s="117"/>
      <c r="AS723" s="116"/>
      <c r="AT723" s="116"/>
      <c r="AU723" s="116"/>
    </row>
    <row r="724" spans="1:47" ht="19.5" x14ac:dyDescent="0.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22"/>
      <c r="W724" s="122"/>
      <c r="X724" s="122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26"/>
      <c r="AN724" s="13"/>
      <c r="AR724" s="117"/>
      <c r="AS724" s="116"/>
      <c r="AT724" s="116"/>
      <c r="AU724" s="116"/>
    </row>
    <row r="725" spans="1:47" ht="19.5" x14ac:dyDescent="0.4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22"/>
      <c r="W725" s="122"/>
      <c r="X725" s="122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15"/>
      <c r="AM725" s="26"/>
      <c r="AN725" s="15"/>
      <c r="AR725" s="117"/>
      <c r="AS725" s="116"/>
      <c r="AT725" s="116"/>
      <c r="AU725" s="116"/>
    </row>
    <row r="726" spans="1:47" ht="19.5" x14ac:dyDescent="0.4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22"/>
      <c r="W726" s="122"/>
      <c r="X726" s="122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26"/>
      <c r="AN726" s="15"/>
      <c r="AR726" s="117"/>
      <c r="AS726" s="116"/>
      <c r="AT726" s="116"/>
      <c r="AU726" s="116"/>
    </row>
    <row r="727" spans="1:47" ht="19.5" x14ac:dyDescent="0.4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22"/>
      <c r="W727" s="122"/>
      <c r="X727" s="122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26"/>
      <c r="AN727" s="15"/>
      <c r="AR727" s="117"/>
      <c r="AS727" s="116"/>
      <c r="AT727" s="116"/>
      <c r="AU727" s="116"/>
    </row>
    <row r="728" spans="1:47" ht="19.5" x14ac:dyDescent="0.4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22"/>
      <c r="W728" s="122"/>
      <c r="X728" s="122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26"/>
      <c r="AN728" s="15"/>
      <c r="AR728" s="117"/>
      <c r="AS728" s="116"/>
      <c r="AT728" s="116"/>
      <c r="AU728" s="116"/>
    </row>
    <row r="729" spans="1:47" ht="19.5" x14ac:dyDescent="0.4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22"/>
      <c r="W729" s="122"/>
      <c r="X729" s="122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26"/>
      <c r="AN729" s="25"/>
      <c r="AR729" s="117"/>
      <c r="AS729" s="116"/>
      <c r="AT729" s="116"/>
      <c r="AU729" s="116"/>
    </row>
    <row r="730" spans="1:47" ht="19.5" x14ac:dyDescent="0.4">
      <c r="AM730" s="26"/>
      <c r="AN730" s="15"/>
      <c r="AR730" s="117"/>
      <c r="AS730" s="116"/>
      <c r="AT730" s="116"/>
      <c r="AU730" s="116"/>
    </row>
    <row r="731" spans="1:47" ht="19.5" x14ac:dyDescent="0.4">
      <c r="U731" s="115"/>
      <c r="V731" s="122"/>
      <c r="W731" s="122"/>
      <c r="X731" s="122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26"/>
      <c r="AN731" s="15"/>
      <c r="AR731" s="117"/>
      <c r="AS731" s="116"/>
      <c r="AT731" s="116"/>
      <c r="AU731" s="116"/>
    </row>
    <row r="732" spans="1:47" ht="19.5" x14ac:dyDescent="0.4">
      <c r="S732" s="115"/>
      <c r="T732" s="115"/>
      <c r="U732" s="115"/>
      <c r="V732" s="122"/>
      <c r="W732" s="122"/>
      <c r="X732" s="122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15"/>
      <c r="AM732" s="26"/>
      <c r="AN732" s="15"/>
      <c r="AR732" s="117"/>
      <c r="AS732" s="116"/>
      <c r="AT732" s="116"/>
      <c r="AU732" s="116"/>
    </row>
    <row r="733" spans="1:47" ht="19.5" x14ac:dyDescent="0.4">
      <c r="S733" s="115"/>
      <c r="T733" s="115"/>
      <c r="U733" s="115"/>
      <c r="V733" s="122"/>
      <c r="W733" s="122"/>
      <c r="X733" s="122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7"/>
      <c r="AN733" s="15"/>
      <c r="AR733" s="117"/>
      <c r="AS733" s="116"/>
      <c r="AT733" s="116"/>
      <c r="AU733" s="116"/>
    </row>
    <row r="734" spans="1:47" ht="19.5" x14ac:dyDescent="0.4">
      <c r="P734" s="115"/>
      <c r="Q734" s="115"/>
      <c r="R734" s="115"/>
      <c r="S734" s="115"/>
      <c r="T734" s="115"/>
      <c r="U734" s="115"/>
      <c r="V734" s="122"/>
      <c r="W734" s="122"/>
      <c r="X734" s="122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26"/>
      <c r="AN734" s="15"/>
      <c r="AR734" s="117"/>
      <c r="AS734" s="116"/>
      <c r="AT734" s="116"/>
      <c r="AU734" s="116"/>
    </row>
    <row r="735" spans="1:47" ht="19.5" x14ac:dyDescent="0.4">
      <c r="P735" s="115"/>
      <c r="Q735" s="115"/>
      <c r="R735" s="115"/>
      <c r="S735" s="115"/>
      <c r="T735" s="115"/>
      <c r="U735" s="115"/>
      <c r="V735" s="122"/>
      <c r="W735" s="122"/>
      <c r="X735" s="122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7"/>
      <c r="AN735" s="15"/>
      <c r="AR735" s="117"/>
      <c r="AS735" s="116"/>
      <c r="AT735" s="116"/>
      <c r="AU735" s="116"/>
    </row>
    <row r="736" spans="1:47" ht="19.5" x14ac:dyDescent="0.4">
      <c r="P736" s="115"/>
      <c r="Q736" s="115"/>
      <c r="R736" s="115"/>
      <c r="S736" s="115"/>
      <c r="T736" s="115"/>
      <c r="U736" s="115"/>
      <c r="V736" s="122"/>
      <c r="W736" s="122"/>
      <c r="X736" s="122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26"/>
      <c r="AN736" s="15"/>
      <c r="AR736" s="117"/>
      <c r="AS736" s="116"/>
      <c r="AT736" s="116"/>
      <c r="AU736" s="116"/>
    </row>
    <row r="737" spans="1:47" ht="19.5" x14ac:dyDescent="0.4">
      <c r="P737" s="115"/>
      <c r="Q737" s="115"/>
      <c r="R737" s="115"/>
      <c r="S737" s="115"/>
      <c r="T737" s="115"/>
      <c r="U737" s="115"/>
      <c r="V737" s="122"/>
      <c r="W737" s="122"/>
      <c r="X737" s="122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7"/>
      <c r="AN737" s="13"/>
      <c r="AR737" s="117"/>
      <c r="AS737" s="116"/>
      <c r="AT737" s="116"/>
      <c r="AU737" s="116"/>
    </row>
    <row r="738" spans="1:47" ht="19.5" x14ac:dyDescent="0.4">
      <c r="P738" s="115"/>
      <c r="Q738" s="115"/>
      <c r="R738" s="115"/>
      <c r="S738" s="115"/>
      <c r="T738" s="115"/>
      <c r="U738" s="115"/>
      <c r="V738" s="122"/>
      <c r="W738" s="122"/>
      <c r="X738" s="122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7"/>
      <c r="AN738" s="13"/>
      <c r="AR738" s="117"/>
      <c r="AS738" s="116"/>
      <c r="AT738" s="116"/>
      <c r="AU738" s="116"/>
    </row>
    <row r="739" spans="1:47" ht="19.5" x14ac:dyDescent="0.4">
      <c r="AM739" s="26"/>
      <c r="AN739" s="13"/>
      <c r="AR739" s="117"/>
      <c r="AS739" s="116"/>
      <c r="AT739" s="116"/>
      <c r="AU739" s="116"/>
    </row>
    <row r="740" spans="1:47" ht="19.5" x14ac:dyDescent="0.4">
      <c r="U740" s="115"/>
      <c r="V740" s="122"/>
      <c r="W740" s="122"/>
      <c r="X740" s="122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7"/>
      <c r="AN740" s="13"/>
      <c r="AR740" s="117"/>
      <c r="AS740" s="116"/>
      <c r="AT740" s="116"/>
      <c r="AU740" s="116"/>
    </row>
    <row r="741" spans="1:47" ht="19.5" x14ac:dyDescent="0.4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22"/>
      <c r="W741" s="122"/>
      <c r="X741" s="122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26"/>
      <c r="AN741" s="13"/>
      <c r="AR741" s="117"/>
      <c r="AS741" s="116"/>
      <c r="AT741" s="116"/>
      <c r="AU741" s="116"/>
    </row>
    <row r="742" spans="1:47" ht="19.5" x14ac:dyDescent="0.4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22"/>
      <c r="W742" s="122"/>
      <c r="X742" s="122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26"/>
      <c r="AN742" s="13"/>
      <c r="AR742" s="117"/>
      <c r="AS742" s="116"/>
      <c r="AT742" s="116"/>
      <c r="AU742" s="116"/>
    </row>
    <row r="743" spans="1:47" ht="19.5" x14ac:dyDescent="0.4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22"/>
      <c r="W743" s="122"/>
      <c r="X743" s="122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26"/>
      <c r="AN743" s="13"/>
      <c r="AR743" s="117"/>
      <c r="AS743" s="116"/>
      <c r="AT743" s="116"/>
      <c r="AU743" s="116"/>
    </row>
    <row r="744" spans="1:47" ht="19.5" x14ac:dyDescent="0.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22"/>
      <c r="W744" s="122"/>
      <c r="X744" s="122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26"/>
      <c r="AN744" s="13"/>
      <c r="AR744" s="117"/>
      <c r="AS744" s="116"/>
      <c r="AT744" s="116"/>
      <c r="AU744" s="116"/>
    </row>
    <row r="745" spans="1:47" ht="19.5" x14ac:dyDescent="0.4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22"/>
      <c r="W745" s="122"/>
      <c r="X745" s="122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7"/>
      <c r="AN745" s="13"/>
      <c r="AR745" s="117"/>
      <c r="AS745" s="116"/>
      <c r="AT745" s="116"/>
      <c r="AU745" s="116"/>
    </row>
    <row r="746" spans="1:47" ht="19.5" x14ac:dyDescent="0.4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22"/>
      <c r="W746" s="122"/>
      <c r="X746" s="122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26"/>
      <c r="AN746" s="13"/>
      <c r="AR746" s="117"/>
      <c r="AS746" s="116"/>
      <c r="AT746" s="116"/>
      <c r="AU746" s="116"/>
    </row>
    <row r="747" spans="1:47" ht="19.5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22"/>
      <c r="W747" s="122"/>
      <c r="X747" s="122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26"/>
      <c r="AN747" s="15"/>
      <c r="AR747" s="117"/>
      <c r="AS747" s="116"/>
      <c r="AT747" s="116"/>
      <c r="AU747" s="116"/>
    </row>
    <row r="748" spans="1:47" ht="19.5" x14ac:dyDescent="0.4">
      <c r="AM748" s="26"/>
      <c r="AN748" s="15"/>
      <c r="AR748" s="117"/>
      <c r="AS748" s="116"/>
      <c r="AT748" s="116"/>
      <c r="AU748" s="116"/>
    </row>
    <row r="749" spans="1:47" ht="19.5" x14ac:dyDescent="0.4">
      <c r="T749" s="115"/>
      <c r="U749" s="115"/>
      <c r="V749" s="122"/>
      <c r="W749" s="122"/>
      <c r="X749" s="122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26"/>
      <c r="AN749" s="13"/>
      <c r="AR749" s="117"/>
      <c r="AS749" s="116"/>
      <c r="AT749" s="116"/>
      <c r="AU749" s="116"/>
    </row>
    <row r="750" spans="1:47" ht="19.5" x14ac:dyDescent="0.4">
      <c r="R750" s="115"/>
      <c r="S750" s="115"/>
      <c r="T750" s="115"/>
      <c r="U750" s="115"/>
      <c r="V750" s="122"/>
      <c r="W750" s="122"/>
      <c r="X750" s="122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26"/>
      <c r="AN750" s="15"/>
      <c r="AR750" s="117"/>
      <c r="AS750" s="116"/>
      <c r="AT750" s="116"/>
      <c r="AU750" s="116"/>
    </row>
    <row r="751" spans="1:47" ht="19.5" x14ac:dyDescent="0.4">
      <c r="R751" s="115"/>
      <c r="S751" s="115"/>
      <c r="T751" s="115"/>
      <c r="U751" s="115"/>
      <c r="V751" s="122"/>
      <c r="W751" s="122"/>
      <c r="X751" s="122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26"/>
      <c r="AN751" s="15"/>
      <c r="AR751" s="117"/>
      <c r="AS751" s="116"/>
      <c r="AT751" s="116"/>
      <c r="AU751" s="116"/>
    </row>
    <row r="752" spans="1:47" ht="19.5" x14ac:dyDescent="0.4">
      <c r="R752" s="115"/>
      <c r="S752" s="115"/>
      <c r="T752" s="115"/>
      <c r="U752" s="115"/>
      <c r="V752" s="122"/>
      <c r="W752" s="122"/>
      <c r="X752" s="122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7"/>
      <c r="AN752" s="15"/>
      <c r="AR752" s="117"/>
      <c r="AS752" s="116"/>
      <c r="AT752" s="116"/>
      <c r="AU752" s="116"/>
    </row>
    <row r="753" spans="1:47" ht="19.5" x14ac:dyDescent="0.4">
      <c r="Q753" s="115"/>
      <c r="R753" s="115"/>
      <c r="S753" s="115"/>
      <c r="T753" s="115"/>
      <c r="U753" s="115"/>
      <c r="V753" s="122"/>
      <c r="W753" s="122"/>
      <c r="X753" s="122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26"/>
      <c r="AN753" s="15"/>
      <c r="AR753" s="117"/>
      <c r="AS753" s="116"/>
      <c r="AT753" s="116"/>
      <c r="AU753" s="116"/>
    </row>
    <row r="754" spans="1:47" ht="19.5" x14ac:dyDescent="0.4">
      <c r="Q754" s="115"/>
      <c r="R754" s="115"/>
      <c r="S754" s="115"/>
      <c r="T754" s="115"/>
      <c r="U754" s="115"/>
      <c r="V754" s="122"/>
      <c r="W754" s="122"/>
      <c r="X754" s="122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26"/>
      <c r="AN754" s="15"/>
      <c r="AR754" s="117"/>
      <c r="AS754" s="116"/>
      <c r="AT754" s="116"/>
      <c r="AU754" s="116"/>
    </row>
    <row r="755" spans="1:47" ht="19.5" x14ac:dyDescent="0.4">
      <c r="Q755" s="115"/>
      <c r="R755" s="115"/>
      <c r="S755" s="115"/>
      <c r="T755" s="115"/>
      <c r="U755" s="115"/>
      <c r="V755" s="122"/>
      <c r="W755" s="122"/>
      <c r="X755" s="122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26"/>
      <c r="AN755" s="105"/>
      <c r="AR755" s="117"/>
      <c r="AS755" s="116"/>
      <c r="AT755" s="116"/>
      <c r="AU755" s="116"/>
    </row>
    <row r="756" spans="1:47" ht="19.5" x14ac:dyDescent="0.4">
      <c r="Q756" s="115"/>
      <c r="R756" s="115"/>
      <c r="S756" s="115"/>
      <c r="T756" s="115"/>
      <c r="U756" s="115"/>
      <c r="V756" s="122"/>
      <c r="W756" s="122"/>
      <c r="X756" s="122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7"/>
      <c r="AN756" s="15"/>
      <c r="AR756" s="117"/>
      <c r="AS756" s="116"/>
      <c r="AT756" s="116"/>
      <c r="AU756" s="116"/>
    </row>
    <row r="757" spans="1:47" ht="19.5" x14ac:dyDescent="0.4">
      <c r="Q757" s="115"/>
      <c r="R757" s="115"/>
      <c r="S757" s="115"/>
      <c r="T757" s="115"/>
      <c r="U757" s="115"/>
      <c r="V757" s="122"/>
      <c r="W757" s="122"/>
      <c r="X757" s="122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26"/>
      <c r="AN757" s="15"/>
      <c r="AR757" s="117"/>
      <c r="AS757" s="116"/>
      <c r="AT757" s="116"/>
      <c r="AU757" s="116"/>
    </row>
    <row r="758" spans="1:47" ht="19.5" x14ac:dyDescent="0.4">
      <c r="Q758" s="115"/>
      <c r="R758" s="115"/>
      <c r="S758" s="115"/>
      <c r="T758" s="115"/>
      <c r="U758" s="115"/>
      <c r="V758" s="122"/>
      <c r="W758" s="122"/>
      <c r="X758" s="122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7"/>
      <c r="AN758" s="15"/>
      <c r="AR758" s="117"/>
      <c r="AS758" s="116"/>
      <c r="AT758" s="116"/>
      <c r="AU758" s="116"/>
    </row>
    <row r="759" spans="1:47" ht="19.5" x14ac:dyDescent="0.4"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22"/>
      <c r="W759" s="122"/>
      <c r="X759" s="122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26"/>
      <c r="AN759" s="15"/>
      <c r="AR759" s="117"/>
      <c r="AS759" s="116"/>
      <c r="AT759" s="116"/>
      <c r="AU759" s="116"/>
    </row>
    <row r="760" spans="1:47" ht="19.5" x14ac:dyDescent="0.4"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22"/>
      <c r="W760" s="122"/>
      <c r="X760" s="122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7"/>
      <c r="AN760" s="15"/>
      <c r="AR760" s="117"/>
      <c r="AS760" s="116"/>
      <c r="AT760" s="116"/>
      <c r="AU760" s="116"/>
    </row>
    <row r="761" spans="1:47" ht="19.5" x14ac:dyDescent="0.4"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22"/>
      <c r="W761" s="122"/>
      <c r="X761" s="122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26"/>
      <c r="AN761" s="15"/>
      <c r="AR761" s="117"/>
      <c r="AS761" s="116"/>
      <c r="AT761" s="116"/>
      <c r="AU761" s="116"/>
    </row>
    <row r="762" spans="1:47" ht="19.5" x14ac:dyDescent="0.4"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22"/>
      <c r="W762" s="122"/>
      <c r="X762" s="122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7"/>
      <c r="AN762" s="15"/>
      <c r="AR762" s="117"/>
      <c r="AS762" s="116"/>
      <c r="AT762" s="116"/>
      <c r="AU762" s="116"/>
    </row>
    <row r="763" spans="1:47" ht="19.5" x14ac:dyDescent="0.4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22"/>
      <c r="W763" s="122"/>
      <c r="X763" s="122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115"/>
      <c r="AM763" s="26"/>
      <c r="AN763" s="15"/>
      <c r="AR763" s="117"/>
      <c r="AS763" s="116"/>
      <c r="AT763" s="116"/>
      <c r="AU763" s="116"/>
    </row>
    <row r="764" spans="1:47" ht="19.5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22"/>
      <c r="W764" s="122"/>
      <c r="X764" s="122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115"/>
      <c r="AM764" s="26"/>
      <c r="AN764" s="15"/>
      <c r="AR764" s="117"/>
      <c r="AS764" s="116"/>
      <c r="AT764" s="116"/>
      <c r="AU764" s="116"/>
    </row>
    <row r="765" spans="1:47" ht="19.5" x14ac:dyDescent="0.4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22"/>
      <c r="W765" s="122"/>
      <c r="X765" s="122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26"/>
      <c r="AN765" s="15"/>
      <c r="AR765" s="117"/>
      <c r="AS765" s="116"/>
      <c r="AT765" s="116"/>
      <c r="AU765" s="116"/>
    </row>
    <row r="766" spans="1:47" ht="19.5" x14ac:dyDescent="0.4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22"/>
      <c r="W766" s="122"/>
      <c r="X766" s="122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115"/>
      <c r="AM766" s="26"/>
      <c r="AN766" s="15"/>
      <c r="AR766" s="117"/>
      <c r="AS766" s="116"/>
      <c r="AT766" s="116"/>
      <c r="AU766" s="116"/>
    </row>
    <row r="767" spans="1:47" ht="19.5" x14ac:dyDescent="0.4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22"/>
      <c r="W767" s="122"/>
      <c r="X767" s="122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15"/>
      <c r="AM767" s="26"/>
      <c r="AN767" s="15"/>
      <c r="AR767" s="117"/>
      <c r="AS767" s="116"/>
      <c r="AT767" s="116"/>
      <c r="AU767" s="116"/>
    </row>
    <row r="768" spans="1:47" ht="19.5" x14ac:dyDescent="0.4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22"/>
      <c r="W768" s="122"/>
      <c r="X768" s="122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26"/>
      <c r="AN768" s="15"/>
      <c r="AR768" s="117"/>
      <c r="AS768" s="116"/>
      <c r="AT768" s="116"/>
      <c r="AU768" s="116"/>
    </row>
    <row r="769" spans="1:47" ht="19.5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22"/>
      <c r="W769" s="122"/>
      <c r="X769" s="122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7"/>
      <c r="AN769" s="15"/>
      <c r="AR769" s="117"/>
      <c r="AS769" s="116"/>
      <c r="AT769" s="116"/>
      <c r="AU769" s="116"/>
    </row>
    <row r="770" spans="1:47" ht="19.5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22"/>
      <c r="W770" s="122"/>
      <c r="X770" s="122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26"/>
      <c r="AN770" s="15"/>
      <c r="AR770" s="117"/>
      <c r="AS770" s="116"/>
      <c r="AT770" s="116"/>
      <c r="AU770" s="116"/>
    </row>
    <row r="771" spans="1:47" ht="19.5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22"/>
      <c r="W771" s="122"/>
      <c r="X771" s="122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7"/>
      <c r="AN771" s="15"/>
      <c r="AR771" s="117"/>
      <c r="AS771" s="116"/>
      <c r="AT771" s="116"/>
      <c r="AU771" s="116"/>
    </row>
    <row r="772" spans="1:47" ht="19.5" x14ac:dyDescent="0.4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22"/>
      <c r="W772" s="122"/>
      <c r="X772" s="122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26"/>
      <c r="AN772" s="15"/>
      <c r="AR772" s="117"/>
      <c r="AS772" s="116"/>
      <c r="AT772" s="116"/>
      <c r="AU772" s="116"/>
    </row>
    <row r="773" spans="1:47" ht="19.5" x14ac:dyDescent="0.4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22"/>
      <c r="W773" s="122"/>
      <c r="X773" s="122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20"/>
      <c r="AN773" s="15"/>
      <c r="AR773" s="117"/>
      <c r="AS773" s="116"/>
      <c r="AT773" s="116"/>
      <c r="AU773" s="116"/>
    </row>
    <row r="774" spans="1:47" ht="19.5" x14ac:dyDescent="0.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22"/>
      <c r="W774" s="122"/>
      <c r="X774" s="122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20"/>
      <c r="AN774" s="15"/>
      <c r="AR774" s="117"/>
      <c r="AS774" s="116"/>
      <c r="AT774" s="116"/>
      <c r="AU774" s="116"/>
    </row>
    <row r="775" spans="1:47" ht="19.5" x14ac:dyDescent="0.4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22"/>
      <c r="W775" s="122"/>
      <c r="X775" s="122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20"/>
      <c r="AN775" s="15"/>
      <c r="AR775" s="117"/>
      <c r="AS775" s="116"/>
      <c r="AT775" s="116"/>
      <c r="AU775" s="116"/>
    </row>
    <row r="776" spans="1:47" ht="19.5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22"/>
      <c r="W776" s="122"/>
      <c r="X776" s="122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20"/>
      <c r="AN776" s="15"/>
      <c r="AR776" s="117"/>
      <c r="AS776" s="116"/>
      <c r="AT776" s="116"/>
      <c r="AU776" s="116"/>
    </row>
    <row r="777" spans="1:47" ht="19.5" x14ac:dyDescent="0.4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22"/>
      <c r="W777" s="122"/>
      <c r="X777" s="122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25"/>
      <c r="AN777" s="15"/>
      <c r="AR777" s="117"/>
      <c r="AS777" s="116"/>
      <c r="AT777" s="116"/>
      <c r="AU777" s="116"/>
    </row>
    <row r="778" spans="1:47" ht="19.5" x14ac:dyDescent="0.4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22"/>
      <c r="W778" s="122"/>
      <c r="X778" s="122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3"/>
      <c r="AN778" s="15"/>
      <c r="AR778" s="117"/>
      <c r="AS778" s="116"/>
      <c r="AT778" s="116"/>
      <c r="AU778" s="116"/>
    </row>
    <row r="779" spans="1:47" ht="19.5" x14ac:dyDescent="0.4">
      <c r="AM779" s="25"/>
      <c r="AN779" s="15"/>
      <c r="AR779" s="117"/>
      <c r="AS779" s="116"/>
      <c r="AT779" s="116"/>
      <c r="AU779" s="116"/>
    </row>
    <row r="780" spans="1:47" ht="19.5" x14ac:dyDescent="0.4">
      <c r="S780" s="115"/>
      <c r="T780" s="115"/>
      <c r="U780" s="115"/>
      <c r="V780" s="122"/>
      <c r="W780" s="122"/>
      <c r="X780" s="122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3"/>
      <c r="AN780" s="15"/>
      <c r="AR780" s="117"/>
      <c r="AS780" s="116"/>
      <c r="AT780" s="116"/>
      <c r="AU780" s="116"/>
    </row>
    <row r="781" spans="1:47" ht="19.5" x14ac:dyDescent="0.4"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22"/>
      <c r="W781" s="122"/>
      <c r="X781" s="122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25"/>
      <c r="AN781" s="15"/>
      <c r="AR781" s="117"/>
      <c r="AS781" s="116"/>
      <c r="AT781" s="116"/>
      <c r="AU781" s="116"/>
    </row>
    <row r="782" spans="1:47" ht="19.5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22"/>
      <c r="W782" s="122"/>
      <c r="X782" s="122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25"/>
      <c r="AN782" s="15"/>
      <c r="AR782" s="117"/>
      <c r="AS782" s="116"/>
      <c r="AT782" s="116"/>
      <c r="AU782" s="116"/>
    </row>
    <row r="783" spans="1:47" ht="19.5" x14ac:dyDescent="0.4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22"/>
      <c r="W783" s="122"/>
      <c r="X783" s="122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3"/>
      <c r="AN783" s="15"/>
      <c r="AR783" s="117"/>
      <c r="AS783" s="116"/>
      <c r="AT783" s="116"/>
      <c r="AU783" s="116"/>
    </row>
    <row r="784" spans="1:47" ht="19.5" x14ac:dyDescent="0.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22"/>
      <c r="W784" s="122"/>
      <c r="X784" s="122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25"/>
      <c r="AN784" s="15"/>
      <c r="AR784" s="117"/>
      <c r="AS784" s="116"/>
      <c r="AT784" s="116"/>
      <c r="AU784" s="116"/>
    </row>
    <row r="785" spans="1:47" ht="19.5" x14ac:dyDescent="0.4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22"/>
      <c r="W785" s="122"/>
      <c r="X785" s="122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115"/>
      <c r="AM785" s="13"/>
      <c r="AN785" s="15"/>
      <c r="AR785" s="117"/>
      <c r="AS785" s="116"/>
      <c r="AT785" s="116"/>
      <c r="AU785" s="116"/>
    </row>
    <row r="786" spans="1:47" ht="19.5" x14ac:dyDescent="0.4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22"/>
      <c r="W786" s="122"/>
      <c r="X786" s="122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25"/>
      <c r="AN786" s="15"/>
      <c r="AR786" s="117"/>
      <c r="AS786" s="116"/>
      <c r="AT786" s="116"/>
      <c r="AU786" s="116"/>
    </row>
    <row r="787" spans="1:47" ht="19.5" x14ac:dyDescent="0.4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22"/>
      <c r="W787" s="122"/>
      <c r="X787" s="122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15"/>
      <c r="AM787" s="26"/>
      <c r="AN787" s="15"/>
      <c r="AR787" s="117"/>
      <c r="AS787" s="116"/>
      <c r="AT787" s="116"/>
      <c r="AU787" s="116"/>
    </row>
    <row r="788" spans="1:47" ht="19.5" x14ac:dyDescent="0.4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22"/>
      <c r="W788" s="122"/>
      <c r="X788" s="122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7"/>
      <c r="AN788" s="13"/>
      <c r="AR788" s="117"/>
      <c r="AS788" s="116"/>
      <c r="AT788" s="116"/>
      <c r="AU788" s="116"/>
    </row>
    <row r="789" spans="1:47" ht="19.5" x14ac:dyDescent="0.4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22"/>
      <c r="W789" s="122"/>
      <c r="X789" s="122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26"/>
      <c r="AN789" s="13"/>
      <c r="AR789" s="117"/>
      <c r="AS789" s="116"/>
      <c r="AT789" s="116"/>
      <c r="AU789" s="116"/>
    </row>
    <row r="790" spans="1:47" ht="19.5" x14ac:dyDescent="0.4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22"/>
      <c r="W790" s="122"/>
      <c r="X790" s="122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7"/>
      <c r="AN790" s="13"/>
      <c r="AR790" s="117"/>
      <c r="AS790" s="116"/>
      <c r="AT790" s="116"/>
      <c r="AU790" s="116"/>
    </row>
    <row r="791" spans="1:47" ht="19.5" x14ac:dyDescent="0.4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22"/>
      <c r="W791" s="122"/>
      <c r="X791" s="122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26"/>
      <c r="AN791" s="15"/>
      <c r="AR791" s="117"/>
      <c r="AS791" s="116"/>
      <c r="AT791" s="116"/>
      <c r="AU791" s="116"/>
    </row>
    <row r="792" spans="1:47" ht="19.5" x14ac:dyDescent="0.4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22"/>
      <c r="W792" s="122"/>
      <c r="X792" s="122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17"/>
      <c r="AN792" s="15"/>
      <c r="AR792" s="117"/>
      <c r="AS792" s="116"/>
      <c r="AT792" s="116"/>
      <c r="AU792" s="116"/>
    </row>
    <row r="793" spans="1:47" ht="19.5" x14ac:dyDescent="0.4">
      <c r="AM793" s="26"/>
      <c r="AN793" s="105"/>
      <c r="AR793" s="117"/>
      <c r="AS793" s="116"/>
      <c r="AT793" s="116"/>
      <c r="AU793" s="116"/>
    </row>
    <row r="794" spans="1:47" ht="19.5" x14ac:dyDescent="0.4">
      <c r="S794" s="115"/>
      <c r="T794" s="115"/>
      <c r="U794" s="115"/>
      <c r="V794" s="122"/>
      <c r="W794" s="122"/>
      <c r="X794" s="122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7"/>
      <c r="AN794" s="15"/>
      <c r="AR794" s="117"/>
      <c r="AS794" s="116"/>
      <c r="AT794" s="116"/>
      <c r="AU794" s="116"/>
    </row>
    <row r="795" spans="1:47" ht="19.5" x14ac:dyDescent="0.4">
      <c r="P795" s="115"/>
      <c r="Q795" s="115"/>
      <c r="R795" s="115"/>
      <c r="S795" s="115"/>
      <c r="T795" s="115"/>
      <c r="U795" s="115"/>
      <c r="V795" s="122"/>
      <c r="W795" s="122"/>
      <c r="X795" s="122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15"/>
      <c r="AM795" s="26"/>
      <c r="AN795" s="15"/>
      <c r="AR795" s="117"/>
      <c r="AS795" s="116"/>
      <c r="AT795" s="116"/>
      <c r="AU795" s="116"/>
    </row>
    <row r="796" spans="1:47" ht="19.5" x14ac:dyDescent="0.4">
      <c r="P796" s="115"/>
      <c r="Q796" s="115"/>
      <c r="R796" s="115"/>
      <c r="S796" s="115"/>
      <c r="T796" s="115"/>
      <c r="U796" s="115"/>
      <c r="V796" s="122"/>
      <c r="W796" s="122"/>
      <c r="X796" s="122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115"/>
      <c r="AM796" s="17"/>
      <c r="AN796" s="15"/>
      <c r="AR796" s="117"/>
      <c r="AS796" s="116"/>
      <c r="AT796" s="116"/>
      <c r="AU796" s="116"/>
    </row>
    <row r="797" spans="1:47" ht="19.5" x14ac:dyDescent="0.4"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22"/>
      <c r="W797" s="122"/>
      <c r="X797" s="122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26"/>
      <c r="AN797" s="15"/>
      <c r="AR797" s="117"/>
      <c r="AS797" s="116"/>
      <c r="AT797" s="116"/>
      <c r="AU797" s="116"/>
    </row>
    <row r="798" spans="1:47" ht="19.5" x14ac:dyDescent="0.4"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22"/>
      <c r="W798" s="122"/>
      <c r="X798" s="122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7"/>
      <c r="AN798" s="15"/>
      <c r="AR798" s="117"/>
      <c r="AS798" s="116"/>
      <c r="AT798" s="116"/>
      <c r="AU798" s="116"/>
    </row>
    <row r="799" spans="1:47" ht="19.5" x14ac:dyDescent="0.4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22"/>
      <c r="W799" s="122"/>
      <c r="X799" s="122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26"/>
      <c r="AN799" s="15"/>
      <c r="AR799" s="117"/>
      <c r="AS799" s="116"/>
      <c r="AT799" s="116"/>
      <c r="AU799" s="116"/>
    </row>
    <row r="800" spans="1:47" ht="19.5" x14ac:dyDescent="0.4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22"/>
      <c r="W800" s="122"/>
      <c r="X800" s="122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26"/>
      <c r="AN800" s="15"/>
      <c r="AR800" s="117"/>
      <c r="AS800" s="116"/>
      <c r="AT800" s="116"/>
      <c r="AU800" s="116"/>
    </row>
    <row r="801" spans="1:47" ht="19.5" x14ac:dyDescent="0.4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22"/>
      <c r="W801" s="122"/>
      <c r="X801" s="122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7"/>
      <c r="AN801" s="15"/>
      <c r="AR801" s="117"/>
      <c r="AS801" s="116"/>
      <c r="AT801" s="116"/>
      <c r="AU801" s="116"/>
    </row>
    <row r="802" spans="1:47" ht="19.5" x14ac:dyDescent="0.4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22"/>
      <c r="W802" s="122"/>
      <c r="X802" s="122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26"/>
      <c r="AN802" s="15"/>
      <c r="AR802" s="117"/>
      <c r="AS802" s="116"/>
      <c r="AT802" s="116"/>
      <c r="AU802" s="116"/>
    </row>
    <row r="803" spans="1:47" ht="19.5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22"/>
      <c r="W803" s="122"/>
      <c r="X803" s="122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7"/>
      <c r="AN803" s="15"/>
      <c r="AR803" s="117"/>
      <c r="AS803" s="116"/>
      <c r="AT803" s="116"/>
      <c r="AU803" s="116"/>
    </row>
    <row r="804" spans="1:47" ht="19.5" x14ac:dyDescent="0.4">
      <c r="AM804" s="26"/>
      <c r="AN804" s="15"/>
      <c r="AR804" s="117"/>
      <c r="AS804" s="116"/>
      <c r="AT804" s="116"/>
      <c r="AU804" s="116"/>
    </row>
    <row r="805" spans="1:47" ht="19.5" x14ac:dyDescent="0.4">
      <c r="S805" s="115"/>
      <c r="T805" s="115"/>
      <c r="U805" s="115"/>
      <c r="V805" s="122"/>
      <c r="W805" s="122"/>
      <c r="X805" s="122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7"/>
      <c r="AN805" s="15"/>
      <c r="AR805" s="117"/>
      <c r="AS805" s="116"/>
      <c r="AT805" s="116"/>
      <c r="AU805" s="116"/>
    </row>
    <row r="806" spans="1:47" ht="19.5" x14ac:dyDescent="0.4">
      <c r="AM806" s="26"/>
      <c r="AN806" s="15"/>
      <c r="AR806" s="117"/>
      <c r="AS806" s="116"/>
      <c r="AT806" s="116"/>
      <c r="AU806" s="116"/>
    </row>
    <row r="807" spans="1:47" ht="19.5" x14ac:dyDescent="0.4">
      <c r="S807" s="115"/>
      <c r="T807" s="115"/>
      <c r="U807" s="115"/>
      <c r="V807" s="122"/>
      <c r="W807" s="122"/>
      <c r="X807" s="122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17"/>
      <c r="AN807" s="15"/>
      <c r="AR807" s="117"/>
      <c r="AS807" s="116"/>
      <c r="AT807" s="116"/>
      <c r="AU807" s="116"/>
    </row>
    <row r="808" spans="1:47" ht="19.5" x14ac:dyDescent="0.4">
      <c r="AM808" s="26"/>
      <c r="AN808" s="15"/>
      <c r="AR808" s="117"/>
      <c r="AS808" s="116"/>
      <c r="AT808" s="116"/>
      <c r="AU808" s="116"/>
    </row>
    <row r="809" spans="1:47" ht="19.5" x14ac:dyDescent="0.4">
      <c r="S809" s="115"/>
      <c r="T809" s="115"/>
      <c r="U809" s="115"/>
      <c r="V809" s="122"/>
      <c r="W809" s="122"/>
      <c r="X809" s="122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17"/>
      <c r="AN809" s="15"/>
      <c r="AR809" s="117"/>
      <c r="AS809" s="116"/>
      <c r="AT809" s="116"/>
      <c r="AU809" s="116"/>
    </row>
    <row r="810" spans="1:47" ht="19.5" x14ac:dyDescent="0.4"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22"/>
      <c r="W810" s="122"/>
      <c r="X810" s="122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26"/>
      <c r="AN810" s="15"/>
      <c r="AR810" s="117"/>
      <c r="AS810" s="116"/>
      <c r="AT810" s="116"/>
      <c r="AU810" s="116"/>
    </row>
    <row r="811" spans="1:47" ht="19.5" x14ac:dyDescent="0.4"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22"/>
      <c r="W811" s="122"/>
      <c r="X811" s="122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7"/>
      <c r="AN811" s="15"/>
      <c r="AR811" s="117"/>
      <c r="AS811" s="116"/>
      <c r="AT811" s="116"/>
      <c r="AU811" s="116"/>
    </row>
    <row r="812" spans="1:47" ht="19.5" x14ac:dyDescent="0.4"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22"/>
      <c r="W812" s="122"/>
      <c r="X812" s="122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26"/>
      <c r="AN812" s="15"/>
      <c r="AR812" s="117"/>
      <c r="AS812" s="116"/>
      <c r="AT812" s="116"/>
      <c r="AU812" s="116"/>
    </row>
    <row r="813" spans="1:47" ht="19.5" x14ac:dyDescent="0.4">
      <c r="AM813" s="26"/>
      <c r="AN813" s="15"/>
      <c r="AR813" s="117"/>
      <c r="AS813" s="116"/>
      <c r="AT813" s="116"/>
      <c r="AU813" s="116"/>
    </row>
    <row r="814" spans="1:47" ht="19.5" x14ac:dyDescent="0.4">
      <c r="S814" s="115"/>
      <c r="T814" s="115"/>
      <c r="U814" s="115"/>
      <c r="V814" s="122"/>
      <c r="W814" s="122"/>
      <c r="X814" s="122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7"/>
      <c r="AN814" s="15"/>
      <c r="AR814" s="117"/>
      <c r="AS814" s="116"/>
      <c r="AT814" s="116"/>
      <c r="AU814" s="116"/>
    </row>
    <row r="815" spans="1:47" ht="19.5" x14ac:dyDescent="0.4">
      <c r="Q815" s="115"/>
      <c r="R815" s="115"/>
      <c r="S815" s="115"/>
      <c r="T815" s="115"/>
      <c r="U815" s="115"/>
      <c r="V815" s="122"/>
      <c r="W815" s="122"/>
      <c r="X815" s="122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26"/>
      <c r="AN815" s="15"/>
      <c r="AR815" s="117"/>
      <c r="AS815" s="116"/>
      <c r="AT815" s="116"/>
      <c r="AU815" s="116"/>
    </row>
    <row r="816" spans="1:47" ht="19.5" x14ac:dyDescent="0.4">
      <c r="Q816" s="115"/>
      <c r="R816" s="115"/>
      <c r="S816" s="115"/>
      <c r="T816" s="115"/>
      <c r="U816" s="115"/>
      <c r="V816" s="122"/>
      <c r="W816" s="122"/>
      <c r="X816" s="122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7"/>
      <c r="AN816" s="13"/>
      <c r="AR816" s="117"/>
      <c r="AS816" s="116"/>
      <c r="AT816" s="116"/>
      <c r="AU816" s="116"/>
    </row>
    <row r="817" spans="1:47" ht="19.5" x14ac:dyDescent="0.4">
      <c r="P817" s="115"/>
      <c r="Q817" s="115"/>
      <c r="R817" s="115"/>
      <c r="S817" s="115"/>
      <c r="T817" s="115"/>
      <c r="U817" s="115"/>
      <c r="V817" s="122"/>
      <c r="W817" s="122"/>
      <c r="X817" s="122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115"/>
      <c r="AM817" s="26"/>
      <c r="AN817" s="13"/>
      <c r="AR817" s="117"/>
      <c r="AS817" s="116"/>
      <c r="AT817" s="116"/>
      <c r="AU817" s="116"/>
    </row>
    <row r="818" spans="1:47" ht="19.5" x14ac:dyDescent="0.4">
      <c r="P818" s="115"/>
      <c r="Q818" s="115"/>
      <c r="R818" s="115"/>
      <c r="S818" s="115"/>
      <c r="T818" s="115"/>
      <c r="U818" s="115"/>
      <c r="V818" s="122"/>
      <c r="W818" s="122"/>
      <c r="X818" s="122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115"/>
      <c r="AM818" s="17"/>
      <c r="AN818" s="13"/>
      <c r="AR818" s="117"/>
      <c r="AS818" s="116"/>
      <c r="AT818" s="116"/>
      <c r="AU818" s="116"/>
    </row>
    <row r="819" spans="1:47" ht="19.5" x14ac:dyDescent="0.4"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22"/>
      <c r="W819" s="122"/>
      <c r="X819" s="122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115"/>
      <c r="AM819" s="26"/>
      <c r="AN819" s="15"/>
      <c r="AR819" s="117"/>
      <c r="AS819" s="116"/>
      <c r="AT819" s="116"/>
      <c r="AU819" s="116"/>
    </row>
    <row r="820" spans="1:47" ht="19.5" x14ac:dyDescent="0.4"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22"/>
      <c r="W820" s="122"/>
      <c r="X820" s="122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7"/>
      <c r="AN820" s="15"/>
      <c r="AR820" s="117"/>
      <c r="AS820" s="116"/>
      <c r="AT820" s="116"/>
      <c r="AU820" s="116"/>
    </row>
    <row r="821" spans="1:47" ht="19.5" x14ac:dyDescent="0.4"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22"/>
      <c r="W821" s="122"/>
      <c r="X821" s="122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26"/>
      <c r="AN821" s="105"/>
      <c r="AR821" s="117"/>
      <c r="AS821" s="116"/>
      <c r="AT821" s="116"/>
      <c r="AU821" s="116"/>
    </row>
    <row r="822" spans="1:47" ht="19.5" x14ac:dyDescent="0.4"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22"/>
      <c r="W822" s="122"/>
      <c r="X822" s="122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7"/>
      <c r="AN822" s="15"/>
      <c r="AR822" s="117"/>
      <c r="AS822" s="116"/>
      <c r="AT822" s="116"/>
      <c r="AU822" s="116"/>
    </row>
    <row r="823" spans="1:47" ht="19.5" x14ac:dyDescent="0.4"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22"/>
      <c r="W823" s="122"/>
      <c r="X823" s="122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26"/>
      <c r="AN823" s="15"/>
      <c r="AR823" s="117"/>
      <c r="AS823" s="116"/>
      <c r="AT823" s="116"/>
      <c r="AU823" s="116"/>
    </row>
    <row r="824" spans="1:47" ht="19.5" x14ac:dyDescent="0.4"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22"/>
      <c r="W824" s="122"/>
      <c r="X824" s="122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26"/>
      <c r="AN824" s="15"/>
      <c r="AR824" s="117"/>
      <c r="AS824" s="116"/>
      <c r="AT824" s="116"/>
      <c r="AU824" s="116"/>
    </row>
    <row r="825" spans="1:47" ht="19.5" x14ac:dyDescent="0.4">
      <c r="AM825" s="26"/>
      <c r="AN825" s="15"/>
      <c r="AR825" s="117"/>
      <c r="AS825" s="116"/>
      <c r="AT825" s="116"/>
      <c r="AU825" s="116"/>
    </row>
    <row r="826" spans="1:47" ht="19.5" x14ac:dyDescent="0.4">
      <c r="R826" s="115"/>
      <c r="S826" s="115"/>
      <c r="T826" s="115"/>
      <c r="U826" s="115"/>
      <c r="V826" s="122"/>
      <c r="W826" s="122"/>
      <c r="X826" s="122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26"/>
      <c r="AN826" s="15"/>
      <c r="AR826" s="117"/>
      <c r="AS826" s="116"/>
      <c r="AT826" s="116"/>
      <c r="AU826" s="116"/>
    </row>
    <row r="827" spans="1:47" ht="19.5" x14ac:dyDescent="0.4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22"/>
      <c r="W827" s="122"/>
      <c r="X827" s="122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26"/>
      <c r="AN827" s="15"/>
      <c r="AR827" s="117"/>
      <c r="AS827" s="116"/>
      <c r="AT827" s="116"/>
      <c r="AU827" s="116"/>
    </row>
    <row r="828" spans="1:47" ht="19.5" x14ac:dyDescent="0.4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22"/>
      <c r="W828" s="122"/>
      <c r="X828" s="122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26"/>
      <c r="AN828" s="15"/>
      <c r="AR828" s="117"/>
      <c r="AS828" s="116"/>
      <c r="AT828" s="116"/>
      <c r="AU828" s="116"/>
    </row>
    <row r="829" spans="1:47" ht="19.5" x14ac:dyDescent="0.4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22"/>
      <c r="W829" s="122"/>
      <c r="X829" s="122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7"/>
      <c r="AN829" s="15"/>
      <c r="AR829" s="117"/>
      <c r="AS829" s="116"/>
      <c r="AT829" s="116"/>
      <c r="AU829" s="116"/>
    </row>
    <row r="830" spans="1:47" ht="19.5" x14ac:dyDescent="0.4">
      <c r="AM830" s="26"/>
      <c r="AN830" s="15"/>
      <c r="AR830" s="117"/>
      <c r="AS830" s="116"/>
      <c r="AT830" s="116"/>
      <c r="AU830" s="116"/>
    </row>
    <row r="831" spans="1:47" ht="19.5" x14ac:dyDescent="0.4">
      <c r="S831" s="115"/>
      <c r="T831" s="115"/>
      <c r="U831" s="115"/>
      <c r="V831" s="122"/>
      <c r="W831" s="122"/>
      <c r="X831" s="122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7"/>
      <c r="AN831" s="15"/>
      <c r="AR831" s="117"/>
      <c r="AS831" s="116"/>
      <c r="AT831" s="116"/>
      <c r="AU831" s="116"/>
    </row>
    <row r="832" spans="1:47" ht="19.5" x14ac:dyDescent="0.4">
      <c r="R832" s="115"/>
      <c r="S832" s="115"/>
      <c r="T832" s="115"/>
      <c r="U832" s="115"/>
      <c r="V832" s="122"/>
      <c r="W832" s="122"/>
      <c r="X832" s="122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26"/>
      <c r="AN832" s="15"/>
      <c r="AR832" s="117"/>
      <c r="AS832" s="116"/>
      <c r="AT832" s="116"/>
      <c r="AU832" s="116"/>
    </row>
    <row r="833" spans="1:47" ht="19.5" x14ac:dyDescent="0.4"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22"/>
      <c r="W833" s="122"/>
      <c r="X833" s="122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26"/>
      <c r="AN833" s="15"/>
      <c r="AR833" s="117"/>
      <c r="AS833" s="116"/>
      <c r="AT833" s="116"/>
      <c r="AU833" s="116"/>
    </row>
    <row r="834" spans="1:47" ht="19.5" x14ac:dyDescent="0.4"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22"/>
      <c r="W834" s="122"/>
      <c r="X834" s="122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26"/>
      <c r="AN834" s="15"/>
      <c r="AR834" s="117"/>
      <c r="AS834" s="116"/>
      <c r="AT834" s="116"/>
      <c r="AU834" s="116"/>
    </row>
    <row r="835" spans="1:47" ht="19.5" x14ac:dyDescent="0.4"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22"/>
      <c r="W835" s="122"/>
      <c r="X835" s="122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26"/>
      <c r="AN835" s="15"/>
      <c r="AR835" s="117"/>
      <c r="AS835" s="116"/>
      <c r="AT835" s="116"/>
      <c r="AU835" s="116"/>
    </row>
    <row r="836" spans="1:47" ht="19.5" x14ac:dyDescent="0.4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22"/>
      <c r="W836" s="122"/>
      <c r="X836" s="122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26"/>
      <c r="AN836" s="15"/>
      <c r="AR836" s="117"/>
      <c r="AS836" s="116"/>
      <c r="AT836" s="116"/>
      <c r="AU836" s="116"/>
    </row>
    <row r="837" spans="1:47" ht="19.5" x14ac:dyDescent="0.4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22"/>
      <c r="W837" s="122"/>
      <c r="X837" s="122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26"/>
      <c r="AN837" s="15"/>
      <c r="AR837" s="117"/>
      <c r="AS837" s="116"/>
      <c r="AT837" s="116"/>
      <c r="AU837" s="116"/>
    </row>
    <row r="838" spans="1:47" ht="19.5" x14ac:dyDescent="0.4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22"/>
      <c r="W838" s="122"/>
      <c r="X838" s="122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7"/>
      <c r="AN838" s="15"/>
      <c r="AR838" s="117"/>
      <c r="AS838" s="116"/>
      <c r="AT838" s="116"/>
      <c r="AU838" s="116"/>
    </row>
    <row r="839" spans="1:47" ht="19.5" x14ac:dyDescent="0.4">
      <c r="AM839" s="26"/>
      <c r="AN839" s="15"/>
      <c r="AR839" s="117"/>
      <c r="AS839" s="116"/>
      <c r="AT839" s="116"/>
      <c r="AU839" s="116"/>
    </row>
    <row r="840" spans="1:47" ht="19.5" x14ac:dyDescent="0.4">
      <c r="S840" s="115"/>
      <c r="T840" s="115"/>
      <c r="U840" s="115"/>
      <c r="V840" s="122"/>
      <c r="W840" s="122"/>
      <c r="X840" s="122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7"/>
      <c r="AN840" s="13"/>
      <c r="AR840" s="117"/>
      <c r="AS840" s="116"/>
      <c r="AT840" s="116"/>
      <c r="AU840" s="116"/>
    </row>
    <row r="841" spans="1:47" ht="19.5" x14ac:dyDescent="0.4">
      <c r="S841" s="115"/>
      <c r="T841" s="115"/>
      <c r="U841" s="115"/>
      <c r="V841" s="122"/>
      <c r="W841" s="122"/>
      <c r="X841" s="122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115"/>
      <c r="AM841" s="17"/>
      <c r="AN841" s="13"/>
      <c r="AR841" s="117"/>
      <c r="AS841" s="116"/>
      <c r="AT841" s="116"/>
      <c r="AU841" s="116"/>
    </row>
    <row r="842" spans="1:47" ht="19.5" x14ac:dyDescent="0.4">
      <c r="AM842" s="26"/>
      <c r="AN842" s="13"/>
      <c r="AR842" s="117"/>
      <c r="AS842" s="116"/>
      <c r="AT842" s="116"/>
      <c r="AU842" s="116"/>
    </row>
    <row r="843" spans="1:47" ht="19.5" x14ac:dyDescent="0.4">
      <c r="AM843" s="26"/>
      <c r="AN843" s="13"/>
      <c r="AR843" s="116"/>
      <c r="AS843" s="116"/>
      <c r="AT843" s="116"/>
      <c r="AU843" s="116"/>
    </row>
    <row r="844" spans="1:47" ht="19.5" x14ac:dyDescent="0.4"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22"/>
      <c r="W844" s="122"/>
      <c r="X844" s="122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26"/>
      <c r="AN844" s="13"/>
      <c r="AR844" s="118"/>
      <c r="AS844" s="118"/>
      <c r="AT844" s="118"/>
      <c r="AU844" s="118"/>
    </row>
    <row r="845" spans="1:47" ht="19.5" x14ac:dyDescent="0.4"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22"/>
      <c r="W845" s="122"/>
      <c r="X845" s="122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26"/>
      <c r="AN845" s="13"/>
      <c r="AR845" s="118"/>
      <c r="AS845" s="118"/>
      <c r="AT845" s="118"/>
      <c r="AU845" s="118"/>
    </row>
    <row r="846" spans="1:47" ht="19.5" x14ac:dyDescent="0.4"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22"/>
      <c r="W846" s="122"/>
      <c r="X846" s="122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26"/>
      <c r="AN846" s="13"/>
      <c r="AR846" s="118"/>
      <c r="AS846" s="118"/>
      <c r="AT846" s="118"/>
      <c r="AU846" s="118"/>
    </row>
    <row r="847" spans="1:47" ht="19.5" x14ac:dyDescent="0.4"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22"/>
      <c r="W847" s="122"/>
      <c r="X847" s="122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26"/>
      <c r="AN847" s="15"/>
      <c r="AR847" s="118"/>
      <c r="AS847" s="118"/>
      <c r="AT847" s="118"/>
      <c r="AU847" s="118"/>
    </row>
    <row r="848" spans="1:47" ht="19.5" x14ac:dyDescent="0.4"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22"/>
      <c r="W848" s="122"/>
      <c r="X848" s="122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26"/>
      <c r="AN848" s="15"/>
      <c r="AR848" s="118"/>
      <c r="AS848" s="118"/>
      <c r="AT848" s="118"/>
      <c r="AU848" s="118"/>
    </row>
    <row r="849" spans="1:47" ht="19.5" x14ac:dyDescent="0.4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22"/>
      <c r="W849" s="122"/>
      <c r="X849" s="122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26"/>
      <c r="AN849" s="15"/>
      <c r="AR849" s="118"/>
      <c r="AS849" s="118"/>
      <c r="AT849" s="118"/>
      <c r="AU849" s="118"/>
    </row>
    <row r="850" spans="1:47" ht="19.5" x14ac:dyDescent="0.4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22"/>
      <c r="W850" s="122"/>
      <c r="X850" s="122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26"/>
      <c r="AN850" s="15"/>
      <c r="AR850" s="118"/>
      <c r="AS850" s="118"/>
      <c r="AT850" s="118"/>
      <c r="AU850" s="118"/>
    </row>
    <row r="851" spans="1:47" ht="20.25" customHeight="1" x14ac:dyDescent="0.4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22"/>
      <c r="W851" s="122"/>
      <c r="X851" s="122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26"/>
      <c r="AN851" s="15"/>
      <c r="AR851" s="118"/>
      <c r="AS851" s="118"/>
      <c r="AT851" s="118"/>
      <c r="AU851" s="118"/>
    </row>
    <row r="852" spans="1:47" x14ac:dyDescent="0.4">
      <c r="AM852" s="26"/>
      <c r="AN852" s="15"/>
    </row>
    <row r="853" spans="1:47" x14ac:dyDescent="0.4">
      <c r="AM853" s="26"/>
      <c r="AN853" s="13"/>
    </row>
    <row r="854" spans="1:47" x14ac:dyDescent="0.4">
      <c r="Q854" s="115"/>
      <c r="R854" s="115"/>
      <c r="S854" s="115"/>
      <c r="T854" s="115"/>
      <c r="U854" s="115"/>
      <c r="V854" s="122"/>
      <c r="W854" s="122"/>
      <c r="X854" s="122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26"/>
      <c r="AN854" s="13"/>
    </row>
    <row r="855" spans="1:47" x14ac:dyDescent="0.4">
      <c r="Q855" s="115"/>
      <c r="R855" s="115"/>
      <c r="S855" s="115"/>
      <c r="T855" s="115"/>
      <c r="U855" s="115"/>
      <c r="V855" s="122"/>
      <c r="W855" s="122"/>
      <c r="X855" s="122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7"/>
      <c r="AN855" s="13"/>
    </row>
    <row r="856" spans="1:47" x14ac:dyDescent="0.4"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22"/>
      <c r="W856" s="122"/>
      <c r="X856" s="122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26"/>
      <c r="AN856" s="13"/>
    </row>
    <row r="857" spans="1:47" x14ac:dyDescent="0.4"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22"/>
      <c r="W857" s="122"/>
      <c r="X857" s="122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26"/>
      <c r="AN857" s="13"/>
    </row>
    <row r="858" spans="1:47" x14ac:dyDescent="0.4">
      <c r="AM858" s="26"/>
      <c r="AN858" s="13"/>
    </row>
    <row r="859" spans="1:47" x14ac:dyDescent="0.4"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22"/>
      <c r="W859" s="122"/>
      <c r="X859" s="122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26"/>
      <c r="AN859" s="13"/>
    </row>
    <row r="860" spans="1:47" x14ac:dyDescent="0.4"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22"/>
      <c r="W860" s="122"/>
      <c r="X860" s="122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15"/>
      <c r="AL860" s="115"/>
      <c r="AM860" s="26"/>
      <c r="AN860" s="13"/>
    </row>
    <row r="861" spans="1:47" x14ac:dyDescent="0.4">
      <c r="AM861" s="26"/>
      <c r="AN861" s="13"/>
    </row>
    <row r="862" spans="1:47" x14ac:dyDescent="0.4"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22"/>
      <c r="W862" s="122"/>
      <c r="X862" s="122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26"/>
      <c r="AN862" s="13"/>
    </row>
    <row r="863" spans="1:47" x14ac:dyDescent="0.4">
      <c r="AM863" s="26"/>
      <c r="AN863" s="13"/>
    </row>
    <row r="864" spans="1:47" x14ac:dyDescent="0.4">
      <c r="P864" s="115"/>
      <c r="Q864" s="115"/>
      <c r="R864" s="115"/>
      <c r="S864" s="115"/>
      <c r="T864" s="115"/>
      <c r="U864" s="115"/>
      <c r="V864" s="122"/>
      <c r="W864" s="122"/>
      <c r="X864" s="122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115"/>
      <c r="AL864" s="115"/>
      <c r="AM864" s="26"/>
      <c r="AN864" s="13"/>
    </row>
    <row r="865" spans="1:40" x14ac:dyDescent="0.4">
      <c r="AM865" s="26"/>
      <c r="AN865" s="13"/>
    </row>
    <row r="866" spans="1:40" x14ac:dyDescent="0.4"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22"/>
      <c r="W866" s="122"/>
      <c r="X866" s="122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26"/>
      <c r="AN866" s="15"/>
    </row>
    <row r="867" spans="1:40" x14ac:dyDescent="0.4"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22"/>
      <c r="W867" s="122"/>
      <c r="X867" s="122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26"/>
      <c r="AN867" s="15"/>
    </row>
    <row r="868" spans="1:40" x14ac:dyDescent="0.4"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22"/>
      <c r="W868" s="122"/>
      <c r="X868" s="122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26"/>
      <c r="AN868" s="15"/>
    </row>
    <row r="869" spans="1:40" x14ac:dyDescent="0.4">
      <c r="AM869" s="26"/>
      <c r="AN869" s="13"/>
    </row>
    <row r="870" spans="1:40" x14ac:dyDescent="0.4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22"/>
      <c r="W870" s="122"/>
      <c r="X870" s="122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26"/>
      <c r="AN870" s="15"/>
    </row>
    <row r="871" spans="1:40" x14ac:dyDescent="0.4">
      <c r="AM871" s="26"/>
      <c r="AN871" s="15"/>
    </row>
    <row r="872" spans="1:40" x14ac:dyDescent="0.4">
      <c r="AM872" s="26"/>
      <c r="AN872" s="15"/>
    </row>
    <row r="873" spans="1:40" x14ac:dyDescent="0.4"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22"/>
      <c r="W873" s="122"/>
      <c r="X873" s="122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26"/>
      <c r="AN873" s="15"/>
    </row>
    <row r="874" spans="1:40" x14ac:dyDescent="0.4"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22"/>
      <c r="W874" s="122"/>
      <c r="X874" s="122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26"/>
      <c r="AN874" s="15"/>
    </row>
    <row r="875" spans="1:40" x14ac:dyDescent="0.4">
      <c r="AM875" s="26"/>
      <c r="AN875" s="15"/>
    </row>
    <row r="876" spans="1:40" x14ac:dyDescent="0.4">
      <c r="O876" s="115"/>
      <c r="P876" s="115"/>
      <c r="Q876" s="115"/>
      <c r="R876" s="115"/>
      <c r="S876" s="115"/>
      <c r="T876" s="115"/>
      <c r="U876" s="115"/>
      <c r="V876" s="122"/>
      <c r="W876" s="122"/>
      <c r="X876" s="122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26"/>
      <c r="AN876" s="15"/>
    </row>
    <row r="877" spans="1:40" x14ac:dyDescent="0.4"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22"/>
      <c r="W877" s="122"/>
      <c r="X877" s="122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26"/>
      <c r="AN877" s="15"/>
    </row>
    <row r="878" spans="1:40" x14ac:dyDescent="0.4"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22"/>
      <c r="W878" s="122"/>
      <c r="X878" s="122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26"/>
      <c r="AN878" s="15"/>
    </row>
    <row r="879" spans="1:40" x14ac:dyDescent="0.4"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22"/>
      <c r="W879" s="122"/>
      <c r="X879" s="122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26"/>
      <c r="AN879" s="15"/>
    </row>
    <row r="880" spans="1:40" x14ac:dyDescent="0.4"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22"/>
      <c r="W880" s="122"/>
      <c r="X880" s="122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26"/>
      <c r="AN880" s="15"/>
    </row>
    <row r="881" spans="1:40" x14ac:dyDescent="0.4">
      <c r="AM881" s="26"/>
      <c r="AN881" s="15"/>
    </row>
    <row r="882" spans="1:40" x14ac:dyDescent="0.4">
      <c r="R882" s="115"/>
      <c r="S882" s="115"/>
      <c r="T882" s="115"/>
      <c r="U882" s="115"/>
      <c r="V882" s="122"/>
      <c r="W882" s="122"/>
      <c r="X882" s="122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7"/>
      <c r="AN882" s="15"/>
    </row>
    <row r="883" spans="1:40" x14ac:dyDescent="0.4">
      <c r="AM883" s="26"/>
      <c r="AN883" s="15"/>
    </row>
    <row r="884" spans="1:40" x14ac:dyDescent="0.4">
      <c r="P884" s="115"/>
      <c r="Q884" s="115"/>
      <c r="R884" s="115"/>
      <c r="S884" s="115"/>
      <c r="T884" s="115"/>
      <c r="U884" s="115"/>
      <c r="V884" s="122"/>
      <c r="W884" s="122"/>
      <c r="X884" s="122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26"/>
      <c r="AN884" s="15"/>
    </row>
    <row r="885" spans="1:40" x14ac:dyDescent="0.4">
      <c r="AM885" s="26"/>
      <c r="AN885" s="15"/>
    </row>
    <row r="886" spans="1:40" x14ac:dyDescent="0.4">
      <c r="AM886" s="26"/>
      <c r="AN886" s="15"/>
    </row>
    <row r="887" spans="1:40" x14ac:dyDescent="0.4"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22"/>
      <c r="W887" s="122"/>
      <c r="X887" s="122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26"/>
      <c r="AN887" s="15"/>
    </row>
    <row r="888" spans="1:40" x14ac:dyDescent="0.4"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22"/>
      <c r="W888" s="122"/>
      <c r="X888" s="122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26"/>
      <c r="AN888" s="15"/>
    </row>
    <row r="889" spans="1:40" x14ac:dyDescent="0.4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22"/>
      <c r="W889" s="122"/>
      <c r="X889" s="122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26"/>
      <c r="AN889" s="15"/>
    </row>
    <row r="890" spans="1:40" x14ac:dyDescent="0.4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22"/>
      <c r="W890" s="122"/>
      <c r="X890" s="122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  <c r="AK890" s="115"/>
      <c r="AL890" s="115"/>
      <c r="AM890" s="26"/>
      <c r="AN890" s="15"/>
    </row>
    <row r="891" spans="1:40" x14ac:dyDescent="0.4">
      <c r="AM891" s="26"/>
      <c r="AN891" s="15"/>
    </row>
    <row r="892" spans="1:40" x14ac:dyDescent="0.4">
      <c r="R892" s="115"/>
      <c r="S892" s="115"/>
      <c r="T892" s="115"/>
      <c r="U892" s="115"/>
      <c r="V892" s="122"/>
      <c r="W892" s="122"/>
      <c r="X892" s="122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7"/>
      <c r="AN892" s="15"/>
    </row>
    <row r="893" spans="1:40" x14ac:dyDescent="0.4">
      <c r="AM893" s="26"/>
      <c r="AN893" s="15"/>
    </row>
    <row r="894" spans="1:40" x14ac:dyDescent="0.4"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22"/>
      <c r="W894" s="122"/>
      <c r="X894" s="122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26"/>
      <c r="AN894" s="15"/>
    </row>
    <row r="895" spans="1:40" x14ac:dyDescent="0.4"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22"/>
      <c r="W895" s="122"/>
      <c r="X895" s="122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26"/>
      <c r="AN895" s="15"/>
    </row>
    <row r="896" spans="1:40" x14ac:dyDescent="0.4"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22"/>
      <c r="W896" s="122"/>
      <c r="X896" s="122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7"/>
      <c r="AN896" s="15"/>
    </row>
    <row r="897" spans="3:40" x14ac:dyDescent="0.4">
      <c r="AM897" s="26"/>
      <c r="AN897" s="15"/>
    </row>
    <row r="898" spans="3:40" x14ac:dyDescent="0.4"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22"/>
      <c r="W898" s="122"/>
      <c r="X898" s="122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26"/>
      <c r="AN898" s="15"/>
    </row>
    <row r="899" spans="3:40" x14ac:dyDescent="0.4"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22"/>
      <c r="W899" s="122"/>
      <c r="X899" s="122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7"/>
      <c r="AN899" s="15"/>
    </row>
    <row r="900" spans="3:40" x14ac:dyDescent="0.4">
      <c r="AM900" s="26"/>
      <c r="AN900" s="15"/>
    </row>
    <row r="901" spans="3:40" x14ac:dyDescent="0.4">
      <c r="R901" s="115"/>
      <c r="S901" s="115"/>
      <c r="T901" s="115"/>
      <c r="U901" s="115"/>
      <c r="V901" s="122"/>
      <c r="W901" s="122"/>
      <c r="X901" s="122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7"/>
      <c r="AN901" s="15"/>
    </row>
    <row r="902" spans="3:40" x14ac:dyDescent="0.4"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22"/>
      <c r="W902" s="122"/>
      <c r="X902" s="122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26"/>
      <c r="AN902" s="15"/>
    </row>
    <row r="903" spans="3:40" x14ac:dyDescent="0.4"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22"/>
      <c r="W903" s="122"/>
      <c r="X903" s="122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7"/>
      <c r="AN903" s="15"/>
    </row>
    <row r="904" spans="3:40" x14ac:dyDescent="0.4">
      <c r="AM904" s="26"/>
      <c r="AN904" s="15"/>
    </row>
    <row r="905" spans="3:40" x14ac:dyDescent="0.4">
      <c r="AM905" s="26"/>
      <c r="AN905" s="15"/>
    </row>
    <row r="906" spans="3:40" x14ac:dyDescent="0.4">
      <c r="Q906" s="115"/>
      <c r="R906" s="115"/>
      <c r="S906" s="115"/>
      <c r="T906" s="115"/>
      <c r="U906" s="115"/>
      <c r="V906" s="122"/>
      <c r="W906" s="122"/>
      <c r="X906" s="122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26"/>
      <c r="AN906" s="15"/>
    </row>
    <row r="907" spans="3:40" x14ac:dyDescent="0.4">
      <c r="O907" s="115"/>
      <c r="P907" s="115"/>
      <c r="Q907" s="115"/>
      <c r="R907" s="115"/>
      <c r="S907" s="115"/>
      <c r="T907" s="115"/>
      <c r="U907" s="115"/>
      <c r="V907" s="122"/>
      <c r="W907" s="122"/>
      <c r="X907" s="122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26"/>
      <c r="AN907" s="15"/>
    </row>
    <row r="908" spans="3:40" x14ac:dyDescent="0.4">
      <c r="O908" s="115"/>
      <c r="P908" s="115"/>
      <c r="Q908" s="115"/>
      <c r="R908" s="115"/>
      <c r="S908" s="115"/>
      <c r="T908" s="115"/>
      <c r="U908" s="115"/>
      <c r="V908" s="122"/>
      <c r="W908" s="122"/>
      <c r="X908" s="122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  <c r="AK908" s="115"/>
      <c r="AL908" s="115"/>
      <c r="AM908" s="26"/>
      <c r="AN908" s="15"/>
    </row>
    <row r="909" spans="3:40" x14ac:dyDescent="0.4"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22"/>
      <c r="W909" s="122"/>
      <c r="X909" s="122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115"/>
      <c r="AL909" s="115"/>
      <c r="AM909" s="26"/>
      <c r="AN909" s="15"/>
    </row>
    <row r="910" spans="3:40" x14ac:dyDescent="0.4"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22"/>
      <c r="W910" s="122"/>
      <c r="X910" s="122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  <c r="AK910" s="115"/>
      <c r="AL910" s="115"/>
      <c r="AM910" s="26"/>
      <c r="AN910" s="15"/>
    </row>
    <row r="911" spans="3:40" x14ac:dyDescent="0.4">
      <c r="AM911" s="26"/>
      <c r="AN911" s="15"/>
    </row>
    <row r="912" spans="3:40" x14ac:dyDescent="0.4">
      <c r="Q912" s="115"/>
      <c r="R912" s="115"/>
      <c r="S912" s="115"/>
      <c r="T912" s="115"/>
      <c r="U912" s="115"/>
      <c r="V912" s="122"/>
      <c r="W912" s="122"/>
      <c r="X912" s="122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26"/>
      <c r="AN912" s="15"/>
    </row>
    <row r="913" spans="3:40" x14ac:dyDescent="0.4">
      <c r="AM913" s="26"/>
      <c r="AN913" s="15"/>
    </row>
    <row r="914" spans="3:40" x14ac:dyDescent="0.4">
      <c r="R914" s="115"/>
      <c r="S914" s="115"/>
      <c r="T914" s="115"/>
      <c r="U914" s="115"/>
      <c r="V914" s="122"/>
      <c r="W914" s="122"/>
      <c r="X914" s="122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7"/>
      <c r="AN914" s="15"/>
    </row>
    <row r="915" spans="3:40" x14ac:dyDescent="0.4">
      <c r="Q915" s="115"/>
      <c r="R915" s="115"/>
      <c r="S915" s="115"/>
      <c r="T915" s="115"/>
      <c r="U915" s="115"/>
      <c r="V915" s="122"/>
      <c r="W915" s="122"/>
      <c r="X915" s="122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26"/>
      <c r="AN915" s="15"/>
    </row>
    <row r="916" spans="3:40" x14ac:dyDescent="0.4"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22"/>
      <c r="W916" s="122"/>
      <c r="X916" s="122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26"/>
      <c r="AN916" s="15"/>
    </row>
    <row r="917" spans="3:40" x14ac:dyDescent="0.4"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22"/>
      <c r="W917" s="122"/>
      <c r="X917" s="122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7"/>
      <c r="AN917" s="15"/>
    </row>
    <row r="918" spans="3:40" x14ac:dyDescent="0.4">
      <c r="AM918" s="26"/>
      <c r="AN918" s="15"/>
    </row>
    <row r="919" spans="3:40" x14ac:dyDescent="0.4">
      <c r="R919" s="115"/>
      <c r="S919" s="115"/>
      <c r="T919" s="115"/>
      <c r="U919" s="115"/>
      <c r="V919" s="122"/>
      <c r="W919" s="122"/>
      <c r="X919" s="122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7"/>
      <c r="AN919" s="15"/>
    </row>
    <row r="920" spans="3:40" x14ac:dyDescent="0.4">
      <c r="Q920" s="115"/>
      <c r="R920" s="115"/>
      <c r="S920" s="115"/>
      <c r="T920" s="115"/>
      <c r="U920" s="115"/>
      <c r="V920" s="122"/>
      <c r="W920" s="122"/>
      <c r="X920" s="122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26"/>
      <c r="AN920" s="15"/>
    </row>
    <row r="921" spans="3:40" x14ac:dyDescent="0.4">
      <c r="Q921" s="115"/>
      <c r="R921" s="115"/>
      <c r="S921" s="115"/>
      <c r="T921" s="115"/>
      <c r="U921" s="115"/>
      <c r="V921" s="122"/>
      <c r="W921" s="122"/>
      <c r="X921" s="122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7"/>
      <c r="AN921" s="15"/>
    </row>
    <row r="922" spans="3:40" x14ac:dyDescent="0.4">
      <c r="Q922" s="115"/>
      <c r="R922" s="115"/>
      <c r="S922" s="115"/>
      <c r="T922" s="115"/>
      <c r="U922" s="115"/>
      <c r="V922" s="122"/>
      <c r="W922" s="122"/>
      <c r="X922" s="122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7"/>
      <c r="AN922" s="15"/>
    </row>
    <row r="923" spans="3:40" x14ac:dyDescent="0.4"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22"/>
      <c r="W923" s="122"/>
      <c r="X923" s="122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26"/>
      <c r="AN923" s="15"/>
    </row>
    <row r="924" spans="3:40" x14ac:dyDescent="0.4"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22"/>
      <c r="W924" s="122"/>
      <c r="X924" s="122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26"/>
      <c r="AN924" s="15"/>
    </row>
    <row r="925" spans="3:40" x14ac:dyDescent="0.4"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22"/>
      <c r="W925" s="122"/>
      <c r="X925" s="122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  <c r="AK925" s="115"/>
      <c r="AL925" s="115"/>
      <c r="AM925" s="26"/>
      <c r="AN925" s="15"/>
    </row>
    <row r="926" spans="3:40" x14ac:dyDescent="0.4"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22"/>
      <c r="W926" s="122"/>
      <c r="X926" s="122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26"/>
      <c r="AN926" s="15"/>
    </row>
    <row r="927" spans="3:40" x14ac:dyDescent="0.4"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22"/>
      <c r="W927" s="122"/>
      <c r="X927" s="122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  <c r="AK927" s="115"/>
      <c r="AL927" s="115"/>
      <c r="AM927" s="26"/>
      <c r="AN927" s="15"/>
    </row>
    <row r="928" spans="3:40" x14ac:dyDescent="0.4"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22"/>
      <c r="W928" s="122"/>
      <c r="X928" s="122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115"/>
      <c r="AM928" s="17"/>
      <c r="AN928" s="15"/>
    </row>
    <row r="929" spans="3:40" x14ac:dyDescent="0.4">
      <c r="AM929" s="26"/>
      <c r="AN929" s="15"/>
    </row>
    <row r="930" spans="3:40" x14ac:dyDescent="0.4">
      <c r="Q930" s="115"/>
      <c r="R930" s="115"/>
      <c r="S930" s="115"/>
      <c r="T930" s="115"/>
      <c r="U930" s="115"/>
      <c r="V930" s="122"/>
      <c r="W930" s="122"/>
      <c r="X930" s="122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7"/>
      <c r="AN930" s="13"/>
    </row>
    <row r="931" spans="3:40" x14ac:dyDescent="0.4">
      <c r="Q931" s="115"/>
      <c r="R931" s="115"/>
      <c r="S931" s="115"/>
      <c r="T931" s="115"/>
      <c r="U931" s="115"/>
      <c r="V931" s="122"/>
      <c r="W931" s="122"/>
      <c r="X931" s="122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7"/>
      <c r="AN931" s="13"/>
    </row>
    <row r="932" spans="3:40" x14ac:dyDescent="0.4">
      <c r="O932" s="115"/>
      <c r="P932" s="115"/>
      <c r="Q932" s="115"/>
      <c r="R932" s="115"/>
      <c r="S932" s="115"/>
      <c r="T932" s="115"/>
      <c r="U932" s="115"/>
      <c r="V932" s="122"/>
      <c r="W932" s="122"/>
      <c r="X932" s="122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26"/>
      <c r="AN932" s="13"/>
    </row>
    <row r="933" spans="3:40" x14ac:dyDescent="0.4">
      <c r="O933" s="115"/>
      <c r="P933" s="115"/>
      <c r="Q933" s="115"/>
      <c r="R933" s="115"/>
      <c r="S933" s="115"/>
      <c r="T933" s="115"/>
      <c r="U933" s="115"/>
      <c r="V933" s="122"/>
      <c r="W933" s="122"/>
      <c r="X933" s="122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7"/>
      <c r="AN933" s="13"/>
    </row>
    <row r="934" spans="3:40" x14ac:dyDescent="0.4">
      <c r="AM934" s="26"/>
      <c r="AN934" s="13"/>
    </row>
    <row r="935" spans="3:40" x14ac:dyDescent="0.4">
      <c r="P935" s="115"/>
      <c r="Q935" s="115"/>
      <c r="R935" s="115"/>
      <c r="S935" s="115"/>
      <c r="T935" s="115"/>
      <c r="U935" s="115"/>
      <c r="V935" s="122"/>
      <c r="W935" s="122"/>
      <c r="X935" s="122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115"/>
      <c r="AL935" s="115"/>
      <c r="AM935" s="17"/>
      <c r="AN935" s="13"/>
    </row>
    <row r="936" spans="3:40" x14ac:dyDescent="0.4">
      <c r="AM936" s="26"/>
      <c r="AN936" s="13"/>
    </row>
    <row r="937" spans="3:40" x14ac:dyDescent="0.4">
      <c r="AM937" s="26"/>
      <c r="AN937" s="13"/>
    </row>
    <row r="938" spans="3:40" x14ac:dyDescent="0.4"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22"/>
      <c r="W938" s="122"/>
      <c r="X938" s="122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26"/>
      <c r="AN938" s="13"/>
    </row>
    <row r="939" spans="3:40" x14ac:dyDescent="0.4"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22"/>
      <c r="W939" s="122"/>
      <c r="X939" s="122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26"/>
      <c r="AN939" s="13"/>
    </row>
    <row r="940" spans="3:40" x14ac:dyDescent="0.4">
      <c r="AM940" s="26"/>
      <c r="AN940" s="13"/>
    </row>
    <row r="941" spans="3:40" x14ac:dyDescent="0.4">
      <c r="AM941" s="26"/>
      <c r="AN941" s="13"/>
    </row>
    <row r="942" spans="3:40" x14ac:dyDescent="0.4"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22"/>
      <c r="W942" s="122"/>
      <c r="X942" s="122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15"/>
      <c r="AM942" s="26"/>
      <c r="AN942" s="13"/>
    </row>
    <row r="943" spans="3:40" x14ac:dyDescent="0.4">
      <c r="AM943" s="26"/>
      <c r="AN943" s="105"/>
    </row>
    <row r="944" spans="3:40" x14ac:dyDescent="0.4"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22"/>
      <c r="W944" s="122"/>
      <c r="X944" s="122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26"/>
      <c r="AN944" s="15"/>
    </row>
    <row r="945" spans="2:40" x14ac:dyDescent="0.4"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22"/>
      <c r="W945" s="122"/>
      <c r="X945" s="122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7"/>
      <c r="AN945" s="15"/>
    </row>
    <row r="946" spans="2:40" x14ac:dyDescent="0.4">
      <c r="AM946" s="26"/>
      <c r="AN946" s="15"/>
    </row>
    <row r="947" spans="2:40" x14ac:dyDescent="0.4"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22"/>
      <c r="W947" s="122"/>
      <c r="X947" s="122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26"/>
      <c r="AN947" s="15"/>
    </row>
    <row r="948" spans="2:40" x14ac:dyDescent="0.4"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22"/>
      <c r="W948" s="122"/>
      <c r="X948" s="122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15"/>
      <c r="AL948" s="115"/>
      <c r="AM948" s="26"/>
      <c r="AN948" s="15"/>
    </row>
    <row r="949" spans="2:40" x14ac:dyDescent="0.4"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22"/>
      <c r="W949" s="122"/>
      <c r="X949" s="122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15"/>
      <c r="AM949" s="26"/>
      <c r="AN949" s="13"/>
    </row>
    <row r="950" spans="2:40" x14ac:dyDescent="0.4">
      <c r="AM950" s="26"/>
      <c r="AN950" s="15"/>
    </row>
    <row r="951" spans="2:40" x14ac:dyDescent="0.4"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22"/>
      <c r="W951" s="122"/>
      <c r="X951" s="122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26"/>
      <c r="AN951" s="15"/>
    </row>
    <row r="952" spans="2:40" x14ac:dyDescent="0.4"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22"/>
      <c r="W952" s="122"/>
      <c r="X952" s="122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26"/>
      <c r="AN952" s="15"/>
    </row>
    <row r="953" spans="2:40" x14ac:dyDescent="0.4"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22"/>
      <c r="W953" s="122"/>
      <c r="X953" s="122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26"/>
      <c r="AN953" s="15"/>
    </row>
    <row r="954" spans="2:40" x14ac:dyDescent="0.4"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22"/>
      <c r="W954" s="122"/>
      <c r="X954" s="122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15"/>
      <c r="AM954" s="26"/>
      <c r="AN954" s="15"/>
    </row>
    <row r="955" spans="2:40" x14ac:dyDescent="0.4"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22"/>
      <c r="W955" s="122"/>
      <c r="X955" s="122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26"/>
      <c r="AN955" s="15"/>
    </row>
    <row r="956" spans="2:40" x14ac:dyDescent="0.4"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22"/>
      <c r="W956" s="122"/>
      <c r="X956" s="122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26"/>
      <c r="AN956" s="15"/>
    </row>
    <row r="957" spans="2:40" ht="19.5" customHeight="1" x14ac:dyDescent="0.4"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22"/>
      <c r="W957" s="122"/>
      <c r="X957" s="122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26"/>
      <c r="AN957" s="15"/>
    </row>
    <row r="958" spans="2:40" ht="19.5" customHeight="1" x14ac:dyDescent="0.4"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22"/>
      <c r="W958" s="122"/>
      <c r="X958" s="122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26"/>
      <c r="AN958" s="15"/>
    </row>
    <row r="959" spans="2:40" x14ac:dyDescent="0.4">
      <c r="AM959" s="26"/>
      <c r="AN959" s="15"/>
    </row>
    <row r="960" spans="2:40" x14ac:dyDescent="0.4"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22"/>
      <c r="W960" s="122"/>
      <c r="X960" s="122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26"/>
      <c r="AN960" s="15"/>
    </row>
    <row r="961" spans="1:40" x14ac:dyDescent="0.4"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22"/>
      <c r="W961" s="122"/>
      <c r="X961" s="122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26"/>
      <c r="AN961" s="15"/>
    </row>
    <row r="962" spans="1:40" x14ac:dyDescent="0.4"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22"/>
      <c r="W962" s="122"/>
      <c r="X962" s="122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7"/>
      <c r="AN962" s="15"/>
    </row>
    <row r="963" spans="1:40" x14ac:dyDescent="0.4">
      <c r="AM963" s="26"/>
      <c r="AN963" s="15"/>
    </row>
    <row r="964" spans="1:40" x14ac:dyDescent="0.4">
      <c r="P964" s="115"/>
      <c r="Q964" s="115"/>
      <c r="R964" s="115"/>
      <c r="S964" s="115"/>
      <c r="T964" s="115"/>
      <c r="U964" s="115"/>
      <c r="V964" s="122"/>
      <c r="W964" s="122"/>
      <c r="X964" s="122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7"/>
      <c r="AN964" s="15"/>
    </row>
    <row r="965" spans="1:40" x14ac:dyDescent="0.4"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22"/>
      <c r="W965" s="122"/>
      <c r="X965" s="122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115"/>
      <c r="AM965" s="26"/>
      <c r="AN965" s="15"/>
    </row>
    <row r="966" spans="1:40" x14ac:dyDescent="0.4">
      <c r="AM966" s="26"/>
      <c r="AN966" s="15"/>
    </row>
    <row r="967" spans="1:40" x14ac:dyDescent="0.4">
      <c r="AM967" s="26"/>
      <c r="AN967" s="15"/>
    </row>
    <row r="968" spans="1:40" x14ac:dyDescent="0.4">
      <c r="O968" s="115"/>
      <c r="P968" s="115"/>
      <c r="Q968" s="115"/>
      <c r="R968" s="115"/>
      <c r="S968" s="115"/>
      <c r="T968" s="115"/>
      <c r="U968" s="115"/>
      <c r="V968" s="122"/>
      <c r="W968" s="122"/>
      <c r="X968" s="122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26"/>
      <c r="AN968" s="15"/>
    </row>
    <row r="969" spans="1:40" x14ac:dyDescent="0.4">
      <c r="AM969" s="26"/>
      <c r="AN969" s="15"/>
    </row>
    <row r="970" spans="1:40" x14ac:dyDescent="0.4">
      <c r="P970" s="115"/>
      <c r="Q970" s="115"/>
      <c r="R970" s="115"/>
      <c r="S970" s="115"/>
      <c r="T970" s="115"/>
      <c r="U970" s="115"/>
      <c r="V970" s="122"/>
      <c r="W970" s="122"/>
      <c r="X970" s="122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7"/>
      <c r="AN970" s="15"/>
    </row>
    <row r="971" spans="1:40" x14ac:dyDescent="0.4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22"/>
      <c r="W971" s="122"/>
      <c r="X971" s="122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26"/>
      <c r="AN971" s="15"/>
    </row>
    <row r="972" spans="1:40" x14ac:dyDescent="0.4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22"/>
      <c r="W972" s="122"/>
      <c r="X972" s="122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7"/>
      <c r="AN972" s="13"/>
    </row>
    <row r="973" spans="1:40" x14ac:dyDescent="0.4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22"/>
      <c r="W973" s="122"/>
      <c r="X973" s="122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7"/>
      <c r="AN973" s="13"/>
    </row>
    <row r="974" spans="1:40" x14ac:dyDescent="0.4">
      <c r="AM974" s="26"/>
      <c r="AN974" s="13"/>
    </row>
    <row r="975" spans="1:40" x14ac:dyDescent="0.4"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22"/>
      <c r="W975" s="122"/>
      <c r="X975" s="122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115"/>
      <c r="AM975" s="26"/>
      <c r="AN975" s="15"/>
    </row>
    <row r="976" spans="1:40" x14ac:dyDescent="0.4"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22"/>
      <c r="W976" s="122"/>
      <c r="X976" s="122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26"/>
      <c r="AN976" s="15"/>
    </row>
    <row r="977" spans="1:40" x14ac:dyDescent="0.4">
      <c r="AM977" s="26"/>
      <c r="AN977" s="15"/>
    </row>
    <row r="978" spans="1:40" x14ac:dyDescent="0.4"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22"/>
      <c r="W978" s="122"/>
      <c r="X978" s="122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26"/>
      <c r="AN978" s="15"/>
    </row>
    <row r="979" spans="1:40" x14ac:dyDescent="0.4"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22"/>
      <c r="W979" s="122"/>
      <c r="X979" s="122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26"/>
      <c r="AN979" s="15"/>
    </row>
    <row r="980" spans="1:40" x14ac:dyDescent="0.4"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22"/>
      <c r="W980" s="122"/>
      <c r="X980" s="122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26"/>
      <c r="AN980" s="15"/>
    </row>
    <row r="981" spans="1:40" x14ac:dyDescent="0.4"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22"/>
      <c r="W981" s="122"/>
      <c r="X981" s="122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26"/>
      <c r="AN981" s="15"/>
    </row>
    <row r="982" spans="1:40" x14ac:dyDescent="0.4">
      <c r="AM982" s="26"/>
      <c r="AN982" s="15"/>
    </row>
    <row r="983" spans="1:40" x14ac:dyDescent="0.4"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22"/>
      <c r="W983" s="122"/>
      <c r="X983" s="122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26"/>
      <c r="AN983" s="15"/>
    </row>
    <row r="984" spans="1:40" x14ac:dyDescent="0.4">
      <c r="AM984" s="26"/>
      <c r="AN984" s="15"/>
    </row>
    <row r="985" spans="1:40" x14ac:dyDescent="0.4"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22"/>
      <c r="W985" s="122"/>
      <c r="X985" s="122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26"/>
      <c r="AN985" s="15"/>
    </row>
    <row r="986" spans="1:40" x14ac:dyDescent="0.4"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22"/>
      <c r="W986" s="122"/>
      <c r="X986" s="122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26"/>
      <c r="AN986" s="15"/>
    </row>
    <row r="987" spans="1:40" x14ac:dyDescent="0.4"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22"/>
      <c r="W987" s="122"/>
      <c r="X987" s="122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7"/>
      <c r="AN987" s="15"/>
    </row>
    <row r="988" spans="1:40" x14ac:dyDescent="0.4">
      <c r="AM988" s="26"/>
      <c r="AN988" s="15"/>
    </row>
    <row r="989" spans="1:40" x14ac:dyDescent="0.4">
      <c r="AM989" s="26"/>
      <c r="AN989" s="15"/>
    </row>
    <row r="990" spans="1:40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22"/>
      <c r="W990" s="122"/>
      <c r="X990" s="122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26"/>
      <c r="AN990" s="15"/>
    </row>
    <row r="991" spans="1:40" x14ac:dyDescent="0.4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22"/>
      <c r="W991" s="122"/>
      <c r="X991" s="122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7"/>
      <c r="AN991" s="15"/>
    </row>
    <row r="992" spans="1:40" x14ac:dyDescent="0.4">
      <c r="AM992" s="26"/>
      <c r="AN992" s="15"/>
    </row>
    <row r="993" spans="1:40" ht="17.25" customHeight="1" x14ac:dyDescent="0.4"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22"/>
      <c r="W993" s="122"/>
      <c r="X993" s="122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26"/>
      <c r="AN993" s="15"/>
    </row>
    <row r="994" spans="1:40" x14ac:dyDescent="0.4">
      <c r="AM994" s="26"/>
      <c r="AN994" s="15"/>
    </row>
    <row r="995" spans="1:40" x14ac:dyDescent="0.4">
      <c r="O995" s="115"/>
      <c r="P995" s="115"/>
      <c r="Q995" s="115"/>
      <c r="R995" s="115"/>
      <c r="S995" s="115"/>
      <c r="T995" s="115"/>
      <c r="U995" s="115"/>
      <c r="V995" s="122"/>
      <c r="W995" s="122"/>
      <c r="X995" s="122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7"/>
      <c r="AN995" s="15"/>
    </row>
    <row r="996" spans="1:40" ht="16.5" customHeight="1" x14ac:dyDescent="0.4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22"/>
      <c r="W996" s="122"/>
      <c r="X996" s="122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26"/>
      <c r="AN996" s="15"/>
    </row>
    <row r="997" spans="1:40" ht="22.5" customHeight="1" x14ac:dyDescent="0.4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22"/>
      <c r="W997" s="122"/>
      <c r="X997" s="122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26"/>
      <c r="AN997" s="15"/>
    </row>
    <row r="998" spans="1:40" x14ac:dyDescent="0.4">
      <c r="AM998" s="26"/>
      <c r="AN998" s="15"/>
    </row>
    <row r="999" spans="1:40" x14ac:dyDescent="0.4">
      <c r="AM999" s="26"/>
      <c r="AN999" s="105"/>
    </row>
    <row r="1000" spans="1:40" x14ac:dyDescent="0.4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22"/>
      <c r="W1000" s="122"/>
      <c r="X1000" s="122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26"/>
      <c r="AN1000" s="15"/>
    </row>
    <row r="1001" spans="1:40" x14ac:dyDescent="0.4">
      <c r="AM1001" s="26"/>
      <c r="AN1001" s="15"/>
    </row>
    <row r="1002" spans="1:40" x14ac:dyDescent="0.4">
      <c r="AM1002" s="26"/>
      <c r="AN1002" s="15"/>
    </row>
    <row r="1003" spans="1:40" x14ac:dyDescent="0.4">
      <c r="AM1003" s="26"/>
      <c r="AN1003" s="15"/>
    </row>
    <row r="1004" spans="1:40" x14ac:dyDescent="0.4">
      <c r="AM1004" s="26"/>
      <c r="AN1004" s="15"/>
    </row>
    <row r="1005" spans="1:40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22"/>
      <c r="W1005" s="122"/>
      <c r="X1005" s="122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26"/>
      <c r="AN1005" s="15"/>
    </row>
    <row r="1006" spans="1:40" x14ac:dyDescent="0.4">
      <c r="AM1006" s="26"/>
      <c r="AN1006" s="15"/>
    </row>
    <row r="1007" spans="1:40" x14ac:dyDescent="0.4">
      <c r="AM1007" s="26"/>
      <c r="AN1007" s="15"/>
    </row>
    <row r="1008" spans="1:40" x14ac:dyDescent="0.4">
      <c r="AM1008" s="26"/>
      <c r="AN1008" s="15"/>
    </row>
    <row r="1009" spans="1:40" x14ac:dyDescent="0.4">
      <c r="AM1009" s="26"/>
      <c r="AN1009" s="15"/>
    </row>
    <row r="1010" spans="1:40" ht="18.75" customHeight="1" x14ac:dyDescent="0.4"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22"/>
      <c r="W1010" s="122"/>
      <c r="X1010" s="122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26"/>
      <c r="AN1010" s="15"/>
    </row>
    <row r="1011" spans="1:40" x14ac:dyDescent="0.4">
      <c r="AM1011" s="26"/>
      <c r="AN1011" s="15"/>
    </row>
    <row r="1012" spans="1:40" x14ac:dyDescent="0.4">
      <c r="AM1012" s="26"/>
      <c r="AN1012" s="15"/>
    </row>
    <row r="1013" spans="1:40" x14ac:dyDescent="0.4"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22"/>
      <c r="W1013" s="122"/>
      <c r="X1013" s="122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26"/>
      <c r="AN1013" s="15"/>
    </row>
    <row r="1014" spans="1:40" x14ac:dyDescent="0.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22"/>
      <c r="W1014" s="122"/>
      <c r="X1014" s="122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26"/>
      <c r="AN1014" s="15"/>
    </row>
    <row r="1015" spans="1:40" x14ac:dyDescent="0.4">
      <c r="AM1015" s="26"/>
      <c r="AN1015" s="15"/>
    </row>
    <row r="1016" spans="1:40" x14ac:dyDescent="0.4">
      <c r="O1016" s="115"/>
      <c r="P1016" s="115"/>
      <c r="Q1016" s="115"/>
      <c r="R1016" s="115"/>
      <c r="S1016" s="115"/>
      <c r="T1016" s="115"/>
      <c r="U1016" s="115"/>
      <c r="V1016" s="122"/>
      <c r="W1016" s="122"/>
      <c r="X1016" s="122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7"/>
      <c r="AN1016" s="15"/>
    </row>
    <row r="1017" spans="1:40" x14ac:dyDescent="0.4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22"/>
      <c r="W1017" s="122"/>
      <c r="X1017" s="122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26"/>
      <c r="AN1017" s="15"/>
    </row>
    <row r="1018" spans="1:40" x14ac:dyDescent="0.4">
      <c r="AM1018" s="26"/>
      <c r="AN1018" s="15"/>
    </row>
    <row r="1019" spans="1:40" x14ac:dyDescent="0.4">
      <c r="O1019" s="115"/>
      <c r="P1019" s="115"/>
      <c r="Q1019" s="115"/>
      <c r="R1019" s="115"/>
      <c r="S1019" s="115"/>
      <c r="T1019" s="115"/>
      <c r="U1019" s="115"/>
      <c r="V1019" s="122"/>
      <c r="W1019" s="122"/>
      <c r="X1019" s="122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7"/>
      <c r="AN1019" s="15"/>
    </row>
    <row r="1020" spans="1:40" x14ac:dyDescent="0.4">
      <c r="AM1020" s="26"/>
      <c r="AN1020" s="15"/>
    </row>
    <row r="1021" spans="1:40" x14ac:dyDescent="0.4"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22"/>
      <c r="W1021" s="122"/>
      <c r="X1021" s="122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26"/>
      <c r="AN1021" s="15"/>
    </row>
    <row r="1022" spans="1:40" x14ac:dyDescent="0.4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22"/>
      <c r="W1022" s="122"/>
      <c r="X1022" s="122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26"/>
      <c r="AN1022" s="15"/>
    </row>
    <row r="1023" spans="1:40" x14ac:dyDescent="0.4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22"/>
      <c r="W1023" s="122"/>
      <c r="X1023" s="122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15"/>
      <c r="AM1023" s="26"/>
      <c r="AN1023" s="15"/>
    </row>
    <row r="1024" spans="1:40" x14ac:dyDescent="0.4">
      <c r="AM1024" s="26"/>
      <c r="AN1024" s="15"/>
    </row>
    <row r="1025" spans="1:40" x14ac:dyDescent="0.4"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22"/>
      <c r="W1025" s="122"/>
      <c r="X1025" s="122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15"/>
      <c r="AM1025" s="26"/>
      <c r="AN1025" s="15"/>
    </row>
    <row r="1026" spans="1:40" x14ac:dyDescent="0.4">
      <c r="AM1026" s="26"/>
      <c r="AN1026" s="15"/>
    </row>
    <row r="1027" spans="1:40" x14ac:dyDescent="0.4"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22"/>
      <c r="W1027" s="122"/>
      <c r="X1027" s="122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26"/>
      <c r="AN1027" s="15"/>
    </row>
    <row r="1028" spans="1:40" x14ac:dyDescent="0.4">
      <c r="AM1028" s="26"/>
      <c r="AN1028" s="15"/>
    </row>
    <row r="1029" spans="1:40" x14ac:dyDescent="0.4">
      <c r="AM1029" s="26"/>
      <c r="AN1029" s="15"/>
    </row>
    <row r="1030" spans="1:40" x14ac:dyDescent="0.4">
      <c r="AM1030" s="26"/>
      <c r="AN1030" s="15"/>
    </row>
    <row r="1031" spans="1:40" x14ac:dyDescent="0.4">
      <c r="AM1031" s="26"/>
      <c r="AN1031" s="15"/>
    </row>
    <row r="1032" spans="1:40" x14ac:dyDescent="0.4">
      <c r="AM1032" s="26"/>
      <c r="AN1032" s="15"/>
    </row>
    <row r="1033" spans="1:40" x14ac:dyDescent="0.4">
      <c r="AM1033" s="26"/>
      <c r="AN1033" s="15"/>
    </row>
    <row r="1034" spans="1:40" x14ac:dyDescent="0.4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22"/>
      <c r="W1034" s="122"/>
      <c r="X1034" s="122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26"/>
      <c r="AN1034" s="15"/>
    </row>
    <row r="1035" spans="1:40" x14ac:dyDescent="0.4">
      <c r="AM1035" s="26"/>
      <c r="AN1035" s="15"/>
    </row>
    <row r="1036" spans="1:40" x14ac:dyDescent="0.4">
      <c r="AM1036" s="26"/>
      <c r="AN1036" s="15"/>
    </row>
    <row r="1037" spans="1:40" x14ac:dyDescent="0.4">
      <c r="AM1037" s="26"/>
      <c r="AN1037" s="15"/>
    </row>
    <row r="1038" spans="1:40" x14ac:dyDescent="0.4">
      <c r="AM1038" s="26"/>
      <c r="AN1038" s="15"/>
    </row>
    <row r="1039" spans="1:40" x14ac:dyDescent="0.4">
      <c r="AM1039" s="26"/>
      <c r="AN1039" s="15"/>
    </row>
    <row r="1040" spans="1:40" x14ac:dyDescent="0.4">
      <c r="O1040" s="115"/>
      <c r="P1040" s="115"/>
      <c r="Q1040" s="115"/>
      <c r="R1040" s="115"/>
      <c r="S1040" s="115"/>
      <c r="T1040" s="115"/>
      <c r="U1040" s="115"/>
      <c r="V1040" s="122"/>
      <c r="W1040" s="122"/>
      <c r="X1040" s="122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7"/>
      <c r="AN1040" s="15"/>
    </row>
    <row r="1041" spans="1:40" x14ac:dyDescent="0.4">
      <c r="O1041" s="115"/>
      <c r="P1041" s="115"/>
      <c r="Q1041" s="115"/>
      <c r="R1041" s="115"/>
      <c r="S1041" s="115"/>
      <c r="T1041" s="115"/>
      <c r="U1041" s="115"/>
      <c r="V1041" s="122"/>
      <c r="W1041" s="122"/>
      <c r="X1041" s="122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7"/>
      <c r="AN1041" s="15"/>
    </row>
    <row r="1042" spans="1:40" x14ac:dyDescent="0.4">
      <c r="AM1042" s="26"/>
      <c r="AN1042" s="15"/>
    </row>
    <row r="1043" spans="1:40" x14ac:dyDescent="0.4">
      <c r="AM1043" s="26"/>
      <c r="AN1043" s="15"/>
    </row>
    <row r="1044" spans="1:40" x14ac:dyDescent="0.4">
      <c r="A1044" s="115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22"/>
      <c r="W1044" s="122"/>
      <c r="X1044" s="122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26"/>
      <c r="AN1044" s="15"/>
    </row>
    <row r="1045" spans="1:40" x14ac:dyDescent="0.4">
      <c r="A1045" s="115"/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22"/>
      <c r="W1045" s="122"/>
      <c r="X1045" s="122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26"/>
      <c r="AN1045" s="13"/>
    </row>
    <row r="1046" spans="1:40" x14ac:dyDescent="0.4">
      <c r="AM1046" s="26"/>
      <c r="AN1046" s="15"/>
    </row>
    <row r="1047" spans="1:40" x14ac:dyDescent="0.4"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22"/>
      <c r="W1047" s="122"/>
      <c r="X1047" s="122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26"/>
      <c r="AN1047" s="15"/>
    </row>
    <row r="1048" spans="1:40" x14ac:dyDescent="0.4">
      <c r="AM1048" s="26"/>
      <c r="AN1048" s="15"/>
    </row>
    <row r="1049" spans="1:40" x14ac:dyDescent="0.4">
      <c r="AM1049" s="26"/>
      <c r="AN1049" s="15"/>
    </row>
    <row r="1050" spans="1:40" x14ac:dyDescent="0.4">
      <c r="A1050" s="115"/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22"/>
      <c r="W1050" s="122"/>
      <c r="X1050" s="122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26"/>
      <c r="AN1050" s="15"/>
    </row>
    <row r="1051" spans="1:40" x14ac:dyDescent="0.4">
      <c r="AM1051" s="26"/>
      <c r="AN1051" s="13"/>
    </row>
    <row r="1052" spans="1:40" x14ac:dyDescent="0.4">
      <c r="AM1052" s="26"/>
      <c r="AN1052" s="13"/>
    </row>
    <row r="1053" spans="1:40" x14ac:dyDescent="0.4">
      <c r="A1053" s="115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22"/>
      <c r="W1053" s="122"/>
      <c r="X1053" s="122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26"/>
      <c r="AN1053" s="13"/>
    </row>
    <row r="1054" spans="1:40" x14ac:dyDescent="0.4">
      <c r="AM1054" s="26"/>
      <c r="AN1054" s="13"/>
    </row>
    <row r="1055" spans="1:40" x14ac:dyDescent="0.4">
      <c r="AM1055" s="26"/>
      <c r="AN1055" s="13"/>
    </row>
    <row r="1056" spans="1:40" x14ac:dyDescent="0.4">
      <c r="AM1056" s="26"/>
      <c r="AN1056" s="13"/>
    </row>
    <row r="1057" spans="1:40" x14ac:dyDescent="0.4">
      <c r="AM1057" s="26"/>
      <c r="AN1057" s="13"/>
    </row>
    <row r="1058" spans="1:40" x14ac:dyDescent="0.4">
      <c r="AM1058" s="26"/>
      <c r="AN1058" s="13"/>
    </row>
    <row r="1059" spans="1:40" x14ac:dyDescent="0.4">
      <c r="A1059" s="115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22"/>
      <c r="W1059" s="122"/>
      <c r="X1059" s="122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26"/>
      <c r="AN1059" s="25"/>
    </row>
    <row r="1060" spans="1:40" x14ac:dyDescent="0.4">
      <c r="AM1060" s="26"/>
      <c r="AN1060" s="13"/>
    </row>
    <row r="1061" spans="1:40" x14ac:dyDescent="0.4">
      <c r="A1061" s="115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22"/>
      <c r="W1061" s="122"/>
      <c r="X1061" s="122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26"/>
      <c r="AN1061" s="13"/>
    </row>
    <row r="1062" spans="1:40" x14ac:dyDescent="0.4">
      <c r="A1062" s="115"/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22"/>
      <c r="W1062" s="122"/>
      <c r="X1062" s="122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26"/>
      <c r="AN1062" s="13"/>
    </row>
    <row r="1063" spans="1:40" x14ac:dyDescent="0.4">
      <c r="AM1063" s="26"/>
      <c r="AN1063" s="15"/>
    </row>
    <row r="1064" spans="1:40" x14ac:dyDescent="0.4">
      <c r="AM1064" s="26"/>
      <c r="AN1064" s="15"/>
    </row>
    <row r="1065" spans="1:40" x14ac:dyDescent="0.4">
      <c r="AM1065" s="26"/>
      <c r="AN1065" s="15"/>
    </row>
    <row r="1066" spans="1:40" x14ac:dyDescent="0.4">
      <c r="AM1066" s="26"/>
      <c r="AN1066" s="13"/>
    </row>
    <row r="1067" spans="1:40" x14ac:dyDescent="0.4">
      <c r="AM1067" s="26"/>
      <c r="AN1067" s="15"/>
    </row>
    <row r="1068" spans="1:40" x14ac:dyDescent="0.4"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22"/>
      <c r="W1068" s="122"/>
      <c r="X1068" s="122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7"/>
      <c r="AN1068" s="15"/>
    </row>
    <row r="1069" spans="1:40" x14ac:dyDescent="0.4">
      <c r="AM1069" s="26"/>
      <c r="AN1069" s="15"/>
    </row>
    <row r="1070" spans="1:40" x14ac:dyDescent="0.4"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22"/>
      <c r="W1070" s="122"/>
      <c r="X1070" s="122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7"/>
      <c r="AN1070" s="15"/>
    </row>
    <row r="1071" spans="1:40" x14ac:dyDescent="0.4">
      <c r="AM1071" s="26"/>
      <c r="AN1071" s="15"/>
    </row>
    <row r="1072" spans="1:40" x14ac:dyDescent="0.4">
      <c r="AM1072" s="26"/>
      <c r="AN1072" s="15"/>
    </row>
    <row r="1073" spans="2:40" x14ac:dyDescent="0.4"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22"/>
      <c r="W1073" s="122"/>
      <c r="X1073" s="122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7"/>
      <c r="AN1073" s="15"/>
    </row>
    <row r="1074" spans="2:40" x14ac:dyDescent="0.4">
      <c r="AM1074" s="26"/>
      <c r="AN1074" s="15"/>
    </row>
    <row r="1075" spans="2:40" x14ac:dyDescent="0.4">
      <c r="AM1075" s="26"/>
      <c r="AN1075" s="15"/>
    </row>
    <row r="1076" spans="2:40" x14ac:dyDescent="0.4">
      <c r="AM1076" s="26"/>
      <c r="AN1076" s="105"/>
    </row>
    <row r="1077" spans="2:40" x14ac:dyDescent="0.4">
      <c r="AM1077" s="26"/>
      <c r="AN1077" s="15"/>
    </row>
    <row r="1078" spans="2:40" x14ac:dyDescent="0.4">
      <c r="AM1078" s="26"/>
      <c r="AN1078" s="15"/>
    </row>
    <row r="1079" spans="2:40" x14ac:dyDescent="0.4">
      <c r="AM1079" s="26"/>
      <c r="AN1079" s="15"/>
    </row>
    <row r="1080" spans="2:40" x14ac:dyDescent="0.4">
      <c r="AM1080" s="26"/>
      <c r="AN1080" s="15"/>
    </row>
    <row r="1081" spans="2:40" x14ac:dyDescent="0.4">
      <c r="AM1081" s="26"/>
      <c r="AN1081" s="15"/>
    </row>
    <row r="1082" spans="2:40" x14ac:dyDescent="0.4"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22"/>
      <c r="W1082" s="122"/>
      <c r="X1082" s="122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15"/>
      <c r="AL1082" s="115"/>
      <c r="AM1082" s="119"/>
      <c r="AN1082" s="119"/>
    </row>
    <row r="1083" spans="2:40" x14ac:dyDescent="0.4"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22"/>
      <c r="W1083" s="122"/>
      <c r="X1083" s="122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9"/>
      <c r="AN1083" s="119"/>
    </row>
  </sheetData>
  <sortState xmlns:xlrd2="http://schemas.microsoft.com/office/spreadsheetml/2017/richdata2" ref="O2:P117">
    <sortCondition ref="O2:O117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2024-12-03T06:28:40Z</cp:lastPrinted>
  <dcterms:created xsi:type="dcterms:W3CDTF">2020-05-08T06:29:04Z</dcterms:created>
  <dcterms:modified xsi:type="dcterms:W3CDTF">2024-12-04T00:48:02Z</dcterms:modified>
</cp:coreProperties>
</file>